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7. PRICES\"/>
    </mc:Choice>
  </mc:AlternateContent>
  <bookViews>
    <workbookView xWindow="0" yWindow="0" windowWidth="28800" windowHeight="12030" tabRatio="790"/>
  </bookViews>
  <sheets>
    <sheet name="17.6" sheetId="6" r:id="rId1"/>
  </sheets>
  <externalReferences>
    <externalReference r:id="rId2"/>
  </externalReferences>
  <definedNames>
    <definedName name="_xlnm.Print_Area" localSheetId="0">'17.6'!$A$1:$R$114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3" i="6" l="1"/>
  <c r="N69" i="6"/>
  <c r="N68" i="6"/>
  <c r="N67" i="6"/>
  <c r="N66" i="6"/>
  <c r="N65" i="6"/>
  <c r="N64" i="6"/>
  <c r="N63" i="6"/>
  <c r="N62" i="6"/>
  <c r="N61" i="6"/>
  <c r="N60" i="6"/>
  <c r="N59" i="6"/>
  <c r="N58" i="6"/>
  <c r="N57" i="6"/>
  <c r="N56" i="6"/>
  <c r="N55" i="6"/>
  <c r="N54" i="6"/>
  <c r="N47" i="6"/>
  <c r="N46" i="6"/>
  <c r="N45" i="6"/>
  <c r="N44" i="6"/>
  <c r="N43" i="6"/>
  <c r="N42" i="6"/>
  <c r="N41" i="6"/>
  <c r="N40" i="6"/>
  <c r="N39" i="6"/>
  <c r="N38" i="6"/>
  <c r="N37" i="6"/>
  <c r="N36" i="6"/>
  <c r="N35" i="6"/>
  <c r="N34" i="6"/>
  <c r="N33" i="6"/>
  <c r="N32" i="6"/>
  <c r="N31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9" i="6"/>
  <c r="BE49" i="6" l="1"/>
  <c r="AY166" i="6"/>
  <c r="BE59" i="6" l="1"/>
  <c r="BE51" i="6"/>
  <c r="BE65" i="6"/>
  <c r="BE64" i="6"/>
  <c r="BE63" i="6"/>
  <c r="BE62" i="6"/>
  <c r="BE61" i="6"/>
  <c r="BE60" i="6"/>
  <c r="BE58" i="6"/>
  <c r="BE57" i="6"/>
  <c r="BE56" i="6"/>
  <c r="BE55" i="6"/>
  <c r="BE54" i="6"/>
  <c r="BE53" i="6"/>
  <c r="BE52" i="6"/>
  <c r="BE50" i="6"/>
</calcChain>
</file>

<file path=xl/sharedStrings.xml><?xml version="1.0" encoding="utf-8"?>
<sst xmlns="http://schemas.openxmlformats.org/spreadsheetml/2006/main" count="329" uniqueCount="86">
  <si>
    <t>(cnegiawlwbcSwa 100 IkwDnwgcnim eg 2012 cnUj)</t>
  </si>
  <si>
    <t>(Index - base: June 2012=100)</t>
  </si>
  <si>
    <t>Republic</t>
  </si>
  <si>
    <t>Male'</t>
  </si>
  <si>
    <t xml:space="preserve">Source:  National  Bureau of Statistics   </t>
  </si>
  <si>
    <t>މަޢުލޫމާތު ދެއްވި ފަރާތް: ނޭޝަނަލް ބިއުރޯ އޮފް ސްޓެޓިސްޓިކްސް</t>
  </si>
  <si>
    <t>Food and beverages including fish</t>
  </si>
  <si>
    <t xml:space="preserve"> cniaubIrWycawt iaWaWnWk</t>
  </si>
  <si>
    <t>Food and beverages excluding fish</t>
  </si>
  <si>
    <t>(Wnwmihuncswm) cniaubIrWycawt iaWaWnWk</t>
  </si>
  <si>
    <t>Fish Index</t>
  </si>
  <si>
    <t>uDnwgcnim eguhwm</t>
  </si>
  <si>
    <t xml:space="preserve">Tobacco and Aracanuts </t>
  </si>
  <si>
    <t>Clothing and footwear</t>
  </si>
  <si>
    <t>cnWviawf iaWTUb idwa unuawncnwa</t>
  </si>
  <si>
    <t>Housing, water, electricity, gas and other fuel</t>
  </si>
  <si>
    <t>cawtctwvWb egulet idwa csEg ,uTcnwrwk ,cnef ,ilukegEg</t>
  </si>
  <si>
    <t xml:space="preserve">  Actual rentals for housing</t>
  </si>
  <si>
    <t xml:space="preserve">Furnishing,  household equipment &amp; routine maintenance </t>
  </si>
  <si>
    <t>cnurukctWmWrwm  iaWCcaekwt  ELugcneg Wfih ,cnixem,rwCInrwf</t>
  </si>
  <si>
    <t>Health</t>
  </si>
  <si>
    <t>ctwmcdiK IHcaiB</t>
  </si>
  <si>
    <t xml:space="preserve">Transport </t>
  </si>
  <si>
    <t xml:space="preserve"> urutwfurutwd</t>
  </si>
  <si>
    <t>Communication</t>
  </si>
  <si>
    <t>ctwmudiK ItWlwBWvum</t>
  </si>
  <si>
    <t>Recreation and culture</t>
  </si>
  <si>
    <t>cawtcawtcnwk IfWqws iaWrwviLuk</t>
  </si>
  <si>
    <t>Education</t>
  </si>
  <si>
    <t>cmIluAwt</t>
  </si>
  <si>
    <t>Hotels, cafés and restaurants</t>
  </si>
  <si>
    <t xml:space="preserve">  cTcnwrOTcser idwa Efek ,WToh</t>
  </si>
  <si>
    <t>Miscellaneous goods and services</t>
  </si>
  <si>
    <t>ctwmcdiK iaWlwdum cnehinehea</t>
  </si>
  <si>
    <t>All groups CPI (Total)</t>
  </si>
  <si>
    <t>wlcmuj</t>
  </si>
  <si>
    <t>Total excluding fish</t>
  </si>
  <si>
    <t xml:space="preserve"> Wnwmihuncswm uDnwgcnim wlcmuj</t>
  </si>
  <si>
    <t>cawtctwvWb egumufud iaWtwfcnud</t>
  </si>
  <si>
    <t>Irwaunej</t>
  </si>
  <si>
    <t>Irwaurcbef</t>
  </si>
  <si>
    <t>cCrWm</t>
  </si>
  <si>
    <t>clIrcpEa</t>
  </si>
  <si>
    <t>Em</t>
  </si>
  <si>
    <t>cnUj</t>
  </si>
  <si>
    <t>iawluj</t>
  </si>
  <si>
    <t>cTcswgOa</t>
  </si>
  <si>
    <t>urwbcmeTcpes</t>
  </si>
  <si>
    <t>urwbOTckoa</t>
  </si>
  <si>
    <t>urwbcmevon</t>
  </si>
  <si>
    <t>urwbcmesiD</t>
  </si>
  <si>
    <t>cjErwvea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</si>
  <si>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</si>
  <si>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</si>
  <si>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</si>
  <si>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</si>
  <si>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</si>
  <si>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</si>
  <si>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</si>
  <si>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</si>
  <si>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</si>
  <si>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</si>
  <si>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</si>
  <si>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</si>
  <si>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2018 ,uDnwgcnim egugwa egurWzWb eguhwmcswmikea : 17.6 ulwvWt</t>
  </si>
  <si>
    <t>Table  17.6 : CONSUMER PRICE INDEX, FOR MALE' AND ATOLLS BY MONTH,  2018</t>
  </si>
  <si>
    <t>Monthly CPI , 2018</t>
  </si>
  <si>
    <t xml:space="preserve"> 2018 ،iawa.Ip.Is eguhwmcswm</t>
  </si>
  <si>
    <t>cawtiawbuDnwgiawm egukwtctwvWb</t>
  </si>
  <si>
    <t>Major Groups</t>
  </si>
  <si>
    <t>cSwa ejcaWr</t>
  </si>
  <si>
    <t>Jan - Dec</t>
  </si>
  <si>
    <t xml:space="preserve">     ilukegEg</t>
  </si>
  <si>
    <t>cSwa elWm</t>
  </si>
  <si>
    <t>Atolls</t>
  </si>
  <si>
    <t xml:space="preserve"> cSwkwtuLotwa</t>
  </si>
  <si>
    <t>ilukegEg</t>
  </si>
  <si>
    <t>Jan '10</t>
  </si>
  <si>
    <t>Jan '11</t>
  </si>
  <si>
    <t>Jan '12</t>
  </si>
  <si>
    <t>Jan '13</t>
  </si>
  <si>
    <t>Jan '14</t>
  </si>
  <si>
    <t>Jan '15</t>
  </si>
  <si>
    <t>Jan '16</t>
  </si>
  <si>
    <t>Jan '17</t>
  </si>
  <si>
    <t>Jan '18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</si>
</sst>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General_)"/>
    <numFmt numFmtId="165" formatCode="0.0"/>
    <numFmt numFmtId="167" formatCode="_(* #,##0.0_);_(* \(#,##0.0\);_(* &quot;-&quot;??_);_(@_)"/>
    <numFmt numFmtId="169" formatCode="_-* #,##0.00_-;\-* #,##0.00_-;_-* &quot;-&quot;??_-;_-@_-"/>
    <numFmt numFmtId="170" formatCode="[$-409]mmm\-yy;@"/>
  </numFmts>
  <fonts count="16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color theme="1"/>
      <name val="A_Randhoo"/>
    </font>
    <font>
      <b/>
      <sz val="9"/>
      <name val="A_Randhoo"/>
    </font>
    <font>
      <sz val="10"/>
      <name val="Arial"/>
      <family val="2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sz val="9"/>
      <name val="Farum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b/>
      <sz val="10"/>
      <name val="Arial"/>
      <family val="2"/>
    </font>
    <font>
      <sz val="9"/>
      <name val="Arial"/>
      <family val="2"/>
    </font>
    <font>
      <sz val="9"/>
      <name val="Calibri"/>
      <family val="2"/>
      <scheme val="minor"/>
    </font>
    <font>
      <b/>
      <sz val="9"/>
      <name val="Arial"/>
      <family val="2"/>
    </font>
    <font>
      <sz val="9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/>
    <xf numFmtId="0" fontId="4" fillId="0" borderId="0"/>
    <xf numFmtId="164" fontId="1" fillId="0" borderId="0"/>
    <xf numFmtId="164" fontId="1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</cellStyleXfs>
  <cellXfs count="112">
    <xf numFmtId="0" fontId="0" fillId="0" borderId="0" xfId="0"/>
    <xf numFmtId="0" fontId="4" fillId="2" borderId="0" xfId="2" applyFont="1" applyFill="1"/>
    <xf numFmtId="2" fontId="0" fillId="2" borderId="0" xfId="0" applyNumberFormat="1" applyFill="1"/>
    <xf numFmtId="164" fontId="6" fillId="2" borderId="0" xfId="1" applyFont="1" applyFill="1" applyBorder="1" applyAlignment="1" applyProtection="1">
      <alignment horizontal="left" vertical="center"/>
    </xf>
    <xf numFmtId="164" fontId="7" fillId="2" borderId="0" xfId="1" applyFont="1" applyFill="1" applyAlignment="1">
      <alignment horizontal="right" vertical="center"/>
    </xf>
    <xf numFmtId="164" fontId="3" fillId="2" borderId="3" xfId="3" applyFont="1" applyFill="1" applyBorder="1" applyAlignment="1">
      <alignment horizontal="right" vertical="center"/>
    </xf>
    <xf numFmtId="0" fontId="4" fillId="2" borderId="0" xfId="2" applyFont="1" applyFill="1" applyBorder="1"/>
    <xf numFmtId="164" fontId="9" fillId="2" borderId="0" xfId="4" applyFont="1" applyFill="1" applyAlignment="1">
      <alignment vertical="center" wrapText="1"/>
    </xf>
    <xf numFmtId="164" fontId="10" fillId="2" borderId="0" xfId="3" applyFont="1" applyFill="1" applyAlignment="1">
      <alignment horizontal="right" vertical="center"/>
    </xf>
    <xf numFmtId="164" fontId="9" fillId="2" borderId="0" xfId="4" applyFont="1" applyFill="1" applyAlignment="1">
      <alignment vertical="center"/>
    </xf>
    <xf numFmtId="0" fontId="9" fillId="2" borderId="0" xfId="5" applyFont="1" applyFill="1" applyAlignment="1">
      <alignment vertical="center"/>
    </xf>
    <xf numFmtId="164" fontId="9" fillId="2" borderId="0" xfId="4" applyFont="1" applyFill="1" applyBorder="1" applyAlignment="1">
      <alignment vertical="center" wrapText="1"/>
    </xf>
    <xf numFmtId="164" fontId="10" fillId="2" borderId="0" xfId="1" applyFont="1" applyFill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164" fontId="3" fillId="2" borderId="0" xfId="3" applyFont="1" applyFill="1" applyBorder="1" applyAlignment="1">
      <alignment horizontal="right" vertical="center"/>
    </xf>
    <xf numFmtId="164" fontId="8" fillId="2" borderId="1" xfId="4" applyFont="1" applyFill="1" applyBorder="1" applyAlignment="1">
      <alignment vertical="center"/>
    </xf>
    <xf numFmtId="164" fontId="3" fillId="2" borderId="1" xfId="1" applyFont="1" applyFill="1" applyBorder="1" applyAlignment="1">
      <alignment horizontal="right" vertical="center"/>
    </xf>
    <xf numFmtId="164" fontId="3" fillId="2" borderId="0" xfId="3" applyFont="1" applyFill="1" applyBorder="1" applyAlignment="1">
      <alignment horizontal="right" vertical="center" wrapText="1"/>
    </xf>
    <xf numFmtId="164" fontId="10" fillId="2" borderId="0" xfId="3" applyFont="1" applyFill="1" applyAlignment="1">
      <alignment horizontal="center" vertical="center"/>
    </xf>
    <xf numFmtId="3" fontId="14" fillId="2" borderId="0" xfId="6" applyNumberFormat="1" applyFont="1" applyFill="1" applyBorder="1" applyAlignment="1" applyProtection="1">
      <alignment horizontal="center" vertical="center"/>
    </xf>
    <xf numFmtId="165" fontId="4" fillId="2" borderId="0" xfId="2" applyNumberFormat="1" applyFont="1" applyFill="1"/>
    <xf numFmtId="0" fontId="12" fillId="2" borderId="0" xfId="2" applyFont="1" applyFill="1"/>
    <xf numFmtId="0" fontId="11" fillId="2" borderId="0" xfId="2" applyFont="1" applyFill="1"/>
    <xf numFmtId="164" fontId="3" fillId="2" borderId="0" xfId="1" applyFont="1" applyFill="1" applyBorder="1" applyAlignment="1">
      <alignment horizontal="right" vertical="center"/>
    </xf>
    <xf numFmtId="0" fontId="12" fillId="2" borderId="2" xfId="2" applyFont="1" applyFill="1" applyBorder="1"/>
    <xf numFmtId="0" fontId="14" fillId="2" borderId="0" xfId="2" applyFont="1" applyFill="1" applyBorder="1"/>
    <xf numFmtId="164" fontId="13" fillId="2" borderId="0" xfId="4" applyFont="1" applyFill="1" applyAlignment="1">
      <alignment vertical="center" wrapText="1"/>
    </xf>
    <xf numFmtId="2" fontId="4" fillId="2" borderId="0" xfId="2" applyNumberFormat="1" applyFont="1" applyFill="1"/>
    <xf numFmtId="164" fontId="3" fillId="2" borderId="0" xfId="3" applyFont="1" applyFill="1" applyAlignment="1">
      <alignment vertical="center"/>
    </xf>
    <xf numFmtId="164" fontId="12" fillId="2" borderId="0" xfId="3" applyFont="1" applyFill="1" applyAlignment="1">
      <alignment vertical="center"/>
    </xf>
    <xf numFmtId="164" fontId="5" fillId="2" borderId="0" xfId="3" applyFont="1" applyFill="1" applyAlignment="1" applyProtection="1">
      <alignment vertical="center"/>
    </xf>
    <xf numFmtId="164" fontId="5" fillId="2" borderId="0" xfId="3" applyFont="1" applyFill="1" applyAlignment="1">
      <alignment vertical="center"/>
    </xf>
    <xf numFmtId="164" fontId="3" fillId="2" borderId="0" xfId="3" applyFont="1" applyFill="1" applyAlignment="1">
      <alignment vertical="center" wrapText="1"/>
    </xf>
    <xf numFmtId="164" fontId="12" fillId="2" borderId="0" xfId="3" applyFont="1" applyFill="1" applyBorder="1" applyAlignment="1">
      <alignment vertical="center"/>
    </xf>
    <xf numFmtId="164" fontId="5" fillId="2" borderId="0" xfId="3" applyFont="1" applyFill="1" applyBorder="1" applyAlignment="1" applyProtection="1">
      <alignment vertical="center"/>
    </xf>
    <xf numFmtId="164" fontId="5" fillId="2" borderId="0" xfId="3" applyFont="1" applyFill="1" applyBorder="1" applyAlignment="1">
      <alignment vertical="center"/>
    </xf>
    <xf numFmtId="3" fontId="13" fillId="2" borderId="1" xfId="6" applyNumberFormat="1" applyFont="1" applyFill="1" applyBorder="1" applyAlignment="1" applyProtection="1">
      <alignment horizontal="left" vertical="center"/>
    </xf>
    <xf numFmtId="3" fontId="14" fillId="2" borderId="1" xfId="6" applyNumberFormat="1" applyFont="1" applyFill="1" applyBorder="1" applyAlignment="1" applyProtection="1">
      <alignment horizontal="center" vertical="center"/>
    </xf>
    <xf numFmtId="3" fontId="14" fillId="2" borderId="1" xfId="6" applyNumberFormat="1" applyFont="1" applyFill="1" applyBorder="1" applyAlignment="1" applyProtection="1">
      <alignment horizontal="right" vertical="center"/>
    </xf>
    <xf numFmtId="0" fontId="4" fillId="2" borderId="1" xfId="2" applyFont="1" applyFill="1" applyBorder="1"/>
    <xf numFmtId="0" fontId="12" fillId="2" borderId="1" xfId="2" applyFont="1" applyFill="1" applyBorder="1"/>
    <xf numFmtId="3" fontId="10" fillId="2" borderId="1" xfId="6" applyNumberFormat="1" applyFont="1" applyFill="1" applyBorder="1" applyAlignment="1" applyProtection="1">
      <alignment horizontal="right" vertical="center"/>
    </xf>
    <xf numFmtId="0" fontId="5" fillId="2" borderId="2" xfId="2" applyFont="1" applyFill="1" applyBorder="1"/>
    <xf numFmtId="0" fontId="14" fillId="2" borderId="2" xfId="2" applyFont="1" applyFill="1" applyBorder="1"/>
    <xf numFmtId="0" fontId="14" fillId="2" borderId="2" xfId="2" applyFont="1" applyFill="1" applyBorder="1" applyAlignment="1">
      <alignment horizontal="right"/>
    </xf>
    <xf numFmtId="0" fontId="14" fillId="2" borderId="0" xfId="2" applyFont="1" applyFill="1"/>
    <xf numFmtId="0" fontId="14" fillId="2" borderId="3" xfId="2" applyFont="1" applyFill="1" applyBorder="1"/>
    <xf numFmtId="164" fontId="3" fillId="2" borderId="3" xfId="3" applyFont="1" applyFill="1" applyBorder="1" applyAlignment="1">
      <alignment horizontal="right" vertical="center" wrapText="1"/>
    </xf>
    <xf numFmtId="0" fontId="5" fillId="2" borderId="0" xfId="2" applyFont="1" applyFill="1" applyBorder="1" applyAlignment="1">
      <alignment horizontal="left"/>
    </xf>
    <xf numFmtId="164" fontId="3" fillId="2" borderId="4" xfId="3" applyFont="1" applyFill="1" applyBorder="1" applyAlignment="1">
      <alignment horizontal="right" vertical="center" wrapText="1"/>
    </xf>
    <xf numFmtId="169" fontId="3" fillId="2" borderId="0" xfId="3" applyNumberFormat="1" applyFont="1" applyFill="1" applyBorder="1" applyAlignment="1">
      <alignment horizontal="right"/>
    </xf>
    <xf numFmtId="0" fontId="12" fillId="2" borderId="0" xfId="2" applyFont="1" applyFill="1" applyAlignment="1"/>
    <xf numFmtId="164" fontId="3" fillId="2" borderId="0" xfId="3" applyFont="1" applyFill="1" applyBorder="1" applyAlignment="1">
      <alignment horizontal="right"/>
    </xf>
    <xf numFmtId="0" fontId="5" fillId="2" borderId="1" xfId="2" applyFont="1" applyFill="1" applyBorder="1" applyAlignment="1">
      <alignment horizontal="left"/>
    </xf>
    <xf numFmtId="17" fontId="8" fillId="2" borderId="1" xfId="2" applyNumberFormat="1" applyFont="1" applyFill="1" applyBorder="1" applyAlignment="1">
      <alignment horizontal="right"/>
    </xf>
    <xf numFmtId="0" fontId="8" fillId="2" borderId="1" xfId="2" applyFont="1" applyFill="1" applyBorder="1" applyAlignment="1">
      <alignment horizontal="right"/>
    </xf>
    <xf numFmtId="164" fontId="8" fillId="2" borderId="1" xfId="3" applyFont="1" applyFill="1" applyBorder="1" applyAlignment="1">
      <alignment horizontal="right"/>
    </xf>
    <xf numFmtId="0" fontId="12" fillId="2" borderId="1" xfId="2" applyFont="1" applyFill="1" applyBorder="1" applyAlignment="1"/>
    <xf numFmtId="0" fontId="10" fillId="2" borderId="1" xfId="2" applyFont="1" applyFill="1" applyBorder="1" applyAlignment="1"/>
    <xf numFmtId="0" fontId="12" fillId="2" borderId="0" xfId="2" applyFont="1" applyFill="1" applyBorder="1"/>
    <xf numFmtId="165" fontId="12" fillId="2" borderId="0" xfId="2" applyNumberFormat="1" applyFont="1" applyFill="1"/>
    <xf numFmtId="0" fontId="14" fillId="2" borderId="1" xfId="2" applyFont="1" applyFill="1" applyBorder="1"/>
    <xf numFmtId="3" fontId="13" fillId="2" borderId="0" xfId="6" applyNumberFormat="1" applyFont="1" applyFill="1" applyBorder="1" applyAlignment="1" applyProtection="1">
      <alignment horizontal="left" vertical="center"/>
    </xf>
    <xf numFmtId="3" fontId="10" fillId="2" borderId="0" xfId="6" applyNumberFormat="1" applyFont="1" applyFill="1" applyBorder="1" applyAlignment="1" applyProtection="1">
      <alignment horizontal="right" vertical="center"/>
    </xf>
    <xf numFmtId="164" fontId="3" fillId="2" borderId="2" xfId="3" applyFont="1" applyFill="1" applyBorder="1" applyAlignment="1">
      <alignment horizontal="right" vertical="center"/>
    </xf>
    <xf numFmtId="0" fontId="12" fillId="2" borderId="0" xfId="2" applyFont="1" applyFill="1" applyBorder="1" applyAlignment="1"/>
    <xf numFmtId="2" fontId="12" fillId="2" borderId="0" xfId="2" applyNumberFormat="1" applyFont="1" applyFill="1"/>
    <xf numFmtId="0" fontId="5" fillId="2" borderId="2" xfId="2" applyFont="1" applyFill="1" applyBorder="1" applyAlignment="1">
      <alignment horizontal="left"/>
    </xf>
    <xf numFmtId="0" fontId="13" fillId="2" borderId="1" xfId="2" applyFont="1" applyFill="1" applyBorder="1"/>
    <xf numFmtId="0" fontId="10" fillId="2" borderId="1" xfId="2" applyFont="1" applyFill="1" applyBorder="1"/>
    <xf numFmtId="0" fontId="13" fillId="2" borderId="0" xfId="2" applyFont="1" applyFill="1"/>
    <xf numFmtId="0" fontId="12" fillId="2" borderId="0" xfId="2" applyFont="1" applyFill="1" applyAlignment="1">
      <alignment horizontal="right"/>
    </xf>
    <xf numFmtId="0" fontId="10" fillId="2" borderId="0" xfId="2" applyFont="1" applyFill="1"/>
    <xf numFmtId="167" fontId="12" fillId="2" borderId="0" xfId="2" applyNumberFormat="1" applyFont="1" applyFill="1"/>
    <xf numFmtId="0" fontId="15" fillId="2" borderId="0" xfId="2" applyFont="1" applyFill="1"/>
    <xf numFmtId="165" fontId="5" fillId="2" borderId="0" xfId="3" applyNumberFormat="1" applyFont="1" applyFill="1" applyBorder="1" applyAlignment="1">
      <alignment horizontal="right" vertical="center"/>
    </xf>
    <xf numFmtId="164" fontId="13" fillId="2" borderId="0" xfId="4" applyFont="1" applyFill="1" applyAlignment="1">
      <alignment wrapText="1"/>
    </xf>
    <xf numFmtId="164" fontId="13" fillId="2" borderId="0" xfId="4" applyFont="1" applyFill="1"/>
    <xf numFmtId="0" fontId="13" fillId="2" borderId="0" xfId="5" applyFont="1" applyFill="1"/>
    <xf numFmtId="164" fontId="13" fillId="2" borderId="0" xfId="4" applyFont="1" applyFill="1" applyBorder="1" applyAlignment="1">
      <alignment wrapText="1"/>
    </xf>
    <xf numFmtId="170" fontId="12" fillId="2" borderId="0" xfId="2" applyNumberFormat="1" applyFont="1" applyFill="1"/>
    <xf numFmtId="0" fontId="13" fillId="2" borderId="0" xfId="2" applyFont="1" applyFill="1" applyBorder="1"/>
    <xf numFmtId="0" fontId="12" fillId="2" borderId="0" xfId="2" applyFont="1" applyFill="1" applyBorder="1" applyAlignment="1">
      <alignment horizontal="right"/>
    </xf>
    <xf numFmtId="0" fontId="10" fillId="2" borderId="0" xfId="2" applyFont="1" applyFill="1" applyBorder="1"/>
    <xf numFmtId="167" fontId="9" fillId="2" borderId="0" xfId="0" applyNumberFormat="1" applyFont="1" applyFill="1" applyAlignment="1">
      <alignment horizontal="left"/>
    </xf>
    <xf numFmtId="167" fontId="8" fillId="2" borderId="0" xfId="0" applyNumberFormat="1" applyFont="1" applyFill="1" applyBorder="1" applyAlignment="1">
      <alignment horizontal="left"/>
    </xf>
    <xf numFmtId="167" fontId="8" fillId="2" borderId="1" xfId="0" applyNumberFormat="1" applyFont="1" applyFill="1" applyBorder="1" applyAlignment="1">
      <alignment horizontal="left"/>
    </xf>
    <xf numFmtId="43" fontId="8" fillId="2" borderId="0" xfId="0" applyNumberFormat="1" applyFont="1" applyFill="1" applyBorder="1" applyAlignment="1">
      <alignment horizontal="left"/>
    </xf>
    <xf numFmtId="169" fontId="12" fillId="2" borderId="0" xfId="2" applyNumberFormat="1" applyFont="1" applyFill="1"/>
    <xf numFmtId="164" fontId="10" fillId="2" borderId="0" xfId="3" applyFont="1" applyFill="1" applyBorder="1" applyAlignment="1">
      <alignment horizontal="right" vertical="center"/>
    </xf>
    <xf numFmtId="3" fontId="14" fillId="2" borderId="0" xfId="6" applyNumberFormat="1" applyFont="1" applyFill="1" applyBorder="1" applyAlignment="1" applyProtection="1">
      <alignment horizontal="right" vertical="center"/>
    </xf>
    <xf numFmtId="0" fontId="5" fillId="2" borderId="0" xfId="2" applyFont="1" applyFill="1" applyBorder="1"/>
    <xf numFmtId="0" fontId="14" fillId="2" borderId="0" xfId="2" applyFont="1" applyFill="1" applyBorder="1" applyAlignment="1">
      <alignment horizontal="right"/>
    </xf>
    <xf numFmtId="17" fontId="8" fillId="2" borderId="0" xfId="2" applyNumberFormat="1" applyFont="1" applyFill="1" applyBorder="1" applyAlignment="1">
      <alignment horizontal="right"/>
    </xf>
    <xf numFmtId="0" fontId="8" fillId="2" borderId="0" xfId="2" applyFont="1" applyFill="1" applyBorder="1" applyAlignment="1">
      <alignment horizontal="right"/>
    </xf>
    <xf numFmtId="164" fontId="8" fillId="2" borderId="0" xfId="3" applyFont="1" applyFill="1" applyBorder="1" applyAlignment="1">
      <alignment horizontal="right"/>
    </xf>
    <xf numFmtId="0" fontId="10" fillId="2" borderId="0" xfId="2" applyFont="1" applyFill="1" applyBorder="1" applyAlignment="1"/>
    <xf numFmtId="167" fontId="9" fillId="2" borderId="0" xfId="0" applyNumberFormat="1" applyFont="1" applyFill="1" applyBorder="1" applyAlignment="1">
      <alignment horizontal="left"/>
    </xf>
    <xf numFmtId="164" fontId="9" fillId="2" borderId="0" xfId="4" applyFont="1" applyFill="1" applyBorder="1" applyAlignment="1">
      <alignment vertical="center"/>
    </xf>
    <xf numFmtId="164" fontId="10" fillId="2" borderId="0" xfId="3" applyFont="1" applyFill="1" applyBorder="1" applyAlignment="1">
      <alignment horizontal="center" vertical="center"/>
    </xf>
    <xf numFmtId="0" fontId="9" fillId="2" borderId="0" xfId="5" applyFont="1" applyFill="1" applyBorder="1" applyAlignment="1">
      <alignment vertical="center"/>
    </xf>
    <xf numFmtId="164" fontId="10" fillId="2" borderId="0" xfId="1" applyFont="1" applyFill="1" applyBorder="1" applyAlignment="1">
      <alignment horizontal="right" vertical="center"/>
    </xf>
    <xf numFmtId="43" fontId="9" fillId="2" borderId="0" xfId="0" applyNumberFormat="1" applyFont="1" applyFill="1" applyBorder="1" applyAlignment="1">
      <alignment horizontal="left"/>
    </xf>
    <xf numFmtId="164" fontId="7" fillId="2" borderId="0" xfId="1" applyFont="1" applyFill="1" applyBorder="1" applyAlignment="1">
      <alignment horizontal="right" vertical="center"/>
    </xf>
    <xf numFmtId="167" fontId="9" fillId="2" borderId="1" xfId="0" applyNumberFormat="1" applyFont="1" applyFill="1" applyBorder="1" applyAlignment="1">
      <alignment horizontal="left"/>
    </xf>
    <xf numFmtId="164" fontId="8" fillId="2" borderId="0" xfId="3" applyFont="1" applyFill="1" applyBorder="1" applyAlignment="1" applyProtection="1">
      <alignment horizontal="center" vertical="center"/>
    </xf>
    <xf numFmtId="164" fontId="3" fillId="2" borderId="0" xfId="3" applyFont="1" applyFill="1" applyBorder="1" applyAlignment="1">
      <alignment horizontal="center" vertical="center" wrapText="1"/>
    </xf>
    <xf numFmtId="164" fontId="5" fillId="2" borderId="0" xfId="3" applyFont="1" applyFill="1" applyBorder="1" applyAlignment="1" applyProtection="1">
      <alignment horizontal="center" vertical="center"/>
    </xf>
    <xf numFmtId="164" fontId="2" fillId="2" borderId="0" xfId="3" applyFont="1" applyFill="1" applyAlignment="1">
      <alignment horizontal="center" vertical="center"/>
    </xf>
    <xf numFmtId="164" fontId="8" fillId="2" borderId="0" xfId="3" applyFont="1" applyFill="1" applyAlignment="1" applyProtection="1">
      <alignment horizontal="center" vertical="center"/>
    </xf>
    <xf numFmtId="164" fontId="3" fillId="2" borderId="0" xfId="3" applyFont="1" applyFill="1" applyAlignment="1">
      <alignment horizontal="center" vertical="center" wrapText="1"/>
    </xf>
    <xf numFmtId="164" fontId="2" fillId="2" borderId="0" xfId="3" applyFont="1" applyFill="1" applyBorder="1" applyAlignment="1">
      <alignment horizontal="center" vertical="center"/>
    </xf>
  </cellXfs>
  <cellStyles count="10">
    <cellStyle name="Comma 3 2" xfId="7"/>
    <cellStyle name="Normal" xfId="0" builtinId="0"/>
    <cellStyle name="Normal 3" xfId="8"/>
    <cellStyle name="Normal 4" xfId="9"/>
    <cellStyle name="Normal_17 Prices_done" xfId="2"/>
    <cellStyle name="Normal_CPI new tables" xfId="5"/>
    <cellStyle name="Normal_Dec97" xfId="4"/>
    <cellStyle name="Normal_II-15(Population)" xfId="6"/>
    <cellStyle name="Normal_XII-11(Commerce)" xfId="3"/>
    <cellStyle name="Normal_XII-12 (Commerce)" xfId="1"/>
  </cellStyles>
  <dxfs count="0"/>
  <tableStyles count="0" defaultTableStyle="TableStyleMedium2" defaultPivotStyle="PivotStyleLight16"/>
  <colors>
    <mruColors>
      <color rgb="FFFFF9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5688203921325424E-2"/>
          <c:y val="0.12298054518664273"/>
          <c:w val="0.91787753419041462"/>
          <c:h val="0.4521929295609317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'17.6'!$BD$48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cat>
            <c:strRef>
              <c:f>'17.6'!$AV$49:$AV$65</c:f>
              <c:strCache>
                <c:ptCount val="17"/>
                <c:pt idx="0">
                  <c:v>Food and beverages including fish</c:v>
                </c:pt>
                <c:pt idx="1">
                  <c:v>Food and beverages excluding fish</c:v>
                </c:pt>
                <c:pt idx="2">
                  <c:v>Fish Index</c:v>
                </c:pt>
                <c:pt idx="3">
                  <c:v>Tobacco and Aracanuts </c:v>
                </c:pt>
                <c:pt idx="4">
                  <c:v>Clothing and footwear</c:v>
                </c:pt>
                <c:pt idx="5">
                  <c:v>Housing, water, electricity, gas and other fuel</c:v>
                </c:pt>
                <c:pt idx="6">
                  <c:v>  Actual rentals for housing</c:v>
                </c:pt>
                <c:pt idx="7">
                  <c:v>Furnishing,  household equipment &amp; routine maintenance </c:v>
                </c:pt>
                <c:pt idx="8">
                  <c:v>Health</c:v>
                </c:pt>
                <c:pt idx="9">
                  <c:v>Transport </c:v>
                </c:pt>
                <c:pt idx="10">
                  <c:v>Communication</c:v>
                </c:pt>
                <c:pt idx="11">
                  <c:v>Recreation and culture</c:v>
                </c:pt>
                <c:pt idx="12">
                  <c:v>Education</c:v>
                </c:pt>
                <c:pt idx="13">
                  <c:v>Hotels, cafés and restaurants</c:v>
                </c:pt>
                <c:pt idx="14">
                  <c:v>Miscellaneous goods and services</c:v>
                </c:pt>
                <c:pt idx="15">
                  <c:v>All groups CPI (Total)</c:v>
                </c:pt>
                <c:pt idx="16">
                  <c:v>Total excluding fish</c:v>
                </c:pt>
              </c:strCache>
            </c:strRef>
          </c:cat>
          <c:val>
            <c:numRef>
              <c:f>'17.6'!$BD$49:$BD$65</c:f>
              <c:numCache>
                <c:formatCode>0.0</c:formatCode>
                <c:ptCount val="17"/>
                <c:pt idx="0">
                  <c:v>113.03489126776282</c:v>
                </c:pt>
                <c:pt idx="1">
                  <c:v>115.49732275295001</c:v>
                </c:pt>
                <c:pt idx="2">
                  <c:v>107.39909733735</c:v>
                </c:pt>
                <c:pt idx="3">
                  <c:v>154.41417266945828</c:v>
                </c:pt>
                <c:pt idx="4">
                  <c:v>100.29057707007946</c:v>
                </c:pt>
                <c:pt idx="5">
                  <c:v>109.47834485115725</c:v>
                </c:pt>
                <c:pt idx="6">
                  <c:v>122.00177799672292</c:v>
                </c:pt>
                <c:pt idx="7">
                  <c:v>98.588794205371599</c:v>
                </c:pt>
                <c:pt idx="8">
                  <c:v>125.52846282798579</c:v>
                </c:pt>
                <c:pt idx="9">
                  <c:v>101.83981865912176</c:v>
                </c:pt>
                <c:pt idx="10">
                  <c:v>99.659396804799613</c:v>
                </c:pt>
                <c:pt idx="11">
                  <c:v>100.58404074832116</c:v>
                </c:pt>
                <c:pt idx="12">
                  <c:v>130.07859259520549</c:v>
                </c:pt>
                <c:pt idx="13">
                  <c:v>125.6295963585136</c:v>
                </c:pt>
                <c:pt idx="14">
                  <c:v>98.317889337161489</c:v>
                </c:pt>
                <c:pt idx="15">
                  <c:v>109.93201964009602</c:v>
                </c:pt>
                <c:pt idx="16">
                  <c:v>110.17175267946645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67-4188-99F5-3377ED319B60}"/>
            </c:ext>
          </c:extLst>
        </c:ser>
        <c:ser>
          <c:idx val="2"/>
          <c:order val="1"/>
          <c:tx>
            <c:strRef>
              <c:f>'17.6'!$BE$48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'17.6'!$AV$49:$AV$65</c:f>
              <c:strCache>
                <c:ptCount val="17"/>
                <c:pt idx="0">
                  <c:v>Food and beverages including fish</c:v>
                </c:pt>
                <c:pt idx="1">
                  <c:v>Food and beverages excluding fish</c:v>
                </c:pt>
                <c:pt idx="2">
                  <c:v>Fish Index</c:v>
                </c:pt>
                <c:pt idx="3">
                  <c:v>Tobacco and Aracanuts </c:v>
                </c:pt>
                <c:pt idx="4">
                  <c:v>Clothing and footwear</c:v>
                </c:pt>
                <c:pt idx="5">
                  <c:v>Housing, water, electricity, gas and other fuel</c:v>
                </c:pt>
                <c:pt idx="6">
                  <c:v>  Actual rentals for housing</c:v>
                </c:pt>
                <c:pt idx="7">
                  <c:v>Furnishing,  household equipment &amp; routine maintenance </c:v>
                </c:pt>
                <c:pt idx="8">
                  <c:v>Health</c:v>
                </c:pt>
                <c:pt idx="9">
                  <c:v>Transport </c:v>
                </c:pt>
                <c:pt idx="10">
                  <c:v>Communication</c:v>
                </c:pt>
                <c:pt idx="11">
                  <c:v>Recreation and culture</c:v>
                </c:pt>
                <c:pt idx="12">
                  <c:v>Education</c:v>
                </c:pt>
                <c:pt idx="13">
                  <c:v>Hotels, cafés and restaurants</c:v>
                </c:pt>
                <c:pt idx="14">
                  <c:v>Miscellaneous goods and services</c:v>
                </c:pt>
                <c:pt idx="15">
                  <c:v>All groups CPI (Total)</c:v>
                </c:pt>
                <c:pt idx="16">
                  <c:v>Total excluding fish</c:v>
                </c:pt>
              </c:strCache>
            </c:strRef>
          </c:cat>
          <c:val>
            <c:numRef>
              <c:f>'17.6'!$BE$49:$BE$65</c:f>
              <c:numCache>
                <c:formatCode>0.0</c:formatCode>
                <c:ptCount val="17"/>
                <c:pt idx="0">
                  <c:v>111.81011866226531</c:v>
                </c:pt>
                <c:pt idx="1">
                  <c:v>112.9320821179051</c:v>
                </c:pt>
                <c:pt idx="2">
                  <c:v>109.24226860370483</c:v>
                </c:pt>
                <c:pt idx="3">
                  <c:v>167.34151423693964</c:v>
                </c:pt>
                <c:pt idx="4">
                  <c:v>98.155711491556062</c:v>
                </c:pt>
                <c:pt idx="5">
                  <c:v>109.29547192198891</c:v>
                </c:pt>
                <c:pt idx="6">
                  <c:v>129.26555175057555</c:v>
                </c:pt>
                <c:pt idx="7">
                  <c:v>97.270333580269437</c:v>
                </c:pt>
                <c:pt idx="8">
                  <c:v>126.1113957972745</c:v>
                </c:pt>
                <c:pt idx="9">
                  <c:v>102.86901120705778</c:v>
                </c:pt>
                <c:pt idx="10">
                  <c:v>100.41005623870753</c:v>
                </c:pt>
                <c:pt idx="11">
                  <c:v>99.029706628505878</c:v>
                </c:pt>
                <c:pt idx="12">
                  <c:v>133.11915518648536</c:v>
                </c:pt>
                <c:pt idx="13">
                  <c:v>128.2294953174422</c:v>
                </c:pt>
                <c:pt idx="14">
                  <c:v>97.662171177004552</c:v>
                </c:pt>
                <c:pt idx="15">
                  <c:v>109.78539958307455</c:v>
                </c:pt>
                <c:pt idx="16">
                  <c:v>109.83680520270974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67-4188-99F5-3377ED319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8008080"/>
        <c:axId val="518008864"/>
      </c:barChart>
      <c:catAx>
        <c:axId val="5180080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518008864"/>
        <c:crosses val="autoZero"/>
        <c:auto val="1"/>
        <c:lblAlgn val="ctr"/>
        <c:lblOffset val="100"/>
        <c:noMultiLvlLbl val="0"/>
      </c:catAx>
      <c:valAx>
        <c:axId val="518008864"/>
        <c:scaling>
          <c:orientation val="minMax"/>
          <c:max val="180"/>
          <c:min val="0"/>
        </c:scaling>
        <c:delete val="0"/>
        <c:axPos val="l"/>
        <c:majorGridlines>
          <c:spPr>
            <a:ln>
              <a:solidFill>
                <a:schemeClr val="accent4">
                  <a:lumMod val="40000"/>
                  <a:lumOff val="60000"/>
                </a:schemeClr>
              </a:solidFill>
            </a:ln>
          </c:spPr>
        </c:majorGridlines>
        <c:numFmt formatCode="0" sourceLinked="0"/>
        <c:majorTickMark val="none"/>
        <c:minorTickMark val="none"/>
        <c:tickLblPos val="nextTo"/>
        <c:crossAx val="518008080"/>
        <c:crosses val="autoZero"/>
        <c:crossBetween val="between"/>
      </c:valAx>
      <c:spPr>
        <a:solidFill>
          <a:srgbClr val="FFF9E7"/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37267181248216535"/>
          <c:y val="0.1304035381105064"/>
          <c:w val="0.15646620787689722"/>
          <c:h val="5.1567283041475405E-2"/>
        </c:manualLayout>
      </c:layout>
      <c:overlay val="0"/>
      <c:txPr>
        <a:bodyPr/>
        <a:lstStyle/>
        <a:p>
          <a:pPr>
            <a:defRPr sz="11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475972484742004E-2"/>
          <c:y val="0.15285599615551651"/>
          <c:w val="0.92474503881256354"/>
          <c:h val="0.65702248645521599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4">
                  <a:lumMod val="50000"/>
                </a:schemeClr>
              </a:solidFill>
            </a:ln>
          </c:spPr>
          <c:marker>
            <c:symbol val="diamond"/>
            <c:size val="7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accent4">
                    <a:lumMod val="75000"/>
                  </a:schemeClr>
                </a:solidFill>
              </a:ln>
            </c:spPr>
          </c:marker>
          <c:cat>
            <c:strRef>
              <c:f>'17.6'!$AX$154:$AX$177</c:f>
              <c:strCache>
                <c:ptCount val="24"/>
                <c:pt idx="0">
                  <c:v>Jan '17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 '18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</c:strCache>
            </c:strRef>
          </c:cat>
          <c:val>
            <c:numRef>
              <c:f>'17.6'!$AY$154:$AY$177</c:f>
              <c:numCache>
                <c:formatCode>_(* #,##0.0_);_(* \(#,##0.0\);_(* "-"??_);_(@_)</c:formatCode>
                <c:ptCount val="24"/>
                <c:pt idx="0">
                  <c:v>109.49980955008905</c:v>
                </c:pt>
                <c:pt idx="1">
                  <c:v>109.88576174896833</c:v>
                </c:pt>
                <c:pt idx="2">
                  <c:v>110.60323178045907</c:v>
                </c:pt>
                <c:pt idx="3">
                  <c:v>110.59194937513206</c:v>
                </c:pt>
                <c:pt idx="4">
                  <c:v>110.85201445600245</c:v>
                </c:pt>
                <c:pt idx="5">
                  <c:v>109.74800644419963</c:v>
                </c:pt>
                <c:pt idx="6">
                  <c:v>109.6669128495823</c:v>
                </c:pt>
                <c:pt idx="7">
                  <c:v>109.27002315425663</c:v>
                </c:pt>
                <c:pt idx="8">
                  <c:v>109.83466504100939</c:v>
                </c:pt>
                <c:pt idx="9">
                  <c:v>109.5388392789536</c:v>
                </c:pt>
                <c:pt idx="10">
                  <c:v>109.34008741675697</c:v>
                </c:pt>
                <c:pt idx="11">
                  <c:v>110.35293458574249</c:v>
                </c:pt>
                <c:pt idx="12">
                  <c:v>110.69350514191611</c:v>
                </c:pt>
                <c:pt idx="13">
                  <c:v>109.88576174896799</c:v>
                </c:pt>
                <c:pt idx="14">
                  <c:v>110.60323178045907</c:v>
                </c:pt>
                <c:pt idx="15">
                  <c:v>110.59194937513206</c:v>
                </c:pt>
                <c:pt idx="16">
                  <c:v>110.85201445600245</c:v>
                </c:pt>
                <c:pt idx="17">
                  <c:v>109.74800644419963</c:v>
                </c:pt>
                <c:pt idx="18">
                  <c:v>109.6669128495823</c:v>
                </c:pt>
                <c:pt idx="19">
                  <c:v>109.27002315425663</c:v>
                </c:pt>
                <c:pt idx="20">
                  <c:v>109.83466504100939</c:v>
                </c:pt>
                <c:pt idx="21">
                  <c:v>109.5388392789536</c:v>
                </c:pt>
                <c:pt idx="22">
                  <c:v>109.34008741675697</c:v>
                </c:pt>
                <c:pt idx="23">
                  <c:v>110.35293458574249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53-4B1B-A47A-85A5959EC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1753008"/>
        <c:axId val="521753792"/>
      </c:lineChart>
      <c:catAx>
        <c:axId val="521753008"/>
        <c:scaling>
          <c:orientation val="minMax"/>
        </c:scaling>
        <c:delete val="0"/>
        <c:axPos val="b"/>
        <c:numFmt formatCode="General" sourceLinked="0"/>
        <c:majorTickMark val="none"/>
        <c:minorTickMark val="cross"/>
        <c:tickLblPos val="nextTo"/>
        <c:txPr>
          <a:bodyPr rot="-5400000" vert="horz"/>
          <a:lstStyle/>
          <a:p>
            <a:pPr>
              <a:defRPr lang="en-AU" sz="1050"/>
            </a:pPr>
            <a:endParaRPr lang="en-US"/>
          </a:p>
        </c:txPr>
        <c:crossAx val="521753792"/>
        <c:crosses val="autoZero"/>
        <c:auto val="1"/>
        <c:lblAlgn val="ctr"/>
        <c:lblOffset val="100"/>
        <c:noMultiLvlLbl val="0"/>
      </c:catAx>
      <c:valAx>
        <c:axId val="521753792"/>
        <c:scaling>
          <c:orientation val="minMax"/>
          <c:max val="200"/>
          <c:min val="0"/>
        </c:scaling>
        <c:delete val="0"/>
        <c:axPos val="l"/>
        <c:majorGridlines>
          <c:spPr>
            <a:ln>
              <a:solidFill>
                <a:schemeClr val="accent4">
                  <a:lumMod val="40000"/>
                  <a:lumOff val="60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lang="en-AU"/>
            </a:pPr>
            <a:endParaRPr lang="en-US"/>
          </a:p>
        </c:txPr>
        <c:crossAx val="521753008"/>
        <c:crosses val="autoZero"/>
        <c:crossBetween val="between"/>
        <c:majorUnit val="50"/>
      </c:valAx>
      <c:spPr>
        <a:solidFill>
          <a:srgbClr val="FFF9E7"/>
        </a:solidFill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0.75000000000000377" l="0.70000000000000062" r="0.70000000000000062" t="0.75000000000000377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777227</xdr:colOff>
      <xdr:row>92</xdr:row>
      <xdr:rowOff>96620</xdr:rowOff>
    </xdr:from>
    <xdr:to>
      <xdr:col>12</xdr:col>
      <xdr:colOff>497309</xdr:colOff>
      <xdr:row>113</xdr:row>
      <xdr:rowOff>79375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790983</xdr:colOff>
      <xdr:row>72</xdr:row>
      <xdr:rowOff>103302</xdr:rowOff>
    </xdr:from>
    <xdr:to>
      <xdr:col>12</xdr:col>
      <xdr:colOff>495513</xdr:colOff>
      <xdr:row>90</xdr:row>
      <xdr:rowOff>89065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0.15262</cdr:x>
      <cdr:y>0.0166</cdr:y>
    </cdr:from>
    <cdr:to>
      <cdr:x>0.91463</cdr:x>
      <cdr:y>0.08061</cdr:y>
    </cdr:to>
    <cdr:sp macro="" textlink="">
      <cdr:nvSpPr>
        <cdr:cNvPr id="2" name="TextBox 6"/>
        <cdr:cNvSpPr txBox="1"/>
      </cdr:nvSpPr>
      <cdr:spPr>
        <a:xfrm xmlns:a="http://schemas.openxmlformats.org/drawingml/2006/main">
          <a:off x="1360080" y="78886"/>
          <a:ext cx="6790793" cy="304184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rtl="0"/>
          <a:r>
            <a:rPr lang="en-US" sz="1400" b="1" i="0" baseline="0">
              <a:solidFill>
                <a:sysClr val="windowText" lastClr="000000"/>
              </a:solidFill>
              <a:latin typeface="Consolas" pitchFamily="49" charset="0"/>
              <a:ea typeface="+mn-ea"/>
              <a:cs typeface="Consolas" pitchFamily="49" charset="0"/>
            </a:rPr>
            <a:t>  </a:t>
          </a:r>
          <a:r>
            <a:rPr lang="en-US" sz="1200" b="1" i="0" baseline="0">
              <a:solidFill>
                <a:sysClr val="windowText" lastClr="000000"/>
              </a:solidFill>
              <a:latin typeface="Consolas" pitchFamily="49" charset="0"/>
              <a:ea typeface="+mn-ea"/>
              <a:cs typeface="Consolas" pitchFamily="49" charset="0"/>
            </a:rPr>
            <a:t>Figure 17.5: Consumer Price Index by </a:t>
          </a:r>
          <a:r>
            <a:rPr lang="en-US" sz="1100" b="1" i="0" baseline="0">
              <a:solidFill>
                <a:sysClr val="windowText" lastClr="000000"/>
              </a:solidFill>
              <a:latin typeface="Consolas" pitchFamily="49" charset="0"/>
              <a:ea typeface="+mn-ea"/>
              <a:cs typeface="Consolas" pitchFamily="49" charset="0"/>
            </a:rPr>
            <a:t>Major</a:t>
          </a:r>
          <a:r>
            <a:rPr lang="en-US" sz="1200" b="1" i="0" baseline="0">
              <a:solidFill>
                <a:sysClr val="windowText" lastClr="000000"/>
              </a:solidFill>
              <a:latin typeface="Consolas" pitchFamily="49" charset="0"/>
              <a:ea typeface="+mn-ea"/>
              <a:cs typeface="Consolas" pitchFamily="49" charset="0"/>
            </a:rPr>
            <a:t> Catagories, Republic, 2017 - 2018</a:t>
          </a:r>
          <a:endParaRPr lang="en-US" sz="1100"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2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0.11888</cdr:x>
      <cdr:y>0.01996</cdr:y>
    </cdr:from>
    <cdr:to>
      <cdr:x>0.87042</cdr:x>
      <cdr:y>0.0807</cdr:y>
    </cdr:to>
    <cdr:sp macro="" textlink="">
      <cdr:nvSpPr>
        <cdr:cNvPr id="3" name="TextBox 6"/>
        <cdr:cNvSpPr txBox="1"/>
      </cdr:nvSpPr>
      <cdr:spPr>
        <a:xfrm xmlns:a="http://schemas.openxmlformats.org/drawingml/2006/main">
          <a:off x="1057575" y="68152"/>
          <a:ext cx="6685816" cy="207413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rtl="0"/>
          <a:r>
            <a:rPr lang="en-US" sz="1400" b="1" i="0" baseline="0">
              <a:solidFill>
                <a:sysClr val="windowText" lastClr="000000"/>
              </a:solidFill>
              <a:latin typeface="Consolas" pitchFamily="49" charset="0"/>
              <a:cs typeface="Consolas" pitchFamily="49" charset="0"/>
            </a:rPr>
            <a:t>        </a:t>
          </a:r>
          <a:r>
            <a:rPr lang="en-US" sz="1200" b="1" i="0" baseline="0">
              <a:solidFill>
                <a:sysClr val="windowText" lastClr="000000"/>
              </a:solidFill>
              <a:latin typeface="Consolas" pitchFamily="49" charset="0"/>
              <a:cs typeface="Consolas" pitchFamily="49" charset="0"/>
            </a:rPr>
            <a:t>Figure 17.4: Consumer Price Index by Month, Republic, 2017 - 2018</a:t>
          </a:r>
          <a:endParaRPr lang="en-US" sz="1100"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2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PRI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7.1"/>
      <sheetName val="17.2"/>
      <sheetName val="17.3"/>
      <sheetName val="17.4"/>
      <sheetName val="17.5"/>
      <sheetName val="17.6"/>
      <sheetName val="17.7"/>
      <sheetName val="17.8"/>
    </sheetNames>
    <sheetDataSet>
      <sheetData sheetId="0">
        <row r="7">
          <cell r="C7" t="str">
            <v>Consumer Price Index (CPI)</v>
          </cell>
          <cell r="D7"/>
          <cell r="E7"/>
          <cell r="F7"/>
          <cell r="G7" t="str">
            <v>Annual Inflation Rate (%)</v>
          </cell>
          <cell r="H7"/>
          <cell r="I7"/>
          <cell r="J7"/>
        </row>
        <row r="10">
          <cell r="B10">
            <v>1985</v>
          </cell>
          <cell r="C10">
            <v>19.98</v>
          </cell>
          <cell r="H10"/>
        </row>
        <row r="11">
          <cell r="B11">
            <v>1986</v>
          </cell>
          <cell r="C11">
            <v>21.93</v>
          </cell>
          <cell r="H11">
            <v>9.7200000000000006</v>
          </cell>
        </row>
        <row r="12">
          <cell r="B12">
            <v>1987</v>
          </cell>
          <cell r="C12">
            <v>24.05</v>
          </cell>
          <cell r="H12">
            <v>9.6999999999999993</v>
          </cell>
        </row>
        <row r="13">
          <cell r="B13">
            <v>1988</v>
          </cell>
          <cell r="C13">
            <v>25.61</v>
          </cell>
          <cell r="H13">
            <v>6.46</v>
          </cell>
        </row>
        <row r="14">
          <cell r="B14">
            <v>1989</v>
          </cell>
          <cell r="C14">
            <v>27.44</v>
          </cell>
          <cell r="H14">
            <v>7.17</v>
          </cell>
        </row>
        <row r="15">
          <cell r="B15">
            <v>1990</v>
          </cell>
          <cell r="C15">
            <v>28.44</v>
          </cell>
          <cell r="H15">
            <v>3.65</v>
          </cell>
        </row>
        <row r="16">
          <cell r="B16">
            <v>1991</v>
          </cell>
          <cell r="C16">
            <v>32.630000000000003</v>
          </cell>
          <cell r="H16">
            <v>14.71</v>
          </cell>
        </row>
        <row r="17">
          <cell r="B17">
            <v>1992</v>
          </cell>
          <cell r="C17">
            <v>38.130000000000003</v>
          </cell>
          <cell r="H17">
            <v>16.86</v>
          </cell>
        </row>
        <row r="18">
          <cell r="B18">
            <v>1993</v>
          </cell>
          <cell r="C18">
            <v>45.8</v>
          </cell>
          <cell r="H18">
            <v>20.13</v>
          </cell>
        </row>
        <row r="19">
          <cell r="B19">
            <v>1994</v>
          </cell>
          <cell r="C19">
            <v>47.35</v>
          </cell>
          <cell r="H19">
            <v>3.39</v>
          </cell>
        </row>
        <row r="20">
          <cell r="B20">
            <v>1995</v>
          </cell>
          <cell r="C20">
            <v>49.95</v>
          </cell>
          <cell r="H20">
            <v>5.49</v>
          </cell>
        </row>
        <row r="21">
          <cell r="B21">
            <v>1996</v>
          </cell>
          <cell r="C21">
            <v>53.07</v>
          </cell>
          <cell r="H21">
            <v>6.24</v>
          </cell>
        </row>
        <row r="22">
          <cell r="B22">
            <v>1997</v>
          </cell>
          <cell r="C22">
            <v>57.09</v>
          </cell>
          <cell r="H22">
            <v>7.57</v>
          </cell>
        </row>
        <row r="23">
          <cell r="B23">
            <v>1998</v>
          </cell>
          <cell r="C23">
            <v>56.29</v>
          </cell>
          <cell r="H23">
            <v>-1.4</v>
          </cell>
        </row>
        <row r="24">
          <cell r="B24">
            <v>1999</v>
          </cell>
          <cell r="C24">
            <v>57.95</v>
          </cell>
          <cell r="H24">
            <v>2.95</v>
          </cell>
        </row>
        <row r="25">
          <cell r="B25">
            <v>2000</v>
          </cell>
          <cell r="C25">
            <v>57.27</v>
          </cell>
          <cell r="H25">
            <v>-1.17</v>
          </cell>
        </row>
        <row r="26">
          <cell r="B26">
            <v>2001</v>
          </cell>
          <cell r="C26">
            <v>57.66</v>
          </cell>
          <cell r="H26">
            <v>0.67</v>
          </cell>
        </row>
        <row r="27">
          <cell r="B27">
            <v>2002</v>
          </cell>
          <cell r="C27">
            <v>60.07</v>
          </cell>
          <cell r="H27">
            <v>4.18</v>
          </cell>
        </row>
        <row r="28">
          <cell r="B28">
            <v>2003</v>
          </cell>
          <cell r="C28">
            <v>59.31</v>
          </cell>
          <cell r="H28">
            <v>-1.26</v>
          </cell>
        </row>
        <row r="29">
          <cell r="B29">
            <v>2004</v>
          </cell>
          <cell r="C29">
            <v>58.31</v>
          </cell>
          <cell r="H29">
            <v>-1.69</v>
          </cell>
        </row>
        <row r="30">
          <cell r="B30">
            <v>2005</v>
          </cell>
          <cell r="C30">
            <v>59.07</v>
          </cell>
          <cell r="H30">
            <v>1.3</v>
          </cell>
        </row>
        <row r="31">
          <cell r="B31">
            <v>2006</v>
          </cell>
          <cell r="C31">
            <v>60.68</v>
          </cell>
          <cell r="H31">
            <v>2.74</v>
          </cell>
        </row>
        <row r="32">
          <cell r="B32">
            <v>2007</v>
          </cell>
          <cell r="C32">
            <v>64.81</v>
          </cell>
          <cell r="H32">
            <v>6.79</v>
          </cell>
        </row>
        <row r="33">
          <cell r="B33">
            <v>2008</v>
          </cell>
          <cell r="C33">
            <v>72.61</v>
          </cell>
          <cell r="H33">
            <v>12.04</v>
          </cell>
        </row>
        <row r="34">
          <cell r="B34">
            <v>2009</v>
          </cell>
          <cell r="C34">
            <v>75.900000000000006</v>
          </cell>
          <cell r="H34">
            <v>4.53</v>
          </cell>
        </row>
        <row r="35">
          <cell r="B35">
            <v>2010</v>
          </cell>
          <cell r="C35">
            <v>80.569999999999993</v>
          </cell>
          <cell r="H35">
            <v>6.15</v>
          </cell>
        </row>
        <row r="36">
          <cell r="B36">
            <v>2011</v>
          </cell>
          <cell r="C36">
            <v>89.65</v>
          </cell>
          <cell r="H36">
            <v>11.27</v>
          </cell>
        </row>
        <row r="37">
          <cell r="B37">
            <v>2012</v>
          </cell>
          <cell r="C37">
            <v>99.409647361204449</v>
          </cell>
          <cell r="H37">
            <v>10.88</v>
          </cell>
        </row>
        <row r="38">
          <cell r="B38">
            <v>2013</v>
          </cell>
          <cell r="C38">
            <v>103.19281073321666</v>
          </cell>
          <cell r="H38">
            <v>3.8056300091942941</v>
          </cell>
        </row>
        <row r="39">
          <cell r="B39">
            <v>2014</v>
          </cell>
          <cell r="C39">
            <v>105.38050013404563</v>
          </cell>
          <cell r="H39">
            <v>2.1200017571813001</v>
          </cell>
        </row>
        <row r="40">
          <cell r="B40">
            <v>2015</v>
          </cell>
          <cell r="C40">
            <v>106.38</v>
          </cell>
          <cell r="H40">
            <v>0.95</v>
          </cell>
        </row>
        <row r="41">
          <cell r="B41">
            <v>2016</v>
          </cell>
          <cell r="C41">
            <v>106.91958868829052</v>
          </cell>
          <cell r="H41">
            <v>0.50250941361158485</v>
          </cell>
        </row>
        <row r="42">
          <cell r="B42">
            <v>2017</v>
          </cell>
          <cell r="C42">
            <v>109.93201964009602</v>
          </cell>
          <cell r="H42">
            <v>2.8174733823451481</v>
          </cell>
        </row>
        <row r="43">
          <cell r="B43">
            <v>2018</v>
          </cell>
          <cell r="C43">
            <v>109.78539958307455</v>
          </cell>
          <cell r="H43">
            <v>-0.13337338611760785</v>
          </cell>
        </row>
      </sheetData>
      <sheetData sheetId="1"/>
      <sheetData sheetId="2"/>
      <sheetData sheetId="3"/>
      <sheetData sheetId="4">
        <row r="9">
          <cell r="AH9">
            <v>2014</v>
          </cell>
          <cell r="AI9">
            <v>2015</v>
          </cell>
          <cell r="AJ9">
            <v>2016</v>
          </cell>
          <cell r="AK9">
            <v>2017</v>
          </cell>
          <cell r="AL9">
            <v>2018</v>
          </cell>
        </row>
        <row r="10">
          <cell r="AB10" t="str">
            <v>Republic</v>
          </cell>
          <cell r="AH10">
            <v>105.38050013404563</v>
          </cell>
          <cell r="AI10">
            <v>106.38499407837655</v>
          </cell>
          <cell r="AJ10">
            <v>106.91958868829052</v>
          </cell>
          <cell r="AK10">
            <v>109.93201964009602</v>
          </cell>
          <cell r="AL10">
            <v>109.78539958307455</v>
          </cell>
        </row>
        <row r="11">
          <cell r="AB11" t="str">
            <v>Male'</v>
          </cell>
          <cell r="AH11">
            <v>105.92043432963987</v>
          </cell>
          <cell r="AI11">
            <v>107.37293678888472</v>
          </cell>
          <cell r="AJ11">
            <v>108.23342334232696</v>
          </cell>
          <cell r="AK11">
            <v>110.69246887707151</v>
          </cell>
          <cell r="AL11">
            <v>112.20541633013362</v>
          </cell>
        </row>
        <row r="16">
          <cell r="AC16" t="str">
            <v>Including fish</v>
          </cell>
          <cell r="AD16" t="str">
            <v>Excluding fish</v>
          </cell>
        </row>
        <row r="20">
          <cell r="AB20">
            <v>2010</v>
          </cell>
          <cell r="AC20">
            <v>80.568542845421106</v>
          </cell>
          <cell r="AD20">
            <v>84.338371332150743</v>
          </cell>
        </row>
        <row r="21">
          <cell r="AB21">
            <v>2011</v>
          </cell>
          <cell r="AC21">
            <v>89.651368722070842</v>
          </cell>
          <cell r="AD21">
            <v>91.679051572020867</v>
          </cell>
        </row>
        <row r="22">
          <cell r="AB22">
            <v>2012</v>
          </cell>
          <cell r="AC22">
            <v>99.409647361204449</v>
          </cell>
          <cell r="AD22">
            <v>100.14126599840249</v>
          </cell>
        </row>
        <row r="23">
          <cell r="AB23">
            <v>2013</v>
          </cell>
          <cell r="AC23">
            <v>103.19281073321666</v>
          </cell>
          <cell r="AD23">
            <v>103.07423491391059</v>
          </cell>
        </row>
        <row r="24">
          <cell r="AB24">
            <v>2014</v>
          </cell>
          <cell r="AC24">
            <v>105.38050013404563</v>
          </cell>
          <cell r="AD24">
            <v>105.29983112357628</v>
          </cell>
        </row>
        <row r="25">
          <cell r="AB25">
            <v>2015</v>
          </cell>
          <cell r="AC25">
            <v>106.38499407837655</v>
          </cell>
          <cell r="AD25">
            <v>106.44622541898161</v>
          </cell>
        </row>
        <row r="26">
          <cell r="AB26">
            <v>2016</v>
          </cell>
          <cell r="AC26">
            <v>106.91958868829052</v>
          </cell>
          <cell r="AD26">
            <v>107.1902747590181</v>
          </cell>
        </row>
        <row r="27">
          <cell r="AB27">
            <v>2017</v>
          </cell>
          <cell r="AC27">
            <v>109.93201964009602</v>
          </cell>
          <cell r="AD27">
            <v>110.17175267946645</v>
          </cell>
        </row>
        <row r="28">
          <cell r="AB28">
            <v>2018</v>
          </cell>
          <cell r="AC28">
            <v>109.78539958307455</v>
          </cell>
          <cell r="AD28">
            <v>109.83680520270974</v>
          </cell>
        </row>
      </sheetData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33"/>
  <sheetViews>
    <sheetView tabSelected="1" zoomScaleNormal="100" workbookViewId="0">
      <selection activeCell="AB26" sqref="AB26"/>
    </sheetView>
  </sheetViews>
  <sheetFormatPr defaultColWidth="9.140625" defaultRowHeight="15" x14ac:dyDescent="0.4"/>
  <cols>
    <col min="1" max="1" width="37.5703125" style="70" customWidth="1"/>
    <col min="2" max="2" width="8.5703125" style="21" customWidth="1"/>
    <col min="3" max="3" width="7.7109375" style="71" customWidth="1"/>
    <col min="4" max="4" width="7.85546875" style="71" customWidth="1"/>
    <col min="5" max="5" width="9.140625" style="21" customWidth="1"/>
    <col min="6" max="6" width="8.42578125" style="21" customWidth="1"/>
    <col min="7" max="7" width="7.85546875" style="21" customWidth="1"/>
    <col min="8" max="8" width="8.28515625" style="21" customWidth="1"/>
    <col min="9" max="9" width="9.42578125" style="21" customWidth="1"/>
    <col min="10" max="13" width="11" style="21" customWidth="1"/>
    <col min="14" max="14" width="9.140625" style="21" customWidth="1"/>
    <col min="15" max="15" width="7.7109375" style="21" customWidth="1"/>
    <col min="16" max="16" width="8.85546875" style="21" customWidth="1"/>
    <col min="17" max="17" width="6.42578125" style="21" customWidth="1"/>
    <col min="18" max="18" width="12" style="72" customWidth="1"/>
    <col min="19" max="19" width="2.140625" style="21" customWidth="1"/>
    <col min="20" max="20" width="9.140625" style="21"/>
    <col min="21" max="42" width="10.140625" style="21" customWidth="1"/>
    <col min="43" max="16384" width="9.140625" style="21"/>
  </cols>
  <sheetData>
    <row r="1" spans="1:20" s="29" customFormat="1" ht="23.25" customHeight="1" x14ac:dyDescent="0.25">
      <c r="A1" s="108" t="s">
        <v>64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28"/>
    </row>
    <row r="2" spans="1:20" s="31" customFormat="1" ht="12.75" x14ac:dyDescent="0.25">
      <c r="A2" s="109" t="s">
        <v>65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30"/>
    </row>
    <row r="3" spans="1:20" s="29" customFormat="1" ht="15" customHeight="1" x14ac:dyDescent="0.25">
      <c r="A3" s="110" t="s">
        <v>0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32"/>
      <c r="T3" s="33"/>
    </row>
    <row r="4" spans="1:20" s="35" customFormat="1" ht="12" x14ac:dyDescent="0.25">
      <c r="A4" s="107" t="s">
        <v>1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34"/>
    </row>
    <row r="5" spans="1:20" ht="6" customHeight="1" x14ac:dyDescent="0.2">
      <c r="A5" s="36"/>
      <c r="B5" s="37"/>
      <c r="C5" s="38"/>
      <c r="D5" s="38"/>
      <c r="E5" s="37"/>
      <c r="F5" s="39"/>
      <c r="G5" s="39"/>
      <c r="H5" s="39"/>
      <c r="I5" s="39"/>
      <c r="J5" s="39"/>
      <c r="K5" s="39"/>
      <c r="L5" s="39"/>
      <c r="M5" s="39"/>
      <c r="O5" s="40"/>
      <c r="P5" s="40"/>
      <c r="Q5" s="40"/>
      <c r="R5" s="41"/>
    </row>
    <row r="6" spans="1:20" x14ac:dyDescent="0.2">
      <c r="A6" s="42"/>
      <c r="B6" s="43" t="s">
        <v>66</v>
      </c>
      <c r="C6" s="44"/>
      <c r="D6" s="44"/>
      <c r="E6" s="43"/>
      <c r="F6" s="45"/>
      <c r="G6" s="46"/>
      <c r="H6" s="47"/>
      <c r="I6" s="47"/>
      <c r="J6" s="47"/>
      <c r="K6" s="47"/>
      <c r="L6" s="47"/>
      <c r="M6" s="46"/>
      <c r="N6" s="5" t="s">
        <v>67</v>
      </c>
      <c r="R6" s="14" t="s">
        <v>68</v>
      </c>
    </row>
    <row r="7" spans="1:20" s="51" customFormat="1" x14ac:dyDescent="0.4">
      <c r="A7" s="48" t="s">
        <v>69</v>
      </c>
      <c r="B7" s="49" t="s">
        <v>39</v>
      </c>
      <c r="C7" s="49" t="s">
        <v>40</v>
      </c>
      <c r="D7" s="49" t="s">
        <v>41</v>
      </c>
      <c r="E7" s="49" t="s">
        <v>42</v>
      </c>
      <c r="F7" s="49" t="s">
        <v>43</v>
      </c>
      <c r="G7" s="17" t="s">
        <v>44</v>
      </c>
      <c r="H7" s="17" t="s">
        <v>45</v>
      </c>
      <c r="I7" s="17" t="s">
        <v>46</v>
      </c>
      <c r="J7" s="17" t="s">
        <v>47</v>
      </c>
      <c r="K7" s="17" t="s">
        <v>48</v>
      </c>
      <c r="L7" s="17" t="s">
        <v>49</v>
      </c>
      <c r="M7" s="17" t="s">
        <v>50</v>
      </c>
      <c r="N7" s="50" t="s">
        <v>51</v>
      </c>
      <c r="R7" s="52" t="s">
        <v>70</v>
      </c>
    </row>
    <row r="8" spans="1:20" s="51" customFormat="1" ht="18" customHeight="1" x14ac:dyDescent="0.4">
      <c r="A8" s="53" t="s">
        <v>2</v>
      </c>
      <c r="B8" s="54" t="s">
        <v>52</v>
      </c>
      <c r="C8" s="55" t="s">
        <v>53</v>
      </c>
      <c r="D8" s="55" t="s">
        <v>54</v>
      </c>
      <c r="E8" s="55" t="s">
        <v>55</v>
      </c>
      <c r="F8" s="55" t="s">
        <v>56</v>
      </c>
      <c r="G8" s="55" t="s">
        <v>57</v>
      </c>
      <c r="H8" s="55" t="s">
        <v>58</v>
      </c>
      <c r="I8" s="55" t="s">
        <v>59</v>
      </c>
      <c r="J8" s="55" t="s">
        <v>60</v>
      </c>
      <c r="K8" s="55" t="s">
        <v>61</v>
      </c>
      <c r="L8" s="55" t="s">
        <v>62</v>
      </c>
      <c r="M8" s="55" t="s">
        <v>63</v>
      </c>
      <c r="N8" s="56" t="s">
        <v>71</v>
      </c>
      <c r="O8" s="57"/>
      <c r="P8" s="57"/>
      <c r="Q8" s="57"/>
      <c r="R8" s="58"/>
    </row>
    <row r="9" spans="1:20" ht="19.5" customHeight="1" x14ac:dyDescent="0.2">
      <c r="A9" s="7" t="s">
        <v>6</v>
      </c>
      <c r="B9" s="84">
        <v>114.31627108300184</v>
      </c>
      <c r="C9" s="84">
        <v>115.0333333341194</v>
      </c>
      <c r="D9" s="84">
        <v>113.83522363921637</v>
      </c>
      <c r="E9" s="84">
        <v>111.13788049632346</v>
      </c>
      <c r="F9" s="84">
        <v>110.05598839104111</v>
      </c>
      <c r="G9" s="84">
        <v>108.53319333123308</v>
      </c>
      <c r="H9" s="84">
        <v>110.36854658887042</v>
      </c>
      <c r="I9" s="84">
        <v>115.40034137563745</v>
      </c>
      <c r="J9" s="84">
        <v>112.35152738461723</v>
      </c>
      <c r="K9" s="84">
        <v>110.21689343230796</v>
      </c>
      <c r="L9" s="84">
        <v>110.59936240243886</v>
      </c>
      <c r="M9" s="84">
        <v>109.87286248837663</v>
      </c>
      <c r="N9" s="84">
        <f>AVERAGE(B9:M9)</f>
        <v>111.81011866226531</v>
      </c>
      <c r="O9" s="59"/>
      <c r="P9" s="59"/>
      <c r="Q9" s="59"/>
      <c r="R9" s="8" t="s">
        <v>7</v>
      </c>
      <c r="S9" s="60"/>
    </row>
    <row r="10" spans="1:20" ht="19.5" customHeight="1" x14ac:dyDescent="0.2">
      <c r="A10" s="7" t="s">
        <v>8</v>
      </c>
      <c r="B10" s="84">
        <v>117.96281338171065</v>
      </c>
      <c r="C10" s="84">
        <v>117.03500972532922</v>
      </c>
      <c r="D10" s="84">
        <v>116.41888916425904</v>
      </c>
      <c r="E10" s="84">
        <v>110.20255605235681</v>
      </c>
      <c r="F10" s="84">
        <v>110.27567474657593</v>
      </c>
      <c r="G10" s="84">
        <v>109.62269743089885</v>
      </c>
      <c r="H10" s="84">
        <v>109.92531563373336</v>
      </c>
      <c r="I10" s="84">
        <v>116.38648319525412</v>
      </c>
      <c r="J10" s="84">
        <v>114.34262091035693</v>
      </c>
      <c r="K10" s="84">
        <v>110.75558724521551</v>
      </c>
      <c r="L10" s="84">
        <v>111.15445917416444</v>
      </c>
      <c r="M10" s="84">
        <v>111.10287875500617</v>
      </c>
      <c r="N10" s="84">
        <f t="shared" ref="N10:N25" si="0">AVERAGE(B10:M10)</f>
        <v>112.9320821179051</v>
      </c>
      <c r="R10" s="8" t="s">
        <v>9</v>
      </c>
      <c r="S10" s="60"/>
    </row>
    <row r="11" spans="1:20" ht="19.5" customHeight="1" x14ac:dyDescent="0.2">
      <c r="A11" s="9" t="s">
        <v>10</v>
      </c>
      <c r="B11" s="84">
        <v>105.97038975485788</v>
      </c>
      <c r="C11" s="84">
        <v>110.45207463754562</v>
      </c>
      <c r="D11" s="84">
        <v>107.92196003296179</v>
      </c>
      <c r="E11" s="84">
        <v>113.27856780315214</v>
      </c>
      <c r="F11" s="84">
        <v>109.55318982118662</v>
      </c>
      <c r="G11" s="84">
        <v>106.03963335647136</v>
      </c>
      <c r="H11" s="84">
        <v>111.38297413406731</v>
      </c>
      <c r="I11" s="84">
        <v>113.14334778415945</v>
      </c>
      <c r="J11" s="84">
        <v>107.79448980824181</v>
      </c>
      <c r="K11" s="84">
        <v>108.98397899818158</v>
      </c>
      <c r="L11" s="84">
        <v>109.32890633667589</v>
      </c>
      <c r="M11" s="84">
        <v>107.0577107769566</v>
      </c>
      <c r="N11" s="84">
        <f t="shared" si="0"/>
        <v>109.24226860370483</v>
      </c>
      <c r="R11" s="8" t="s">
        <v>11</v>
      </c>
      <c r="S11" s="60"/>
    </row>
    <row r="12" spans="1:20" ht="19.5" customHeight="1" x14ac:dyDescent="0.2">
      <c r="A12" s="9" t="s">
        <v>12</v>
      </c>
      <c r="B12" s="84">
        <v>161.76960847692726</v>
      </c>
      <c r="C12" s="84">
        <v>164.86918649109364</v>
      </c>
      <c r="D12" s="84">
        <v>166.22655450184001</v>
      </c>
      <c r="E12" s="84">
        <v>166.41782843285662</v>
      </c>
      <c r="F12" s="84">
        <v>166.36641705083699</v>
      </c>
      <c r="G12" s="84">
        <v>166.38164365426803</v>
      </c>
      <c r="H12" s="84">
        <v>170.0017273169581</v>
      </c>
      <c r="I12" s="84">
        <v>170.03100469417302</v>
      </c>
      <c r="J12" s="84">
        <v>171.37551568221659</v>
      </c>
      <c r="K12" s="84">
        <v>171.30120468397328</v>
      </c>
      <c r="L12" s="84">
        <v>167.11956842000015</v>
      </c>
      <c r="M12" s="84">
        <v>166.23791143813204</v>
      </c>
      <c r="N12" s="84">
        <f t="shared" si="0"/>
        <v>167.34151423693964</v>
      </c>
      <c r="R12" s="8" t="s">
        <v>38</v>
      </c>
      <c r="S12" s="60"/>
    </row>
    <row r="13" spans="1:20" ht="19.5" customHeight="1" x14ac:dyDescent="0.2">
      <c r="A13" s="9" t="s">
        <v>13</v>
      </c>
      <c r="B13" s="84">
        <v>99.681956639800774</v>
      </c>
      <c r="C13" s="84">
        <v>98.595904172013107</v>
      </c>
      <c r="D13" s="84">
        <v>98.275325051504566</v>
      </c>
      <c r="E13" s="84">
        <v>97.777000302650549</v>
      </c>
      <c r="F13" s="84">
        <v>98.141200146028922</v>
      </c>
      <c r="G13" s="84">
        <v>98.172426003813683</v>
      </c>
      <c r="H13" s="84">
        <v>98.020402304070203</v>
      </c>
      <c r="I13" s="84">
        <v>98.169201014167314</v>
      </c>
      <c r="J13" s="84">
        <v>98.105897027201493</v>
      </c>
      <c r="K13" s="84">
        <v>97.763777069045787</v>
      </c>
      <c r="L13" s="84">
        <v>97.828742743191256</v>
      </c>
      <c r="M13" s="84">
        <v>97.336705425184832</v>
      </c>
      <c r="N13" s="84">
        <f t="shared" si="0"/>
        <v>98.155711491556062</v>
      </c>
      <c r="R13" s="8" t="s">
        <v>14</v>
      </c>
      <c r="S13" s="60"/>
    </row>
    <row r="14" spans="1:20" ht="19.5" customHeight="1" x14ac:dyDescent="0.2">
      <c r="A14" s="9" t="s">
        <v>15</v>
      </c>
      <c r="B14" s="84">
        <v>110.3050116966716</v>
      </c>
      <c r="C14" s="84">
        <v>110.4784413522581</v>
      </c>
      <c r="D14" s="84">
        <v>110.61668126117098</v>
      </c>
      <c r="E14" s="84">
        <v>107.98447249677497</v>
      </c>
      <c r="F14" s="84">
        <v>107.58630931711869</v>
      </c>
      <c r="G14" s="84">
        <v>108.19714453239408</v>
      </c>
      <c r="H14" s="84">
        <v>108.59227296915277</v>
      </c>
      <c r="I14" s="84">
        <v>108.76350987480762</v>
      </c>
      <c r="J14" s="84">
        <v>109.14434745728606</v>
      </c>
      <c r="K14" s="84">
        <v>109.59458421018107</v>
      </c>
      <c r="L14" s="84">
        <v>109.99455121200759</v>
      </c>
      <c r="M14" s="84">
        <v>110.28833668404366</v>
      </c>
      <c r="N14" s="84">
        <f t="shared" si="0"/>
        <v>109.29547192198891</v>
      </c>
      <c r="R14" s="8" t="s">
        <v>16</v>
      </c>
      <c r="S14" s="60"/>
    </row>
    <row r="15" spans="1:20" ht="19.5" customHeight="1" x14ac:dyDescent="0.2">
      <c r="A15" s="9" t="s">
        <v>17</v>
      </c>
      <c r="B15" s="84">
        <v>127.15211973162191</v>
      </c>
      <c r="C15" s="84">
        <v>127.56887172748395</v>
      </c>
      <c r="D15" s="84">
        <v>127.86548600808092</v>
      </c>
      <c r="E15" s="84">
        <v>127.97972026950296</v>
      </c>
      <c r="F15" s="84">
        <v>128.36423933211094</v>
      </c>
      <c r="G15" s="84">
        <v>128.58952016569742</v>
      </c>
      <c r="H15" s="84">
        <v>129.05990947050637</v>
      </c>
      <c r="I15" s="84">
        <v>129.4013522635891</v>
      </c>
      <c r="J15" s="84">
        <v>130.09740332367713</v>
      </c>
      <c r="K15" s="84">
        <v>130.94744937978683</v>
      </c>
      <c r="L15" s="84">
        <v>131.77705787611521</v>
      </c>
      <c r="M15" s="84">
        <v>132.38349145873408</v>
      </c>
      <c r="N15" s="84">
        <f t="shared" si="0"/>
        <v>129.26555175057555</v>
      </c>
      <c r="R15" s="18" t="s">
        <v>72</v>
      </c>
      <c r="S15" s="60"/>
    </row>
    <row r="16" spans="1:20" ht="25.5" x14ac:dyDescent="0.2">
      <c r="A16" s="7" t="s">
        <v>18</v>
      </c>
      <c r="B16" s="84">
        <v>98.295729472372983</v>
      </c>
      <c r="C16" s="84">
        <v>98.23793682228829</v>
      </c>
      <c r="D16" s="84">
        <v>98.224839045098207</v>
      </c>
      <c r="E16" s="84">
        <v>93.514527880501518</v>
      </c>
      <c r="F16" s="84">
        <v>93.220843318161911</v>
      </c>
      <c r="G16" s="84">
        <v>98.901528778348407</v>
      </c>
      <c r="H16" s="84">
        <v>98.151219524384402</v>
      </c>
      <c r="I16" s="84">
        <v>97.909873784525828</v>
      </c>
      <c r="J16" s="84">
        <v>97.883726237533963</v>
      </c>
      <c r="K16" s="84">
        <v>97.931945396190628</v>
      </c>
      <c r="L16" s="84">
        <v>97.901715207726355</v>
      </c>
      <c r="M16" s="84">
        <v>97.070117496100622</v>
      </c>
      <c r="N16" s="84">
        <f t="shared" si="0"/>
        <v>97.270333580269437</v>
      </c>
      <c r="R16" s="8" t="s">
        <v>19</v>
      </c>
      <c r="S16" s="60"/>
    </row>
    <row r="17" spans="1:42" ht="19.5" customHeight="1" x14ac:dyDescent="0.2">
      <c r="A17" s="10" t="s">
        <v>20</v>
      </c>
      <c r="B17" s="84">
        <v>125.85466117850176</v>
      </c>
      <c r="C17" s="84">
        <v>126.03814870491787</v>
      </c>
      <c r="D17" s="84">
        <v>126.03071540714745</v>
      </c>
      <c r="E17" s="84">
        <v>126.03494198689346</v>
      </c>
      <c r="F17" s="84">
        <v>126.14735641079916</v>
      </c>
      <c r="G17" s="84">
        <v>125.99201716329699</v>
      </c>
      <c r="H17" s="84">
        <v>126.10417184853296</v>
      </c>
      <c r="I17" s="84">
        <v>126.14491361487156</v>
      </c>
      <c r="J17" s="84">
        <v>126.1383222456584</v>
      </c>
      <c r="K17" s="84">
        <v>126.12790901099766</v>
      </c>
      <c r="L17" s="84">
        <v>126.16414411009382</v>
      </c>
      <c r="M17" s="84">
        <v>126.55944788558271</v>
      </c>
      <c r="N17" s="84">
        <f t="shared" si="0"/>
        <v>126.1113957972745</v>
      </c>
      <c r="R17" s="8" t="s">
        <v>21</v>
      </c>
      <c r="S17" s="60"/>
    </row>
    <row r="18" spans="1:42" ht="19.5" customHeight="1" x14ac:dyDescent="0.2">
      <c r="A18" s="10" t="s">
        <v>22</v>
      </c>
      <c r="B18" s="84">
        <v>101.46640562437432</v>
      </c>
      <c r="C18" s="84">
        <v>101.9189840403849</v>
      </c>
      <c r="D18" s="84">
        <v>102.48628394841155</v>
      </c>
      <c r="E18" s="84">
        <v>102.41816582765124</v>
      </c>
      <c r="F18" s="84">
        <v>103.00913633185638</v>
      </c>
      <c r="G18" s="84">
        <v>103.31622135902855</v>
      </c>
      <c r="H18" s="84">
        <v>103.31475414766309</v>
      </c>
      <c r="I18" s="84">
        <v>103.16457035149945</v>
      </c>
      <c r="J18" s="84">
        <v>103.00512657049373</v>
      </c>
      <c r="K18" s="84">
        <v>103.58334017954577</v>
      </c>
      <c r="L18" s="84">
        <v>103.36368806520015</v>
      </c>
      <c r="M18" s="84">
        <v>103.38145803858411</v>
      </c>
      <c r="N18" s="84">
        <f t="shared" si="0"/>
        <v>102.86901120705778</v>
      </c>
      <c r="R18" s="8" t="s">
        <v>23</v>
      </c>
      <c r="S18" s="60"/>
    </row>
    <row r="19" spans="1:42" ht="19.5" customHeight="1" x14ac:dyDescent="0.2">
      <c r="A19" s="10" t="s">
        <v>24</v>
      </c>
      <c r="B19" s="84">
        <v>99.79423455986678</v>
      </c>
      <c r="C19" s="84">
        <v>99.79423455986678</v>
      </c>
      <c r="D19" s="84">
        <v>99.79423455986678</v>
      </c>
      <c r="E19" s="84">
        <v>99.79423455986678</v>
      </c>
      <c r="F19" s="84">
        <v>99.79423455986678</v>
      </c>
      <c r="G19" s="84">
        <v>99.79423455986678</v>
      </c>
      <c r="H19" s="84">
        <v>99.79423455986678</v>
      </c>
      <c r="I19" s="84">
        <v>101.27220658908458</v>
      </c>
      <c r="J19" s="84">
        <v>101.27220658908458</v>
      </c>
      <c r="K19" s="84">
        <v>101.27220658908458</v>
      </c>
      <c r="L19" s="84">
        <v>101.27220658908458</v>
      </c>
      <c r="M19" s="84">
        <v>101.27220658908458</v>
      </c>
      <c r="N19" s="84">
        <f t="shared" si="0"/>
        <v>100.41005623870753</v>
      </c>
      <c r="R19" s="8" t="s">
        <v>25</v>
      </c>
      <c r="S19" s="60"/>
    </row>
    <row r="20" spans="1:42" ht="19.5" customHeight="1" x14ac:dyDescent="0.2">
      <c r="A20" s="11" t="s">
        <v>26</v>
      </c>
      <c r="B20" s="84">
        <v>99.648098406072293</v>
      </c>
      <c r="C20" s="84">
        <v>99.527704222013554</v>
      </c>
      <c r="D20" s="84">
        <v>99.859449791327961</v>
      </c>
      <c r="E20" s="84">
        <v>99.644151201992386</v>
      </c>
      <c r="F20" s="84">
        <v>99.606321782391674</v>
      </c>
      <c r="G20" s="84">
        <v>99.698276269834935</v>
      </c>
      <c r="H20" s="84">
        <v>98.966468014502638</v>
      </c>
      <c r="I20" s="84">
        <v>98.716399705704816</v>
      </c>
      <c r="J20" s="84">
        <v>98.697706960899396</v>
      </c>
      <c r="K20" s="84">
        <v>98.323147748731529</v>
      </c>
      <c r="L20" s="84">
        <v>98.41306137012937</v>
      </c>
      <c r="M20" s="84">
        <v>97.255694068469936</v>
      </c>
      <c r="N20" s="84">
        <f t="shared" si="0"/>
        <v>99.029706628505878</v>
      </c>
      <c r="R20" s="12" t="s">
        <v>27</v>
      </c>
      <c r="S20" s="60"/>
    </row>
    <row r="21" spans="1:42" ht="19.5" customHeight="1" x14ac:dyDescent="0.2">
      <c r="A21" s="9" t="s">
        <v>28</v>
      </c>
      <c r="B21" s="84">
        <v>133.11915518648536</v>
      </c>
      <c r="C21" s="84">
        <v>133.11915518648536</v>
      </c>
      <c r="D21" s="84">
        <v>133.11915518648536</v>
      </c>
      <c r="E21" s="84">
        <v>133.11915518648536</v>
      </c>
      <c r="F21" s="84">
        <v>133.11915518648536</v>
      </c>
      <c r="G21" s="84">
        <v>133.11915518648536</v>
      </c>
      <c r="H21" s="84">
        <v>133.11915518648536</v>
      </c>
      <c r="I21" s="84">
        <v>133.11915518648536</v>
      </c>
      <c r="J21" s="84">
        <v>133.11915518648536</v>
      </c>
      <c r="K21" s="84">
        <v>133.11915518648536</v>
      </c>
      <c r="L21" s="84">
        <v>133.11915518648536</v>
      </c>
      <c r="M21" s="84">
        <v>133.11915518648536</v>
      </c>
      <c r="N21" s="84">
        <f t="shared" si="0"/>
        <v>133.11915518648536</v>
      </c>
      <c r="R21" s="12" t="s">
        <v>29</v>
      </c>
      <c r="S21" s="60"/>
    </row>
    <row r="22" spans="1:42" ht="19.5" customHeight="1" x14ac:dyDescent="0.2">
      <c r="A22" s="9" t="s">
        <v>30</v>
      </c>
      <c r="B22" s="84">
        <v>127.63720146991291</v>
      </c>
      <c r="C22" s="84">
        <v>127.98068250768148</v>
      </c>
      <c r="D22" s="84">
        <v>127.98068250768148</v>
      </c>
      <c r="E22" s="84">
        <v>128.2197590569771</v>
      </c>
      <c r="F22" s="84">
        <v>128.21297042027925</v>
      </c>
      <c r="G22" s="84">
        <v>128.21297042027925</v>
      </c>
      <c r="H22" s="84">
        <v>128.21298697883825</v>
      </c>
      <c r="I22" s="84">
        <v>128.43985518100376</v>
      </c>
      <c r="J22" s="84">
        <v>128.45738044625608</v>
      </c>
      <c r="K22" s="84">
        <v>128.4664849401322</v>
      </c>
      <c r="L22" s="84">
        <v>128.4664849401322</v>
      </c>
      <c r="M22" s="84">
        <v>128.4664849401322</v>
      </c>
      <c r="N22" s="84">
        <f t="shared" si="0"/>
        <v>128.2294953174422</v>
      </c>
      <c r="R22" s="12" t="s">
        <v>31</v>
      </c>
      <c r="S22" s="60"/>
      <c r="AI22" s="1"/>
      <c r="AJ22" s="1"/>
      <c r="AK22" s="1"/>
    </row>
    <row r="23" spans="1:42" s="1" customFormat="1" ht="19.5" customHeight="1" x14ac:dyDescent="0.2">
      <c r="A23" s="11" t="s">
        <v>32</v>
      </c>
      <c r="B23" s="84">
        <v>98.252458310499193</v>
      </c>
      <c r="C23" s="84">
        <v>98.312517025938561</v>
      </c>
      <c r="D23" s="84">
        <v>98.334478219545886</v>
      </c>
      <c r="E23" s="84">
        <v>97.559338878955359</v>
      </c>
      <c r="F23" s="84">
        <v>97.546017319301882</v>
      </c>
      <c r="G23" s="84">
        <v>97.47121473538482</v>
      </c>
      <c r="H23" s="84">
        <v>97.462426763288974</v>
      </c>
      <c r="I23" s="84">
        <v>97.420981932012197</v>
      </c>
      <c r="J23" s="84">
        <v>97.483477324055258</v>
      </c>
      <c r="K23" s="84">
        <v>97.545769515911459</v>
      </c>
      <c r="L23" s="84">
        <v>97.285405586574583</v>
      </c>
      <c r="M23" s="84">
        <v>97.27196851258654</v>
      </c>
      <c r="N23" s="84">
        <f t="shared" si="0"/>
        <v>97.662171177004552</v>
      </c>
      <c r="O23" s="21"/>
      <c r="P23" s="21"/>
      <c r="Q23" s="21"/>
      <c r="R23" s="12" t="s">
        <v>33</v>
      </c>
      <c r="S23" s="60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</row>
    <row r="24" spans="1:42" s="45" customFormat="1" ht="19.5" customHeight="1" x14ac:dyDescent="0.2">
      <c r="A24" s="13" t="s">
        <v>34</v>
      </c>
      <c r="B24" s="85">
        <v>110.69350514191611</v>
      </c>
      <c r="C24" s="85">
        <v>111.0034911865295</v>
      </c>
      <c r="D24" s="85">
        <v>110.76093918113826</v>
      </c>
      <c r="E24" s="85">
        <v>108.89245390904621</v>
      </c>
      <c r="F24" s="85">
        <v>108.51463443023214</v>
      </c>
      <c r="G24" s="85">
        <v>108.72807281591703</v>
      </c>
      <c r="H24" s="85">
        <v>109.32031589254262</v>
      </c>
      <c r="I24" s="85">
        <v>110.82427901903849</v>
      </c>
      <c r="J24" s="85">
        <v>110.07416684510345</v>
      </c>
      <c r="K24" s="85">
        <v>109.5777691858395</v>
      </c>
      <c r="L24" s="85">
        <v>109.66122266267195</v>
      </c>
      <c r="M24" s="85">
        <v>109.37394472691939</v>
      </c>
      <c r="N24" s="84">
        <f t="shared" si="0"/>
        <v>109.78539958307455</v>
      </c>
      <c r="R24" s="14" t="s">
        <v>35</v>
      </c>
      <c r="S24" s="60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</row>
    <row r="25" spans="1:42" s="45" customFormat="1" ht="19.5" customHeight="1" x14ac:dyDescent="0.2">
      <c r="A25" s="15" t="s">
        <v>36</v>
      </c>
      <c r="B25" s="86">
        <v>111.14053299026713</v>
      </c>
      <c r="C25" s="86">
        <v>111.0556810089744</v>
      </c>
      <c r="D25" s="86">
        <v>111.02963952743939</v>
      </c>
      <c r="E25" s="86">
        <v>108.47732218008667</v>
      </c>
      <c r="F25" s="86">
        <v>108.41633846585999</v>
      </c>
      <c r="G25" s="86">
        <v>108.98252505950845</v>
      </c>
      <c r="H25" s="86">
        <v>109.12509185077583</v>
      </c>
      <c r="I25" s="86">
        <v>110.60478653679</v>
      </c>
      <c r="J25" s="86">
        <v>110.28993102556703</v>
      </c>
      <c r="K25" s="86">
        <v>109.63396953840508</v>
      </c>
      <c r="L25" s="86">
        <v>109.69267534591337</v>
      </c>
      <c r="M25" s="86">
        <v>109.5931689029297</v>
      </c>
      <c r="N25" s="104">
        <f t="shared" si="0"/>
        <v>109.83680520270974</v>
      </c>
      <c r="O25" s="61"/>
      <c r="P25" s="61"/>
      <c r="Q25" s="61"/>
      <c r="R25" s="16" t="s">
        <v>37</v>
      </c>
      <c r="S25" s="60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</row>
    <row r="27" spans="1:42" x14ac:dyDescent="0.2">
      <c r="A27" s="62"/>
      <c r="B27" s="6"/>
      <c r="C27" s="6"/>
      <c r="D27" s="6"/>
      <c r="E27" s="6"/>
      <c r="F27" s="39"/>
      <c r="G27" s="6"/>
      <c r="H27" s="6"/>
      <c r="J27" s="59"/>
      <c r="K27" s="59"/>
      <c r="L27" s="59"/>
      <c r="M27" s="63"/>
      <c r="R27" s="21"/>
    </row>
    <row r="28" spans="1:42" x14ac:dyDescent="0.2">
      <c r="A28" s="42"/>
      <c r="B28" s="43" t="s">
        <v>66</v>
      </c>
      <c r="C28" s="44"/>
      <c r="D28" s="44"/>
      <c r="E28" s="43"/>
      <c r="F28" s="45"/>
      <c r="G28" s="46"/>
      <c r="H28" s="47"/>
      <c r="I28" s="47"/>
      <c r="J28" s="47"/>
      <c r="K28" s="47"/>
      <c r="L28" s="47"/>
      <c r="M28" s="46"/>
      <c r="N28" s="5" t="s">
        <v>67</v>
      </c>
      <c r="O28" s="24"/>
      <c r="P28" s="24"/>
      <c r="Q28" s="24"/>
      <c r="R28" s="64" t="s">
        <v>68</v>
      </c>
    </row>
    <row r="29" spans="1:42" s="51" customFormat="1" x14ac:dyDescent="0.4">
      <c r="A29" s="48" t="s">
        <v>69</v>
      </c>
      <c r="B29" s="49" t="s">
        <v>39</v>
      </c>
      <c r="C29" s="49" t="s">
        <v>40</v>
      </c>
      <c r="D29" s="49" t="s">
        <v>41</v>
      </c>
      <c r="E29" s="49" t="s">
        <v>42</v>
      </c>
      <c r="F29" s="49" t="s">
        <v>43</v>
      </c>
      <c r="G29" s="17" t="s">
        <v>44</v>
      </c>
      <c r="H29" s="17" t="s">
        <v>45</v>
      </c>
      <c r="I29" s="17" t="s">
        <v>46</v>
      </c>
      <c r="J29" s="17" t="s">
        <v>47</v>
      </c>
      <c r="K29" s="17" t="s">
        <v>48</v>
      </c>
      <c r="L29" s="17" t="s">
        <v>49</v>
      </c>
      <c r="M29" s="17" t="s">
        <v>50</v>
      </c>
      <c r="N29" s="50" t="s">
        <v>51</v>
      </c>
      <c r="O29" s="65"/>
      <c r="P29" s="65"/>
      <c r="Q29" s="65"/>
      <c r="R29" s="52" t="s">
        <v>73</v>
      </c>
    </row>
    <row r="30" spans="1:42" s="51" customFormat="1" ht="18" customHeight="1" x14ac:dyDescent="0.4">
      <c r="A30" s="53" t="s">
        <v>3</v>
      </c>
      <c r="B30" s="54" t="s">
        <v>52</v>
      </c>
      <c r="C30" s="55" t="s">
        <v>53</v>
      </c>
      <c r="D30" s="55" t="s">
        <v>54</v>
      </c>
      <c r="E30" s="55" t="s">
        <v>55</v>
      </c>
      <c r="F30" s="55" t="s">
        <v>56</v>
      </c>
      <c r="G30" s="55" t="s">
        <v>57</v>
      </c>
      <c r="H30" s="55" t="s">
        <v>58</v>
      </c>
      <c r="I30" s="55" t="s">
        <v>59</v>
      </c>
      <c r="J30" s="55" t="s">
        <v>60</v>
      </c>
      <c r="K30" s="55" t="s">
        <v>61</v>
      </c>
      <c r="L30" s="55" t="s">
        <v>62</v>
      </c>
      <c r="M30" s="55" t="s">
        <v>63</v>
      </c>
      <c r="N30" s="56" t="s">
        <v>71</v>
      </c>
      <c r="O30" s="57"/>
      <c r="P30" s="57"/>
      <c r="Q30" s="57"/>
      <c r="R30" s="58"/>
    </row>
    <row r="31" spans="1:42" ht="19.5" customHeight="1" x14ac:dyDescent="0.2">
      <c r="A31" s="7" t="s">
        <v>6</v>
      </c>
      <c r="B31" s="84">
        <v>110.90039719500909</v>
      </c>
      <c r="C31" s="84">
        <v>112.5956244728432</v>
      </c>
      <c r="D31" s="84">
        <v>110.27022126915129</v>
      </c>
      <c r="E31" s="84">
        <v>106.29737539625161</v>
      </c>
      <c r="F31" s="84">
        <v>107.62744545721439</v>
      </c>
      <c r="G31" s="84">
        <v>104.70098872867977</v>
      </c>
      <c r="H31" s="84">
        <v>105.34673368489607</v>
      </c>
      <c r="I31" s="84">
        <v>111.70271252230722</v>
      </c>
      <c r="J31" s="84">
        <v>108.5165758023609</v>
      </c>
      <c r="K31" s="84">
        <v>107.53648964039078</v>
      </c>
      <c r="L31" s="84">
        <v>106.73158200956756</v>
      </c>
      <c r="M31" s="84">
        <v>107.20002670246262</v>
      </c>
      <c r="N31" s="84">
        <f>AVERAGE(B31:M31)</f>
        <v>108.28551440676121</v>
      </c>
      <c r="O31" s="59"/>
      <c r="P31" s="59"/>
      <c r="Q31" s="59"/>
      <c r="R31" s="8" t="s">
        <v>7</v>
      </c>
      <c r="S31" s="60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</row>
    <row r="32" spans="1:42" ht="19.5" customHeight="1" x14ac:dyDescent="0.2">
      <c r="A32" s="7" t="s">
        <v>8</v>
      </c>
      <c r="B32" s="84">
        <v>117.41394622990727</v>
      </c>
      <c r="C32" s="84">
        <v>115.73940242285359</v>
      </c>
      <c r="D32" s="84">
        <v>114.39626141164713</v>
      </c>
      <c r="E32" s="84">
        <v>109.94036973107096</v>
      </c>
      <c r="F32" s="84">
        <v>109.62187880036642</v>
      </c>
      <c r="G32" s="84">
        <v>109.53865954403004</v>
      </c>
      <c r="H32" s="84">
        <v>109.4960557751769</v>
      </c>
      <c r="I32" s="84">
        <v>117.53152676672362</v>
      </c>
      <c r="J32" s="84">
        <v>113.35035715989007</v>
      </c>
      <c r="K32" s="84">
        <v>110.83705563496956</v>
      </c>
      <c r="L32" s="84">
        <v>110.98026726977622</v>
      </c>
      <c r="M32" s="84">
        <v>111.04248640643053</v>
      </c>
      <c r="N32" s="84">
        <f t="shared" ref="N32:N47" si="1">AVERAGE(B32:M32)</f>
        <v>112.49068892940353</v>
      </c>
      <c r="R32" s="8" t="s">
        <v>9</v>
      </c>
      <c r="S32" s="60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</row>
    <row r="33" spans="1:57" ht="19.5" customHeight="1" x14ac:dyDescent="0.2">
      <c r="A33" s="9" t="s">
        <v>10</v>
      </c>
      <c r="B33" s="84">
        <v>97.144345805808513</v>
      </c>
      <c r="C33" s="84">
        <v>105.95623774145059</v>
      </c>
      <c r="D33" s="84">
        <v>101.55638186608859</v>
      </c>
      <c r="E33" s="84">
        <v>98.60368689988114</v>
      </c>
      <c r="F33" s="84">
        <v>103.4153749847669</v>
      </c>
      <c r="G33" s="84">
        <v>94.484246982598194</v>
      </c>
      <c r="H33" s="84">
        <v>96.583724824682605</v>
      </c>
      <c r="I33" s="84">
        <v>99.392761702147496</v>
      </c>
      <c r="J33" s="84">
        <v>98.308048254311331</v>
      </c>
      <c r="K33" s="84">
        <v>100.56598013910141</v>
      </c>
      <c r="L33" s="84">
        <v>97.758726740829744</v>
      </c>
      <c r="M33" s="84">
        <v>99.085084623188024</v>
      </c>
      <c r="N33" s="84">
        <f t="shared" si="1"/>
        <v>99.404550047071211</v>
      </c>
      <c r="R33" s="8" t="s">
        <v>11</v>
      </c>
      <c r="S33" s="60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</row>
    <row r="34" spans="1:57" ht="19.5" customHeight="1" x14ac:dyDescent="0.2">
      <c r="A34" s="9" t="s">
        <v>12</v>
      </c>
      <c r="B34" s="84">
        <v>161.46840604664081</v>
      </c>
      <c r="C34" s="84">
        <v>170.15349332399563</v>
      </c>
      <c r="D34" s="84">
        <v>174.11759505585502</v>
      </c>
      <c r="E34" s="84">
        <v>174.10240133729044</v>
      </c>
      <c r="F34" s="84">
        <v>173.42948324994128</v>
      </c>
      <c r="G34" s="84">
        <v>173.04737562378855</v>
      </c>
      <c r="H34" s="84">
        <v>173.82303640387565</v>
      </c>
      <c r="I34" s="84">
        <v>173.93709253906701</v>
      </c>
      <c r="J34" s="84">
        <v>173.5170729625882</v>
      </c>
      <c r="K34" s="84">
        <v>173.73157784064</v>
      </c>
      <c r="L34" s="84">
        <v>166.87747698547813</v>
      </c>
      <c r="M34" s="84">
        <v>165.69875127511597</v>
      </c>
      <c r="N34" s="84">
        <f t="shared" si="1"/>
        <v>171.15864688702308</v>
      </c>
      <c r="R34" s="8" t="s">
        <v>38</v>
      </c>
      <c r="S34" s="60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</row>
    <row r="35" spans="1:57" ht="19.5" customHeight="1" x14ac:dyDescent="0.2">
      <c r="A35" s="9" t="s">
        <v>13</v>
      </c>
      <c r="B35" s="84">
        <v>96.522534712359885</v>
      </c>
      <c r="C35" s="84">
        <v>94.320789774268917</v>
      </c>
      <c r="D35" s="84">
        <v>95.012145657498252</v>
      </c>
      <c r="E35" s="84">
        <v>96.25358895028431</v>
      </c>
      <c r="F35" s="84">
        <v>96.281015654782578</v>
      </c>
      <c r="G35" s="84">
        <v>96.248141750143319</v>
      </c>
      <c r="H35" s="84">
        <v>94.590458401461603</v>
      </c>
      <c r="I35" s="84">
        <v>94.618667889873578</v>
      </c>
      <c r="J35" s="84">
        <v>94.614192555641552</v>
      </c>
      <c r="K35" s="84">
        <v>93.594343971768112</v>
      </c>
      <c r="L35" s="84">
        <v>93.681732077397825</v>
      </c>
      <c r="M35" s="84">
        <v>92.6175633595048</v>
      </c>
      <c r="N35" s="84">
        <f t="shared" si="1"/>
        <v>94.86293122958206</v>
      </c>
      <c r="R35" s="8" t="s">
        <v>14</v>
      </c>
      <c r="S35" s="60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</row>
    <row r="36" spans="1:57" ht="19.5" customHeight="1" x14ac:dyDescent="0.2">
      <c r="A36" s="9" t="s">
        <v>15</v>
      </c>
      <c r="B36" s="84">
        <v>118.11149047908064</v>
      </c>
      <c r="C36" s="84">
        <v>118.17281912630531</v>
      </c>
      <c r="D36" s="84">
        <v>118.39521788399156</v>
      </c>
      <c r="E36" s="84">
        <v>118.44824972784829</v>
      </c>
      <c r="F36" s="84">
        <v>118.00184505089426</v>
      </c>
      <c r="G36" s="84">
        <v>118.91752804305376</v>
      </c>
      <c r="H36" s="84">
        <v>119.24723227590353</v>
      </c>
      <c r="I36" s="84">
        <v>119.50738560611883</v>
      </c>
      <c r="J36" s="84">
        <v>120.08443845475438</v>
      </c>
      <c r="K36" s="84">
        <v>120.76846500967854</v>
      </c>
      <c r="L36" s="84">
        <v>121.40056332151036</v>
      </c>
      <c r="M36" s="84">
        <v>121.8626193943544</v>
      </c>
      <c r="N36" s="84">
        <f t="shared" si="1"/>
        <v>119.40982119779115</v>
      </c>
      <c r="R36" s="8" t="s">
        <v>16</v>
      </c>
      <c r="S36" s="60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</row>
    <row r="37" spans="1:57" ht="19.5" customHeight="1" x14ac:dyDescent="0.2">
      <c r="A37" s="9" t="s">
        <v>17</v>
      </c>
      <c r="B37" s="84">
        <v>128.26898475410522</v>
      </c>
      <c r="C37" s="84">
        <v>128.42823763213607</v>
      </c>
      <c r="D37" s="84">
        <v>128.74117193435865</v>
      </c>
      <c r="E37" s="84">
        <v>128.86169148188708</v>
      </c>
      <c r="F37" s="84">
        <v>129.26736717729301</v>
      </c>
      <c r="G37" s="84">
        <v>129.50504319316326</v>
      </c>
      <c r="H37" s="84">
        <v>130.00131379947754</v>
      </c>
      <c r="I37" s="84">
        <v>130.36154312487355</v>
      </c>
      <c r="J37" s="84">
        <v>131.09589162745252</v>
      </c>
      <c r="K37" s="84">
        <v>131.99270808851557</v>
      </c>
      <c r="L37" s="84">
        <v>132.86796249431805</v>
      </c>
      <c r="M37" s="84">
        <v>133.50776267399661</v>
      </c>
      <c r="N37" s="84">
        <f t="shared" si="1"/>
        <v>130.24163983179812</v>
      </c>
      <c r="R37" s="18" t="s">
        <v>72</v>
      </c>
      <c r="S37" s="60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</row>
    <row r="38" spans="1:57" ht="25.5" x14ac:dyDescent="0.2">
      <c r="A38" s="7" t="s">
        <v>18</v>
      </c>
      <c r="B38" s="84">
        <v>98.061047965040103</v>
      </c>
      <c r="C38" s="84">
        <v>97.830001310559865</v>
      </c>
      <c r="D38" s="84">
        <v>98.037598423655425</v>
      </c>
      <c r="E38" s="84">
        <v>90.833566083789648</v>
      </c>
      <c r="F38" s="84">
        <v>89.946243135642504</v>
      </c>
      <c r="G38" s="84">
        <v>98.548250775223309</v>
      </c>
      <c r="H38" s="84">
        <v>97.460246451803187</v>
      </c>
      <c r="I38" s="84">
        <v>97.188998151705576</v>
      </c>
      <c r="J38" s="84">
        <v>97.29820046176927</v>
      </c>
      <c r="K38" s="84">
        <v>97.50391005880158</v>
      </c>
      <c r="L38" s="84">
        <v>97.438869956177598</v>
      </c>
      <c r="M38" s="84">
        <v>96.364480523964104</v>
      </c>
      <c r="N38" s="84">
        <f t="shared" si="1"/>
        <v>96.375951108177688</v>
      </c>
      <c r="R38" s="8" t="s">
        <v>19</v>
      </c>
      <c r="S38" s="60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</row>
    <row r="39" spans="1:57" ht="19.5" customHeight="1" x14ac:dyDescent="0.2">
      <c r="A39" s="10" t="s">
        <v>20</v>
      </c>
      <c r="B39" s="84">
        <v>129.09872438534106</v>
      </c>
      <c r="C39" s="84">
        <v>129.92420907073239</v>
      </c>
      <c r="D39" s="84">
        <v>129.8980795531514</v>
      </c>
      <c r="E39" s="84">
        <v>129.91279514467359</v>
      </c>
      <c r="F39" s="84">
        <v>129.9237469001398</v>
      </c>
      <c r="G39" s="84">
        <v>129.80845238643127</v>
      </c>
      <c r="H39" s="84">
        <v>130.20193108449587</v>
      </c>
      <c r="I39" s="84">
        <v>130.20193108449587</v>
      </c>
      <c r="J39" s="84">
        <v>130.16894173105095</v>
      </c>
      <c r="K39" s="84">
        <v>130.19998944525213</v>
      </c>
      <c r="L39" s="84">
        <v>130.20022648104626</v>
      </c>
      <c r="M39" s="84">
        <v>130.94876639580141</v>
      </c>
      <c r="N39" s="84">
        <f t="shared" si="1"/>
        <v>130.04064947188434</v>
      </c>
      <c r="R39" s="8" t="s">
        <v>21</v>
      </c>
      <c r="S39" s="60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</row>
    <row r="40" spans="1:57" ht="19.5" customHeight="1" x14ac:dyDescent="0.2">
      <c r="A40" s="10" t="s">
        <v>22</v>
      </c>
      <c r="B40" s="84">
        <v>104.60666441152901</v>
      </c>
      <c r="C40" s="84">
        <v>104.98615574304976</v>
      </c>
      <c r="D40" s="84">
        <v>104.97361861599212</v>
      </c>
      <c r="E40" s="84">
        <v>104.96279046900648</v>
      </c>
      <c r="F40" s="84">
        <v>105.281126249652</v>
      </c>
      <c r="G40" s="84">
        <v>105.95241726298811</v>
      </c>
      <c r="H40" s="84">
        <v>105.95241299591565</v>
      </c>
      <c r="I40" s="84">
        <v>105.52627225643708</v>
      </c>
      <c r="J40" s="84">
        <v>105.3597266955469</v>
      </c>
      <c r="K40" s="84">
        <v>105.63904889962761</v>
      </c>
      <c r="L40" s="84">
        <v>105.63904889962761</v>
      </c>
      <c r="M40" s="84">
        <v>105.62273806544937</v>
      </c>
      <c r="N40" s="84">
        <f t="shared" si="1"/>
        <v>105.3751683804018</v>
      </c>
      <c r="R40" s="8" t="s">
        <v>23</v>
      </c>
      <c r="S40" s="60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</row>
    <row r="41" spans="1:57" ht="19.5" customHeight="1" x14ac:dyDescent="0.2">
      <c r="A41" s="10" t="s">
        <v>24</v>
      </c>
      <c r="B41" s="84">
        <v>95.746365973594948</v>
      </c>
      <c r="C41" s="84">
        <v>95.746365973594948</v>
      </c>
      <c r="D41" s="84">
        <v>95.746365973594948</v>
      </c>
      <c r="E41" s="84">
        <v>95.746365973594948</v>
      </c>
      <c r="F41" s="84">
        <v>95.746365973594948</v>
      </c>
      <c r="G41" s="84">
        <v>95.746365973594948</v>
      </c>
      <c r="H41" s="84">
        <v>95.746365973594948</v>
      </c>
      <c r="I41" s="84">
        <v>98.823476695967827</v>
      </c>
      <c r="J41" s="84">
        <v>98.823476695967827</v>
      </c>
      <c r="K41" s="84">
        <v>98.823476695967827</v>
      </c>
      <c r="L41" s="84">
        <v>98.823476695967827</v>
      </c>
      <c r="M41" s="84">
        <v>98.823476695967827</v>
      </c>
      <c r="N41" s="84">
        <f t="shared" si="1"/>
        <v>97.028495441250342</v>
      </c>
      <c r="R41" s="8" t="s">
        <v>25</v>
      </c>
      <c r="S41" s="60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</row>
    <row r="42" spans="1:57" ht="19.5" customHeight="1" x14ac:dyDescent="0.2">
      <c r="A42" s="11" t="s">
        <v>26</v>
      </c>
      <c r="B42" s="84">
        <v>101.3178658615567</v>
      </c>
      <c r="C42" s="84">
        <v>101.1533467053865</v>
      </c>
      <c r="D42" s="84">
        <v>101.46037657959128</v>
      </c>
      <c r="E42" s="84">
        <v>101.0809181109984</v>
      </c>
      <c r="F42" s="84">
        <v>101.11830400779689</v>
      </c>
      <c r="G42" s="84">
        <v>101.1959929090866</v>
      </c>
      <c r="H42" s="84">
        <v>100.18724336065956</v>
      </c>
      <c r="I42" s="84">
        <v>99.832555650362764</v>
      </c>
      <c r="J42" s="84">
        <v>99.806947882262051</v>
      </c>
      <c r="K42" s="84">
        <v>99.363829992888114</v>
      </c>
      <c r="L42" s="84">
        <v>99.644767090250696</v>
      </c>
      <c r="M42" s="84">
        <v>98.290292090364659</v>
      </c>
      <c r="N42" s="84">
        <f t="shared" si="1"/>
        <v>100.37103668676701</v>
      </c>
      <c r="R42" s="12" t="s">
        <v>27</v>
      </c>
      <c r="S42" s="60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</row>
    <row r="43" spans="1:57" ht="19.5" customHeight="1" x14ac:dyDescent="0.2">
      <c r="A43" s="9" t="s">
        <v>28</v>
      </c>
      <c r="B43" s="84">
        <v>133.03091886109445</v>
      </c>
      <c r="C43" s="84">
        <v>133.03091886109445</v>
      </c>
      <c r="D43" s="84">
        <v>133.03091886109445</v>
      </c>
      <c r="E43" s="84">
        <v>133.03091886109445</v>
      </c>
      <c r="F43" s="84">
        <v>133.03091886109445</v>
      </c>
      <c r="G43" s="84">
        <v>133.03091886109445</v>
      </c>
      <c r="H43" s="84">
        <v>133.03091886109445</v>
      </c>
      <c r="I43" s="84">
        <v>133.03091886109445</v>
      </c>
      <c r="J43" s="84">
        <v>133.03091886109445</v>
      </c>
      <c r="K43" s="84">
        <v>133.03091886109445</v>
      </c>
      <c r="L43" s="84">
        <v>133.03091886109445</v>
      </c>
      <c r="M43" s="84">
        <v>133.03091886109445</v>
      </c>
      <c r="N43" s="84">
        <f t="shared" si="1"/>
        <v>133.03091886109448</v>
      </c>
      <c r="R43" s="12" t="s">
        <v>29</v>
      </c>
      <c r="S43" s="60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</row>
    <row r="44" spans="1:57" ht="19.5" customHeight="1" x14ac:dyDescent="0.2">
      <c r="A44" s="9" t="s">
        <v>30</v>
      </c>
      <c r="B44" s="84">
        <v>131.35278212931652</v>
      </c>
      <c r="C44" s="84">
        <v>131.90347424303792</v>
      </c>
      <c r="D44" s="84">
        <v>131.90347424303792</v>
      </c>
      <c r="E44" s="84">
        <v>131.90297184211295</v>
      </c>
      <c r="F44" s="84">
        <v>131.90297184211295</v>
      </c>
      <c r="G44" s="84">
        <v>131.90297184211295</v>
      </c>
      <c r="H44" s="84">
        <v>131.90299838991865</v>
      </c>
      <c r="I44" s="84">
        <v>132.14718228070279</v>
      </c>
      <c r="J44" s="84">
        <v>132.17527997549263</v>
      </c>
      <c r="K44" s="84">
        <v>132.17527997549263</v>
      </c>
      <c r="L44" s="84">
        <v>132.17527997549263</v>
      </c>
      <c r="M44" s="84">
        <v>132.17527997549263</v>
      </c>
      <c r="N44" s="84">
        <f t="shared" si="1"/>
        <v>131.96832889286028</v>
      </c>
      <c r="R44" s="12" t="s">
        <v>31</v>
      </c>
      <c r="S44" s="60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27"/>
      <c r="AJ44" s="27"/>
      <c r="AK44" s="27"/>
      <c r="AL44" s="66"/>
      <c r="AM44" s="66"/>
      <c r="AN44" s="66"/>
      <c r="AO44" s="66"/>
      <c r="AP44" s="66"/>
    </row>
    <row r="45" spans="1:57" s="1" customFormat="1" ht="19.5" customHeight="1" x14ac:dyDescent="0.2">
      <c r="A45" s="11" t="s">
        <v>32</v>
      </c>
      <c r="B45" s="84">
        <v>97.327944370758459</v>
      </c>
      <c r="C45" s="84">
        <v>97.618277795413292</v>
      </c>
      <c r="D45" s="84">
        <v>97.707482475815667</v>
      </c>
      <c r="E45" s="84">
        <v>97.653662484942814</v>
      </c>
      <c r="F45" s="84">
        <v>97.622070100015321</v>
      </c>
      <c r="G45" s="84">
        <v>97.486389557151426</v>
      </c>
      <c r="H45" s="84">
        <v>97.475275484261104</v>
      </c>
      <c r="I45" s="84">
        <v>97.328721558099616</v>
      </c>
      <c r="J45" s="84">
        <v>97.442892598324036</v>
      </c>
      <c r="K45" s="84">
        <v>97.586166676405611</v>
      </c>
      <c r="L45" s="84">
        <v>97.388680947727593</v>
      </c>
      <c r="M45" s="84">
        <v>97.344161604799496</v>
      </c>
      <c r="N45" s="84">
        <f t="shared" si="1"/>
        <v>97.498477137809516</v>
      </c>
      <c r="O45" s="21"/>
      <c r="P45" s="21"/>
      <c r="Q45" s="21"/>
      <c r="R45" s="12" t="s">
        <v>33</v>
      </c>
      <c r="S45" s="60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27"/>
      <c r="AJ45" s="27"/>
      <c r="AK45" s="27"/>
      <c r="AL45" s="27"/>
      <c r="AM45" s="27"/>
      <c r="AN45" s="27"/>
      <c r="AO45" s="27"/>
      <c r="AP45" s="27"/>
    </row>
    <row r="46" spans="1:57" ht="19.5" customHeight="1" x14ac:dyDescent="0.2">
      <c r="A46" s="13" t="s">
        <v>34</v>
      </c>
      <c r="B46" s="85">
        <v>112.32023320452198</v>
      </c>
      <c r="C46" s="85">
        <v>112.84447365174462</v>
      </c>
      <c r="D46" s="85">
        <v>112.4696703509111</v>
      </c>
      <c r="E46" s="85">
        <v>111.03360688074105</v>
      </c>
      <c r="F46" s="85">
        <v>111.14423640728874</v>
      </c>
      <c r="G46" s="85">
        <v>111.40550293251844</v>
      </c>
      <c r="H46" s="85">
        <v>111.5163889461129</v>
      </c>
      <c r="I46" s="85">
        <v>113.21448551332371</v>
      </c>
      <c r="J46" s="85">
        <v>112.64940273113903</v>
      </c>
      <c r="K46" s="85">
        <v>112.63502817149774</v>
      </c>
      <c r="L46" s="85">
        <v>112.56378466981801</v>
      </c>
      <c r="M46" s="85">
        <v>112.66818250198619</v>
      </c>
      <c r="N46" s="84">
        <f t="shared" si="1"/>
        <v>112.20541633013362</v>
      </c>
      <c r="R46" s="14" t="s">
        <v>35</v>
      </c>
      <c r="S46" s="60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66"/>
      <c r="AJ46" s="66"/>
      <c r="AK46" s="66"/>
      <c r="AL46" s="66"/>
      <c r="AM46" s="66"/>
      <c r="AN46" s="66"/>
      <c r="AO46" s="66"/>
      <c r="AP46" s="66"/>
    </row>
    <row r="47" spans="1:57" ht="19.5" customHeight="1" x14ac:dyDescent="0.2">
      <c r="A47" s="15" t="s">
        <v>36</v>
      </c>
      <c r="B47" s="86">
        <v>113.57609938460882</v>
      </c>
      <c r="C47" s="86">
        <v>113.41450308678975</v>
      </c>
      <c r="D47" s="86">
        <v>113.3727891973768</v>
      </c>
      <c r="E47" s="86">
        <v>112.06223312940909</v>
      </c>
      <c r="F47" s="86">
        <v>111.78383100997041</v>
      </c>
      <c r="G47" s="86">
        <v>112.80580543304305</v>
      </c>
      <c r="H47" s="86">
        <v>112.75212741438133</v>
      </c>
      <c r="I47" s="86">
        <v>114.35828916901164</v>
      </c>
      <c r="J47" s="86">
        <v>113.83620793012935</v>
      </c>
      <c r="K47" s="86">
        <v>113.63379080405487</v>
      </c>
      <c r="L47" s="86">
        <v>113.7889632085583</v>
      </c>
      <c r="M47" s="86">
        <v>113.79223889477666</v>
      </c>
      <c r="N47" s="104">
        <f t="shared" si="1"/>
        <v>113.26473988850915</v>
      </c>
      <c r="O47" s="40"/>
      <c r="P47" s="40"/>
      <c r="Q47" s="40"/>
      <c r="R47" s="16" t="s">
        <v>37</v>
      </c>
      <c r="S47" s="60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66"/>
      <c r="AJ47" s="66"/>
      <c r="AK47" s="66"/>
      <c r="AL47" s="66"/>
      <c r="AM47" s="66"/>
      <c r="AN47" s="66"/>
      <c r="AO47" s="66"/>
      <c r="AP47" s="66"/>
    </row>
    <row r="48" spans="1:57" x14ac:dyDescent="0.4">
      <c r="AW48" s="21">
        <v>2010</v>
      </c>
      <c r="AX48" s="21">
        <v>2011</v>
      </c>
      <c r="AY48" s="21">
        <v>2012</v>
      </c>
      <c r="AZ48" s="21">
        <v>2013</v>
      </c>
      <c r="BA48" s="21">
        <v>2014</v>
      </c>
      <c r="BB48" s="74">
        <v>2015</v>
      </c>
      <c r="BC48" s="21">
        <v>2016</v>
      </c>
      <c r="BD48" s="74">
        <v>2017</v>
      </c>
      <c r="BE48" s="74">
        <v>2018</v>
      </c>
    </row>
    <row r="49" spans="1:57" ht="48" x14ac:dyDescent="0.2">
      <c r="A49" s="62"/>
      <c r="B49" s="6"/>
      <c r="C49" s="6"/>
      <c r="D49" s="6"/>
      <c r="E49" s="6"/>
      <c r="F49" s="39"/>
      <c r="G49" s="6"/>
      <c r="H49" s="6"/>
      <c r="J49" s="59"/>
      <c r="K49" s="59"/>
      <c r="L49" s="59"/>
      <c r="M49" s="63"/>
      <c r="R49" s="21"/>
      <c r="AV49" s="26" t="s">
        <v>6</v>
      </c>
      <c r="AW49" s="75">
        <v>69.554480633976965</v>
      </c>
      <c r="AX49" s="75">
        <v>83.416709968576413</v>
      </c>
      <c r="AY49" s="75">
        <v>98.126990664931839</v>
      </c>
      <c r="AZ49" s="75">
        <v>105.15731822206406</v>
      </c>
      <c r="BA49" s="75">
        <v>105.91516633353841</v>
      </c>
      <c r="BB49" s="75">
        <v>106.42761479980396</v>
      </c>
      <c r="BC49" s="75">
        <v>107.04157551050889</v>
      </c>
      <c r="BD49" s="75">
        <v>113.03489126776282</v>
      </c>
      <c r="BE49" s="75">
        <f>N9</f>
        <v>111.81011866226531</v>
      </c>
    </row>
    <row r="50" spans="1:57" ht="60" x14ac:dyDescent="0.2">
      <c r="A50" s="67" t="s">
        <v>69</v>
      </c>
      <c r="B50" s="43" t="s">
        <v>66</v>
      </c>
      <c r="C50" s="44"/>
      <c r="D50" s="44"/>
      <c r="E50" s="43"/>
      <c r="F50" s="45"/>
      <c r="G50" s="46"/>
      <c r="H50" s="47"/>
      <c r="I50" s="47"/>
      <c r="J50" s="47"/>
      <c r="K50" s="47"/>
      <c r="L50" s="47"/>
      <c r="M50" s="46"/>
      <c r="N50" s="5" t="s">
        <v>67</v>
      </c>
      <c r="O50" s="24"/>
      <c r="P50" s="24"/>
      <c r="Q50" s="24"/>
      <c r="R50" s="64" t="s">
        <v>68</v>
      </c>
      <c r="AV50" s="76" t="s">
        <v>8</v>
      </c>
      <c r="AW50" s="75">
        <v>84.204150454829019</v>
      </c>
      <c r="AX50" s="75">
        <v>94.794400673064558</v>
      </c>
      <c r="AY50" s="75">
        <v>100.0268178957039</v>
      </c>
      <c r="AZ50" s="75">
        <v>105.46827201556327</v>
      </c>
      <c r="BA50" s="75">
        <v>105.77637644985344</v>
      </c>
      <c r="BB50" s="75">
        <v>106.72890504792964</v>
      </c>
      <c r="BC50" s="75">
        <v>108.34446887815083</v>
      </c>
      <c r="BD50" s="75">
        <v>115.49732275295001</v>
      </c>
      <c r="BE50" s="75">
        <f>N10</f>
        <v>112.9320821179051</v>
      </c>
    </row>
    <row r="51" spans="1:57" x14ac:dyDescent="0.4">
      <c r="A51" s="48" t="s">
        <v>74</v>
      </c>
      <c r="B51" s="49" t="s">
        <v>39</v>
      </c>
      <c r="C51" s="49" t="s">
        <v>40</v>
      </c>
      <c r="D51" s="49" t="s">
        <v>41</v>
      </c>
      <c r="E51" s="49" t="s">
        <v>42</v>
      </c>
      <c r="F51" s="49" t="s">
        <v>43</v>
      </c>
      <c r="G51" s="17" t="s">
        <v>44</v>
      </c>
      <c r="H51" s="17" t="s">
        <v>45</v>
      </c>
      <c r="I51" s="17" t="s">
        <v>46</v>
      </c>
      <c r="J51" s="17" t="s">
        <v>47</v>
      </c>
      <c r="K51" s="17" t="s">
        <v>48</v>
      </c>
      <c r="L51" s="17" t="s">
        <v>49</v>
      </c>
      <c r="M51" s="17" t="s">
        <v>50</v>
      </c>
      <c r="N51" s="50" t="s">
        <v>51</v>
      </c>
      <c r="O51" s="59"/>
      <c r="P51" s="59"/>
      <c r="Q51" s="59"/>
      <c r="R51" s="14" t="s">
        <v>75</v>
      </c>
      <c r="AV51" s="77" t="s">
        <v>10</v>
      </c>
      <c r="AW51" s="75">
        <v>36.005776836416281</v>
      </c>
      <c r="AX51" s="75">
        <v>57.361052741283949</v>
      </c>
      <c r="AY51" s="75">
        <v>93.7760772522998</v>
      </c>
      <c r="AZ51" s="75">
        <v>104.44563486657425</v>
      </c>
      <c r="BA51" s="75">
        <v>106.23281626157906</v>
      </c>
      <c r="BB51" s="75">
        <v>105.73804850653096</v>
      </c>
      <c r="BC51" s="75">
        <v>104.05962917920893</v>
      </c>
      <c r="BD51" s="75">
        <v>107.39909733735</v>
      </c>
      <c r="BE51" s="75">
        <f>N11</f>
        <v>109.24226860370483</v>
      </c>
    </row>
    <row r="52" spans="1:57" ht="15.75" x14ac:dyDescent="0.4">
      <c r="A52" s="68"/>
      <c r="B52" s="54" t="s">
        <v>52</v>
      </c>
      <c r="C52" s="55" t="s">
        <v>53</v>
      </c>
      <c r="D52" s="55" t="s">
        <v>54</v>
      </c>
      <c r="E52" s="55" t="s">
        <v>55</v>
      </c>
      <c r="F52" s="55" t="s">
        <v>56</v>
      </c>
      <c r="G52" s="55" t="s">
        <v>57</v>
      </c>
      <c r="H52" s="55" t="s">
        <v>58</v>
      </c>
      <c r="I52" s="55" t="s">
        <v>59</v>
      </c>
      <c r="J52" s="55" t="s">
        <v>60</v>
      </c>
      <c r="K52" s="55" t="s">
        <v>61</v>
      </c>
      <c r="L52" s="55" t="s">
        <v>62</v>
      </c>
      <c r="M52" s="55" t="s">
        <v>63</v>
      </c>
      <c r="N52" s="56" t="s">
        <v>71</v>
      </c>
      <c r="O52" s="40"/>
      <c r="P52" s="40"/>
      <c r="Q52" s="40"/>
      <c r="R52" s="69"/>
      <c r="AV52" s="9" t="s">
        <v>12</v>
      </c>
      <c r="AW52" s="75">
        <v>50.532891620339313</v>
      </c>
      <c r="AX52" s="75">
        <v>64.296766109008189</v>
      </c>
      <c r="AY52" s="75">
        <v>101.2436810917912</v>
      </c>
      <c r="AZ52" s="75">
        <v>98.00579870542515</v>
      </c>
      <c r="BA52" s="75">
        <v>100.18505236961772</v>
      </c>
      <c r="BB52" s="75">
        <v>117.46360163260034</v>
      </c>
      <c r="BC52" s="75">
        <v>122.18459773517431</v>
      </c>
      <c r="BD52" s="75">
        <v>154.41417266945828</v>
      </c>
      <c r="BE52" s="75">
        <f>N12</f>
        <v>167.34151423693964</v>
      </c>
    </row>
    <row r="53" spans="1:57" ht="22.5" customHeight="1" x14ac:dyDescent="0.25">
      <c r="A53" s="7" t="s">
        <v>6</v>
      </c>
      <c r="B53" s="84">
        <v>116.46011815617229</v>
      </c>
      <c r="C53" s="84">
        <v>116.56327125889435</v>
      </c>
      <c r="D53" s="84">
        <v>116.07266569577919</v>
      </c>
      <c r="E53" s="84">
        <v>114.17584472794616</v>
      </c>
      <c r="F53" s="84">
        <v>111.58017366001557</v>
      </c>
      <c r="G53" s="84">
        <v>110.93833499932964</v>
      </c>
      <c r="H53" s="84">
        <v>113.52030196661993</v>
      </c>
      <c r="I53" s="84">
        <v>117.72102154557805</v>
      </c>
      <c r="J53" s="84">
        <v>114.75839309305879</v>
      </c>
      <c r="K53" s="84">
        <v>111.89914986584192</v>
      </c>
      <c r="L53" s="84">
        <v>113.02683190126038</v>
      </c>
      <c r="M53" s="84">
        <v>111.55036914248328</v>
      </c>
      <c r="N53" s="84">
        <f>AVERAGE(B53:M53)</f>
        <v>114.02220633441497</v>
      </c>
      <c r="R53" s="8" t="s">
        <v>7</v>
      </c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V53" s="77" t="s">
        <v>13</v>
      </c>
      <c r="AW53" s="75">
        <v>72.534285938334179</v>
      </c>
      <c r="AX53" s="75">
        <v>81.881292827210913</v>
      </c>
      <c r="AY53" s="75">
        <v>98.359038463336105</v>
      </c>
      <c r="AZ53" s="75">
        <v>101.52586212230904</v>
      </c>
      <c r="BA53" s="75">
        <v>102.46527730468375</v>
      </c>
      <c r="BB53" s="75">
        <v>101.54061731751705</v>
      </c>
      <c r="BC53" s="75">
        <v>100.99558210523537</v>
      </c>
      <c r="BD53" s="75">
        <v>100.29057707007946</v>
      </c>
      <c r="BE53" s="75">
        <f>N13</f>
        <v>98.155711491556062</v>
      </c>
    </row>
    <row r="54" spans="1:57" ht="22.5" customHeight="1" x14ac:dyDescent="0.25">
      <c r="A54" s="7" t="s">
        <v>8</v>
      </c>
      <c r="B54" s="84">
        <v>118.29358535449471</v>
      </c>
      <c r="C54" s="84">
        <v>117.81580081837484</v>
      </c>
      <c r="D54" s="84">
        <v>117.63781540122048</v>
      </c>
      <c r="E54" s="84">
        <v>110.36056129359559</v>
      </c>
      <c r="F54" s="84">
        <v>110.66968151891683</v>
      </c>
      <c r="G54" s="84">
        <v>109.67334243221995</v>
      </c>
      <c r="H54" s="84">
        <v>110.18400688494998</v>
      </c>
      <c r="I54" s="84">
        <v>115.69642856215312</v>
      </c>
      <c r="J54" s="84">
        <v>114.94060356824725</v>
      </c>
      <c r="K54" s="84">
        <v>110.70649073814631</v>
      </c>
      <c r="L54" s="84">
        <v>111.25943503156113</v>
      </c>
      <c r="M54" s="84">
        <v>111.1392738940006</v>
      </c>
      <c r="N54" s="84">
        <f t="shared" ref="N54:N69" si="2">AVERAGE(B54:M54)</f>
        <v>113.19808545815674</v>
      </c>
      <c r="R54" s="8" t="s">
        <v>9</v>
      </c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V54" s="77" t="s">
        <v>15</v>
      </c>
      <c r="AW54" s="75">
        <v>93.758762276598645</v>
      </c>
      <c r="AX54" s="75">
        <v>96.487654366096692</v>
      </c>
      <c r="AY54" s="75">
        <v>99.951850044063292</v>
      </c>
      <c r="AZ54" s="75">
        <v>103.51724004351574</v>
      </c>
      <c r="BA54" s="75">
        <v>106.69055604936631</v>
      </c>
      <c r="BB54" s="75">
        <v>107.78553856963902</v>
      </c>
      <c r="BC54" s="75">
        <v>108.10803524718015</v>
      </c>
      <c r="BD54" s="75">
        <v>109.47834485115725</v>
      </c>
      <c r="BE54" s="75">
        <f>N14</f>
        <v>109.29547192198891</v>
      </c>
    </row>
    <row r="55" spans="1:57" ht="22.5" customHeight="1" x14ac:dyDescent="0.25">
      <c r="A55" s="9" t="s">
        <v>10</v>
      </c>
      <c r="B55" s="84">
        <v>112.04089144041741</v>
      </c>
      <c r="C55" s="84">
        <v>113.54428510163265</v>
      </c>
      <c r="D55" s="84">
        <v>112.3001676664877</v>
      </c>
      <c r="E55" s="84">
        <v>123.37186552214789</v>
      </c>
      <c r="F55" s="84">
        <v>113.77474316096459</v>
      </c>
      <c r="G55" s="84">
        <v>113.98736088477652</v>
      </c>
      <c r="H55" s="84">
        <v>121.56181171931593</v>
      </c>
      <c r="I55" s="84">
        <v>122.6009209018731</v>
      </c>
      <c r="J55" s="84">
        <v>114.31920912479362</v>
      </c>
      <c r="K55" s="84">
        <v>114.77382964452788</v>
      </c>
      <c r="L55" s="84">
        <v>117.28680855699933</v>
      </c>
      <c r="M55" s="84">
        <v>112.54123666739819</v>
      </c>
      <c r="N55" s="84">
        <f t="shared" si="2"/>
        <v>116.00859419927792</v>
      </c>
      <c r="R55" s="8" t="s">
        <v>11</v>
      </c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V55" s="77" t="s">
        <v>17</v>
      </c>
      <c r="AW55" s="75">
        <v>91.040551259171139</v>
      </c>
      <c r="AX55" s="75">
        <v>95.103608962918898</v>
      </c>
      <c r="AY55" s="75">
        <v>100.07057660044312</v>
      </c>
      <c r="AZ55" s="75">
        <v>104.08964183574052</v>
      </c>
      <c r="BA55" s="75">
        <v>108.54742074440985</v>
      </c>
      <c r="BB55" s="75">
        <v>112.36921152715941</v>
      </c>
      <c r="BC55" s="75">
        <v>116.59514145414504</v>
      </c>
      <c r="BD55" s="75">
        <v>122.00177799672292</v>
      </c>
      <c r="BE55" s="75">
        <f>N15</f>
        <v>129.26555175057555</v>
      </c>
    </row>
    <row r="56" spans="1:57" ht="22.5" customHeight="1" x14ac:dyDescent="0.25">
      <c r="A56" s="9" t="s">
        <v>12</v>
      </c>
      <c r="B56" s="84">
        <v>161.87362530118892</v>
      </c>
      <c r="C56" s="84">
        <v>163.04431139078281</v>
      </c>
      <c r="D56" s="84">
        <v>163.50147363921786</v>
      </c>
      <c r="E56" s="84">
        <v>163.76404881837445</v>
      </c>
      <c r="F56" s="84">
        <v>163.9272676891195</v>
      </c>
      <c r="G56" s="84">
        <v>164.07970913737256</v>
      </c>
      <c r="H56" s="84">
        <v>168.68208180358849</v>
      </c>
      <c r="I56" s="84">
        <v>168.68208180358849</v>
      </c>
      <c r="J56" s="84">
        <v>170.63595329864975</v>
      </c>
      <c r="K56" s="84">
        <v>170.46190303130427</v>
      </c>
      <c r="L56" s="84">
        <v>167.20317193600098</v>
      </c>
      <c r="M56" s="84">
        <v>166.42410425162302</v>
      </c>
      <c r="N56" s="84">
        <f t="shared" si="2"/>
        <v>166.02331100840092</v>
      </c>
      <c r="R56" s="8" t="s">
        <v>38</v>
      </c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V56" s="26" t="s">
        <v>18</v>
      </c>
      <c r="AW56" s="75">
        <v>80.397772506783596</v>
      </c>
      <c r="AX56" s="75">
        <v>83.774232067142066</v>
      </c>
      <c r="AY56" s="75">
        <v>98.65523637265558</v>
      </c>
      <c r="AZ56" s="75">
        <v>97.029807398560521</v>
      </c>
      <c r="BA56" s="75">
        <v>96.030794344264748</v>
      </c>
      <c r="BB56" s="75">
        <v>96.619226474540611</v>
      </c>
      <c r="BC56" s="75">
        <v>97.499129166170533</v>
      </c>
      <c r="BD56" s="75">
        <v>98.588794205371599</v>
      </c>
      <c r="BE56" s="75">
        <f>N16</f>
        <v>97.270333580269437</v>
      </c>
    </row>
    <row r="57" spans="1:57" ht="22.5" customHeight="1" x14ac:dyDescent="0.25">
      <c r="A57" s="9" t="s">
        <v>13</v>
      </c>
      <c r="B57" s="84">
        <v>101.73651665551675</v>
      </c>
      <c r="C57" s="84">
        <v>101.37599474109115</v>
      </c>
      <c r="D57" s="84">
        <v>100.3973581515483</v>
      </c>
      <c r="E57" s="84">
        <v>98.767668888215098</v>
      </c>
      <c r="F57" s="84">
        <v>99.350871017898001</v>
      </c>
      <c r="G57" s="84">
        <v>99.423780706433405</v>
      </c>
      <c r="H57" s="84">
        <v>100.25088172729697</v>
      </c>
      <c r="I57" s="84">
        <v>100.4780991478071</v>
      </c>
      <c r="J57" s="84">
        <v>100.3765391125954</v>
      </c>
      <c r="K57" s="84">
        <v>100.47514349195598</v>
      </c>
      <c r="L57" s="84">
        <v>100.52552794452335</v>
      </c>
      <c r="M57" s="84">
        <v>100.4055454912797</v>
      </c>
      <c r="N57" s="84">
        <f t="shared" si="2"/>
        <v>100.29699392301346</v>
      </c>
      <c r="R57" s="8" t="s">
        <v>14</v>
      </c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V57" s="78" t="s">
        <v>20</v>
      </c>
      <c r="AW57" s="75">
        <v>123.09882000085349</v>
      </c>
      <c r="AX57" s="75">
        <v>136.10400273752558</v>
      </c>
      <c r="AY57" s="75">
        <v>103.11447443846129</v>
      </c>
      <c r="AZ57" s="75">
        <v>110.75985912203326</v>
      </c>
      <c r="BA57" s="75">
        <v>120.99690521142638</v>
      </c>
      <c r="BB57" s="75">
        <v>123.58711110547449</v>
      </c>
      <c r="BC57" s="75">
        <v>125.81722828813672</v>
      </c>
      <c r="BD57" s="75">
        <v>125.52846282798579</v>
      </c>
      <c r="BE57" s="75">
        <f>N17</f>
        <v>126.1113957972745</v>
      </c>
    </row>
    <row r="58" spans="1:57" ht="22.5" customHeight="1" x14ac:dyDescent="0.25">
      <c r="A58" s="9" t="s">
        <v>15</v>
      </c>
      <c r="B58" s="84">
        <v>95.271149534893354</v>
      </c>
      <c r="C58" s="84">
        <v>95.660465399215326</v>
      </c>
      <c r="D58" s="84">
        <v>95.636630630489435</v>
      </c>
      <c r="E58" s="84">
        <v>87.833135515242105</v>
      </c>
      <c r="F58" s="84">
        <v>87.527876709128279</v>
      </c>
      <c r="G58" s="84">
        <v>87.551630400743136</v>
      </c>
      <c r="H58" s="84">
        <v>88.072753987303173</v>
      </c>
      <c r="I58" s="84">
        <v>88.072753987303173</v>
      </c>
      <c r="J58" s="84">
        <v>88.075716557543004</v>
      </c>
      <c r="K58" s="84">
        <v>88.075716557543004</v>
      </c>
      <c r="L58" s="84">
        <v>88.028640761287946</v>
      </c>
      <c r="M58" s="84">
        <v>87.998367577822748</v>
      </c>
      <c r="N58" s="84">
        <f t="shared" si="2"/>
        <v>89.8170698015429</v>
      </c>
      <c r="R58" s="8" t="s">
        <v>16</v>
      </c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V58" s="78" t="s">
        <v>22</v>
      </c>
      <c r="AW58" s="75">
        <v>80.571924425587255</v>
      </c>
      <c r="AX58" s="75">
        <v>91.644770975471246</v>
      </c>
      <c r="AY58" s="75">
        <v>99.95473548796538</v>
      </c>
      <c r="AZ58" s="75">
        <v>102.17949400970934</v>
      </c>
      <c r="BA58" s="75">
        <v>105.37961599773739</v>
      </c>
      <c r="BB58" s="75">
        <v>102.92917404156066</v>
      </c>
      <c r="BC58" s="75">
        <v>101.34706519435288</v>
      </c>
      <c r="BD58" s="75">
        <v>101.83981865912176</v>
      </c>
      <c r="BE58" s="75">
        <f>N18</f>
        <v>102.86901120705778</v>
      </c>
    </row>
    <row r="59" spans="1:57" ht="15.6" customHeight="1" x14ac:dyDescent="0.25">
      <c r="A59" s="9" t="s">
        <v>17</v>
      </c>
      <c r="B59" s="84">
        <v>106.8532425139463</v>
      </c>
      <c r="C59" s="84">
        <v>111.95000764594712</v>
      </c>
      <c r="D59" s="84">
        <v>111.95000764594712</v>
      </c>
      <c r="E59" s="84">
        <v>111.95000764594712</v>
      </c>
      <c r="F59" s="84">
        <v>111.95000764594712</v>
      </c>
      <c r="G59" s="84">
        <v>111.95000764594712</v>
      </c>
      <c r="H59" s="84">
        <v>111.95000764594712</v>
      </c>
      <c r="I59" s="84">
        <v>111.95000764594712</v>
      </c>
      <c r="J59" s="84">
        <v>111.95000764594712</v>
      </c>
      <c r="K59" s="84">
        <v>111.95000764594712</v>
      </c>
      <c r="L59" s="84">
        <v>111.95000764594712</v>
      </c>
      <c r="M59" s="84">
        <v>111.95000764594712</v>
      </c>
      <c r="N59" s="84">
        <f t="shared" si="2"/>
        <v>111.52527721828041</v>
      </c>
      <c r="R59" s="18" t="s">
        <v>76</v>
      </c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V59" s="78" t="s">
        <v>24</v>
      </c>
      <c r="AW59" s="75">
        <v>100.38298344923554</v>
      </c>
      <c r="AX59" s="75">
        <v>100.6195512642537</v>
      </c>
      <c r="AY59" s="75">
        <v>100.00528180711392</v>
      </c>
      <c r="AZ59" s="75">
        <v>99.050815085253589</v>
      </c>
      <c r="BA59" s="75">
        <v>100.28780520090577</v>
      </c>
      <c r="BB59" s="75">
        <v>100.55782006117782</v>
      </c>
      <c r="BC59" s="75">
        <v>99.79368976091358</v>
      </c>
      <c r="BD59" s="75">
        <v>99.659396804799613</v>
      </c>
      <c r="BE59" s="75">
        <f>N19</f>
        <v>100.41005623870753</v>
      </c>
    </row>
    <row r="60" spans="1:57" ht="30" customHeight="1" x14ac:dyDescent="0.25">
      <c r="A60" s="7" t="s">
        <v>18</v>
      </c>
      <c r="B60" s="84">
        <v>98.446000351987394</v>
      </c>
      <c r="C60" s="84">
        <v>98.499145423127914</v>
      </c>
      <c r="D60" s="84">
        <v>98.344732654115504</v>
      </c>
      <c r="E60" s="84">
        <v>95.231196961004301</v>
      </c>
      <c r="F60" s="84">
        <v>95.317629960640076</v>
      </c>
      <c r="G60" s="84">
        <v>99.127739172517664</v>
      </c>
      <c r="H60" s="84">
        <v>98.5936622740779</v>
      </c>
      <c r="I60" s="84">
        <v>98.371463692770078</v>
      </c>
      <c r="J60" s="84">
        <v>98.258649146292186</v>
      </c>
      <c r="K60" s="84">
        <v>98.20602428458055</v>
      </c>
      <c r="L60" s="84">
        <v>98.198083523517369</v>
      </c>
      <c r="M60" s="84">
        <v>97.521949810015826</v>
      </c>
      <c r="N60" s="84">
        <f t="shared" si="2"/>
        <v>97.843023104553893</v>
      </c>
      <c r="R60" s="8" t="s">
        <v>19</v>
      </c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V60" s="79" t="s">
        <v>26</v>
      </c>
      <c r="AW60" s="75">
        <v>100.01905005623114</v>
      </c>
      <c r="AX60" s="75">
        <v>97.89290317146407</v>
      </c>
      <c r="AY60" s="75">
        <v>99.531777140452178</v>
      </c>
      <c r="AZ60" s="75">
        <v>98.82807875047888</v>
      </c>
      <c r="BA60" s="75">
        <v>102.2003441480955</v>
      </c>
      <c r="BB60" s="75">
        <v>101.95630588932649</v>
      </c>
      <c r="BC60" s="75">
        <v>100.69713942933714</v>
      </c>
      <c r="BD60" s="75">
        <v>100.58404074832116</v>
      </c>
      <c r="BE60" s="75">
        <f>N20</f>
        <v>99.029706628505878</v>
      </c>
    </row>
    <row r="61" spans="1:57" ht="22.5" customHeight="1" x14ac:dyDescent="0.25">
      <c r="A61" s="10" t="s">
        <v>20</v>
      </c>
      <c r="B61" s="84">
        <v>124.56487703781262</v>
      </c>
      <c r="C61" s="84">
        <v>124.49311745552008</v>
      </c>
      <c r="D61" s="84">
        <v>124.49311745552008</v>
      </c>
      <c r="E61" s="84">
        <v>124.49317378327719</v>
      </c>
      <c r="F61" s="84">
        <v>124.64592803174286</v>
      </c>
      <c r="G61" s="84">
        <v>124.47466768182315</v>
      </c>
      <c r="H61" s="84">
        <v>124.47497274298999</v>
      </c>
      <c r="I61" s="84">
        <v>124.53191273998465</v>
      </c>
      <c r="J61" s="84">
        <v>124.53581675857299</v>
      </c>
      <c r="K61" s="84">
        <v>124.50891935856451</v>
      </c>
      <c r="L61" s="84">
        <v>124.55946667298518</v>
      </c>
      <c r="M61" s="84">
        <v>124.81432979078791</v>
      </c>
      <c r="N61" s="84">
        <f t="shared" si="2"/>
        <v>124.54919162579843</v>
      </c>
      <c r="R61" s="8" t="s">
        <v>21</v>
      </c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V61" s="77" t="s">
        <v>28</v>
      </c>
      <c r="AW61" s="75">
        <v>72.465176121953334</v>
      </c>
      <c r="AX61" s="75">
        <v>85.752154766717368</v>
      </c>
      <c r="AY61" s="75">
        <v>100.26897294373833</v>
      </c>
      <c r="AZ61" s="75">
        <v>105.75107702222947</v>
      </c>
      <c r="BA61" s="75">
        <v>110.56855328746506</v>
      </c>
      <c r="BB61" s="75">
        <v>119.00762505009182</v>
      </c>
      <c r="BC61" s="75">
        <v>124.80292719209795</v>
      </c>
      <c r="BD61" s="75">
        <v>130.07859259520549</v>
      </c>
      <c r="BE61" s="75">
        <f>N21</f>
        <v>133.11915518648536</v>
      </c>
    </row>
    <row r="62" spans="1:57" ht="22.5" customHeight="1" x14ac:dyDescent="0.25">
      <c r="A62" s="10" t="s">
        <v>22</v>
      </c>
      <c r="B62" s="84">
        <v>99.135942451425677</v>
      </c>
      <c r="C62" s="84">
        <v>99.642760587907262</v>
      </c>
      <c r="D62" s="84">
        <v>100.64037180088218</v>
      </c>
      <c r="E62" s="84">
        <v>100.52973738350097</v>
      </c>
      <c r="F62" s="84">
        <v>101.32303681216348</v>
      </c>
      <c r="G62" s="84">
        <v>101.35983563184391</v>
      </c>
      <c r="H62" s="84">
        <v>101.35728273358768</v>
      </c>
      <c r="I62" s="84">
        <v>101.17079692763741</v>
      </c>
      <c r="J62" s="84">
        <v>101.25771998702918</v>
      </c>
      <c r="K62" s="84">
        <v>102.05774824869704</v>
      </c>
      <c r="L62" s="84">
        <v>101.67508690548253</v>
      </c>
      <c r="M62" s="84">
        <v>101.71814908320744</v>
      </c>
      <c r="N62" s="84">
        <f t="shared" si="2"/>
        <v>100.98903904611372</v>
      </c>
      <c r="R62" s="8" t="s">
        <v>23</v>
      </c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V62" s="70" t="s">
        <v>30</v>
      </c>
      <c r="AW62" s="75">
        <v>70.167294544238487</v>
      </c>
      <c r="AX62" s="75">
        <v>81.124231104476152</v>
      </c>
      <c r="AY62" s="75">
        <v>103.56604942649903</v>
      </c>
      <c r="AZ62" s="75">
        <v>115.92908544747458</v>
      </c>
      <c r="BA62" s="75">
        <v>121.3287709962447</v>
      </c>
      <c r="BB62" s="75">
        <v>121.06073734975051</v>
      </c>
      <c r="BC62" s="75">
        <v>123.14673548135868</v>
      </c>
      <c r="BD62" s="75">
        <v>125.6295963585136</v>
      </c>
      <c r="BE62" s="75">
        <f>N22</f>
        <v>128.2294953174422</v>
      </c>
    </row>
    <row r="63" spans="1:57" ht="22.5" customHeight="1" x14ac:dyDescent="0.25">
      <c r="A63" s="10" t="s">
        <v>24</v>
      </c>
      <c r="B63" s="84">
        <v>103.53539633280566</v>
      </c>
      <c r="C63" s="84">
        <v>103.53539633280566</v>
      </c>
      <c r="D63" s="84">
        <v>103.53539633280566</v>
      </c>
      <c r="E63" s="84">
        <v>103.53539633280566</v>
      </c>
      <c r="F63" s="84">
        <v>103.53539633280566</v>
      </c>
      <c r="G63" s="84">
        <v>103.53539633280566</v>
      </c>
      <c r="H63" s="84">
        <v>103.53539633280566</v>
      </c>
      <c r="I63" s="84">
        <v>103.53539633280566</v>
      </c>
      <c r="J63" s="84">
        <v>103.53539633280566</v>
      </c>
      <c r="K63" s="84">
        <v>103.53539633280566</v>
      </c>
      <c r="L63" s="84">
        <v>103.53539633280566</v>
      </c>
      <c r="M63" s="84">
        <v>103.53539633280566</v>
      </c>
      <c r="N63" s="84">
        <f t="shared" si="2"/>
        <v>103.53539633280569</v>
      </c>
      <c r="R63" s="8" t="s">
        <v>25</v>
      </c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V63" s="79" t="s">
        <v>32</v>
      </c>
      <c r="AW63" s="75">
        <v>80.738363693637908</v>
      </c>
      <c r="AX63" s="75">
        <v>86.725904563278689</v>
      </c>
      <c r="AY63" s="75">
        <v>100.59989156921542</v>
      </c>
      <c r="AZ63" s="75">
        <v>99.01609787482279</v>
      </c>
      <c r="BA63" s="75">
        <v>98.892634758290214</v>
      </c>
      <c r="BB63" s="75">
        <v>98.735605526974709</v>
      </c>
      <c r="BC63" s="75">
        <v>98.469134997835681</v>
      </c>
      <c r="BD63" s="75">
        <v>98.317889337161489</v>
      </c>
      <c r="BE63" s="75">
        <f>N23</f>
        <v>97.662171177004552</v>
      </c>
    </row>
    <row r="64" spans="1:57" ht="22.5" customHeight="1" x14ac:dyDescent="0.25">
      <c r="A64" s="11" t="s">
        <v>26</v>
      </c>
      <c r="B64" s="84">
        <v>98.748404960138245</v>
      </c>
      <c r="C64" s="84">
        <v>98.651785912000591</v>
      </c>
      <c r="D64" s="84">
        <v>98.996848634448355</v>
      </c>
      <c r="E64" s="84">
        <v>98.870001623785043</v>
      </c>
      <c r="F64" s="84">
        <v>98.791645167335005</v>
      </c>
      <c r="G64" s="84">
        <v>98.891286146883871</v>
      </c>
      <c r="H64" s="84">
        <v>98.30869763199351</v>
      </c>
      <c r="I64" s="84">
        <v>98.114999681557293</v>
      </c>
      <c r="J64" s="84">
        <v>98.100032845480527</v>
      </c>
      <c r="K64" s="84">
        <v>97.762413982306541</v>
      </c>
      <c r="L64" s="84">
        <v>97.749401553265102</v>
      </c>
      <c r="M64" s="84">
        <v>96.698238563861949</v>
      </c>
      <c r="N64" s="84">
        <f t="shared" si="2"/>
        <v>98.306979725254664</v>
      </c>
      <c r="R64" s="12" t="s">
        <v>27</v>
      </c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V64" s="79" t="s">
        <v>34</v>
      </c>
      <c r="AW64" s="75">
        <v>80.568542845421106</v>
      </c>
      <c r="AX64" s="75">
        <v>89.651368722070842</v>
      </c>
      <c r="AY64" s="75">
        <v>99.409647361204449</v>
      </c>
      <c r="AZ64" s="75">
        <v>103.19281073321666</v>
      </c>
      <c r="BA64" s="75">
        <v>105.38050013404563</v>
      </c>
      <c r="BB64" s="75">
        <v>106.38499407837655</v>
      </c>
      <c r="BC64" s="75">
        <v>106.91958868829052</v>
      </c>
      <c r="BD64" s="75">
        <v>109.93201964009602</v>
      </c>
      <c r="BE64" s="75">
        <f>N24</f>
        <v>109.78539958307455</v>
      </c>
    </row>
    <row r="65" spans="1:60" ht="18" customHeight="1" x14ac:dyDescent="0.25">
      <c r="A65" s="9" t="s">
        <v>28</v>
      </c>
      <c r="B65" s="84">
        <v>133.24140936751891</v>
      </c>
      <c r="C65" s="84">
        <v>133.24140936751891</v>
      </c>
      <c r="D65" s="84">
        <v>133.24140936751891</v>
      </c>
      <c r="E65" s="84">
        <v>133.24140936751891</v>
      </c>
      <c r="F65" s="84">
        <v>133.24140936751891</v>
      </c>
      <c r="G65" s="84">
        <v>133.24140936751891</v>
      </c>
      <c r="H65" s="84">
        <v>133.24140936751891</v>
      </c>
      <c r="I65" s="84">
        <v>133.24140936751891</v>
      </c>
      <c r="J65" s="84">
        <v>133.24140936751891</v>
      </c>
      <c r="K65" s="84">
        <v>133.24140936751891</v>
      </c>
      <c r="L65" s="84">
        <v>133.24140936751891</v>
      </c>
      <c r="M65" s="84">
        <v>133.24140936751891</v>
      </c>
      <c r="N65" s="84">
        <f t="shared" si="2"/>
        <v>133.24140936751888</v>
      </c>
      <c r="R65" s="12" t="s">
        <v>29</v>
      </c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V65" s="79" t="s">
        <v>36</v>
      </c>
      <c r="AW65" s="75">
        <v>84.338371332150743</v>
      </c>
      <c r="AX65" s="75">
        <v>91.679051572020867</v>
      </c>
      <c r="AY65" s="75">
        <v>100.14126599840249</v>
      </c>
      <c r="AZ65" s="75">
        <v>103.07423491391059</v>
      </c>
      <c r="BA65" s="75">
        <v>105.29983112357628</v>
      </c>
      <c r="BB65" s="75">
        <v>106.44622541898161</v>
      </c>
      <c r="BC65" s="75">
        <v>107.1902747590181</v>
      </c>
      <c r="BD65" s="75">
        <v>110.17175267946645</v>
      </c>
      <c r="BE65" s="75">
        <f>N25</f>
        <v>109.83680520270974</v>
      </c>
    </row>
    <row r="66" spans="1:60" s="1" customFormat="1" ht="22.5" customHeight="1" x14ac:dyDescent="0.25">
      <c r="A66" s="9" t="s">
        <v>30</v>
      </c>
      <c r="B66" s="84">
        <v>121.47811226613192</v>
      </c>
      <c r="C66" s="84">
        <v>121.47811226613192</v>
      </c>
      <c r="D66" s="84">
        <v>121.47811226613192</v>
      </c>
      <c r="E66" s="84">
        <v>122.11432408472184</v>
      </c>
      <c r="F66" s="84">
        <v>122.09628234310532</v>
      </c>
      <c r="G66" s="84">
        <v>122.09628234310532</v>
      </c>
      <c r="H66" s="84">
        <v>122.09628234310532</v>
      </c>
      <c r="I66" s="84">
        <v>122.29444739478018</v>
      </c>
      <c r="J66" s="84">
        <v>122.29444739478018</v>
      </c>
      <c r="K66" s="84">
        <v>122.31864384737783</v>
      </c>
      <c r="L66" s="84">
        <v>122.31864384737783</v>
      </c>
      <c r="M66" s="84">
        <v>122.31864384737783</v>
      </c>
      <c r="N66" s="84">
        <f t="shared" si="2"/>
        <v>122.03186118701062</v>
      </c>
      <c r="R66" s="12" t="s">
        <v>31</v>
      </c>
      <c r="T66" s="21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</row>
    <row r="67" spans="1:60" s="1" customFormat="1" ht="22.5" customHeight="1" x14ac:dyDescent="0.25">
      <c r="A67" s="11" t="s">
        <v>32</v>
      </c>
      <c r="B67" s="84">
        <v>98.926682470963001</v>
      </c>
      <c r="C67" s="84">
        <v>98.818807782888271</v>
      </c>
      <c r="D67" s="84">
        <v>98.791730036700059</v>
      </c>
      <c r="E67" s="84">
        <v>97.490551106997273</v>
      </c>
      <c r="F67" s="84">
        <v>97.49055398876304</v>
      </c>
      <c r="G67" s="84">
        <v>97.460148129435353</v>
      </c>
      <c r="H67" s="84">
        <v>97.453056522627136</v>
      </c>
      <c r="I67" s="84">
        <v>97.488265042056625</v>
      </c>
      <c r="J67" s="84">
        <v>97.513074717298821</v>
      </c>
      <c r="K67" s="84">
        <v>97.516308909155157</v>
      </c>
      <c r="L67" s="84">
        <v>97.210089530561817</v>
      </c>
      <c r="M67" s="84">
        <v>97.219319953277264</v>
      </c>
      <c r="N67" s="84">
        <f t="shared" si="2"/>
        <v>97.781549015893646</v>
      </c>
      <c r="R67" s="12" t="s">
        <v>33</v>
      </c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V67" s="29"/>
      <c r="AW67" s="29"/>
      <c r="AX67" s="29"/>
      <c r="AY67" s="29"/>
      <c r="AZ67" s="21"/>
      <c r="BA67" s="21"/>
      <c r="BB67" s="21"/>
      <c r="BC67" s="21"/>
      <c r="BD67" s="21"/>
      <c r="BE67" s="21"/>
      <c r="BF67" s="21"/>
      <c r="BG67" s="21"/>
      <c r="BH67" s="21"/>
    </row>
    <row r="68" spans="1:60" ht="22.5" customHeight="1" x14ac:dyDescent="0.25">
      <c r="A68" s="13" t="s">
        <v>34</v>
      </c>
      <c r="B68" s="85">
        <v>109.30212161215425</v>
      </c>
      <c r="C68" s="85">
        <v>109.42885020039111</v>
      </c>
      <c r="D68" s="85">
        <v>109.29941622529516</v>
      </c>
      <c r="E68" s="85">
        <v>107.06106915089276</v>
      </c>
      <c r="F68" s="85">
        <v>106.26546632106161</v>
      </c>
      <c r="G68" s="85">
        <v>106.43799603420834</v>
      </c>
      <c r="H68" s="85">
        <v>107.44195653603356</v>
      </c>
      <c r="I68" s="85">
        <v>108.779872196947</v>
      </c>
      <c r="J68" s="85">
        <v>107.87149949126074</v>
      </c>
      <c r="K68" s="85">
        <v>106.96281472808749</v>
      </c>
      <c r="L68" s="85">
        <v>107.1785846215071</v>
      </c>
      <c r="M68" s="85">
        <v>106.55629604382904</v>
      </c>
      <c r="N68" s="84">
        <f t="shared" si="2"/>
        <v>107.71549526347235</v>
      </c>
      <c r="R68" s="14" t="s">
        <v>35</v>
      </c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V68" s="31"/>
      <c r="AW68" s="31"/>
      <c r="AX68" s="31"/>
      <c r="AY68" s="31"/>
    </row>
    <row r="69" spans="1:60" ht="22.5" customHeight="1" x14ac:dyDescent="0.25">
      <c r="A69" s="15" t="s">
        <v>36</v>
      </c>
      <c r="B69" s="86">
        <v>109.01447333336921</v>
      </c>
      <c r="C69" s="86">
        <v>108.99661315966665</v>
      </c>
      <c r="D69" s="86">
        <v>108.98425246884757</v>
      </c>
      <c r="E69" s="86">
        <v>105.34797429590128</v>
      </c>
      <c r="F69" s="86">
        <v>105.47677990585898</v>
      </c>
      <c r="G69" s="86">
        <v>105.64509924427881</v>
      </c>
      <c r="H69" s="86">
        <v>105.95897246112143</v>
      </c>
      <c r="I69" s="86">
        <v>107.32827125189975</v>
      </c>
      <c r="J69" s="86">
        <v>107.19430765167955</v>
      </c>
      <c r="K69" s="86">
        <v>106.14243728231192</v>
      </c>
      <c r="L69" s="86">
        <v>106.11693526835164</v>
      </c>
      <c r="M69" s="86">
        <v>105.92770803645655</v>
      </c>
      <c r="N69" s="104">
        <f t="shared" si="2"/>
        <v>106.84448536331196</v>
      </c>
      <c r="O69" s="40"/>
      <c r="P69" s="40"/>
      <c r="Q69" s="40"/>
      <c r="R69" s="16" t="s">
        <v>37</v>
      </c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V69" s="29"/>
      <c r="AW69" s="29"/>
      <c r="AX69" s="29"/>
      <c r="AY69" s="29"/>
    </row>
    <row r="70" spans="1:60" ht="17.25" x14ac:dyDescent="0.2">
      <c r="A70" s="3" t="s">
        <v>4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R70" s="4" t="s">
        <v>5</v>
      </c>
      <c r="AX70" s="80" t="s">
        <v>77</v>
      </c>
      <c r="AY70" s="60">
        <v>77.389912482844039</v>
      </c>
    </row>
    <row r="71" spans="1:60" ht="17.25" x14ac:dyDescent="0.2">
      <c r="A71" s="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R71" s="4"/>
      <c r="AX71" s="80" t="s">
        <v>53</v>
      </c>
      <c r="AY71" s="60">
        <v>78.114608960554079</v>
      </c>
    </row>
    <row r="72" spans="1:60" ht="17.25" x14ac:dyDescent="0.2">
      <c r="A72" s="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R72" s="4"/>
      <c r="AX72" s="80" t="s">
        <v>54</v>
      </c>
      <c r="AY72" s="60">
        <v>78.802289490440288</v>
      </c>
    </row>
    <row r="73" spans="1:60" ht="15" customHeight="1" x14ac:dyDescent="0.4">
      <c r="AX73" s="80" t="s">
        <v>55</v>
      </c>
      <c r="AY73" s="60">
        <v>79.493759054355692</v>
      </c>
    </row>
    <row r="74" spans="1:60" ht="15" customHeight="1" x14ac:dyDescent="0.4">
      <c r="AX74" s="80" t="s">
        <v>56</v>
      </c>
      <c r="AY74" s="60">
        <v>79.593148331583464</v>
      </c>
    </row>
    <row r="75" spans="1:60" ht="15" customHeight="1" x14ac:dyDescent="0.4">
      <c r="AX75" s="80" t="s">
        <v>57</v>
      </c>
      <c r="AY75" s="60">
        <v>80.456465161931419</v>
      </c>
    </row>
    <row r="76" spans="1:60" ht="15" customHeight="1" x14ac:dyDescent="0.4">
      <c r="Q76" s="73"/>
      <c r="AX76" s="80" t="s">
        <v>58</v>
      </c>
      <c r="AY76" s="60">
        <v>82.218774035333112</v>
      </c>
    </row>
    <row r="77" spans="1:60" ht="15" customHeight="1" x14ac:dyDescent="0.4">
      <c r="Q77" s="73"/>
      <c r="AX77" s="80" t="s">
        <v>59</v>
      </c>
      <c r="AY77" s="60">
        <v>82.738454625647236</v>
      </c>
    </row>
    <row r="78" spans="1:60" ht="15" customHeight="1" x14ac:dyDescent="0.4">
      <c r="Q78" s="73"/>
      <c r="AX78" s="80" t="s">
        <v>60</v>
      </c>
      <c r="AY78" s="60">
        <v>81.674668748738398</v>
      </c>
    </row>
    <row r="79" spans="1:60" ht="15" customHeight="1" x14ac:dyDescent="0.4">
      <c r="Q79" s="73"/>
      <c r="AX79" s="80" t="s">
        <v>61</v>
      </c>
      <c r="AY79" s="60">
        <v>81.490055352268982</v>
      </c>
    </row>
    <row r="80" spans="1:60" ht="15" customHeight="1" x14ac:dyDescent="0.4">
      <c r="Q80" s="73"/>
      <c r="AX80" s="80" t="s">
        <v>62</v>
      </c>
      <c r="AY80" s="60">
        <v>81.876012187767557</v>
      </c>
    </row>
    <row r="81" spans="17:60" ht="15" customHeight="1" x14ac:dyDescent="0.4">
      <c r="Q81" s="73"/>
      <c r="AX81" s="80" t="s">
        <v>63</v>
      </c>
      <c r="AY81" s="60">
        <v>82.974365713589037</v>
      </c>
    </row>
    <row r="82" spans="17:60" ht="15" customHeight="1" x14ac:dyDescent="0.4">
      <c r="Q82" s="73"/>
      <c r="AX82" s="80" t="s">
        <v>78</v>
      </c>
      <c r="AY82" s="60">
        <v>83.42322051397251</v>
      </c>
    </row>
    <row r="83" spans="17:60" ht="15" customHeight="1" x14ac:dyDescent="0.4">
      <c r="Q83" s="73"/>
      <c r="AX83" s="80" t="s">
        <v>53</v>
      </c>
      <c r="AY83" s="60">
        <v>82.763753714396117</v>
      </c>
    </row>
    <row r="84" spans="17:60" ht="15" customHeight="1" x14ac:dyDescent="0.4">
      <c r="Q84" s="73"/>
      <c r="AX84" s="80" t="s">
        <v>54</v>
      </c>
      <c r="AY84" s="60">
        <v>83.286640410427239</v>
      </c>
    </row>
    <row r="85" spans="17:60" ht="15" customHeight="1" x14ac:dyDescent="0.4">
      <c r="Q85" s="73"/>
      <c r="AX85" s="80" t="s">
        <v>55</v>
      </c>
      <c r="AY85" s="60">
        <v>86.965500988635156</v>
      </c>
    </row>
    <row r="86" spans="17:60" ht="15" customHeight="1" x14ac:dyDescent="0.4">
      <c r="Q86" s="73"/>
      <c r="AX86" s="80" t="s">
        <v>56</v>
      </c>
      <c r="AY86" s="60">
        <v>89.847381978421922</v>
      </c>
    </row>
    <row r="87" spans="17:60" ht="15" customHeight="1" x14ac:dyDescent="0.4">
      <c r="Q87" s="73"/>
      <c r="AX87" s="80" t="s">
        <v>57</v>
      </c>
      <c r="AY87" s="60">
        <v>90.663889665301312</v>
      </c>
    </row>
    <row r="88" spans="17:60" ht="15" customHeight="1" x14ac:dyDescent="0.4">
      <c r="Q88" s="73"/>
      <c r="AV88" s="29"/>
      <c r="AW88" s="29"/>
      <c r="AX88" s="80" t="s">
        <v>58</v>
      </c>
      <c r="AY88" s="60">
        <v>90.718393462490738</v>
      </c>
      <c r="AZ88" s="29"/>
      <c r="BA88" s="29"/>
      <c r="BB88" s="29"/>
      <c r="BC88" s="29"/>
      <c r="BD88" s="29"/>
      <c r="BE88" s="29"/>
      <c r="BF88" s="29"/>
      <c r="BG88" s="29"/>
      <c r="BH88" s="29"/>
    </row>
    <row r="89" spans="17:60" ht="15" customHeight="1" x14ac:dyDescent="0.4">
      <c r="Q89" s="73"/>
      <c r="AV89" s="31"/>
      <c r="AW89" s="31"/>
      <c r="AX89" s="80" t="s">
        <v>59</v>
      </c>
      <c r="AY89" s="60">
        <v>91.00443638528057</v>
      </c>
      <c r="AZ89" s="31"/>
      <c r="BA89" s="31"/>
      <c r="BB89" s="31"/>
      <c r="BC89" s="31"/>
      <c r="BD89" s="31"/>
      <c r="BE89" s="31"/>
      <c r="BF89" s="31"/>
      <c r="BG89" s="31"/>
      <c r="BH89" s="31"/>
    </row>
    <row r="90" spans="17:60" x14ac:dyDescent="0.4">
      <c r="AV90" s="29"/>
      <c r="AW90" s="29"/>
      <c r="AX90" s="80" t="s">
        <v>60</v>
      </c>
      <c r="AY90" s="60">
        <v>92.189005008474396</v>
      </c>
      <c r="AZ90" s="29"/>
      <c r="BA90" s="29"/>
      <c r="BB90" s="29"/>
      <c r="BC90" s="29"/>
      <c r="BD90" s="29"/>
      <c r="BE90" s="29"/>
      <c r="BF90" s="29"/>
      <c r="BG90" s="29"/>
      <c r="BH90" s="29"/>
    </row>
    <row r="91" spans="17:60" x14ac:dyDescent="0.4">
      <c r="AV91" s="35"/>
      <c r="AW91" s="35"/>
      <c r="AX91" s="80" t="s">
        <v>61</v>
      </c>
      <c r="AY91" s="60">
        <v>92.495800179178048</v>
      </c>
      <c r="AZ91" s="35"/>
      <c r="BA91" s="35"/>
      <c r="BB91" s="35"/>
      <c r="BC91" s="35"/>
      <c r="BD91" s="35"/>
      <c r="BE91" s="35"/>
      <c r="BF91" s="35"/>
      <c r="BG91" s="35"/>
      <c r="BH91" s="35"/>
    </row>
    <row r="92" spans="17:60" x14ac:dyDescent="0.4">
      <c r="AX92" s="80" t="s">
        <v>62</v>
      </c>
      <c r="AY92" s="60">
        <v>95.662033599649305</v>
      </c>
    </row>
    <row r="93" spans="17:60" x14ac:dyDescent="0.4">
      <c r="AX93" s="80" t="s">
        <v>63</v>
      </c>
      <c r="AY93" s="60">
        <v>96.796368758622648</v>
      </c>
    </row>
    <row r="94" spans="17:60" x14ac:dyDescent="0.4">
      <c r="AV94" s="51"/>
      <c r="AW94" s="51"/>
      <c r="AX94" s="80" t="s">
        <v>79</v>
      </c>
      <c r="AY94" s="60">
        <v>97.59859943214181</v>
      </c>
      <c r="AZ94" s="51"/>
      <c r="BA94" s="51"/>
      <c r="BB94" s="51"/>
      <c r="BC94" s="51"/>
      <c r="BD94" s="51"/>
      <c r="BE94" s="51"/>
      <c r="BF94" s="51"/>
      <c r="BG94" s="51"/>
      <c r="BH94" s="51"/>
    </row>
    <row r="95" spans="17:60" x14ac:dyDescent="0.4">
      <c r="AV95" s="51"/>
      <c r="AW95" s="51"/>
      <c r="AX95" s="80" t="s">
        <v>53</v>
      </c>
      <c r="AY95" s="60">
        <v>97.302942479972216</v>
      </c>
      <c r="AZ95" s="51"/>
      <c r="BA95" s="51"/>
      <c r="BB95" s="51"/>
      <c r="BC95" s="51"/>
      <c r="BD95" s="51"/>
      <c r="BE95" s="51"/>
      <c r="BF95" s="51"/>
      <c r="BG95" s="51"/>
      <c r="BH95" s="51"/>
    </row>
    <row r="96" spans="17:60" x14ac:dyDescent="0.4">
      <c r="AX96" s="80" t="s">
        <v>54</v>
      </c>
      <c r="AY96" s="60">
        <v>98.042112633334924</v>
      </c>
    </row>
    <row r="97" spans="48:60" x14ac:dyDescent="0.4">
      <c r="AX97" s="80" t="s">
        <v>55</v>
      </c>
      <c r="AY97" s="60">
        <v>97.952949517338325</v>
      </c>
    </row>
    <row r="98" spans="48:60" x14ac:dyDescent="0.4">
      <c r="AX98" s="80" t="s">
        <v>56</v>
      </c>
      <c r="AY98" s="60">
        <v>96.007467362032386</v>
      </c>
    </row>
    <row r="99" spans="48:60" x14ac:dyDescent="0.4">
      <c r="AX99" s="80" t="s">
        <v>57</v>
      </c>
      <c r="AY99" s="60">
        <v>100</v>
      </c>
    </row>
    <row r="100" spans="48:60" x14ac:dyDescent="0.4">
      <c r="AX100" s="80" t="s">
        <v>58</v>
      </c>
      <c r="AY100" s="60">
        <v>100.24448657012601</v>
      </c>
    </row>
    <row r="101" spans="48:60" x14ac:dyDescent="0.4">
      <c r="AX101" s="80" t="s">
        <v>59</v>
      </c>
      <c r="AY101" s="60">
        <v>100.89350190672525</v>
      </c>
    </row>
    <row r="102" spans="48:60" x14ac:dyDescent="0.4">
      <c r="AX102" s="80" t="s">
        <v>60</v>
      </c>
      <c r="AY102" s="60">
        <v>100.91361135830726</v>
      </c>
    </row>
    <row r="103" spans="48:60" x14ac:dyDescent="0.4">
      <c r="AX103" s="80" t="s">
        <v>61</v>
      </c>
      <c r="AY103" s="60">
        <v>100.95666404241017</v>
      </c>
    </row>
    <row r="104" spans="48:60" x14ac:dyDescent="0.4">
      <c r="AX104" s="80" t="s">
        <v>62</v>
      </c>
      <c r="AY104" s="60">
        <v>101.30243465313896</v>
      </c>
    </row>
    <row r="105" spans="48:60" x14ac:dyDescent="0.4">
      <c r="AX105" s="80" t="s">
        <v>63</v>
      </c>
      <c r="AY105" s="60">
        <v>101.7009983789261</v>
      </c>
    </row>
    <row r="106" spans="48:60" x14ac:dyDescent="0.4">
      <c r="AX106" s="80" t="s">
        <v>80</v>
      </c>
      <c r="AY106" s="60">
        <v>101.82326041829094</v>
      </c>
    </row>
    <row r="107" spans="48:60" x14ac:dyDescent="0.4">
      <c r="AX107" s="80" t="s">
        <v>53</v>
      </c>
      <c r="AY107" s="60">
        <v>101.61695886850373</v>
      </c>
    </row>
    <row r="108" spans="48:60" x14ac:dyDescent="0.4">
      <c r="AX108" s="80" t="s">
        <v>54</v>
      </c>
      <c r="AY108" s="60">
        <v>102.12566814142265</v>
      </c>
    </row>
    <row r="109" spans="48:60" ht="15.75" x14ac:dyDescent="0.4">
      <c r="AX109" s="80" t="s">
        <v>55</v>
      </c>
      <c r="AY109" s="60">
        <v>102.24323827834799</v>
      </c>
      <c r="AZ109" s="1"/>
      <c r="BA109" s="1"/>
      <c r="BB109" s="1"/>
    </row>
    <row r="110" spans="48:60" ht="15.75" x14ac:dyDescent="0.4">
      <c r="AV110" s="1"/>
      <c r="AW110" s="1"/>
      <c r="AX110" s="80" t="s">
        <v>56</v>
      </c>
      <c r="AY110" s="60">
        <v>102.34106701439609</v>
      </c>
      <c r="AZ110" s="1"/>
      <c r="BA110" s="1"/>
      <c r="BB110" s="1"/>
      <c r="BC110" s="1"/>
      <c r="BD110" s="1"/>
      <c r="BE110" s="1"/>
      <c r="BF110" s="1"/>
      <c r="BG110" s="1"/>
      <c r="BH110" s="1"/>
    </row>
    <row r="111" spans="48:60" x14ac:dyDescent="0.4">
      <c r="AX111" s="80" t="s">
        <v>57</v>
      </c>
      <c r="AY111" s="60">
        <v>102.06719267346149</v>
      </c>
    </row>
    <row r="112" spans="48:60" x14ac:dyDescent="0.4">
      <c r="AX112" s="80" t="s">
        <v>58</v>
      </c>
      <c r="AY112" s="60">
        <v>103.25634477540279</v>
      </c>
    </row>
    <row r="113" spans="1:60" x14ac:dyDescent="0.4">
      <c r="AX113" s="80" t="s">
        <v>59</v>
      </c>
      <c r="AY113" s="60">
        <v>103.43085978874505</v>
      </c>
    </row>
    <row r="114" spans="1:60" x14ac:dyDescent="0.4">
      <c r="AX114" s="80" t="s">
        <v>60</v>
      </c>
      <c r="AY114" s="60">
        <v>104.3457858782799</v>
      </c>
    </row>
    <row r="115" spans="1:60" x14ac:dyDescent="0.4">
      <c r="AX115" s="80" t="s">
        <v>61</v>
      </c>
      <c r="AY115" s="60">
        <v>104.94594055432941</v>
      </c>
    </row>
    <row r="116" spans="1:60" x14ac:dyDescent="0.4">
      <c r="AV116" s="51"/>
      <c r="AW116" s="51"/>
      <c r="AX116" s="80" t="s">
        <v>62</v>
      </c>
      <c r="AY116" s="60">
        <v>105.07383775862121</v>
      </c>
      <c r="AZ116" s="51"/>
      <c r="BA116" s="51"/>
      <c r="BB116" s="51"/>
      <c r="BC116" s="51"/>
      <c r="BD116" s="51"/>
      <c r="BE116" s="51"/>
      <c r="BF116" s="51"/>
      <c r="BG116" s="51"/>
      <c r="BH116" s="51"/>
    </row>
    <row r="117" spans="1:60" x14ac:dyDescent="0.4">
      <c r="AV117" s="51"/>
      <c r="AW117" s="51"/>
      <c r="AX117" s="80" t="s">
        <v>63</v>
      </c>
      <c r="AY117" s="60">
        <v>105.04357464879853</v>
      </c>
      <c r="AZ117" s="51"/>
      <c r="BA117" s="51"/>
      <c r="BB117" s="51"/>
      <c r="BC117" s="51"/>
      <c r="BD117" s="51"/>
      <c r="BE117" s="51"/>
      <c r="BF117" s="51"/>
      <c r="BG117" s="51"/>
      <c r="BH117" s="51"/>
    </row>
    <row r="118" spans="1:60" x14ac:dyDescent="0.4">
      <c r="A118" s="81"/>
      <c r="B118" s="59"/>
      <c r="C118" s="82"/>
      <c r="D118" s="82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83"/>
      <c r="AX118" s="80" t="s">
        <v>81</v>
      </c>
      <c r="AY118" s="73">
        <v>105.15896985278053</v>
      </c>
      <c r="AZ118" s="73"/>
      <c r="BA118" s="73"/>
      <c r="BB118" s="73"/>
      <c r="BC118" s="73"/>
      <c r="BD118" s="73"/>
      <c r="BE118" s="73"/>
      <c r="BF118" s="73"/>
      <c r="BG118" s="73"/>
      <c r="BH118" s="73"/>
    </row>
    <row r="119" spans="1:60" x14ac:dyDescent="0.4">
      <c r="A119" s="81"/>
      <c r="B119" s="59"/>
      <c r="C119" s="82"/>
      <c r="D119" s="82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83"/>
      <c r="AX119" s="80" t="s">
        <v>53</v>
      </c>
      <c r="AY119" s="73">
        <v>105.01355186464795</v>
      </c>
      <c r="AZ119" s="73"/>
    </row>
    <row r="120" spans="1:60" s="29" customFormat="1" ht="23.25" customHeight="1" x14ac:dyDescent="0.2">
      <c r="A120" s="111"/>
      <c r="B120" s="111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28"/>
      <c r="AV120" s="21"/>
      <c r="AW120" s="21"/>
      <c r="AX120" s="80" t="s">
        <v>54</v>
      </c>
      <c r="AY120" s="73">
        <v>104.39801712089321</v>
      </c>
      <c r="AZ120" s="73"/>
      <c r="BA120" s="21"/>
      <c r="BB120" s="21"/>
      <c r="BC120" s="21"/>
      <c r="BD120" s="21"/>
      <c r="BE120" s="21"/>
      <c r="BF120" s="21"/>
      <c r="BG120" s="21"/>
      <c r="BH120" s="21"/>
    </row>
    <row r="121" spans="1:60" s="31" customFormat="1" ht="19.5" x14ac:dyDescent="0.2">
      <c r="A121" s="111"/>
      <c r="B121" s="111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30"/>
      <c r="AV121" s="21"/>
      <c r="AW121" s="21"/>
      <c r="AX121" s="80" t="s">
        <v>55</v>
      </c>
      <c r="AY121" s="73">
        <v>104.59296064304696</v>
      </c>
      <c r="AZ121" s="73"/>
      <c r="BA121" s="21"/>
      <c r="BB121" s="21"/>
      <c r="BC121" s="21"/>
      <c r="BD121" s="21"/>
      <c r="BE121" s="21"/>
      <c r="BF121" s="21"/>
      <c r="BG121" s="21"/>
      <c r="BH121" s="21"/>
    </row>
    <row r="122" spans="1:60" s="29" customFormat="1" ht="15" customHeight="1" x14ac:dyDescent="0.2">
      <c r="A122" s="105"/>
      <c r="B122" s="105"/>
      <c r="C122" s="105"/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32"/>
      <c r="T122" s="33"/>
      <c r="AV122" s="21"/>
      <c r="AW122" s="21"/>
      <c r="AX122" s="80" t="s">
        <v>56</v>
      </c>
      <c r="AY122" s="73">
        <v>105.60752384285271</v>
      </c>
      <c r="AZ122" s="73"/>
      <c r="BA122" s="21"/>
      <c r="BB122" s="21"/>
      <c r="BC122" s="21"/>
      <c r="BD122" s="21"/>
      <c r="BE122" s="21"/>
      <c r="BF122" s="21"/>
      <c r="BG122" s="21"/>
      <c r="BH122" s="21"/>
    </row>
    <row r="123" spans="1:60" s="35" customFormat="1" x14ac:dyDescent="0.2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34"/>
      <c r="AV123" s="21"/>
      <c r="AW123" s="21"/>
      <c r="AX123" s="80" t="s">
        <v>57</v>
      </c>
      <c r="AY123" s="73">
        <v>105.45481378593364</v>
      </c>
      <c r="AZ123" s="73"/>
      <c r="BA123" s="21"/>
      <c r="BB123" s="21"/>
      <c r="BC123" s="21"/>
      <c r="BD123" s="21"/>
      <c r="BE123" s="21"/>
      <c r="BF123" s="21"/>
      <c r="BG123" s="21"/>
      <c r="BH123" s="21"/>
    </row>
    <row r="124" spans="1:60" ht="6" customHeight="1" x14ac:dyDescent="0.2">
      <c r="A124" s="107"/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AX124" s="80" t="s">
        <v>58</v>
      </c>
      <c r="AY124" s="73">
        <v>105.89024984877231</v>
      </c>
      <c r="AZ124" s="73"/>
    </row>
    <row r="125" spans="1:60" x14ac:dyDescent="0.2">
      <c r="A125" s="62"/>
      <c r="B125" s="19"/>
      <c r="C125" s="90"/>
      <c r="D125" s="90"/>
      <c r="E125" s="19"/>
      <c r="F125" s="6"/>
      <c r="G125" s="6"/>
      <c r="H125" s="6"/>
      <c r="I125" s="6"/>
      <c r="J125" s="6"/>
      <c r="K125" s="6"/>
      <c r="L125" s="6"/>
      <c r="M125" s="6"/>
      <c r="N125" s="59"/>
      <c r="O125" s="59"/>
      <c r="P125" s="59"/>
      <c r="Q125" s="59"/>
      <c r="R125" s="63"/>
      <c r="AX125" s="80" t="s">
        <v>59</v>
      </c>
      <c r="AY125" s="73">
        <v>105.74086822284956</v>
      </c>
      <c r="AZ125" s="73"/>
    </row>
    <row r="126" spans="1:60" s="51" customFormat="1" x14ac:dyDescent="0.2">
      <c r="A126" s="91"/>
      <c r="B126" s="25"/>
      <c r="C126" s="92"/>
      <c r="D126" s="92"/>
      <c r="E126" s="25"/>
      <c r="F126" s="25"/>
      <c r="G126" s="25"/>
      <c r="H126" s="17"/>
      <c r="I126" s="17"/>
      <c r="J126" s="17"/>
      <c r="K126" s="17"/>
      <c r="L126" s="17"/>
      <c r="M126" s="25"/>
      <c r="N126" s="14"/>
      <c r="O126" s="59"/>
      <c r="P126" s="59"/>
      <c r="Q126" s="59"/>
      <c r="R126" s="14"/>
      <c r="AV126" s="21"/>
      <c r="AW126" s="21"/>
      <c r="AX126" s="80" t="s">
        <v>60</v>
      </c>
      <c r="AY126" s="73">
        <v>105.8090548036067</v>
      </c>
      <c r="AZ126" s="73"/>
      <c r="BA126" s="21"/>
      <c r="BB126" s="21"/>
      <c r="BC126" s="21"/>
      <c r="BD126" s="21"/>
      <c r="BE126" s="21"/>
      <c r="BF126" s="21"/>
      <c r="BG126" s="21"/>
      <c r="BH126" s="21"/>
    </row>
    <row r="127" spans="1:60" s="51" customFormat="1" ht="18" customHeight="1" x14ac:dyDescent="0.4">
      <c r="A127" s="48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50"/>
      <c r="O127" s="65"/>
      <c r="P127" s="65"/>
      <c r="Q127" s="65"/>
      <c r="R127" s="52"/>
      <c r="AV127" s="21"/>
      <c r="AW127" s="21"/>
      <c r="AX127" s="80" t="s">
        <v>61</v>
      </c>
      <c r="AY127" s="73">
        <v>105.85453303952553</v>
      </c>
      <c r="AZ127" s="73"/>
      <c r="BA127" s="21"/>
      <c r="BB127" s="21"/>
      <c r="BC127" s="21"/>
      <c r="BD127" s="21"/>
      <c r="BE127" s="21"/>
      <c r="BF127" s="21"/>
      <c r="BG127" s="21"/>
      <c r="BH127" s="21"/>
    </row>
    <row r="128" spans="1:60" ht="19.5" customHeight="1" x14ac:dyDescent="0.4">
      <c r="A128" s="48"/>
      <c r="B128" s="93"/>
      <c r="C128" s="94"/>
      <c r="D128" s="94"/>
      <c r="E128" s="94"/>
      <c r="F128" s="94"/>
      <c r="G128" s="94"/>
      <c r="H128" s="94"/>
      <c r="I128" s="94"/>
      <c r="J128" s="94"/>
      <c r="K128" s="94"/>
      <c r="L128" s="94"/>
      <c r="M128" s="94"/>
      <c r="N128" s="95"/>
      <c r="O128" s="65"/>
      <c r="P128" s="65"/>
      <c r="Q128" s="65"/>
      <c r="R128" s="96"/>
      <c r="S128" s="60"/>
      <c r="AX128" s="80" t="s">
        <v>62</v>
      </c>
      <c r="AY128" s="73">
        <v>105.44398185358602</v>
      </c>
      <c r="AZ128" s="73"/>
    </row>
    <row r="129" spans="1:60" ht="19.5" customHeight="1" x14ac:dyDescent="0.2">
      <c r="A129" s="11"/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59"/>
      <c r="P129" s="59"/>
      <c r="Q129" s="59"/>
      <c r="R129" s="89"/>
      <c r="S129" s="60"/>
      <c r="AX129" s="80" t="s">
        <v>63</v>
      </c>
      <c r="AY129" s="73">
        <v>105.60147673005247</v>
      </c>
      <c r="AZ129" s="73"/>
    </row>
    <row r="130" spans="1:60" ht="19.5" customHeight="1" x14ac:dyDescent="0.2">
      <c r="A130" s="11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59"/>
      <c r="P130" s="59"/>
      <c r="Q130" s="59"/>
      <c r="R130" s="89"/>
      <c r="S130" s="60"/>
      <c r="AX130" s="80" t="s">
        <v>82</v>
      </c>
      <c r="AY130" s="60">
        <v>105.30480193359342</v>
      </c>
    </row>
    <row r="131" spans="1:60" ht="19.5" customHeight="1" x14ac:dyDescent="0.2">
      <c r="A131" s="98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59"/>
      <c r="P131" s="59"/>
      <c r="Q131" s="59"/>
      <c r="R131" s="89"/>
      <c r="S131" s="60"/>
      <c r="AX131" s="80" t="s">
        <v>53</v>
      </c>
      <c r="AY131" s="20">
        <v>105.43217364780411</v>
      </c>
      <c r="BA131" s="1"/>
      <c r="BB131" s="1"/>
    </row>
    <row r="132" spans="1:60" ht="19.5" customHeight="1" x14ac:dyDescent="0.2">
      <c r="A132" s="98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59"/>
      <c r="P132" s="59"/>
      <c r="Q132" s="59"/>
      <c r="R132" s="89"/>
      <c r="S132" s="60"/>
      <c r="AX132" s="80" t="s">
        <v>54</v>
      </c>
      <c r="AY132" s="20">
        <v>105.35756355895435</v>
      </c>
      <c r="AZ132" s="1"/>
      <c r="BA132" s="1"/>
      <c r="BB132" s="1"/>
      <c r="BC132" s="1"/>
      <c r="BD132" s="1"/>
      <c r="BE132" s="1"/>
      <c r="BF132" s="1"/>
      <c r="BG132" s="1"/>
      <c r="BH132" s="1"/>
    </row>
    <row r="133" spans="1:60" ht="19.5" customHeight="1" x14ac:dyDescent="0.2">
      <c r="A133" s="98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59"/>
      <c r="P133" s="59"/>
      <c r="Q133" s="59"/>
      <c r="R133" s="89"/>
      <c r="S133" s="60"/>
      <c r="AV133" s="1"/>
      <c r="AW133" s="1"/>
      <c r="AX133" s="80" t="s">
        <v>55</v>
      </c>
      <c r="AY133" s="60">
        <v>106.06388213106912</v>
      </c>
    </row>
    <row r="134" spans="1:60" ht="19.5" customHeight="1" x14ac:dyDescent="0.2">
      <c r="A134" s="98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59"/>
      <c r="P134" s="59"/>
      <c r="Q134" s="59"/>
      <c r="R134" s="89"/>
      <c r="S134" s="60"/>
      <c r="AV134" s="1"/>
      <c r="AW134" s="1"/>
      <c r="AX134" s="80" t="s">
        <v>56</v>
      </c>
      <c r="AY134" s="60">
        <v>106.10127795050008</v>
      </c>
    </row>
    <row r="135" spans="1:60" x14ac:dyDescent="0.2">
      <c r="A135" s="98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59"/>
      <c r="P135" s="59"/>
      <c r="Q135" s="59"/>
      <c r="R135" s="99"/>
      <c r="S135" s="60"/>
      <c r="AX135" s="80" t="s">
        <v>57</v>
      </c>
      <c r="AY135" s="60">
        <v>106.98715425252276</v>
      </c>
    </row>
    <row r="136" spans="1:60" ht="19.5" customHeight="1" x14ac:dyDescent="0.2">
      <c r="A136" s="11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59"/>
      <c r="P136" s="59"/>
      <c r="Q136" s="59"/>
      <c r="R136" s="89"/>
      <c r="S136" s="60"/>
      <c r="AX136" s="80" t="s">
        <v>58</v>
      </c>
      <c r="AY136" s="60">
        <v>106.85657855404348</v>
      </c>
    </row>
    <row r="137" spans="1:60" ht="19.5" customHeight="1" x14ac:dyDescent="0.2">
      <c r="A137" s="100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59"/>
      <c r="P137" s="59"/>
      <c r="Q137" s="59"/>
      <c r="R137" s="89"/>
      <c r="S137" s="60"/>
      <c r="AX137" s="80" t="s">
        <v>59</v>
      </c>
      <c r="AY137" s="60">
        <v>107.01969350992501</v>
      </c>
    </row>
    <row r="138" spans="1:60" ht="19.5" customHeight="1" x14ac:dyDescent="0.2">
      <c r="A138" s="100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59"/>
      <c r="P138" s="59"/>
      <c r="Q138" s="59"/>
      <c r="R138" s="89"/>
      <c r="S138" s="60"/>
      <c r="AX138" s="80" t="s">
        <v>60</v>
      </c>
      <c r="AY138" s="60">
        <v>106.97557619963439</v>
      </c>
    </row>
    <row r="139" spans="1:60" ht="19.5" customHeight="1" x14ac:dyDescent="0.2">
      <c r="A139" s="100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59"/>
      <c r="P139" s="59"/>
      <c r="Q139" s="59"/>
      <c r="R139" s="89"/>
      <c r="S139" s="60"/>
      <c r="AX139" s="80" t="s">
        <v>61</v>
      </c>
      <c r="AY139" s="60">
        <v>106.95325296574117</v>
      </c>
    </row>
    <row r="140" spans="1:60" ht="19.5" customHeight="1" x14ac:dyDescent="0.2">
      <c r="A140" s="11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59"/>
      <c r="P140" s="59"/>
      <c r="Q140" s="59"/>
      <c r="R140" s="101"/>
      <c r="S140" s="60"/>
      <c r="AV140" s="88"/>
      <c r="AX140" s="80" t="s">
        <v>62</v>
      </c>
      <c r="AY140" s="60">
        <v>107.06489578214516</v>
      </c>
    </row>
    <row r="141" spans="1:60" ht="19.5" customHeight="1" x14ac:dyDescent="0.2">
      <c r="A141" s="98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59"/>
      <c r="P141" s="59"/>
      <c r="Q141" s="59"/>
      <c r="R141" s="101"/>
      <c r="S141" s="60"/>
      <c r="AV141" s="88"/>
      <c r="AX141" s="80" t="s">
        <v>63</v>
      </c>
      <c r="AY141" s="60">
        <v>106.50307845458552</v>
      </c>
    </row>
    <row r="142" spans="1:60" s="1" customFormat="1" ht="19.5" customHeight="1" x14ac:dyDescent="0.2">
      <c r="A142" s="98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59"/>
      <c r="P142" s="59"/>
      <c r="Q142" s="59"/>
      <c r="R142" s="101"/>
      <c r="S142" s="60"/>
      <c r="AV142" s="88"/>
      <c r="AW142" s="21"/>
      <c r="AX142" s="80" t="s">
        <v>83</v>
      </c>
      <c r="AY142" s="84">
        <v>106.400717559509</v>
      </c>
      <c r="AZ142" s="60"/>
      <c r="BA142" s="21"/>
      <c r="BB142" s="21"/>
      <c r="BC142" s="21"/>
      <c r="BD142" s="21"/>
      <c r="BE142" s="21"/>
      <c r="BF142" s="21"/>
      <c r="BG142" s="21"/>
      <c r="BH142" s="21"/>
    </row>
    <row r="143" spans="1:60" ht="19.5" customHeight="1" x14ac:dyDescent="0.2">
      <c r="A143" s="11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59"/>
      <c r="P143" s="59"/>
      <c r="Q143" s="59"/>
      <c r="R143" s="101"/>
      <c r="S143" s="60"/>
      <c r="AV143" s="88"/>
      <c r="AX143" s="80" t="s">
        <v>53</v>
      </c>
      <c r="AY143" s="84">
        <v>106.63038619744921</v>
      </c>
    </row>
    <row r="144" spans="1:60" ht="19.5" customHeight="1" x14ac:dyDescent="0.2">
      <c r="A144" s="13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25"/>
      <c r="P144" s="25"/>
      <c r="Q144" s="25"/>
      <c r="R144" s="14"/>
      <c r="S144" s="60"/>
      <c r="AV144" s="88"/>
      <c r="AX144" s="80" t="s">
        <v>54</v>
      </c>
      <c r="AY144" s="84">
        <v>106.062411174174</v>
      </c>
    </row>
    <row r="145" spans="1:60" x14ac:dyDescent="0.2">
      <c r="A145" s="13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25"/>
      <c r="P145" s="25"/>
      <c r="Q145" s="25"/>
      <c r="R145" s="23"/>
      <c r="AV145" s="88"/>
      <c r="AX145" s="80" t="s">
        <v>55</v>
      </c>
      <c r="AY145" s="84">
        <v>105.86893022730047</v>
      </c>
    </row>
    <row r="146" spans="1:60" ht="15.75" x14ac:dyDescent="0.4">
      <c r="A146" s="81"/>
      <c r="B146" s="59"/>
      <c r="C146" s="82"/>
      <c r="D146" s="82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83"/>
      <c r="AV146" s="88"/>
      <c r="AX146" s="80" t="s">
        <v>56</v>
      </c>
      <c r="AY146" s="84">
        <v>105.93595093311723</v>
      </c>
    </row>
    <row r="147" spans="1:60" x14ac:dyDescent="0.2">
      <c r="A147" s="62"/>
      <c r="B147" s="6"/>
      <c r="C147" s="6"/>
      <c r="D147" s="6"/>
      <c r="E147" s="6"/>
      <c r="F147" s="6"/>
      <c r="G147" s="6"/>
      <c r="H147" s="6"/>
      <c r="I147" s="59"/>
      <c r="J147" s="59"/>
      <c r="K147" s="59"/>
      <c r="L147" s="59"/>
      <c r="M147" s="63"/>
      <c r="N147" s="59"/>
      <c r="O147" s="59"/>
      <c r="P147" s="59"/>
      <c r="Q147" s="59"/>
      <c r="R147" s="59"/>
      <c r="AV147" s="88"/>
      <c r="AX147" s="80" t="s">
        <v>57</v>
      </c>
      <c r="AY147" s="84">
        <v>106.16673824347546</v>
      </c>
    </row>
    <row r="148" spans="1:60" s="51" customFormat="1" x14ac:dyDescent="0.2">
      <c r="A148" s="91"/>
      <c r="B148" s="25"/>
      <c r="C148" s="92"/>
      <c r="D148" s="92"/>
      <c r="E148" s="25"/>
      <c r="F148" s="25"/>
      <c r="G148" s="25"/>
      <c r="H148" s="17"/>
      <c r="I148" s="17"/>
      <c r="J148" s="17"/>
      <c r="K148" s="17"/>
      <c r="L148" s="17"/>
      <c r="M148" s="25"/>
      <c r="N148" s="14"/>
      <c r="O148" s="59"/>
      <c r="P148" s="59"/>
      <c r="Q148" s="59"/>
      <c r="R148" s="14"/>
      <c r="AV148" s="88"/>
      <c r="AW148" s="21"/>
      <c r="AX148" s="80" t="s">
        <v>58</v>
      </c>
      <c r="AY148" s="84">
        <v>106.44633482430255</v>
      </c>
      <c r="AZ148" s="21"/>
      <c r="BA148" s="21"/>
      <c r="BB148" s="21"/>
      <c r="BC148" s="21"/>
      <c r="BD148" s="21"/>
      <c r="BE148" s="21"/>
      <c r="BF148" s="21"/>
      <c r="BG148" s="21"/>
      <c r="BH148" s="21"/>
    </row>
    <row r="149" spans="1:60" s="51" customFormat="1" ht="18" customHeight="1" x14ac:dyDescent="0.4">
      <c r="A149" s="48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50"/>
      <c r="O149" s="65"/>
      <c r="P149" s="65"/>
      <c r="Q149" s="65"/>
      <c r="R149" s="52"/>
      <c r="AV149" s="88"/>
      <c r="AW149" s="21"/>
      <c r="AX149" s="80" t="s">
        <v>59</v>
      </c>
      <c r="AY149" s="84">
        <v>106.34650731154315</v>
      </c>
      <c r="AZ149" s="21"/>
      <c r="BA149" s="21"/>
      <c r="BB149" s="21"/>
      <c r="BC149" s="21"/>
      <c r="BD149" s="21"/>
      <c r="BE149" s="21"/>
      <c r="BF149" s="21"/>
      <c r="BG149" s="21"/>
      <c r="BH149" s="21"/>
    </row>
    <row r="150" spans="1:60" ht="19.5" customHeight="1" x14ac:dyDescent="0.4">
      <c r="A150" s="48"/>
      <c r="B150" s="93"/>
      <c r="C150" s="94"/>
      <c r="D150" s="94"/>
      <c r="E150" s="94"/>
      <c r="F150" s="94"/>
      <c r="G150" s="94"/>
      <c r="H150" s="94"/>
      <c r="I150" s="94"/>
      <c r="J150" s="94"/>
      <c r="K150" s="94"/>
      <c r="L150" s="94"/>
      <c r="M150" s="94"/>
      <c r="N150" s="95"/>
      <c r="O150" s="65"/>
      <c r="P150" s="65"/>
      <c r="Q150" s="65"/>
      <c r="R150" s="96"/>
      <c r="S150" s="60"/>
      <c r="AR150" s="73"/>
      <c r="AS150" s="73"/>
      <c r="AT150" s="73"/>
      <c r="AU150" s="73"/>
      <c r="AV150" s="88"/>
      <c r="AX150" s="80" t="s">
        <v>60</v>
      </c>
      <c r="AY150" s="84">
        <v>106.75036802647057</v>
      </c>
    </row>
    <row r="151" spans="1:60" ht="19.5" customHeight="1" x14ac:dyDescent="0.2">
      <c r="A151" s="11"/>
      <c r="B151" s="102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59"/>
      <c r="P151" s="59"/>
      <c r="Q151" s="59"/>
      <c r="R151" s="89"/>
      <c r="S151" s="60"/>
      <c r="AV151" s="88"/>
      <c r="AX151" s="80" t="s">
        <v>61</v>
      </c>
      <c r="AY151" s="84">
        <v>108.78521616648365</v>
      </c>
    </row>
    <row r="152" spans="1:60" ht="19.5" customHeight="1" x14ac:dyDescent="0.2">
      <c r="A152" s="11"/>
      <c r="B152" s="102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59"/>
      <c r="P152" s="59"/>
      <c r="Q152" s="59"/>
      <c r="R152" s="89"/>
      <c r="S152" s="60"/>
      <c r="AV152" s="88"/>
      <c r="AX152" s="80" t="s">
        <v>62</v>
      </c>
      <c r="AY152" s="84">
        <v>108.6699796816679</v>
      </c>
    </row>
    <row r="153" spans="1:60" ht="19.5" customHeight="1" x14ac:dyDescent="0.2">
      <c r="A153" s="98"/>
      <c r="B153" s="102"/>
      <c r="C153" s="102"/>
      <c r="D153" s="102"/>
      <c r="E153" s="102"/>
      <c r="F153" s="102"/>
      <c r="G153" s="102"/>
      <c r="H153" s="102"/>
      <c r="I153" s="102"/>
      <c r="J153" s="102"/>
      <c r="K153" s="102"/>
      <c r="L153" s="102"/>
      <c r="M153" s="102"/>
      <c r="N153" s="102"/>
      <c r="O153" s="59"/>
      <c r="P153" s="59"/>
      <c r="Q153" s="59"/>
      <c r="R153" s="89"/>
      <c r="S153" s="60"/>
      <c r="AV153" s="88"/>
      <c r="AX153" s="80" t="s">
        <v>63</v>
      </c>
      <c r="AY153" s="84">
        <v>108.97152391399352</v>
      </c>
      <c r="BC153" s="1"/>
      <c r="BD153" s="1"/>
      <c r="BE153" s="1"/>
      <c r="BF153" s="1"/>
      <c r="BG153" s="1"/>
      <c r="BH153" s="1"/>
    </row>
    <row r="154" spans="1:60" ht="19.5" customHeight="1" x14ac:dyDescent="0.2">
      <c r="A154" s="98"/>
      <c r="B154" s="102"/>
      <c r="C154" s="102"/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O154" s="59"/>
      <c r="P154" s="59"/>
      <c r="Q154" s="59"/>
      <c r="R154" s="89"/>
      <c r="S154" s="60"/>
      <c r="AV154" s="88"/>
      <c r="AX154" s="80" t="s">
        <v>84</v>
      </c>
      <c r="AY154" s="84">
        <v>109.49980955008905</v>
      </c>
      <c r="BC154" s="1"/>
      <c r="BD154" s="1"/>
      <c r="BE154" s="1"/>
      <c r="BF154" s="1"/>
      <c r="BG154" s="1"/>
      <c r="BH154" s="1"/>
    </row>
    <row r="155" spans="1:60" ht="19.5" customHeight="1" x14ac:dyDescent="0.2">
      <c r="A155" s="98"/>
      <c r="B155" s="102"/>
      <c r="C155" s="102"/>
      <c r="D155" s="102"/>
      <c r="E155" s="102"/>
      <c r="F155" s="102"/>
      <c r="G155" s="102"/>
      <c r="H155" s="102"/>
      <c r="I155" s="102"/>
      <c r="J155" s="102"/>
      <c r="K155" s="102"/>
      <c r="L155" s="102"/>
      <c r="M155" s="102"/>
      <c r="N155" s="102"/>
      <c r="O155" s="59"/>
      <c r="P155" s="59"/>
      <c r="Q155" s="59"/>
      <c r="R155" s="89"/>
      <c r="S155" s="60"/>
      <c r="AV155" s="88"/>
      <c r="AX155" s="80" t="s">
        <v>53</v>
      </c>
      <c r="AY155" s="84">
        <v>109.88576174896833</v>
      </c>
    </row>
    <row r="156" spans="1:60" ht="19.5" customHeight="1" x14ac:dyDescent="0.2">
      <c r="A156" s="98"/>
      <c r="B156" s="102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59"/>
      <c r="P156" s="59"/>
      <c r="Q156" s="59"/>
      <c r="R156" s="89"/>
      <c r="S156" s="60"/>
      <c r="AV156" s="88"/>
      <c r="AX156" s="80" t="s">
        <v>54</v>
      </c>
      <c r="AY156" s="84">
        <v>110.60323178045907</v>
      </c>
    </row>
    <row r="157" spans="1:60" x14ac:dyDescent="0.2">
      <c r="A157" s="98"/>
      <c r="B157" s="102"/>
      <c r="C157" s="102"/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O157" s="59"/>
      <c r="P157" s="59"/>
      <c r="Q157" s="59"/>
      <c r="R157" s="99"/>
      <c r="S157" s="60"/>
      <c r="AX157" s="80" t="s">
        <v>55</v>
      </c>
      <c r="AY157" s="84">
        <v>110.59194937513206</v>
      </c>
    </row>
    <row r="158" spans="1:60" ht="19.5" customHeight="1" x14ac:dyDescent="0.2">
      <c r="A158" s="11"/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59"/>
      <c r="P158" s="59"/>
      <c r="Q158" s="59"/>
      <c r="R158" s="89"/>
      <c r="S158" s="60"/>
      <c r="AX158" s="80" t="s">
        <v>56</v>
      </c>
      <c r="AY158" s="84">
        <v>110.85201445600245</v>
      </c>
    </row>
    <row r="159" spans="1:60" ht="19.5" customHeight="1" x14ac:dyDescent="0.2">
      <c r="A159" s="100"/>
      <c r="B159" s="102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59"/>
      <c r="P159" s="59"/>
      <c r="Q159" s="59"/>
      <c r="R159" s="89"/>
      <c r="S159" s="60"/>
      <c r="AX159" s="80" t="s">
        <v>57</v>
      </c>
      <c r="AY159" s="84">
        <v>109.74800644419963</v>
      </c>
    </row>
    <row r="160" spans="1:60" ht="19.5" customHeight="1" x14ac:dyDescent="0.2">
      <c r="A160" s="100"/>
      <c r="B160" s="102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59"/>
      <c r="P160" s="59"/>
      <c r="Q160" s="59"/>
      <c r="R160" s="89"/>
      <c r="S160" s="60"/>
      <c r="AX160" s="80" t="s">
        <v>58</v>
      </c>
      <c r="AY160" s="84">
        <v>109.6669128495823</v>
      </c>
    </row>
    <row r="161" spans="1:60" ht="19.5" customHeight="1" x14ac:dyDescent="0.2">
      <c r="A161" s="100"/>
      <c r="B161" s="102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59"/>
      <c r="P161" s="59"/>
      <c r="Q161" s="59"/>
      <c r="R161" s="89"/>
      <c r="S161" s="60"/>
      <c r="AX161" s="80" t="s">
        <v>59</v>
      </c>
      <c r="AY161" s="84">
        <v>109.27002315425663</v>
      </c>
    </row>
    <row r="162" spans="1:60" ht="19.5" customHeight="1" x14ac:dyDescent="0.2">
      <c r="A162" s="11"/>
      <c r="B162" s="102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59"/>
      <c r="P162" s="59"/>
      <c r="Q162" s="59"/>
      <c r="R162" s="101"/>
      <c r="S162" s="60"/>
      <c r="AX162" s="80" t="s">
        <v>60</v>
      </c>
      <c r="AY162" s="84">
        <v>109.83466504100939</v>
      </c>
    </row>
    <row r="163" spans="1:60" ht="19.5" customHeight="1" x14ac:dyDescent="0.2">
      <c r="A163" s="98"/>
      <c r="B163" s="102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59"/>
      <c r="P163" s="59"/>
      <c r="Q163" s="59"/>
      <c r="R163" s="101"/>
      <c r="S163" s="60"/>
      <c r="AX163" s="80" t="s">
        <v>61</v>
      </c>
      <c r="AY163" s="84">
        <v>109.5388392789536</v>
      </c>
    </row>
    <row r="164" spans="1:60" s="1" customFormat="1" ht="19.5" customHeight="1" x14ac:dyDescent="0.2">
      <c r="A164" s="98"/>
      <c r="B164" s="102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59"/>
      <c r="P164" s="59"/>
      <c r="Q164" s="59"/>
      <c r="R164" s="101"/>
      <c r="S164" s="60"/>
      <c r="AV164" s="21"/>
      <c r="AW164" s="21"/>
      <c r="AX164" s="80" t="s">
        <v>62</v>
      </c>
      <c r="AY164" s="84">
        <v>109.34008741675697</v>
      </c>
      <c r="AZ164" s="21"/>
      <c r="BA164" s="21"/>
      <c r="BB164" s="21"/>
      <c r="BC164" s="21"/>
      <c r="BD164" s="21"/>
      <c r="BE164" s="21"/>
      <c r="BF164" s="21"/>
      <c r="BG164" s="21"/>
      <c r="BH164" s="21"/>
    </row>
    <row r="165" spans="1:60" ht="19.5" customHeight="1" x14ac:dyDescent="0.2">
      <c r="A165" s="11"/>
      <c r="B165" s="102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59"/>
      <c r="P165" s="59"/>
      <c r="Q165" s="59"/>
      <c r="R165" s="101"/>
      <c r="S165" s="60"/>
      <c r="AX165" s="80" t="s">
        <v>63</v>
      </c>
      <c r="AY165" s="84">
        <v>110.35293458574249</v>
      </c>
    </row>
    <row r="166" spans="1:60" ht="19.5" customHeight="1" x14ac:dyDescent="0.2">
      <c r="A166" s="13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59"/>
      <c r="P166" s="59"/>
      <c r="Q166" s="59"/>
      <c r="R166" s="14"/>
      <c r="S166" s="60"/>
      <c r="AX166" s="80" t="s">
        <v>85</v>
      </c>
      <c r="AY166" s="84">
        <f>B24</f>
        <v>110.69350514191611</v>
      </c>
    </row>
    <row r="167" spans="1:60" x14ac:dyDescent="0.2">
      <c r="A167" s="13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59"/>
      <c r="P167" s="59"/>
      <c r="Q167" s="59"/>
      <c r="R167" s="23"/>
      <c r="AX167" s="80" t="s">
        <v>53</v>
      </c>
      <c r="AY167" s="84">
        <v>109.88576174896799</v>
      </c>
    </row>
    <row r="168" spans="1:60" ht="15.75" x14ac:dyDescent="0.4">
      <c r="A168" s="81"/>
      <c r="B168" s="59"/>
      <c r="C168" s="82"/>
      <c r="D168" s="82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83"/>
      <c r="AX168" s="80" t="s">
        <v>54</v>
      </c>
      <c r="AY168" s="84">
        <v>110.60323178045907</v>
      </c>
    </row>
    <row r="169" spans="1:60" x14ac:dyDescent="0.2">
      <c r="A169" s="62"/>
      <c r="B169" s="6"/>
      <c r="C169" s="6"/>
      <c r="D169" s="6"/>
      <c r="E169" s="6"/>
      <c r="F169" s="6"/>
      <c r="G169" s="6"/>
      <c r="H169" s="6"/>
      <c r="I169" s="59"/>
      <c r="J169" s="59"/>
      <c r="K169" s="59"/>
      <c r="L169" s="59"/>
      <c r="M169" s="63"/>
      <c r="N169" s="59"/>
      <c r="O169" s="59"/>
      <c r="P169" s="59"/>
      <c r="Q169" s="59"/>
      <c r="R169" s="59"/>
      <c r="AX169" s="80" t="s">
        <v>55</v>
      </c>
      <c r="AY169" s="84">
        <v>110.59194937513206</v>
      </c>
    </row>
    <row r="170" spans="1:60" x14ac:dyDescent="0.2">
      <c r="A170" s="48"/>
      <c r="B170" s="25"/>
      <c r="C170" s="92"/>
      <c r="D170" s="92"/>
      <c r="E170" s="25"/>
      <c r="F170" s="25"/>
      <c r="G170" s="25"/>
      <c r="H170" s="17"/>
      <c r="I170" s="17"/>
      <c r="J170" s="17"/>
      <c r="K170" s="17"/>
      <c r="L170" s="17"/>
      <c r="M170" s="25"/>
      <c r="N170" s="14"/>
      <c r="O170" s="59"/>
      <c r="P170" s="59"/>
      <c r="Q170" s="59"/>
      <c r="R170" s="14"/>
      <c r="AX170" s="80" t="s">
        <v>56</v>
      </c>
      <c r="AY170" s="84">
        <v>110.85201445600245</v>
      </c>
    </row>
    <row r="171" spans="1:60" ht="15.75" x14ac:dyDescent="0.4">
      <c r="A171" s="48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50"/>
      <c r="O171" s="59"/>
      <c r="P171" s="59"/>
      <c r="Q171" s="59"/>
      <c r="R171" s="14"/>
      <c r="AX171" s="80" t="s">
        <v>57</v>
      </c>
      <c r="AY171" s="84">
        <v>109.74800644419963</v>
      </c>
    </row>
    <row r="172" spans="1:60" ht="22.5" customHeight="1" x14ac:dyDescent="0.4">
      <c r="A172" s="81"/>
      <c r="B172" s="93"/>
      <c r="C172" s="94"/>
      <c r="D172" s="94"/>
      <c r="E172" s="94"/>
      <c r="F172" s="94"/>
      <c r="G172" s="94"/>
      <c r="H172" s="94"/>
      <c r="I172" s="94"/>
      <c r="J172" s="94"/>
      <c r="K172" s="94"/>
      <c r="L172" s="94"/>
      <c r="M172" s="94"/>
      <c r="N172" s="95"/>
      <c r="O172" s="59"/>
      <c r="P172" s="59"/>
      <c r="Q172" s="59"/>
      <c r="R172" s="83"/>
      <c r="T172" s="2"/>
      <c r="AX172" s="80" t="s">
        <v>58</v>
      </c>
      <c r="AY172" s="84">
        <v>109.6669128495823</v>
      </c>
    </row>
    <row r="173" spans="1:60" ht="22.5" customHeight="1" x14ac:dyDescent="0.25">
      <c r="A173" s="11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59"/>
      <c r="P173" s="59"/>
      <c r="Q173" s="59"/>
      <c r="R173" s="89"/>
      <c r="T173" s="2"/>
      <c r="AX173" s="80" t="s">
        <v>59</v>
      </c>
      <c r="AY173" s="84">
        <v>109.27002315425663</v>
      </c>
    </row>
    <row r="174" spans="1:60" ht="22.5" customHeight="1" x14ac:dyDescent="0.25">
      <c r="A174" s="11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59"/>
      <c r="P174" s="59"/>
      <c r="Q174" s="59"/>
      <c r="R174" s="89"/>
      <c r="T174" s="2"/>
      <c r="AX174" s="80" t="s">
        <v>60</v>
      </c>
      <c r="AY174" s="84">
        <v>109.83466504100939</v>
      </c>
    </row>
    <row r="175" spans="1:60" ht="22.5" customHeight="1" x14ac:dyDescent="0.25">
      <c r="A175" s="98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59"/>
      <c r="P175" s="59"/>
      <c r="Q175" s="59"/>
      <c r="R175" s="89"/>
      <c r="T175" s="2"/>
      <c r="AX175" s="80" t="s">
        <v>61</v>
      </c>
      <c r="AY175" s="84">
        <v>109.5388392789536</v>
      </c>
    </row>
    <row r="176" spans="1:60" ht="22.5" customHeight="1" x14ac:dyDescent="0.25">
      <c r="A176" s="98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59"/>
      <c r="P176" s="59"/>
      <c r="Q176" s="59"/>
      <c r="R176" s="89"/>
      <c r="T176" s="2"/>
      <c r="AX176" s="80" t="s">
        <v>62</v>
      </c>
      <c r="AY176" s="84">
        <v>109.34008741675697</v>
      </c>
    </row>
    <row r="177" spans="1:60" ht="22.5" customHeight="1" x14ac:dyDescent="0.25">
      <c r="A177" s="98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59"/>
      <c r="P177" s="59"/>
      <c r="Q177" s="59"/>
      <c r="R177" s="89"/>
      <c r="T177" s="2"/>
      <c r="AX177" s="80" t="s">
        <v>63</v>
      </c>
      <c r="AY177" s="84">
        <v>110.35293458574249</v>
      </c>
    </row>
    <row r="178" spans="1:60" x14ac:dyDescent="0.25">
      <c r="A178" s="98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59"/>
      <c r="P178" s="59"/>
      <c r="Q178" s="59"/>
      <c r="R178" s="89"/>
      <c r="T178" s="2"/>
    </row>
    <row r="179" spans="1:60" ht="30" customHeight="1" x14ac:dyDescent="0.25">
      <c r="A179" s="98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59"/>
      <c r="P179" s="59"/>
      <c r="Q179" s="59"/>
      <c r="R179" s="99"/>
      <c r="T179" s="2"/>
    </row>
    <row r="180" spans="1:60" ht="22.5" customHeight="1" x14ac:dyDescent="0.25">
      <c r="A180" s="11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59"/>
      <c r="P180" s="59"/>
      <c r="Q180" s="59"/>
      <c r="R180" s="89"/>
      <c r="T180" s="2"/>
    </row>
    <row r="181" spans="1:60" ht="22.5" customHeight="1" x14ac:dyDescent="0.25">
      <c r="A181" s="100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59"/>
      <c r="P181" s="59"/>
      <c r="Q181" s="59"/>
      <c r="R181" s="89"/>
      <c r="T181" s="2"/>
    </row>
    <row r="182" spans="1:60" ht="22.5" customHeight="1" x14ac:dyDescent="0.25">
      <c r="A182" s="100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59"/>
      <c r="P182" s="59"/>
      <c r="Q182" s="59"/>
      <c r="R182" s="89"/>
      <c r="T182" s="2"/>
    </row>
    <row r="183" spans="1:60" ht="22.5" customHeight="1" x14ac:dyDescent="0.25">
      <c r="A183" s="100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59"/>
      <c r="P183" s="59"/>
      <c r="Q183" s="59"/>
      <c r="R183" s="89"/>
      <c r="T183" s="2"/>
    </row>
    <row r="184" spans="1:60" ht="18" customHeight="1" x14ac:dyDescent="0.25">
      <c r="A184" s="11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59"/>
      <c r="P184" s="59"/>
      <c r="Q184" s="59"/>
      <c r="R184" s="101"/>
      <c r="T184" s="2"/>
    </row>
    <row r="185" spans="1:60" s="1" customFormat="1" ht="22.5" customHeight="1" x14ac:dyDescent="0.25">
      <c r="A185" s="98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59"/>
      <c r="P185" s="59"/>
      <c r="Q185" s="59"/>
      <c r="R185" s="101"/>
      <c r="T185" s="2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</row>
    <row r="186" spans="1:60" s="1" customFormat="1" ht="22.5" customHeight="1" x14ac:dyDescent="0.25">
      <c r="A186" s="98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6"/>
      <c r="P186" s="6"/>
      <c r="Q186" s="6"/>
      <c r="R186" s="101"/>
      <c r="T186" s="2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</row>
    <row r="187" spans="1:60" ht="22.5" customHeight="1" x14ac:dyDescent="0.2">
      <c r="A187" s="11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6"/>
      <c r="P187" s="6"/>
      <c r="Q187" s="6"/>
      <c r="R187" s="101"/>
    </row>
    <row r="188" spans="1:60" ht="22.5" customHeight="1" x14ac:dyDescent="0.2">
      <c r="A188" s="13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59"/>
      <c r="P188" s="59"/>
      <c r="Q188" s="59"/>
      <c r="R188" s="14"/>
    </row>
    <row r="189" spans="1:60" x14ac:dyDescent="0.2">
      <c r="A189" s="13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59"/>
      <c r="P189" s="59"/>
      <c r="Q189" s="59"/>
      <c r="R189" s="23"/>
    </row>
    <row r="190" spans="1:60" ht="17.25" x14ac:dyDescent="0.2">
      <c r="A190" s="3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59"/>
      <c r="N190" s="59"/>
      <c r="O190" s="59"/>
      <c r="P190" s="59"/>
      <c r="Q190" s="59"/>
      <c r="R190" s="103"/>
    </row>
    <row r="191" spans="1:60" x14ac:dyDescent="0.4">
      <c r="A191" s="81"/>
      <c r="B191" s="59"/>
      <c r="C191" s="82"/>
      <c r="D191" s="82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83"/>
    </row>
    <row r="192" spans="1:60" x14ac:dyDescent="0.4">
      <c r="A192" s="81"/>
      <c r="B192" s="59"/>
      <c r="C192" s="82"/>
      <c r="D192" s="82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83"/>
    </row>
    <row r="193" spans="1:18" x14ac:dyDescent="0.4">
      <c r="A193" s="81"/>
      <c r="B193" s="59"/>
      <c r="C193" s="82"/>
      <c r="D193" s="82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83"/>
    </row>
    <row r="194" spans="1:18" x14ac:dyDescent="0.4">
      <c r="A194" s="81"/>
      <c r="B194" s="59"/>
      <c r="C194" s="82"/>
      <c r="D194" s="82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83"/>
    </row>
    <row r="195" spans="1:18" x14ac:dyDescent="0.4">
      <c r="A195" s="81"/>
      <c r="B195" s="59"/>
      <c r="C195" s="82"/>
      <c r="D195" s="82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83"/>
    </row>
    <row r="196" spans="1:18" x14ac:dyDescent="0.4">
      <c r="A196" s="81"/>
      <c r="B196" s="59"/>
      <c r="C196" s="82"/>
      <c r="D196" s="82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83"/>
    </row>
    <row r="197" spans="1:18" x14ac:dyDescent="0.4">
      <c r="A197" s="81"/>
      <c r="B197" s="59"/>
      <c r="C197" s="82"/>
      <c r="D197" s="82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83"/>
    </row>
    <row r="198" spans="1:18" x14ac:dyDescent="0.4">
      <c r="A198" s="81"/>
      <c r="B198" s="59"/>
      <c r="C198" s="82"/>
      <c r="D198" s="82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83"/>
    </row>
    <row r="199" spans="1:18" x14ac:dyDescent="0.4">
      <c r="A199" s="81"/>
      <c r="B199" s="59"/>
      <c r="C199" s="82"/>
      <c r="D199" s="82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83"/>
    </row>
    <row r="200" spans="1:18" x14ac:dyDescent="0.4">
      <c r="A200" s="81"/>
      <c r="B200" s="59"/>
      <c r="C200" s="82"/>
      <c r="D200" s="82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83"/>
    </row>
    <row r="201" spans="1:18" x14ac:dyDescent="0.4">
      <c r="A201" s="81"/>
      <c r="B201" s="59"/>
      <c r="C201" s="82"/>
      <c r="D201" s="82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83"/>
    </row>
    <row r="202" spans="1:18" x14ac:dyDescent="0.4">
      <c r="A202" s="81"/>
      <c r="B202" s="59"/>
      <c r="C202" s="82"/>
      <c r="D202" s="82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83"/>
    </row>
    <row r="203" spans="1:18" x14ac:dyDescent="0.4">
      <c r="A203" s="81"/>
      <c r="B203" s="59"/>
      <c r="C203" s="82"/>
      <c r="D203" s="82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83"/>
    </row>
    <row r="204" spans="1:18" x14ac:dyDescent="0.4">
      <c r="A204" s="81"/>
      <c r="B204" s="59"/>
      <c r="C204" s="82"/>
      <c r="D204" s="82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83"/>
    </row>
    <row r="205" spans="1:18" x14ac:dyDescent="0.4">
      <c r="A205" s="81"/>
      <c r="B205" s="59"/>
      <c r="C205" s="82"/>
      <c r="D205" s="82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83"/>
    </row>
    <row r="206" spans="1:18" x14ac:dyDescent="0.4">
      <c r="A206" s="81"/>
      <c r="B206" s="59"/>
      <c r="C206" s="82"/>
      <c r="D206" s="82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83"/>
    </row>
    <row r="207" spans="1:18" x14ac:dyDescent="0.4">
      <c r="A207" s="81"/>
      <c r="B207" s="59"/>
      <c r="C207" s="82"/>
      <c r="D207" s="82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83"/>
    </row>
    <row r="208" spans="1:18" x14ac:dyDescent="0.4">
      <c r="A208" s="81"/>
      <c r="B208" s="59"/>
      <c r="C208" s="82"/>
      <c r="D208" s="82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83"/>
    </row>
    <row r="209" spans="1:18" x14ac:dyDescent="0.4">
      <c r="A209" s="81"/>
      <c r="B209" s="59"/>
      <c r="C209" s="82"/>
      <c r="D209" s="82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83"/>
    </row>
    <row r="210" spans="1:18" x14ac:dyDescent="0.4">
      <c r="A210" s="81"/>
      <c r="B210" s="59"/>
      <c r="C210" s="82"/>
      <c r="D210" s="82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83"/>
    </row>
    <row r="211" spans="1:18" x14ac:dyDescent="0.4">
      <c r="A211" s="81"/>
      <c r="B211" s="59"/>
      <c r="C211" s="82"/>
      <c r="D211" s="82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83"/>
    </row>
    <row r="212" spans="1:18" x14ac:dyDescent="0.4">
      <c r="A212" s="81"/>
      <c r="B212" s="59"/>
      <c r="C212" s="82"/>
      <c r="D212" s="82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83"/>
    </row>
    <row r="213" spans="1:18" x14ac:dyDescent="0.4">
      <c r="A213" s="81"/>
      <c r="B213" s="59"/>
      <c r="C213" s="82"/>
      <c r="D213" s="82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83"/>
    </row>
    <row r="214" spans="1:18" x14ac:dyDescent="0.4">
      <c r="A214" s="81"/>
      <c r="B214" s="59"/>
      <c r="C214" s="82"/>
      <c r="D214" s="82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83"/>
    </row>
    <row r="215" spans="1:18" x14ac:dyDescent="0.4">
      <c r="A215" s="81"/>
      <c r="B215" s="59"/>
      <c r="C215" s="82"/>
      <c r="D215" s="82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83"/>
    </row>
    <row r="216" spans="1:18" x14ac:dyDescent="0.4">
      <c r="A216" s="81"/>
      <c r="B216" s="59"/>
      <c r="C216" s="82"/>
      <c r="D216" s="82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83"/>
    </row>
    <row r="217" spans="1:18" x14ac:dyDescent="0.4">
      <c r="A217" s="81"/>
      <c r="B217" s="59"/>
      <c r="C217" s="82"/>
      <c r="D217" s="82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83"/>
    </row>
    <row r="218" spans="1:18" x14ac:dyDescent="0.4">
      <c r="A218" s="81"/>
      <c r="B218" s="59"/>
      <c r="C218" s="82"/>
      <c r="D218" s="82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83"/>
    </row>
    <row r="219" spans="1:18" x14ac:dyDescent="0.4">
      <c r="A219" s="81"/>
      <c r="B219" s="59"/>
      <c r="C219" s="82"/>
      <c r="D219" s="82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83"/>
    </row>
    <row r="220" spans="1:18" x14ac:dyDescent="0.4">
      <c r="A220" s="81"/>
      <c r="B220" s="59"/>
      <c r="C220" s="82"/>
      <c r="D220" s="82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83"/>
    </row>
    <row r="221" spans="1:18" x14ac:dyDescent="0.4">
      <c r="A221" s="81"/>
      <c r="B221" s="59"/>
      <c r="C221" s="82"/>
      <c r="D221" s="82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83"/>
    </row>
    <row r="222" spans="1:18" x14ac:dyDescent="0.4">
      <c r="A222" s="81"/>
      <c r="B222" s="59"/>
      <c r="C222" s="82"/>
      <c r="D222" s="82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83"/>
    </row>
    <row r="223" spans="1:18" x14ac:dyDescent="0.4">
      <c r="A223" s="81"/>
      <c r="B223" s="59"/>
      <c r="C223" s="82"/>
      <c r="D223" s="82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83"/>
    </row>
    <row r="224" spans="1:18" x14ac:dyDescent="0.4">
      <c r="A224" s="81"/>
      <c r="B224" s="59"/>
      <c r="C224" s="82"/>
      <c r="D224" s="82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83"/>
    </row>
    <row r="225" spans="1:18" x14ac:dyDescent="0.4">
      <c r="A225" s="81"/>
      <c r="B225" s="59"/>
      <c r="C225" s="82"/>
      <c r="D225" s="82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83"/>
    </row>
    <row r="226" spans="1:18" x14ac:dyDescent="0.4">
      <c r="A226" s="81"/>
      <c r="B226" s="59"/>
      <c r="C226" s="82"/>
      <c r="D226" s="82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83"/>
    </row>
    <row r="227" spans="1:18" x14ac:dyDescent="0.4">
      <c r="A227" s="81"/>
      <c r="B227" s="59"/>
      <c r="C227" s="82"/>
      <c r="D227" s="82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83"/>
    </row>
    <row r="228" spans="1:18" x14ac:dyDescent="0.4">
      <c r="A228" s="81"/>
      <c r="B228" s="59"/>
      <c r="C228" s="82"/>
      <c r="D228" s="82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83"/>
    </row>
    <row r="229" spans="1:18" x14ac:dyDescent="0.4">
      <c r="A229" s="81"/>
      <c r="B229" s="59"/>
      <c r="C229" s="82"/>
      <c r="D229" s="82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83"/>
    </row>
    <row r="230" spans="1:18" x14ac:dyDescent="0.4">
      <c r="A230" s="81"/>
      <c r="B230" s="59"/>
      <c r="C230" s="82"/>
      <c r="D230" s="82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83"/>
    </row>
    <row r="231" spans="1:18" x14ac:dyDescent="0.4">
      <c r="A231" s="81"/>
      <c r="B231" s="59"/>
      <c r="C231" s="82"/>
      <c r="D231" s="82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83"/>
    </row>
    <row r="232" spans="1:18" x14ac:dyDescent="0.4">
      <c r="A232" s="81"/>
      <c r="B232" s="59"/>
      <c r="C232" s="82"/>
      <c r="D232" s="82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83"/>
    </row>
    <row r="233" spans="1:18" x14ac:dyDescent="0.4">
      <c r="A233" s="81"/>
      <c r="B233" s="59"/>
      <c r="C233" s="82"/>
      <c r="D233" s="82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83"/>
    </row>
  </sheetData>
  <mergeCells count="9">
    <mergeCell ref="A122:R122"/>
    <mergeCell ref="A123:R123"/>
    <mergeCell ref="A124:R124"/>
    <mergeCell ref="A1:R1"/>
    <mergeCell ref="A2:R2"/>
    <mergeCell ref="A3:R3"/>
    <mergeCell ref="A4:R4"/>
    <mergeCell ref="A120:R120"/>
    <mergeCell ref="A121:R121"/>
  </mergeCells>
  <pageMargins left="0.7" right="0.7" top="0.75" bottom="0.75" header="0.3" footer="0.3"/>
  <pageSetup paperSize="9" scale="56" orientation="landscape" horizontalDpi="4294967295" verticalDpi="4294967295" r:id="rId1"/>
  <rowBreaks count="2" manualBreakCount="2">
    <brk id="47" max="17" man="1"/>
    <brk id="92" max="1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17.6</vt:lpstr>
      <vt:lpstr>'17.6'!Print_Area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2019-05-09T07:31:08Z</cp:lastPrinted>
  <dcterms:created xsi:type="dcterms:W3CDTF">2019-03-21T03:27:43Z</dcterms:created>
  <dcterms:modified xsi:type="dcterms:W3CDTF">2019-05-09T07:31:26Z</dcterms:modified>
</cp:coreProperties>
</file>