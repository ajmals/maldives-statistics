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7. PRICES\"/>
    </mc:Choice>
  </mc:AlternateContent>
  <bookViews>
    <workbookView xWindow="0" yWindow="0" windowWidth="28800" windowHeight="12030" tabRatio="790"/>
  </bookViews>
  <sheets>
    <sheet name="17.4" sheetId="4" r:id="rId1"/>
  </sheets>
  <externalReferences>
    <externalReference r:id="rId2"/>
  </externalReferences>
  <definedNames>
    <definedName name="_xlnm.Print_Area" localSheetId="0">'17.4'!$A$1:$P$33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5" i="4" l="1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</calcChain>
</file>

<file path=xl/sharedStrings.xml><?xml version="1.0" encoding="utf-8"?>
<sst xmlns="http://schemas.openxmlformats.org/spreadsheetml/2006/main" count="76" uniqueCount="76">
  <si>
    <t>(cnegiawlwbcSwa 100 IkwDnwgcnim eg 2012 cnUj)</t>
  </si>
  <si>
    <t>(Index - base: June 2012=100)</t>
  </si>
  <si>
    <t xml:space="preserve">Source:  National  Bureau of Statistics   </t>
  </si>
  <si>
    <t>Major Groups - Republic</t>
  </si>
  <si>
    <t>cSwa ejcaWr - cawtiawb uDnwgiawm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</si>
  <si>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</si>
  <si>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</si>
  <si>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</si>
  <si>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</si>
  <si>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</si>
  <si>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</si>
  <si>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</si>
  <si>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Clothing and footwear</t>
  </si>
  <si>
    <t>cnWviawf iaWTUb idwa unuawncnwa</t>
  </si>
  <si>
    <t>Housing, water, electricity, gas and other fuel</t>
  </si>
  <si>
    <t>cawtctwvWb egulet idwa csEg ,uTcnwrwk ,cnef ,ilukegEg</t>
  </si>
  <si>
    <t xml:space="preserve">  Actual rentals for housing</t>
  </si>
  <si>
    <t xml:space="preserve"> ilukegEg</t>
  </si>
  <si>
    <t xml:space="preserve">Furnishing,  household equipment &amp; routine maintenance </t>
  </si>
  <si>
    <t>cnurukctWmWrwm  iaWCcaekwt  ELugcneg Wfih ,cnixem,rwCInrwf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</si>
  <si>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</si>
  <si>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</si>
  <si>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</si>
  <si>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</si>
  <si>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</si>
  <si>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</si>
  <si>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</si>
  <si>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</si>
  <si>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Education</t>
  </si>
  <si>
    <t>cmIluAwt</t>
  </si>
  <si>
    <t>Hotels, cafés and restaurants</t>
  </si>
  <si>
    <t xml:space="preserve">  cTcnwrOTcser idwa Efek ,WToh</t>
  </si>
  <si>
    <t>Miscellaneous goods and services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</si>
  <si>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</si>
  <si>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</si>
  <si>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</si>
  <si>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</si>
  <si>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</si>
  <si>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</si>
  <si>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Note:</t>
  </si>
  <si>
    <t>Prior to June 2004,  the food and non-beverages category includes tobacco &amp; narcotics category</t>
  </si>
  <si>
    <t>Prior to January 1996, the fish category seperately is not available</t>
  </si>
  <si>
    <t>Prior to June 2004, the transport category includes communication category</t>
  </si>
  <si>
    <t>Prior to June 2004, the recreation &amp; cultute category includes education category</t>
  </si>
  <si>
    <t xml:space="preserve">Prior to June 1996, the housing, water. Electricity, gas and other fuels category includes only rent </t>
  </si>
  <si>
    <t>na- Not available</t>
  </si>
  <si>
    <t>2018 ,cSwaejcaWr ,uDnwgcnim egugwa egurWzWb uhwmcswmikea : 17.4 ulwvWt</t>
  </si>
  <si>
    <t>Table 17.4 :   CPI GROUPS, by months,  Republic,  2018</t>
  </si>
  <si>
    <t>Monthly CPI</t>
  </si>
  <si>
    <t>iawa.Ip.Is eguhwmcswm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</si>
  <si>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</si>
  <si>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</si>
  <si>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</si>
  <si>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</si>
  <si>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</si>
  <si>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</si>
  <si>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</si>
  <si>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</si>
  <si>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</si>
  <si>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</si>
  <si>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</si>
  <si>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</si>
  <si>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cjErwvea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</si>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</sst>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0.0"/>
    <numFmt numFmtId="169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color theme="1"/>
      <name val="A_Randhoo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i/>
      <sz val="9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_Randhoo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b/>
      <sz val="11"/>
      <color theme="1"/>
      <name val="A_Randhoo"/>
    </font>
    <font>
      <sz val="9"/>
      <name val="Calibri"/>
      <family val="2"/>
      <scheme val="minor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4" fontId="2" fillId="0" borderId="0"/>
    <xf numFmtId="0" fontId="5" fillId="0" borderId="0"/>
    <xf numFmtId="164" fontId="2" fillId="0" borderId="0"/>
    <xf numFmtId="164" fontId="2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</cellStyleXfs>
  <cellXfs count="45">
    <xf numFmtId="0" fontId="0" fillId="0" borderId="0" xfId="0"/>
    <xf numFmtId="0" fontId="0" fillId="2" borderId="0" xfId="0" applyFill="1"/>
    <xf numFmtId="164" fontId="8" fillId="2" borderId="0" xfId="1" applyFont="1" applyFill="1" applyBorder="1" applyAlignment="1" applyProtection="1">
      <alignment horizontal="left" vertical="center"/>
    </xf>
    <xf numFmtId="0" fontId="9" fillId="2" borderId="0" xfId="0" applyFont="1" applyFill="1"/>
    <xf numFmtId="0" fontId="9" fillId="2" borderId="0" xfId="2" applyFont="1" applyFill="1"/>
    <xf numFmtId="0" fontId="6" fillId="2" borderId="3" xfId="2" applyFont="1" applyFill="1" applyBorder="1" applyAlignment="1">
      <alignment vertical="center"/>
    </xf>
    <xf numFmtId="0" fontId="5" fillId="2" borderId="3" xfId="2" applyFont="1" applyFill="1" applyBorder="1"/>
    <xf numFmtId="164" fontId="4" fillId="2" borderId="3" xfId="3" applyFont="1" applyFill="1" applyBorder="1" applyAlignment="1">
      <alignment horizontal="right" vertical="center"/>
    </xf>
    <xf numFmtId="164" fontId="13" fillId="2" borderId="0" xfId="4" applyFont="1" applyFill="1" applyAlignment="1">
      <alignment vertical="center" wrapText="1"/>
    </xf>
    <xf numFmtId="165" fontId="13" fillId="2" borderId="0" xfId="5" applyNumberFormat="1" applyFont="1" applyFill="1" applyBorder="1" applyAlignment="1">
      <alignment horizontal="right" vertical="center"/>
    </xf>
    <xf numFmtId="164" fontId="14" fillId="2" borderId="0" xfId="3" applyFont="1" applyFill="1" applyAlignment="1">
      <alignment horizontal="right" vertical="center"/>
    </xf>
    <xf numFmtId="164" fontId="13" fillId="2" borderId="0" xfId="4" applyFont="1" applyFill="1" applyAlignment="1">
      <alignment vertical="center"/>
    </xf>
    <xf numFmtId="164" fontId="14" fillId="2" borderId="0" xfId="3" applyFont="1" applyFill="1" applyAlignment="1">
      <alignment horizontal="right" vertical="center" indent="1"/>
    </xf>
    <xf numFmtId="0" fontId="13" fillId="2" borderId="0" xfId="5" applyFont="1" applyFill="1" applyAlignment="1">
      <alignment vertical="center"/>
    </xf>
    <xf numFmtId="164" fontId="13" fillId="2" borderId="0" xfId="4" applyFont="1" applyFill="1" applyBorder="1" applyAlignment="1">
      <alignment vertical="center" wrapText="1"/>
    </xf>
    <xf numFmtId="164" fontId="14" fillId="2" borderId="0" xfId="1" applyFont="1" applyFill="1" applyAlignment="1">
      <alignment horizontal="right" vertical="center"/>
    </xf>
    <xf numFmtId="164" fontId="12" fillId="2" borderId="0" xfId="4" applyFont="1" applyFill="1" applyBorder="1" applyAlignment="1">
      <alignment vertical="center"/>
    </xf>
    <xf numFmtId="165" fontId="12" fillId="2" borderId="0" xfId="5" applyNumberFormat="1" applyFont="1" applyFill="1" applyBorder="1" applyAlignment="1">
      <alignment horizontal="right" vertical="center"/>
    </xf>
    <xf numFmtId="164" fontId="4" fillId="2" borderId="0" xfId="3" applyFont="1" applyFill="1" applyBorder="1" applyAlignment="1">
      <alignment horizontal="right" vertical="center"/>
    </xf>
    <xf numFmtId="164" fontId="12" fillId="2" borderId="1" xfId="4" applyFont="1" applyFill="1" applyBorder="1" applyAlignment="1">
      <alignment vertical="center"/>
    </xf>
    <xf numFmtId="164" fontId="4" fillId="2" borderId="1" xfId="1" applyFont="1" applyFill="1" applyBorder="1" applyAlignment="1">
      <alignment horizontal="right" vertical="center"/>
    </xf>
    <xf numFmtId="0" fontId="15" fillId="2" borderId="0" xfId="0" applyFont="1" applyFill="1" applyAlignment="1">
      <alignment horizontal="left" vertical="center" indent="1"/>
    </xf>
    <xf numFmtId="165" fontId="12" fillId="2" borderId="1" xfId="5" applyNumberFormat="1" applyFont="1" applyFill="1" applyBorder="1" applyAlignment="1">
      <alignment horizontal="right" vertical="center"/>
    </xf>
    <xf numFmtId="164" fontId="17" fillId="2" borderId="0" xfId="1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8" fillId="2" borderId="2" xfId="2" applyFont="1" applyFill="1" applyBorder="1" applyAlignment="1">
      <alignment horizontal="left"/>
    </xf>
    <xf numFmtId="0" fontId="16" fillId="2" borderId="2" xfId="2" applyFont="1" applyFill="1" applyBorder="1" applyAlignment="1">
      <alignment horizontal="right"/>
    </xf>
    <xf numFmtId="0" fontId="12" fillId="2" borderId="0" xfId="2" applyFont="1" applyFill="1" applyBorder="1" applyAlignment="1">
      <alignment horizontal="left" vertical="center"/>
    </xf>
    <xf numFmtId="164" fontId="4" fillId="2" borderId="0" xfId="3" applyFont="1" applyFill="1" applyBorder="1" applyAlignment="1">
      <alignment horizontal="right" vertical="center" wrapText="1"/>
    </xf>
    <xf numFmtId="0" fontId="7" fillId="2" borderId="0" xfId="2" applyFont="1" applyFill="1" applyBorder="1" applyAlignment="1">
      <alignment horizontal="right" vertical="center"/>
    </xf>
    <xf numFmtId="165" fontId="16" fillId="2" borderId="0" xfId="0" applyNumberFormat="1" applyFont="1" applyFill="1" applyAlignment="1">
      <alignment vertical="center"/>
    </xf>
    <xf numFmtId="0" fontId="6" fillId="2" borderId="1" xfId="2" applyFont="1" applyFill="1" applyBorder="1" applyAlignment="1">
      <alignment horizontal="right" vertical="center"/>
    </xf>
    <xf numFmtId="17" fontId="6" fillId="2" borderId="1" xfId="2" applyNumberFormat="1" applyFont="1" applyFill="1" applyBorder="1" applyAlignment="1">
      <alignment horizontal="right" vertical="center"/>
    </xf>
    <xf numFmtId="0" fontId="19" fillId="2" borderId="1" xfId="2" applyFont="1" applyFill="1" applyBorder="1" applyAlignment="1">
      <alignment horizontal="right" vertical="center"/>
    </xf>
    <xf numFmtId="0" fontId="15" fillId="2" borderId="0" xfId="0" applyFont="1" applyFill="1" applyAlignment="1">
      <alignment vertical="center"/>
    </xf>
    <xf numFmtId="164" fontId="6" fillId="2" borderId="0" xfId="1" applyFont="1" applyFill="1" applyBorder="1" applyAlignment="1" applyProtection="1">
      <alignment horizontal="center" vertical="center"/>
    </xf>
    <xf numFmtId="2" fontId="12" fillId="2" borderId="0" xfId="5" applyNumberFormat="1" applyFont="1" applyFill="1" applyBorder="1" applyAlignment="1">
      <alignment horizontal="right" vertical="center"/>
    </xf>
    <xf numFmtId="2" fontId="12" fillId="2" borderId="1" xfId="5" applyNumberFormat="1" applyFont="1" applyFill="1" applyBorder="1" applyAlignment="1">
      <alignment horizontal="right" vertical="center"/>
    </xf>
    <xf numFmtId="164" fontId="3" fillId="2" borderId="0" xfId="1" applyFont="1" applyFill="1" applyAlignment="1">
      <alignment horizontal="center" vertical="center"/>
    </xf>
    <xf numFmtId="164" fontId="10" fillId="2" borderId="0" xfId="1" applyFont="1" applyFill="1" applyAlignment="1">
      <alignment horizontal="center" vertical="center" wrapText="1"/>
    </xf>
    <xf numFmtId="164" fontId="11" fillId="2" borderId="1" xfId="1" applyFont="1" applyFill="1" applyBorder="1" applyAlignment="1" applyProtection="1">
      <alignment horizontal="center" vertical="center"/>
    </xf>
    <xf numFmtId="164" fontId="12" fillId="2" borderId="4" xfId="1" applyFont="1" applyFill="1" applyBorder="1" applyAlignment="1" applyProtection="1">
      <alignment horizontal="center" vertical="center"/>
    </xf>
    <xf numFmtId="164" fontId="17" fillId="2" borderId="0" xfId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9">
    <cellStyle name="Comma 3 2" xfId="6"/>
    <cellStyle name="Normal" xfId="0" builtinId="0"/>
    <cellStyle name="Normal 3" xfId="7"/>
    <cellStyle name="Normal 4" xfId="8"/>
    <cellStyle name="Normal_17 Prices_done" xfId="2"/>
    <cellStyle name="Normal_CPI new tables" xfId="5"/>
    <cellStyle name="Normal_Dec97" xfId="4"/>
    <cellStyle name="Normal_XII-11(Commerce)" xfId="3"/>
    <cellStyle name="Normal_XII-12 (Commerce)" xfId="1"/>
  </cellStyles>
  <dxfs count="0"/>
  <tableStyles count="0" defaultTableStyle="TableStyleMedium2" defaultPivotStyle="PivotStyleLight16"/>
  <colors>
    <mruColors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.1"/>
      <sheetName val="17.2"/>
      <sheetName val="17.3"/>
      <sheetName val="17.4"/>
      <sheetName val="17.5"/>
      <sheetName val="17.6"/>
      <sheetName val="17.7"/>
      <sheetName val="17.8"/>
    </sheetNames>
    <sheetDataSet>
      <sheetData sheetId="0">
        <row r="7">
          <cell r="C7" t="str">
            <v>Consumer Price Index (CPI)</v>
          </cell>
          <cell r="D7"/>
          <cell r="E7"/>
          <cell r="F7"/>
          <cell r="G7" t="str">
            <v>Annual Inflation Rate (%)</v>
          </cell>
          <cell r="H7"/>
          <cell r="I7"/>
          <cell r="J7"/>
        </row>
        <row r="10">
          <cell r="B10">
            <v>1985</v>
          </cell>
          <cell r="C10">
            <v>19.98</v>
          </cell>
          <cell r="H10"/>
        </row>
        <row r="11">
          <cell r="B11">
            <v>1986</v>
          </cell>
          <cell r="C11">
            <v>21.93</v>
          </cell>
          <cell r="H11">
            <v>9.7200000000000006</v>
          </cell>
        </row>
        <row r="12">
          <cell r="B12">
            <v>1987</v>
          </cell>
          <cell r="C12">
            <v>24.05</v>
          </cell>
          <cell r="H12">
            <v>9.6999999999999993</v>
          </cell>
        </row>
        <row r="13">
          <cell r="B13">
            <v>1988</v>
          </cell>
          <cell r="C13">
            <v>25.61</v>
          </cell>
          <cell r="H13">
            <v>6.46</v>
          </cell>
        </row>
        <row r="14">
          <cell r="B14">
            <v>1989</v>
          </cell>
          <cell r="C14">
            <v>27.44</v>
          </cell>
          <cell r="H14">
            <v>7.17</v>
          </cell>
        </row>
        <row r="15">
          <cell r="B15">
            <v>1990</v>
          </cell>
          <cell r="C15">
            <v>28.44</v>
          </cell>
          <cell r="H15">
            <v>3.65</v>
          </cell>
        </row>
        <row r="16">
          <cell r="B16">
            <v>1991</v>
          </cell>
          <cell r="C16">
            <v>32.630000000000003</v>
          </cell>
          <cell r="H16">
            <v>14.71</v>
          </cell>
        </row>
        <row r="17">
          <cell r="B17">
            <v>1992</v>
          </cell>
          <cell r="C17">
            <v>38.130000000000003</v>
          </cell>
          <cell r="H17">
            <v>16.86</v>
          </cell>
        </row>
        <row r="18">
          <cell r="B18">
            <v>1993</v>
          </cell>
          <cell r="C18">
            <v>45.8</v>
          </cell>
          <cell r="H18">
            <v>20.13</v>
          </cell>
        </row>
        <row r="19">
          <cell r="B19">
            <v>1994</v>
          </cell>
          <cell r="C19">
            <v>47.35</v>
          </cell>
          <cell r="H19">
            <v>3.39</v>
          </cell>
        </row>
        <row r="20">
          <cell r="B20">
            <v>1995</v>
          </cell>
          <cell r="C20">
            <v>49.95</v>
          </cell>
          <cell r="H20">
            <v>5.49</v>
          </cell>
        </row>
        <row r="21">
          <cell r="B21">
            <v>1996</v>
          </cell>
          <cell r="C21">
            <v>53.07</v>
          </cell>
          <cell r="H21">
            <v>6.24</v>
          </cell>
        </row>
        <row r="22">
          <cell r="B22">
            <v>1997</v>
          </cell>
          <cell r="C22">
            <v>57.09</v>
          </cell>
          <cell r="H22">
            <v>7.57</v>
          </cell>
        </row>
        <row r="23">
          <cell r="B23">
            <v>1998</v>
          </cell>
          <cell r="C23">
            <v>56.29</v>
          </cell>
          <cell r="H23">
            <v>-1.4</v>
          </cell>
        </row>
        <row r="24">
          <cell r="B24">
            <v>1999</v>
          </cell>
          <cell r="C24">
            <v>57.95</v>
          </cell>
          <cell r="H24">
            <v>2.95</v>
          </cell>
        </row>
        <row r="25">
          <cell r="B25">
            <v>2000</v>
          </cell>
          <cell r="C25">
            <v>57.27</v>
          </cell>
          <cell r="H25">
            <v>-1.17</v>
          </cell>
        </row>
        <row r="26">
          <cell r="B26">
            <v>2001</v>
          </cell>
          <cell r="C26">
            <v>57.66</v>
          </cell>
          <cell r="H26">
            <v>0.67</v>
          </cell>
        </row>
        <row r="27">
          <cell r="B27">
            <v>2002</v>
          </cell>
          <cell r="C27">
            <v>60.07</v>
          </cell>
          <cell r="H27">
            <v>4.18</v>
          </cell>
        </row>
        <row r="28">
          <cell r="B28">
            <v>2003</v>
          </cell>
          <cell r="C28">
            <v>59.31</v>
          </cell>
          <cell r="H28">
            <v>-1.26</v>
          </cell>
        </row>
        <row r="29">
          <cell r="B29">
            <v>2004</v>
          </cell>
          <cell r="C29">
            <v>58.31</v>
          </cell>
          <cell r="H29">
            <v>-1.69</v>
          </cell>
        </row>
        <row r="30">
          <cell r="B30">
            <v>2005</v>
          </cell>
          <cell r="C30">
            <v>59.07</v>
          </cell>
          <cell r="H30">
            <v>1.3</v>
          </cell>
        </row>
        <row r="31">
          <cell r="B31">
            <v>2006</v>
          </cell>
          <cell r="C31">
            <v>60.68</v>
          </cell>
          <cell r="H31">
            <v>2.74</v>
          </cell>
        </row>
        <row r="32">
          <cell r="B32">
            <v>2007</v>
          </cell>
          <cell r="C32">
            <v>64.81</v>
          </cell>
          <cell r="H32">
            <v>6.79</v>
          </cell>
        </row>
        <row r="33">
          <cell r="B33">
            <v>2008</v>
          </cell>
          <cell r="C33">
            <v>72.61</v>
          </cell>
          <cell r="H33">
            <v>12.04</v>
          </cell>
        </row>
        <row r="34">
          <cell r="B34">
            <v>2009</v>
          </cell>
          <cell r="C34">
            <v>75.900000000000006</v>
          </cell>
          <cell r="H34">
            <v>4.53</v>
          </cell>
        </row>
        <row r="35">
          <cell r="B35">
            <v>2010</v>
          </cell>
          <cell r="C35">
            <v>80.569999999999993</v>
          </cell>
          <cell r="H35">
            <v>6.15</v>
          </cell>
        </row>
        <row r="36">
          <cell r="B36">
            <v>2011</v>
          </cell>
          <cell r="C36">
            <v>89.65</v>
          </cell>
          <cell r="H36">
            <v>11.27</v>
          </cell>
        </row>
        <row r="37">
          <cell r="B37">
            <v>2012</v>
          </cell>
          <cell r="C37">
            <v>99.409647361204449</v>
          </cell>
          <cell r="H37">
            <v>10.88</v>
          </cell>
        </row>
        <row r="38">
          <cell r="B38">
            <v>2013</v>
          </cell>
          <cell r="C38">
            <v>103.19281073321666</v>
          </cell>
          <cell r="H38">
            <v>3.8056300091942941</v>
          </cell>
        </row>
        <row r="39">
          <cell r="B39">
            <v>2014</v>
          </cell>
          <cell r="C39">
            <v>105.38050013404563</v>
          </cell>
          <cell r="H39">
            <v>2.1200017571813001</v>
          </cell>
        </row>
        <row r="40">
          <cell r="B40">
            <v>2015</v>
          </cell>
          <cell r="C40">
            <v>106.38</v>
          </cell>
          <cell r="H40">
            <v>0.95</v>
          </cell>
        </row>
        <row r="41">
          <cell r="B41">
            <v>2016</v>
          </cell>
          <cell r="C41">
            <v>106.91958868829052</v>
          </cell>
          <cell r="H41">
            <v>0.50250941361158485</v>
          </cell>
        </row>
        <row r="42">
          <cell r="B42">
            <v>2017</v>
          </cell>
          <cell r="C42">
            <v>109.93201964009602</v>
          </cell>
          <cell r="H42">
            <v>2.8174733823451481</v>
          </cell>
        </row>
        <row r="43">
          <cell r="B43">
            <v>2018</v>
          </cell>
          <cell r="C43">
            <v>109.78539958307455</v>
          </cell>
          <cell r="H43">
            <v>-0.13337338611760785</v>
          </cell>
        </row>
      </sheetData>
      <sheetData sheetId="1"/>
      <sheetData sheetId="2"/>
      <sheetData sheetId="3"/>
      <sheetData sheetId="4">
        <row r="9">
          <cell r="AH9">
            <v>2014</v>
          </cell>
          <cell r="AI9">
            <v>2015</v>
          </cell>
          <cell r="AJ9">
            <v>2016</v>
          </cell>
          <cell r="AK9">
            <v>2017</v>
          </cell>
          <cell r="AL9">
            <v>2018</v>
          </cell>
        </row>
        <row r="10">
          <cell r="AB10" t="str">
            <v>Republic</v>
          </cell>
          <cell r="AH10">
            <v>105.38050013404563</v>
          </cell>
          <cell r="AI10">
            <v>106.38499407837655</v>
          </cell>
          <cell r="AJ10">
            <v>106.91958868829052</v>
          </cell>
          <cell r="AK10">
            <v>109.93201964009602</v>
          </cell>
          <cell r="AL10">
            <v>109.78539958307455</v>
          </cell>
        </row>
        <row r="11">
          <cell r="AB11" t="str">
            <v>Male'</v>
          </cell>
          <cell r="AH11">
            <v>105.92043432963987</v>
          </cell>
          <cell r="AI11">
            <v>107.37293678888472</v>
          </cell>
          <cell r="AJ11">
            <v>108.23342334232696</v>
          </cell>
          <cell r="AK11">
            <v>110.69246887707151</v>
          </cell>
          <cell r="AL11">
            <v>112.20541633013362</v>
          </cell>
        </row>
        <row r="16">
          <cell r="AC16" t="str">
            <v>Including fish</v>
          </cell>
          <cell r="AD16" t="str">
            <v>Excluding fish</v>
          </cell>
        </row>
        <row r="20">
          <cell r="AB20">
            <v>2010</v>
          </cell>
          <cell r="AC20">
            <v>80.568542845421106</v>
          </cell>
          <cell r="AD20">
            <v>84.338371332150743</v>
          </cell>
        </row>
        <row r="21">
          <cell r="AB21">
            <v>2011</v>
          </cell>
          <cell r="AC21">
            <v>89.651368722070842</v>
          </cell>
          <cell r="AD21">
            <v>91.679051572020867</v>
          </cell>
        </row>
        <row r="22">
          <cell r="AB22">
            <v>2012</v>
          </cell>
          <cell r="AC22">
            <v>99.409647361204449</v>
          </cell>
          <cell r="AD22">
            <v>100.14126599840249</v>
          </cell>
        </row>
        <row r="23">
          <cell r="AB23">
            <v>2013</v>
          </cell>
          <cell r="AC23">
            <v>103.19281073321666</v>
          </cell>
          <cell r="AD23">
            <v>103.07423491391059</v>
          </cell>
        </row>
        <row r="24">
          <cell r="AB24">
            <v>2014</v>
          </cell>
          <cell r="AC24">
            <v>105.38050013404563</v>
          </cell>
          <cell r="AD24">
            <v>105.29983112357628</v>
          </cell>
        </row>
        <row r="25">
          <cell r="AB25">
            <v>2015</v>
          </cell>
          <cell r="AC25">
            <v>106.38499407837655</v>
          </cell>
          <cell r="AD25">
            <v>106.44622541898161</v>
          </cell>
        </row>
        <row r="26">
          <cell r="AB26">
            <v>2016</v>
          </cell>
          <cell r="AC26">
            <v>106.91958868829052</v>
          </cell>
          <cell r="AD26">
            <v>107.1902747590181</v>
          </cell>
        </row>
        <row r="27">
          <cell r="AB27">
            <v>2017</v>
          </cell>
          <cell r="AC27">
            <v>109.93201964009602</v>
          </cell>
          <cell r="AD27">
            <v>110.17175267946645</v>
          </cell>
        </row>
        <row r="28">
          <cell r="AB28">
            <v>2018</v>
          </cell>
          <cell r="AC28">
            <v>109.78539958307455</v>
          </cell>
          <cell r="AD28">
            <v>109.83680520270974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tabSelected="1" zoomScaleNormal="100" workbookViewId="0">
      <selection activeCell="H34" sqref="H34"/>
    </sheetView>
  </sheetViews>
  <sheetFormatPr defaultColWidth="9.140625" defaultRowHeight="15" x14ac:dyDescent="0.25"/>
  <cols>
    <col min="1" max="1" width="37" style="1" customWidth="1"/>
    <col min="2" max="6" width="9.140625" style="1" customWidth="1"/>
    <col min="7" max="9" width="9.140625" style="1"/>
    <col min="10" max="13" width="11" style="1" customWidth="1"/>
    <col min="14" max="14" width="10.28515625" style="1" customWidth="1"/>
    <col min="15" max="15" width="35" style="1" bestFit="1" customWidth="1"/>
    <col min="16" max="16" width="1" style="1" customWidth="1"/>
    <col min="17" max="16384" width="9.140625" style="1"/>
  </cols>
  <sheetData>
    <row r="1" spans="1:24" s="3" customFormat="1" ht="19.5" x14ac:dyDescent="0.2">
      <c r="A1" s="43" t="s">
        <v>46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23"/>
      <c r="Q1" s="39"/>
      <c r="R1" s="39"/>
      <c r="S1" s="39"/>
      <c r="T1" s="39"/>
      <c r="U1" s="39"/>
      <c r="V1" s="39"/>
      <c r="W1" s="39"/>
      <c r="X1" s="39"/>
    </row>
    <row r="2" spans="1:24" s="24" customFormat="1" x14ac:dyDescent="0.25">
      <c r="A2" s="44" t="s">
        <v>47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24" s="4" customFormat="1" ht="15.75" customHeight="1" x14ac:dyDescent="0.2">
      <c r="A3" s="40" t="s">
        <v>0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</row>
    <row r="4" spans="1:24" s="4" customFormat="1" ht="12.75" x14ac:dyDescent="0.2">
      <c r="A4" s="41" t="s">
        <v>1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1:24" s="25" customFormat="1" ht="12.75" x14ac:dyDescent="0.25">
      <c r="A5" s="36"/>
      <c r="B5" s="42">
        <v>2018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36"/>
    </row>
    <row r="6" spans="1:24" s="25" customFormat="1" ht="15.75" customHeight="1" x14ac:dyDescent="0.2">
      <c r="A6" s="26"/>
      <c r="B6" s="5" t="s">
        <v>48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 t="s">
        <v>49</v>
      </c>
      <c r="O6" s="27"/>
    </row>
    <row r="7" spans="1:24" s="25" customFormat="1" ht="15.75" x14ac:dyDescent="0.25">
      <c r="A7" s="28" t="s">
        <v>3</v>
      </c>
      <c r="B7" s="29" t="s">
        <v>50</v>
      </c>
      <c r="C7" s="29" t="s">
        <v>51</v>
      </c>
      <c r="D7" s="29" t="s">
        <v>52</v>
      </c>
      <c r="E7" s="29" t="s">
        <v>53</v>
      </c>
      <c r="F7" s="29" t="s">
        <v>54</v>
      </c>
      <c r="G7" s="29" t="s">
        <v>55</v>
      </c>
      <c r="H7" s="29" t="s">
        <v>56</v>
      </c>
      <c r="I7" s="29" t="s">
        <v>57</v>
      </c>
      <c r="J7" s="29" t="s">
        <v>58</v>
      </c>
      <c r="K7" s="29" t="s">
        <v>59</v>
      </c>
      <c r="L7" s="29" t="s">
        <v>60</v>
      </c>
      <c r="M7" s="29" t="s">
        <v>61</v>
      </c>
      <c r="N7" s="29" t="s">
        <v>62</v>
      </c>
      <c r="O7" s="30" t="s">
        <v>4</v>
      </c>
      <c r="Q7" s="31"/>
    </row>
    <row r="8" spans="1:24" s="25" customFormat="1" ht="12" x14ac:dyDescent="0.25">
      <c r="A8" s="32"/>
      <c r="B8" s="33" t="s">
        <v>63</v>
      </c>
      <c r="C8" s="32" t="s">
        <v>64</v>
      </c>
      <c r="D8" s="32" t="s">
        <v>65</v>
      </c>
      <c r="E8" s="32" t="s">
        <v>66</v>
      </c>
      <c r="F8" s="32" t="s">
        <v>67</v>
      </c>
      <c r="G8" s="32" t="s">
        <v>68</v>
      </c>
      <c r="H8" s="32" t="s">
        <v>69</v>
      </c>
      <c r="I8" s="32" t="s">
        <v>70</v>
      </c>
      <c r="J8" s="32" t="s">
        <v>71</v>
      </c>
      <c r="K8" s="32" t="s">
        <v>72</v>
      </c>
      <c r="L8" s="32" t="s">
        <v>73</v>
      </c>
      <c r="M8" s="32" t="s">
        <v>74</v>
      </c>
      <c r="N8" s="32" t="s">
        <v>75</v>
      </c>
      <c r="O8" s="34"/>
      <c r="Q8" s="31"/>
    </row>
    <row r="9" spans="1:24" s="25" customFormat="1" x14ac:dyDescent="0.25">
      <c r="A9" s="8" t="s">
        <v>5</v>
      </c>
      <c r="B9" s="9">
        <v>114.31627108300184</v>
      </c>
      <c r="C9" s="9">
        <v>115.0333333341194</v>
      </c>
      <c r="D9" s="9">
        <v>113.83522363921637</v>
      </c>
      <c r="E9" s="9">
        <v>111.13788049632346</v>
      </c>
      <c r="F9" s="9">
        <v>110.05598839104111</v>
      </c>
      <c r="G9" s="9">
        <v>108.53319333123308</v>
      </c>
      <c r="H9" s="9">
        <v>110.36854658887042</v>
      </c>
      <c r="I9" s="9">
        <v>115.40034137563745</v>
      </c>
      <c r="J9" s="9">
        <v>112.35152738461723</v>
      </c>
      <c r="K9" s="9">
        <v>110.21689343230796</v>
      </c>
      <c r="L9" s="9">
        <v>110.59936240243886</v>
      </c>
      <c r="M9" s="9">
        <v>109.87286248837663</v>
      </c>
      <c r="N9" s="9">
        <f>AVERAGE(B9:M9)</f>
        <v>111.81011866226531</v>
      </c>
      <c r="O9" s="10" t="s">
        <v>6</v>
      </c>
      <c r="Q9" s="31"/>
    </row>
    <row r="10" spans="1:24" s="25" customFormat="1" x14ac:dyDescent="0.25">
      <c r="A10" s="8" t="s">
        <v>7</v>
      </c>
      <c r="B10" s="9">
        <v>117.96281338171065</v>
      </c>
      <c r="C10" s="9">
        <v>117.03500972532922</v>
      </c>
      <c r="D10" s="9">
        <v>116.41888916425904</v>
      </c>
      <c r="E10" s="9">
        <v>110.20255605235681</v>
      </c>
      <c r="F10" s="9">
        <v>110.27567474657593</v>
      </c>
      <c r="G10" s="9">
        <v>109.62269743089885</v>
      </c>
      <c r="H10" s="9">
        <v>109.92531563373336</v>
      </c>
      <c r="I10" s="9">
        <v>116.38648319525412</v>
      </c>
      <c r="J10" s="9">
        <v>114.34262091035693</v>
      </c>
      <c r="K10" s="9">
        <v>110.75558724521551</v>
      </c>
      <c r="L10" s="9">
        <v>111.15445917416444</v>
      </c>
      <c r="M10" s="9">
        <v>111.10287875500617</v>
      </c>
      <c r="N10" s="9">
        <f t="shared" ref="N10:N25" si="0">AVERAGE(B10:M10)</f>
        <v>112.9320821179051</v>
      </c>
      <c r="O10" s="10" t="s">
        <v>8</v>
      </c>
      <c r="Q10" s="31"/>
    </row>
    <row r="11" spans="1:24" s="25" customFormat="1" x14ac:dyDescent="0.25">
      <c r="A11" s="11" t="s">
        <v>9</v>
      </c>
      <c r="B11" s="9">
        <v>105.97038975485788</v>
      </c>
      <c r="C11" s="9">
        <v>110.45207463754562</v>
      </c>
      <c r="D11" s="9">
        <v>107.92196003296179</v>
      </c>
      <c r="E11" s="9">
        <v>113.27856780315214</v>
      </c>
      <c r="F11" s="9">
        <v>109.55318982118662</v>
      </c>
      <c r="G11" s="9">
        <v>106.03963335647136</v>
      </c>
      <c r="H11" s="9">
        <v>111.38297413406731</v>
      </c>
      <c r="I11" s="9">
        <v>113.14334778415945</v>
      </c>
      <c r="J11" s="9">
        <v>107.79448980824181</v>
      </c>
      <c r="K11" s="9">
        <v>108.98397899818158</v>
      </c>
      <c r="L11" s="9">
        <v>109.32890633667589</v>
      </c>
      <c r="M11" s="9">
        <v>107.0577107769566</v>
      </c>
      <c r="N11" s="9">
        <f t="shared" si="0"/>
        <v>109.24226860370483</v>
      </c>
      <c r="O11" s="10" t="s">
        <v>10</v>
      </c>
      <c r="Q11" s="31"/>
    </row>
    <row r="12" spans="1:24" s="25" customFormat="1" x14ac:dyDescent="0.25">
      <c r="A12" s="11" t="s">
        <v>11</v>
      </c>
      <c r="B12" s="9">
        <v>161.76960847692726</v>
      </c>
      <c r="C12" s="9">
        <v>164.86918649109364</v>
      </c>
      <c r="D12" s="9">
        <v>166.22655450184001</v>
      </c>
      <c r="E12" s="9">
        <v>166.41782843285662</v>
      </c>
      <c r="F12" s="9">
        <v>166.36641705083699</v>
      </c>
      <c r="G12" s="9">
        <v>166.38164365426803</v>
      </c>
      <c r="H12" s="9">
        <v>170.0017273169581</v>
      </c>
      <c r="I12" s="9">
        <v>170.03100469417302</v>
      </c>
      <c r="J12" s="9">
        <v>171.37551568221659</v>
      </c>
      <c r="K12" s="9">
        <v>171.30120468397328</v>
      </c>
      <c r="L12" s="9">
        <v>167.11956842000015</v>
      </c>
      <c r="M12" s="9">
        <v>166.23791143813204</v>
      </c>
      <c r="N12" s="9">
        <f t="shared" si="0"/>
        <v>167.34151423693964</v>
      </c>
      <c r="O12" s="10" t="s">
        <v>38</v>
      </c>
      <c r="Q12" s="31"/>
    </row>
    <row r="13" spans="1:24" x14ac:dyDescent="0.25">
      <c r="A13" s="11" t="s">
        <v>12</v>
      </c>
      <c r="B13" s="9">
        <v>99.681956639800774</v>
      </c>
      <c r="C13" s="9">
        <v>98.595904172013107</v>
      </c>
      <c r="D13" s="9">
        <v>98.275325051504566</v>
      </c>
      <c r="E13" s="9">
        <v>97.777000302650549</v>
      </c>
      <c r="F13" s="9">
        <v>98.141200146028922</v>
      </c>
      <c r="G13" s="9">
        <v>98.172426003813683</v>
      </c>
      <c r="H13" s="9">
        <v>98.020402304070203</v>
      </c>
      <c r="I13" s="9">
        <v>98.169201014167314</v>
      </c>
      <c r="J13" s="9">
        <v>98.105897027201493</v>
      </c>
      <c r="K13" s="9">
        <v>97.763777069045787</v>
      </c>
      <c r="L13" s="9">
        <v>97.828742743191256</v>
      </c>
      <c r="M13" s="9">
        <v>97.336705425184832</v>
      </c>
      <c r="N13" s="9">
        <f t="shared" si="0"/>
        <v>98.155711491556062</v>
      </c>
      <c r="O13" s="10" t="s">
        <v>13</v>
      </c>
      <c r="Q13" s="31"/>
    </row>
    <row r="14" spans="1:24" x14ac:dyDescent="0.25">
      <c r="A14" s="11" t="s">
        <v>14</v>
      </c>
      <c r="B14" s="9">
        <v>110.3050116966716</v>
      </c>
      <c r="C14" s="9">
        <v>110.4784413522581</v>
      </c>
      <c r="D14" s="9">
        <v>110.61668126117098</v>
      </c>
      <c r="E14" s="9">
        <v>107.98447249677497</v>
      </c>
      <c r="F14" s="9">
        <v>107.58630931711869</v>
      </c>
      <c r="G14" s="9">
        <v>108.19714453239408</v>
      </c>
      <c r="H14" s="9">
        <v>108.59227296915277</v>
      </c>
      <c r="I14" s="9">
        <v>108.76350987480762</v>
      </c>
      <c r="J14" s="9">
        <v>109.14434745728606</v>
      </c>
      <c r="K14" s="9">
        <v>109.59458421018107</v>
      </c>
      <c r="L14" s="9">
        <v>109.99455121200759</v>
      </c>
      <c r="M14" s="9">
        <v>110.28833668404366</v>
      </c>
      <c r="N14" s="9">
        <f t="shared" si="0"/>
        <v>109.29547192198891</v>
      </c>
      <c r="O14" s="10" t="s">
        <v>15</v>
      </c>
      <c r="Q14" s="31"/>
    </row>
    <row r="15" spans="1:24" x14ac:dyDescent="0.25">
      <c r="A15" s="11" t="s">
        <v>16</v>
      </c>
      <c r="B15" s="9">
        <v>127.15211973162191</v>
      </c>
      <c r="C15" s="9">
        <v>127.56887172748395</v>
      </c>
      <c r="D15" s="9">
        <v>127.86548600808092</v>
      </c>
      <c r="E15" s="9">
        <v>127.97972026950296</v>
      </c>
      <c r="F15" s="9">
        <v>128.36423933211094</v>
      </c>
      <c r="G15" s="9">
        <v>128.58952016569742</v>
      </c>
      <c r="H15" s="9">
        <v>129.05990947050637</v>
      </c>
      <c r="I15" s="9">
        <v>129.4013522635891</v>
      </c>
      <c r="J15" s="9">
        <v>130.09740332367713</v>
      </c>
      <c r="K15" s="9">
        <v>130.94744937978683</v>
      </c>
      <c r="L15" s="9">
        <v>131.77705787611521</v>
      </c>
      <c r="M15" s="9">
        <v>132.38349145873408</v>
      </c>
      <c r="N15" s="9">
        <f t="shared" si="0"/>
        <v>129.26555175057555</v>
      </c>
      <c r="O15" s="12" t="s">
        <v>17</v>
      </c>
      <c r="Q15" s="31"/>
    </row>
    <row r="16" spans="1:24" ht="25.5" x14ac:dyDescent="0.25">
      <c r="A16" s="8" t="s">
        <v>18</v>
      </c>
      <c r="B16" s="9">
        <v>98.295729472372983</v>
      </c>
      <c r="C16" s="9">
        <v>98.23793682228829</v>
      </c>
      <c r="D16" s="9">
        <v>98.224839045098207</v>
      </c>
      <c r="E16" s="9">
        <v>93.514527880501518</v>
      </c>
      <c r="F16" s="9">
        <v>93.220843318161911</v>
      </c>
      <c r="G16" s="9">
        <v>98.901528778348407</v>
      </c>
      <c r="H16" s="9">
        <v>98.151219524384402</v>
      </c>
      <c r="I16" s="9">
        <v>97.909873784525828</v>
      </c>
      <c r="J16" s="9">
        <v>97.883726237533963</v>
      </c>
      <c r="K16" s="9">
        <v>97.931945396190628</v>
      </c>
      <c r="L16" s="9">
        <v>97.901715207726355</v>
      </c>
      <c r="M16" s="9">
        <v>97.070117496100622</v>
      </c>
      <c r="N16" s="9">
        <f t="shared" si="0"/>
        <v>97.270333580269437</v>
      </c>
      <c r="O16" s="10" t="s">
        <v>19</v>
      </c>
      <c r="Q16" s="31"/>
    </row>
    <row r="17" spans="1:17" x14ac:dyDescent="0.25">
      <c r="A17" s="13" t="s">
        <v>20</v>
      </c>
      <c r="B17" s="9">
        <v>125.85466117850176</v>
      </c>
      <c r="C17" s="9">
        <v>126.03814870491787</v>
      </c>
      <c r="D17" s="9">
        <v>126.03071540714745</v>
      </c>
      <c r="E17" s="9">
        <v>126.03494198689346</v>
      </c>
      <c r="F17" s="9">
        <v>126.14735641079916</v>
      </c>
      <c r="G17" s="9">
        <v>125.99201716329699</v>
      </c>
      <c r="H17" s="9">
        <v>126.10417184853296</v>
      </c>
      <c r="I17" s="9">
        <v>126.14491361487156</v>
      </c>
      <c r="J17" s="9">
        <v>126.1383222456584</v>
      </c>
      <c r="K17" s="9">
        <v>126.12790901099766</v>
      </c>
      <c r="L17" s="9">
        <v>126.16414411009382</v>
      </c>
      <c r="M17" s="9">
        <v>126.55944788558271</v>
      </c>
      <c r="N17" s="9">
        <f t="shared" si="0"/>
        <v>126.1113957972745</v>
      </c>
      <c r="O17" s="10" t="s">
        <v>21</v>
      </c>
      <c r="Q17" s="31"/>
    </row>
    <row r="18" spans="1:17" x14ac:dyDescent="0.25">
      <c r="A18" s="13" t="s">
        <v>22</v>
      </c>
      <c r="B18" s="9">
        <v>101.46640562437432</v>
      </c>
      <c r="C18" s="9">
        <v>101.9189840403849</v>
      </c>
      <c r="D18" s="9">
        <v>102.48628394841155</v>
      </c>
      <c r="E18" s="9">
        <v>102.41816582765124</v>
      </c>
      <c r="F18" s="9">
        <v>103.00913633185638</v>
      </c>
      <c r="G18" s="9">
        <v>103.31622135902855</v>
      </c>
      <c r="H18" s="9">
        <v>103.31475414766309</v>
      </c>
      <c r="I18" s="9">
        <v>103.16457035149945</v>
      </c>
      <c r="J18" s="9">
        <v>103.00512657049373</v>
      </c>
      <c r="K18" s="9">
        <v>103.58334017954577</v>
      </c>
      <c r="L18" s="9">
        <v>103.36368806520015</v>
      </c>
      <c r="M18" s="9">
        <v>103.38145803858411</v>
      </c>
      <c r="N18" s="9">
        <f t="shared" si="0"/>
        <v>102.86901120705778</v>
      </c>
      <c r="O18" s="10" t="s">
        <v>23</v>
      </c>
      <c r="Q18" s="31"/>
    </row>
    <row r="19" spans="1:17" x14ac:dyDescent="0.25">
      <c r="A19" s="13" t="s">
        <v>24</v>
      </c>
      <c r="B19" s="9">
        <v>99.79423455986678</v>
      </c>
      <c r="C19" s="9">
        <v>99.79423455986678</v>
      </c>
      <c r="D19" s="9">
        <v>99.79423455986678</v>
      </c>
      <c r="E19" s="9">
        <v>99.79423455986678</v>
      </c>
      <c r="F19" s="9">
        <v>99.79423455986678</v>
      </c>
      <c r="G19" s="9">
        <v>99.79423455986678</v>
      </c>
      <c r="H19" s="9">
        <v>99.79423455986678</v>
      </c>
      <c r="I19" s="9">
        <v>101.27220658908458</v>
      </c>
      <c r="J19" s="9">
        <v>101.27220658908458</v>
      </c>
      <c r="K19" s="9">
        <v>101.27220658908458</v>
      </c>
      <c r="L19" s="9">
        <v>101.27220658908458</v>
      </c>
      <c r="M19" s="9">
        <v>101.27220658908458</v>
      </c>
      <c r="N19" s="9">
        <f t="shared" si="0"/>
        <v>100.41005623870753</v>
      </c>
      <c r="O19" s="10" t="s">
        <v>25</v>
      </c>
      <c r="Q19" s="31"/>
    </row>
    <row r="20" spans="1:17" x14ac:dyDescent="0.25">
      <c r="A20" s="14" t="s">
        <v>26</v>
      </c>
      <c r="B20" s="9">
        <v>99.648098406072293</v>
      </c>
      <c r="C20" s="9">
        <v>99.527704222013554</v>
      </c>
      <c r="D20" s="9">
        <v>99.859449791327961</v>
      </c>
      <c r="E20" s="9">
        <v>99.644151201992386</v>
      </c>
      <c r="F20" s="9">
        <v>99.606321782391674</v>
      </c>
      <c r="G20" s="9">
        <v>99.698276269834935</v>
      </c>
      <c r="H20" s="9">
        <v>98.966468014502638</v>
      </c>
      <c r="I20" s="9">
        <v>98.716399705704816</v>
      </c>
      <c r="J20" s="9">
        <v>98.697706960899396</v>
      </c>
      <c r="K20" s="9">
        <v>98.323147748731529</v>
      </c>
      <c r="L20" s="9">
        <v>98.41306137012937</v>
      </c>
      <c r="M20" s="9">
        <v>97.255694068469936</v>
      </c>
      <c r="N20" s="9">
        <f t="shared" si="0"/>
        <v>99.029706628505878</v>
      </c>
      <c r="O20" s="15" t="s">
        <v>27</v>
      </c>
      <c r="Q20" s="31"/>
    </row>
    <row r="21" spans="1:17" x14ac:dyDescent="0.25">
      <c r="A21" s="11" t="s">
        <v>28</v>
      </c>
      <c r="B21" s="9">
        <v>133.11915518648536</v>
      </c>
      <c r="C21" s="9">
        <v>133.11915518648536</v>
      </c>
      <c r="D21" s="9">
        <v>133.11915518648536</v>
      </c>
      <c r="E21" s="9">
        <v>133.11915518648536</v>
      </c>
      <c r="F21" s="9">
        <v>133.11915518648536</v>
      </c>
      <c r="G21" s="9">
        <v>133.11915518648536</v>
      </c>
      <c r="H21" s="9">
        <v>133.11915518648536</v>
      </c>
      <c r="I21" s="9">
        <v>133.11915518648536</v>
      </c>
      <c r="J21" s="9">
        <v>133.11915518648536</v>
      </c>
      <c r="K21" s="9">
        <v>133.11915518648536</v>
      </c>
      <c r="L21" s="9">
        <v>133.11915518648536</v>
      </c>
      <c r="M21" s="9">
        <v>133.11915518648536</v>
      </c>
      <c r="N21" s="9">
        <f t="shared" si="0"/>
        <v>133.11915518648536</v>
      </c>
      <c r="O21" s="15" t="s">
        <v>29</v>
      </c>
      <c r="Q21" s="31"/>
    </row>
    <row r="22" spans="1:17" x14ac:dyDescent="0.25">
      <c r="A22" s="11" t="s">
        <v>30</v>
      </c>
      <c r="B22" s="9">
        <v>127.63720146991291</v>
      </c>
      <c r="C22" s="9">
        <v>127.98068250768148</v>
      </c>
      <c r="D22" s="9">
        <v>127.98068250768148</v>
      </c>
      <c r="E22" s="9">
        <v>128.2197590569771</v>
      </c>
      <c r="F22" s="9">
        <v>128.21297042027925</v>
      </c>
      <c r="G22" s="9">
        <v>128.21297042027925</v>
      </c>
      <c r="H22" s="9">
        <v>128.21298697883825</v>
      </c>
      <c r="I22" s="9">
        <v>128.43985518100376</v>
      </c>
      <c r="J22" s="9">
        <v>128.45738044625608</v>
      </c>
      <c r="K22" s="9">
        <v>128.4664849401322</v>
      </c>
      <c r="L22" s="9">
        <v>128.4664849401322</v>
      </c>
      <c r="M22" s="9">
        <v>128.4664849401322</v>
      </c>
      <c r="N22" s="9">
        <f t="shared" si="0"/>
        <v>128.2294953174422</v>
      </c>
      <c r="O22" s="15" t="s">
        <v>31</v>
      </c>
      <c r="Q22" s="31"/>
    </row>
    <row r="23" spans="1:17" x14ac:dyDescent="0.25">
      <c r="A23" s="14" t="s">
        <v>32</v>
      </c>
      <c r="B23" s="9">
        <v>98.252458310499193</v>
      </c>
      <c r="C23" s="9">
        <v>98.312517025938561</v>
      </c>
      <c r="D23" s="9">
        <v>98.334478219545886</v>
      </c>
      <c r="E23" s="9">
        <v>97.559338878955359</v>
      </c>
      <c r="F23" s="9">
        <v>97.546017319301882</v>
      </c>
      <c r="G23" s="9">
        <v>97.47121473538482</v>
      </c>
      <c r="H23" s="9">
        <v>97.462426763288974</v>
      </c>
      <c r="I23" s="9">
        <v>97.420981932012197</v>
      </c>
      <c r="J23" s="9">
        <v>97.483477324055258</v>
      </c>
      <c r="K23" s="9">
        <v>97.545769515911459</v>
      </c>
      <c r="L23" s="9">
        <v>97.285405586574583</v>
      </c>
      <c r="M23" s="9">
        <v>97.27196851258654</v>
      </c>
      <c r="N23" s="9">
        <f t="shared" si="0"/>
        <v>97.662171177004552</v>
      </c>
      <c r="O23" s="15" t="s">
        <v>33</v>
      </c>
      <c r="Q23" s="31"/>
    </row>
    <row r="24" spans="1:17" x14ac:dyDescent="0.25">
      <c r="A24" s="16" t="s">
        <v>34</v>
      </c>
      <c r="B24" s="37">
        <v>110.69350514191611</v>
      </c>
      <c r="C24" s="17">
        <v>111.0034911865295</v>
      </c>
      <c r="D24" s="17">
        <v>110.76093918113826</v>
      </c>
      <c r="E24" s="17">
        <v>108.89245390904621</v>
      </c>
      <c r="F24" s="17">
        <v>108.51463443023214</v>
      </c>
      <c r="G24" s="17">
        <v>108.72807281591703</v>
      </c>
      <c r="H24" s="17">
        <v>109.32031589254262</v>
      </c>
      <c r="I24" s="17">
        <v>110.82427901903849</v>
      </c>
      <c r="J24" s="17">
        <v>110.07416684510345</v>
      </c>
      <c r="K24" s="17">
        <v>109.5777691858395</v>
      </c>
      <c r="L24" s="17">
        <v>109.66122266267195</v>
      </c>
      <c r="M24" s="17">
        <v>109.37394472691939</v>
      </c>
      <c r="N24" s="37">
        <f t="shared" si="0"/>
        <v>109.78539958307455</v>
      </c>
      <c r="O24" s="18" t="s">
        <v>35</v>
      </c>
      <c r="Q24" s="31"/>
    </row>
    <row r="25" spans="1:17" x14ac:dyDescent="0.25">
      <c r="A25" s="19" t="s">
        <v>36</v>
      </c>
      <c r="B25" s="38">
        <v>111.14053299026713</v>
      </c>
      <c r="C25" s="22">
        <v>111.0556810089744</v>
      </c>
      <c r="D25" s="22">
        <v>111.02963952743939</v>
      </c>
      <c r="E25" s="22">
        <v>108.47732218008667</v>
      </c>
      <c r="F25" s="22">
        <v>108.41633846585999</v>
      </c>
      <c r="G25" s="22">
        <v>108.98252505950845</v>
      </c>
      <c r="H25" s="22">
        <v>109.12509185077583</v>
      </c>
      <c r="I25" s="22">
        <v>110.60478653679</v>
      </c>
      <c r="J25" s="22">
        <v>110.28993102556703</v>
      </c>
      <c r="K25" s="22">
        <v>109.63396953840508</v>
      </c>
      <c r="L25" s="22">
        <v>109.69267534591337</v>
      </c>
      <c r="M25" s="22">
        <v>109.5931689029297</v>
      </c>
      <c r="N25" s="38">
        <f t="shared" si="0"/>
        <v>109.83680520270974</v>
      </c>
      <c r="O25" s="20" t="s">
        <v>37</v>
      </c>
      <c r="Q25" s="31"/>
    </row>
    <row r="26" spans="1:17" x14ac:dyDescent="0.25">
      <c r="A26" s="35" t="s">
        <v>39</v>
      </c>
      <c r="B26" s="3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Q26" s="31"/>
    </row>
    <row r="27" spans="1:17" x14ac:dyDescent="0.25">
      <c r="A27" s="21" t="s">
        <v>40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Q27" s="31"/>
    </row>
    <row r="28" spans="1:17" x14ac:dyDescent="0.25">
      <c r="A28" s="21" t="s">
        <v>41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Q28" s="31"/>
    </row>
    <row r="29" spans="1:17" x14ac:dyDescent="0.25">
      <c r="A29" s="21" t="s">
        <v>42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Q29" s="31"/>
    </row>
    <row r="30" spans="1:17" x14ac:dyDescent="0.25">
      <c r="A30" s="21" t="s">
        <v>43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Q30" s="31"/>
    </row>
    <row r="31" spans="1:17" x14ac:dyDescent="0.25">
      <c r="A31" s="21" t="s">
        <v>44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Q31" s="31"/>
    </row>
    <row r="32" spans="1:17" x14ac:dyDescent="0.25">
      <c r="A32" s="21" t="s">
        <v>45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Q32" s="31"/>
    </row>
    <row r="33" spans="1:17" x14ac:dyDescent="0.25">
      <c r="A33" s="2" t="s">
        <v>2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Q33" s="31"/>
    </row>
    <row r="34" spans="1:17" x14ac:dyDescent="0.25">
      <c r="Q34" s="31"/>
    </row>
  </sheetData>
  <mergeCells count="6">
    <mergeCell ref="B5:N5"/>
    <mergeCell ref="A1:O1"/>
    <mergeCell ref="Q1:X1"/>
    <mergeCell ref="A2:O2"/>
    <mergeCell ref="A3:O3"/>
    <mergeCell ref="A4:O4"/>
  </mergeCells>
  <pageMargins left="0.7" right="0.7" top="0.75" bottom="0.75" header="0.3" footer="0.3"/>
  <pageSetup paperSize="9" scale="6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17.4</vt:lpstr>
      <vt:lpstr>'17.4'!Print_Area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2019-05-09T06:57:23Z</cp:lastPrinted>
  <dcterms:created xsi:type="dcterms:W3CDTF">2019-03-21T03:27:43Z</dcterms:created>
  <dcterms:modified xsi:type="dcterms:W3CDTF">2019-05-09T06:57:32Z</dcterms:modified>
</cp:coreProperties>
</file>