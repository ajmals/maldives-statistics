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7. PRICES\"/>
    </mc:Choice>
  </mc:AlternateContent>
  <bookViews>
    <workbookView xWindow="0" yWindow="0" windowWidth="28800" windowHeight="12030" tabRatio="790"/>
  </bookViews>
  <sheets>
    <sheet name="17.5" sheetId="5" r:id="rId1"/>
  </sheets>
  <externalReferences>
    <externalReference r:id="rId2"/>
    <externalReference r:id="rId3"/>
    <externalReference r:id="rId4"/>
  </externalReferences>
  <definedNames>
    <definedName name="_xlnm.Print_Area" localSheetId="0">'17.5'!$A$1:$V$67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28" i="5" l="1"/>
  <c r="R45" i="5" l="1"/>
  <c r="I45" i="5"/>
  <c r="R44" i="5"/>
  <c r="I44" i="5"/>
  <c r="AR11" i="5" s="1"/>
  <c r="B44" i="5"/>
  <c r="B45" i="5" s="1"/>
  <c r="R43" i="5"/>
  <c r="I43" i="5"/>
  <c r="R42" i="5"/>
  <c r="I42" i="5"/>
  <c r="R41" i="5"/>
  <c r="I41" i="5"/>
  <c r="R40" i="5"/>
  <c r="I40" i="5"/>
  <c r="R39" i="5"/>
  <c r="I39" i="5"/>
  <c r="R38" i="5"/>
  <c r="I38" i="5"/>
  <c r="R37" i="5"/>
  <c r="I37" i="5"/>
  <c r="R36" i="5"/>
  <c r="I36" i="5"/>
  <c r="R35" i="5"/>
  <c r="I35" i="5"/>
  <c r="R34" i="5"/>
  <c r="I34" i="5"/>
  <c r="R33" i="5"/>
  <c r="I33" i="5"/>
  <c r="R32" i="5"/>
  <c r="I32" i="5"/>
  <c r="R31" i="5"/>
  <c r="I31" i="5"/>
  <c r="R30" i="5"/>
  <c r="I30" i="5"/>
  <c r="B30" i="5"/>
  <c r="R29" i="5"/>
  <c r="I29" i="5"/>
  <c r="AL28" i="5"/>
  <c r="AL27" i="5"/>
  <c r="AK27" i="5"/>
  <c r="AL25" i="5"/>
  <c r="AK25" i="5"/>
  <c r="AL24" i="5"/>
  <c r="AK24" i="5"/>
  <c r="R24" i="5"/>
  <c r="I24" i="5"/>
  <c r="AL26" i="5" s="1"/>
  <c r="AL23" i="5"/>
  <c r="AK23" i="5"/>
  <c r="R23" i="5"/>
  <c r="I23" i="5"/>
  <c r="AR10" i="5" s="1"/>
  <c r="B23" i="5"/>
  <c r="B24" i="5" s="1"/>
  <c r="AL22" i="5"/>
  <c r="AK22" i="5"/>
  <c r="R22" i="5"/>
  <c r="I22" i="5"/>
  <c r="AL21" i="5"/>
  <c r="AK21" i="5"/>
  <c r="R21" i="5"/>
  <c r="I21" i="5"/>
  <c r="AL20" i="5"/>
  <c r="AK20" i="5"/>
  <c r="R20" i="5"/>
  <c r="I20" i="5"/>
  <c r="R19" i="5"/>
  <c r="I19" i="5"/>
  <c r="R18" i="5"/>
  <c r="I18" i="5"/>
  <c r="R17" i="5"/>
  <c r="I17" i="5"/>
  <c r="R16" i="5"/>
  <c r="I16" i="5"/>
  <c r="R15" i="5"/>
  <c r="I15" i="5"/>
  <c r="R14" i="5"/>
  <c r="Q14" i="5"/>
  <c r="I14" i="5"/>
  <c r="R13" i="5"/>
  <c r="I13" i="5"/>
  <c r="R12" i="5"/>
  <c r="I12" i="5"/>
  <c r="AT11" i="5"/>
  <c r="AS11" i="5"/>
  <c r="AQ11" i="5"/>
  <c r="AP11" i="5"/>
  <c r="AO11" i="5"/>
  <c r="AN11" i="5"/>
  <c r="AM11" i="5"/>
  <c r="R11" i="5"/>
  <c r="I11" i="5"/>
  <c r="AT10" i="5"/>
  <c r="AS10" i="5"/>
  <c r="AQ10" i="5"/>
  <c r="AP10" i="5"/>
  <c r="AO10" i="5"/>
  <c r="AN10" i="5"/>
  <c r="AM10" i="5"/>
  <c r="R10" i="5"/>
  <c r="Q10" i="5"/>
  <c r="I10" i="5"/>
  <c r="R9" i="5"/>
  <c r="Q9" i="5"/>
  <c r="I9" i="5"/>
  <c r="B9" i="5"/>
  <c r="R8" i="5"/>
  <c r="Q8" i="5"/>
  <c r="I8" i="5"/>
  <c r="AK26" i="5" l="1"/>
</calcChain>
</file>

<file path=xl/sharedStrings.xml><?xml version="1.0" encoding="utf-8"?>
<sst xmlns="http://schemas.openxmlformats.org/spreadsheetml/2006/main" count="93" uniqueCount="57">
  <si>
    <t>(cnegiawlwbcSwa 100 IkwDnwgcnim eg 2012 cnUj)</t>
  </si>
  <si>
    <t>(Index - base: June 2012=100)</t>
  </si>
  <si>
    <t>Republic</t>
  </si>
  <si>
    <t>Male'</t>
  </si>
  <si>
    <t xml:space="preserve">Source:  National  Bureau of Statistics   </t>
  </si>
  <si>
    <t>މަޢުލޫމާތު ދެއްވި ފަރާތް: ނޭޝަނަލް ބިއުރޯ އޮފް ސްޓެޓިސްޓިކްސް</t>
  </si>
  <si>
    <t>Major Groups - Republic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</si>
  <si>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</si>
  <si>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</si>
  <si>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</si>
  <si>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</si>
  <si>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</si>
  <si>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</si>
  <si>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</si>
  <si>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</si>
  <si>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</si>
  <si>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</si>
  <si>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</si>
  <si>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</si>
  <si>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Furnishing,  household equipment &amp; routine maintenance </t>
  </si>
  <si>
    <t>cnurukctWmWrwm  iaWCcaekwt  ELugcneg Wfih ,cnixem,rwCInrwf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</si>
  <si>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</si>
  <si>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</si>
  <si>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</si>
  <si>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</si>
  <si>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</si>
  <si>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</si>
  <si>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</si>
  <si>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</si>
  <si>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Education</t>
  </si>
  <si>
    <t>cmIluAwt</t>
  </si>
  <si>
    <t>Hotels, cafés and restaurants</t>
  </si>
  <si>
    <t xml:space="preserve">  cTcnwrOTcser idwa Efek ,WToh</t>
  </si>
  <si>
    <t>Miscellaneous goods and services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</si>
  <si>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</si>
  <si>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</si>
  <si>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</si>
  <si>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</si>
  <si>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</si>
  <si>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</si>
  <si>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2018 - 2010 ,uDnwgcnim egugwa egurWzWb : 17.5 ulwvWt</t>
  </si>
  <si>
    <t>Table 17.5 :  CONSUMER PRICE INDEX, 2010 - 2018</t>
  </si>
  <si>
    <t xml:space="preserve"> cSwCcaekwt   WviawfWLwawDnwk  cnwdurub</t>
  </si>
  <si>
    <t>ކުރީ އަހަރަށްވުރެ އިތުރުވި މިންވަރު، %</t>
  </si>
  <si>
    <t>Percentage change over previous year</t>
  </si>
  <si>
    <t>Base weights</t>
  </si>
  <si>
    <t>Total inflation rates 2009-2012</t>
  </si>
  <si>
    <t>Tobacco &amp; Aracanuts</t>
  </si>
  <si>
    <t>cawtctwvWb egumufud egWtwfcnud</t>
  </si>
  <si>
    <t xml:space="preserve">                                    ilukegEg</t>
  </si>
  <si>
    <t>Total national inflation rates 2007-2017</t>
  </si>
  <si>
    <t>Including fish</t>
  </si>
  <si>
    <t>Excluding fish</t>
  </si>
  <si>
    <t xml:space="preserve"> cSwCcaekwt   WviawfWLwawDnwk  cnwdurwb</t>
  </si>
  <si>
    <t>Major Groups - Male'</t>
  </si>
  <si>
    <t xml:space="preserve"> cSwa elWm - cawtiawb uDnwgiawm</t>
  </si>
  <si>
    <t>Note: The series for the Republic prior to June 2012 is linked to previously published series for Male'. Hence, CPI for Male' and Republic prior to June 2012 is the same.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</si>
</sst>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0.0"/>
    <numFmt numFmtId="167" formatCode="_(* #,##0.0_);_(* \(#,##0.0\);_(* &quot;-&quot;??_);_(@_)"/>
    <numFmt numFmtId="168" formatCode="0.00_);[Red]\(0.00\)"/>
    <numFmt numFmtId="169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b/>
      <sz val="10"/>
      <name val="Faruma"/>
    </font>
    <font>
      <i/>
      <sz val="9"/>
      <name val="Calibri"/>
      <family val="2"/>
      <scheme val="minor"/>
    </font>
    <font>
      <sz val="9"/>
      <name val="Faruma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Times New Roman"/>
      <family val="1"/>
    </font>
    <font>
      <b/>
      <sz val="12"/>
      <name val="Calibri"/>
      <family val="2"/>
      <scheme val="minor"/>
    </font>
    <font>
      <b/>
      <sz val="9"/>
      <name val="Arial"/>
      <family val="2"/>
    </font>
    <font>
      <i/>
      <sz val="10"/>
      <name val="Calibri"/>
      <family val="2"/>
      <scheme val="minor"/>
    </font>
    <font>
      <i/>
      <sz val="16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0">
    <xf numFmtId="0" fontId="0" fillId="0" borderId="0"/>
    <xf numFmtId="164" fontId="1" fillId="0" borderId="0"/>
    <xf numFmtId="0" fontId="4" fillId="0" borderId="0"/>
    <xf numFmtId="164" fontId="1" fillId="0" borderId="0"/>
    <xf numFmtId="164" fontId="1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16">
    <xf numFmtId="0" fontId="0" fillId="0" borderId="0" xfId="0"/>
    <xf numFmtId="164" fontId="2" fillId="2" borderId="0" xfId="1" applyFont="1" applyFill="1" applyAlignment="1">
      <alignment vertical="center"/>
    </xf>
    <xf numFmtId="0" fontId="4" fillId="2" borderId="0" xfId="2" applyFont="1" applyFill="1"/>
    <xf numFmtId="164" fontId="8" fillId="2" borderId="0" xfId="1" applyFont="1" applyFill="1" applyBorder="1" applyAlignment="1" applyProtection="1">
      <alignment horizontal="left" vertical="center"/>
    </xf>
    <xf numFmtId="164" fontId="9" fillId="2" borderId="0" xfId="1" applyFont="1" applyFill="1" applyAlignment="1">
      <alignment horizontal="right" vertical="center"/>
    </xf>
    <xf numFmtId="164" fontId="12" fillId="2" borderId="0" xfId="4" applyFont="1" applyFill="1" applyAlignment="1">
      <alignment vertical="center" wrapText="1"/>
    </xf>
    <xf numFmtId="165" fontId="12" fillId="2" borderId="0" xfId="2" applyNumberFormat="1" applyFont="1" applyFill="1" applyBorder="1" applyAlignment="1">
      <alignment horizontal="right" vertical="center"/>
    </xf>
    <xf numFmtId="165" fontId="12" fillId="2" borderId="0" xfId="2" applyNumberFormat="1" applyFont="1" applyFill="1" applyAlignment="1">
      <alignment horizontal="right" vertical="center"/>
    </xf>
    <xf numFmtId="165" fontId="12" fillId="2" borderId="0" xfId="4" applyNumberFormat="1" applyFont="1" applyFill="1" applyBorder="1" applyAlignment="1">
      <alignment horizontal="right" vertical="center"/>
    </xf>
    <xf numFmtId="164" fontId="13" fillId="2" borderId="0" xfId="3" applyFont="1" applyFill="1" applyAlignment="1">
      <alignment horizontal="right" vertical="center"/>
    </xf>
    <xf numFmtId="0" fontId="4" fillId="2" borderId="0" xfId="2" applyFont="1" applyFill="1" applyAlignment="1">
      <alignment vertical="center"/>
    </xf>
    <xf numFmtId="164" fontId="12" fillId="2" borderId="0" xfId="4" applyFont="1" applyFill="1" applyAlignment="1">
      <alignment vertical="center"/>
    </xf>
    <xf numFmtId="0" fontId="12" fillId="2" borderId="0" xfId="5" applyFont="1" applyFill="1" applyAlignment="1">
      <alignment vertical="center"/>
    </xf>
    <xf numFmtId="164" fontId="12" fillId="2" borderId="0" xfId="4" applyFont="1" applyFill="1" applyBorder="1" applyAlignment="1">
      <alignment vertical="center" wrapText="1"/>
    </xf>
    <xf numFmtId="164" fontId="13" fillId="2" borderId="0" xfId="1" applyFont="1" applyFill="1" applyAlignment="1">
      <alignment horizontal="right" vertical="center"/>
    </xf>
    <xf numFmtId="164" fontId="11" fillId="2" borderId="0" xfId="4" applyFont="1" applyFill="1" applyBorder="1" applyAlignment="1">
      <alignment vertical="center"/>
    </xf>
    <xf numFmtId="165" fontId="11" fillId="2" borderId="0" xfId="2" applyNumberFormat="1" applyFont="1" applyFill="1" applyBorder="1" applyAlignment="1">
      <alignment horizontal="right" vertical="center"/>
    </xf>
    <xf numFmtId="165" fontId="11" fillId="2" borderId="0" xfId="4" applyNumberFormat="1" applyFont="1" applyFill="1" applyBorder="1" applyAlignment="1">
      <alignment horizontal="right" vertical="center"/>
    </xf>
    <xf numFmtId="164" fontId="3" fillId="2" borderId="0" xfId="3" applyFont="1" applyFill="1" applyBorder="1" applyAlignment="1">
      <alignment horizontal="right" vertical="center"/>
    </xf>
    <xf numFmtId="0" fontId="14" fillId="2" borderId="0" xfId="2" applyFont="1" applyFill="1" applyAlignment="1">
      <alignment vertical="center"/>
    </xf>
    <xf numFmtId="165" fontId="11" fillId="2" borderId="4" xfId="4" applyNumberFormat="1" applyFont="1" applyFill="1" applyBorder="1" applyAlignment="1">
      <alignment horizontal="right" vertical="center"/>
    </xf>
    <xf numFmtId="0" fontId="4" fillId="2" borderId="0" xfId="2" applyFont="1" applyFill="1" applyBorder="1" applyAlignment="1">
      <alignment vertical="center"/>
    </xf>
    <xf numFmtId="164" fontId="11" fillId="2" borderId="4" xfId="4" applyFont="1" applyFill="1" applyBorder="1" applyAlignment="1">
      <alignment vertical="center"/>
    </xf>
    <xf numFmtId="164" fontId="3" fillId="2" borderId="4" xfId="1" applyFont="1" applyFill="1" applyBorder="1" applyAlignment="1">
      <alignment horizontal="right" vertical="center"/>
    </xf>
    <xf numFmtId="0" fontId="16" fillId="2" borderId="5" xfId="2" applyFont="1" applyFill="1" applyBorder="1" applyAlignment="1">
      <alignment horizontal="left"/>
    </xf>
    <xf numFmtId="0" fontId="15" fillId="2" borderId="5" xfId="2" applyFont="1" applyFill="1" applyBorder="1" applyAlignment="1">
      <alignment horizontal="right"/>
    </xf>
    <xf numFmtId="0" fontId="11" fillId="2" borderId="0" xfId="2" applyFont="1" applyFill="1" applyBorder="1" applyAlignment="1">
      <alignment horizontal="left" vertical="center"/>
    </xf>
    <xf numFmtId="0" fontId="6" fillId="2" borderId="0" xfId="2" applyFont="1" applyFill="1" applyBorder="1" applyAlignment="1">
      <alignment horizontal="right" vertical="center"/>
    </xf>
    <xf numFmtId="0" fontId="5" fillId="2" borderId="4" xfId="2" applyFont="1" applyFill="1" applyBorder="1" applyAlignment="1">
      <alignment horizontal="right" vertical="center"/>
    </xf>
    <xf numFmtId="0" fontId="17" fillId="2" borderId="4" xfId="2" applyFont="1" applyFill="1" applyBorder="1" applyAlignment="1">
      <alignment horizontal="right" vertical="center"/>
    </xf>
    <xf numFmtId="164" fontId="14" fillId="2" borderId="0" xfId="1" applyFont="1" applyFill="1" applyAlignment="1" applyProtection="1">
      <alignment vertical="center"/>
    </xf>
    <xf numFmtId="0" fontId="5" fillId="2" borderId="8" xfId="2" applyFont="1" applyFill="1" applyBorder="1" applyAlignment="1">
      <alignment horizontal="right" vertical="center"/>
    </xf>
    <xf numFmtId="0" fontId="10" fillId="2" borderId="9" xfId="2" applyFont="1" applyFill="1" applyBorder="1" applyAlignment="1">
      <alignment horizontal="right" vertical="center"/>
    </xf>
    <xf numFmtId="0" fontId="10" fillId="2" borderId="4" xfId="2" applyFont="1" applyFill="1" applyBorder="1" applyAlignment="1">
      <alignment horizontal="right" vertical="center"/>
    </xf>
    <xf numFmtId="165" fontId="12" fillId="2" borderId="0" xfId="5" applyNumberFormat="1" applyFont="1" applyFill="1" applyAlignment="1">
      <alignment horizontal="center" vertical="center"/>
    </xf>
    <xf numFmtId="165" fontId="12" fillId="2" borderId="5" xfId="2" applyNumberFormat="1" applyFont="1" applyFill="1" applyBorder="1" applyAlignment="1">
      <alignment horizontal="right" vertical="center"/>
    </xf>
    <xf numFmtId="165" fontId="12" fillId="2" borderId="3" xfId="4" applyNumberFormat="1" applyFont="1" applyFill="1" applyBorder="1" applyAlignment="1">
      <alignment horizontal="right" vertical="center"/>
    </xf>
    <xf numFmtId="165" fontId="4" fillId="2" borderId="0" xfId="2" applyNumberFormat="1" applyFont="1" applyFill="1" applyAlignment="1">
      <alignment vertical="center"/>
    </xf>
    <xf numFmtId="167" fontId="4" fillId="2" borderId="0" xfId="2" applyNumberFormat="1" applyFont="1" applyFill="1" applyAlignment="1">
      <alignment vertical="center"/>
    </xf>
    <xf numFmtId="164" fontId="13" fillId="2" borderId="0" xfId="3" applyFont="1" applyFill="1" applyAlignment="1">
      <alignment horizontal="center" vertical="center"/>
    </xf>
    <xf numFmtId="164" fontId="13" fillId="2" borderId="0" xfId="3" applyFont="1" applyFill="1" applyAlignment="1">
      <alignment horizontal="right" vertical="center" wrapText="1"/>
    </xf>
    <xf numFmtId="165" fontId="11" fillId="2" borderId="0" xfId="4" applyNumberFormat="1" applyFont="1" applyFill="1" applyBorder="1" applyAlignment="1">
      <alignment horizontal="center" vertical="center"/>
    </xf>
    <xf numFmtId="165" fontId="14" fillId="2" borderId="0" xfId="2" applyNumberFormat="1" applyFont="1" applyFill="1" applyAlignment="1">
      <alignment vertical="center"/>
    </xf>
    <xf numFmtId="165" fontId="11" fillId="2" borderId="4" xfId="4" applyNumberFormat="1" applyFont="1" applyFill="1" applyBorder="1" applyAlignment="1">
      <alignment horizontal="center" vertical="center"/>
    </xf>
    <xf numFmtId="3" fontId="12" fillId="2" borderId="0" xfId="6" applyNumberFormat="1" applyFont="1" applyFill="1" applyAlignment="1" applyProtection="1">
      <alignment horizontal="left" vertical="center"/>
    </xf>
    <xf numFmtId="3" fontId="19" fillId="2" borderId="0" xfId="6" applyNumberFormat="1" applyFont="1" applyFill="1" applyAlignment="1" applyProtection="1">
      <alignment horizontal="center" vertical="center"/>
    </xf>
    <xf numFmtId="165" fontId="19" fillId="2" borderId="0" xfId="6" applyNumberFormat="1" applyFont="1" applyFill="1" applyAlignment="1" applyProtection="1">
      <alignment horizontal="center" vertical="center"/>
    </xf>
    <xf numFmtId="165" fontId="19" fillId="2" borderId="0" xfId="6" applyNumberFormat="1" applyFont="1" applyFill="1" applyBorder="1" applyAlignment="1" applyProtection="1">
      <alignment horizontal="center" vertical="center"/>
    </xf>
    <xf numFmtId="3" fontId="13" fillId="2" borderId="0" xfId="6" applyNumberFormat="1" applyFont="1" applyFill="1" applyAlignment="1" applyProtection="1">
      <alignment horizontal="right" vertical="center"/>
    </xf>
    <xf numFmtId="3" fontId="19" fillId="2" borderId="0" xfId="6" applyNumberFormat="1" applyFont="1" applyFill="1" applyBorder="1" applyAlignment="1" applyProtection="1">
      <alignment horizontal="center" vertical="center"/>
    </xf>
    <xf numFmtId="3" fontId="15" fillId="2" borderId="0" xfId="6" applyNumberFormat="1" applyFont="1" applyFill="1"/>
    <xf numFmtId="0" fontId="15" fillId="2" borderId="12" xfId="2" applyFont="1" applyFill="1" applyBorder="1" applyAlignment="1">
      <alignment horizontal="center"/>
    </xf>
    <xf numFmtId="0" fontId="5" fillId="2" borderId="0" xfId="2" applyFont="1" applyFill="1" applyBorder="1" applyAlignment="1">
      <alignment horizontal="left" vertical="center"/>
    </xf>
    <xf numFmtId="0" fontId="19" fillId="2" borderId="13" xfId="2" applyFont="1" applyFill="1" applyBorder="1" applyAlignment="1">
      <alignment horizontal="center"/>
    </xf>
    <xf numFmtId="0" fontId="11" fillId="2" borderId="4" xfId="2" applyFont="1" applyFill="1" applyBorder="1" applyAlignment="1">
      <alignment horizontal="left" vertical="top"/>
    </xf>
    <xf numFmtId="0" fontId="11" fillId="2" borderId="4" xfId="2" applyFont="1" applyFill="1" applyBorder="1" applyAlignment="1">
      <alignment horizontal="center" vertical="top"/>
    </xf>
    <xf numFmtId="0" fontId="11" fillId="2" borderId="4" xfId="2" applyFont="1" applyFill="1" applyBorder="1" applyAlignment="1">
      <alignment horizontal="right" vertical="top"/>
    </xf>
    <xf numFmtId="165" fontId="5" fillId="2" borderId="4" xfId="2" applyNumberFormat="1" applyFont="1" applyFill="1" applyBorder="1" applyAlignment="1">
      <alignment horizontal="right" vertical="center"/>
    </xf>
    <xf numFmtId="2" fontId="15" fillId="2" borderId="0" xfId="2" applyNumberFormat="1" applyFont="1" applyFill="1" applyAlignment="1">
      <alignment vertical="center"/>
    </xf>
    <xf numFmtId="0" fontId="15" fillId="2" borderId="0" xfId="2" applyFont="1" applyFill="1" applyAlignment="1">
      <alignment vertical="center"/>
    </xf>
    <xf numFmtId="2" fontId="15" fillId="2" borderId="5" xfId="2" applyNumberFormat="1" applyFont="1" applyFill="1" applyBorder="1" applyAlignment="1">
      <alignment vertical="center"/>
    </xf>
    <xf numFmtId="168" fontId="19" fillId="2" borderId="0" xfId="4" applyNumberFormat="1" applyFont="1" applyFill="1" applyAlignment="1">
      <alignment vertical="center"/>
    </xf>
    <xf numFmtId="0" fontId="15" fillId="2" borderId="0" xfId="2" applyFont="1" applyFill="1" applyBorder="1" applyAlignment="1">
      <alignment vertical="center"/>
    </xf>
    <xf numFmtId="168" fontId="15" fillId="2" borderId="0" xfId="2" applyNumberFormat="1" applyFont="1" applyFill="1" applyBorder="1" applyAlignment="1">
      <alignment vertical="center"/>
    </xf>
    <xf numFmtId="165" fontId="4" fillId="2" borderId="0" xfId="2" applyNumberFormat="1" applyFont="1" applyFill="1"/>
    <xf numFmtId="2" fontId="15" fillId="2" borderId="0" xfId="2" applyNumberFormat="1" applyFont="1" applyFill="1" applyBorder="1" applyAlignment="1">
      <alignment vertical="center"/>
    </xf>
    <xf numFmtId="0" fontId="15" fillId="2" borderId="0" xfId="2" applyFont="1" applyFill="1"/>
    <xf numFmtId="165" fontId="12" fillId="2" borderId="0" xfId="5" applyNumberFormat="1" applyFont="1" applyFill="1" applyBorder="1" applyAlignment="1">
      <alignment horizontal="center" vertical="center"/>
    </xf>
    <xf numFmtId="168" fontId="15" fillId="2" borderId="0" xfId="2" applyNumberFormat="1" applyFont="1" applyFill="1" applyAlignment="1">
      <alignment vertical="center"/>
    </xf>
    <xf numFmtId="165" fontId="11" fillId="2" borderId="0" xfId="5" applyNumberFormat="1" applyFont="1" applyFill="1" applyBorder="1" applyAlignment="1">
      <alignment horizontal="center" vertical="center"/>
    </xf>
    <xf numFmtId="2" fontId="19" fillId="2" borderId="0" xfId="2" applyNumberFormat="1" applyFont="1" applyFill="1" applyAlignment="1">
      <alignment vertical="center"/>
    </xf>
    <xf numFmtId="2" fontId="19" fillId="2" borderId="0" xfId="2" applyNumberFormat="1" applyFont="1" applyFill="1" applyBorder="1" applyAlignment="1">
      <alignment vertical="center"/>
    </xf>
    <xf numFmtId="0" fontId="14" fillId="2" borderId="0" xfId="2" applyFont="1" applyFill="1"/>
    <xf numFmtId="165" fontId="14" fillId="2" borderId="0" xfId="2" applyNumberFormat="1" applyFont="1" applyFill="1"/>
    <xf numFmtId="0" fontId="19" fillId="2" borderId="0" xfId="2" applyFont="1" applyFill="1" applyAlignment="1">
      <alignment vertical="center"/>
    </xf>
    <xf numFmtId="168" fontId="19" fillId="2" borderId="0" xfId="2" applyNumberFormat="1" applyFont="1" applyFill="1" applyAlignment="1">
      <alignment vertical="center"/>
    </xf>
    <xf numFmtId="165" fontId="11" fillId="2" borderId="4" xfId="2" applyNumberFormat="1" applyFont="1" applyFill="1" applyBorder="1" applyAlignment="1">
      <alignment horizontal="right" vertical="center"/>
    </xf>
    <xf numFmtId="0" fontId="14" fillId="2" borderId="0" xfId="2" applyFont="1" applyFill="1" applyBorder="1"/>
    <xf numFmtId="168" fontId="19" fillId="2" borderId="0" xfId="4" applyNumberFormat="1" applyFont="1" applyFill="1" applyBorder="1" applyAlignment="1">
      <alignment vertical="center"/>
    </xf>
    <xf numFmtId="0" fontId="19" fillId="2" borderId="0" xfId="2" applyFont="1" applyFill="1" applyBorder="1" applyAlignment="1">
      <alignment vertical="center"/>
    </xf>
    <xf numFmtId="168" fontId="19" fillId="2" borderId="0" xfId="2" applyNumberFormat="1" applyFont="1" applyFill="1" applyBorder="1" applyAlignment="1">
      <alignment vertical="center"/>
    </xf>
    <xf numFmtId="164" fontId="20" fillId="2" borderId="0" xfId="4" applyFont="1" applyFill="1" applyBorder="1" applyAlignment="1">
      <alignment horizontal="left" vertical="center" indent="1"/>
    </xf>
    <xf numFmtId="164" fontId="3" fillId="2" borderId="0" xfId="1" applyFont="1" applyFill="1" applyBorder="1" applyAlignment="1">
      <alignment horizontal="right" vertical="center"/>
    </xf>
    <xf numFmtId="0" fontId="4" fillId="2" borderId="0" xfId="2" applyFont="1" applyFill="1" applyAlignment="1">
      <alignment horizontal="center"/>
    </xf>
    <xf numFmtId="164" fontId="21" fillId="2" borderId="0" xfId="1" applyFont="1" applyFill="1" applyBorder="1" applyAlignment="1" applyProtection="1">
      <alignment horizontal="left" vertical="center"/>
    </xf>
    <xf numFmtId="0" fontId="12" fillId="2" borderId="0" xfId="2" applyFont="1" applyFill="1"/>
    <xf numFmtId="2" fontId="4" fillId="2" borderId="0" xfId="2" applyNumberFormat="1" applyFont="1" applyFill="1"/>
    <xf numFmtId="0" fontId="22" fillId="2" borderId="0" xfId="2" applyFont="1" applyFill="1"/>
    <xf numFmtId="0" fontId="3" fillId="2" borderId="5" xfId="2" applyFont="1" applyFill="1" applyBorder="1" applyAlignment="1">
      <alignment horizontal="center" wrapText="1"/>
    </xf>
    <xf numFmtId="0" fontId="15" fillId="2" borderId="5" xfId="2" applyFont="1" applyFill="1" applyBorder="1" applyAlignment="1">
      <alignment horizontal="center"/>
    </xf>
    <xf numFmtId="0" fontId="19" fillId="2" borderId="6" xfId="2" applyFont="1" applyFill="1" applyBorder="1" applyAlignment="1">
      <alignment horizontal="center"/>
    </xf>
    <xf numFmtId="2" fontId="12" fillId="2" borderId="5" xfId="2" applyNumberFormat="1" applyFont="1" applyFill="1" applyBorder="1" applyAlignment="1">
      <alignment horizontal="right" vertical="center"/>
    </xf>
    <xf numFmtId="2" fontId="12" fillId="2" borderId="0" xfId="4" applyNumberFormat="1" applyFont="1" applyFill="1" applyBorder="1" applyAlignment="1">
      <alignment horizontal="right" vertical="center"/>
    </xf>
    <xf numFmtId="2" fontId="12" fillId="2" borderId="10" xfId="2" applyNumberFormat="1" applyFont="1" applyFill="1" applyBorder="1" applyAlignment="1">
      <alignment horizontal="right" vertical="center"/>
    </xf>
    <xf numFmtId="2" fontId="11" fillId="2" borderId="10" xfId="2" applyNumberFormat="1" applyFont="1" applyFill="1" applyBorder="1" applyAlignment="1">
      <alignment horizontal="right" vertical="center"/>
    </xf>
    <xf numFmtId="2" fontId="11" fillId="2" borderId="0" xfId="4" applyNumberFormat="1" applyFont="1" applyFill="1" applyBorder="1" applyAlignment="1">
      <alignment horizontal="right" vertical="center"/>
    </xf>
    <xf numFmtId="2" fontId="11" fillId="2" borderId="11" xfId="4" applyNumberFormat="1" applyFont="1" applyFill="1" applyBorder="1" applyAlignment="1">
      <alignment horizontal="right" vertical="center"/>
    </xf>
    <xf numFmtId="2" fontId="11" fillId="2" borderId="4" xfId="4" applyNumberFormat="1" applyFont="1" applyFill="1" applyBorder="1" applyAlignment="1">
      <alignment horizontal="right" vertical="center"/>
    </xf>
    <xf numFmtId="165" fontId="12" fillId="2" borderId="12" xfId="2" applyNumberFormat="1" applyFont="1" applyFill="1" applyBorder="1" applyAlignment="1">
      <alignment horizontal="right" vertical="center"/>
    </xf>
    <xf numFmtId="165" fontId="12" fillId="2" borderId="10" xfId="2" applyNumberFormat="1" applyFont="1" applyFill="1" applyBorder="1" applyAlignment="1">
      <alignment horizontal="right" vertical="center"/>
    </xf>
    <xf numFmtId="165" fontId="11" fillId="2" borderId="10" xfId="2" applyNumberFormat="1" applyFont="1" applyFill="1" applyBorder="1" applyAlignment="1">
      <alignment horizontal="right" vertical="center"/>
    </xf>
    <xf numFmtId="165" fontId="11" fillId="2" borderId="11" xfId="4" applyNumberFormat="1" applyFont="1" applyFill="1" applyBorder="1" applyAlignment="1">
      <alignment horizontal="right" vertical="center"/>
    </xf>
    <xf numFmtId="164" fontId="2" fillId="2" borderId="0" xfId="1" applyFont="1" applyFill="1" applyAlignment="1">
      <alignment horizontal="center" vertical="center"/>
    </xf>
    <xf numFmtId="0" fontId="3" fillId="2" borderId="5" xfId="2" applyFont="1" applyFill="1" applyBorder="1" applyAlignment="1">
      <alignment horizontal="center" wrapText="1"/>
    </xf>
    <xf numFmtId="164" fontId="18" fillId="2" borderId="0" xfId="1" applyFont="1" applyFill="1" applyAlignment="1" applyProtection="1">
      <alignment horizontal="center" vertical="center"/>
    </xf>
    <xf numFmtId="164" fontId="6" fillId="2" borderId="0" xfId="1" applyFont="1" applyFill="1" applyAlignment="1">
      <alignment horizontal="center" vertical="center" wrapText="1"/>
    </xf>
    <xf numFmtId="164" fontId="11" fillId="2" borderId="4" xfId="1" applyFont="1" applyFill="1" applyBorder="1" applyAlignment="1" applyProtection="1">
      <alignment horizontal="center" vertical="center"/>
    </xf>
    <xf numFmtId="0" fontId="3" fillId="2" borderId="5" xfId="2" applyFont="1" applyFill="1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vertical="center" wrapText="1"/>
    </xf>
    <xf numFmtId="0" fontId="7" fillId="2" borderId="7" xfId="2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/>
    </xf>
    <xf numFmtId="0" fontId="3" fillId="2" borderId="6" xfId="2" applyFont="1" applyFill="1" applyBorder="1" applyAlignment="1">
      <alignment horizontal="center" wrapText="1"/>
    </xf>
    <xf numFmtId="0" fontId="5" fillId="2" borderId="2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15" fillId="2" borderId="5" xfId="2" applyFont="1" applyFill="1" applyBorder="1" applyAlignment="1">
      <alignment horizontal="center"/>
    </xf>
    <xf numFmtId="0" fontId="19" fillId="2" borderId="6" xfId="2" applyFont="1" applyFill="1" applyBorder="1" applyAlignment="1">
      <alignment horizontal="center"/>
    </xf>
  </cellXfs>
  <cellStyles count="10">
    <cellStyle name="Comma 3 2" xfId="7"/>
    <cellStyle name="Normal" xfId="0" builtinId="0"/>
    <cellStyle name="Normal 3" xfId="8"/>
    <cellStyle name="Normal 4" xfId="9"/>
    <cellStyle name="Normal_17 Prices_done" xfId="2"/>
    <cellStyle name="Normal_CPI new tables" xfId="5"/>
    <cellStyle name="Normal_Dec97" xfId="4"/>
    <cellStyle name="Normal_II-15(Population)" xfId="6"/>
    <cellStyle name="Normal_XII-11(Commerce)" xfId="3"/>
    <cellStyle name="Normal_XII-12 (Commerce)" xfId="1"/>
  </cellStyles>
  <dxfs count="0"/>
  <tableStyles count="0" defaultTableStyle="TableStyleMedium2" defaultPivotStyle="PivotStyleLight16"/>
  <colors>
    <mruColors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97487862083047E-2"/>
          <c:y val="0.16191904298815241"/>
          <c:w val="0.89786554764173832"/>
          <c:h val="0.6921002603758196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'17.5'!$AJ$10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'17.5'!$AP$9:$AT$9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'17.5'!$AP$10:$AT$10</c:f>
              <c:numCache>
                <c:formatCode>_(* #,##0.0_);_(* \(#,##0.0\);_(* "-"??_);_(@_)</c:formatCode>
                <c:ptCount val="5"/>
                <c:pt idx="0">
                  <c:v>105.38050013404563</c:v>
                </c:pt>
                <c:pt idx="1">
                  <c:v>106.38499407837655</c:v>
                </c:pt>
                <c:pt idx="2">
                  <c:v>106.91958868829052</c:v>
                </c:pt>
                <c:pt idx="3">
                  <c:v>109.93201964009602</c:v>
                </c:pt>
                <c:pt idx="4">
                  <c:v>109.78539958307455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7-41B0-B06F-01468E05B2DF}"/>
            </c:ext>
          </c:extLst>
        </c:ser>
        <c:ser>
          <c:idx val="3"/>
          <c:order val="1"/>
          <c:tx>
            <c:strRef>
              <c:f>'17.5'!$AJ$11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'17.5'!$AP$9:$AT$9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'17.5'!$AP$11:$AT$11</c:f>
              <c:numCache>
                <c:formatCode>_(* #,##0.0_);_(* \(#,##0.0\);_(* "-"??_);_(@_)</c:formatCode>
                <c:ptCount val="5"/>
                <c:pt idx="0">
                  <c:v>105.92043432963987</c:v>
                </c:pt>
                <c:pt idx="1">
                  <c:v>107.37293678888472</c:v>
                </c:pt>
                <c:pt idx="2">
                  <c:v>108.23342334232696</c:v>
                </c:pt>
                <c:pt idx="3">
                  <c:v>110.69246887707151</c:v>
                </c:pt>
                <c:pt idx="4">
                  <c:v>112.20541633013362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57-41B0-B06F-01468E05B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8003376"/>
        <c:axId val="518003768"/>
      </c:barChart>
      <c:catAx>
        <c:axId val="51800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518003768"/>
        <c:crosses val="autoZero"/>
        <c:auto val="1"/>
        <c:lblAlgn val="ctr"/>
        <c:lblOffset val="100"/>
        <c:noMultiLvlLbl val="0"/>
      </c:catAx>
      <c:valAx>
        <c:axId val="51800376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solidFill>
              <a:srgbClr val="953735"/>
            </a:solidFill>
          </a:ln>
        </c:spPr>
        <c:crossAx val="518003376"/>
        <c:crosses val="autoZero"/>
        <c:crossBetween val="between"/>
      </c:valAx>
      <c:spPr>
        <a:solidFill>
          <a:srgbClr val="FFF9E7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10417134707332064"/>
          <c:y val="0.1654286351794948"/>
          <c:w val="0.25052208463071496"/>
          <c:h val="7.7402761398621012E-2"/>
        </c:manualLayout>
      </c:layout>
      <c:overlay val="0"/>
      <c:txPr>
        <a:bodyPr/>
        <a:lstStyle/>
        <a:p>
          <a:pPr>
            <a:defRPr sz="120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784609716954511E-2"/>
          <c:y val="0.17800015339585945"/>
          <c:w val="0.90067274875771441"/>
          <c:h val="0.65526220549382963"/>
        </c:manualLayout>
      </c:layout>
      <c:lineChart>
        <c:grouping val="standard"/>
        <c:varyColors val="0"/>
        <c:ser>
          <c:idx val="0"/>
          <c:order val="0"/>
          <c:tx>
            <c:strRef>
              <c:f>'17.5'!$AK$16</c:f>
              <c:strCache>
                <c:ptCount val="1"/>
                <c:pt idx="0">
                  <c:v>Including fish</c:v>
                </c:pt>
              </c:strCache>
            </c:strRef>
          </c:tx>
          <c:marker>
            <c:symbol val="diamond"/>
            <c:size val="6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</c:spPr>
          </c:marker>
          <c:cat>
            <c:numRef>
              <c:f>'17.5'!$AJ$20:$AJ$28</c:f>
              <c:numCache>
                <c:formatCode>General</c:formatCod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numCache>
            </c:numRef>
          </c:cat>
          <c:val>
            <c:numRef>
              <c:f>'17.5'!$AK$20:$AK$28</c:f>
              <c:numCache>
                <c:formatCode>0.0</c:formatCode>
                <c:ptCount val="9"/>
                <c:pt idx="0">
                  <c:v>80.568542845421106</c:v>
                </c:pt>
                <c:pt idx="1">
                  <c:v>89.651368722070842</c:v>
                </c:pt>
                <c:pt idx="2">
                  <c:v>99.409647361204449</c:v>
                </c:pt>
                <c:pt idx="3">
                  <c:v>103.19281073321666</c:v>
                </c:pt>
                <c:pt idx="4">
                  <c:v>105.38050013404563</c:v>
                </c:pt>
                <c:pt idx="5">
                  <c:v>106.38499407837655</c:v>
                </c:pt>
                <c:pt idx="6">
                  <c:v>106.91958868829052</c:v>
                </c:pt>
                <c:pt idx="7">
                  <c:v>109.93201964009602</c:v>
                </c:pt>
                <c:pt idx="8">
                  <c:v>109.78539958307455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14-4060-AC1E-84BBB0B00BFB}"/>
            </c:ext>
          </c:extLst>
        </c:ser>
        <c:ser>
          <c:idx val="1"/>
          <c:order val="1"/>
          <c:tx>
            <c:strRef>
              <c:f>'17.5'!$AL$16</c:f>
              <c:strCache>
                <c:ptCount val="1"/>
                <c:pt idx="0">
                  <c:v>Excluding fish</c:v>
                </c:pt>
              </c:strCache>
            </c:strRef>
          </c:tx>
          <c:marker>
            <c:symbol val="squar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75000"/>
                  </a:schemeClr>
                </a:solidFill>
              </a:ln>
            </c:spPr>
          </c:marker>
          <c:cat>
            <c:numRef>
              <c:f>'17.5'!$AJ$20:$AJ$28</c:f>
              <c:numCache>
                <c:formatCode>General</c:formatCod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numCache>
            </c:numRef>
          </c:cat>
          <c:val>
            <c:numRef>
              <c:f>'17.5'!$AL$20:$AL$28</c:f>
              <c:numCache>
                <c:formatCode>_(* #,##0.0_);_(* \(#,##0.0\);_(* "-"??_);_(@_)</c:formatCode>
                <c:ptCount val="9"/>
                <c:pt idx="0">
                  <c:v>84.338371332150743</c:v>
                </c:pt>
                <c:pt idx="1">
                  <c:v>91.679051572020867</c:v>
                </c:pt>
                <c:pt idx="2">
                  <c:v>100.14126599840249</c:v>
                </c:pt>
                <c:pt idx="3" formatCode="0.0">
                  <c:v>103.07423491391059</c:v>
                </c:pt>
                <c:pt idx="4" formatCode="0.0">
                  <c:v>105.29983112357628</c:v>
                </c:pt>
                <c:pt idx="5" formatCode="0.0">
                  <c:v>106.44622541898161</c:v>
                </c:pt>
                <c:pt idx="6" formatCode="0.0">
                  <c:v>107.1902747590181</c:v>
                </c:pt>
                <c:pt idx="7" formatCode="0.0">
                  <c:v>110.17175267946645</c:v>
                </c:pt>
                <c:pt idx="8" formatCode="0.0">
                  <c:v>109.83680520270974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14-4060-AC1E-84BBB0B00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004160"/>
        <c:axId val="518005728"/>
      </c:lineChart>
      <c:catAx>
        <c:axId val="51800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518005728"/>
        <c:crosses val="autoZero"/>
        <c:auto val="1"/>
        <c:lblAlgn val="ctr"/>
        <c:lblOffset val="100"/>
        <c:noMultiLvlLbl val="0"/>
      </c:catAx>
      <c:valAx>
        <c:axId val="518005728"/>
        <c:scaling>
          <c:orientation val="minMax"/>
          <c:max val="120"/>
          <c:min val="0"/>
        </c:scaling>
        <c:delete val="0"/>
        <c:axPos val="l"/>
        <c:majorGridlines>
          <c:spPr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518004160"/>
        <c:crosses val="autoZero"/>
        <c:crossBetween val="between"/>
      </c:valAx>
      <c:spPr>
        <a:solidFill>
          <a:srgbClr val="FFF9E7"/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4441276443990002"/>
          <c:y val="0.44483942760542416"/>
          <c:w val="0.38449806330138453"/>
          <c:h val="5.7346522182892136E-2"/>
        </c:manualLayout>
      </c:layout>
      <c:overlay val="0"/>
      <c:txPr>
        <a:bodyPr/>
        <a:lstStyle/>
        <a:p>
          <a:pPr>
            <a:defRPr lang="en-AU" sz="1100">
              <a:latin typeface="+mn-lt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</c:spPr>
  <c:printSettings>
    <c:headerFooter/>
    <c:pageMargins b="0.75000000000000455" l="0.70000000000000062" r="0.70000000000000062" t="0.75000000000000455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26</xdr:row>
      <xdr:rowOff>0</xdr:rowOff>
    </xdr:from>
    <xdr:to>
      <xdr:col>2</xdr:col>
      <xdr:colOff>0</xdr:colOff>
      <xdr:row>26</xdr:row>
      <xdr:rowOff>0</xdr:rowOff>
    </xdr:to>
    <xdr:sp macro="" textlink="">
      <xdr:nvSpPr>
        <xdr:cNvPr id="2" name="Text 10"/>
        <xdr:cNvSpPr txBox="1">
          <a:spLocks noChangeArrowheads="1"/>
        </xdr:cNvSpPr>
      </xdr:nvSpPr>
      <xdr:spPr bwMode="auto">
        <a:xfrm>
          <a:off x="3152775" y="54102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432615</xdr:colOff>
      <xdr:row>47</xdr:row>
      <xdr:rowOff>196775</xdr:rowOff>
    </xdr:from>
    <xdr:to>
      <xdr:col>8</xdr:col>
      <xdr:colOff>341787</xdr:colOff>
      <xdr:row>65</xdr:row>
      <xdr:rowOff>122947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47</xdr:row>
      <xdr:rowOff>238822</xdr:rowOff>
    </xdr:from>
    <xdr:to>
      <xdr:col>20</xdr:col>
      <xdr:colOff>1864344</xdr:colOff>
      <xdr:row>66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666750</xdr:colOff>
      <xdr:row>48</xdr:row>
      <xdr:rowOff>57150</xdr:rowOff>
    </xdr:from>
    <xdr:to>
      <xdr:col>7</xdr:col>
      <xdr:colOff>85725</xdr:colOff>
      <xdr:row>50</xdr:row>
      <xdr:rowOff>57150</xdr:rowOff>
    </xdr:to>
    <xdr:sp macro="" textlink="">
      <xdr:nvSpPr>
        <xdr:cNvPr id="6" name="TextBox 5"/>
        <xdr:cNvSpPr txBox="1"/>
      </xdr:nvSpPr>
      <xdr:spPr>
        <a:xfrm>
          <a:off x="666750" y="10115550"/>
          <a:ext cx="4943475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      Figure 17.2</a:t>
          </a:r>
          <a:r>
            <a:rPr lang="en-US" sz="12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: </a:t>
          </a:r>
          <a:r>
            <a:rPr lang="en-US" sz="1200" b="1">
              <a:latin typeface="Consolas" pitchFamily="49" charset="0"/>
              <a:cs typeface="Consolas" pitchFamily="49" charset="0"/>
            </a:rPr>
            <a:t>Consumer Price Index, 2014 - 2018</a:t>
          </a:r>
          <a:endParaRPr lang="en-US" sz="1100" b="1"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0.1161</cdr:x>
      <cdr:y>0.04033</cdr:y>
    </cdr:from>
    <cdr:to>
      <cdr:x>0.84146</cdr:x>
      <cdr:y>0.15051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779374" y="124818"/>
          <a:ext cx="4869343" cy="34100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        </a:t>
          </a:r>
          <a:r>
            <a:rPr lang="en-US" sz="12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Figure 17.3: </a:t>
          </a:r>
          <a:r>
            <a:rPr lang="en-US" sz="1200" b="1">
              <a:latin typeface="Consolas" pitchFamily="49" charset="0"/>
              <a:cs typeface="Consolas" pitchFamily="49" charset="0"/>
            </a:rPr>
            <a:t>Consumer Price Index, 2010 - 2018</a:t>
          </a:r>
          <a:endParaRPr lang="en-US" sz="1100" b="1"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PRIC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2\PES\STI\CPI%20(consumer%20price%20index)\Rebasing%202010\Documentation\Writeup\Tables\2016\Annual\Graphs%20&amp;%20tables%20used_annual%202016-new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2\PES\STI\CPI%20(consumer%20price%20index)\Rebasing%202010\Documentation\Writeup\Tables\2015\Annual\Graphs%20&amp;%20tables%20used_annual%202015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"/>
      <sheetName val="17.2"/>
      <sheetName val="17.3"/>
      <sheetName val="17.4"/>
      <sheetName val="17.5"/>
      <sheetName val="17.6"/>
      <sheetName val="17.7"/>
      <sheetName val="17.8"/>
    </sheetNames>
    <sheetDataSet>
      <sheetData sheetId="0">
        <row r="7">
          <cell r="C7" t="str">
            <v>Consumer Price Index (CPI)</v>
          </cell>
          <cell r="D7"/>
          <cell r="E7"/>
          <cell r="F7"/>
          <cell r="G7" t="str">
            <v>Annual Inflation Rate (%)</v>
          </cell>
          <cell r="H7"/>
          <cell r="I7"/>
          <cell r="J7"/>
        </row>
        <row r="10">
          <cell r="B10">
            <v>1985</v>
          </cell>
          <cell r="C10">
            <v>19.98</v>
          </cell>
          <cell r="H10"/>
        </row>
        <row r="11">
          <cell r="B11">
            <v>1986</v>
          </cell>
          <cell r="C11">
            <v>21.93</v>
          </cell>
          <cell r="H11">
            <v>9.7200000000000006</v>
          </cell>
        </row>
        <row r="12">
          <cell r="B12">
            <v>1987</v>
          </cell>
          <cell r="C12">
            <v>24.05</v>
          </cell>
          <cell r="H12">
            <v>9.6999999999999993</v>
          </cell>
        </row>
        <row r="13">
          <cell r="B13">
            <v>1988</v>
          </cell>
          <cell r="C13">
            <v>25.61</v>
          </cell>
          <cell r="H13">
            <v>6.46</v>
          </cell>
        </row>
        <row r="14">
          <cell r="B14">
            <v>1989</v>
          </cell>
          <cell r="C14">
            <v>27.44</v>
          </cell>
          <cell r="H14">
            <v>7.17</v>
          </cell>
        </row>
        <row r="15">
          <cell r="B15">
            <v>1990</v>
          </cell>
          <cell r="C15">
            <v>28.44</v>
          </cell>
          <cell r="H15">
            <v>3.65</v>
          </cell>
        </row>
        <row r="16">
          <cell r="B16">
            <v>1991</v>
          </cell>
          <cell r="C16">
            <v>32.630000000000003</v>
          </cell>
          <cell r="H16">
            <v>14.71</v>
          </cell>
        </row>
        <row r="17">
          <cell r="B17">
            <v>1992</v>
          </cell>
          <cell r="C17">
            <v>38.130000000000003</v>
          </cell>
          <cell r="H17">
            <v>16.86</v>
          </cell>
        </row>
        <row r="18">
          <cell r="B18">
            <v>1993</v>
          </cell>
          <cell r="C18">
            <v>45.8</v>
          </cell>
          <cell r="H18">
            <v>20.13</v>
          </cell>
        </row>
        <row r="19">
          <cell r="B19">
            <v>1994</v>
          </cell>
          <cell r="C19">
            <v>47.35</v>
          </cell>
          <cell r="H19">
            <v>3.39</v>
          </cell>
        </row>
        <row r="20">
          <cell r="B20">
            <v>1995</v>
          </cell>
          <cell r="C20">
            <v>49.95</v>
          </cell>
          <cell r="H20">
            <v>5.49</v>
          </cell>
        </row>
        <row r="21">
          <cell r="B21">
            <v>1996</v>
          </cell>
          <cell r="C21">
            <v>53.07</v>
          </cell>
          <cell r="H21">
            <v>6.24</v>
          </cell>
        </row>
        <row r="22">
          <cell r="B22">
            <v>1997</v>
          </cell>
          <cell r="C22">
            <v>57.09</v>
          </cell>
          <cell r="H22">
            <v>7.57</v>
          </cell>
        </row>
        <row r="23">
          <cell r="B23">
            <v>1998</v>
          </cell>
          <cell r="C23">
            <v>56.29</v>
          </cell>
          <cell r="H23">
            <v>-1.4</v>
          </cell>
        </row>
        <row r="24">
          <cell r="B24">
            <v>1999</v>
          </cell>
          <cell r="C24">
            <v>57.95</v>
          </cell>
          <cell r="H24">
            <v>2.95</v>
          </cell>
        </row>
        <row r="25">
          <cell r="B25">
            <v>2000</v>
          </cell>
          <cell r="C25">
            <v>57.27</v>
          </cell>
          <cell r="H25">
            <v>-1.17</v>
          </cell>
        </row>
        <row r="26">
          <cell r="B26">
            <v>2001</v>
          </cell>
          <cell r="C26">
            <v>57.66</v>
          </cell>
          <cell r="H26">
            <v>0.67</v>
          </cell>
        </row>
        <row r="27">
          <cell r="B27">
            <v>2002</v>
          </cell>
          <cell r="C27">
            <v>60.07</v>
          </cell>
          <cell r="H27">
            <v>4.18</v>
          </cell>
        </row>
        <row r="28">
          <cell r="B28">
            <v>2003</v>
          </cell>
          <cell r="C28">
            <v>59.31</v>
          </cell>
          <cell r="H28">
            <v>-1.26</v>
          </cell>
        </row>
        <row r="29">
          <cell r="B29">
            <v>2004</v>
          </cell>
          <cell r="C29">
            <v>58.31</v>
          </cell>
          <cell r="H29">
            <v>-1.69</v>
          </cell>
        </row>
        <row r="30">
          <cell r="B30">
            <v>2005</v>
          </cell>
          <cell r="C30">
            <v>59.07</v>
          </cell>
          <cell r="H30">
            <v>1.3</v>
          </cell>
        </row>
        <row r="31">
          <cell r="B31">
            <v>2006</v>
          </cell>
          <cell r="C31">
            <v>60.68</v>
          </cell>
          <cell r="H31">
            <v>2.74</v>
          </cell>
        </row>
        <row r="32">
          <cell r="B32">
            <v>2007</v>
          </cell>
          <cell r="C32">
            <v>64.81</v>
          </cell>
          <cell r="H32">
            <v>6.79</v>
          </cell>
        </row>
        <row r="33">
          <cell r="B33">
            <v>2008</v>
          </cell>
          <cell r="C33">
            <v>72.61</v>
          </cell>
          <cell r="H33">
            <v>12.04</v>
          </cell>
        </row>
        <row r="34">
          <cell r="B34">
            <v>2009</v>
          </cell>
          <cell r="C34">
            <v>75.900000000000006</v>
          </cell>
          <cell r="H34">
            <v>4.53</v>
          </cell>
        </row>
        <row r="35">
          <cell r="B35">
            <v>2010</v>
          </cell>
          <cell r="C35">
            <v>80.569999999999993</v>
          </cell>
          <cell r="H35">
            <v>6.15</v>
          </cell>
        </row>
        <row r="36">
          <cell r="B36">
            <v>2011</v>
          </cell>
          <cell r="C36">
            <v>89.65</v>
          </cell>
          <cell r="H36">
            <v>11.27</v>
          </cell>
        </row>
        <row r="37">
          <cell r="B37">
            <v>2012</v>
          </cell>
          <cell r="C37">
            <v>99.409647361204449</v>
          </cell>
          <cell r="H37">
            <v>10.88</v>
          </cell>
        </row>
        <row r="38">
          <cell r="B38">
            <v>2013</v>
          </cell>
          <cell r="C38">
            <v>103.19281073321666</v>
          </cell>
          <cell r="H38">
            <v>3.8056300091942941</v>
          </cell>
        </row>
        <row r="39">
          <cell r="B39">
            <v>2014</v>
          </cell>
          <cell r="C39">
            <v>105.38050013404563</v>
          </cell>
          <cell r="H39">
            <v>2.1200017571813001</v>
          </cell>
        </row>
        <row r="40">
          <cell r="B40">
            <v>2015</v>
          </cell>
          <cell r="C40">
            <v>106.38</v>
          </cell>
          <cell r="H40">
            <v>0.95</v>
          </cell>
        </row>
        <row r="41">
          <cell r="B41">
            <v>2016</v>
          </cell>
          <cell r="C41">
            <v>106.91958868829052</v>
          </cell>
          <cell r="H41">
            <v>0.50250941361158485</v>
          </cell>
        </row>
        <row r="42">
          <cell r="B42">
            <v>2017</v>
          </cell>
          <cell r="C42">
            <v>109.93201964009602</v>
          </cell>
          <cell r="H42">
            <v>2.8174733823451481</v>
          </cell>
        </row>
        <row r="43">
          <cell r="B43">
            <v>2018</v>
          </cell>
          <cell r="C43">
            <v>109.78539958307455</v>
          </cell>
          <cell r="H43">
            <v>-0.13337338611760785</v>
          </cell>
        </row>
      </sheetData>
      <sheetData sheetId="1"/>
      <sheetData sheetId="2"/>
      <sheetData sheetId="3"/>
      <sheetData sheetId="4">
        <row r="9">
          <cell r="AH9">
            <v>2014</v>
          </cell>
          <cell r="AI9">
            <v>2015</v>
          </cell>
          <cell r="AJ9">
            <v>2016</v>
          </cell>
          <cell r="AK9">
            <v>2017</v>
          </cell>
          <cell r="AL9">
            <v>2018</v>
          </cell>
        </row>
        <row r="10">
          <cell r="AB10" t="str">
            <v>Republic</v>
          </cell>
          <cell r="AH10">
            <v>105.38050013404563</v>
          </cell>
          <cell r="AI10">
            <v>106.38499407837655</v>
          </cell>
          <cell r="AJ10">
            <v>106.91958868829052</v>
          </cell>
          <cell r="AK10">
            <v>109.93201964009602</v>
          </cell>
          <cell r="AL10">
            <v>109.78539958307455</v>
          </cell>
        </row>
        <row r="11">
          <cell r="AB11" t="str">
            <v>Male'</v>
          </cell>
          <cell r="AH11">
            <v>105.92043432963987</v>
          </cell>
          <cell r="AI11">
            <v>107.37293678888472</v>
          </cell>
          <cell r="AJ11">
            <v>108.23342334232696</v>
          </cell>
          <cell r="AK11">
            <v>110.69246887707151</v>
          </cell>
          <cell r="AL11">
            <v>112.20541633013362</v>
          </cell>
        </row>
        <row r="16">
          <cell r="AC16" t="str">
            <v>Including fish</v>
          </cell>
          <cell r="AD16" t="str">
            <v>Excluding fish</v>
          </cell>
        </row>
        <row r="20">
          <cell r="AB20">
            <v>2010</v>
          </cell>
          <cell r="AC20">
            <v>80.568542845421106</v>
          </cell>
          <cell r="AD20">
            <v>84.338371332150743</v>
          </cell>
        </row>
        <row r="21">
          <cell r="AB21">
            <v>2011</v>
          </cell>
          <cell r="AC21">
            <v>89.651368722070842</v>
          </cell>
          <cell r="AD21">
            <v>91.679051572020867</v>
          </cell>
        </row>
        <row r="22">
          <cell r="AB22">
            <v>2012</v>
          </cell>
          <cell r="AC22">
            <v>99.409647361204449</v>
          </cell>
          <cell r="AD22">
            <v>100.14126599840249</v>
          </cell>
        </row>
        <row r="23">
          <cell r="AB23">
            <v>2013</v>
          </cell>
          <cell r="AC23">
            <v>103.19281073321666</v>
          </cell>
          <cell r="AD23">
            <v>103.07423491391059</v>
          </cell>
        </row>
        <row r="24">
          <cell r="AB24">
            <v>2014</v>
          </cell>
          <cell r="AC24">
            <v>105.38050013404563</v>
          </cell>
          <cell r="AD24">
            <v>105.29983112357628</v>
          </cell>
        </row>
        <row r="25">
          <cell r="AB25">
            <v>2015</v>
          </cell>
          <cell r="AC25">
            <v>106.38499407837655</v>
          </cell>
          <cell r="AD25">
            <v>106.44622541898161</v>
          </cell>
        </row>
        <row r="26">
          <cell r="AB26">
            <v>2016</v>
          </cell>
          <cell r="AC26">
            <v>106.91958868829052</v>
          </cell>
          <cell r="AD26">
            <v>107.1902747590181</v>
          </cell>
        </row>
        <row r="27">
          <cell r="AB27">
            <v>2017</v>
          </cell>
          <cell r="AC27">
            <v>109.93201964009602</v>
          </cell>
          <cell r="AD27">
            <v>110.17175267946645</v>
          </cell>
        </row>
        <row r="28">
          <cell r="AB28">
            <v>2018</v>
          </cell>
          <cell r="AC28">
            <v>109.78539958307455</v>
          </cell>
          <cell r="AD28">
            <v>109.83680520270974</v>
          </cell>
        </row>
      </sheetData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Republi in  points contribution"/>
      <sheetName val="graph"/>
      <sheetName val="Male"/>
      <sheetName val="Male , month on month &amp; monthly"/>
      <sheetName val="Male contribution"/>
      <sheetName val="Atolls"/>
      <sheetName val="Atolls month on month"/>
      <sheetName val="Atolls contribution"/>
      <sheetName val="graph (monthly n MnM)"/>
      <sheetName val="Annual"/>
      <sheetName val="annual work"/>
      <sheetName val="Annual CPI 2016"/>
      <sheetName val="Rep 2016"/>
      <sheetName val="Male 2016"/>
      <sheetName val="Atolls 2016"/>
      <sheetName val="Sheet5"/>
    </sheetNames>
    <sheetDataSet>
      <sheetData sheetId="0" refreshError="1">
        <row r="3">
          <cell r="OC3">
            <v>106.91958868829052</v>
          </cell>
          <cell r="OF3">
            <v>0.50250941361158485</v>
          </cell>
        </row>
        <row r="4">
          <cell r="OC4">
            <v>107.04157551050889</v>
          </cell>
          <cell r="OF4">
            <v>0.57688102083264248</v>
          </cell>
        </row>
        <row r="38">
          <cell r="OC38">
            <v>104.05962917920893</v>
          </cell>
          <cell r="OF38">
            <v>-1.587337151600976</v>
          </cell>
        </row>
        <row r="156">
          <cell r="OC156">
            <v>122.18459773517431</v>
          </cell>
          <cell r="OF156">
            <v>4.0191140378448287</v>
          </cell>
        </row>
        <row r="167">
          <cell r="OC167">
            <v>100.99558210523537</v>
          </cell>
          <cell r="OF167">
            <v>-0.53676570684748626</v>
          </cell>
        </row>
        <row r="207">
          <cell r="OC207">
            <v>108.10803524718015</v>
          </cell>
          <cell r="OF207">
            <v>0.29920217667491755</v>
          </cell>
        </row>
        <row r="209">
          <cell r="OC209">
            <v>116.59514145414504</v>
          </cell>
          <cell r="OF209">
            <v>3.7607542756177725</v>
          </cell>
        </row>
        <row r="240">
          <cell r="OC240">
            <v>97.499129166170533</v>
          </cell>
          <cell r="OF240">
            <v>0.91069109507078139</v>
          </cell>
        </row>
        <row r="292">
          <cell r="OC292">
            <v>125.81722828813672</v>
          </cell>
          <cell r="OF292">
            <v>1.804490098291045</v>
          </cell>
        </row>
        <row r="322">
          <cell r="OC322">
            <v>101.34706519435288</v>
          </cell>
          <cell r="OF322">
            <v>-1.5370849537459153</v>
          </cell>
        </row>
        <row r="348">
          <cell r="OC348">
            <v>99.79368976091358</v>
          </cell>
          <cell r="OF348">
            <v>-0.75989147318363814</v>
          </cell>
        </row>
        <row r="360">
          <cell r="OC360">
            <v>100.69713942933714</v>
          </cell>
          <cell r="OF360">
            <v>-1.2350059655517276</v>
          </cell>
        </row>
        <row r="405">
          <cell r="OC405">
            <v>124.80292719209795</v>
          </cell>
          <cell r="OF405">
            <v>4.8696897695142072</v>
          </cell>
        </row>
        <row r="421">
          <cell r="OC421">
            <v>123.14673548135868</v>
          </cell>
          <cell r="OF421">
            <v>1.7231004678103012</v>
          </cell>
        </row>
        <row r="438">
          <cell r="OC438">
            <v>98.469134997835681</v>
          </cell>
          <cell r="OF438">
            <v>-0.2698829137845582</v>
          </cell>
        </row>
        <row r="484">
          <cell r="OC484">
            <v>107.1902747590181</v>
          </cell>
          <cell r="OF484">
            <v>0.69899081635618199</v>
          </cell>
        </row>
        <row r="485">
          <cell r="OC485">
            <v>108.34446887815083</v>
          </cell>
          <cell r="OF485">
            <v>1.513707865264502</v>
          </cell>
        </row>
      </sheetData>
      <sheetData sheetId="1" refreshError="1"/>
      <sheetData sheetId="2" refreshError="1"/>
      <sheetData sheetId="3" refreshError="1"/>
      <sheetData sheetId="4" refreshError="1">
        <row r="3">
          <cell r="OC3">
            <v>108.23342334232696</v>
          </cell>
          <cell r="OF3">
            <v>0.80139984913900619</v>
          </cell>
        </row>
        <row r="4">
          <cell r="OC4">
            <v>106.21438956055287</v>
          </cell>
          <cell r="OF4">
            <v>-1.1492198098441153</v>
          </cell>
        </row>
        <row r="38">
          <cell r="OC38">
            <v>101.29406507957015</v>
          </cell>
          <cell r="OF38">
            <v>-4.6933532157458995</v>
          </cell>
        </row>
        <row r="156">
          <cell r="OC156">
            <v>119.42144298997056</v>
          </cell>
          <cell r="OF156">
            <v>2.7676857673750721</v>
          </cell>
        </row>
        <row r="167">
          <cell r="OC167">
            <v>98.190748488110202</v>
          </cell>
          <cell r="OF167">
            <v>-0.83209932707477563</v>
          </cell>
        </row>
        <row r="207">
          <cell r="OC207">
            <v>111.78087632908641</v>
          </cell>
          <cell r="OF207">
            <v>1.9772462101365074</v>
          </cell>
        </row>
        <row r="209">
          <cell r="OC209">
            <v>117.41374229948713</v>
          </cell>
          <cell r="OF209">
            <v>3.8750283815151443</v>
          </cell>
        </row>
        <row r="240">
          <cell r="OC240">
            <v>96.196125798305104</v>
          </cell>
          <cell r="OF240">
            <v>1.6650761540538461</v>
          </cell>
        </row>
        <row r="292">
          <cell r="OC292">
            <v>128.61309538574685</v>
          </cell>
          <cell r="OF292">
            <v>0.98661137085298556</v>
          </cell>
        </row>
        <row r="322">
          <cell r="OC322">
            <v>107.44337348085035</v>
          </cell>
          <cell r="OF322">
            <v>9.8757790685599645E-2</v>
          </cell>
        </row>
        <row r="348">
          <cell r="OC348">
            <v>95.751607847297137</v>
          </cell>
          <cell r="OF348">
            <v>-0.48061759014536021</v>
          </cell>
        </row>
        <row r="360">
          <cell r="OC360">
            <v>100.46158690929978</v>
          </cell>
          <cell r="OF360">
            <v>-0.58954023954889134</v>
          </cell>
        </row>
        <row r="405">
          <cell r="OC405">
            <v>125.51210025739101</v>
          </cell>
          <cell r="OF405">
            <v>6.971229819200242</v>
          </cell>
        </row>
        <row r="421">
          <cell r="OC421">
            <v>127.6536356791524</v>
          </cell>
          <cell r="OF421">
            <v>1.4533403825192304</v>
          </cell>
        </row>
        <row r="438">
          <cell r="OC438">
            <v>97.897045106929454</v>
          </cell>
          <cell r="OF438">
            <v>-0.45507264100809186</v>
          </cell>
        </row>
        <row r="484">
          <cell r="OC484">
            <v>108.80768335920361</v>
          </cell>
          <cell r="OF484">
            <v>1.2511160314853997</v>
          </cell>
        </row>
        <row r="485">
          <cell r="OC485">
            <v>108.54418419912565</v>
          </cell>
          <cell r="OF485">
            <v>0.50222431219935082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ublic data"/>
      <sheetName val="Chnages in rep."/>
      <sheetName val="graph"/>
      <sheetName val="Male"/>
      <sheetName val="Male , month on month &amp; monthly"/>
      <sheetName val="Atolls"/>
      <sheetName val="Atolls month on month"/>
      <sheetName val="graph (monthly n MnM)"/>
      <sheetName val="Annual"/>
      <sheetName val="annual work"/>
      <sheetName val="Annual CPI 2015"/>
      <sheetName val="Sheet2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">
          <cell r="C13">
            <v>0.48382916630824724</v>
          </cell>
          <cell r="P13">
            <v>0.90051165491358276</v>
          </cell>
          <cell r="Q13">
            <v>-0.46573909311584671</v>
          </cell>
          <cell r="R13">
            <v>3.5208490045548935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13"/>
  <sheetViews>
    <sheetView tabSelected="1" topLeftCell="A40" zoomScaleNormal="100" workbookViewId="0">
      <selection activeCell="T72" sqref="T72"/>
    </sheetView>
  </sheetViews>
  <sheetFormatPr defaultColWidth="9.140625" defaultRowHeight="12.75" x14ac:dyDescent="0.2"/>
  <cols>
    <col min="1" max="1" width="36.140625" style="85" customWidth="1"/>
    <col min="2" max="2" width="11.140625" style="83" customWidth="1"/>
    <col min="3" max="3" width="5.85546875" style="2" customWidth="1"/>
    <col min="4" max="9" width="7.42578125" style="2" customWidth="1"/>
    <col min="10" max="11" width="7.5703125" style="2" customWidth="1"/>
    <col min="12" max="20" width="7.42578125" style="2" customWidth="1"/>
    <col min="21" max="21" width="36.5703125" style="2" customWidth="1"/>
    <col min="22" max="22" width="1.7109375" style="2" customWidth="1"/>
    <col min="23" max="34" width="9.140625" style="2" customWidth="1"/>
    <col min="35" max="45" width="9.140625" style="2"/>
    <col min="46" max="46" width="6.7109375" style="2" customWidth="1"/>
    <col min="47" max="16384" width="9.140625" style="2"/>
  </cols>
  <sheetData>
    <row r="1" spans="1:46" ht="19.5" x14ac:dyDescent="0.2">
      <c r="A1" s="102" t="s">
        <v>40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46" ht="15.75" x14ac:dyDescent="0.2">
      <c r="A2" s="104" t="s">
        <v>41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</row>
    <row r="3" spans="1:46" ht="15" customHeight="1" x14ac:dyDescent="0.2">
      <c r="A3" s="105" t="s">
        <v>0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</row>
    <row r="4" spans="1:46" x14ac:dyDescent="0.2">
      <c r="A4" s="106" t="s">
        <v>1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</row>
    <row r="5" spans="1:46" ht="16.5" customHeight="1" x14ac:dyDescent="0.4">
      <c r="A5" s="24"/>
      <c r="B5" s="107" t="s">
        <v>42</v>
      </c>
      <c r="C5" s="103"/>
      <c r="D5" s="103"/>
      <c r="E5" s="103"/>
      <c r="F5" s="88"/>
      <c r="G5" s="88"/>
      <c r="H5" s="88"/>
      <c r="I5" s="88"/>
      <c r="J5" s="88"/>
      <c r="K5" s="88"/>
      <c r="L5" s="109" t="s">
        <v>43</v>
      </c>
      <c r="M5" s="110"/>
      <c r="N5" s="110"/>
      <c r="O5" s="110"/>
      <c r="P5" s="110"/>
      <c r="Q5" s="110"/>
      <c r="R5" s="110"/>
      <c r="S5" s="110"/>
      <c r="T5" s="110"/>
      <c r="U5" s="25"/>
    </row>
    <row r="6" spans="1:46" ht="27.75" customHeight="1" x14ac:dyDescent="0.4">
      <c r="A6" s="26" t="s">
        <v>6</v>
      </c>
      <c r="B6" s="108"/>
      <c r="C6" s="111"/>
      <c r="D6" s="111"/>
      <c r="E6" s="111"/>
      <c r="F6" s="111"/>
      <c r="G6" s="111"/>
      <c r="H6" s="111"/>
      <c r="I6" s="111"/>
      <c r="J6" s="111"/>
      <c r="K6" s="111"/>
      <c r="L6" s="112" t="s">
        <v>44</v>
      </c>
      <c r="M6" s="113"/>
      <c r="N6" s="113"/>
      <c r="O6" s="113"/>
      <c r="P6" s="113"/>
      <c r="Q6" s="113"/>
      <c r="R6" s="113"/>
      <c r="S6" s="113"/>
      <c r="T6" s="113"/>
      <c r="U6" s="27" t="s">
        <v>7</v>
      </c>
    </row>
    <row r="7" spans="1:46" x14ac:dyDescent="0.2">
      <c r="A7" s="28"/>
      <c r="B7" s="28" t="s">
        <v>45</v>
      </c>
      <c r="C7" s="28">
        <v>2010</v>
      </c>
      <c r="D7" s="28">
        <v>2011</v>
      </c>
      <c r="E7" s="28">
        <v>2012</v>
      </c>
      <c r="F7" s="28">
        <v>2013</v>
      </c>
      <c r="G7" s="28">
        <v>2014</v>
      </c>
      <c r="H7" s="28">
        <v>2015</v>
      </c>
      <c r="I7" s="28">
        <v>2016</v>
      </c>
      <c r="J7" s="28">
        <v>2017</v>
      </c>
      <c r="K7" s="31">
        <v>2018</v>
      </c>
      <c r="L7" s="32">
        <v>2010</v>
      </c>
      <c r="M7" s="33">
        <v>2011</v>
      </c>
      <c r="N7" s="33">
        <v>2012</v>
      </c>
      <c r="O7" s="33">
        <v>2013</v>
      </c>
      <c r="P7" s="33">
        <v>2014</v>
      </c>
      <c r="Q7" s="28">
        <v>2015</v>
      </c>
      <c r="R7" s="33">
        <v>2016</v>
      </c>
      <c r="S7" s="28">
        <v>2017</v>
      </c>
      <c r="T7" s="33">
        <v>2018</v>
      </c>
      <c r="U7" s="29"/>
      <c r="AI7" s="10"/>
    </row>
    <row r="8" spans="1:46" s="10" customFormat="1" ht="15" x14ac:dyDescent="0.25">
      <c r="A8" s="5" t="s">
        <v>8</v>
      </c>
      <c r="B8" s="34">
        <v>28.43529313839241</v>
      </c>
      <c r="C8" s="7">
        <v>69.554480633976965</v>
      </c>
      <c r="D8" s="7">
        <v>83.416709968576413</v>
      </c>
      <c r="E8" s="7">
        <v>98.126990664931839</v>
      </c>
      <c r="F8" s="7">
        <v>105.15731822206406</v>
      </c>
      <c r="G8" s="7">
        <v>105.91516633353841</v>
      </c>
      <c r="H8" s="35">
        <v>106.42761479980396</v>
      </c>
      <c r="I8" s="35">
        <f>'[2]Republic data'!$OC$4</f>
        <v>107.04157551050889</v>
      </c>
      <c r="J8" s="35">
        <v>113.03489126776282</v>
      </c>
      <c r="K8" s="91">
        <v>111.81011866226531</v>
      </c>
      <c r="L8" s="36">
        <v>7.4773586354862198</v>
      </c>
      <c r="M8" s="8">
        <v>19.930030687092536</v>
      </c>
      <c r="N8" s="8">
        <v>17.634692979256638</v>
      </c>
      <c r="O8" s="8">
        <v>7.1645196795428578</v>
      </c>
      <c r="P8" s="8">
        <v>0.72068033332113313</v>
      </c>
      <c r="Q8" s="8">
        <f>'[3]annual work'!$C$13</f>
        <v>0.48382916630824724</v>
      </c>
      <c r="R8" s="8">
        <f>'[2]Republic data'!$OF$4</f>
        <v>0.57688102083264248</v>
      </c>
      <c r="S8" s="8">
        <v>5.5990541326304877</v>
      </c>
      <c r="T8" s="92">
        <v>-1.0835349968145724</v>
      </c>
      <c r="U8" s="9" t="s">
        <v>9</v>
      </c>
      <c r="AJ8" s="10" t="s">
        <v>46</v>
      </c>
    </row>
    <row r="9" spans="1:46" s="10" customFormat="1" ht="15" x14ac:dyDescent="0.25">
      <c r="A9" s="5" t="s">
        <v>10</v>
      </c>
      <c r="B9" s="34">
        <f>B8-B10</f>
        <v>19.788959216936362</v>
      </c>
      <c r="C9" s="7">
        <v>84.204150454829019</v>
      </c>
      <c r="D9" s="7">
        <v>94.794400673064558</v>
      </c>
      <c r="E9" s="7">
        <v>100.0268178957039</v>
      </c>
      <c r="F9" s="7">
        <v>105.46827201556327</v>
      </c>
      <c r="G9" s="7">
        <v>105.77637644985344</v>
      </c>
      <c r="H9" s="6">
        <v>106.72890504792964</v>
      </c>
      <c r="I9" s="6">
        <f>'[2]Republic data'!$OC$485</f>
        <v>108.34446887815083</v>
      </c>
      <c r="J9" s="6">
        <v>115.49732275295001</v>
      </c>
      <c r="K9" s="93">
        <v>112.9320821179051</v>
      </c>
      <c r="L9" s="8">
        <v>7.4281734816285638</v>
      </c>
      <c r="M9" s="8">
        <v>12.576874371432133</v>
      </c>
      <c r="N9" s="8">
        <v>5.5197534722386976</v>
      </c>
      <c r="O9" s="8">
        <v>5.4399952276129371</v>
      </c>
      <c r="P9" s="8">
        <v>0.29212997274166153</v>
      </c>
      <c r="Q9" s="8">
        <f>'[3]annual work'!$P$13</f>
        <v>0.90051165491358276</v>
      </c>
      <c r="R9" s="8">
        <f>'[2]Republic data'!$OF$485</f>
        <v>1.513707865264502</v>
      </c>
      <c r="S9" s="8">
        <v>6.6019557332858358</v>
      </c>
      <c r="T9" s="92">
        <v>-2.2210390456686047</v>
      </c>
      <c r="U9" s="9" t="s">
        <v>11</v>
      </c>
      <c r="AK9" s="10">
        <v>2009</v>
      </c>
      <c r="AL9" s="10">
        <v>2010</v>
      </c>
      <c r="AM9" s="10">
        <v>2011</v>
      </c>
      <c r="AN9" s="10">
        <v>2012</v>
      </c>
      <c r="AO9" s="10">
        <v>2013</v>
      </c>
      <c r="AP9" s="10">
        <v>2014</v>
      </c>
      <c r="AQ9" s="10">
        <v>2015</v>
      </c>
      <c r="AR9" s="10">
        <v>2016</v>
      </c>
      <c r="AS9" s="10">
        <v>2017</v>
      </c>
      <c r="AT9" s="10">
        <v>2018</v>
      </c>
    </row>
    <row r="10" spans="1:46" s="10" customFormat="1" ht="15" x14ac:dyDescent="0.25">
      <c r="A10" s="11" t="s">
        <v>12</v>
      </c>
      <c r="B10" s="34">
        <v>8.646333921456046</v>
      </c>
      <c r="C10" s="7">
        <v>36.005776836416281</v>
      </c>
      <c r="D10" s="7">
        <v>57.361052741283949</v>
      </c>
      <c r="E10" s="7">
        <v>93.7760772522998</v>
      </c>
      <c r="F10" s="7">
        <v>104.44563486657425</v>
      </c>
      <c r="G10" s="7">
        <v>106.23281626157906</v>
      </c>
      <c r="H10" s="6">
        <v>105.73804850653096</v>
      </c>
      <c r="I10" s="6">
        <f>'[2]Republic data'!$OC$38</f>
        <v>104.05962917920893</v>
      </c>
      <c r="J10" s="6">
        <v>107.39909733735</v>
      </c>
      <c r="K10" s="93">
        <v>109.24226860370483</v>
      </c>
      <c r="L10" s="8">
        <v>7.7415436979054508</v>
      </c>
      <c r="M10" s="8">
        <v>59.310693397590896</v>
      </c>
      <c r="N10" s="8">
        <v>63.483884571050076</v>
      </c>
      <c r="O10" s="8">
        <v>11.377696665183112</v>
      </c>
      <c r="P10" s="8">
        <v>1.7111116202107146</v>
      </c>
      <c r="Q10" s="8">
        <f>'[3]annual work'!$Q$13</f>
        <v>-0.46573909311584671</v>
      </c>
      <c r="R10" s="8">
        <f>'[2]Republic data'!$OF$38</f>
        <v>-1.587337151600976</v>
      </c>
      <c r="S10" s="8">
        <v>3.2091870636881792</v>
      </c>
      <c r="T10" s="92">
        <v>1.7161887874767467</v>
      </c>
      <c r="U10" s="9" t="s">
        <v>13</v>
      </c>
      <c r="AJ10" s="10" t="s">
        <v>2</v>
      </c>
      <c r="AK10" s="37">
        <v>75.900734670117231</v>
      </c>
      <c r="AL10" s="38">
        <v>80.568542845421106</v>
      </c>
      <c r="AM10" s="38">
        <f>D23</f>
        <v>89.651368722070842</v>
      </c>
      <c r="AN10" s="38">
        <f>E23</f>
        <v>99.409647361204449</v>
      </c>
      <c r="AO10" s="38">
        <f>F23</f>
        <v>103.19281073321666</v>
      </c>
      <c r="AP10" s="38">
        <f>G23</f>
        <v>105.38050013404563</v>
      </c>
      <c r="AQ10" s="38">
        <f>H23</f>
        <v>106.38499407837655</v>
      </c>
      <c r="AR10" s="38">
        <f>I23</f>
        <v>106.91958868829052</v>
      </c>
      <c r="AS10" s="38">
        <f t="shared" ref="AS10" si="0">J23</f>
        <v>109.93201964009602</v>
      </c>
      <c r="AT10" s="38">
        <f>K23</f>
        <v>109.78539958307455</v>
      </c>
    </row>
    <row r="11" spans="1:46" s="10" customFormat="1" ht="15" x14ac:dyDescent="0.25">
      <c r="A11" s="11" t="s">
        <v>47</v>
      </c>
      <c r="B11" s="34">
        <v>2.254164063270403</v>
      </c>
      <c r="C11" s="7">
        <v>50.532891620339313</v>
      </c>
      <c r="D11" s="7">
        <v>64.296766109008189</v>
      </c>
      <c r="E11" s="7">
        <v>101.2436810917912</v>
      </c>
      <c r="F11" s="7">
        <v>98.00579870542515</v>
      </c>
      <c r="G11" s="7">
        <v>100.18505236961772</v>
      </c>
      <c r="H11" s="6">
        <v>117.46360163260034</v>
      </c>
      <c r="I11" s="6">
        <f>'[2]Republic data'!$OC$156</f>
        <v>122.18459773517431</v>
      </c>
      <c r="J11" s="6">
        <v>154.41417266945828</v>
      </c>
      <c r="K11" s="93">
        <v>167.34151423693964</v>
      </c>
      <c r="L11" s="8">
        <v>-0.33098719728800186</v>
      </c>
      <c r="M11" s="8">
        <v>27.237456728340014</v>
      </c>
      <c r="N11" s="8">
        <v>57.463099963913479</v>
      </c>
      <c r="O11" s="8">
        <v>-3.1981081203778738</v>
      </c>
      <c r="P11" s="8">
        <v>2.2235966575230304</v>
      </c>
      <c r="Q11" s="8">
        <v>17.246633958163748</v>
      </c>
      <c r="R11" s="8">
        <f>'[2]Republic data'!$OF$156</f>
        <v>4.0191140378448287</v>
      </c>
      <c r="S11" s="8">
        <v>26.377772265649302</v>
      </c>
      <c r="T11" s="92">
        <v>8.3718620797547327</v>
      </c>
      <c r="U11" s="9" t="s">
        <v>48</v>
      </c>
      <c r="AJ11" s="10" t="s">
        <v>3</v>
      </c>
      <c r="AK11" s="37">
        <v>75.900734670117231</v>
      </c>
      <c r="AL11" s="38">
        <v>80.568542845421106</v>
      </c>
      <c r="AM11" s="38">
        <f>D44</f>
        <v>89.651368722070842</v>
      </c>
      <c r="AN11" s="38">
        <f>E44</f>
        <v>99.415139330518244</v>
      </c>
      <c r="AO11" s="38">
        <f>F44</f>
        <v>103.38895723436703</v>
      </c>
      <c r="AP11" s="38">
        <f>G44</f>
        <v>105.92043432963987</v>
      </c>
      <c r="AQ11" s="38">
        <f>H44</f>
        <v>107.37293678888472</v>
      </c>
      <c r="AR11" s="38">
        <f>I44</f>
        <v>108.23342334232696</v>
      </c>
      <c r="AS11" s="38">
        <f>J44</f>
        <v>110.69246887707151</v>
      </c>
      <c r="AT11" s="38">
        <f>K44</f>
        <v>112.20541633013362</v>
      </c>
    </row>
    <row r="12" spans="1:46" s="10" customFormat="1" ht="15" x14ac:dyDescent="0.25">
      <c r="A12" s="11" t="s">
        <v>14</v>
      </c>
      <c r="B12" s="34">
        <v>3.890313123952799</v>
      </c>
      <c r="C12" s="7">
        <v>72.534285938334179</v>
      </c>
      <c r="D12" s="7">
        <v>81.881292827210913</v>
      </c>
      <c r="E12" s="7">
        <v>98.359038463336105</v>
      </c>
      <c r="F12" s="7">
        <v>101.52586212230904</v>
      </c>
      <c r="G12" s="7">
        <v>102.46527730468375</v>
      </c>
      <c r="H12" s="6">
        <v>101.54061731751705</v>
      </c>
      <c r="I12" s="6">
        <f>'[2]Republic data'!$OC$167</f>
        <v>100.99558210523537</v>
      </c>
      <c r="J12" s="6">
        <v>100.29057707007946</v>
      </c>
      <c r="K12" s="93">
        <v>98.155711491556062</v>
      </c>
      <c r="L12" s="8">
        <v>2.964536511071425</v>
      </c>
      <c r="M12" s="8">
        <v>12.886329227564453</v>
      </c>
      <c r="N12" s="8">
        <v>20.123944147898555</v>
      </c>
      <c r="O12" s="8">
        <v>3.2196569918212292</v>
      </c>
      <c r="P12" s="8">
        <v>0.92529643456067401</v>
      </c>
      <c r="Q12" s="8">
        <v>-0.90241300418013592</v>
      </c>
      <c r="R12" s="8">
        <f>'[2]Republic data'!$OF$167</f>
        <v>-0.53676570684748626</v>
      </c>
      <c r="S12" s="8">
        <v>-0.69805532129247894</v>
      </c>
      <c r="T12" s="92">
        <v>-2.1286801221929719</v>
      </c>
      <c r="U12" s="9" t="s">
        <v>15</v>
      </c>
      <c r="AK12" s="37"/>
      <c r="AL12" s="37"/>
      <c r="AM12" s="37"/>
      <c r="AN12" s="37"/>
    </row>
    <row r="13" spans="1:46" s="10" customFormat="1" ht="15" x14ac:dyDescent="0.25">
      <c r="A13" s="11" t="s">
        <v>16</v>
      </c>
      <c r="B13" s="34">
        <v>23.290469082093963</v>
      </c>
      <c r="C13" s="7">
        <v>93.758762276598645</v>
      </c>
      <c r="D13" s="7">
        <v>96.487654366096692</v>
      </c>
      <c r="E13" s="7">
        <v>99.951850044063292</v>
      </c>
      <c r="F13" s="7">
        <v>103.51724004351574</v>
      </c>
      <c r="G13" s="7">
        <v>106.69055604936631</v>
      </c>
      <c r="H13" s="6">
        <v>107.78553856963902</v>
      </c>
      <c r="I13" s="6">
        <f>'[2]Republic data'!$OC$207</f>
        <v>108.10803524718015</v>
      </c>
      <c r="J13" s="6">
        <v>109.47834485115725</v>
      </c>
      <c r="K13" s="93">
        <v>109.29547192198891</v>
      </c>
      <c r="L13" s="8">
        <v>7.5863764884965379</v>
      </c>
      <c r="M13" s="8">
        <v>2.9105461966824064</v>
      </c>
      <c r="N13" s="8">
        <v>3.5902994022661616</v>
      </c>
      <c r="O13" s="8">
        <v>3.5671075601708901</v>
      </c>
      <c r="P13" s="8">
        <v>3.0654951817847831</v>
      </c>
      <c r="Q13" s="8">
        <v>1.0263162559262184</v>
      </c>
      <c r="R13" s="8">
        <f>'[2]Republic data'!$OF$207</f>
        <v>0.29920217667491755</v>
      </c>
      <c r="S13" s="8">
        <v>1.2675372379527428</v>
      </c>
      <c r="T13" s="92">
        <v>-0.16704027578875458</v>
      </c>
      <c r="U13" s="9" t="s">
        <v>17</v>
      </c>
    </row>
    <row r="14" spans="1:46" s="10" customFormat="1" ht="15" x14ac:dyDescent="0.25">
      <c r="A14" s="11" t="s">
        <v>18</v>
      </c>
      <c r="B14" s="34">
        <v>11.680398408355288</v>
      </c>
      <c r="C14" s="7">
        <v>91.040551259171139</v>
      </c>
      <c r="D14" s="7">
        <v>95.103608962918898</v>
      </c>
      <c r="E14" s="7">
        <v>100.07057660044312</v>
      </c>
      <c r="F14" s="7">
        <v>104.08964183574052</v>
      </c>
      <c r="G14" s="7">
        <v>108.54742074440985</v>
      </c>
      <c r="H14" s="6">
        <v>112.36921152715941</v>
      </c>
      <c r="I14" s="6">
        <f>'[2]Republic data'!$OC$209</f>
        <v>116.59514145414504</v>
      </c>
      <c r="J14" s="6">
        <v>122.00177799672292</v>
      </c>
      <c r="K14" s="93">
        <v>129.26555175057555</v>
      </c>
      <c r="L14" s="8">
        <v>6.4176111999628915</v>
      </c>
      <c r="M14" s="8">
        <v>4.4629098215598351</v>
      </c>
      <c r="N14" s="8">
        <v>5.2226910121369263</v>
      </c>
      <c r="O14" s="8">
        <v>4.0162307161919708</v>
      </c>
      <c r="P14" s="8">
        <v>4.2826344966235608</v>
      </c>
      <c r="Q14" s="8">
        <f>'[3]annual work'!$R$13</f>
        <v>3.5208490045548935</v>
      </c>
      <c r="R14" s="8">
        <f>'[2]Republic data'!$OF$209</f>
        <v>3.7607542756177725</v>
      </c>
      <c r="S14" s="8">
        <v>4.6371027773093099</v>
      </c>
      <c r="T14" s="92">
        <v>5.9538261434581186</v>
      </c>
      <c r="U14" s="39" t="s">
        <v>49</v>
      </c>
    </row>
    <row r="15" spans="1:46" s="10" customFormat="1" ht="25.5" x14ac:dyDescent="0.25">
      <c r="A15" s="5" t="s">
        <v>19</v>
      </c>
      <c r="B15" s="34">
        <v>8.7141649537725758</v>
      </c>
      <c r="C15" s="7">
        <v>80.397772506783596</v>
      </c>
      <c r="D15" s="7">
        <v>83.774232067142066</v>
      </c>
      <c r="E15" s="7">
        <v>98.65523637265558</v>
      </c>
      <c r="F15" s="7">
        <v>97.029807398560521</v>
      </c>
      <c r="G15" s="7">
        <v>96.030794344264748</v>
      </c>
      <c r="H15" s="6">
        <v>96.619226474540611</v>
      </c>
      <c r="I15" s="6">
        <f>'[2]Republic data'!$OC$240</f>
        <v>97.499129166170533</v>
      </c>
      <c r="J15" s="6">
        <v>98.588794205371599</v>
      </c>
      <c r="K15" s="93">
        <v>97.270333580269437</v>
      </c>
      <c r="L15" s="8">
        <v>5.9837247199728161</v>
      </c>
      <c r="M15" s="8">
        <v>4.1996929206882916</v>
      </c>
      <c r="N15" s="8">
        <v>17.763223772182023</v>
      </c>
      <c r="O15" s="8">
        <v>-1.6475850992391683</v>
      </c>
      <c r="P15" s="8">
        <v>-1.0295939784691344</v>
      </c>
      <c r="Q15" s="8">
        <v>0.61275358003014535</v>
      </c>
      <c r="R15" s="8">
        <f>'[2]Republic data'!$OF$240</f>
        <v>0.91069109507078139</v>
      </c>
      <c r="S15" s="8">
        <v>1.1176151505352561</v>
      </c>
      <c r="T15" s="92">
        <v>-1.3373331479799466</v>
      </c>
      <c r="U15" s="9" t="s">
        <v>20</v>
      </c>
      <c r="AJ15" s="10" t="s">
        <v>50</v>
      </c>
    </row>
    <row r="16" spans="1:46" s="10" customFormat="1" ht="18.75" customHeight="1" x14ac:dyDescent="0.25">
      <c r="A16" s="12" t="s">
        <v>21</v>
      </c>
      <c r="B16" s="34">
        <v>5.4197286759786749</v>
      </c>
      <c r="C16" s="7">
        <v>123.09882000085349</v>
      </c>
      <c r="D16" s="7">
        <v>136.10400273752558</v>
      </c>
      <c r="E16" s="7">
        <v>103.11447443846129</v>
      </c>
      <c r="F16" s="7">
        <v>110.75985912203326</v>
      </c>
      <c r="G16" s="7">
        <v>120.99690521142638</v>
      </c>
      <c r="H16" s="6">
        <v>123.58711110547449</v>
      </c>
      <c r="I16" s="6">
        <f>'[2]Republic data'!$OC$292</f>
        <v>125.81722828813672</v>
      </c>
      <c r="J16" s="6">
        <v>125.52846282798579</v>
      </c>
      <c r="K16" s="93">
        <v>126.1113957972745</v>
      </c>
      <c r="L16" s="8">
        <v>4.6580366770973214</v>
      </c>
      <c r="M16" s="8">
        <v>10.564831357913839</v>
      </c>
      <c r="N16" s="8">
        <v>-24.238470313532279</v>
      </c>
      <c r="O16" s="8">
        <v>7.4144631248009185</v>
      </c>
      <c r="P16" s="8">
        <v>9.2425596877241603</v>
      </c>
      <c r="Q16" s="8">
        <v>2.140720780851435</v>
      </c>
      <c r="R16" s="8">
        <f>'[2]Republic data'!$OF$292</f>
        <v>1.804490098291045</v>
      </c>
      <c r="S16" s="8">
        <v>-0.22951185944870556</v>
      </c>
      <c r="T16" s="92">
        <v>0.4643831017731026</v>
      </c>
      <c r="U16" s="9" t="s">
        <v>22</v>
      </c>
      <c r="AK16" s="10" t="s">
        <v>51</v>
      </c>
      <c r="AL16" s="10" t="s">
        <v>52</v>
      </c>
    </row>
    <row r="17" spans="1:52" s="10" customFormat="1" ht="15" x14ac:dyDescent="0.25">
      <c r="A17" s="12" t="s">
        <v>23</v>
      </c>
      <c r="B17" s="34">
        <v>5.4378723050111919</v>
      </c>
      <c r="C17" s="7">
        <v>80.571924425587255</v>
      </c>
      <c r="D17" s="7">
        <v>91.644770975471246</v>
      </c>
      <c r="E17" s="7">
        <v>99.95473548796538</v>
      </c>
      <c r="F17" s="7">
        <v>102.17949400970934</v>
      </c>
      <c r="G17" s="7">
        <v>105.37961599773739</v>
      </c>
      <c r="H17" s="6">
        <v>102.92917404156066</v>
      </c>
      <c r="I17" s="6">
        <f>'[2]Republic data'!$OC$322</f>
        <v>101.34706519435288</v>
      </c>
      <c r="J17" s="6">
        <v>101.83981865912176</v>
      </c>
      <c r="K17" s="93">
        <v>102.86901120705778</v>
      </c>
      <c r="L17" s="8">
        <v>3.3243849280613746</v>
      </c>
      <c r="M17" s="8">
        <v>13.742810077858314</v>
      </c>
      <c r="N17" s="8">
        <v>9.0675817332974695</v>
      </c>
      <c r="O17" s="8">
        <v>2.2257660038646376</v>
      </c>
      <c r="P17" s="8">
        <v>3.1318632168250593</v>
      </c>
      <c r="Q17" s="8">
        <v>-2.3253472058859526</v>
      </c>
      <c r="R17" s="8">
        <f>'[2]Republic data'!$OF$322</f>
        <v>-1.5370849537459153</v>
      </c>
      <c r="S17" s="8">
        <v>0.48620398017833466</v>
      </c>
      <c r="T17" s="92">
        <v>1.0105993524801349</v>
      </c>
      <c r="U17" s="9" t="s">
        <v>24</v>
      </c>
      <c r="AJ17" s="10">
        <v>2007</v>
      </c>
      <c r="AK17" s="37">
        <v>64.807540880908348</v>
      </c>
      <c r="AL17" s="37">
        <v>67.18924401230818</v>
      </c>
      <c r="AM17" s="37"/>
    </row>
    <row r="18" spans="1:52" s="10" customFormat="1" ht="15" x14ac:dyDescent="0.25">
      <c r="A18" s="12" t="s">
        <v>25</v>
      </c>
      <c r="B18" s="34">
        <v>4.7510307288693099</v>
      </c>
      <c r="C18" s="7">
        <v>100.38298344923554</v>
      </c>
      <c r="D18" s="7">
        <v>100.6195512642537</v>
      </c>
      <c r="E18" s="7">
        <v>100.00528180711392</v>
      </c>
      <c r="F18" s="7">
        <v>99.050815085253589</v>
      </c>
      <c r="G18" s="7">
        <v>100.28780520090577</v>
      </c>
      <c r="H18" s="6">
        <v>100.55782006117782</v>
      </c>
      <c r="I18" s="6">
        <f>'[2]Republic data'!$OC$348</f>
        <v>99.79368976091358</v>
      </c>
      <c r="J18" s="6">
        <v>99.659396804799613</v>
      </c>
      <c r="K18" s="93">
        <v>100.41005623870753</v>
      </c>
      <c r="L18" s="8">
        <v>0.22824001348027423</v>
      </c>
      <c r="M18" s="8">
        <v>0.23566525609173272</v>
      </c>
      <c r="N18" s="8">
        <v>-0.61048717612200987</v>
      </c>
      <c r="O18" s="8">
        <v>-0.95441631143169392</v>
      </c>
      <c r="P18" s="8">
        <v>1.2488439540729646</v>
      </c>
      <c r="Q18" s="8">
        <v>0.26923997362504615</v>
      </c>
      <c r="R18" s="8">
        <f>'[2]Republic data'!$OF$348</f>
        <v>-0.75989147318363814</v>
      </c>
      <c r="S18" s="8">
        <v>-0.13457058901791275</v>
      </c>
      <c r="T18" s="92">
        <v>0.75322494212783919</v>
      </c>
      <c r="U18" s="9" t="s">
        <v>26</v>
      </c>
      <c r="AJ18" s="10">
        <v>2008</v>
      </c>
      <c r="AK18" s="37">
        <v>72.611313924073201</v>
      </c>
      <c r="AL18" s="37">
        <v>75.385471686170362</v>
      </c>
      <c r="AM18" s="37"/>
    </row>
    <row r="19" spans="1:52" s="10" customFormat="1" ht="15" x14ac:dyDescent="0.25">
      <c r="A19" s="13" t="s">
        <v>27</v>
      </c>
      <c r="B19" s="34">
        <v>5.1031994041341724</v>
      </c>
      <c r="C19" s="7">
        <v>100.01905005623114</v>
      </c>
      <c r="D19" s="7">
        <v>97.89290317146407</v>
      </c>
      <c r="E19" s="7">
        <v>99.531777140452178</v>
      </c>
      <c r="F19" s="7">
        <v>98.82807875047888</v>
      </c>
      <c r="G19" s="7">
        <v>102.2003441480955</v>
      </c>
      <c r="H19" s="6">
        <v>101.95630588932649</v>
      </c>
      <c r="I19" s="6">
        <f>'[2]Republic data'!$OC$360</f>
        <v>100.69713942933714</v>
      </c>
      <c r="J19" s="6">
        <v>100.58404074832116</v>
      </c>
      <c r="K19" s="93">
        <v>99.029706628505878</v>
      </c>
      <c r="L19" s="8">
        <v>5.7426544875852192</v>
      </c>
      <c r="M19" s="8">
        <v>-2.1257419297341262</v>
      </c>
      <c r="N19" s="8">
        <v>1.6741499290480188</v>
      </c>
      <c r="O19" s="8">
        <v>-0.70700876663770673</v>
      </c>
      <c r="P19" s="8">
        <v>3.4122543312117948</v>
      </c>
      <c r="Q19" s="8">
        <v>-0.2387841849293415</v>
      </c>
      <c r="R19" s="8">
        <f>'[2]Republic data'!$OF$360</f>
        <v>-1.2350059655517276</v>
      </c>
      <c r="S19" s="8">
        <v>-0.1123156840968198</v>
      </c>
      <c r="T19" s="92">
        <v>-1.545308886232255</v>
      </c>
      <c r="U19" s="14" t="s">
        <v>28</v>
      </c>
      <c r="AJ19" s="10">
        <v>2009</v>
      </c>
      <c r="AK19" s="37">
        <v>75.900734670117231</v>
      </c>
      <c r="AL19" s="37">
        <v>79.51493809042644</v>
      </c>
      <c r="AM19" s="37"/>
    </row>
    <row r="20" spans="1:52" s="10" customFormat="1" ht="15" x14ac:dyDescent="0.25">
      <c r="A20" s="11" t="s">
        <v>29</v>
      </c>
      <c r="B20" s="34">
        <v>2.4983461177360984</v>
      </c>
      <c r="C20" s="7">
        <v>72.465176121953334</v>
      </c>
      <c r="D20" s="7">
        <v>85.752154766717368</v>
      </c>
      <c r="E20" s="7">
        <v>100.26897294373833</v>
      </c>
      <c r="F20" s="7">
        <v>105.75107702222947</v>
      </c>
      <c r="G20" s="7">
        <v>110.56855328746506</v>
      </c>
      <c r="H20" s="6">
        <v>119.00762505009182</v>
      </c>
      <c r="I20" s="6">
        <f>'[2]Republic data'!$OC$405</f>
        <v>124.80292719209795</v>
      </c>
      <c r="J20" s="6">
        <v>130.07859259520549</v>
      </c>
      <c r="K20" s="93">
        <v>133.11915518648536</v>
      </c>
      <c r="L20" s="8">
        <v>9.4434460037209114</v>
      </c>
      <c r="M20" s="8">
        <v>18.335674258768186</v>
      </c>
      <c r="N20" s="8">
        <v>16.928808630538718</v>
      </c>
      <c r="O20" s="8">
        <v>5.4673982564548584</v>
      </c>
      <c r="P20" s="8">
        <v>4.5554867154903089</v>
      </c>
      <c r="Q20" s="8">
        <v>7.6324339169801414</v>
      </c>
      <c r="R20" s="8">
        <f>'[2]Republic data'!$OF$405</f>
        <v>4.8696897695142072</v>
      </c>
      <c r="S20" s="8">
        <v>4.2271968469034249</v>
      </c>
      <c r="T20" s="92">
        <v>2.3374811570585408</v>
      </c>
      <c r="U20" s="14" t="s">
        <v>30</v>
      </c>
      <c r="AJ20" s="10">
        <v>2010</v>
      </c>
      <c r="AK20" s="37">
        <f>C23</f>
        <v>80.568542845421106</v>
      </c>
      <c r="AL20" s="38">
        <f>C24</f>
        <v>84.338371332150743</v>
      </c>
      <c r="AM20" s="37"/>
    </row>
    <row r="21" spans="1:52" s="10" customFormat="1" ht="15" x14ac:dyDescent="0.25">
      <c r="A21" s="11" t="s">
        <v>31</v>
      </c>
      <c r="B21" s="34">
        <v>3.0243474234302665</v>
      </c>
      <c r="C21" s="7">
        <v>70.167294544238487</v>
      </c>
      <c r="D21" s="7">
        <v>81.124231104476152</v>
      </c>
      <c r="E21" s="7">
        <v>103.56604942649903</v>
      </c>
      <c r="F21" s="7">
        <v>115.92908544747458</v>
      </c>
      <c r="G21" s="7">
        <v>121.3287709962447</v>
      </c>
      <c r="H21" s="6">
        <v>121.06073734975051</v>
      </c>
      <c r="I21" s="6">
        <f>'[2]Republic data'!$OC$421</f>
        <v>123.14673548135868</v>
      </c>
      <c r="J21" s="6">
        <v>125.6295963585136</v>
      </c>
      <c r="K21" s="93">
        <v>128.2294953174422</v>
      </c>
      <c r="L21" s="8">
        <v>3.2289501598796955</v>
      </c>
      <c r="M21" s="8">
        <v>15.615446813799583</v>
      </c>
      <c r="N21" s="8">
        <v>27.663520524615027</v>
      </c>
      <c r="O21" s="8">
        <v>11.937344418790063</v>
      </c>
      <c r="P21" s="8">
        <v>4.6577487676434881</v>
      </c>
      <c r="Q21" s="8">
        <v>-0.22091515828713826</v>
      </c>
      <c r="R21" s="8">
        <f>'[2]Republic data'!$OF$421</f>
        <v>1.7231004678103012</v>
      </c>
      <c r="S21" s="8">
        <v>2.0161808329306252</v>
      </c>
      <c r="T21" s="92">
        <v>2.0694955920332436</v>
      </c>
      <c r="U21" s="14" t="s">
        <v>32</v>
      </c>
      <c r="AJ21" s="10">
        <v>2011</v>
      </c>
      <c r="AK21" s="37">
        <f>D23</f>
        <v>89.651368722070842</v>
      </c>
      <c r="AL21" s="38">
        <f>D24</f>
        <v>91.679051572020867</v>
      </c>
      <c r="AM21" s="37"/>
    </row>
    <row r="22" spans="1:52" s="10" customFormat="1" ht="15" x14ac:dyDescent="0.25">
      <c r="A22" s="13" t="s">
        <v>33</v>
      </c>
      <c r="B22" s="34">
        <v>7.1810709833581452</v>
      </c>
      <c r="C22" s="7">
        <v>80.738363693637908</v>
      </c>
      <c r="D22" s="7">
        <v>86.725904563278689</v>
      </c>
      <c r="E22" s="7">
        <v>100.59989156921542</v>
      </c>
      <c r="F22" s="7">
        <v>99.01609787482279</v>
      </c>
      <c r="G22" s="7">
        <v>98.892634758290214</v>
      </c>
      <c r="H22" s="6">
        <v>98.735605526974709</v>
      </c>
      <c r="I22" s="6">
        <f>'[2]Republic data'!$OC$438</f>
        <v>98.469134997835681</v>
      </c>
      <c r="J22" s="6">
        <v>98.317889337161489</v>
      </c>
      <c r="K22" s="93">
        <v>97.662171177004552</v>
      </c>
      <c r="L22" s="8">
        <v>4.9251410881160362</v>
      </c>
      <c r="M22" s="8">
        <v>7.4159799576327012</v>
      </c>
      <c r="N22" s="8">
        <v>15.997512018815229</v>
      </c>
      <c r="O22" s="8">
        <v>-1.5743493056381008</v>
      </c>
      <c r="P22" s="8">
        <v>-0.12468994353691532</v>
      </c>
      <c r="Q22" s="8">
        <v>-0.15878758989413821</v>
      </c>
      <c r="R22" s="8">
        <f>'[2]Republic data'!$OF$438</f>
        <v>-0.2698829137845582</v>
      </c>
      <c r="S22" s="8">
        <v>-0.15359702375522533</v>
      </c>
      <c r="T22" s="92">
        <v>-0.66693677475956337</v>
      </c>
      <c r="U22" s="40" t="s">
        <v>34</v>
      </c>
      <c r="AJ22" s="10">
        <v>2012</v>
      </c>
      <c r="AK22" s="37">
        <f>E23</f>
        <v>99.409647361204449</v>
      </c>
      <c r="AL22" s="38">
        <f>E24</f>
        <v>100.14126599840249</v>
      </c>
    </row>
    <row r="23" spans="1:52" s="19" customFormat="1" ht="15" x14ac:dyDescent="0.25">
      <c r="A23" s="15" t="s">
        <v>35</v>
      </c>
      <c r="B23" s="41">
        <f>SUM(B8,B12:B13,B11,B15:B22)</f>
        <v>100.00000000000003</v>
      </c>
      <c r="C23" s="16">
        <v>80.568542845421106</v>
      </c>
      <c r="D23" s="16">
        <v>89.651368722070842</v>
      </c>
      <c r="E23" s="16">
        <v>99.409647361204449</v>
      </c>
      <c r="F23" s="16">
        <v>103.19281073321666</v>
      </c>
      <c r="G23" s="16">
        <v>105.38050013404563</v>
      </c>
      <c r="H23" s="16">
        <v>106.38499407837655</v>
      </c>
      <c r="I23" s="16">
        <f>'[2]Republic data'!$OC$3</f>
        <v>106.91958868829052</v>
      </c>
      <c r="J23" s="16">
        <v>109.93201964009602</v>
      </c>
      <c r="K23" s="94">
        <v>109.78539958307455</v>
      </c>
      <c r="L23" s="17">
        <v>6.1498853675017617</v>
      </c>
      <c r="M23" s="17">
        <v>11.273414605593723</v>
      </c>
      <c r="N23" s="17">
        <v>10.884695658563071</v>
      </c>
      <c r="O23" s="17">
        <v>3.8056300091942941</v>
      </c>
      <c r="P23" s="17">
        <v>2.1200017571813001</v>
      </c>
      <c r="Q23" s="17">
        <v>0.95</v>
      </c>
      <c r="R23" s="17">
        <f>'[2]Republic data'!$OF$3</f>
        <v>0.50250941361158485</v>
      </c>
      <c r="S23" s="17">
        <v>2.8174733823451481</v>
      </c>
      <c r="T23" s="95">
        <v>-0.13337338611760785</v>
      </c>
      <c r="U23" s="18" t="s">
        <v>36</v>
      </c>
      <c r="AJ23" s="19">
        <v>2013</v>
      </c>
      <c r="AK23" s="42">
        <f>F23</f>
        <v>103.19281073321666</v>
      </c>
      <c r="AL23" s="42">
        <f>F24</f>
        <v>103.07423491391059</v>
      </c>
    </row>
    <row r="24" spans="1:52" s="21" customFormat="1" ht="15" x14ac:dyDescent="0.25">
      <c r="A24" s="22" t="s">
        <v>37</v>
      </c>
      <c r="B24" s="43">
        <f>B23-B10</f>
        <v>91.353666078543981</v>
      </c>
      <c r="C24" s="20">
        <v>84.338371332150743</v>
      </c>
      <c r="D24" s="20">
        <v>91.679051572020867</v>
      </c>
      <c r="E24" s="20">
        <v>100.14126599840249</v>
      </c>
      <c r="F24" s="20">
        <v>103.07423491391059</v>
      </c>
      <c r="G24" s="20">
        <v>105.29983112357628</v>
      </c>
      <c r="H24" s="20">
        <v>106.44622541898161</v>
      </c>
      <c r="I24" s="20">
        <f>'[2]Republic data'!$OC$484</f>
        <v>107.1902747590181</v>
      </c>
      <c r="J24" s="20">
        <v>110.17175267946645</v>
      </c>
      <c r="K24" s="96">
        <v>109.83680520270974</v>
      </c>
      <c r="L24" s="20">
        <v>6.0660718068332953</v>
      </c>
      <c r="M24" s="20">
        <v>8.7038439608470028</v>
      </c>
      <c r="N24" s="20">
        <v>9.2302595645133998</v>
      </c>
      <c r="O24" s="20">
        <v>2.9288314724869702</v>
      </c>
      <c r="P24" s="20">
        <v>2.159216812546938</v>
      </c>
      <c r="Q24" s="20">
        <v>1.0900000000000001</v>
      </c>
      <c r="R24" s="20">
        <f>'[2]Republic data'!$OF$484</f>
        <v>0.69899081635618199</v>
      </c>
      <c r="S24" s="20">
        <v>2.7814817409053338</v>
      </c>
      <c r="T24" s="97">
        <v>-0.30402300826710693</v>
      </c>
      <c r="U24" s="23" t="s">
        <v>38</v>
      </c>
      <c r="AJ24" s="19">
        <v>2014</v>
      </c>
      <c r="AK24" s="42">
        <f>G23</f>
        <v>105.38050013404563</v>
      </c>
      <c r="AL24" s="42">
        <f>G24</f>
        <v>105.29983112357628</v>
      </c>
    </row>
    <row r="25" spans="1:52" s="50" customFormat="1" ht="15.75" customHeight="1" x14ac:dyDescent="0.2">
      <c r="A25" s="44"/>
      <c r="B25" s="45"/>
      <c r="C25" s="45"/>
      <c r="D25" s="45"/>
      <c r="E25" s="45"/>
      <c r="F25" s="45"/>
      <c r="G25" s="45"/>
      <c r="H25" s="46"/>
      <c r="I25" s="46"/>
      <c r="J25" s="47"/>
      <c r="K25" s="47"/>
      <c r="L25" s="45"/>
      <c r="M25" s="45"/>
      <c r="N25" s="45"/>
      <c r="O25" s="45"/>
      <c r="P25" s="45"/>
      <c r="Q25" s="45"/>
      <c r="R25" s="45"/>
      <c r="S25" s="45"/>
      <c r="T25" s="45"/>
      <c r="U25" s="48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5"/>
      <c r="AJ25" s="19">
        <v>2015</v>
      </c>
      <c r="AK25" s="42">
        <f>H23</f>
        <v>106.38499407837655</v>
      </c>
      <c r="AL25" s="42">
        <f>H24</f>
        <v>106.44622541898161</v>
      </c>
    </row>
    <row r="26" spans="1:52" ht="21" customHeight="1" x14ac:dyDescent="0.2">
      <c r="A26" s="24"/>
      <c r="B26" s="103" t="s">
        <v>53</v>
      </c>
      <c r="C26" s="114"/>
      <c r="D26" s="114"/>
      <c r="E26" s="114"/>
      <c r="F26" s="114"/>
      <c r="G26" s="114"/>
      <c r="H26" s="114"/>
      <c r="I26" s="89"/>
      <c r="J26" s="89"/>
      <c r="K26" s="51"/>
      <c r="L26" s="109" t="s">
        <v>43</v>
      </c>
      <c r="M26" s="110"/>
      <c r="N26" s="110"/>
      <c r="O26" s="110"/>
      <c r="P26" s="110"/>
      <c r="Q26" s="110"/>
      <c r="R26" s="110"/>
      <c r="S26" s="110"/>
      <c r="T26" s="110"/>
      <c r="U26" s="25"/>
      <c r="AJ26" s="19">
        <v>2016</v>
      </c>
      <c r="AK26" s="42">
        <f>I23</f>
        <v>106.91958868829052</v>
      </c>
      <c r="AL26" s="42">
        <f>I24</f>
        <v>107.1902747590181</v>
      </c>
    </row>
    <row r="27" spans="1:52" ht="28.5" customHeight="1" x14ac:dyDescent="0.2">
      <c r="A27" s="52" t="s">
        <v>54</v>
      </c>
      <c r="B27" s="111"/>
      <c r="C27" s="115"/>
      <c r="D27" s="115"/>
      <c r="E27" s="115"/>
      <c r="F27" s="115"/>
      <c r="G27" s="115"/>
      <c r="H27" s="115"/>
      <c r="I27" s="90"/>
      <c r="J27" s="90"/>
      <c r="K27" s="53"/>
      <c r="L27" s="112" t="s">
        <v>44</v>
      </c>
      <c r="M27" s="113"/>
      <c r="N27" s="113"/>
      <c r="O27" s="113"/>
      <c r="P27" s="113"/>
      <c r="Q27" s="113"/>
      <c r="R27" s="113"/>
      <c r="S27" s="113"/>
      <c r="T27" s="113"/>
      <c r="U27" s="27" t="s">
        <v>55</v>
      </c>
      <c r="AJ27" s="19">
        <v>2017</v>
      </c>
      <c r="AK27" s="42">
        <f>J23</f>
        <v>109.93201964009602</v>
      </c>
      <c r="AL27" s="42">
        <f>J24</f>
        <v>110.17175267946645</v>
      </c>
    </row>
    <row r="28" spans="1:52" x14ac:dyDescent="0.2">
      <c r="A28" s="54"/>
      <c r="B28" s="55" t="s">
        <v>45</v>
      </c>
      <c r="C28" s="56">
        <v>2010</v>
      </c>
      <c r="D28" s="56">
        <v>2011</v>
      </c>
      <c r="E28" s="56">
        <v>2012</v>
      </c>
      <c r="F28" s="56">
        <v>2013</v>
      </c>
      <c r="G28" s="56">
        <v>2014</v>
      </c>
      <c r="H28" s="57">
        <v>2015</v>
      </c>
      <c r="I28" s="28">
        <v>2016</v>
      </c>
      <c r="J28" s="28">
        <v>2017</v>
      </c>
      <c r="K28" s="31">
        <v>2018</v>
      </c>
      <c r="L28" s="32">
        <v>2010</v>
      </c>
      <c r="M28" s="33">
        <v>2011</v>
      </c>
      <c r="N28" s="33">
        <v>2012</v>
      </c>
      <c r="O28" s="33">
        <v>2013</v>
      </c>
      <c r="P28" s="33">
        <v>2014</v>
      </c>
      <c r="Q28" s="28">
        <v>2015</v>
      </c>
      <c r="R28" s="33">
        <v>2016</v>
      </c>
      <c r="S28" s="28">
        <v>2017</v>
      </c>
      <c r="T28" s="33">
        <v>2018</v>
      </c>
      <c r="U28" s="29"/>
      <c r="AJ28" s="19">
        <v>2018</v>
      </c>
      <c r="AK28" s="42">
        <f>K23</f>
        <v>109.78539958307455</v>
      </c>
      <c r="AL28" s="42">
        <f>K24</f>
        <v>109.83680520270974</v>
      </c>
    </row>
    <row r="29" spans="1:52" s="59" customFormat="1" ht="18" customHeight="1" x14ac:dyDescent="0.2">
      <c r="A29" s="5" t="s">
        <v>8</v>
      </c>
      <c r="B29" s="34">
        <v>23.78411261195577</v>
      </c>
      <c r="C29" s="7">
        <v>69.554480633976965</v>
      </c>
      <c r="D29" s="7">
        <v>83.416709968576413</v>
      </c>
      <c r="E29" s="7">
        <v>98.167408450774488</v>
      </c>
      <c r="F29" s="7">
        <v>105.5418979724201</v>
      </c>
      <c r="G29" s="7">
        <v>106.60711823254361</v>
      </c>
      <c r="H29" s="35">
        <v>107.44921725072059</v>
      </c>
      <c r="I29" s="35">
        <f>[2]Male!$OC$4</f>
        <v>106.21438956055287</v>
      </c>
      <c r="J29" s="35">
        <v>109.84186445841966</v>
      </c>
      <c r="K29" s="98">
        <v>108.28551440676121</v>
      </c>
      <c r="L29" s="8">
        <v>7.4773586354862198</v>
      </c>
      <c r="M29" s="8">
        <v>19.930030687092536</v>
      </c>
      <c r="N29" s="8">
        <v>17.683145844225635</v>
      </c>
      <c r="O29" s="8">
        <v>7.5121566699435816</v>
      </c>
      <c r="P29" s="7">
        <v>1.0092866251105947</v>
      </c>
      <c r="Q29" s="8">
        <v>0.78990880922238382</v>
      </c>
      <c r="R29" s="8">
        <f>[2]Male!$OF$4</f>
        <v>-1.1492198098441153</v>
      </c>
      <c r="S29" s="8">
        <v>3.4152386629297204</v>
      </c>
      <c r="T29" s="92">
        <v>-1.4169006137433215</v>
      </c>
      <c r="U29" s="9" t="s">
        <v>9</v>
      </c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J29" s="2"/>
      <c r="AK29" s="42"/>
      <c r="AL29" s="42"/>
      <c r="AM29" s="60"/>
      <c r="AN29" s="60"/>
      <c r="AO29" s="60"/>
      <c r="AP29" s="60"/>
      <c r="AQ29" s="60"/>
      <c r="AR29" s="60"/>
      <c r="AS29" s="61"/>
      <c r="AV29" s="62"/>
      <c r="AW29" s="62"/>
      <c r="AX29" s="62"/>
      <c r="AY29" s="63"/>
      <c r="AZ29" s="62"/>
    </row>
    <row r="30" spans="1:52" s="59" customFormat="1" ht="18" customHeight="1" x14ac:dyDescent="0.2">
      <c r="A30" s="5" t="s">
        <v>10</v>
      </c>
      <c r="B30" s="34">
        <f>B29-B31</f>
        <v>16.141190180918223</v>
      </c>
      <c r="C30" s="7">
        <v>84.204150454829019</v>
      </c>
      <c r="D30" s="7">
        <v>94.794400673064558</v>
      </c>
      <c r="E30" s="7">
        <v>99.776621425288184</v>
      </c>
      <c r="F30" s="7">
        <v>106.34377466951754</v>
      </c>
      <c r="G30" s="7">
        <v>106.61664175076959</v>
      </c>
      <c r="H30" s="6">
        <v>108.00177303732585</v>
      </c>
      <c r="I30" s="6">
        <f>[2]Male!$OC$485</f>
        <v>108.54418419912565</v>
      </c>
      <c r="J30" s="6">
        <v>114.09709413054804</v>
      </c>
      <c r="K30" s="99">
        <v>112.49068892940353</v>
      </c>
      <c r="L30" s="8">
        <v>7.4281734816285638</v>
      </c>
      <c r="M30" s="8">
        <v>12.576874371432133</v>
      </c>
      <c r="N30" s="8">
        <v>5.2558175555186493</v>
      </c>
      <c r="O30" s="8">
        <v>6.5818556996809052</v>
      </c>
      <c r="P30" s="7">
        <v>0.25658961429573246</v>
      </c>
      <c r="Q30" s="8">
        <v>1.2991698704918786</v>
      </c>
      <c r="R30" s="8">
        <f>[2]Male!$OF$485</f>
        <v>0.50222431219935082</v>
      </c>
      <c r="S30" s="8">
        <v>5.1158060400873229</v>
      </c>
      <c r="T30" s="92">
        <v>-1.4079282328667286</v>
      </c>
      <c r="U30" s="9" t="s">
        <v>11</v>
      </c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J30" s="2"/>
      <c r="AK30" s="64"/>
      <c r="AL30" s="2"/>
      <c r="AM30" s="65"/>
      <c r="AN30" s="65"/>
      <c r="AO30" s="65"/>
      <c r="AP30" s="65"/>
      <c r="AQ30" s="65"/>
      <c r="AR30" s="65"/>
      <c r="AS30" s="61"/>
      <c r="AV30" s="62"/>
      <c r="AW30" s="62"/>
      <c r="AX30" s="62"/>
      <c r="AY30" s="63"/>
      <c r="AZ30" s="62"/>
    </row>
    <row r="31" spans="1:52" s="59" customFormat="1" ht="15" x14ac:dyDescent="0.2">
      <c r="A31" s="11" t="s">
        <v>12</v>
      </c>
      <c r="B31" s="34">
        <v>7.6429224310375492</v>
      </c>
      <c r="C31" s="7">
        <v>36.005776836416281</v>
      </c>
      <c r="D31" s="7">
        <v>57.361052741283949</v>
      </c>
      <c r="E31" s="7">
        <v>94.406157167404913</v>
      </c>
      <c r="F31" s="7">
        <v>103.84840384287946</v>
      </c>
      <c r="G31" s="7">
        <v>106.58700538693205</v>
      </c>
      <c r="H31" s="6">
        <v>106.28226728915327</v>
      </c>
      <c r="I31" s="6">
        <f>[2]Male!$OC$38</f>
        <v>101.29406507957015</v>
      </c>
      <c r="J31" s="6">
        <v>100.85518795855286</v>
      </c>
      <c r="K31" s="99">
        <v>99.404550047071211</v>
      </c>
      <c r="L31" s="8">
        <v>7.7415436979054508</v>
      </c>
      <c r="M31" s="8">
        <v>59.310693397590896</v>
      </c>
      <c r="N31" s="8">
        <v>64.582330092869483</v>
      </c>
      <c r="O31" s="8">
        <v>10.001727597842125</v>
      </c>
      <c r="P31" s="7">
        <v>2.6371147198333666</v>
      </c>
      <c r="Q31" s="8">
        <v>-0.28590548788993697</v>
      </c>
      <c r="R31" s="8">
        <f>[2]Male!$OF$38</f>
        <v>-4.6933532157458995</v>
      </c>
      <c r="S31" s="8">
        <v>-0.43327032109189423</v>
      </c>
      <c r="T31" s="92">
        <v>-1.4383374230364843</v>
      </c>
      <c r="U31" s="9" t="s">
        <v>13</v>
      </c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65"/>
      <c r="AJ31" s="2"/>
      <c r="AK31" s="64"/>
      <c r="AL31" s="2"/>
      <c r="AM31" s="65"/>
      <c r="AN31" s="65"/>
      <c r="AO31" s="65"/>
      <c r="AP31" s="65"/>
      <c r="AQ31" s="65"/>
      <c r="AR31" s="65"/>
      <c r="AS31" s="61"/>
      <c r="AV31" s="62"/>
      <c r="AW31" s="62"/>
      <c r="AX31" s="62"/>
      <c r="AY31" s="63"/>
      <c r="AZ31" s="62"/>
    </row>
    <row r="32" spans="1:52" s="59" customFormat="1" ht="15" x14ac:dyDescent="0.2">
      <c r="A32" s="11" t="s">
        <v>47</v>
      </c>
      <c r="B32" s="34">
        <v>1.2551264274393874</v>
      </c>
      <c r="C32" s="7">
        <v>50.532891620339313</v>
      </c>
      <c r="D32" s="7">
        <v>64.296766109008189</v>
      </c>
      <c r="E32" s="7">
        <v>101.10997281948137</v>
      </c>
      <c r="F32" s="7">
        <v>98.191752361218789</v>
      </c>
      <c r="G32" s="7">
        <v>101.20504904236994</v>
      </c>
      <c r="H32" s="6">
        <v>116.20524691029136</v>
      </c>
      <c r="I32" s="6">
        <f>[2]Male!$OC$156</f>
        <v>119.42144298997056</v>
      </c>
      <c r="J32" s="6">
        <v>153.44593309791097</v>
      </c>
      <c r="K32" s="99">
        <v>171.15864688702308</v>
      </c>
      <c r="L32" s="8">
        <v>-0.33098719728800186</v>
      </c>
      <c r="M32" s="8">
        <v>27.237456728340014</v>
      </c>
      <c r="N32" s="8">
        <v>57.255145069132077</v>
      </c>
      <c r="O32" s="8">
        <v>-2.8861845937518726</v>
      </c>
      <c r="P32" s="7">
        <v>3.068787967105524</v>
      </c>
      <c r="Q32" s="8">
        <v>14.821590434328558</v>
      </c>
      <c r="R32" s="8">
        <f>[2]Male!$OF$156</f>
        <v>2.7676857673750721</v>
      </c>
      <c r="S32" s="8">
        <v>28.491106166585102</v>
      </c>
      <c r="T32" s="92">
        <v>11.543293088002503</v>
      </c>
      <c r="U32" s="9" t="s">
        <v>39</v>
      </c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65"/>
      <c r="AJ32" s="2"/>
      <c r="AK32" s="64"/>
      <c r="AL32" s="2"/>
      <c r="AM32" s="65"/>
      <c r="AN32" s="65"/>
      <c r="AO32" s="65"/>
      <c r="AP32" s="65"/>
      <c r="AQ32" s="65"/>
      <c r="AR32" s="65"/>
      <c r="AS32" s="61"/>
      <c r="AV32" s="62"/>
      <c r="AW32" s="62"/>
      <c r="AX32" s="62"/>
      <c r="AY32" s="63"/>
      <c r="AZ32" s="62"/>
    </row>
    <row r="33" spans="1:52" s="59" customFormat="1" ht="15" x14ac:dyDescent="0.2">
      <c r="A33" s="11" t="s">
        <v>14</v>
      </c>
      <c r="B33" s="34">
        <v>3.325234690971965</v>
      </c>
      <c r="C33" s="7">
        <v>72.534285938334179</v>
      </c>
      <c r="D33" s="7">
        <v>81.881292827210913</v>
      </c>
      <c r="E33" s="7">
        <v>98.218343825881036</v>
      </c>
      <c r="F33" s="7">
        <v>99.664487530793849</v>
      </c>
      <c r="G33" s="7">
        <v>99.988590307242035</v>
      </c>
      <c r="H33" s="6">
        <v>99.014648713762881</v>
      </c>
      <c r="I33" s="6">
        <f>[2]Male!$OC$167</f>
        <v>98.190748488110202</v>
      </c>
      <c r="J33" s="6">
        <v>97.817675747130053</v>
      </c>
      <c r="K33" s="99">
        <v>94.86293122958206</v>
      </c>
      <c r="L33" s="8">
        <v>2.964536511071425</v>
      </c>
      <c r="M33" s="8">
        <v>12.886329227564453</v>
      </c>
      <c r="N33" s="8">
        <v>19.95211657581568</v>
      </c>
      <c r="O33" s="8">
        <v>1.4723763897673825</v>
      </c>
      <c r="P33" s="7">
        <v>0.32519384233831161</v>
      </c>
      <c r="Q33" s="8">
        <v>-0.97405272990294112</v>
      </c>
      <c r="R33" s="8">
        <f>[2]Male!$OF$167</f>
        <v>-0.83209932707477563</v>
      </c>
      <c r="S33" s="8">
        <v>-0.37994693667634527</v>
      </c>
      <c r="T33" s="92">
        <v>-3.0206652274036294</v>
      </c>
      <c r="U33" s="9" t="s">
        <v>15</v>
      </c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65"/>
      <c r="AJ33" s="2"/>
      <c r="AK33" s="64"/>
      <c r="AL33" s="2"/>
      <c r="AM33" s="65"/>
      <c r="AN33" s="65"/>
      <c r="AO33" s="65"/>
      <c r="AP33" s="65"/>
      <c r="AQ33" s="65"/>
      <c r="AR33" s="65"/>
      <c r="AS33" s="61"/>
      <c r="AV33" s="62"/>
      <c r="AW33" s="62"/>
      <c r="AX33" s="62"/>
      <c r="AY33" s="63"/>
      <c r="AZ33" s="62"/>
    </row>
    <row r="34" spans="1:52" s="59" customFormat="1" ht="15" x14ac:dyDescent="0.2">
      <c r="A34" s="11" t="s">
        <v>16</v>
      </c>
      <c r="B34" s="34">
        <v>33.253292498580983</v>
      </c>
      <c r="C34" s="7">
        <v>93.758762276598645</v>
      </c>
      <c r="D34" s="7">
        <v>96.487654366096692</v>
      </c>
      <c r="E34" s="7">
        <v>100.00377000426182</v>
      </c>
      <c r="F34" s="7">
        <v>103.95006675159617</v>
      </c>
      <c r="G34" s="7">
        <v>107.01057323330696</v>
      </c>
      <c r="H34" s="6">
        <v>109.61354663249911</v>
      </c>
      <c r="I34" s="6">
        <f>[2]Male!$OC$207</f>
        <v>111.78087632908641</v>
      </c>
      <c r="J34" s="6">
        <v>114.83955338142039</v>
      </c>
      <c r="K34" s="99">
        <v>119.40982119779115</v>
      </c>
      <c r="L34" s="8">
        <v>7.5863764884965379</v>
      </c>
      <c r="M34" s="8">
        <v>2.9105461966824064</v>
      </c>
      <c r="N34" s="8">
        <v>3.6441093539533842</v>
      </c>
      <c r="O34" s="8">
        <v>3.9461479773874153</v>
      </c>
      <c r="P34" s="7">
        <v>2.9442082889896692</v>
      </c>
      <c r="Q34" s="8">
        <v>2.4324450571039158</v>
      </c>
      <c r="R34" s="8">
        <f>[2]Male!$OF$207</f>
        <v>1.9772462101365074</v>
      </c>
      <c r="S34" s="8">
        <v>2.7363151486924586</v>
      </c>
      <c r="T34" s="92">
        <v>3.9796983546177556</v>
      </c>
      <c r="U34" s="9" t="s">
        <v>17</v>
      </c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65"/>
      <c r="AJ34" s="2"/>
      <c r="AK34" s="64"/>
      <c r="AL34" s="2"/>
      <c r="AM34" s="65"/>
      <c r="AN34" s="65"/>
      <c r="AO34" s="65"/>
      <c r="AP34" s="65"/>
      <c r="AQ34" s="65"/>
      <c r="AR34" s="65"/>
      <c r="AS34" s="61"/>
      <c r="AV34" s="62"/>
      <c r="AW34" s="62"/>
      <c r="AX34" s="62"/>
      <c r="AY34" s="63"/>
      <c r="AZ34" s="62"/>
    </row>
    <row r="35" spans="1:52" s="59" customFormat="1" ht="15" x14ac:dyDescent="0.2">
      <c r="A35" s="11" t="s">
        <v>18</v>
      </c>
      <c r="B35" s="34">
        <v>24.01513195689877</v>
      </c>
      <c r="C35" s="7">
        <v>91.040551259171139</v>
      </c>
      <c r="D35" s="7">
        <v>95.103608962918898</v>
      </c>
      <c r="E35" s="7">
        <v>100.09393014432733</v>
      </c>
      <c r="F35" s="7">
        <v>104.20681505043228</v>
      </c>
      <c r="G35" s="7">
        <v>108.38813271909099</v>
      </c>
      <c r="H35" s="6">
        <v>113.03365604700161</v>
      </c>
      <c r="I35" s="6">
        <f>[2]Male!$OC$209</f>
        <v>117.41374229948713</v>
      </c>
      <c r="J35" s="6">
        <v>122.83526593997867</v>
      </c>
      <c r="K35" s="99">
        <v>130.24163983179812</v>
      </c>
      <c r="L35" s="8">
        <v>6.4176111999628915</v>
      </c>
      <c r="M35" s="8">
        <v>4.4629098215598351</v>
      </c>
      <c r="N35" s="8">
        <v>5.2472469087415652</v>
      </c>
      <c r="O35" s="8">
        <v>4.1090252927170612</v>
      </c>
      <c r="P35" s="7">
        <v>4.012518439062851</v>
      </c>
      <c r="Q35" s="8">
        <v>4.2860073435810664</v>
      </c>
      <c r="R35" s="8">
        <f>[2]Male!$OF$209</f>
        <v>3.8750283815151443</v>
      </c>
      <c r="S35" s="8">
        <v>4.6174523819050739</v>
      </c>
      <c r="T35" s="92">
        <v>6.0295175291422032</v>
      </c>
      <c r="U35" s="39" t="s">
        <v>49</v>
      </c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65"/>
      <c r="AJ35" s="2"/>
      <c r="AK35" s="64"/>
      <c r="AL35" s="2"/>
      <c r="AM35" s="65"/>
      <c r="AN35" s="65"/>
      <c r="AO35" s="65"/>
      <c r="AP35" s="65"/>
      <c r="AQ35" s="65"/>
      <c r="AR35" s="65"/>
      <c r="AS35" s="61"/>
      <c r="AV35" s="62"/>
      <c r="AW35" s="62"/>
      <c r="AX35" s="62"/>
      <c r="AY35" s="63"/>
      <c r="AZ35" s="62"/>
    </row>
    <row r="36" spans="1:52" s="59" customFormat="1" ht="25.5" x14ac:dyDescent="0.2">
      <c r="A36" s="5" t="s">
        <v>19</v>
      </c>
      <c r="B36" s="34">
        <v>7.3787368723932971</v>
      </c>
      <c r="C36" s="7">
        <v>80.397772506783596</v>
      </c>
      <c r="D36" s="7">
        <v>83.774232067142066</v>
      </c>
      <c r="E36" s="7">
        <v>98.524372725422779</v>
      </c>
      <c r="F36" s="7">
        <v>96.547282672985318</v>
      </c>
      <c r="G36" s="7">
        <v>93.814065718362556</v>
      </c>
      <c r="H36" s="6">
        <v>94.620620411023353</v>
      </c>
      <c r="I36" s="6">
        <f>[2]Male!$OC$240</f>
        <v>96.196125798305104</v>
      </c>
      <c r="J36" s="6">
        <v>97.823903613179155</v>
      </c>
      <c r="K36" s="99">
        <v>96.375951108177688</v>
      </c>
      <c r="L36" s="8">
        <v>5.9837247199728161</v>
      </c>
      <c r="M36" s="8">
        <v>4.1996929206882916</v>
      </c>
      <c r="N36" s="8">
        <v>17.60701386848762</v>
      </c>
      <c r="O36" s="8">
        <v>-2.0067014868974664</v>
      </c>
      <c r="P36" s="7">
        <v>-2.8309620726255202</v>
      </c>
      <c r="Q36" s="8">
        <v>0.85973748870680211</v>
      </c>
      <c r="R36" s="8">
        <f>[2]Male!$OF$240</f>
        <v>1.6650761540538461</v>
      </c>
      <c r="S36" s="8">
        <v>1.6921448773176362</v>
      </c>
      <c r="T36" s="92">
        <v>-1.48016226251515</v>
      </c>
      <c r="U36" s="9" t="s">
        <v>20</v>
      </c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65"/>
      <c r="AJ36" s="2"/>
      <c r="AK36" s="64"/>
      <c r="AL36" s="2"/>
      <c r="AM36" s="65"/>
      <c r="AN36" s="65"/>
      <c r="AO36" s="65"/>
      <c r="AP36" s="65"/>
      <c r="AQ36" s="65"/>
      <c r="AR36" s="65"/>
      <c r="AS36" s="61"/>
      <c r="AV36" s="62"/>
      <c r="AW36" s="62"/>
      <c r="AX36" s="62"/>
      <c r="AY36" s="63"/>
      <c r="AZ36" s="62"/>
    </row>
    <row r="37" spans="1:52" s="59" customFormat="1" ht="15" x14ac:dyDescent="0.2">
      <c r="A37" s="12" t="s">
        <v>21</v>
      </c>
      <c r="B37" s="34">
        <v>3.3443838651865483</v>
      </c>
      <c r="C37" s="7">
        <v>123.09882000085349</v>
      </c>
      <c r="D37" s="7">
        <v>136.10400273752558</v>
      </c>
      <c r="E37" s="7">
        <v>102.76543099265899</v>
      </c>
      <c r="F37" s="7">
        <v>110.56654167287611</v>
      </c>
      <c r="G37" s="7">
        <v>124.65316422633758</v>
      </c>
      <c r="H37" s="6">
        <v>127.35658087728201</v>
      </c>
      <c r="I37" s="6">
        <f>[2]Male!$OC$292</f>
        <v>128.61309538574685</v>
      </c>
      <c r="J37" s="6">
        <v>128.95886976125692</v>
      </c>
      <c r="K37" s="99">
        <v>130.04064947188434</v>
      </c>
      <c r="L37" s="8">
        <v>4.6580366770973214</v>
      </c>
      <c r="M37" s="8">
        <v>10.564831357913839</v>
      </c>
      <c r="N37" s="8">
        <v>-24.49492378939031</v>
      </c>
      <c r="O37" s="8">
        <v>7.591181786387291</v>
      </c>
      <c r="P37" s="7">
        <v>12.740402603111489</v>
      </c>
      <c r="Q37" s="8">
        <v>2.1687509239923797</v>
      </c>
      <c r="R37" s="8">
        <f>[2]Male!$OF$292</f>
        <v>0.98661137085298556</v>
      </c>
      <c r="S37" s="8">
        <v>0.2688484982598327</v>
      </c>
      <c r="T37" s="92">
        <v>0.83885638314769029</v>
      </c>
      <c r="U37" s="9" t="s">
        <v>22</v>
      </c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65"/>
      <c r="AJ37" s="2"/>
      <c r="AK37" s="64"/>
      <c r="AL37" s="2"/>
      <c r="AM37" s="65"/>
      <c r="AN37" s="65"/>
      <c r="AO37" s="65"/>
      <c r="AP37" s="65"/>
      <c r="AQ37" s="65"/>
      <c r="AR37" s="65"/>
      <c r="AS37" s="61"/>
      <c r="AV37" s="62"/>
      <c r="AW37" s="62"/>
      <c r="AX37" s="62"/>
      <c r="AY37" s="63"/>
      <c r="AZ37" s="62"/>
    </row>
    <row r="38" spans="1:52" s="59" customFormat="1" ht="15" x14ac:dyDescent="0.2">
      <c r="A38" s="12" t="s">
        <v>23</v>
      </c>
      <c r="B38" s="34">
        <v>5.0247567425570834</v>
      </c>
      <c r="C38" s="7">
        <v>80.571924425587255</v>
      </c>
      <c r="D38" s="7">
        <v>91.644770975471246</v>
      </c>
      <c r="E38" s="7">
        <v>99.919914617161496</v>
      </c>
      <c r="F38" s="7">
        <v>102.42725062633708</v>
      </c>
      <c r="G38" s="7">
        <v>107.6673987994979</v>
      </c>
      <c r="H38" s="6">
        <v>107.33736946618552</v>
      </c>
      <c r="I38" s="6">
        <f>[2]Male!$OC$322</f>
        <v>107.44337348085035</v>
      </c>
      <c r="J38" s="6">
        <v>105.43253318252432</v>
      </c>
      <c r="K38" s="99">
        <v>105.3751683804018</v>
      </c>
      <c r="L38" s="8">
        <v>3.3243849280613746</v>
      </c>
      <c r="M38" s="8">
        <v>13.742810077858314</v>
      </c>
      <c r="N38" s="8">
        <v>9.0295862531045046</v>
      </c>
      <c r="O38" s="8">
        <v>2.5093456282286875</v>
      </c>
      <c r="P38" s="7">
        <v>5.1159707412994138</v>
      </c>
      <c r="Q38" s="8">
        <v>-0.30652670817001848</v>
      </c>
      <c r="R38" s="8">
        <f>[2]Male!$OF$322</f>
        <v>9.8757790685599645E-2</v>
      </c>
      <c r="S38" s="8">
        <v>-1.8715349613295795</v>
      </c>
      <c r="T38" s="92">
        <v>-5.4409014362966079E-2</v>
      </c>
      <c r="U38" s="9" t="s">
        <v>24</v>
      </c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65"/>
      <c r="AJ38" s="2"/>
      <c r="AK38" s="64"/>
      <c r="AL38" s="2"/>
      <c r="AM38" s="65"/>
      <c r="AN38" s="65"/>
      <c r="AO38" s="65"/>
      <c r="AP38" s="65"/>
      <c r="AQ38" s="65"/>
      <c r="AR38" s="65"/>
      <c r="AS38" s="61"/>
      <c r="AV38" s="62"/>
      <c r="AW38" s="62"/>
      <c r="AX38" s="62"/>
      <c r="AY38" s="63"/>
      <c r="AZ38" s="62"/>
    </row>
    <row r="39" spans="1:52" s="59" customFormat="1" ht="15" x14ac:dyDescent="0.2">
      <c r="A39" s="12" t="s">
        <v>25</v>
      </c>
      <c r="B39" s="34">
        <v>4.9499335195000258</v>
      </c>
      <c r="C39" s="7">
        <v>100.38298344923554</v>
      </c>
      <c r="D39" s="7">
        <v>100.6195512642537</v>
      </c>
      <c r="E39" s="7">
        <v>99.902385256204028</v>
      </c>
      <c r="F39" s="7">
        <v>98.048576495455336</v>
      </c>
      <c r="G39" s="7">
        <v>97.118601810845405</v>
      </c>
      <c r="H39" s="6">
        <v>96.214029396765625</v>
      </c>
      <c r="I39" s="6">
        <f>[2]Male!$OC$348</f>
        <v>95.751607847297137</v>
      </c>
      <c r="J39" s="6">
        <v>95.746365973594948</v>
      </c>
      <c r="K39" s="99">
        <v>97.028495441250342</v>
      </c>
      <c r="L39" s="8">
        <v>0.22824001348027423</v>
      </c>
      <c r="M39" s="8">
        <v>0.23566525609173272</v>
      </c>
      <c r="N39" s="8">
        <v>-0.71275015545061438</v>
      </c>
      <c r="O39" s="8">
        <v>-1.8556201195742417</v>
      </c>
      <c r="P39" s="7">
        <v>-0.94848361684581883</v>
      </c>
      <c r="Q39" s="8">
        <v>-0.93141004628709556</v>
      </c>
      <c r="R39" s="8">
        <f>[2]Male!$OF$348</f>
        <v>-0.48061759014536021</v>
      </c>
      <c r="S39" s="8">
        <v>-5.474449797804315E-3</v>
      </c>
      <c r="T39" s="92">
        <v>1.3390894313513479</v>
      </c>
      <c r="U39" s="9" t="s">
        <v>26</v>
      </c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65"/>
      <c r="AJ39" s="2"/>
      <c r="AK39" s="64"/>
      <c r="AL39" s="2"/>
      <c r="AM39" s="65"/>
      <c r="AN39" s="65"/>
      <c r="AO39" s="65"/>
      <c r="AP39" s="65"/>
      <c r="AQ39" s="65"/>
      <c r="AR39" s="65"/>
      <c r="AS39" s="61"/>
      <c r="AV39" s="62"/>
      <c r="AW39" s="62"/>
      <c r="AX39" s="62"/>
      <c r="AY39" s="63"/>
      <c r="AZ39" s="62"/>
    </row>
    <row r="40" spans="1:52" s="59" customFormat="1" ht="15" x14ac:dyDescent="0.2">
      <c r="A40" s="13" t="s">
        <v>27</v>
      </c>
      <c r="B40" s="34">
        <v>3.8759977554993457</v>
      </c>
      <c r="C40" s="7">
        <v>100.01905005623114</v>
      </c>
      <c r="D40" s="7">
        <v>97.89290317146407</v>
      </c>
      <c r="E40" s="7">
        <v>99.123228888029075</v>
      </c>
      <c r="F40" s="7">
        <v>99.19328729416749</v>
      </c>
      <c r="G40" s="7">
        <v>101.98521882257955</v>
      </c>
      <c r="H40" s="6">
        <v>101.05736071574518</v>
      </c>
      <c r="I40" s="6">
        <f>[2]Male!$OC$360</f>
        <v>100.46158690929978</v>
      </c>
      <c r="J40" s="6">
        <v>102.05528211482302</v>
      </c>
      <c r="K40" s="99">
        <v>100.37103668676701</v>
      </c>
      <c r="L40" s="8">
        <v>5.7426544875852192</v>
      </c>
      <c r="M40" s="8">
        <v>-2.1257419297341262</v>
      </c>
      <c r="N40" s="8">
        <v>1.256807875449395</v>
      </c>
      <c r="O40" s="8">
        <v>7.0678091224762873E-2</v>
      </c>
      <c r="P40" s="7">
        <v>2.8146375672905233</v>
      </c>
      <c r="Q40" s="8">
        <v>-0.90979665244288466</v>
      </c>
      <c r="R40" s="8">
        <f>[2]Male!$OF$360</f>
        <v>-0.58954023954889134</v>
      </c>
      <c r="S40" s="8">
        <v>1.5863727167301001</v>
      </c>
      <c r="T40" s="92">
        <v>-1.6503265614033036</v>
      </c>
      <c r="U40" s="14" t="s">
        <v>28</v>
      </c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65"/>
      <c r="AJ40" s="2"/>
      <c r="AK40" s="64"/>
      <c r="AL40" s="2"/>
      <c r="AM40" s="65"/>
      <c r="AN40" s="65"/>
      <c r="AO40" s="65"/>
      <c r="AP40" s="65"/>
      <c r="AQ40" s="65"/>
      <c r="AR40" s="65"/>
      <c r="AS40" s="61"/>
      <c r="AV40" s="62"/>
      <c r="AW40" s="62"/>
      <c r="AX40" s="62"/>
      <c r="AY40" s="63"/>
      <c r="AZ40" s="62"/>
    </row>
    <row r="41" spans="1:52" s="59" customFormat="1" ht="15" x14ac:dyDescent="0.2">
      <c r="A41" s="11" t="s">
        <v>29</v>
      </c>
      <c r="B41" s="34">
        <v>3.1475471737470042</v>
      </c>
      <c r="C41" s="7">
        <v>72.465176121953334</v>
      </c>
      <c r="D41" s="7">
        <v>85.752154766717368</v>
      </c>
      <c r="E41" s="7">
        <v>99.974205552764317</v>
      </c>
      <c r="F41" s="7">
        <v>102.13692109662372</v>
      </c>
      <c r="G41" s="7">
        <v>111.56417616429451</v>
      </c>
      <c r="H41" s="6">
        <v>117.33257668396261</v>
      </c>
      <c r="I41" s="6">
        <f>[2]Male!$OC$405</f>
        <v>125.51210025739101</v>
      </c>
      <c r="J41" s="6">
        <v>127.79701695768269</v>
      </c>
      <c r="K41" s="99">
        <v>133.03091886109448</v>
      </c>
      <c r="L41" s="8">
        <v>9.4434460037209114</v>
      </c>
      <c r="M41" s="8">
        <v>18.335674258768186</v>
      </c>
      <c r="N41" s="8">
        <v>16.585065208841733</v>
      </c>
      <c r="O41" s="8">
        <v>2.1632735483133825</v>
      </c>
      <c r="P41" s="7">
        <v>9.2300168895363512</v>
      </c>
      <c r="Q41" s="8">
        <v>5.1704774041205548</v>
      </c>
      <c r="R41" s="8">
        <f>[2]Male!$OF$405</f>
        <v>6.971229819200242</v>
      </c>
      <c r="S41" s="8">
        <v>1.8204752335479579</v>
      </c>
      <c r="T41" s="92">
        <v>4.0954804955618762</v>
      </c>
      <c r="U41" s="14" t="s">
        <v>30</v>
      </c>
      <c r="AI41" s="62"/>
      <c r="AJ41" s="2"/>
      <c r="AK41" s="64"/>
      <c r="AL41" s="2"/>
      <c r="AM41" s="62"/>
      <c r="AN41" s="62"/>
      <c r="AO41" s="62"/>
      <c r="AP41" s="62"/>
      <c r="AQ41" s="62"/>
      <c r="AR41" s="62"/>
      <c r="AS41" s="61"/>
      <c r="AV41" s="62"/>
      <c r="AW41" s="62"/>
      <c r="AX41" s="62"/>
      <c r="AY41" s="63"/>
      <c r="AZ41" s="62"/>
    </row>
    <row r="42" spans="1:52" s="59" customFormat="1" ht="15" x14ac:dyDescent="0.2">
      <c r="A42" s="11" t="s">
        <v>31</v>
      </c>
      <c r="B42" s="34">
        <v>4.0917964761770804</v>
      </c>
      <c r="C42" s="7">
        <v>70.167294544238487</v>
      </c>
      <c r="D42" s="7">
        <v>81.124231104476152</v>
      </c>
      <c r="E42" s="7">
        <v>103.92316833381101</v>
      </c>
      <c r="F42" s="7">
        <v>117.33190209291605</v>
      </c>
      <c r="G42" s="7">
        <v>125.48306357044619</v>
      </c>
      <c r="H42" s="6">
        <v>125.82497057055754</v>
      </c>
      <c r="I42" s="6">
        <f>[2]Male!$OC$421</f>
        <v>127.6536356791524</v>
      </c>
      <c r="J42" s="6">
        <v>128.04598972223968</v>
      </c>
      <c r="K42" s="99">
        <v>131.96832889286028</v>
      </c>
      <c r="L42" s="8">
        <v>3.2289501598796955</v>
      </c>
      <c r="M42" s="8">
        <v>15.615446813799583</v>
      </c>
      <c r="N42" s="8">
        <v>28.103732903148448</v>
      </c>
      <c r="O42" s="8">
        <v>12.902545191881497</v>
      </c>
      <c r="P42" s="7">
        <v>6.9470973640870293</v>
      </c>
      <c r="Q42" s="8">
        <v>0.27247262728757882</v>
      </c>
      <c r="R42" s="8">
        <f>[2]Male!$OF$421</f>
        <v>1.4533403825192304</v>
      </c>
      <c r="S42" s="8">
        <v>0.30735829888419719</v>
      </c>
      <c r="T42" s="92">
        <v>3.0632268758506553</v>
      </c>
      <c r="U42" s="14" t="s">
        <v>32</v>
      </c>
      <c r="AI42" s="62"/>
      <c r="AJ42" s="2"/>
      <c r="AK42" s="64"/>
      <c r="AL42" s="66"/>
      <c r="AM42" s="62"/>
      <c r="AN42" s="62"/>
      <c r="AO42" s="62"/>
      <c r="AP42" s="62"/>
      <c r="AQ42" s="62"/>
      <c r="AR42" s="62"/>
      <c r="AS42" s="61"/>
      <c r="AV42" s="62"/>
      <c r="AW42" s="62"/>
      <c r="AX42" s="62"/>
      <c r="AY42" s="63"/>
      <c r="AZ42" s="62"/>
    </row>
    <row r="43" spans="1:52" s="59" customFormat="1" ht="15" x14ac:dyDescent="0.2">
      <c r="A43" s="13" t="s">
        <v>33</v>
      </c>
      <c r="B43" s="67">
        <v>6.5690813659915177</v>
      </c>
      <c r="C43" s="7">
        <v>80.738363693637908</v>
      </c>
      <c r="D43" s="7">
        <v>86.725904563278689</v>
      </c>
      <c r="E43" s="7">
        <v>100.69814215631898</v>
      </c>
      <c r="F43" s="7">
        <v>98.812991503112301</v>
      </c>
      <c r="G43" s="7">
        <v>98.609462577367751</v>
      </c>
      <c r="H43" s="6">
        <v>98.344584404467298</v>
      </c>
      <c r="I43" s="6">
        <f>[2]Male!$OC$438</f>
        <v>97.897045106929454</v>
      </c>
      <c r="J43" s="6">
        <v>97.659694697503355</v>
      </c>
      <c r="K43" s="99">
        <v>97.498477137809516</v>
      </c>
      <c r="L43" s="8">
        <v>4.9251410881160362</v>
      </c>
      <c r="M43" s="8">
        <v>7.4159799576327012</v>
      </c>
      <c r="N43" s="8">
        <v>16.110800646473034</v>
      </c>
      <c r="O43" s="8">
        <v>-1.8720808674704825</v>
      </c>
      <c r="P43" s="7">
        <v>-0.20597385287959291</v>
      </c>
      <c r="Q43" s="8">
        <v>-0.26861334194234754</v>
      </c>
      <c r="R43" s="8">
        <f>[2]Male!$OF$438</f>
        <v>-0.45507264100809186</v>
      </c>
      <c r="S43" s="8">
        <v>-0.24244900258925117</v>
      </c>
      <c r="T43" s="92">
        <v>-0.16508095810989776</v>
      </c>
      <c r="U43" s="40" t="s">
        <v>34</v>
      </c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65"/>
      <c r="AJ43" s="2"/>
      <c r="AK43" s="64"/>
      <c r="AL43" s="2"/>
      <c r="AM43" s="65"/>
      <c r="AN43" s="65"/>
      <c r="AO43" s="65"/>
      <c r="AP43" s="65"/>
      <c r="AQ43" s="65"/>
      <c r="AR43" s="65"/>
      <c r="AS43" s="61"/>
      <c r="AY43" s="68"/>
    </row>
    <row r="44" spans="1:52" s="74" customFormat="1" ht="15" x14ac:dyDescent="0.2">
      <c r="A44" s="15" t="s">
        <v>35</v>
      </c>
      <c r="B44" s="69">
        <f>SUM(B36:B43,B32:B34,B29)</f>
        <v>100</v>
      </c>
      <c r="C44" s="16">
        <v>80.568542845421106</v>
      </c>
      <c r="D44" s="16">
        <v>89.651368722070842</v>
      </c>
      <c r="E44" s="16">
        <v>99.415139330518244</v>
      </c>
      <c r="F44" s="16">
        <v>103.38895723436703</v>
      </c>
      <c r="G44" s="16">
        <v>105.92043432963987</v>
      </c>
      <c r="H44" s="16">
        <v>107.37293678888472</v>
      </c>
      <c r="I44" s="16">
        <f>[2]Male!$OC$3</f>
        <v>108.23342334232696</v>
      </c>
      <c r="J44" s="16">
        <v>110.69246887707151</v>
      </c>
      <c r="K44" s="100">
        <v>112.20541633013362</v>
      </c>
      <c r="L44" s="17">
        <v>6.1498853675017617</v>
      </c>
      <c r="M44" s="17">
        <v>11.273414605593723</v>
      </c>
      <c r="N44" s="17">
        <v>10.890821576540755</v>
      </c>
      <c r="O44" s="17">
        <v>3.9971959307297356</v>
      </c>
      <c r="P44" s="16">
        <v>2.4484985272985815</v>
      </c>
      <c r="Q44" s="17">
        <v>1.3713146744890103</v>
      </c>
      <c r="R44" s="17">
        <f>[2]Male!$OF$3</f>
        <v>0.80139984913900619</v>
      </c>
      <c r="S44" s="17">
        <v>2.2719835137866129</v>
      </c>
      <c r="T44" s="95">
        <v>1.3668025190966659</v>
      </c>
      <c r="U44" s="18" t="s">
        <v>36</v>
      </c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1"/>
      <c r="AJ44" s="72"/>
      <c r="AK44" s="73"/>
      <c r="AL44" s="72"/>
      <c r="AM44" s="71"/>
      <c r="AN44" s="71"/>
      <c r="AO44" s="71"/>
      <c r="AP44" s="71"/>
      <c r="AQ44" s="71"/>
      <c r="AR44" s="71"/>
      <c r="AS44" s="61"/>
      <c r="AY44" s="75"/>
    </row>
    <row r="45" spans="1:52" s="79" customFormat="1" ht="15" x14ac:dyDescent="0.2">
      <c r="A45" s="22" t="s">
        <v>37</v>
      </c>
      <c r="B45" s="43">
        <f>B44-B31</f>
        <v>92.357077568962453</v>
      </c>
      <c r="C45" s="20">
        <v>84.338371332150743</v>
      </c>
      <c r="D45" s="20">
        <v>91.679051572020867</v>
      </c>
      <c r="E45" s="20">
        <v>100.09850402946053</v>
      </c>
      <c r="F45" s="20">
        <v>103.35093616567913</v>
      </c>
      <c r="G45" s="76">
        <v>105.86527287347694</v>
      </c>
      <c r="H45" s="20">
        <v>107.46319410975025</v>
      </c>
      <c r="I45" s="20">
        <f>[2]Male!$OC$484</f>
        <v>108.80768335920361</v>
      </c>
      <c r="J45" s="20">
        <v>111.50654373707793</v>
      </c>
      <c r="K45" s="101">
        <v>113.26473988850915</v>
      </c>
      <c r="L45" s="20">
        <v>6.0660718068332953</v>
      </c>
      <c r="M45" s="20">
        <v>8.7038439608470028</v>
      </c>
      <c r="N45" s="20">
        <v>9.1836164457106619</v>
      </c>
      <c r="O45" s="20">
        <v>3.2492315122525373</v>
      </c>
      <c r="P45" s="76">
        <v>2.4328146421113583</v>
      </c>
      <c r="Q45" s="20">
        <v>1.5093913168136242</v>
      </c>
      <c r="R45" s="20">
        <f>[2]Male!$OF$484</f>
        <v>1.2511160314853997</v>
      </c>
      <c r="S45" s="20">
        <v>2.4803950369613581</v>
      </c>
      <c r="T45" s="97">
        <v>1.5767649973770892</v>
      </c>
      <c r="U45" s="23" t="s">
        <v>38</v>
      </c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2"/>
      <c r="AK45" s="73"/>
      <c r="AL45" s="77"/>
      <c r="AM45" s="71"/>
      <c r="AN45" s="71"/>
      <c r="AO45" s="71"/>
      <c r="AP45" s="71"/>
      <c r="AQ45" s="71"/>
      <c r="AR45" s="71"/>
      <c r="AS45" s="78"/>
      <c r="AY45" s="80"/>
    </row>
    <row r="46" spans="1:52" s="21" customFormat="1" ht="15" x14ac:dyDescent="0.25">
      <c r="A46" s="81" t="s">
        <v>56</v>
      </c>
      <c r="B46" s="41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82"/>
    </row>
    <row r="47" spans="1:52" ht="17.25" x14ac:dyDescent="0.2">
      <c r="A47" s="3" t="s">
        <v>4</v>
      </c>
      <c r="U47" s="4" t="s">
        <v>5</v>
      </c>
    </row>
    <row r="48" spans="1:52" ht="21" x14ac:dyDescent="0.2">
      <c r="A48" s="84"/>
    </row>
    <row r="49" spans="1:37" x14ac:dyDescent="0.2">
      <c r="B49" s="2"/>
    </row>
    <row r="50" spans="1:37" x14ac:dyDescent="0.2">
      <c r="B50" s="2"/>
      <c r="AJ50" s="64"/>
    </row>
    <row r="51" spans="1:37" x14ac:dyDescent="0.2">
      <c r="B51" s="2"/>
      <c r="AI51" s="86"/>
      <c r="AJ51" s="64"/>
      <c r="AK51" s="64"/>
    </row>
    <row r="52" spans="1:37" x14ac:dyDescent="0.2">
      <c r="B52" s="2"/>
      <c r="AI52" s="86"/>
      <c r="AJ52" s="64"/>
      <c r="AK52" s="64"/>
    </row>
    <row r="53" spans="1:37" x14ac:dyDescent="0.2">
      <c r="AI53" s="86"/>
      <c r="AJ53" s="64"/>
      <c r="AK53" s="64"/>
    </row>
    <row r="54" spans="1:37" x14ac:dyDescent="0.2">
      <c r="AI54" s="86"/>
      <c r="AJ54" s="64"/>
      <c r="AK54" s="64"/>
    </row>
    <row r="55" spans="1:37" x14ac:dyDescent="0.2">
      <c r="AI55" s="86"/>
      <c r="AJ55" s="64"/>
      <c r="AK55" s="64"/>
    </row>
    <row r="56" spans="1:37" x14ac:dyDescent="0.2">
      <c r="AI56" s="86"/>
      <c r="AJ56" s="64"/>
      <c r="AK56" s="64"/>
    </row>
    <row r="57" spans="1:37" x14ac:dyDescent="0.2">
      <c r="AI57" s="86"/>
      <c r="AJ57" s="64"/>
      <c r="AK57" s="64"/>
    </row>
    <row r="58" spans="1:37" x14ac:dyDescent="0.2">
      <c r="A58" s="2"/>
      <c r="AI58" s="86"/>
      <c r="AJ58" s="64"/>
      <c r="AK58" s="64"/>
    </row>
    <row r="59" spans="1:37" x14ac:dyDescent="0.2"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86"/>
      <c r="AJ59" s="64"/>
      <c r="AK59" s="64"/>
    </row>
    <row r="60" spans="1:37" x14ac:dyDescent="0.2">
      <c r="A60" s="2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86"/>
      <c r="AJ60" s="64"/>
      <c r="AK60" s="64"/>
    </row>
    <row r="61" spans="1:37" x14ac:dyDescent="0.2"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86"/>
      <c r="AJ61" s="64"/>
      <c r="AK61" s="64"/>
    </row>
    <row r="62" spans="1:37" ht="23.25" x14ac:dyDescent="0.35">
      <c r="A62" s="87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86"/>
      <c r="AJ62" s="64"/>
      <c r="AK62" s="64"/>
    </row>
    <row r="63" spans="1:37" x14ac:dyDescent="0.2"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86"/>
      <c r="AJ63" s="64"/>
      <c r="AK63" s="64"/>
    </row>
    <row r="64" spans="1:37" x14ac:dyDescent="0.2"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86"/>
      <c r="AJ64" s="64"/>
      <c r="AK64" s="64"/>
    </row>
    <row r="65" spans="4:36" x14ac:dyDescent="0.2"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86"/>
      <c r="AJ65" s="64"/>
    </row>
    <row r="66" spans="4:36" x14ac:dyDescent="0.2"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86"/>
      <c r="AJ66" s="64"/>
    </row>
    <row r="67" spans="4:36" x14ac:dyDescent="0.2"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86"/>
    </row>
    <row r="68" spans="4:36" x14ac:dyDescent="0.2"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86"/>
    </row>
    <row r="69" spans="4:36" x14ac:dyDescent="0.2"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86"/>
    </row>
    <row r="70" spans="4:36" x14ac:dyDescent="0.2"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86"/>
    </row>
    <row r="71" spans="4:36" x14ac:dyDescent="0.2"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86"/>
    </row>
    <row r="72" spans="4:36" x14ac:dyDescent="0.2"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86"/>
    </row>
    <row r="73" spans="4:36" x14ac:dyDescent="0.2"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</row>
    <row r="74" spans="4:36" x14ac:dyDescent="0.2"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</row>
    <row r="75" spans="4:36" x14ac:dyDescent="0.2"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</row>
    <row r="76" spans="4:36" x14ac:dyDescent="0.2"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</row>
    <row r="77" spans="4:36" x14ac:dyDescent="0.2"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</row>
    <row r="78" spans="4:36" x14ac:dyDescent="0.2"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</row>
    <row r="79" spans="4:36" x14ac:dyDescent="0.2"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</row>
    <row r="80" spans="4:36" x14ac:dyDescent="0.2"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</row>
    <row r="81" spans="4:34" x14ac:dyDescent="0.2"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</row>
    <row r="82" spans="4:34" x14ac:dyDescent="0.2"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</row>
    <row r="83" spans="4:34" x14ac:dyDescent="0.2"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/>
      <c r="AF83" s="64"/>
      <c r="AG83" s="64"/>
      <c r="AH83" s="64"/>
    </row>
    <row r="84" spans="4:34" x14ac:dyDescent="0.2"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</row>
    <row r="85" spans="4:34" x14ac:dyDescent="0.2"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64"/>
      <c r="AH85" s="64"/>
    </row>
    <row r="86" spans="4:34" x14ac:dyDescent="0.2"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</row>
    <row r="87" spans="4:34" x14ac:dyDescent="0.2"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64"/>
      <c r="AH87" s="64"/>
    </row>
    <row r="88" spans="4:34" x14ac:dyDescent="0.2"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</row>
    <row r="89" spans="4:34" x14ac:dyDescent="0.2"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</row>
    <row r="90" spans="4:34" x14ac:dyDescent="0.2"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</row>
    <row r="91" spans="4:34" x14ac:dyDescent="0.2"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</row>
    <row r="92" spans="4:34" x14ac:dyDescent="0.2"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</row>
    <row r="93" spans="4:34" x14ac:dyDescent="0.2"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</row>
    <row r="94" spans="4:34" x14ac:dyDescent="0.2"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</row>
    <row r="95" spans="4:34" x14ac:dyDescent="0.2"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</row>
    <row r="96" spans="4:34" x14ac:dyDescent="0.2"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D96" s="64"/>
      <c r="AE96" s="64"/>
      <c r="AF96" s="64"/>
      <c r="AG96" s="64"/>
      <c r="AH96" s="64"/>
    </row>
    <row r="97" spans="4:34" x14ac:dyDescent="0.2"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</row>
    <row r="98" spans="4:34" x14ac:dyDescent="0.2"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</row>
    <row r="99" spans="4:34" x14ac:dyDescent="0.2"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</row>
    <row r="100" spans="4:34" x14ac:dyDescent="0.2"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</row>
    <row r="101" spans="4:34" x14ac:dyDescent="0.2"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64"/>
      <c r="AE101" s="64"/>
      <c r="AF101" s="64"/>
      <c r="AG101" s="64"/>
      <c r="AH101" s="64"/>
    </row>
    <row r="102" spans="4:34" x14ac:dyDescent="0.2"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</row>
    <row r="103" spans="4:34" x14ac:dyDescent="0.2"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</row>
    <row r="104" spans="4:34" x14ac:dyDescent="0.2"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</row>
    <row r="105" spans="4:34" x14ac:dyDescent="0.2"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</row>
    <row r="106" spans="4:34" x14ac:dyDescent="0.2"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</row>
    <row r="107" spans="4:34" x14ac:dyDescent="0.2"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D107" s="64"/>
      <c r="AE107" s="64"/>
      <c r="AF107" s="64"/>
      <c r="AG107" s="64"/>
      <c r="AH107" s="64"/>
    </row>
    <row r="108" spans="4:34" x14ac:dyDescent="0.2"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</row>
    <row r="109" spans="4:34" x14ac:dyDescent="0.2"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</row>
    <row r="110" spans="4:34" x14ac:dyDescent="0.2"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</row>
    <row r="111" spans="4:34" x14ac:dyDescent="0.2"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</row>
    <row r="112" spans="4:34" x14ac:dyDescent="0.2"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</row>
    <row r="113" spans="4:34" x14ac:dyDescent="0.2"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</row>
    <row r="114" spans="4:34" x14ac:dyDescent="0.2"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</row>
    <row r="115" spans="4:34" x14ac:dyDescent="0.2"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</row>
    <row r="116" spans="4:34" x14ac:dyDescent="0.2"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</row>
    <row r="117" spans="4:34" x14ac:dyDescent="0.2"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</row>
    <row r="118" spans="4:34" x14ac:dyDescent="0.2"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</row>
    <row r="119" spans="4:34" x14ac:dyDescent="0.2"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</row>
    <row r="120" spans="4:34" x14ac:dyDescent="0.2"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</row>
    <row r="121" spans="4:34" x14ac:dyDescent="0.2">
      <c r="D121" s="64"/>
      <c r="E121" s="64"/>
      <c r="F121" s="64"/>
      <c r="G121" s="64"/>
      <c r="H121" s="64"/>
      <c r="I121" s="64"/>
      <c r="J121" s="64"/>
      <c r="K121" s="64"/>
    </row>
    <row r="122" spans="4:34" x14ac:dyDescent="0.2">
      <c r="D122" s="64"/>
      <c r="E122" s="64"/>
      <c r="F122" s="64"/>
      <c r="G122" s="64"/>
      <c r="H122" s="64"/>
      <c r="I122" s="64"/>
      <c r="J122" s="64"/>
      <c r="K122" s="64"/>
    </row>
    <row r="123" spans="4:34" x14ac:dyDescent="0.2">
      <c r="D123" s="64"/>
      <c r="E123" s="64"/>
      <c r="F123" s="64"/>
      <c r="G123" s="64"/>
      <c r="H123" s="64"/>
      <c r="I123" s="64"/>
      <c r="J123" s="64"/>
      <c r="K123" s="64"/>
    </row>
    <row r="124" spans="4:34" x14ac:dyDescent="0.2">
      <c r="D124" s="64"/>
      <c r="E124" s="64"/>
      <c r="F124" s="64"/>
      <c r="G124" s="64"/>
      <c r="H124" s="64"/>
      <c r="I124" s="64"/>
      <c r="J124" s="64"/>
      <c r="K124" s="64"/>
    </row>
    <row r="125" spans="4:34" x14ac:dyDescent="0.2">
      <c r="D125" s="64"/>
      <c r="E125" s="64"/>
      <c r="F125" s="64"/>
      <c r="G125" s="64"/>
      <c r="H125" s="64"/>
      <c r="I125" s="64"/>
      <c r="J125" s="64"/>
      <c r="K125" s="64"/>
    </row>
    <row r="126" spans="4:34" x14ac:dyDescent="0.2">
      <c r="D126" s="64"/>
      <c r="E126" s="64"/>
      <c r="F126" s="64"/>
      <c r="G126" s="64"/>
      <c r="H126" s="64"/>
      <c r="I126" s="64"/>
      <c r="J126" s="64"/>
      <c r="K126" s="64"/>
    </row>
    <row r="127" spans="4:34" x14ac:dyDescent="0.2">
      <c r="D127" s="64"/>
      <c r="E127" s="64"/>
      <c r="F127" s="64"/>
      <c r="G127" s="64"/>
      <c r="H127" s="64"/>
      <c r="I127" s="64"/>
      <c r="J127" s="64"/>
      <c r="K127" s="64"/>
    </row>
    <row r="128" spans="4:34" x14ac:dyDescent="0.2">
      <c r="D128" s="64"/>
      <c r="E128" s="64"/>
      <c r="F128" s="64"/>
      <c r="G128" s="64"/>
      <c r="H128" s="64"/>
      <c r="I128" s="64"/>
      <c r="J128" s="64"/>
      <c r="K128" s="64"/>
    </row>
    <row r="129" spans="4:11" x14ac:dyDescent="0.2">
      <c r="D129" s="64"/>
      <c r="E129" s="64"/>
      <c r="F129" s="64"/>
      <c r="G129" s="64"/>
      <c r="H129" s="64"/>
      <c r="I129" s="64"/>
      <c r="J129" s="64"/>
      <c r="K129" s="64"/>
    </row>
    <row r="130" spans="4:11" x14ac:dyDescent="0.2">
      <c r="D130" s="64"/>
      <c r="E130" s="64"/>
      <c r="F130" s="64"/>
      <c r="G130" s="64"/>
      <c r="H130" s="64"/>
      <c r="I130" s="64"/>
      <c r="J130" s="64"/>
      <c r="K130" s="64"/>
    </row>
    <row r="131" spans="4:11" x14ac:dyDescent="0.2">
      <c r="D131" s="64"/>
      <c r="E131" s="64"/>
      <c r="F131" s="64"/>
      <c r="G131" s="64"/>
      <c r="H131" s="64"/>
      <c r="I131" s="64"/>
      <c r="J131" s="64"/>
      <c r="K131" s="64"/>
    </row>
    <row r="132" spans="4:11" x14ac:dyDescent="0.2">
      <c r="D132" s="64"/>
      <c r="E132" s="64"/>
      <c r="F132" s="64"/>
      <c r="G132" s="64"/>
      <c r="H132" s="64"/>
      <c r="I132" s="64"/>
      <c r="J132" s="64"/>
      <c r="K132" s="64"/>
    </row>
    <row r="133" spans="4:11" x14ac:dyDescent="0.2">
      <c r="D133" s="64"/>
      <c r="E133" s="64"/>
      <c r="F133" s="64"/>
      <c r="G133" s="64"/>
      <c r="H133" s="64"/>
      <c r="I133" s="64"/>
      <c r="J133" s="64"/>
      <c r="K133" s="64"/>
    </row>
    <row r="134" spans="4:11" x14ac:dyDescent="0.2">
      <c r="D134" s="64"/>
      <c r="E134" s="64"/>
      <c r="F134" s="64"/>
      <c r="G134" s="64"/>
      <c r="H134" s="64"/>
      <c r="I134" s="64"/>
      <c r="J134" s="64"/>
      <c r="K134" s="64"/>
    </row>
    <row r="135" spans="4:11" x14ac:dyDescent="0.2">
      <c r="D135" s="64"/>
      <c r="E135" s="64"/>
      <c r="F135" s="64"/>
      <c r="G135" s="64"/>
      <c r="H135" s="64"/>
      <c r="I135" s="64"/>
      <c r="J135" s="64"/>
      <c r="K135" s="64"/>
    </row>
    <row r="136" spans="4:11" x14ac:dyDescent="0.2">
      <c r="D136" s="64"/>
      <c r="E136" s="64"/>
      <c r="F136" s="64"/>
      <c r="G136" s="64"/>
      <c r="H136" s="64"/>
      <c r="I136" s="64"/>
      <c r="J136" s="64"/>
      <c r="K136" s="64"/>
    </row>
    <row r="137" spans="4:11" x14ac:dyDescent="0.2">
      <c r="D137" s="64"/>
      <c r="E137" s="64"/>
      <c r="F137" s="64"/>
      <c r="G137" s="64"/>
      <c r="H137" s="64"/>
      <c r="I137" s="64"/>
      <c r="J137" s="64"/>
      <c r="K137" s="64"/>
    </row>
    <row r="138" spans="4:11" x14ac:dyDescent="0.2">
      <c r="D138" s="64"/>
      <c r="E138" s="64"/>
      <c r="F138" s="64"/>
      <c r="G138" s="64"/>
      <c r="H138" s="64"/>
      <c r="I138" s="64"/>
      <c r="J138" s="64"/>
      <c r="K138" s="64"/>
    </row>
    <row r="139" spans="4:11" x14ac:dyDescent="0.2">
      <c r="D139" s="64"/>
      <c r="E139" s="64"/>
      <c r="F139" s="64"/>
      <c r="G139" s="64"/>
      <c r="H139" s="64"/>
      <c r="I139" s="64"/>
      <c r="J139" s="64"/>
      <c r="K139" s="64"/>
    </row>
    <row r="140" spans="4:11" x14ac:dyDescent="0.2">
      <c r="D140" s="64"/>
      <c r="E140" s="64"/>
      <c r="F140" s="64"/>
      <c r="G140" s="64"/>
      <c r="H140" s="64"/>
      <c r="I140" s="64"/>
      <c r="J140" s="64"/>
      <c r="K140" s="64"/>
    </row>
    <row r="141" spans="4:11" x14ac:dyDescent="0.2">
      <c r="D141" s="64"/>
      <c r="E141" s="64"/>
      <c r="F141" s="64"/>
      <c r="G141" s="64"/>
      <c r="H141" s="64"/>
      <c r="I141" s="64"/>
      <c r="J141" s="64"/>
      <c r="K141" s="64"/>
    </row>
    <row r="142" spans="4:11" x14ac:dyDescent="0.2">
      <c r="D142" s="64"/>
      <c r="E142" s="64"/>
      <c r="F142" s="64"/>
      <c r="G142" s="64"/>
      <c r="H142" s="64"/>
      <c r="I142" s="64"/>
      <c r="J142" s="64"/>
      <c r="K142" s="64"/>
    </row>
    <row r="143" spans="4:11" x14ac:dyDescent="0.2">
      <c r="D143" s="64"/>
      <c r="E143" s="64"/>
      <c r="F143" s="64"/>
      <c r="G143" s="64"/>
      <c r="H143" s="64"/>
      <c r="I143" s="64"/>
      <c r="J143" s="64"/>
      <c r="K143" s="64"/>
    </row>
    <row r="144" spans="4:11" x14ac:dyDescent="0.2">
      <c r="D144" s="64"/>
      <c r="E144" s="64"/>
      <c r="F144" s="64"/>
      <c r="G144" s="64"/>
      <c r="H144" s="64"/>
      <c r="I144" s="64"/>
      <c r="J144" s="64"/>
      <c r="K144" s="64"/>
    </row>
    <row r="145" spans="4:11" x14ac:dyDescent="0.2">
      <c r="D145" s="64"/>
      <c r="E145" s="64"/>
      <c r="F145" s="64"/>
      <c r="G145" s="64"/>
      <c r="H145" s="64"/>
      <c r="I145" s="64"/>
      <c r="J145" s="64"/>
      <c r="K145" s="64"/>
    </row>
    <row r="146" spans="4:11" x14ac:dyDescent="0.2">
      <c r="D146" s="64"/>
      <c r="E146" s="64"/>
      <c r="F146" s="64"/>
      <c r="G146" s="64"/>
      <c r="H146" s="64"/>
      <c r="I146" s="64"/>
      <c r="J146" s="64"/>
      <c r="K146" s="64"/>
    </row>
    <row r="147" spans="4:11" x14ac:dyDescent="0.2">
      <c r="D147" s="64"/>
      <c r="E147" s="64"/>
      <c r="F147" s="64"/>
      <c r="G147" s="64"/>
      <c r="H147" s="64"/>
      <c r="I147" s="64"/>
      <c r="J147" s="64"/>
      <c r="K147" s="64"/>
    </row>
    <row r="148" spans="4:11" x14ac:dyDescent="0.2">
      <c r="D148" s="64"/>
      <c r="E148" s="64"/>
      <c r="F148" s="64"/>
      <c r="G148" s="64"/>
      <c r="H148" s="64"/>
      <c r="I148" s="64"/>
      <c r="J148" s="64"/>
      <c r="K148" s="64"/>
    </row>
    <row r="149" spans="4:11" x14ac:dyDescent="0.2">
      <c r="D149" s="64"/>
      <c r="E149" s="64"/>
      <c r="F149" s="64"/>
      <c r="G149" s="64"/>
      <c r="H149" s="64"/>
      <c r="I149" s="64"/>
      <c r="J149" s="64"/>
      <c r="K149" s="64"/>
    </row>
    <row r="150" spans="4:11" x14ac:dyDescent="0.2">
      <c r="D150" s="64"/>
      <c r="E150" s="64"/>
      <c r="F150" s="64"/>
      <c r="G150" s="64"/>
      <c r="H150" s="64"/>
      <c r="I150" s="64"/>
      <c r="J150" s="64"/>
      <c r="K150" s="64"/>
    </row>
    <row r="151" spans="4:11" x14ac:dyDescent="0.2">
      <c r="D151" s="64"/>
      <c r="E151" s="64"/>
      <c r="F151" s="64"/>
      <c r="G151" s="64"/>
      <c r="H151" s="64"/>
      <c r="I151" s="64"/>
      <c r="J151" s="64"/>
      <c r="K151" s="64"/>
    </row>
    <row r="152" spans="4:11" x14ac:dyDescent="0.2">
      <c r="D152" s="64"/>
      <c r="E152" s="64"/>
      <c r="F152" s="64"/>
      <c r="G152" s="64"/>
      <c r="H152" s="64"/>
      <c r="I152" s="64"/>
      <c r="J152" s="64"/>
      <c r="K152" s="64"/>
    </row>
    <row r="153" spans="4:11" x14ac:dyDescent="0.2">
      <c r="D153" s="64"/>
      <c r="E153" s="64"/>
      <c r="F153" s="64"/>
      <c r="G153" s="64"/>
      <c r="H153" s="64"/>
      <c r="I153" s="64"/>
      <c r="J153" s="64"/>
      <c r="K153" s="64"/>
    </row>
    <row r="154" spans="4:11" x14ac:dyDescent="0.2">
      <c r="D154" s="64"/>
      <c r="E154" s="64"/>
      <c r="F154" s="64"/>
      <c r="G154" s="64"/>
      <c r="H154" s="64"/>
      <c r="I154" s="64"/>
      <c r="J154" s="64"/>
      <c r="K154" s="64"/>
    </row>
    <row r="155" spans="4:11" x14ac:dyDescent="0.2">
      <c r="D155" s="64"/>
      <c r="E155" s="64"/>
      <c r="F155" s="64"/>
      <c r="G155" s="64"/>
      <c r="H155" s="64"/>
      <c r="I155" s="64"/>
      <c r="J155" s="64"/>
      <c r="K155" s="64"/>
    </row>
    <row r="156" spans="4:11" x14ac:dyDescent="0.2">
      <c r="D156" s="64"/>
      <c r="E156" s="64"/>
      <c r="F156" s="64"/>
      <c r="G156" s="64"/>
      <c r="H156" s="64"/>
      <c r="I156" s="64"/>
      <c r="J156" s="64"/>
      <c r="K156" s="64"/>
    </row>
    <row r="157" spans="4:11" x14ac:dyDescent="0.2">
      <c r="D157" s="64"/>
      <c r="E157" s="64"/>
      <c r="F157" s="64"/>
      <c r="G157" s="64"/>
      <c r="H157" s="64"/>
      <c r="I157" s="64"/>
      <c r="J157" s="64"/>
      <c r="K157" s="64"/>
    </row>
    <row r="158" spans="4:11" x14ac:dyDescent="0.2">
      <c r="D158" s="64"/>
      <c r="E158" s="64"/>
      <c r="F158" s="64"/>
      <c r="G158" s="64"/>
      <c r="H158" s="64"/>
      <c r="I158" s="64"/>
      <c r="J158" s="64"/>
      <c r="K158" s="64"/>
    </row>
    <row r="159" spans="4:11" x14ac:dyDescent="0.2">
      <c r="D159" s="64"/>
      <c r="E159" s="64"/>
      <c r="F159" s="64"/>
      <c r="G159" s="64"/>
      <c r="H159" s="64"/>
      <c r="I159" s="64"/>
      <c r="J159" s="64"/>
      <c r="K159" s="64"/>
    </row>
    <row r="160" spans="4:11" x14ac:dyDescent="0.2">
      <c r="D160" s="64"/>
      <c r="E160" s="64"/>
      <c r="F160" s="64"/>
      <c r="G160" s="64"/>
      <c r="H160" s="64"/>
      <c r="I160" s="64"/>
      <c r="J160" s="64"/>
      <c r="K160" s="64"/>
    </row>
    <row r="161" spans="4:11" x14ac:dyDescent="0.2">
      <c r="D161" s="64"/>
      <c r="E161" s="64"/>
      <c r="F161" s="64"/>
      <c r="G161" s="64"/>
      <c r="H161" s="64"/>
      <c r="I161" s="64"/>
      <c r="J161" s="64"/>
      <c r="K161" s="64"/>
    </row>
    <row r="162" spans="4:11" x14ac:dyDescent="0.2">
      <c r="D162" s="64"/>
      <c r="E162" s="64"/>
      <c r="F162" s="64"/>
      <c r="G162" s="64"/>
      <c r="H162" s="64"/>
      <c r="I162" s="64"/>
      <c r="J162" s="64"/>
      <c r="K162" s="64"/>
    </row>
    <row r="163" spans="4:11" x14ac:dyDescent="0.2">
      <c r="D163" s="64"/>
      <c r="E163" s="64"/>
      <c r="F163" s="64"/>
      <c r="G163" s="64"/>
      <c r="H163" s="64"/>
      <c r="I163" s="64"/>
      <c r="J163" s="64"/>
      <c r="K163" s="64"/>
    </row>
    <row r="164" spans="4:11" x14ac:dyDescent="0.2">
      <c r="D164" s="64"/>
      <c r="E164" s="64"/>
      <c r="F164" s="64"/>
      <c r="G164" s="64"/>
      <c r="H164" s="64"/>
      <c r="I164" s="64"/>
      <c r="J164" s="64"/>
      <c r="K164" s="64"/>
    </row>
    <row r="165" spans="4:11" x14ac:dyDescent="0.2">
      <c r="D165" s="64"/>
      <c r="E165" s="64"/>
      <c r="F165" s="64"/>
      <c r="G165" s="64"/>
      <c r="H165" s="64"/>
      <c r="I165" s="64"/>
      <c r="J165" s="64"/>
      <c r="K165" s="64"/>
    </row>
    <row r="166" spans="4:11" x14ac:dyDescent="0.2">
      <c r="D166" s="64"/>
      <c r="E166" s="64"/>
      <c r="F166" s="64"/>
      <c r="G166" s="64"/>
      <c r="H166" s="64"/>
      <c r="I166" s="64"/>
      <c r="J166" s="64"/>
      <c r="K166" s="64"/>
    </row>
    <row r="167" spans="4:11" x14ac:dyDescent="0.2">
      <c r="D167" s="64"/>
      <c r="E167" s="64"/>
      <c r="F167" s="64"/>
      <c r="G167" s="64"/>
      <c r="H167" s="64"/>
      <c r="I167" s="64"/>
      <c r="J167" s="64"/>
      <c r="K167" s="64"/>
    </row>
    <row r="168" spans="4:11" x14ac:dyDescent="0.2">
      <c r="D168" s="64"/>
      <c r="E168" s="64"/>
      <c r="F168" s="64"/>
      <c r="G168" s="64"/>
      <c r="H168" s="64"/>
      <c r="I168" s="64"/>
      <c r="J168" s="64"/>
      <c r="K168" s="64"/>
    </row>
    <row r="169" spans="4:11" x14ac:dyDescent="0.2">
      <c r="D169" s="64"/>
      <c r="E169" s="64"/>
      <c r="F169" s="64"/>
      <c r="G169" s="64"/>
      <c r="H169" s="64"/>
      <c r="I169" s="64"/>
      <c r="J169" s="64"/>
      <c r="K169" s="64"/>
    </row>
    <row r="170" spans="4:11" x14ac:dyDescent="0.2">
      <c r="D170" s="64"/>
      <c r="E170" s="64"/>
      <c r="F170" s="64"/>
      <c r="G170" s="64"/>
      <c r="H170" s="64"/>
      <c r="I170" s="64"/>
      <c r="J170" s="64"/>
      <c r="K170" s="64"/>
    </row>
    <row r="171" spans="4:11" x14ac:dyDescent="0.2">
      <c r="D171" s="64"/>
      <c r="E171" s="64"/>
      <c r="F171" s="64"/>
      <c r="G171" s="64"/>
      <c r="H171" s="64"/>
      <c r="I171" s="64"/>
      <c r="J171" s="64"/>
      <c r="K171" s="64"/>
    </row>
    <row r="172" spans="4:11" x14ac:dyDescent="0.2">
      <c r="D172" s="64"/>
      <c r="E172" s="64"/>
      <c r="F172" s="64"/>
      <c r="G172" s="64"/>
      <c r="H172" s="64"/>
      <c r="I172" s="64"/>
      <c r="J172" s="64"/>
      <c r="K172" s="64"/>
    </row>
    <row r="173" spans="4:11" x14ac:dyDescent="0.2">
      <c r="D173" s="64"/>
      <c r="E173" s="64"/>
      <c r="F173" s="64"/>
      <c r="G173" s="64"/>
      <c r="H173" s="64"/>
      <c r="I173" s="64"/>
      <c r="J173" s="64"/>
      <c r="K173" s="64"/>
    </row>
    <row r="174" spans="4:11" x14ac:dyDescent="0.2">
      <c r="D174" s="64"/>
      <c r="E174" s="64"/>
      <c r="F174" s="64"/>
      <c r="G174" s="64"/>
      <c r="H174" s="64"/>
      <c r="I174" s="64"/>
      <c r="J174" s="64"/>
      <c r="K174" s="64"/>
    </row>
    <row r="175" spans="4:11" x14ac:dyDescent="0.2">
      <c r="D175" s="64"/>
      <c r="E175" s="64"/>
      <c r="F175" s="64"/>
      <c r="G175" s="64"/>
      <c r="H175" s="64"/>
      <c r="I175" s="64"/>
      <c r="J175" s="64"/>
      <c r="K175" s="64"/>
    </row>
    <row r="176" spans="4:11" x14ac:dyDescent="0.2">
      <c r="D176" s="64"/>
      <c r="E176" s="64"/>
      <c r="F176" s="64"/>
      <c r="G176" s="64"/>
      <c r="H176" s="64"/>
      <c r="I176" s="64"/>
      <c r="J176" s="64"/>
      <c r="K176" s="64"/>
    </row>
    <row r="177" spans="4:11" x14ac:dyDescent="0.2">
      <c r="D177" s="64"/>
      <c r="E177" s="64"/>
      <c r="F177" s="64"/>
      <c r="G177" s="64"/>
      <c r="H177" s="64"/>
      <c r="I177" s="64"/>
      <c r="J177" s="64"/>
      <c r="K177" s="64"/>
    </row>
    <row r="178" spans="4:11" x14ac:dyDescent="0.2">
      <c r="D178" s="64"/>
      <c r="E178" s="64"/>
      <c r="F178" s="64"/>
      <c r="G178" s="64"/>
      <c r="H178" s="64"/>
      <c r="I178" s="64"/>
      <c r="J178" s="64"/>
      <c r="K178" s="64"/>
    </row>
    <row r="179" spans="4:11" x14ac:dyDescent="0.2">
      <c r="D179" s="64"/>
      <c r="E179" s="64"/>
      <c r="F179" s="64"/>
      <c r="G179" s="64"/>
      <c r="H179" s="64"/>
      <c r="I179" s="64"/>
      <c r="J179" s="64"/>
      <c r="K179" s="64"/>
    </row>
    <row r="180" spans="4:11" x14ac:dyDescent="0.2">
      <c r="D180" s="64"/>
      <c r="E180" s="64"/>
      <c r="F180" s="64"/>
      <c r="G180" s="64"/>
      <c r="H180" s="64"/>
      <c r="I180" s="64"/>
      <c r="J180" s="64"/>
      <c r="K180" s="64"/>
    </row>
    <row r="181" spans="4:11" x14ac:dyDescent="0.2">
      <c r="D181" s="64"/>
      <c r="E181" s="64"/>
      <c r="F181" s="64"/>
      <c r="G181" s="64"/>
      <c r="H181" s="64"/>
      <c r="I181" s="64"/>
      <c r="J181" s="64"/>
      <c r="K181" s="64"/>
    </row>
    <row r="182" spans="4:11" x14ac:dyDescent="0.2">
      <c r="D182" s="64"/>
      <c r="E182" s="64"/>
      <c r="F182" s="64"/>
      <c r="G182" s="64"/>
      <c r="H182" s="64"/>
      <c r="I182" s="64"/>
      <c r="J182" s="64"/>
      <c r="K182" s="64"/>
    </row>
    <row r="183" spans="4:11" x14ac:dyDescent="0.2">
      <c r="D183" s="64"/>
      <c r="E183" s="64"/>
      <c r="F183" s="64"/>
      <c r="G183" s="64"/>
      <c r="H183" s="64"/>
      <c r="I183" s="64"/>
      <c r="J183" s="64"/>
      <c r="K183" s="64"/>
    </row>
    <row r="184" spans="4:11" x14ac:dyDescent="0.2">
      <c r="D184" s="64"/>
      <c r="E184" s="64"/>
      <c r="F184" s="64"/>
      <c r="G184" s="64"/>
      <c r="H184" s="64"/>
      <c r="I184" s="64"/>
      <c r="J184" s="64"/>
      <c r="K184" s="64"/>
    </row>
    <row r="185" spans="4:11" x14ac:dyDescent="0.2">
      <c r="D185" s="64"/>
      <c r="E185" s="64"/>
      <c r="F185" s="64"/>
      <c r="G185" s="64"/>
      <c r="H185" s="64"/>
      <c r="I185" s="64"/>
      <c r="J185" s="64"/>
      <c r="K185" s="64"/>
    </row>
    <row r="186" spans="4:11" x14ac:dyDescent="0.2">
      <c r="D186" s="64"/>
      <c r="E186" s="64"/>
      <c r="F186" s="64"/>
      <c r="G186" s="64"/>
      <c r="H186" s="64"/>
      <c r="I186" s="64"/>
      <c r="J186" s="64"/>
      <c r="K186" s="64"/>
    </row>
    <row r="187" spans="4:11" x14ac:dyDescent="0.2">
      <c r="D187" s="64"/>
      <c r="E187" s="64"/>
      <c r="F187" s="64"/>
      <c r="G187" s="64"/>
      <c r="H187" s="64"/>
      <c r="I187" s="64"/>
      <c r="J187" s="64"/>
      <c r="K187" s="64"/>
    </row>
    <row r="188" spans="4:11" x14ac:dyDescent="0.2">
      <c r="D188" s="64"/>
      <c r="E188" s="64"/>
      <c r="F188" s="64"/>
      <c r="G188" s="64"/>
      <c r="H188" s="64"/>
      <c r="I188" s="64"/>
      <c r="J188" s="64"/>
      <c r="K188" s="64"/>
    </row>
    <row r="189" spans="4:11" x14ac:dyDescent="0.2">
      <c r="D189" s="64"/>
      <c r="E189" s="64"/>
      <c r="F189" s="64"/>
      <c r="G189" s="64"/>
      <c r="H189" s="64"/>
      <c r="I189" s="64"/>
      <c r="J189" s="64"/>
      <c r="K189" s="64"/>
    </row>
    <row r="190" spans="4:11" x14ac:dyDescent="0.2">
      <c r="D190" s="64"/>
      <c r="E190" s="64"/>
      <c r="F190" s="64"/>
      <c r="G190" s="64"/>
      <c r="H190" s="64"/>
      <c r="I190" s="64"/>
      <c r="J190" s="64"/>
      <c r="K190" s="64"/>
    </row>
    <row r="191" spans="4:11" x14ac:dyDescent="0.2">
      <c r="D191" s="64"/>
      <c r="E191" s="64"/>
      <c r="F191" s="64"/>
      <c r="G191" s="64"/>
      <c r="H191" s="64"/>
      <c r="I191" s="64"/>
      <c r="J191" s="64"/>
      <c r="K191" s="64"/>
    </row>
    <row r="192" spans="4:11" x14ac:dyDescent="0.2">
      <c r="D192" s="64"/>
      <c r="E192" s="64"/>
      <c r="F192" s="64"/>
      <c r="G192" s="64"/>
      <c r="H192" s="64"/>
      <c r="I192" s="64"/>
      <c r="J192" s="64"/>
      <c r="K192" s="64"/>
    </row>
    <row r="193" spans="4:11" x14ac:dyDescent="0.2">
      <c r="D193" s="64"/>
      <c r="E193" s="64"/>
      <c r="F193" s="64"/>
      <c r="G193" s="64"/>
      <c r="H193" s="64"/>
      <c r="I193" s="64"/>
      <c r="J193" s="64"/>
      <c r="K193" s="64"/>
    </row>
    <row r="194" spans="4:11" x14ac:dyDescent="0.2">
      <c r="D194" s="64"/>
      <c r="E194" s="64"/>
      <c r="F194" s="64"/>
      <c r="G194" s="64"/>
      <c r="H194" s="64"/>
      <c r="I194" s="64"/>
      <c r="J194" s="64"/>
      <c r="K194" s="64"/>
    </row>
    <row r="195" spans="4:11" x14ac:dyDescent="0.2">
      <c r="D195" s="64"/>
      <c r="E195" s="64"/>
      <c r="F195" s="64"/>
      <c r="G195" s="64"/>
      <c r="H195" s="64"/>
      <c r="I195" s="64"/>
      <c r="J195" s="64"/>
      <c r="K195" s="64"/>
    </row>
    <row r="196" spans="4:11" x14ac:dyDescent="0.2">
      <c r="D196" s="64"/>
      <c r="E196" s="64"/>
      <c r="F196" s="64"/>
      <c r="G196" s="64"/>
      <c r="H196" s="64"/>
      <c r="I196" s="64"/>
      <c r="J196" s="64"/>
      <c r="K196" s="64"/>
    </row>
    <row r="197" spans="4:11" x14ac:dyDescent="0.2">
      <c r="D197" s="64"/>
      <c r="E197" s="64"/>
      <c r="F197" s="64"/>
      <c r="G197" s="64"/>
      <c r="H197" s="64"/>
      <c r="I197" s="64"/>
      <c r="J197" s="64"/>
      <c r="K197" s="64"/>
    </row>
    <row r="198" spans="4:11" x14ac:dyDescent="0.2">
      <c r="D198" s="64"/>
      <c r="E198" s="64"/>
      <c r="F198" s="64"/>
      <c r="G198" s="64"/>
      <c r="H198" s="64"/>
      <c r="I198" s="64"/>
      <c r="J198" s="64"/>
      <c r="K198" s="64"/>
    </row>
    <row r="199" spans="4:11" x14ac:dyDescent="0.2">
      <c r="D199" s="64"/>
      <c r="E199" s="64"/>
      <c r="F199" s="64"/>
      <c r="G199" s="64"/>
      <c r="H199" s="64"/>
      <c r="I199" s="64"/>
      <c r="J199" s="64"/>
      <c r="K199" s="64"/>
    </row>
    <row r="200" spans="4:11" x14ac:dyDescent="0.2">
      <c r="D200" s="64"/>
      <c r="E200" s="64"/>
      <c r="F200" s="64"/>
      <c r="G200" s="64"/>
      <c r="H200" s="64"/>
      <c r="I200" s="64"/>
      <c r="J200" s="64"/>
      <c r="K200" s="64"/>
    </row>
    <row r="201" spans="4:11" x14ac:dyDescent="0.2">
      <c r="D201" s="64"/>
      <c r="E201" s="64"/>
      <c r="F201" s="64"/>
      <c r="G201" s="64"/>
      <c r="H201" s="64"/>
      <c r="I201" s="64"/>
      <c r="J201" s="64"/>
      <c r="K201" s="64"/>
    </row>
    <row r="202" spans="4:11" x14ac:dyDescent="0.2">
      <c r="D202" s="64"/>
      <c r="E202" s="64"/>
      <c r="F202" s="64"/>
      <c r="G202" s="64"/>
      <c r="H202" s="64"/>
      <c r="I202" s="64"/>
      <c r="J202" s="64"/>
      <c r="K202" s="64"/>
    </row>
    <row r="203" spans="4:11" x14ac:dyDescent="0.2">
      <c r="D203" s="64"/>
      <c r="E203" s="64"/>
      <c r="F203" s="64"/>
      <c r="G203" s="64"/>
      <c r="H203" s="64"/>
      <c r="I203" s="64"/>
      <c r="J203" s="64"/>
      <c r="K203" s="64"/>
    </row>
    <row r="204" spans="4:11" x14ac:dyDescent="0.2">
      <c r="D204" s="64"/>
      <c r="E204" s="64"/>
      <c r="F204" s="64"/>
      <c r="G204" s="64"/>
      <c r="H204" s="64"/>
      <c r="I204" s="64"/>
      <c r="J204" s="64"/>
      <c r="K204" s="64"/>
    </row>
    <row r="205" spans="4:11" x14ac:dyDescent="0.2">
      <c r="D205" s="64"/>
      <c r="E205" s="64"/>
      <c r="F205" s="64"/>
      <c r="G205" s="64"/>
      <c r="H205" s="64"/>
      <c r="I205" s="64"/>
      <c r="J205" s="64"/>
      <c r="K205" s="64"/>
    </row>
    <row r="206" spans="4:11" x14ac:dyDescent="0.2">
      <c r="D206" s="64"/>
      <c r="E206" s="64"/>
      <c r="F206" s="64"/>
      <c r="G206" s="64"/>
      <c r="H206" s="64"/>
      <c r="I206" s="64"/>
      <c r="J206" s="64"/>
      <c r="K206" s="64"/>
    </row>
    <row r="207" spans="4:11" x14ac:dyDescent="0.2">
      <c r="D207" s="64"/>
      <c r="E207" s="64"/>
      <c r="F207" s="64"/>
      <c r="G207" s="64"/>
      <c r="H207" s="64"/>
      <c r="I207" s="64"/>
      <c r="J207" s="64"/>
      <c r="K207" s="64"/>
    </row>
    <row r="208" spans="4:11" x14ac:dyDescent="0.2">
      <c r="D208" s="64"/>
      <c r="E208" s="64"/>
      <c r="F208" s="64"/>
      <c r="G208" s="64"/>
      <c r="H208" s="64"/>
      <c r="I208" s="64"/>
      <c r="J208" s="64"/>
      <c r="K208" s="64"/>
    </row>
    <row r="209" spans="4:11" x14ac:dyDescent="0.2">
      <c r="D209" s="64"/>
      <c r="E209" s="64"/>
      <c r="F209" s="64"/>
      <c r="G209" s="64"/>
      <c r="H209" s="64"/>
      <c r="I209" s="64"/>
      <c r="J209" s="64"/>
      <c r="K209" s="64"/>
    </row>
    <row r="210" spans="4:11" x14ac:dyDescent="0.2">
      <c r="D210" s="64"/>
      <c r="E210" s="64"/>
      <c r="F210" s="64"/>
      <c r="G210" s="64"/>
      <c r="H210" s="64"/>
      <c r="I210" s="64"/>
      <c r="J210" s="64"/>
      <c r="K210" s="64"/>
    </row>
    <row r="211" spans="4:11" x14ac:dyDescent="0.2">
      <c r="D211" s="64"/>
      <c r="E211" s="64"/>
      <c r="F211" s="64"/>
      <c r="G211" s="64"/>
      <c r="H211" s="64"/>
      <c r="I211" s="64"/>
      <c r="J211" s="64"/>
      <c r="K211" s="64"/>
    </row>
    <row r="212" spans="4:11" x14ac:dyDescent="0.2">
      <c r="D212" s="64"/>
      <c r="E212" s="64"/>
      <c r="F212" s="64"/>
      <c r="G212" s="64"/>
      <c r="H212" s="64"/>
      <c r="I212" s="64"/>
      <c r="J212" s="64"/>
      <c r="K212" s="64"/>
    </row>
    <row r="213" spans="4:11" x14ac:dyDescent="0.2">
      <c r="D213" s="64"/>
      <c r="E213" s="64"/>
      <c r="F213" s="64"/>
      <c r="G213" s="64"/>
      <c r="H213" s="64"/>
      <c r="I213" s="64"/>
      <c r="J213" s="64"/>
      <c r="K213" s="64"/>
    </row>
  </sheetData>
  <mergeCells count="14">
    <mergeCell ref="A1:U1"/>
    <mergeCell ref="A2:U2"/>
    <mergeCell ref="A3:U3"/>
    <mergeCell ref="A4:U4"/>
    <mergeCell ref="B5:B6"/>
    <mergeCell ref="C5:E5"/>
    <mergeCell ref="L5:T5"/>
    <mergeCell ref="C6:K6"/>
    <mergeCell ref="L6:T6"/>
    <mergeCell ref="B26:B27"/>
    <mergeCell ref="C26:H26"/>
    <mergeCell ref="L26:T26"/>
    <mergeCell ref="C27:H27"/>
    <mergeCell ref="L27:T27"/>
  </mergeCells>
  <pageMargins left="0.7" right="0.7" top="0.75" bottom="0.75" header="0.3" footer="0.3"/>
  <pageSetup paperSize="9" scale="48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17.5</vt:lpstr>
      <vt:lpstr>'17.5'!Print_Area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2019-05-09T07:05:14Z</cp:lastPrinted>
  <dcterms:created xsi:type="dcterms:W3CDTF">2019-03-21T03:27:43Z</dcterms:created>
  <dcterms:modified xsi:type="dcterms:W3CDTF">2019-05-09T07:07:54Z</dcterms:modified>
</cp:coreProperties>
</file>