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6. NATIONAL ACCOUNTS\"/>
    </mc:Choice>
  </mc:AlternateContent>
  <bookViews>
    <workbookView xWindow="0" yWindow="0" windowWidth="28800" windowHeight="12330" tabRatio="816"/>
  </bookViews>
  <sheets>
    <sheet name="16.1" sheetId="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'16.1'!$A$1:$S$48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calcChain.xml><?xml version="1.0" encoding="utf-8"?>
<calcChain xmlns="http://schemas.openxmlformats.org/spreadsheetml/2006/main">
  <c r="R44" i="1" l="1"/>
</calcChain>
</file>

<file path=xl/sharedStrings.xml><?xml version="1.0" encoding="utf-8"?>
<sst xmlns="http://schemas.openxmlformats.org/spreadsheetml/2006/main" count="111" uniqueCount="104">
  <si>
    <t>(iawfiverukWzWdcnwa cnugwm egumwkiretcnudcaefua)</t>
  </si>
  <si>
    <t xml:space="preserve">(Estimated using production approach) 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</si>
  <si>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</si>
  <si>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</si>
  <si>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</si>
  <si>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</si>
  <si>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</si>
  <si>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</si>
  <si>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</si>
  <si>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</si>
  <si>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</si>
  <si>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</si>
  <si>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</si>
  <si>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</si>
  <si>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</si>
  <si>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</si>
  <si>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</si>
  <si>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</si>
  <si>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</si>
  <si>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</si>
  <si>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</si>
  <si>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</si>
  <si>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</si>
  <si>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</si>
  <si>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</si>
  <si>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</si>
  <si>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</si>
  <si>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</si>
  <si>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</si>
  <si>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Memorandum items:</t>
  </si>
  <si>
    <t>:cawtcmwTiawa WviawfiverukcDOkir iawkwTcSwnWdnwh</t>
  </si>
  <si>
    <t>(cneginemih cnIsEdib) IdWbWa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</si>
  <si>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</si>
  <si>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</si>
  <si>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</si>
  <si>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</si>
  <si>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</si>
  <si>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</si>
  <si>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</si>
  <si>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</si>
  <si>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</si>
  <si>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(In Million MVR , at 2014 constant prices) </t>
  </si>
  <si>
    <t>(cniaWyifur cnwailim ,cnugwa ImiaWd egurwhwawnwv 2014)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</si>
  <si>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</si>
  <si>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</si>
  <si>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</si>
  <si>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</si>
  <si>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</si>
  <si>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</si>
  <si>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</si>
  <si>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Resident Population (inclusive of expatriates)</t>
  </si>
  <si>
    <t>GDP at 2014 constant prices (Million US$)</t>
  </si>
  <si>
    <t xml:space="preserve"> (cnurwloD csea.Uy cnwailim) cnugwa ImiaWd eg2014 Ip.ID.Ij</t>
  </si>
  <si>
    <t xml:space="preserve"> cnwkirevuDnwd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</si>
  <si>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</si>
  <si>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</si>
  <si>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</si>
  <si>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</si>
  <si>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</si>
  <si>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</si>
  <si>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</si>
  <si>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</si>
  <si>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</si>
  <si>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</si>
  <si>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</si>
  <si>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</si>
  <si>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</si>
  <si>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</si>
  <si>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</si>
  <si>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</si>
  <si>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</si>
  <si>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</si>
  <si>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</si>
  <si>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</si>
  <si>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</si>
  <si>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</si>
  <si>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</si>
  <si>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</si>
  <si>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</si>
  <si>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</si>
  <si>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</si>
  <si>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</si>
  <si>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</si>
  <si>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</si>
  <si>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</si>
  <si>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</si>
  <si>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</si>
  <si>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</si>
  <si>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</si>
  <si>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</si>
  <si>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</si>
  <si>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</si>
  <si>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</si>
  <si>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</si>
  <si>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</si>
  <si>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</si>
  <si>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 xml:space="preserve">    ރިސޯޓް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</si>
  <si>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</si>
  <si>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</si>
  <si>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Table  16.1 :  GROSS DOMESTIC PRODUCT (AT CONSTANT PRICES), BY KIND OF ACTIVITY,  2003 - 2018</t>
  </si>
  <si>
    <t>2018 - 2003 cnukwtiawb IdWBitcqia ,(cnugwa ImiaWd)uDnwgcnim egumwkiretcnudcaefua Imuawq :16.1 ulwvWt</t>
  </si>
  <si>
    <r>
      <t>2018</t>
    </r>
    <r>
      <rPr>
        <b/>
        <vertAlign val="superscript"/>
        <sz val="10"/>
        <rFont val="Calibri"/>
        <family val="2"/>
        <scheme val="minor"/>
      </rPr>
      <t>1_/</t>
    </r>
  </si>
  <si>
    <t>1_/ Preliminary estimates of April 2019</t>
  </si>
  <si>
    <t>/_1 ވަގުތީ އަންދާޒާ އެޕްރިލް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</si>
</sst>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8" formatCode="_(* #,##0.0_);_(* \(#,##0.0\);_(* &quot;-&quot;??_);_(@_)"/>
    <numFmt numFmtId="169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1"/>
      <name val="Courier"/>
      <family val="3"/>
    </font>
    <font>
      <sz val="11"/>
      <color rgb="FFFF0000"/>
      <name val="Courier"/>
      <family val="3"/>
    </font>
    <font>
      <b/>
      <sz val="11"/>
      <name val="Arial"/>
      <family val="2"/>
    </font>
    <font>
      <i/>
      <sz val="10"/>
      <name val="A_Randhoo"/>
    </font>
    <font>
      <i/>
      <sz val="10"/>
      <name val="Courier"/>
      <family val="3"/>
    </font>
    <font>
      <i/>
      <sz val="10"/>
      <name val="Faruma"/>
    </font>
    <font>
      <b/>
      <vertAlign val="superscript"/>
      <sz val="10"/>
      <name val="Faruma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1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164" fontId="16" fillId="0" borderId="0"/>
    <xf numFmtId="40" fontId="16" fillId="0" borderId="0" applyFill="0" applyBorder="0" applyAlignment="0" applyProtection="0"/>
    <xf numFmtId="9" fontId="10" fillId="0" borderId="0" applyFill="0" applyBorder="0" applyAlignment="0" applyProtection="0"/>
    <xf numFmtId="43" fontId="17" fillId="0" borderId="0" applyFont="0" applyFill="0" applyBorder="0" applyAlignment="0" applyProtection="0"/>
  </cellStyleXfs>
  <cellXfs count="86">
    <xf numFmtId="0" fontId="0" fillId="0" borderId="0" xfId="0"/>
    <xf numFmtId="164" fontId="4" fillId="2" borderId="0" xfId="1" applyFont="1" applyFill="1" applyAlignment="1">
      <alignment vertical="center"/>
    </xf>
    <xf numFmtId="164" fontId="13" fillId="2" borderId="0" xfId="1" applyNumberFormat="1" applyFont="1" applyFill="1" applyBorder="1" applyAlignment="1">
      <alignment vertical="center"/>
    </xf>
    <xf numFmtId="164" fontId="9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5" fillId="2" borderId="0" xfId="1" applyFont="1" applyFill="1" applyBorder="1"/>
    <xf numFmtId="164" fontId="13" fillId="2" borderId="0" xfId="1" applyFont="1" applyFill="1" applyAlignment="1">
      <alignment horizontal="left" vertical="center" indent="1"/>
    </xf>
    <xf numFmtId="164" fontId="14" fillId="2" borderId="0" xfId="1" applyFont="1" applyFill="1"/>
    <xf numFmtId="164" fontId="1" fillId="2" borderId="0" xfId="1" applyFont="1" applyFill="1"/>
    <xf numFmtId="164" fontId="12" fillId="2" borderId="0" xfId="1" applyFont="1" applyFill="1"/>
    <xf numFmtId="164" fontId="1" fillId="2" borderId="0" xfId="1" applyFont="1" applyFill="1" applyBorder="1"/>
    <xf numFmtId="164" fontId="21" fillId="2" borderId="1" xfId="1" applyFont="1" applyFill="1" applyBorder="1" applyAlignment="1">
      <alignment horizontal="center"/>
    </xf>
    <xf numFmtId="164" fontId="7" fillId="2" borderId="0" xfId="1" applyFont="1" applyFill="1" applyBorder="1" applyAlignment="1">
      <alignment horizontal="left"/>
    </xf>
    <xf numFmtId="164" fontId="1" fillId="2" borderId="0" xfId="1" applyFont="1" applyFill="1" applyBorder="1" applyAlignment="1">
      <alignment vertical="center"/>
    </xf>
    <xf numFmtId="164" fontId="14" fillId="2" borderId="0" xfId="1" applyFont="1" applyFill="1" applyBorder="1" applyAlignment="1">
      <alignment horizontal="center"/>
    </xf>
    <xf numFmtId="164" fontId="21" fillId="2" borderId="0" xfId="1" applyFont="1" applyFill="1" applyBorder="1" applyAlignment="1">
      <alignment horizontal="center"/>
    </xf>
    <xf numFmtId="164" fontId="21" fillId="2" borderId="0" xfId="1" applyFont="1" applyFill="1" applyBorder="1"/>
    <xf numFmtId="164" fontId="14" fillId="2" borderId="0" xfId="1" applyFont="1" applyFill="1" applyAlignment="1">
      <alignment horizontal="center"/>
    </xf>
    <xf numFmtId="164" fontId="22" fillId="2" borderId="0" xfId="1" applyFont="1" applyFill="1" applyAlignment="1">
      <alignment horizontal="right" vertical="center"/>
    </xf>
    <xf numFmtId="164" fontId="14" fillId="2" borderId="3" xfId="1" applyFont="1" applyFill="1" applyBorder="1" applyAlignment="1">
      <alignment horizontal="center"/>
    </xf>
    <xf numFmtId="164" fontId="14" fillId="2" borderId="3" xfId="1" applyFont="1" applyFill="1" applyBorder="1"/>
    <xf numFmtId="164" fontId="14" fillId="2" borderId="0" xfId="1" applyFont="1" applyFill="1" applyBorder="1" applyAlignment="1"/>
    <xf numFmtId="0" fontId="14" fillId="2" borderId="0" xfId="2" applyFont="1" applyFill="1" applyBorder="1" applyAlignment="1">
      <alignment vertical="center"/>
    </xf>
    <xf numFmtId="164" fontId="22" fillId="2" borderId="0" xfId="1" applyFont="1" applyFill="1" applyBorder="1" applyAlignment="1">
      <alignment horizontal="right" vertical="center"/>
    </xf>
    <xf numFmtId="164" fontId="21" fillId="2" borderId="0" xfId="1" applyFont="1" applyFill="1" applyBorder="1" applyAlignment="1"/>
    <xf numFmtId="164" fontId="14" fillId="2" borderId="3" xfId="1" applyFont="1" applyFill="1" applyBorder="1" applyAlignment="1" applyProtection="1">
      <alignment vertical="center"/>
    </xf>
    <xf numFmtId="164" fontId="14" fillId="2" borderId="3" xfId="1" applyFont="1" applyFill="1" applyBorder="1" applyAlignment="1"/>
    <xf numFmtId="164" fontId="22" fillId="2" borderId="3" xfId="1" applyFont="1" applyFill="1" applyBorder="1" applyAlignment="1">
      <alignment horizontal="right" vertical="center"/>
    </xf>
    <xf numFmtId="164" fontId="1" fillId="2" borderId="0" xfId="1" applyFont="1" applyFill="1" applyAlignment="1">
      <alignment horizontal="right"/>
    </xf>
    <xf numFmtId="164" fontId="1" fillId="2" borderId="0" xfId="1" applyFont="1" applyFill="1" applyAlignment="1">
      <alignment horizontal="center"/>
    </xf>
    <xf numFmtId="164" fontId="14" fillId="2" borderId="0" xfId="1" applyFont="1" applyFill="1" applyBorder="1" applyAlignment="1">
      <alignment horizontal="left"/>
    </xf>
    <xf numFmtId="164" fontId="23" fillId="2" borderId="0" xfId="1" applyFont="1" applyFill="1"/>
    <xf numFmtId="164" fontId="23" fillId="2" borderId="0" xfId="1" applyFont="1" applyFill="1" applyAlignment="1">
      <alignment horizontal="right"/>
    </xf>
    <xf numFmtId="164" fontId="25" fillId="2" borderId="0" xfId="1" applyFont="1" applyFill="1" applyAlignment="1">
      <alignment vertical="center"/>
    </xf>
    <xf numFmtId="43" fontId="1" fillId="2" borderId="0" xfId="10" applyFont="1" applyFill="1"/>
    <xf numFmtId="43" fontId="23" fillId="2" borderId="0" xfId="10" applyFont="1" applyFill="1"/>
    <xf numFmtId="43" fontId="24" fillId="2" borderId="0" xfId="10" applyFont="1" applyFill="1"/>
    <xf numFmtId="43" fontId="7" fillId="2" borderId="2" xfId="10" applyFont="1" applyFill="1" applyBorder="1" applyAlignment="1" applyProtection="1">
      <alignment horizontal="left" vertical="center"/>
    </xf>
    <xf numFmtId="43" fontId="6" fillId="2" borderId="2" xfId="10" applyFont="1" applyFill="1" applyBorder="1" applyAlignment="1" applyProtection="1">
      <alignment horizontal="left" vertical="center"/>
    </xf>
    <xf numFmtId="43" fontId="8" fillId="2" borderId="2" xfId="10" applyFont="1" applyFill="1" applyBorder="1" applyAlignment="1">
      <alignment vertical="center"/>
    </xf>
    <xf numFmtId="43" fontId="8" fillId="2" borderId="2" xfId="10" applyFont="1" applyFill="1" applyBorder="1" applyAlignment="1">
      <alignment horizontal="right" vertical="center"/>
    </xf>
    <xf numFmtId="43" fontId="21" fillId="2" borderId="0" xfId="10" applyFont="1" applyFill="1" applyBorder="1" applyAlignment="1">
      <alignment horizontal="right"/>
    </xf>
    <xf numFmtId="43" fontId="14" fillId="2" borderId="0" xfId="10" applyFont="1" applyFill="1" applyBorder="1" applyAlignment="1">
      <alignment horizontal="right"/>
    </xf>
    <xf numFmtId="43" fontId="21" fillId="2" borderId="0" xfId="10" applyFont="1" applyFill="1" applyBorder="1"/>
    <xf numFmtId="43" fontId="2" fillId="2" borderId="0" xfId="10" applyFont="1" applyFill="1"/>
    <xf numFmtId="0" fontId="7" fillId="2" borderId="0" xfId="10" applyNumberFormat="1" applyFont="1" applyFill="1" applyAlignment="1">
      <alignment horizontal="right" vertical="center"/>
    </xf>
    <xf numFmtId="0" fontId="7" fillId="2" borderId="0" xfId="10" applyNumberFormat="1" applyFont="1" applyFill="1" applyAlignment="1">
      <alignment vertical="center"/>
    </xf>
    <xf numFmtId="169" fontId="14" fillId="2" borderId="3" xfId="10" applyNumberFormat="1" applyFont="1" applyFill="1" applyBorder="1" applyAlignment="1">
      <alignment horizontal="right"/>
    </xf>
    <xf numFmtId="169" fontId="14" fillId="2" borderId="3" xfId="10" applyNumberFormat="1" applyFont="1" applyFill="1" applyBorder="1" applyAlignment="1"/>
    <xf numFmtId="164" fontId="18" fillId="2" borderId="0" xfId="1" applyFont="1" applyFill="1" applyAlignment="1">
      <alignment horizontal="center"/>
    </xf>
    <xf numFmtId="164" fontId="26" fillId="2" borderId="0" xfId="1" applyFont="1" applyFill="1" applyAlignment="1">
      <alignment horizontal="right" vertical="center"/>
    </xf>
    <xf numFmtId="164" fontId="27" fillId="2" borderId="0" xfId="1" applyFont="1" applyFill="1" applyAlignment="1">
      <alignment vertical="center"/>
    </xf>
    <xf numFmtId="168" fontId="21" fillId="2" borderId="1" xfId="10" applyNumberFormat="1" applyFont="1" applyFill="1" applyBorder="1" applyAlignment="1">
      <alignment horizontal="right" vertical="center"/>
    </xf>
    <xf numFmtId="168" fontId="14" fillId="2" borderId="0" xfId="10" applyNumberFormat="1" applyFont="1" applyFill="1" applyBorder="1" applyAlignment="1">
      <alignment horizontal="right" vertical="center"/>
    </xf>
    <xf numFmtId="168" fontId="21" fillId="2" borderId="0" xfId="10" applyNumberFormat="1" applyFont="1" applyFill="1" applyBorder="1" applyAlignment="1">
      <alignment horizontal="right" vertical="center"/>
    </xf>
    <xf numFmtId="164" fontId="20" fillId="2" borderId="0" xfId="1" applyFont="1" applyFill="1" applyAlignment="1">
      <alignment horizontal="right" vertical="center"/>
    </xf>
    <xf numFmtId="164" fontId="28" fillId="2" borderId="0" xfId="1" applyFont="1" applyFill="1" applyAlignment="1">
      <alignment horizontal="right" vertical="center"/>
    </xf>
    <xf numFmtId="164" fontId="20" fillId="2" borderId="3" xfId="1" applyFont="1" applyFill="1" applyBorder="1" applyAlignment="1">
      <alignment horizontal="right" vertical="center"/>
    </xf>
    <xf numFmtId="164" fontId="20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left" vertical="center"/>
    </xf>
    <xf numFmtId="164" fontId="18" fillId="2" borderId="0" xfId="1" applyFont="1" applyFill="1" applyAlignment="1">
      <alignment horizontal="center" vertical="center"/>
    </xf>
    <xf numFmtId="164" fontId="12" fillId="2" borderId="0" xfId="1" applyFont="1" applyFill="1" applyAlignment="1">
      <alignment vertical="center"/>
    </xf>
    <xf numFmtId="168" fontId="18" fillId="2" borderId="0" xfId="10" applyNumberFormat="1" applyFont="1" applyFill="1" applyBorder="1" applyAlignment="1">
      <alignment horizontal="right" vertical="center"/>
    </xf>
    <xf numFmtId="168" fontId="14" fillId="2" borderId="3" xfId="10" applyNumberFormat="1" applyFont="1" applyFill="1" applyBorder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4" fontId="20" fillId="2" borderId="0" xfId="1" applyFont="1" applyFill="1" applyBorder="1" applyAlignment="1">
      <alignment horizontal="right" vertical="center" readingOrder="2"/>
    </xf>
    <xf numFmtId="169" fontId="14" fillId="2" borderId="0" xfId="10" applyNumberFormat="1" applyFont="1" applyFill="1" applyBorder="1" applyAlignment="1"/>
    <xf numFmtId="3" fontId="10" fillId="2" borderId="0" xfId="1" applyNumberFormat="1" applyFont="1" applyFill="1" applyBorder="1" applyAlignment="1">
      <alignment horizontal="right"/>
    </xf>
    <xf numFmtId="0" fontId="0" fillId="2" borderId="0" xfId="0" applyFill="1"/>
    <xf numFmtId="164" fontId="8" fillId="2" borderId="0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/>
    </xf>
    <xf numFmtId="164" fontId="23" fillId="2" borderId="0" xfId="1" applyFont="1" applyFill="1" applyAlignment="1">
      <alignment horizontal="center"/>
    </xf>
    <xf numFmtId="164" fontId="22" fillId="2" borderId="0" xfId="6" applyNumberFormat="1" applyFont="1" applyFill="1" applyBorder="1" applyAlignment="1">
      <alignment horizontal="right" vertical="center"/>
    </xf>
    <xf numFmtId="164" fontId="8" fillId="2" borderId="0" xfId="6" applyNumberFormat="1" applyFont="1" applyFill="1" applyBorder="1" applyAlignment="1">
      <alignment horizontal="right" vertical="center"/>
    </xf>
    <xf numFmtId="169" fontId="14" fillId="2" borderId="0" xfId="10" applyNumberFormat="1" applyFont="1" applyFill="1" applyBorder="1" applyAlignment="1">
      <alignment horizontal="right"/>
    </xf>
    <xf numFmtId="4" fontId="10" fillId="2" borderId="0" xfId="1" applyNumberFormat="1" applyFont="1" applyFill="1" applyBorder="1" applyAlignment="1">
      <alignment horizontal="right"/>
    </xf>
    <xf numFmtId="164" fontId="3" fillId="2" borderId="0" xfId="1" applyFont="1" applyFill="1" applyAlignment="1">
      <alignment horizontal="center" vertical="center"/>
    </xf>
    <xf numFmtId="164" fontId="5" fillId="2" borderId="0" xfId="1" applyFont="1" applyFill="1" applyAlignment="1" applyProtection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7" fillId="2" borderId="1" xfId="1" applyFont="1" applyFill="1" applyBorder="1" applyAlignment="1">
      <alignment horizontal="center" vertical="center"/>
    </xf>
    <xf numFmtId="164" fontId="7" fillId="2" borderId="3" xfId="1" applyFont="1" applyFill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right" vertical="center"/>
    </xf>
    <xf numFmtId="0" fontId="8" fillId="2" borderId="3" xfId="1" applyNumberFormat="1" applyFont="1" applyFill="1" applyBorder="1" applyAlignment="1">
      <alignment horizontal="right" vertical="center"/>
    </xf>
    <xf numFmtId="164" fontId="7" fillId="2" borderId="1" xfId="1" applyFont="1" applyFill="1" applyBorder="1" applyAlignment="1">
      <alignment horizontal="left" vertical="center"/>
    </xf>
    <xf numFmtId="164" fontId="7" fillId="2" borderId="3" xfId="1" applyFont="1" applyFill="1" applyBorder="1" applyAlignment="1">
      <alignment horizontal="left" vertical="center"/>
    </xf>
  </cellXfs>
  <cellStyles count="11">
    <cellStyle name="1" xfId="3"/>
    <cellStyle name="Comma" xfId="10" builtinId="3"/>
    <cellStyle name="Comma 2" xfId="5"/>
    <cellStyle name="Comma 3" xfId="8"/>
    <cellStyle name="Normal" xfId="0" builtinId="0"/>
    <cellStyle name="Normal 2" xfId="4"/>
    <cellStyle name="Normal 3" xfId="7"/>
    <cellStyle name="Normal_Estimates96_99" xfId="2"/>
    <cellStyle name="Normal_XII-1 (Commerce)" xfId="1"/>
    <cellStyle name="Normal_XII-1 (Commerce) 2" xfId="6"/>
    <cellStyle name="Percent 2" xfId="9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8"/>
  <sheetViews>
    <sheetView showGridLines="0" tabSelected="1" zoomScale="89" zoomScaleNormal="89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42" sqref="K42"/>
    </sheetView>
  </sheetViews>
  <sheetFormatPr defaultColWidth="10.28515625" defaultRowHeight="20.100000000000001" customHeight="1" x14ac:dyDescent="0.15"/>
  <cols>
    <col min="1" max="1" width="5.85546875" style="29" customWidth="1"/>
    <col min="2" max="2" width="39.7109375" style="8" customWidth="1"/>
    <col min="3" max="7" width="10.42578125" style="34" customWidth="1"/>
    <col min="8" max="17" width="10.42578125" style="44" customWidth="1"/>
    <col min="18" max="18" width="9.7109375" style="44" customWidth="1"/>
    <col min="19" max="19" width="42.42578125" style="28" customWidth="1"/>
    <col min="20" max="16384" width="10.28515625" style="8"/>
  </cols>
  <sheetData>
    <row r="1" spans="1:19" s="31" customFormat="1" ht="12.75" customHeight="1" x14ac:dyDescent="0.15">
      <c r="A1" s="72"/>
      <c r="C1" s="35"/>
      <c r="D1" s="35"/>
      <c r="E1" s="35"/>
      <c r="F1" s="35"/>
      <c r="G1" s="35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2"/>
    </row>
    <row r="2" spans="1:19" s="1" customFormat="1" ht="20.100000000000001" customHeight="1" x14ac:dyDescent="0.25">
      <c r="A2" s="77" t="s">
        <v>100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19" s="33" customFormat="1" ht="20.100000000000001" customHeight="1" x14ac:dyDescent="0.25">
      <c r="A3" s="78" t="s">
        <v>99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</row>
    <row r="4" spans="1:19" s="33" customFormat="1" ht="20.100000000000001" customHeight="1" x14ac:dyDescent="0.25">
      <c r="A4" s="79" t="s">
        <v>0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</row>
    <row r="5" spans="1:19" s="33" customFormat="1" ht="20.100000000000001" customHeight="1" x14ac:dyDescent="0.25">
      <c r="A5" s="78" t="s">
        <v>1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</row>
    <row r="6" spans="1:19" ht="20.100000000000001" customHeight="1" x14ac:dyDescent="0.15">
      <c r="A6" s="80" t="s">
        <v>2</v>
      </c>
      <c r="B6" s="84" t="s">
        <v>3</v>
      </c>
      <c r="C6" s="37" t="s">
        <v>41</v>
      </c>
      <c r="D6" s="38"/>
      <c r="E6" s="38"/>
      <c r="F6" s="38"/>
      <c r="G6" s="38"/>
      <c r="H6" s="38"/>
      <c r="I6" s="38"/>
      <c r="J6" s="38"/>
      <c r="K6" s="39"/>
      <c r="L6" s="39"/>
      <c r="M6" s="39"/>
      <c r="N6" s="39"/>
      <c r="O6" s="40"/>
      <c r="P6" s="39"/>
      <c r="Q6" s="39"/>
      <c r="R6" s="40" t="s">
        <v>42</v>
      </c>
      <c r="S6" s="82" t="s">
        <v>4</v>
      </c>
    </row>
    <row r="7" spans="1:19" s="10" customFormat="1" ht="20.100000000000001" customHeight="1" x14ac:dyDescent="0.15">
      <c r="A7" s="81"/>
      <c r="B7" s="85"/>
      <c r="C7" s="45">
        <v>2003</v>
      </c>
      <c r="D7" s="45">
        <v>2004</v>
      </c>
      <c r="E7" s="46">
        <v>2005</v>
      </c>
      <c r="F7" s="46">
        <v>2006</v>
      </c>
      <c r="G7" s="46">
        <v>2007</v>
      </c>
      <c r="H7" s="46">
        <v>2008</v>
      </c>
      <c r="I7" s="46">
        <v>2009</v>
      </c>
      <c r="J7" s="46">
        <v>2010</v>
      </c>
      <c r="K7" s="45">
        <v>2011</v>
      </c>
      <c r="L7" s="45">
        <v>2012</v>
      </c>
      <c r="M7" s="45">
        <v>2013</v>
      </c>
      <c r="N7" s="45">
        <v>2014</v>
      </c>
      <c r="O7" s="45">
        <v>2015</v>
      </c>
      <c r="P7" s="45">
        <v>2016</v>
      </c>
      <c r="Q7" s="45">
        <v>2017</v>
      </c>
      <c r="R7" s="45" t="s">
        <v>101</v>
      </c>
      <c r="S7" s="83"/>
    </row>
    <row r="8" spans="1:19" s="13" customFormat="1" ht="20.100000000000001" customHeight="1" x14ac:dyDescent="0.2">
      <c r="A8" s="11"/>
      <c r="B8" s="12" t="s">
        <v>39</v>
      </c>
      <c r="C8" s="52">
        <v>32549.843486576756</v>
      </c>
      <c r="D8" s="52">
        <v>34513.82099843047</v>
      </c>
      <c r="E8" s="52">
        <v>29982.483038952345</v>
      </c>
      <c r="F8" s="52">
        <v>37811.357063575881</v>
      </c>
      <c r="G8" s="52">
        <v>40728.07496956081</v>
      </c>
      <c r="H8" s="52">
        <v>44591.268440077329</v>
      </c>
      <c r="I8" s="52">
        <v>41367.83626223584</v>
      </c>
      <c r="J8" s="52">
        <v>44373.263009045702</v>
      </c>
      <c r="K8" s="52">
        <v>48174.602246722294</v>
      </c>
      <c r="L8" s="52">
        <v>49387.341903578039</v>
      </c>
      <c r="M8" s="52">
        <v>52983.270832843715</v>
      </c>
      <c r="N8" s="52">
        <v>56866.746459796508</v>
      </c>
      <c r="O8" s="52">
        <v>58507.095409109577</v>
      </c>
      <c r="P8" s="52">
        <v>62772.054500525715</v>
      </c>
      <c r="Q8" s="52">
        <v>67110.380672752188</v>
      </c>
      <c r="R8" s="52">
        <v>71172.735131262263</v>
      </c>
      <c r="S8" s="71" t="s">
        <v>98</v>
      </c>
    </row>
    <row r="9" spans="1:19" s="13" customFormat="1" ht="20.100000000000001" customHeight="1" x14ac:dyDescent="0.2">
      <c r="A9" s="14"/>
      <c r="B9" s="30" t="s">
        <v>76</v>
      </c>
      <c r="C9" s="53">
        <v>3315.3233813552333</v>
      </c>
      <c r="D9" s="53">
        <v>3635.8716879967906</v>
      </c>
      <c r="E9" s="53">
        <v>2657.0712013098555</v>
      </c>
      <c r="F9" s="53">
        <v>3793.0001842188303</v>
      </c>
      <c r="G9" s="53">
        <v>4113.716812013834</v>
      </c>
      <c r="H9" s="53">
        <v>4536.8631858341723</v>
      </c>
      <c r="I9" s="53">
        <v>3721.0967427648138</v>
      </c>
      <c r="J9" s="53">
        <v>4295.5795370749465</v>
      </c>
      <c r="K9" s="53">
        <v>5206.609423562968</v>
      </c>
      <c r="L9" s="53">
        <v>5320.9494796824893</v>
      </c>
      <c r="M9" s="53">
        <v>5747.2305298938318</v>
      </c>
      <c r="N9" s="53">
        <v>6183.581942062001</v>
      </c>
      <c r="O9" s="53">
        <v>5952.6231239078243</v>
      </c>
      <c r="P9" s="53">
        <v>6542.6812792776782</v>
      </c>
      <c r="Q9" s="53">
        <v>7506.5870313164842</v>
      </c>
      <c r="R9" s="53">
        <v>8374.1919171452428</v>
      </c>
      <c r="S9" s="73" t="s">
        <v>40</v>
      </c>
    </row>
    <row r="10" spans="1:19" s="13" customFormat="1" ht="20.100000000000001" customHeight="1" x14ac:dyDescent="0.2">
      <c r="A10" s="15"/>
      <c r="B10" s="16" t="s">
        <v>77</v>
      </c>
      <c r="C10" s="54">
        <v>29234.520105221523</v>
      </c>
      <c r="D10" s="54">
        <v>30877.949310433676</v>
      </c>
      <c r="E10" s="54">
        <v>27325.411837642489</v>
      </c>
      <c r="F10" s="54">
        <v>34018.356879357052</v>
      </c>
      <c r="G10" s="54">
        <v>36614.358157546973</v>
      </c>
      <c r="H10" s="54">
        <v>40054.40525424316</v>
      </c>
      <c r="I10" s="54">
        <v>37646.739519471026</v>
      </c>
      <c r="J10" s="54">
        <v>40077.683471970755</v>
      </c>
      <c r="K10" s="54">
        <v>42967.992823159329</v>
      </c>
      <c r="L10" s="54">
        <v>44066.392423895551</v>
      </c>
      <c r="M10" s="54">
        <v>47236.040302949885</v>
      </c>
      <c r="N10" s="54">
        <v>50683.164517734505</v>
      </c>
      <c r="O10" s="54">
        <v>52554.472285201751</v>
      </c>
      <c r="P10" s="54">
        <v>56229.373221248039</v>
      </c>
      <c r="Q10" s="54">
        <v>59603.79364143571</v>
      </c>
      <c r="R10" s="54">
        <v>62798.543214117024</v>
      </c>
      <c r="S10" s="74" t="s">
        <v>34</v>
      </c>
    </row>
    <row r="11" spans="1:19" s="4" customFormat="1" ht="20.100000000000001" customHeight="1" x14ac:dyDescent="0.2">
      <c r="A11" s="15"/>
      <c r="B11" s="16" t="s">
        <v>5</v>
      </c>
      <c r="C11" s="54">
        <v>3433.0533247800981</v>
      </c>
      <c r="D11" s="54">
        <v>3443.6623696288266</v>
      </c>
      <c r="E11" s="54">
        <v>3836.9078866870746</v>
      </c>
      <c r="F11" s="54">
        <v>3913.9893965928504</v>
      </c>
      <c r="G11" s="54">
        <v>3193.2321279240268</v>
      </c>
      <c r="H11" s="54">
        <v>3010.6286224190908</v>
      </c>
      <c r="I11" s="54">
        <v>2939.6512697171897</v>
      </c>
      <c r="J11" s="54">
        <v>2835.6042346067934</v>
      </c>
      <c r="K11" s="54">
        <v>2837.6612698697854</v>
      </c>
      <c r="L11" s="54">
        <v>2832.3768663633282</v>
      </c>
      <c r="M11" s="54">
        <v>3027.2625565513799</v>
      </c>
      <c r="N11" s="54">
        <v>3018.0242318694563</v>
      </c>
      <c r="O11" s="54">
        <v>3005.7802009560023</v>
      </c>
      <c r="P11" s="54">
        <v>3050.3560555049994</v>
      </c>
      <c r="Q11" s="54">
        <v>3302.0040880801998</v>
      </c>
      <c r="R11" s="54">
        <v>3493.7919905058143</v>
      </c>
      <c r="S11" s="70" t="s">
        <v>6</v>
      </c>
    </row>
    <row r="12" spans="1:19" s="4" customFormat="1" ht="20.100000000000001" customHeight="1" x14ac:dyDescent="0.2">
      <c r="A12" s="17" t="s">
        <v>43</v>
      </c>
      <c r="B12" s="7" t="s">
        <v>66</v>
      </c>
      <c r="C12" s="53">
        <v>724.60021027118762</v>
      </c>
      <c r="D12" s="53">
        <v>727.56170501139877</v>
      </c>
      <c r="E12" s="53">
        <v>656.985441163578</v>
      </c>
      <c r="F12" s="53">
        <v>725.2069755875857</v>
      </c>
      <c r="G12" s="53">
        <v>740.23873982502937</v>
      </c>
      <c r="H12" s="53">
        <v>733.46310885732601</v>
      </c>
      <c r="I12" s="53">
        <v>713.78193601123519</v>
      </c>
      <c r="J12" s="53">
        <v>738.43554832850407</v>
      </c>
      <c r="K12" s="53">
        <v>756.90551532472546</v>
      </c>
      <c r="L12" s="53">
        <v>754.98759704562849</v>
      </c>
      <c r="M12" s="53">
        <v>778.18763221154234</v>
      </c>
      <c r="N12" s="53">
        <v>783.4078837049118</v>
      </c>
      <c r="O12" s="53">
        <v>796.09746228984557</v>
      </c>
      <c r="P12" s="53">
        <v>811.39748738645142</v>
      </c>
      <c r="Q12" s="53">
        <v>817.08180439705961</v>
      </c>
      <c r="R12" s="53">
        <v>845.61394801866834</v>
      </c>
      <c r="S12" s="18" t="s">
        <v>53</v>
      </c>
    </row>
    <row r="13" spans="1:19" s="13" customFormat="1" ht="20.100000000000001" customHeight="1" x14ac:dyDescent="0.2">
      <c r="A13" s="17" t="s">
        <v>43</v>
      </c>
      <c r="B13" s="7" t="s">
        <v>36</v>
      </c>
      <c r="C13" s="53">
        <v>2708.4531145089099</v>
      </c>
      <c r="D13" s="53">
        <v>2716.1006646174278</v>
      </c>
      <c r="E13" s="53">
        <v>3179.9224455234967</v>
      </c>
      <c r="F13" s="53">
        <v>3188.782421005265</v>
      </c>
      <c r="G13" s="53">
        <v>2452.9933880989975</v>
      </c>
      <c r="H13" s="53">
        <v>2277.1655135617648</v>
      </c>
      <c r="I13" s="53">
        <v>2225.8693337059544</v>
      </c>
      <c r="J13" s="53">
        <v>2097.1686862782894</v>
      </c>
      <c r="K13" s="53">
        <v>2080.75575454506</v>
      </c>
      <c r="L13" s="53">
        <v>2077.3892693176999</v>
      </c>
      <c r="M13" s="53">
        <v>2249.0749243398377</v>
      </c>
      <c r="N13" s="53">
        <v>2234.6163481645444</v>
      </c>
      <c r="O13" s="53">
        <v>2209.6827386661566</v>
      </c>
      <c r="P13" s="53">
        <v>2238.9585681185481</v>
      </c>
      <c r="Q13" s="53">
        <v>2484.9222836831404</v>
      </c>
      <c r="R13" s="53">
        <v>2648.1780424871458</v>
      </c>
      <c r="S13" s="18" t="s">
        <v>7</v>
      </c>
    </row>
    <row r="14" spans="1:19" s="4" customFormat="1" ht="20.100000000000001" customHeight="1" x14ac:dyDescent="0.2">
      <c r="A14" s="15"/>
      <c r="B14" s="16" t="s">
        <v>8</v>
      </c>
      <c r="C14" s="54">
        <v>2272.483859367946</v>
      </c>
      <c r="D14" s="54">
        <v>2816.8663650590961</v>
      </c>
      <c r="E14" s="54">
        <v>3218.7348482577377</v>
      </c>
      <c r="F14" s="54">
        <v>3620.9703745322258</v>
      </c>
      <c r="G14" s="54">
        <v>4133.1866835655701</v>
      </c>
      <c r="H14" s="54">
        <v>4551.2012456292969</v>
      </c>
      <c r="I14" s="54">
        <v>3403.2500836887493</v>
      </c>
      <c r="J14" s="54">
        <v>3652.0657339424247</v>
      </c>
      <c r="K14" s="54">
        <v>4209.0444664936094</v>
      </c>
      <c r="L14" s="54">
        <v>4380.9570721247674</v>
      </c>
      <c r="M14" s="54">
        <v>4119.0209084818307</v>
      </c>
      <c r="N14" s="54">
        <v>4784.7172636734667</v>
      </c>
      <c r="O14" s="54">
        <v>5652.7767910596267</v>
      </c>
      <c r="P14" s="54">
        <v>6346.9454362454371</v>
      </c>
      <c r="Q14" s="54">
        <v>7036.6722310175574</v>
      </c>
      <c r="R14" s="54">
        <v>7726.6865067352983</v>
      </c>
      <c r="S14" s="70" t="s">
        <v>9</v>
      </c>
    </row>
    <row r="15" spans="1:19" s="4" customFormat="1" ht="20.100000000000001" customHeight="1" x14ac:dyDescent="0.2">
      <c r="A15" s="17" t="s">
        <v>44</v>
      </c>
      <c r="B15" s="7" t="s">
        <v>65</v>
      </c>
      <c r="C15" s="53">
        <v>1043.7755752161613</v>
      </c>
      <c r="D15" s="53">
        <v>1049.6603261374808</v>
      </c>
      <c r="E15" s="53">
        <v>1096.3247472397134</v>
      </c>
      <c r="F15" s="53">
        <v>1254.1269195887355</v>
      </c>
      <c r="G15" s="53">
        <v>1068.8559666233248</v>
      </c>
      <c r="H15" s="53">
        <v>1116.0119284615175</v>
      </c>
      <c r="I15" s="53">
        <v>881.78950852299954</v>
      </c>
      <c r="J15" s="53">
        <v>939.87493895260843</v>
      </c>
      <c r="K15" s="53">
        <v>1049.0510827737198</v>
      </c>
      <c r="L15" s="53">
        <v>1062.6325532551039</v>
      </c>
      <c r="M15" s="53">
        <v>1140.9401659380089</v>
      </c>
      <c r="N15" s="53">
        <v>1128.7896858422071</v>
      </c>
      <c r="O15" s="53">
        <v>1209.7703834680331</v>
      </c>
      <c r="P15" s="53">
        <v>1341.4936601229642</v>
      </c>
      <c r="Q15" s="53">
        <v>1551.2244732898921</v>
      </c>
      <c r="R15" s="53">
        <v>1590.7008591851459</v>
      </c>
      <c r="S15" s="18" t="s">
        <v>11</v>
      </c>
    </row>
    <row r="16" spans="1:19" s="51" customFormat="1" ht="20.100000000000001" customHeight="1" x14ac:dyDescent="0.2">
      <c r="A16" s="49" t="s">
        <v>44</v>
      </c>
      <c r="B16" s="9" t="s">
        <v>79</v>
      </c>
      <c r="C16" s="62">
        <v>339.53969492950978</v>
      </c>
      <c r="D16" s="62">
        <v>359.03087756223687</v>
      </c>
      <c r="E16" s="62">
        <v>470.3307089749174</v>
      </c>
      <c r="F16" s="62">
        <v>548.80604901713502</v>
      </c>
      <c r="G16" s="62">
        <v>363.83571277534156</v>
      </c>
      <c r="H16" s="62">
        <v>336.69528856589136</v>
      </c>
      <c r="I16" s="62">
        <v>164.64897718022868</v>
      </c>
      <c r="J16" s="62">
        <v>184.4185213508859</v>
      </c>
      <c r="K16" s="62">
        <v>213.30193539479933</v>
      </c>
      <c r="L16" s="62">
        <v>270.57522783259952</v>
      </c>
      <c r="M16" s="62">
        <v>347.29491790681737</v>
      </c>
      <c r="N16" s="62">
        <v>279.2129748440434</v>
      </c>
      <c r="O16" s="62">
        <v>250.59236153597749</v>
      </c>
      <c r="P16" s="62">
        <v>299.48236891936648</v>
      </c>
      <c r="Q16" s="62">
        <v>406.68429179981825</v>
      </c>
      <c r="R16" s="62">
        <v>422.99099824428401</v>
      </c>
      <c r="S16" s="50" t="s">
        <v>54</v>
      </c>
    </row>
    <row r="17" spans="1:19" s="51" customFormat="1" ht="20.100000000000001" customHeight="1" x14ac:dyDescent="0.2">
      <c r="A17" s="49" t="s">
        <v>44</v>
      </c>
      <c r="B17" s="9" t="s">
        <v>80</v>
      </c>
      <c r="C17" s="62">
        <v>704.23588028665165</v>
      </c>
      <c r="D17" s="62">
        <v>690.62944857524394</v>
      </c>
      <c r="E17" s="62">
        <v>625.99403826479579</v>
      </c>
      <c r="F17" s="62">
        <v>705.32087057160061</v>
      </c>
      <c r="G17" s="62">
        <v>705.02025384798321</v>
      </c>
      <c r="H17" s="62">
        <v>779.31663989562628</v>
      </c>
      <c r="I17" s="62">
        <v>717.14053134277083</v>
      </c>
      <c r="J17" s="62">
        <v>755.45641760172259</v>
      </c>
      <c r="K17" s="62">
        <v>835.7491473789205</v>
      </c>
      <c r="L17" s="62">
        <v>792.05732542250428</v>
      </c>
      <c r="M17" s="62">
        <v>793.64524803119161</v>
      </c>
      <c r="N17" s="62">
        <v>849.57671099816366</v>
      </c>
      <c r="O17" s="62">
        <v>959.17802193205557</v>
      </c>
      <c r="P17" s="62">
        <v>1042.0112912035977</v>
      </c>
      <c r="Q17" s="62">
        <v>1144.5401814900738</v>
      </c>
      <c r="R17" s="62">
        <v>1167.709860940862</v>
      </c>
      <c r="S17" s="56" t="s">
        <v>59</v>
      </c>
    </row>
    <row r="18" spans="1:19" s="4" customFormat="1" ht="20.100000000000001" customHeight="1" x14ac:dyDescent="0.2">
      <c r="A18" s="17"/>
      <c r="B18" s="7" t="s">
        <v>38</v>
      </c>
      <c r="C18" s="53">
        <v>266.10933693414489</v>
      </c>
      <c r="D18" s="53">
        <v>306.86611113080522</v>
      </c>
      <c r="E18" s="53">
        <v>379.52872171874787</v>
      </c>
      <c r="F18" s="53">
        <v>387.94503467733898</v>
      </c>
      <c r="G18" s="53">
        <v>388.98502515246184</v>
      </c>
      <c r="H18" s="53">
        <v>496.90487389075656</v>
      </c>
      <c r="I18" s="53">
        <v>557.19174910032791</v>
      </c>
      <c r="J18" s="53">
        <v>598.27158643547455</v>
      </c>
      <c r="K18" s="53">
        <v>617.82821211571843</v>
      </c>
      <c r="L18" s="53">
        <v>833.43629727076541</v>
      </c>
      <c r="M18" s="53">
        <v>818.70174149533284</v>
      </c>
      <c r="N18" s="53">
        <v>880.2880709737708</v>
      </c>
      <c r="O18" s="53">
        <v>912.89912532984431</v>
      </c>
      <c r="P18" s="53">
        <v>1118.2164441780765</v>
      </c>
      <c r="Q18" s="53">
        <v>1201.2049567567146</v>
      </c>
      <c r="R18" s="53">
        <v>1304.1554911534404</v>
      </c>
      <c r="S18" s="55" t="s">
        <v>60</v>
      </c>
    </row>
    <row r="19" spans="1:19" s="51" customFormat="1" ht="20.100000000000001" customHeight="1" x14ac:dyDescent="0.2">
      <c r="A19" s="49" t="s">
        <v>10</v>
      </c>
      <c r="B19" s="9" t="s">
        <v>81</v>
      </c>
      <c r="C19" s="62">
        <v>163.41754554452407</v>
      </c>
      <c r="D19" s="62">
        <v>186.89767790547882</v>
      </c>
      <c r="E19" s="62">
        <v>234.88526326787988</v>
      </c>
      <c r="F19" s="62">
        <v>229.82498038460534</v>
      </c>
      <c r="G19" s="62">
        <v>215.86874879183978</v>
      </c>
      <c r="H19" s="62">
        <v>282.72815557824401</v>
      </c>
      <c r="I19" s="62">
        <v>312.04157289342646</v>
      </c>
      <c r="J19" s="62">
        <v>324.44999220686043</v>
      </c>
      <c r="K19" s="62">
        <v>315.75370830742656</v>
      </c>
      <c r="L19" s="62">
        <v>486.79933526688802</v>
      </c>
      <c r="M19" s="62">
        <v>452.39276075964676</v>
      </c>
      <c r="N19" s="62">
        <v>482.16053187351912</v>
      </c>
      <c r="O19" s="62">
        <v>504.1862001971744</v>
      </c>
      <c r="P19" s="62">
        <v>576.03323294482766</v>
      </c>
      <c r="Q19" s="62">
        <v>645.60596168491054</v>
      </c>
      <c r="R19" s="62">
        <v>709.55669624481584</v>
      </c>
      <c r="S19" s="56" t="s">
        <v>61</v>
      </c>
    </row>
    <row r="20" spans="1:19" s="51" customFormat="1" ht="20.100000000000001" customHeight="1" x14ac:dyDescent="0.2">
      <c r="A20" s="49" t="s">
        <v>12</v>
      </c>
      <c r="B20" s="9" t="s">
        <v>82</v>
      </c>
      <c r="C20" s="62">
        <v>102.6917913896208</v>
      </c>
      <c r="D20" s="62">
        <v>119.96843322532641</v>
      </c>
      <c r="E20" s="62">
        <v>144.643458450868</v>
      </c>
      <c r="F20" s="62">
        <v>158.12005429273364</v>
      </c>
      <c r="G20" s="62">
        <v>173.11627636062209</v>
      </c>
      <c r="H20" s="62">
        <v>214.17671831251258</v>
      </c>
      <c r="I20" s="62">
        <v>245.15017620690145</v>
      </c>
      <c r="J20" s="62">
        <v>273.82159422861406</v>
      </c>
      <c r="K20" s="62">
        <v>302.07450380829187</v>
      </c>
      <c r="L20" s="62">
        <v>346.63696200387744</v>
      </c>
      <c r="M20" s="62">
        <v>366.30898073568608</v>
      </c>
      <c r="N20" s="62">
        <v>398.12753910025168</v>
      </c>
      <c r="O20" s="62">
        <v>408.71292513266991</v>
      </c>
      <c r="P20" s="62">
        <v>542.18321123324881</v>
      </c>
      <c r="Q20" s="62">
        <v>555.59899507180398</v>
      </c>
      <c r="R20" s="62">
        <v>594.59879490862443</v>
      </c>
      <c r="S20" s="56" t="s">
        <v>62</v>
      </c>
    </row>
    <row r="21" spans="1:19" s="13" customFormat="1" ht="20.100000000000001" customHeight="1" x14ac:dyDescent="0.2">
      <c r="A21" s="17" t="s">
        <v>13</v>
      </c>
      <c r="B21" s="7" t="s">
        <v>67</v>
      </c>
      <c r="C21" s="53">
        <v>962.59894721763953</v>
      </c>
      <c r="D21" s="53">
        <v>1460.33992779081</v>
      </c>
      <c r="E21" s="53">
        <v>1742.8813792992764</v>
      </c>
      <c r="F21" s="53">
        <v>1978.8984202661516</v>
      </c>
      <c r="G21" s="53">
        <v>2675.3456917897834</v>
      </c>
      <c r="H21" s="53">
        <v>2938.2844432770225</v>
      </c>
      <c r="I21" s="53">
        <v>1964.2688260654218</v>
      </c>
      <c r="J21" s="53">
        <v>2113.9192085543418</v>
      </c>
      <c r="K21" s="53">
        <v>2542.1651716041715</v>
      </c>
      <c r="L21" s="53">
        <v>2484.8882215988983</v>
      </c>
      <c r="M21" s="53">
        <v>2159.3790010484886</v>
      </c>
      <c r="N21" s="53">
        <v>2775.6395068574893</v>
      </c>
      <c r="O21" s="53">
        <v>3530.1072822617489</v>
      </c>
      <c r="P21" s="53">
        <v>3887.2353319443964</v>
      </c>
      <c r="Q21" s="53">
        <v>4284.2428009709511</v>
      </c>
      <c r="R21" s="53">
        <v>4831.8301563967116</v>
      </c>
      <c r="S21" s="18" t="s">
        <v>14</v>
      </c>
    </row>
    <row r="22" spans="1:19" s="4" customFormat="1" ht="20.100000000000001" customHeight="1" x14ac:dyDescent="0.2">
      <c r="A22" s="15"/>
      <c r="B22" s="16" t="s">
        <v>15</v>
      </c>
      <c r="C22" s="54">
        <v>23528.982921073479</v>
      </c>
      <c r="D22" s="54">
        <v>24617.420575745753</v>
      </c>
      <c r="E22" s="54">
        <v>20269.769102697675</v>
      </c>
      <c r="F22" s="54">
        <v>26483.397108231977</v>
      </c>
      <c r="G22" s="54">
        <v>29287.939346057377</v>
      </c>
      <c r="H22" s="54">
        <v>32492.575386194774</v>
      </c>
      <c r="I22" s="54">
        <v>31303.838166065088</v>
      </c>
      <c r="J22" s="54">
        <v>33590.013503421535</v>
      </c>
      <c r="K22" s="54">
        <v>35921.287086795935</v>
      </c>
      <c r="L22" s="54">
        <v>36853.058485407455</v>
      </c>
      <c r="M22" s="54">
        <v>40089.756837916677</v>
      </c>
      <c r="N22" s="54">
        <v>42880.423022191579</v>
      </c>
      <c r="O22" s="54">
        <v>43895.915293186124</v>
      </c>
      <c r="P22" s="54">
        <v>46832.071729497606</v>
      </c>
      <c r="Q22" s="54">
        <v>49265.117322337952</v>
      </c>
      <c r="R22" s="54">
        <v>51578.06471687591</v>
      </c>
      <c r="S22" s="70" t="s">
        <v>16</v>
      </c>
    </row>
    <row r="23" spans="1:19" s="4" customFormat="1" ht="20.100000000000001" customHeight="1" x14ac:dyDescent="0.2">
      <c r="A23" s="17" t="s">
        <v>17</v>
      </c>
      <c r="B23" s="7" t="s">
        <v>68</v>
      </c>
      <c r="C23" s="53">
        <v>4063.3696159694764</v>
      </c>
      <c r="D23" s="53">
        <v>3456.2043327629799</v>
      </c>
      <c r="E23" s="53">
        <v>3101.6950357723022</v>
      </c>
      <c r="F23" s="53">
        <v>3768.1318294477555</v>
      </c>
      <c r="G23" s="53">
        <v>3683.3265209197384</v>
      </c>
      <c r="H23" s="53">
        <v>4729.3457674105093</v>
      </c>
      <c r="I23" s="53">
        <v>3368.0016541772907</v>
      </c>
      <c r="J23" s="53">
        <v>3498.9181903596809</v>
      </c>
      <c r="K23" s="53">
        <v>4212.8478889029457</v>
      </c>
      <c r="L23" s="53">
        <v>4141.6445369647126</v>
      </c>
      <c r="M23" s="53">
        <v>4491.5933155422154</v>
      </c>
      <c r="N23" s="53">
        <v>5353.6975028520046</v>
      </c>
      <c r="O23" s="53">
        <v>5000.3647745257376</v>
      </c>
      <c r="P23" s="53">
        <v>5589.4909851844277</v>
      </c>
      <c r="Q23" s="53">
        <v>5705.6625122610485</v>
      </c>
      <c r="R23" s="53">
        <v>5996.1702146697107</v>
      </c>
      <c r="S23" s="18" t="s">
        <v>18</v>
      </c>
    </row>
    <row r="24" spans="1:19" s="4" customFormat="1" ht="20.100000000000001" customHeight="1" x14ac:dyDescent="0.2">
      <c r="A24" s="17"/>
      <c r="B24" s="7" t="s">
        <v>69</v>
      </c>
      <c r="C24" s="53">
        <v>9845.4053499174715</v>
      </c>
      <c r="D24" s="53">
        <v>10611.877113281193</v>
      </c>
      <c r="E24" s="53">
        <v>6840.9511605120906</v>
      </c>
      <c r="F24" s="53">
        <v>10080.979969263024</v>
      </c>
      <c r="G24" s="53">
        <v>10950.028682850911</v>
      </c>
      <c r="H24" s="53">
        <v>11038.957830665413</v>
      </c>
      <c r="I24" s="53">
        <v>10425.541641206732</v>
      </c>
      <c r="J24" s="53">
        <v>11683.825527255869</v>
      </c>
      <c r="K24" s="53">
        <v>12722.493185665557</v>
      </c>
      <c r="L24" s="53">
        <v>12697.306749870413</v>
      </c>
      <c r="M24" s="53">
        <v>13977.428488851525</v>
      </c>
      <c r="N24" s="53">
        <v>14343.053446269196</v>
      </c>
      <c r="O24" s="53">
        <v>14160.068091552343</v>
      </c>
      <c r="P24" s="53">
        <v>14792.350419008104</v>
      </c>
      <c r="Q24" s="53">
        <v>16321.747062846109</v>
      </c>
      <c r="R24" s="53">
        <v>17459.252047064187</v>
      </c>
      <c r="S24" s="55" t="s">
        <v>63</v>
      </c>
    </row>
    <row r="25" spans="1:19" s="51" customFormat="1" ht="20.100000000000001" customHeight="1" x14ac:dyDescent="0.2">
      <c r="A25" s="49" t="s">
        <v>20</v>
      </c>
      <c r="B25" s="9" t="s">
        <v>83</v>
      </c>
      <c r="C25" s="62">
        <v>9041.4134590221438</v>
      </c>
      <c r="D25" s="62">
        <v>9732.3123761676325</v>
      </c>
      <c r="E25" s="62">
        <v>6120.0126971190539</v>
      </c>
      <c r="F25" s="62">
        <v>9091.7031277522183</v>
      </c>
      <c r="G25" s="62">
        <v>9870.3367331794962</v>
      </c>
      <c r="H25" s="62">
        <v>10051.678072861963</v>
      </c>
      <c r="I25" s="62">
        <v>9546.3573807113589</v>
      </c>
      <c r="J25" s="62">
        <v>10818.726109226456</v>
      </c>
      <c r="K25" s="62">
        <v>11767.623916281407</v>
      </c>
      <c r="L25" s="62">
        <v>11808.290492850463</v>
      </c>
      <c r="M25" s="62">
        <v>12894.754775516736</v>
      </c>
      <c r="N25" s="62">
        <v>13297.126675760919</v>
      </c>
      <c r="O25" s="62">
        <v>12563.49890207353</v>
      </c>
      <c r="P25" s="62">
        <v>12848.951881517885</v>
      </c>
      <c r="Q25" s="62">
        <v>14207.15490831032</v>
      </c>
      <c r="R25" s="62">
        <v>15070.320633218307</v>
      </c>
      <c r="S25" s="56" t="s">
        <v>96</v>
      </c>
    </row>
    <row r="26" spans="1:19" s="51" customFormat="1" ht="20.100000000000001" customHeight="1" x14ac:dyDescent="0.2">
      <c r="A26" s="49" t="s">
        <v>20</v>
      </c>
      <c r="B26" s="9" t="s">
        <v>84</v>
      </c>
      <c r="C26" s="62">
        <v>310.17121462359177</v>
      </c>
      <c r="D26" s="62">
        <v>381.23632203374109</v>
      </c>
      <c r="E26" s="62">
        <v>282.3374195725624</v>
      </c>
      <c r="F26" s="62">
        <v>356.21791341247922</v>
      </c>
      <c r="G26" s="62">
        <v>419.04880511457549</v>
      </c>
      <c r="H26" s="62">
        <v>422.81607888043766</v>
      </c>
      <c r="I26" s="62">
        <v>378.07402645074785</v>
      </c>
      <c r="J26" s="62">
        <v>468.07652224764246</v>
      </c>
      <c r="K26" s="62">
        <v>565.72428145643335</v>
      </c>
      <c r="L26" s="62">
        <v>454.83990967508157</v>
      </c>
      <c r="M26" s="62">
        <v>550.07426151514494</v>
      </c>
      <c r="N26" s="62">
        <v>605.02012718933872</v>
      </c>
      <c r="O26" s="62">
        <v>1139.6398954459844</v>
      </c>
      <c r="P26" s="62">
        <v>1471.7269288928826</v>
      </c>
      <c r="Q26" s="62">
        <v>1622.5708620359146</v>
      </c>
      <c r="R26" s="62">
        <v>1884.7391742829791</v>
      </c>
      <c r="S26" s="56" t="s">
        <v>55</v>
      </c>
    </row>
    <row r="27" spans="1:19" s="51" customFormat="1" ht="20.100000000000001" customHeight="1" x14ac:dyDescent="0.2">
      <c r="A27" s="49" t="s">
        <v>20</v>
      </c>
      <c r="B27" s="9" t="s">
        <v>85</v>
      </c>
      <c r="C27" s="62">
        <v>493.82067627173564</v>
      </c>
      <c r="D27" s="62">
        <v>498.32841507981959</v>
      </c>
      <c r="E27" s="62">
        <v>438.60104382047365</v>
      </c>
      <c r="F27" s="62">
        <v>633.05892809832551</v>
      </c>
      <c r="G27" s="62">
        <v>660.64314455683916</v>
      </c>
      <c r="H27" s="62">
        <v>564.46367892301146</v>
      </c>
      <c r="I27" s="62">
        <v>501.11023404462469</v>
      </c>
      <c r="J27" s="62">
        <v>397.02289578177033</v>
      </c>
      <c r="K27" s="62">
        <v>389.14498792771786</v>
      </c>
      <c r="L27" s="62">
        <v>434.17634734486762</v>
      </c>
      <c r="M27" s="62">
        <v>532.59945181964429</v>
      </c>
      <c r="N27" s="62">
        <v>440.90664331893856</v>
      </c>
      <c r="O27" s="62">
        <v>456.92929403282852</v>
      </c>
      <c r="P27" s="62">
        <v>471.67160859733741</v>
      </c>
      <c r="Q27" s="62">
        <v>492.02129249987337</v>
      </c>
      <c r="R27" s="62">
        <v>504.1922395628992</v>
      </c>
      <c r="S27" s="56" t="s">
        <v>64</v>
      </c>
    </row>
    <row r="28" spans="1:19" s="4" customFormat="1" ht="20.100000000000001" customHeight="1" x14ac:dyDescent="0.2">
      <c r="A28" s="17"/>
      <c r="B28" s="7" t="s">
        <v>58</v>
      </c>
      <c r="C28" s="53">
        <v>2533.1382194924827</v>
      </c>
      <c r="D28" s="53">
        <v>3102.1090477423718</v>
      </c>
      <c r="E28" s="53">
        <v>2730.7711119610717</v>
      </c>
      <c r="F28" s="53">
        <v>3436.6190215556862</v>
      </c>
      <c r="G28" s="53">
        <v>3927.6517908597539</v>
      </c>
      <c r="H28" s="53">
        <v>4107.1998763171378</v>
      </c>
      <c r="I28" s="53">
        <v>4344.5582574114978</v>
      </c>
      <c r="J28" s="53">
        <v>5280.4082284002579</v>
      </c>
      <c r="K28" s="53">
        <v>5561.9089715905366</v>
      </c>
      <c r="L28" s="53">
        <v>6099.5971492203444</v>
      </c>
      <c r="M28" s="53">
        <v>6714.688649379932</v>
      </c>
      <c r="N28" s="53">
        <v>7147.2527111181944</v>
      </c>
      <c r="O28" s="53">
        <v>7766.7510336466858</v>
      </c>
      <c r="P28" s="53">
        <v>8434.4425201661543</v>
      </c>
      <c r="Q28" s="53">
        <v>8695.1872047627276</v>
      </c>
      <c r="R28" s="53">
        <v>8784.5334775650281</v>
      </c>
      <c r="S28" s="55" t="s">
        <v>78</v>
      </c>
    </row>
    <row r="29" spans="1:19" s="51" customFormat="1" ht="20.100000000000001" customHeight="1" x14ac:dyDescent="0.25">
      <c r="A29" s="60" t="s">
        <v>19</v>
      </c>
      <c r="B29" s="61" t="s">
        <v>86</v>
      </c>
      <c r="C29" s="62">
        <v>1309.9722395388289</v>
      </c>
      <c r="D29" s="62">
        <v>1568.968294138889</v>
      </c>
      <c r="E29" s="62">
        <v>1405.3806382082694</v>
      </c>
      <c r="F29" s="62">
        <v>1796.5734798116766</v>
      </c>
      <c r="G29" s="62">
        <v>1990.5147263860729</v>
      </c>
      <c r="H29" s="62">
        <v>2057.550895556858</v>
      </c>
      <c r="I29" s="62">
        <v>2135.8716189105253</v>
      </c>
      <c r="J29" s="62">
        <v>2477.026227434671</v>
      </c>
      <c r="K29" s="62">
        <v>2665.2343132250562</v>
      </c>
      <c r="L29" s="62">
        <v>3131.8058346485677</v>
      </c>
      <c r="M29" s="62">
        <v>3471.6783378770883</v>
      </c>
      <c r="N29" s="62">
        <v>3722.8391944775221</v>
      </c>
      <c r="O29" s="62">
        <v>3867.8989982922849</v>
      </c>
      <c r="P29" s="62">
        <v>3988.083104428732</v>
      </c>
      <c r="Q29" s="62">
        <v>3934.4567483067144</v>
      </c>
      <c r="R29" s="62">
        <v>3898.6735955563809</v>
      </c>
      <c r="S29" s="56" t="s">
        <v>91</v>
      </c>
    </row>
    <row r="30" spans="1:19" s="51" customFormat="1" ht="20.100000000000001" customHeight="1" x14ac:dyDescent="0.25">
      <c r="A30" s="60" t="s">
        <v>27</v>
      </c>
      <c r="B30" s="61" t="s">
        <v>87</v>
      </c>
      <c r="C30" s="62">
        <v>740.70668664399</v>
      </c>
      <c r="D30" s="62">
        <v>827.30738721933869</v>
      </c>
      <c r="E30" s="62">
        <v>595.9244950974163</v>
      </c>
      <c r="F30" s="62">
        <v>852.52615231777042</v>
      </c>
      <c r="G30" s="62">
        <v>966.4539881687632</v>
      </c>
      <c r="H30" s="62">
        <v>970.559305357477</v>
      </c>
      <c r="I30" s="62">
        <v>962.76475801617539</v>
      </c>
      <c r="J30" s="62">
        <v>1169.4929563024</v>
      </c>
      <c r="K30" s="62">
        <v>1309.2810211830647</v>
      </c>
      <c r="L30" s="62">
        <v>1354.0645959514477</v>
      </c>
      <c r="M30" s="62">
        <v>1584.4854929520229</v>
      </c>
      <c r="N30" s="62">
        <v>1736.4660013041403</v>
      </c>
      <c r="O30" s="62">
        <v>1778.7992295030335</v>
      </c>
      <c r="P30" s="62">
        <v>1868.2062630414539</v>
      </c>
      <c r="Q30" s="62">
        <v>1961.3382339570178</v>
      </c>
      <c r="R30" s="62">
        <v>2092.2967884454365</v>
      </c>
      <c r="S30" s="56" t="s">
        <v>92</v>
      </c>
    </row>
    <row r="31" spans="1:19" s="51" customFormat="1" ht="20.100000000000001" customHeight="1" x14ac:dyDescent="0.25">
      <c r="A31" s="60" t="s">
        <v>19</v>
      </c>
      <c r="B31" s="61" t="s">
        <v>88</v>
      </c>
      <c r="C31" s="62">
        <v>482.45929330966408</v>
      </c>
      <c r="D31" s="62">
        <v>705.83336638414414</v>
      </c>
      <c r="E31" s="62">
        <v>729.46597865538615</v>
      </c>
      <c r="F31" s="62">
        <v>787.51938942623929</v>
      </c>
      <c r="G31" s="62">
        <v>970.68307630491779</v>
      </c>
      <c r="H31" s="62">
        <v>1079.0896754028029</v>
      </c>
      <c r="I31" s="62">
        <v>1245.9218804847967</v>
      </c>
      <c r="J31" s="62">
        <v>1633.889044663187</v>
      </c>
      <c r="K31" s="62">
        <v>1587.3936371824154</v>
      </c>
      <c r="L31" s="62">
        <v>1613.7267186203289</v>
      </c>
      <c r="M31" s="62">
        <v>1658.5248185508215</v>
      </c>
      <c r="N31" s="62">
        <v>1687.947515336532</v>
      </c>
      <c r="O31" s="62">
        <v>2120.0528058513678</v>
      </c>
      <c r="P31" s="62">
        <v>2578.1531526959684</v>
      </c>
      <c r="Q31" s="62">
        <v>2799.3922224989951</v>
      </c>
      <c r="R31" s="62">
        <v>2793.5630935632112</v>
      </c>
      <c r="S31" s="56" t="s">
        <v>93</v>
      </c>
    </row>
    <row r="32" spans="1:19" s="4" customFormat="1" ht="20.100000000000001" customHeight="1" x14ac:dyDescent="0.2">
      <c r="A32" s="17"/>
      <c r="B32" s="7" t="s">
        <v>70</v>
      </c>
      <c r="C32" s="53">
        <v>563.07317771531632</v>
      </c>
      <c r="D32" s="53">
        <v>722.44886841360585</v>
      </c>
      <c r="E32" s="53">
        <v>998.17940347883246</v>
      </c>
      <c r="F32" s="53">
        <v>1309.3868061083326</v>
      </c>
      <c r="G32" s="53">
        <v>1794.3367921116267</v>
      </c>
      <c r="H32" s="53">
        <v>2201.2838118903055</v>
      </c>
      <c r="I32" s="53">
        <v>2297.7721341418705</v>
      </c>
      <c r="J32" s="53">
        <v>2273.7246180268426</v>
      </c>
      <c r="K32" s="53">
        <v>2331.0127238450441</v>
      </c>
      <c r="L32" s="53">
        <v>2118.2727522415366</v>
      </c>
      <c r="M32" s="53">
        <v>2185.1275690446068</v>
      </c>
      <c r="N32" s="53">
        <v>2260.4626803108513</v>
      </c>
      <c r="O32" s="53">
        <v>2364.2983096780331</v>
      </c>
      <c r="P32" s="53">
        <v>2574.2555979618869</v>
      </c>
      <c r="Q32" s="53">
        <v>2857.1967413406169</v>
      </c>
      <c r="R32" s="53">
        <v>3126.6436640225634</v>
      </c>
      <c r="S32" s="18" t="s">
        <v>21</v>
      </c>
    </row>
    <row r="33" spans="1:19" s="51" customFormat="1" ht="20.100000000000001" customHeight="1" x14ac:dyDescent="0.2">
      <c r="A33" s="49" t="s">
        <v>22</v>
      </c>
      <c r="B33" s="9" t="s">
        <v>89</v>
      </c>
      <c r="C33" s="62">
        <v>536.53020277554128</v>
      </c>
      <c r="D33" s="62">
        <v>692.0762757457145</v>
      </c>
      <c r="E33" s="62">
        <v>954.05487104708197</v>
      </c>
      <c r="F33" s="62">
        <v>1239.4572373023175</v>
      </c>
      <c r="G33" s="62">
        <v>1711.9340855942012</v>
      </c>
      <c r="H33" s="62">
        <v>2094.3637447836304</v>
      </c>
      <c r="I33" s="62">
        <v>2175.5883096960665</v>
      </c>
      <c r="J33" s="62">
        <v>2142.7777354207897</v>
      </c>
      <c r="K33" s="62">
        <v>2198.9688275466788</v>
      </c>
      <c r="L33" s="62">
        <v>1969.9332390725167</v>
      </c>
      <c r="M33" s="62">
        <v>2040.1095363214747</v>
      </c>
      <c r="N33" s="62">
        <v>2121.7366905852446</v>
      </c>
      <c r="O33" s="62">
        <v>2207.3191954741596</v>
      </c>
      <c r="P33" s="62">
        <v>2418.0364476301916</v>
      </c>
      <c r="Q33" s="62">
        <v>2698.5708653978195</v>
      </c>
      <c r="R33" s="62">
        <v>2971.2542269626201</v>
      </c>
      <c r="S33" s="56" t="s">
        <v>94</v>
      </c>
    </row>
    <row r="34" spans="1:19" s="51" customFormat="1" ht="20.100000000000001" customHeight="1" x14ac:dyDescent="0.2">
      <c r="A34" s="49" t="s">
        <v>22</v>
      </c>
      <c r="B34" s="9" t="s">
        <v>90</v>
      </c>
      <c r="C34" s="62">
        <v>26.542974939775071</v>
      </c>
      <c r="D34" s="62">
        <v>30.372592667891322</v>
      </c>
      <c r="E34" s="62">
        <v>44.124532431750438</v>
      </c>
      <c r="F34" s="62">
        <v>69.929568806015226</v>
      </c>
      <c r="G34" s="62">
        <v>82.402706517425543</v>
      </c>
      <c r="H34" s="62">
        <v>106.92006710667515</v>
      </c>
      <c r="I34" s="62">
        <v>122.18382444580381</v>
      </c>
      <c r="J34" s="62">
        <v>130.94688260605304</v>
      </c>
      <c r="K34" s="62">
        <v>132.04389629836547</v>
      </c>
      <c r="L34" s="62">
        <v>148.33951316901977</v>
      </c>
      <c r="M34" s="62">
        <v>145.01803272313208</v>
      </c>
      <c r="N34" s="62">
        <v>138.72598972560689</v>
      </c>
      <c r="O34" s="62">
        <v>156.97911420387342</v>
      </c>
      <c r="P34" s="62">
        <v>156.21915033169554</v>
      </c>
      <c r="Q34" s="62">
        <v>158.62587594279753</v>
      </c>
      <c r="R34" s="62">
        <v>155.38943705994322</v>
      </c>
      <c r="S34" s="56" t="s">
        <v>95</v>
      </c>
    </row>
    <row r="35" spans="1:19" s="4" customFormat="1" ht="20.100000000000001" customHeight="1" x14ac:dyDescent="0.2">
      <c r="A35" s="17" t="s">
        <v>24</v>
      </c>
      <c r="B35" s="7" t="s">
        <v>71</v>
      </c>
      <c r="C35" s="53">
        <v>1910.9133747541023</v>
      </c>
      <c r="D35" s="53">
        <v>2072.6944520972916</v>
      </c>
      <c r="E35" s="53">
        <v>2089.9670652445766</v>
      </c>
      <c r="F35" s="53">
        <v>2425.4703356950408</v>
      </c>
      <c r="G35" s="53">
        <v>2701.263270341477</v>
      </c>
      <c r="H35" s="53">
        <v>2945.2660613630542</v>
      </c>
      <c r="I35" s="53">
        <v>2958.7788732984318</v>
      </c>
      <c r="J35" s="53">
        <v>3169.4133264198558</v>
      </c>
      <c r="K35" s="53">
        <v>3403.0620206381882</v>
      </c>
      <c r="L35" s="53">
        <v>3623.2080057591184</v>
      </c>
      <c r="M35" s="53">
        <v>3873.890685930975</v>
      </c>
      <c r="N35" s="53">
        <v>4166.3397722153431</v>
      </c>
      <c r="O35" s="53">
        <v>4315.2846635950737</v>
      </c>
      <c r="P35" s="53">
        <v>4473.5153359939068</v>
      </c>
      <c r="Q35" s="53">
        <v>4518.5458075484012</v>
      </c>
      <c r="R35" s="53">
        <v>4717.2571631911105</v>
      </c>
      <c r="S35" s="18" t="s">
        <v>23</v>
      </c>
    </row>
    <row r="36" spans="1:19" s="4" customFormat="1" ht="20.100000000000001" customHeight="1" x14ac:dyDescent="0.2">
      <c r="A36" s="17" t="s">
        <v>57</v>
      </c>
      <c r="B36" s="7" t="s">
        <v>72</v>
      </c>
      <c r="C36" s="53">
        <v>252.80805162906341</v>
      </c>
      <c r="D36" s="53">
        <v>321.18034540791206</v>
      </c>
      <c r="E36" s="53">
        <v>298.43907892952012</v>
      </c>
      <c r="F36" s="53">
        <v>451.27200348982899</v>
      </c>
      <c r="G36" s="53">
        <v>546.38143441469822</v>
      </c>
      <c r="H36" s="53">
        <v>617.38530653960015</v>
      </c>
      <c r="I36" s="53">
        <v>632.32186154794738</v>
      </c>
      <c r="J36" s="53">
        <v>690.19380210271299</v>
      </c>
      <c r="K36" s="53">
        <v>716.63255593273971</v>
      </c>
      <c r="L36" s="53">
        <v>721.57519829386149</v>
      </c>
      <c r="M36" s="53">
        <v>774.77191021815543</v>
      </c>
      <c r="N36" s="53">
        <v>851.49657848374363</v>
      </c>
      <c r="O36" s="53">
        <v>798.29907217287609</v>
      </c>
      <c r="P36" s="53">
        <v>892.27622125640619</v>
      </c>
      <c r="Q36" s="53">
        <v>909.32109460906361</v>
      </c>
      <c r="R36" s="53">
        <v>942.26779338628171</v>
      </c>
      <c r="S36" s="55" t="s">
        <v>56</v>
      </c>
    </row>
    <row r="37" spans="1:19" s="4" customFormat="1" ht="20.100000000000001" customHeight="1" x14ac:dyDescent="0.2">
      <c r="A37" s="17" t="s">
        <v>28</v>
      </c>
      <c r="B37" s="7" t="s">
        <v>73</v>
      </c>
      <c r="C37" s="53">
        <v>2252.4654990985209</v>
      </c>
      <c r="D37" s="53">
        <v>2128.177593049897</v>
      </c>
      <c r="E37" s="53">
        <v>2249.785143139618</v>
      </c>
      <c r="F37" s="53">
        <v>2507.5297841079</v>
      </c>
      <c r="G37" s="53">
        <v>2853.026216600224</v>
      </c>
      <c r="H37" s="53">
        <v>3454.5432139204786</v>
      </c>
      <c r="I37" s="53">
        <v>3446.6559777590269</v>
      </c>
      <c r="J37" s="53">
        <v>3303.5639351581199</v>
      </c>
      <c r="K37" s="53">
        <v>3337.5275662175409</v>
      </c>
      <c r="L37" s="53">
        <v>3628.8264797517922</v>
      </c>
      <c r="M37" s="53">
        <v>3914.1416139295261</v>
      </c>
      <c r="N37" s="53">
        <v>4372.0388571849608</v>
      </c>
      <c r="O37" s="53">
        <v>4646.7359131498824</v>
      </c>
      <c r="P37" s="53">
        <v>4942.4710300081097</v>
      </c>
      <c r="Q37" s="53">
        <v>5159.5691840329137</v>
      </c>
      <c r="R37" s="53">
        <v>5331.9736778849683</v>
      </c>
      <c r="S37" s="18" t="s">
        <v>25</v>
      </c>
    </row>
    <row r="38" spans="1:19" s="4" customFormat="1" ht="20.100000000000001" customHeight="1" x14ac:dyDescent="0.2">
      <c r="A38" s="17" t="s">
        <v>45</v>
      </c>
      <c r="B38" s="7" t="s">
        <v>37</v>
      </c>
      <c r="C38" s="53">
        <v>933.12339657883024</v>
      </c>
      <c r="D38" s="53">
        <v>921.01236503026587</v>
      </c>
      <c r="E38" s="53">
        <v>945.52022375621277</v>
      </c>
      <c r="F38" s="53">
        <v>1113.3955115516383</v>
      </c>
      <c r="G38" s="53">
        <v>1220.5391682206255</v>
      </c>
      <c r="H38" s="53">
        <v>1455.1051067970427</v>
      </c>
      <c r="I38" s="53">
        <v>1627.8029990690482</v>
      </c>
      <c r="J38" s="53">
        <v>1509.7152880198867</v>
      </c>
      <c r="K38" s="53">
        <v>1422.7086959427854</v>
      </c>
      <c r="L38" s="53">
        <v>1537.2988770304057</v>
      </c>
      <c r="M38" s="53">
        <v>1633.9917836517945</v>
      </c>
      <c r="N38" s="53">
        <v>1703.9989293364947</v>
      </c>
      <c r="O38" s="53">
        <v>1993.4203274380525</v>
      </c>
      <c r="P38" s="53">
        <v>1996.0199542107025</v>
      </c>
      <c r="Q38" s="53">
        <v>2033.6734752392915</v>
      </c>
      <c r="R38" s="53">
        <v>2118.5721697324661</v>
      </c>
      <c r="S38" s="18" t="s">
        <v>26</v>
      </c>
    </row>
    <row r="39" spans="1:19" s="4" customFormat="1" ht="20.100000000000001" customHeight="1" x14ac:dyDescent="0.2">
      <c r="A39" s="17" t="s">
        <v>46</v>
      </c>
      <c r="B39" s="7" t="s">
        <v>74</v>
      </c>
      <c r="C39" s="53">
        <v>383.93976748443998</v>
      </c>
      <c r="D39" s="53">
        <v>427.79093195334792</v>
      </c>
      <c r="E39" s="53">
        <v>468.39558077866735</v>
      </c>
      <c r="F39" s="53">
        <v>584.98310964900816</v>
      </c>
      <c r="G39" s="53">
        <v>730.91381960230501</v>
      </c>
      <c r="H39" s="53">
        <v>1039.9489329797921</v>
      </c>
      <c r="I39" s="53">
        <v>1345.8538394831703</v>
      </c>
      <c r="J39" s="53">
        <v>1214.6987004908899</v>
      </c>
      <c r="K39" s="53">
        <v>1161.6972644637467</v>
      </c>
      <c r="L39" s="53">
        <v>1235.1827939718105</v>
      </c>
      <c r="M39" s="53">
        <v>1383.4056279806448</v>
      </c>
      <c r="N39" s="53">
        <v>1511.7760046354965</v>
      </c>
      <c r="O39" s="53">
        <v>1742.5959511601764</v>
      </c>
      <c r="P39" s="53">
        <v>1893.3713960847483</v>
      </c>
      <c r="Q39" s="53">
        <v>1897.5210822914994</v>
      </c>
      <c r="R39" s="53">
        <v>1898.628741553038</v>
      </c>
      <c r="S39" s="55" t="s">
        <v>47</v>
      </c>
    </row>
    <row r="40" spans="1:19" s="4" customFormat="1" ht="20.100000000000001" customHeight="1" x14ac:dyDescent="0.2">
      <c r="A40" s="19" t="s">
        <v>48</v>
      </c>
      <c r="B40" s="20" t="s">
        <v>75</v>
      </c>
      <c r="C40" s="63">
        <v>790.74646843377116</v>
      </c>
      <c r="D40" s="63">
        <v>853.92552600689055</v>
      </c>
      <c r="E40" s="63">
        <v>546.06529912478265</v>
      </c>
      <c r="F40" s="63">
        <v>805.62873736376173</v>
      </c>
      <c r="G40" s="63">
        <v>880.4716501360158</v>
      </c>
      <c r="H40" s="63">
        <v>903.53947831144205</v>
      </c>
      <c r="I40" s="63">
        <v>856.55092797007057</v>
      </c>
      <c r="J40" s="63">
        <v>965.55188718741442</v>
      </c>
      <c r="K40" s="63">
        <v>1051.3962135968543</v>
      </c>
      <c r="L40" s="63">
        <v>1050.1459423034548</v>
      </c>
      <c r="M40" s="63">
        <v>1140.7171933873055</v>
      </c>
      <c r="N40" s="63">
        <v>1170.3065397852988</v>
      </c>
      <c r="O40" s="63">
        <v>1108.0971562672655</v>
      </c>
      <c r="P40" s="63">
        <v>1243.8782696231606</v>
      </c>
      <c r="Q40" s="63">
        <v>1166.6931574062833</v>
      </c>
      <c r="R40" s="63">
        <v>1202.7657678065482</v>
      </c>
      <c r="S40" s="57" t="s">
        <v>49</v>
      </c>
    </row>
    <row r="41" spans="1:19" ht="20.100000000000001" customHeight="1" x14ac:dyDescent="0.2">
      <c r="A41" s="21"/>
      <c r="B41" s="2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23"/>
    </row>
    <row r="42" spans="1:19" s="13" customFormat="1" ht="20.100000000000001" customHeight="1" x14ac:dyDescent="0.2">
      <c r="A42" s="24" t="s">
        <v>29</v>
      </c>
      <c r="B42" s="21"/>
      <c r="C42" s="43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70" t="s">
        <v>30</v>
      </c>
    </row>
    <row r="43" spans="1:19" s="13" customFormat="1" ht="20.100000000000001" customHeight="1" x14ac:dyDescent="0.2">
      <c r="A43" s="21" t="s">
        <v>50</v>
      </c>
      <c r="B43" s="21"/>
      <c r="C43" s="75">
        <v>318831</v>
      </c>
      <c r="D43" s="75">
        <v>327893</v>
      </c>
      <c r="E43" s="67">
        <v>338591</v>
      </c>
      <c r="F43" s="67">
        <v>354367</v>
      </c>
      <c r="G43" s="67">
        <v>374944</v>
      </c>
      <c r="H43" s="67">
        <v>390414</v>
      </c>
      <c r="I43" s="67">
        <v>384801</v>
      </c>
      <c r="J43" s="67">
        <v>393578</v>
      </c>
      <c r="K43" s="67">
        <v>406359</v>
      </c>
      <c r="L43" s="67">
        <v>417305.91520427831</v>
      </c>
      <c r="M43" s="67">
        <v>428670.82631033019</v>
      </c>
      <c r="N43" s="67">
        <v>437534.99999999994</v>
      </c>
      <c r="O43" s="67">
        <v>454434</v>
      </c>
      <c r="P43" s="67">
        <v>472426</v>
      </c>
      <c r="Q43" s="67">
        <v>491589</v>
      </c>
      <c r="R43" s="67">
        <v>512038</v>
      </c>
      <c r="S43" s="23" t="s">
        <v>31</v>
      </c>
    </row>
    <row r="44" spans="1:19" s="13" customFormat="1" ht="20.100000000000001" customHeight="1" x14ac:dyDescent="0.2">
      <c r="A44" s="21" t="s">
        <v>51</v>
      </c>
      <c r="B44" s="21"/>
      <c r="C44" s="67">
        <v>2110.8847916067934</v>
      </c>
      <c r="D44" s="67">
        <v>2238.2503890032731</v>
      </c>
      <c r="E44" s="67">
        <v>1944.3893021369875</v>
      </c>
      <c r="F44" s="67">
        <v>2452.0983828518729</v>
      </c>
      <c r="G44" s="67">
        <v>2641.2499980259922</v>
      </c>
      <c r="H44" s="67">
        <v>2891.7813514965846</v>
      </c>
      <c r="I44" s="67">
        <v>2682.7390572137379</v>
      </c>
      <c r="J44" s="67">
        <v>2877.6435155023155</v>
      </c>
      <c r="K44" s="67">
        <v>3124.163569826349</v>
      </c>
      <c r="L44" s="67">
        <v>3202.8107589869023</v>
      </c>
      <c r="M44" s="67">
        <v>3436.0097816370771</v>
      </c>
      <c r="N44" s="67">
        <v>3687.8564500516545</v>
      </c>
      <c r="O44" s="67">
        <v>3794.2344623287668</v>
      </c>
      <c r="P44" s="67">
        <v>4070.8206550276072</v>
      </c>
      <c r="Q44" s="67">
        <v>4352.164764769921</v>
      </c>
      <c r="R44" s="67">
        <f>R8/15.42</f>
        <v>4615.6118762167489</v>
      </c>
      <c r="S44" s="23" t="s">
        <v>52</v>
      </c>
    </row>
    <row r="45" spans="1:19" s="13" customFormat="1" ht="5.25" customHeight="1" x14ac:dyDescent="0.2">
      <c r="A45" s="25"/>
      <c r="B45" s="26"/>
      <c r="C45" s="47"/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27"/>
    </row>
    <row r="46" spans="1:19" s="69" customFormat="1" ht="20.100000000000001" customHeight="1" x14ac:dyDescent="0.25">
      <c r="A46" s="2" t="s">
        <v>32</v>
      </c>
      <c r="B46" s="5"/>
      <c r="C46" s="68"/>
      <c r="D46" s="68"/>
      <c r="E46" s="68"/>
      <c r="F46" s="68"/>
      <c r="G46" s="68"/>
      <c r="H46" s="68"/>
      <c r="I46" s="68"/>
      <c r="J46" s="68"/>
      <c r="K46" s="76"/>
      <c r="L46" s="68"/>
      <c r="M46" s="68"/>
      <c r="N46" s="68"/>
      <c r="O46" s="68"/>
      <c r="P46" s="68"/>
      <c r="Q46" s="68"/>
      <c r="R46" s="68"/>
      <c r="S46" s="3" t="s">
        <v>33</v>
      </c>
    </row>
    <row r="47" spans="1:19" ht="20.100000000000001" customHeight="1" x14ac:dyDescent="0.15">
      <c r="A47" s="6" t="s">
        <v>102</v>
      </c>
      <c r="S47" s="66" t="s">
        <v>103</v>
      </c>
    </row>
    <row r="48" spans="1:19" s="4" customFormat="1" ht="15.75" customHeight="1" x14ac:dyDescent="0.25">
      <c r="A48" s="59" t="s">
        <v>35</v>
      </c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58" t="s">
        <v>97</v>
      </c>
    </row>
  </sheetData>
  <mergeCells count="7">
    <mergeCell ref="A2:S2"/>
    <mergeCell ref="A3:S3"/>
    <mergeCell ref="A4:S4"/>
    <mergeCell ref="A5:S5"/>
    <mergeCell ref="A6:A7"/>
    <mergeCell ref="S6:S7"/>
    <mergeCell ref="B6:B7"/>
  </mergeCells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2019-06-11T04:20:09Z</cp:lastPrinted>
  <dcterms:created xsi:type="dcterms:W3CDTF">2014-05-21T04:36:27Z</dcterms:created>
  <dcterms:modified xsi:type="dcterms:W3CDTF">2019-06-11T04:20:21Z</dcterms:modified>
</cp:coreProperties>
</file>