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.GEOGRAPHY\"/>
    </mc:Choice>
  </mc:AlternateContent>
  <bookViews>
    <workbookView xWindow="0" yWindow="0" windowWidth="28800" windowHeight="12030" tabRatio="729"/>
  </bookViews>
  <sheets>
    <sheet name="1.5" sheetId="5" r:id="rId1"/>
  </sheets>
  <externalReferences>
    <externalReference r:id="rId2"/>
    <externalReference r:id="rId3"/>
  </externalReferences>
  <definedNames>
    <definedName name="_xlnm.Print_Area" localSheetId="0">'1.5'!$A$1:$J$290</definedName>
    <definedName name="_xlnm.Print_Titles" localSheetId="0">'1.5'!$4:$6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2" i="5" l="1"/>
  <c r="F242" i="5"/>
  <c r="G241" i="5"/>
  <c r="F241" i="5"/>
  <c r="G240" i="5"/>
  <c r="F240" i="5"/>
  <c r="G239" i="5"/>
  <c r="F239" i="5"/>
  <c r="G238" i="5"/>
  <c r="F238" i="5"/>
  <c r="G234" i="5"/>
  <c r="F234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69" i="5"/>
  <c r="F169" i="5"/>
  <c r="G168" i="5"/>
  <c r="F168" i="5"/>
  <c r="G167" i="5"/>
  <c r="F167" i="5"/>
  <c r="G166" i="5"/>
  <c r="F166" i="5"/>
  <c r="G165" i="5"/>
  <c r="F165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2" i="5"/>
  <c r="F152" i="5"/>
  <c r="G151" i="5"/>
  <c r="F151" i="5"/>
  <c r="G150" i="5"/>
  <c r="F150" i="5"/>
  <c r="G149" i="5"/>
  <c r="F149" i="5"/>
  <c r="G148" i="5"/>
  <c r="F148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0" i="5"/>
  <c r="F110" i="5"/>
  <c r="G109" i="5"/>
  <c r="F109" i="5"/>
  <c r="G108" i="5"/>
  <c r="F108" i="5"/>
  <c r="G107" i="5"/>
  <c r="F107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9" i="5"/>
  <c r="F9" i="5"/>
  <c r="G8" i="5"/>
  <c r="F8" i="5"/>
  <c r="G7" i="5"/>
  <c r="F7" i="5"/>
</calcChain>
</file>

<file path=xl/sharedStrings.xml><?xml version="1.0" encoding="utf-8"?>
<sst xmlns="http://schemas.openxmlformats.org/spreadsheetml/2006/main" count="497" uniqueCount="457">
  <si>
    <t>Locality</t>
  </si>
  <si>
    <t>Male'</t>
  </si>
  <si>
    <t>elWm</t>
  </si>
  <si>
    <t>cnwt</t>
  </si>
  <si>
    <t>ތާވަލު 1.5: ރަށްރަށުގެ އާބާދީ، އާބާދީ ބައިބޯމިން އަދި މާލެ އާއި އަތޮޅުގެ ވެރިކަންކުރާ ރަށާއި ހުރި ދުރުމިން</t>
  </si>
  <si>
    <t>Table 1.5 :  POPULATION , LAND AREA, POPULATION DENSITY AND DISTANCE TO MALE' AND ATOLL CAPITALS, BY LOCALITY</t>
  </si>
  <si>
    <t>މީހުން ދިރިއުޅޭ ރަށްރަށުގެ ބޮޑުމިން (ހެކްޓަރުން)</t>
  </si>
  <si>
    <t xml:space="preserve"> Population (census 2014)</t>
  </si>
  <si>
    <t xml:space="preserve">Population Density  (population per  hectar)
</t>
  </si>
  <si>
    <t>މާލެއާއި ހުރި 
ދުރުމިން (ކިލޯ މީޓަރުން)</t>
  </si>
  <si>
    <t>Land Area ( in hectares )</t>
  </si>
  <si>
    <t>Resident Population</t>
  </si>
  <si>
    <t>Resident Maldivian</t>
  </si>
  <si>
    <t xml:space="preserve">       Distance to Male' ( in km) </t>
  </si>
  <si>
    <t>Villingili</t>
  </si>
  <si>
    <t>iligniliv</t>
  </si>
  <si>
    <t>Hulhumale'</t>
  </si>
  <si>
    <t>elWmuLuh</t>
  </si>
  <si>
    <t>North Thiladhunmathi (HA)</t>
  </si>
  <si>
    <t xml:space="preserve">       (ah) iruburutua Itwmcnudwlit</t>
  </si>
  <si>
    <t>Baarah</t>
  </si>
  <si>
    <t>cSwrWb</t>
  </si>
  <si>
    <t>Dhidhdhoo *</t>
  </si>
  <si>
    <t>* 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</si>
  <si>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</si>
  <si>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</si>
  <si>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</si>
  <si>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</si>
  <si>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</si>
  <si>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</si>
  <si>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</si>
  <si>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</si>
  <si>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</si>
  <si>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</si>
  <si>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</si>
  <si>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</si>
  <si>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</si>
  <si>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</si>
  <si>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</si>
  <si>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</si>
  <si>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Thurakunu</t>
  </si>
  <si>
    <t>unukWrut</t>
  </si>
  <si>
    <t>Uligamu</t>
  </si>
  <si>
    <t>umwgilua</t>
  </si>
  <si>
    <t>Utheemu</t>
  </si>
  <si>
    <t>umItua</t>
  </si>
  <si>
    <t>Vashafaru</t>
  </si>
  <si>
    <t>urwfwSwv</t>
  </si>
  <si>
    <t>South Thiladhunmathi (HDh)</t>
  </si>
  <si>
    <t>(dh) irubunuked Itwmcnudwlit</t>
  </si>
  <si>
    <t>Finey</t>
  </si>
  <si>
    <t>Enif</t>
  </si>
  <si>
    <t xml:space="preserve">Hanimaadhoo </t>
  </si>
  <si>
    <t>UdWminwh</t>
  </si>
  <si>
    <t>Hirimaradhoo</t>
  </si>
  <si>
    <t>Udwrwmirih</t>
  </si>
  <si>
    <t>Kulhudhuffushi *</t>
  </si>
  <si>
    <t>* iSufcauduLuk</t>
  </si>
  <si>
    <t>Kumundhoo</t>
  </si>
  <si>
    <t>Udcnumuk</t>
  </si>
  <si>
    <t>Kuribi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</si>
  <si>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</si>
  <si>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</si>
  <si>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</si>
  <si>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</si>
  <si>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</si>
  <si>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</si>
  <si>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</si>
  <si>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</si>
  <si>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</si>
  <si>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</si>
  <si>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</si>
  <si>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</si>
  <si>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</si>
  <si>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</si>
  <si>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</si>
  <si>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</si>
  <si>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</si>
  <si>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</si>
  <si>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</si>
  <si>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</si>
  <si>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</si>
  <si>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</si>
  <si>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</si>
  <si>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</si>
  <si>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</si>
  <si>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</si>
  <si>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* Udwnuf</t>
  </si>
  <si>
    <t>Goidhoo</t>
  </si>
  <si>
    <t>Udiaog</t>
  </si>
  <si>
    <t>Kaditheemu</t>
  </si>
  <si>
    <t>umItiDnwk</t>
  </si>
  <si>
    <t>Komandoo</t>
  </si>
  <si>
    <t>UDcnwmok</t>
  </si>
  <si>
    <t>Lhaimagu</t>
  </si>
  <si>
    <t>ugwmiawL</t>
  </si>
  <si>
    <t>Maaugoodhoo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</si>
  <si>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</si>
  <si>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</si>
  <si>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</si>
  <si>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</si>
  <si>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</si>
  <si>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</si>
  <si>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</si>
  <si>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</si>
  <si>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</si>
  <si>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>Table 1.5 (continued)</t>
  </si>
  <si>
    <t>ތާވަލް 1.5 (ކުރިއާއިގުޅޭ)</t>
  </si>
  <si>
    <t xml:space="preserve">South Miladhunmadulu (N) </t>
  </si>
  <si>
    <t>(n) irubunuked uluDwmcnudwlim</t>
  </si>
  <si>
    <t>Fodhdhoo</t>
  </si>
  <si>
    <t>Udcaof</t>
  </si>
  <si>
    <t>Hebadhoo</t>
  </si>
  <si>
    <t>Udwbneh</t>
  </si>
  <si>
    <t>Holhudhoo</t>
  </si>
  <si>
    <t>UduLoh</t>
  </si>
  <si>
    <t>Kedhikolhudhoo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</si>
  <si>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</si>
  <si>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</si>
  <si>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</si>
  <si>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</si>
  <si>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</si>
  <si>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</si>
  <si>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</si>
  <si>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</si>
  <si>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</si>
  <si>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</si>
  <si>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</si>
  <si>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</si>
  <si>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</si>
  <si>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</si>
  <si>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</si>
  <si>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</si>
  <si>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</si>
  <si>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</si>
  <si>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</si>
  <si>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</si>
  <si>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</si>
  <si>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</si>
  <si>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</si>
  <si>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</si>
  <si>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</si>
  <si>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</si>
  <si>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</si>
  <si>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</si>
  <si>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</si>
  <si>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</si>
  <si>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</si>
  <si>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</si>
  <si>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</si>
  <si>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</si>
  <si>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</si>
  <si>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</si>
  <si>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</si>
  <si>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</si>
  <si>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</si>
  <si>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</si>
  <si>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</si>
  <si>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</si>
  <si>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</si>
  <si>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</si>
  <si>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</si>
  <si>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</si>
  <si>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* urWfUgnua</t>
  </si>
  <si>
    <t>Vaadhoo</t>
  </si>
  <si>
    <t>UdWv</t>
  </si>
  <si>
    <t>Dhuvaafaru</t>
  </si>
  <si>
    <t>-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</si>
  <si>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</si>
  <si>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</si>
  <si>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</si>
  <si>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</si>
  <si>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</si>
  <si>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</si>
  <si>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</si>
  <si>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</si>
  <si>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</si>
  <si>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</si>
  <si>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</si>
  <si>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</si>
  <si>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</si>
  <si>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</si>
  <si>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</si>
  <si>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</si>
  <si>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</si>
  <si>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</si>
  <si>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</si>
  <si>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</si>
  <si>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</si>
  <si>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</si>
  <si>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</si>
  <si>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</si>
  <si>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</si>
  <si>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</si>
  <si>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</si>
  <si>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</si>
  <si>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</si>
  <si>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</si>
  <si>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</si>
  <si>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</si>
  <si>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</si>
  <si>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</si>
  <si>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</si>
  <si>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</si>
  <si>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</si>
  <si>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</si>
  <si>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</si>
  <si>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</si>
  <si>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</si>
  <si>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</si>
  <si>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</si>
  <si>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</si>
  <si>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</si>
  <si>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</si>
  <si>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</si>
  <si>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</si>
  <si>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</si>
  <si>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</si>
  <si>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</si>
  <si>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</si>
  <si>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</si>
  <si>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</si>
  <si>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 *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</si>
  <si>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</si>
  <si>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</si>
  <si>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</si>
  <si>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</si>
  <si>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</si>
  <si>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</si>
  <si>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</si>
  <si>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</si>
  <si>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</si>
  <si>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</si>
  <si>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</si>
  <si>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 *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</si>
  <si>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</si>
  <si>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</si>
  <si>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</si>
  <si>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</si>
  <si>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</si>
  <si>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</si>
  <si>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</si>
  <si>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</si>
  <si>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UdImWNcnwh</t>
  </si>
  <si>
    <t>Omadhoo</t>
  </si>
  <si>
    <t>Udwmoa</t>
  </si>
  <si>
    <t>Kuburudhoo</t>
  </si>
  <si>
    <t>Udurubnuk</t>
  </si>
  <si>
    <t>Dhagethi</t>
  </si>
  <si>
    <t>itegnwd</t>
  </si>
  <si>
    <t>Dhidhdhoo</t>
  </si>
  <si>
    <t>Udcaid</t>
  </si>
  <si>
    <t xml:space="preserve">Dhigurah </t>
  </si>
  <si>
    <t>cSwrugid</t>
  </si>
  <si>
    <t>Fenfushi</t>
  </si>
  <si>
    <t>iSufcnef</t>
  </si>
  <si>
    <t>Maamigili</t>
  </si>
  <si>
    <t>iligimWm</t>
  </si>
  <si>
    <t>Mahibadhoo *</t>
  </si>
  <si>
    <t>* Udwbihwm</t>
  </si>
  <si>
    <t>Mandhoo</t>
  </si>
  <si>
    <t>Udcnwm</t>
  </si>
  <si>
    <t>Felidhu Atoll (V)</t>
  </si>
  <si>
    <t>(v) uLotwa edilef</t>
  </si>
  <si>
    <t>Felidhoo *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</si>
  <si>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</si>
  <si>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</si>
  <si>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</si>
  <si>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</si>
  <si>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</si>
  <si>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</si>
  <si>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</si>
  <si>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</si>
  <si>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</si>
  <si>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</si>
  <si>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</si>
  <si>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Dhiggaru</t>
  </si>
  <si>
    <t>urwgcaid</t>
  </si>
  <si>
    <t xml:space="preserve">Kolhufushi </t>
  </si>
  <si>
    <t>iSufuLok</t>
  </si>
  <si>
    <t>Mulah</t>
  </si>
  <si>
    <t>cawlum</t>
  </si>
  <si>
    <t>Muli *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</si>
  <si>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</si>
  <si>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</si>
  <si>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</si>
  <si>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</si>
  <si>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</si>
  <si>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</si>
  <si>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</si>
  <si>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</si>
  <si>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</si>
  <si>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Biledhdhoo</t>
  </si>
  <si>
    <t>Udcaelib</t>
  </si>
  <si>
    <t>Dharaboodhoo</t>
  </si>
  <si>
    <t>UdUbwrwd</t>
  </si>
  <si>
    <t>Feeali</t>
  </si>
  <si>
    <t>ilwaIf</t>
  </si>
  <si>
    <t>Nilandhoo *</t>
  </si>
  <si>
    <t>* Udcnwlin</t>
  </si>
  <si>
    <t>South Nilandhe Atoll (Dh)</t>
  </si>
  <si>
    <t>(d) irubunuked uLotwaedcnwlin</t>
  </si>
  <si>
    <t>Bandidhoo</t>
  </si>
  <si>
    <t>UdiDnwb</t>
  </si>
  <si>
    <t>Hulhudheli</t>
  </si>
  <si>
    <t>ileduLuh</t>
  </si>
  <si>
    <t>Kudahuvadhoo *</t>
  </si>
  <si>
    <t>* UdwvuhwDuk</t>
  </si>
  <si>
    <t>Maaeboodhoo</t>
  </si>
  <si>
    <t>UdUbneaWm</t>
  </si>
  <si>
    <t>Rinbudhoo</t>
  </si>
  <si>
    <t>Udubnir</t>
  </si>
  <si>
    <t>Kolhumadulu (Th)</t>
  </si>
  <si>
    <t>(t) uluDwmuLok</t>
  </si>
  <si>
    <t>Buruni</t>
  </si>
  <si>
    <t>inurub</t>
  </si>
  <si>
    <t>Vilufushi</t>
  </si>
  <si>
    <t>iSufuliv</t>
  </si>
  <si>
    <t>Madifushi</t>
  </si>
  <si>
    <t>iSufiDwm</t>
  </si>
  <si>
    <t>Dhiyamigili</t>
  </si>
  <si>
    <t>iligimwyid</t>
  </si>
  <si>
    <t>Kadoodhoo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</si>
  <si>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</si>
  <si>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</si>
  <si>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</si>
  <si>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</si>
  <si>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</si>
  <si>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</si>
  <si>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</si>
  <si>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</si>
  <si>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</si>
  <si>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</si>
  <si>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* UDcnwmEv</t>
  </si>
  <si>
    <t>Kinbidhoo</t>
  </si>
  <si>
    <t>Udibnik</t>
  </si>
  <si>
    <t>Hadhdhunmathi (L)</t>
  </si>
  <si>
    <t>(l) itwmcnudcawh</t>
  </si>
  <si>
    <t>Dhabidhoo</t>
  </si>
  <si>
    <t>Udibnwd</t>
  </si>
  <si>
    <t>Fonadhoo *</t>
  </si>
  <si>
    <t>* Udwnof</t>
  </si>
  <si>
    <t>Gaadhoo</t>
  </si>
  <si>
    <t>UdWg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</si>
  <si>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</si>
  <si>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</si>
  <si>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</si>
  <si>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</si>
  <si>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</si>
  <si>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</si>
  <si>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</si>
  <si>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</si>
  <si>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</si>
  <si>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</si>
  <si>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</si>
  <si>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</si>
  <si>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</si>
  <si>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</si>
  <si>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</si>
  <si>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</si>
  <si>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Kalaidhoo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</si>
  <si>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</si>
  <si>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</si>
  <si>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</si>
  <si>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</si>
  <si>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</si>
  <si>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</si>
  <si>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</si>
  <si>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</si>
  <si>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</si>
  <si>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UduLuhuDnwk</t>
  </si>
  <si>
    <t>Kondey</t>
  </si>
  <si>
    <t>EDnok</t>
  </si>
  <si>
    <t>Kolamaafushi</t>
  </si>
  <si>
    <t>iSufWmwlok</t>
  </si>
  <si>
    <t>Nilandhoo</t>
  </si>
  <si>
    <t>Udcnwlin</t>
  </si>
  <si>
    <t>Viligili *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</si>
  <si>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</si>
  <si>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</si>
  <si>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</si>
  <si>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</si>
  <si>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</si>
  <si>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</si>
  <si>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</si>
  <si>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>Gadhdhoo</t>
  </si>
  <si>
    <t>Udcawg</t>
  </si>
  <si>
    <t>Hoadedhdhoo</t>
  </si>
  <si>
    <t>UdcaeDOh</t>
  </si>
  <si>
    <t>Madeveli</t>
  </si>
  <si>
    <t>ilevwDwm</t>
  </si>
  <si>
    <t>Nadallaa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</si>
  <si>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</si>
  <si>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</si>
  <si>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</si>
  <si>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</si>
  <si>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</si>
  <si>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</si>
  <si>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</si>
  <si>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</si>
  <si>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</si>
  <si>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</si>
  <si>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</si>
  <si>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</si>
  <si>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</si>
  <si>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</si>
  <si>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</si>
  <si>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</si>
  <si>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</si>
  <si>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</si>
  <si>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</si>
  <si>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</si>
  <si>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 xml:space="preserve">Note: </t>
  </si>
  <si>
    <t>* Atoll capital</t>
  </si>
  <si>
    <t>cSwr Wrukcnwkirev uLotwa  *</t>
  </si>
  <si>
    <t>The land area of the islands are as of  2016. For Hulhumale, Farukolhufushi area is not included.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</si>
  <si>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</si>
  <si>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</si>
  <si>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</si>
  <si>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</si>
  <si>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</si>
  <si>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11"/>
        <rFont val="Calibri"/>
        <family val="2"/>
        <scheme val="minor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</si>
  <si>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</si>
  <si>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</si>
  <si>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11"/>
        <color rgb="FFFF0000"/>
        <rFont val="Calibri"/>
        <family val="2"/>
        <scheme val="minor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</si>
  <si>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</si>
  <si>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</si>
  <si>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</si>
  <si>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</si>
  <si>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</si>
  <si>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</si>
  <si>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</si>
  <si>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</si>
  <si>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</si>
  <si>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</si>
  <si>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</si>
  <si>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</si>
  <si>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</si>
  <si>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</si>
  <si>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</si>
  <si>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</si>
  <si>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</si>
  <si>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</si>
  <si>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 xml:space="preserve">From 2016 onwards L.Gaadhoo population  reside in L.Fonadhoo </t>
  </si>
  <si>
    <t>GA</t>
  </si>
  <si>
    <t>Dhiyadhoo population is residing in GA.Gemanafushi since 2010</t>
  </si>
  <si>
    <t xml:space="preserve"> Gemendhoo population relocated to Dh. Kudahuvadhoo due to Tsunami  (2004)</t>
  </si>
  <si>
    <t>Source: National Bureau of Statistics</t>
  </si>
  <si>
    <t>N. Holhudhoo</t>
  </si>
  <si>
    <t>K. Maafushi</t>
  </si>
  <si>
    <t xml:space="preserve">B. Eydhafushi </t>
  </si>
  <si>
    <t>K.Gulhi</t>
  </si>
  <si>
    <t>ADh. Mahibadhoo</t>
  </si>
  <si>
    <t>M. Dhiggaru</t>
  </si>
  <si>
    <t>Sh.Komandoo</t>
  </si>
  <si>
    <t>Lh. Hinnavaru</t>
  </si>
  <si>
    <t>VilliMale'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</si>
</sst>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7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Faruma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_Randhoo"/>
    </font>
    <font>
      <sz val="12"/>
      <name val="Arial"/>
      <family val="2"/>
    </font>
    <font>
      <b/>
      <sz val="11"/>
      <name val="A_Reethi"/>
      <charset val="1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color theme="1"/>
      <name val="Times New Roman"/>
      <family val="1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46">
    <xf numFmtId="0" fontId="0" fillId="0" borderId="0" xfId="0"/>
    <xf numFmtId="0" fontId="11" fillId="2" borderId="2" xfId="1" applyFont="1" applyFill="1" applyBorder="1" applyAlignment="1" applyProtection="1">
      <alignment horizontal="center" vertical="center"/>
      <protection hidden="1"/>
    </xf>
    <xf numFmtId="0" fontId="12" fillId="2" borderId="2" xfId="1" applyFont="1" applyFill="1" applyBorder="1" applyProtection="1">
      <protection hidden="1"/>
    </xf>
    <xf numFmtId="0" fontId="11" fillId="2" borderId="3" xfId="1" applyFont="1" applyFill="1" applyBorder="1" applyAlignment="1" applyProtection="1">
      <alignment horizontal="center"/>
      <protection hidden="1"/>
    </xf>
    <xf numFmtId="0" fontId="11" fillId="2" borderId="3" xfId="1" applyFont="1" applyFill="1" applyBorder="1" applyAlignment="1" applyProtection="1">
      <alignment horizontal="center" vertical="top"/>
      <protection hidden="1"/>
    </xf>
    <xf numFmtId="0" fontId="11" fillId="2" borderId="4" xfId="1" applyFont="1" applyFill="1" applyBorder="1" applyProtection="1">
      <protection hidden="1"/>
    </xf>
    <xf numFmtId="0" fontId="11" fillId="2" borderId="5" xfId="1" applyFont="1" applyFill="1" applyBorder="1" applyProtection="1">
      <protection hidden="1"/>
    </xf>
    <xf numFmtId="3" fontId="11" fillId="2" borderId="5" xfId="2" applyNumberFormat="1" applyFont="1" applyFill="1" applyBorder="1" applyProtection="1">
      <protection hidden="1"/>
    </xf>
    <xf numFmtId="3" fontId="11" fillId="2" borderId="9" xfId="2" applyNumberFormat="1" applyFont="1" applyFill="1" applyBorder="1" applyAlignment="1" applyProtection="1">
      <alignment horizontal="center" vertical="center"/>
      <protection hidden="1"/>
    </xf>
    <xf numFmtId="3" fontId="13" fillId="2" borderId="11" xfId="2" applyNumberFormat="1" applyFont="1" applyFill="1" applyBorder="1" applyAlignment="1" applyProtection="1">
      <alignment horizontal="right" vertical="center" wrapText="1" readingOrder="2"/>
      <protection hidden="1"/>
    </xf>
    <xf numFmtId="3" fontId="11" fillId="2" borderId="17" xfId="2" applyNumberFormat="1" applyFont="1" applyFill="1" applyBorder="1" applyAlignment="1" applyProtection="1">
      <alignment horizontal="center" vertical="center"/>
      <protection hidden="1"/>
    </xf>
    <xf numFmtId="3" fontId="6" fillId="2" borderId="17" xfId="2" applyNumberFormat="1" applyFont="1" applyFill="1" applyBorder="1" applyAlignment="1" applyProtection="1">
      <alignment horizontal="right" vertical="center" wrapText="1"/>
      <protection hidden="1"/>
    </xf>
    <xf numFmtId="1" fontId="6" fillId="2" borderId="18" xfId="2" applyNumberFormat="1" applyFont="1" applyFill="1" applyBorder="1" applyAlignment="1" applyProtection="1">
      <alignment horizontal="right" vertical="center" wrapText="1"/>
      <protection hidden="1"/>
    </xf>
    <xf numFmtId="1" fontId="6" fillId="2" borderId="19" xfId="2" applyNumberFormat="1" applyFont="1" applyFill="1" applyBorder="1" applyAlignment="1" applyProtection="1">
      <alignment horizontal="right" vertical="center" wrapText="1"/>
      <protection hidden="1"/>
    </xf>
    <xf numFmtId="1" fontId="6" fillId="2" borderId="17" xfId="2" applyNumberFormat="1" applyFont="1" applyFill="1" applyBorder="1" applyAlignment="1" applyProtection="1">
      <alignment horizontal="right" vertical="center" wrapText="1"/>
      <protection hidden="1"/>
    </xf>
    <xf numFmtId="4" fontId="14" fillId="2" borderId="20" xfId="1" applyNumberFormat="1" applyFont="1" applyFill="1" applyBorder="1" applyAlignment="1" applyProtection="1">
      <alignment vertical="center" wrapText="1"/>
      <protection hidden="1"/>
    </xf>
    <xf numFmtId="4" fontId="14" fillId="2" borderId="21" xfId="1" applyNumberFormat="1" applyFont="1" applyFill="1" applyBorder="1" applyAlignment="1" applyProtection="1">
      <alignment vertical="center" wrapText="1"/>
      <protection hidden="1"/>
    </xf>
    <xf numFmtId="3" fontId="8" fillId="2" borderId="22" xfId="2" applyNumberFormat="1" applyFont="1" applyFill="1" applyBorder="1" applyAlignment="1" applyProtection="1">
      <alignment horizontal="center" vertical="center"/>
      <protection hidden="1"/>
    </xf>
    <xf numFmtId="3" fontId="15" fillId="2" borderId="22" xfId="2" applyNumberFormat="1" applyFont="1" applyFill="1" applyBorder="1" applyAlignment="1" applyProtection="1">
      <alignment vertical="center"/>
      <protection hidden="1"/>
    </xf>
    <xf numFmtId="164" fontId="8" fillId="2" borderId="22" xfId="1" applyNumberFormat="1" applyFont="1" applyFill="1" applyBorder="1" applyAlignment="1" applyProtection="1">
      <alignment horizontal="right" vertical="center"/>
      <protection hidden="1"/>
    </xf>
    <xf numFmtId="3" fontId="8" fillId="2" borderId="0" xfId="1" applyNumberFormat="1" applyFont="1" applyFill="1" applyBorder="1" applyAlignment="1" applyProtection="1">
      <alignment horizontal="right" vertical="center"/>
      <protection hidden="1"/>
    </xf>
    <xf numFmtId="3" fontId="8" fillId="2" borderId="23" xfId="1" applyNumberFormat="1" applyFont="1" applyFill="1" applyBorder="1" applyAlignment="1" applyProtection="1">
      <alignment horizontal="right" vertical="center"/>
      <protection hidden="1"/>
    </xf>
    <xf numFmtId="164" fontId="8" fillId="2" borderId="0" xfId="1" applyNumberFormat="1" applyFont="1" applyFill="1" applyBorder="1" applyAlignment="1" applyProtection="1">
      <alignment horizontal="right" vertical="center"/>
      <protection hidden="1"/>
    </xf>
    <xf numFmtId="164" fontId="5" fillId="2" borderId="22" xfId="2" applyNumberFormat="1" applyFont="1" applyFill="1" applyBorder="1" applyAlignment="1" applyProtection="1">
      <alignment horizontal="right" vertical="center"/>
      <protection hidden="1"/>
    </xf>
    <xf numFmtId="3" fontId="3" fillId="2" borderId="22" xfId="2" applyNumberFormat="1" applyFont="1" applyFill="1" applyBorder="1" applyAlignment="1" applyProtection="1">
      <alignment horizontal="right" vertical="center"/>
      <protection hidden="1"/>
    </xf>
    <xf numFmtId="4" fontId="14" fillId="2" borderId="24" xfId="1" applyNumberFormat="1" applyFont="1" applyFill="1" applyBorder="1" applyAlignment="1" applyProtection="1">
      <alignment vertical="center" wrapText="1"/>
      <protection hidden="1"/>
    </xf>
    <xf numFmtId="4" fontId="14" fillId="2" borderId="25" xfId="1" applyNumberFormat="1" applyFont="1" applyFill="1" applyBorder="1" applyAlignment="1" applyProtection="1">
      <alignment vertical="center" wrapText="1"/>
      <protection hidden="1"/>
    </xf>
    <xf numFmtId="3" fontId="8" fillId="2" borderId="5" xfId="2" applyNumberFormat="1" applyFont="1" applyFill="1" applyBorder="1" applyAlignment="1" applyProtection="1">
      <alignment horizontal="center" vertical="center"/>
      <protection hidden="1"/>
    </xf>
    <xf numFmtId="3" fontId="16" fillId="2" borderId="5" xfId="2" applyNumberFormat="1" applyFont="1" applyFill="1" applyBorder="1" applyAlignment="1" applyProtection="1">
      <alignment vertical="center"/>
      <protection hidden="1"/>
    </xf>
    <xf numFmtId="164" fontId="8" fillId="2" borderId="5" xfId="1" applyNumberFormat="1" applyFont="1" applyFill="1" applyBorder="1" applyAlignment="1" applyProtection="1">
      <alignment horizontal="right" vertical="center"/>
      <protection hidden="1"/>
    </xf>
    <xf numFmtId="3" fontId="17" fillId="2" borderId="5" xfId="2" applyNumberFormat="1" applyFont="1" applyFill="1" applyBorder="1" applyAlignment="1" applyProtection="1">
      <alignment horizontal="right" vertical="center"/>
      <protection hidden="1"/>
    </xf>
    <xf numFmtId="3" fontId="8" fillId="2" borderId="26" xfId="1" applyNumberFormat="1" applyFont="1" applyFill="1" applyBorder="1" applyAlignment="1" applyProtection="1">
      <alignment horizontal="right" vertical="center"/>
      <protection hidden="1"/>
    </xf>
    <xf numFmtId="164" fontId="8" fillId="2" borderId="4" xfId="1" applyNumberFormat="1" applyFont="1" applyFill="1" applyBorder="1" applyAlignment="1" applyProtection="1">
      <alignment horizontal="right" vertical="center"/>
      <protection hidden="1"/>
    </xf>
    <xf numFmtId="3" fontId="15" fillId="2" borderId="5" xfId="2" applyNumberFormat="1" applyFont="1" applyFill="1" applyBorder="1" applyAlignment="1" applyProtection="1">
      <alignment vertical="center"/>
      <protection hidden="1"/>
    </xf>
    <xf numFmtId="164" fontId="5" fillId="2" borderId="4" xfId="2" applyNumberFormat="1" applyFont="1" applyFill="1" applyBorder="1" applyAlignment="1" applyProtection="1">
      <alignment horizontal="right" vertical="center"/>
      <protection hidden="1"/>
    </xf>
    <xf numFmtId="164" fontId="5" fillId="2" borderId="5" xfId="2" applyNumberFormat="1" applyFont="1" applyFill="1" applyBorder="1" applyAlignment="1" applyProtection="1">
      <alignment horizontal="right" vertical="center"/>
      <protection hidden="1"/>
    </xf>
    <xf numFmtId="3" fontId="3" fillId="2" borderId="5" xfId="2" applyNumberFormat="1" applyFont="1" applyFill="1" applyBorder="1" applyAlignment="1" applyProtection="1">
      <alignment horizontal="right" vertical="center"/>
      <protection hidden="1"/>
    </xf>
    <xf numFmtId="0" fontId="16" fillId="2" borderId="5" xfId="1" applyFont="1" applyFill="1" applyBorder="1" applyAlignment="1" applyProtection="1">
      <alignment vertical="center"/>
      <protection hidden="1"/>
    </xf>
    <xf numFmtId="3" fontId="8" fillId="2" borderId="5" xfId="1" applyNumberFormat="1" applyFont="1" applyFill="1" applyBorder="1" applyAlignment="1" applyProtection="1">
      <alignment horizontal="right" vertical="center"/>
      <protection hidden="1"/>
    </xf>
    <xf numFmtId="3" fontId="8" fillId="2" borderId="27" xfId="1" applyNumberFormat="1" applyFont="1" applyFill="1" applyBorder="1" applyAlignment="1" applyProtection="1">
      <alignment horizontal="right" vertical="center"/>
      <protection hidden="1"/>
    </xf>
    <xf numFmtId="3" fontId="5" fillId="2" borderId="5" xfId="2" applyNumberFormat="1" applyFont="1" applyFill="1" applyBorder="1" applyAlignment="1" applyProtection="1">
      <alignment horizontal="right" vertical="center"/>
      <protection hidden="1"/>
    </xf>
    <xf numFmtId="3" fontId="5" fillId="2" borderId="27" xfId="2" applyNumberFormat="1" applyFont="1" applyFill="1" applyBorder="1" applyAlignment="1" applyProtection="1">
      <alignment horizontal="right" vertical="center"/>
      <protection hidden="1"/>
    </xf>
    <xf numFmtId="3" fontId="17" fillId="2" borderId="5" xfId="2" applyNumberFormat="1" applyFont="1" applyFill="1" applyBorder="1" applyAlignment="1" applyProtection="1">
      <alignment horizontal="right"/>
      <protection hidden="1"/>
    </xf>
    <xf numFmtId="0" fontId="16" fillId="2" borderId="22" xfId="1" applyFont="1" applyFill="1" applyBorder="1" applyAlignment="1" applyProtection="1">
      <alignment vertical="center"/>
      <protection hidden="1"/>
    </xf>
    <xf numFmtId="3" fontId="17" fillId="2" borderId="22" xfId="2" applyNumberFormat="1" applyFont="1" applyFill="1" applyBorder="1" applyAlignment="1" applyProtection="1">
      <alignment horizontal="right" vertical="center"/>
      <protection hidden="1"/>
    </xf>
    <xf numFmtId="164" fontId="8" fillId="2" borderId="28" xfId="1" applyNumberFormat="1" applyFont="1" applyFill="1" applyBorder="1" applyAlignment="1" applyProtection="1">
      <alignment horizontal="right" vertical="center"/>
      <protection hidden="1"/>
    </xf>
    <xf numFmtId="3" fontId="8" fillId="2" borderId="29" xfId="1" applyNumberFormat="1" applyFont="1" applyFill="1" applyBorder="1" applyAlignment="1" applyProtection="1">
      <alignment horizontal="right" vertical="center"/>
      <protection hidden="1"/>
    </xf>
    <xf numFmtId="164" fontId="8" fillId="2" borderId="1" xfId="1" applyNumberFormat="1" applyFont="1" applyFill="1" applyBorder="1" applyAlignment="1" applyProtection="1">
      <alignment horizontal="right" vertical="center"/>
      <protection hidden="1"/>
    </xf>
    <xf numFmtId="3" fontId="8" fillId="2" borderId="30" xfId="2" applyNumberFormat="1" applyFont="1" applyFill="1" applyBorder="1" applyAlignment="1" applyProtection="1">
      <alignment horizontal="center" vertical="center"/>
      <protection hidden="1"/>
    </xf>
    <xf numFmtId="0" fontId="15" fillId="2" borderId="30" xfId="1" applyFont="1" applyFill="1" applyBorder="1" applyAlignment="1" applyProtection="1">
      <alignment vertical="center"/>
      <protection hidden="1"/>
    </xf>
    <xf numFmtId="164" fontId="5" fillId="2" borderId="30" xfId="1" applyNumberFormat="1" applyFont="1" applyFill="1" applyBorder="1" applyAlignment="1" applyProtection="1">
      <alignment horizontal="right" vertical="center"/>
      <protection hidden="1"/>
    </xf>
    <xf numFmtId="3" fontId="13" fillId="2" borderId="30" xfId="2" applyNumberFormat="1" applyFont="1" applyFill="1" applyBorder="1" applyAlignment="1" applyProtection="1">
      <alignment horizontal="right" vertical="center"/>
      <protection hidden="1"/>
    </xf>
    <xf numFmtId="164" fontId="8" fillId="2" borderId="5" xfId="2" applyNumberFormat="1" applyFont="1" applyFill="1" applyBorder="1" applyAlignment="1" applyProtection="1">
      <alignment horizontal="right" vertical="center"/>
      <protection hidden="1"/>
    </xf>
    <xf numFmtId="164" fontId="7" fillId="2" borderId="26" xfId="1" applyNumberFormat="1" applyFont="1" applyFill="1" applyBorder="1" applyAlignment="1" applyProtection="1">
      <alignment horizontal="right" vertical="center"/>
      <protection hidden="1"/>
    </xf>
    <xf numFmtId="3" fontId="18" fillId="2" borderId="26" xfId="2" applyNumberFormat="1" applyFont="1" applyFill="1" applyBorder="1" applyAlignment="1" applyProtection="1">
      <alignment horizontal="right" vertical="center"/>
      <protection hidden="1"/>
    </xf>
    <xf numFmtId="3" fontId="8" fillId="2" borderId="31" xfId="2" applyNumberFormat="1" applyFont="1" applyFill="1" applyBorder="1" applyAlignment="1" applyProtection="1">
      <alignment horizontal="center" vertical="center"/>
      <protection hidden="1"/>
    </xf>
    <xf numFmtId="0" fontId="16" fillId="2" borderId="31" xfId="1" applyFont="1" applyFill="1" applyBorder="1" applyAlignment="1" applyProtection="1">
      <alignment vertical="center"/>
      <protection hidden="1"/>
    </xf>
    <xf numFmtId="164" fontId="8" fillId="2" borderId="31" xfId="1" applyNumberFormat="1" applyFont="1" applyFill="1" applyBorder="1" applyAlignment="1" applyProtection="1">
      <alignment horizontal="right" vertical="center"/>
      <protection hidden="1"/>
    </xf>
    <xf numFmtId="3" fontId="17" fillId="2" borderId="31" xfId="2" applyNumberFormat="1" applyFont="1" applyFill="1" applyBorder="1" applyAlignment="1" applyProtection="1">
      <alignment horizontal="right" vertical="center"/>
      <protection hidden="1"/>
    </xf>
    <xf numFmtId="3" fontId="8" fillId="2" borderId="28" xfId="2" applyNumberFormat="1" applyFont="1" applyFill="1" applyBorder="1" applyAlignment="1" applyProtection="1">
      <alignment horizontal="center" vertical="center"/>
      <protection hidden="1"/>
    </xf>
    <xf numFmtId="0" fontId="15" fillId="2" borderId="31" xfId="1" applyFont="1" applyFill="1" applyBorder="1" applyAlignment="1" applyProtection="1">
      <alignment vertical="center"/>
      <protection hidden="1"/>
    </xf>
    <xf numFmtId="164" fontId="5" fillId="2" borderId="31" xfId="1" applyNumberFormat="1" applyFont="1" applyFill="1" applyBorder="1" applyAlignment="1" applyProtection="1">
      <alignment horizontal="right" vertical="center"/>
      <protection hidden="1"/>
    </xf>
    <xf numFmtId="3" fontId="13" fillId="2" borderId="31" xfId="2" applyNumberFormat="1" applyFont="1" applyFill="1" applyBorder="1" applyAlignment="1" applyProtection="1">
      <alignment horizontal="right" vertical="center"/>
      <protection hidden="1"/>
    </xf>
    <xf numFmtId="3" fontId="11" fillId="2" borderId="5" xfId="2" applyNumberFormat="1" applyFont="1" applyFill="1" applyBorder="1" applyAlignment="1" applyProtection="1">
      <alignment vertical="center"/>
      <protection hidden="1"/>
    </xf>
    <xf numFmtId="3" fontId="19" fillId="2" borderId="5" xfId="2" applyNumberFormat="1" applyFont="1" applyFill="1" applyBorder="1" applyAlignment="1" applyProtection="1">
      <alignment horizontal="right" vertical="center"/>
      <protection hidden="1"/>
    </xf>
    <xf numFmtId="3" fontId="8" fillId="2" borderId="0" xfId="2" applyNumberFormat="1" applyFont="1" applyFill="1" applyBorder="1" applyAlignment="1" applyProtection="1">
      <alignment horizontal="center" vertical="center"/>
      <protection hidden="1"/>
    </xf>
    <xf numFmtId="0" fontId="15" fillId="2" borderId="0" xfId="1" applyFont="1" applyFill="1" applyBorder="1" applyAlignment="1" applyProtection="1">
      <alignment vertical="center"/>
      <protection hidden="1"/>
    </xf>
    <xf numFmtId="164" fontId="5" fillId="2" borderId="0" xfId="1" applyNumberFormat="1" applyFont="1" applyFill="1" applyBorder="1" applyAlignment="1" applyProtection="1">
      <alignment horizontal="right" vertical="center"/>
      <protection hidden="1"/>
    </xf>
    <xf numFmtId="3" fontId="13" fillId="2" borderId="0" xfId="2" applyNumberFormat="1" applyFont="1" applyFill="1" applyBorder="1" applyAlignment="1" applyProtection="1">
      <alignment horizontal="right" vertical="center"/>
      <protection hidden="1"/>
    </xf>
    <xf numFmtId="3" fontId="20" fillId="2" borderId="5" xfId="2" applyNumberFormat="1" applyFont="1" applyFill="1" applyBorder="1" applyProtection="1">
      <protection hidden="1"/>
    </xf>
    <xf numFmtId="3" fontId="8" fillId="2" borderId="2" xfId="2" applyNumberFormat="1" applyFont="1" applyFill="1" applyBorder="1" applyAlignment="1" applyProtection="1">
      <alignment horizontal="center" vertical="center"/>
      <protection hidden="1"/>
    </xf>
    <xf numFmtId="1" fontId="16" fillId="2" borderId="0" xfId="0" applyNumberFormat="1" applyFont="1" applyFill="1" applyBorder="1"/>
    <xf numFmtId="1" fontId="16" fillId="2" borderId="0" xfId="0" applyNumberFormat="1" applyFont="1" applyFill="1"/>
    <xf numFmtId="3" fontId="8" fillId="2" borderId="5" xfId="2" applyNumberFormat="1" applyFont="1" applyFill="1" applyBorder="1" applyProtection="1">
      <protection hidden="1"/>
    </xf>
    <xf numFmtId="3" fontId="16" fillId="2" borderId="28" xfId="2" applyNumberFormat="1" applyFont="1" applyFill="1" applyBorder="1" applyAlignment="1" applyProtection="1">
      <alignment vertical="center"/>
      <protection hidden="1"/>
    </xf>
    <xf numFmtId="3" fontId="8" fillId="2" borderId="32" xfId="1" applyNumberFormat="1" applyFont="1" applyFill="1" applyBorder="1" applyAlignment="1" applyProtection="1">
      <alignment horizontal="right" vertical="center"/>
      <protection hidden="1"/>
    </xf>
    <xf numFmtId="3" fontId="17" fillId="2" borderId="28" xfId="2" applyNumberFormat="1" applyFont="1" applyFill="1" applyBorder="1" applyAlignment="1" applyProtection="1">
      <alignment horizontal="right" vertical="center"/>
      <protection hidden="1"/>
    </xf>
    <xf numFmtId="3" fontId="7" fillId="2" borderId="30" xfId="2" applyNumberFormat="1" applyFont="1" applyFill="1" applyBorder="1" applyAlignment="1" applyProtection="1">
      <alignment horizontal="center" vertical="center"/>
      <protection hidden="1"/>
    </xf>
    <xf numFmtId="3" fontId="1" fillId="2" borderId="30" xfId="2" applyNumberFormat="1" applyFont="1" applyFill="1" applyBorder="1" applyAlignment="1" applyProtection="1">
      <alignment vertical="center"/>
      <protection hidden="1"/>
    </xf>
    <xf numFmtId="164" fontId="7" fillId="2" borderId="30" xfId="1" applyNumberFormat="1" applyFont="1" applyFill="1" applyBorder="1" applyAlignment="1" applyProtection="1">
      <alignment horizontal="right" vertical="center"/>
      <protection hidden="1"/>
    </xf>
    <xf numFmtId="3" fontId="7" fillId="2" borderId="33" xfId="1" applyNumberFormat="1" applyFont="1" applyFill="1" applyBorder="1" applyAlignment="1" applyProtection="1">
      <alignment horizontal="right" vertical="center"/>
      <protection hidden="1"/>
    </xf>
    <xf numFmtId="3" fontId="7" fillId="2" borderId="0" xfId="1" applyNumberFormat="1" applyFont="1" applyFill="1" applyBorder="1" applyAlignment="1" applyProtection="1">
      <alignment horizontal="right" vertical="center"/>
      <protection hidden="1"/>
    </xf>
    <xf numFmtId="164" fontId="7" fillId="2" borderId="0" xfId="1" applyNumberFormat="1" applyFont="1" applyFill="1" applyBorder="1" applyAlignment="1" applyProtection="1">
      <alignment horizontal="right" vertical="center"/>
      <protection hidden="1"/>
    </xf>
    <xf numFmtId="3" fontId="17" fillId="2" borderId="30" xfId="2" applyNumberFormat="1" applyFont="1" applyFill="1" applyBorder="1" applyAlignment="1" applyProtection="1">
      <alignment horizontal="right" vertical="center"/>
      <protection hidden="1"/>
    </xf>
    <xf numFmtId="3" fontId="11" fillId="2" borderId="22" xfId="2" applyNumberFormat="1" applyFont="1" applyFill="1" applyBorder="1" applyAlignment="1" applyProtection="1">
      <alignment horizontal="center" vertical="center"/>
      <protection hidden="1"/>
    </xf>
    <xf numFmtId="3" fontId="21" fillId="2" borderId="22" xfId="2" applyNumberFormat="1" applyFont="1" applyFill="1" applyBorder="1" applyProtection="1">
      <protection hidden="1"/>
    </xf>
    <xf numFmtId="4" fontId="11" fillId="2" borderId="22" xfId="2" applyNumberFormat="1" applyFont="1" applyFill="1" applyBorder="1" applyAlignment="1" applyProtection="1">
      <alignment horizontal="center"/>
      <protection hidden="1"/>
    </xf>
    <xf numFmtId="4" fontId="11" fillId="2" borderId="22" xfId="2" applyNumberFormat="1" applyFont="1" applyFill="1" applyBorder="1" applyAlignment="1" applyProtection="1">
      <alignment horizontal="center" vertical="top"/>
      <protection hidden="1"/>
    </xf>
    <xf numFmtId="0" fontId="11" fillId="2" borderId="5" xfId="1" applyFont="1" applyFill="1" applyBorder="1" applyAlignment="1" applyProtection="1">
      <alignment horizontal="center" vertical="center"/>
      <protection hidden="1"/>
    </xf>
    <xf numFmtId="3" fontId="21" fillId="2" borderId="22" xfId="2" applyNumberFormat="1" applyFont="1" applyFill="1" applyBorder="1" applyAlignment="1" applyProtection="1">
      <alignment vertical="center"/>
      <protection hidden="1"/>
    </xf>
    <xf numFmtId="0" fontId="11" fillId="2" borderId="5" xfId="1" applyFont="1" applyFill="1" applyBorder="1" applyAlignment="1" applyProtection="1">
      <alignment horizontal="center"/>
      <protection hidden="1"/>
    </xf>
    <xf numFmtId="0" fontId="11" fillId="2" borderId="5" xfId="1" applyFont="1" applyFill="1" applyBorder="1" applyAlignment="1" applyProtection="1">
      <alignment horizontal="center" vertical="top"/>
      <protection hidden="1"/>
    </xf>
    <xf numFmtId="0" fontId="11" fillId="2" borderId="0" xfId="1" applyFont="1" applyFill="1" applyBorder="1" applyAlignment="1" applyProtection="1">
      <alignment horizontal="center" vertical="center"/>
      <protection hidden="1"/>
    </xf>
    <xf numFmtId="3" fontId="21" fillId="2" borderId="0" xfId="2" applyNumberFormat="1" applyFont="1" applyFill="1" applyBorder="1" applyProtection="1">
      <protection hidden="1"/>
    </xf>
    <xf numFmtId="0" fontId="11" fillId="2" borderId="22" xfId="1" applyFont="1" applyFill="1" applyBorder="1" applyAlignment="1" applyProtection="1">
      <alignment horizontal="center"/>
      <protection hidden="1"/>
    </xf>
    <xf numFmtId="0" fontId="11" fillId="2" borderId="22" xfId="1" applyFont="1" applyFill="1" applyBorder="1" applyAlignment="1" applyProtection="1">
      <alignment horizontal="center" vertical="top"/>
      <protection hidden="1"/>
    </xf>
    <xf numFmtId="0" fontId="11" fillId="2" borderId="22" xfId="1" applyFont="1" applyFill="1" applyBorder="1" applyProtection="1">
      <protection hidden="1"/>
    </xf>
    <xf numFmtId="0" fontId="11" fillId="2" borderId="0" xfId="1" applyFont="1" applyFill="1" applyBorder="1" applyProtection="1">
      <protection hidden="1"/>
    </xf>
    <xf numFmtId="3" fontId="22" fillId="2" borderId="0" xfId="2" applyNumberFormat="1" applyFont="1" applyFill="1" applyBorder="1" applyAlignment="1" applyProtection="1">
      <alignment vertical="center"/>
      <protection hidden="1"/>
    </xf>
    <xf numFmtId="0" fontId="23" fillId="0" borderId="0" xfId="0" applyFont="1" applyAlignment="1">
      <alignment vertical="center"/>
    </xf>
    <xf numFmtId="3" fontId="11" fillId="2" borderId="0" xfId="2" applyNumberFormat="1" applyFont="1" applyFill="1" applyBorder="1" applyProtection="1">
      <protection hidden="1"/>
    </xf>
    <xf numFmtId="3" fontId="11" fillId="2" borderId="0" xfId="2" applyNumberFormat="1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/>
    <xf numFmtId="0" fontId="12" fillId="2" borderId="5" xfId="1" applyFont="1" applyFill="1" applyBorder="1" applyProtection="1">
      <protection hidden="1"/>
    </xf>
    <xf numFmtId="4" fontId="11" fillId="2" borderId="5" xfId="1" applyNumberFormat="1" applyFont="1" applyFill="1" applyBorder="1" applyAlignment="1" applyProtection="1">
      <alignment horizontal="center"/>
      <protection hidden="1"/>
    </xf>
    <xf numFmtId="4" fontId="11" fillId="2" borderId="5" xfId="1" applyNumberFormat="1" applyFont="1" applyFill="1" applyBorder="1" applyAlignment="1" applyProtection="1">
      <alignment horizontal="center" vertical="top"/>
      <protection hidden="1"/>
    </xf>
    <xf numFmtId="1" fontId="11" fillId="2" borderId="5" xfId="1" applyNumberFormat="1" applyFont="1" applyFill="1" applyBorder="1" applyProtection="1">
      <protection hidden="1"/>
    </xf>
    <xf numFmtId="167" fontId="11" fillId="2" borderId="5" xfId="1" applyNumberFormat="1" applyFont="1" applyFill="1" applyBorder="1" applyAlignment="1" applyProtection="1">
      <alignment horizontal="center"/>
      <protection hidden="1"/>
    </xf>
    <xf numFmtId="0" fontId="13" fillId="2" borderId="2" xfId="1" applyFont="1" applyFill="1" applyBorder="1" applyAlignment="1" applyProtection="1">
      <alignment horizontal="center" vertical="center"/>
      <protection hidden="1"/>
    </xf>
    <xf numFmtId="0" fontId="13" fillId="2" borderId="3" xfId="1" applyFont="1" applyFill="1" applyBorder="1" applyAlignment="1" applyProtection="1">
      <alignment horizontal="center" vertical="center"/>
      <protection hidden="1"/>
    </xf>
    <xf numFmtId="0" fontId="13" fillId="2" borderId="4" xfId="1" applyFont="1" applyFill="1" applyBorder="1" applyAlignment="1" applyProtection="1">
      <alignment horizontal="center" vertical="center"/>
      <protection hidden="1"/>
    </xf>
    <xf numFmtId="3" fontId="6" fillId="2" borderId="6" xfId="2" applyNumberFormat="1" applyFont="1" applyFill="1" applyBorder="1" applyAlignment="1" applyProtection="1">
      <alignment horizontal="center" vertical="center"/>
      <protection hidden="1"/>
    </xf>
    <xf numFmtId="3" fontId="6" fillId="2" borderId="7" xfId="2" applyNumberFormat="1" applyFont="1" applyFill="1" applyBorder="1" applyAlignment="1" applyProtection="1">
      <alignment horizontal="center" vertical="center"/>
      <protection hidden="1"/>
    </xf>
    <xf numFmtId="3" fontId="6" fillId="2" borderId="8" xfId="2" applyNumberFormat="1" applyFont="1" applyFill="1" applyBorder="1" applyAlignment="1" applyProtection="1">
      <alignment horizontal="center" vertical="center"/>
      <protection hidden="1"/>
    </xf>
    <xf numFmtId="3" fontId="2" fillId="2" borderId="10" xfId="2" applyNumberFormat="1" applyFont="1" applyFill="1" applyBorder="1" applyAlignment="1" applyProtection="1">
      <alignment horizontal="left" vertical="center"/>
      <protection hidden="1"/>
    </xf>
    <xf numFmtId="3" fontId="2" fillId="2" borderId="17" xfId="2" applyNumberFormat="1" applyFont="1" applyFill="1" applyBorder="1" applyAlignment="1" applyProtection="1">
      <alignment horizontal="left" vertical="center"/>
      <protection hidden="1"/>
    </xf>
    <xf numFmtId="3" fontId="6" fillId="2" borderId="12" xfId="2" applyNumberFormat="1" applyFont="1" applyFill="1" applyBorder="1" applyAlignment="1" applyProtection="1">
      <alignment horizontal="center" vertical="center" wrapText="1"/>
      <protection hidden="1"/>
    </xf>
    <xf numFmtId="3" fontId="6" fillId="2" borderId="13" xfId="2" applyNumberFormat="1" applyFont="1" applyFill="1" applyBorder="1" applyAlignment="1" applyProtection="1">
      <alignment horizontal="center" vertical="center" wrapText="1"/>
      <protection hidden="1"/>
    </xf>
    <xf numFmtId="3" fontId="6" fillId="2" borderId="14" xfId="2" applyNumberFormat="1" applyFont="1" applyFill="1" applyBorder="1" applyAlignment="1" applyProtection="1">
      <alignment horizontal="center" vertical="center" wrapText="1"/>
      <protection hidden="1"/>
    </xf>
    <xf numFmtId="3" fontId="6" fillId="2" borderId="15" xfId="2" applyNumberFormat="1" applyFont="1" applyFill="1" applyBorder="1" applyAlignment="1" applyProtection="1">
      <alignment horizontal="center" vertical="center" wrapText="1"/>
      <protection hidden="1"/>
    </xf>
    <xf numFmtId="3" fontId="3" fillId="2" borderId="16" xfId="2" applyNumberFormat="1" applyFont="1" applyFill="1" applyBorder="1" applyAlignment="1" applyProtection="1">
      <alignment horizontal="right" vertical="center"/>
      <protection hidden="1"/>
    </xf>
    <xf numFmtId="3" fontId="3" fillId="2" borderId="18" xfId="2" applyNumberFormat="1" applyFont="1" applyFill="1" applyBorder="1" applyAlignment="1" applyProtection="1">
      <alignment horizontal="right" vertical="center"/>
      <protection hidden="1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3" fontId="24" fillId="2" borderId="2" xfId="2" applyNumberFormat="1" applyFont="1" applyFill="1" applyBorder="1" applyAlignment="1" applyProtection="1">
      <alignment horizontal="left" vertical="top" wrapText="1"/>
      <protection hidden="1"/>
    </xf>
    <xf numFmtId="3" fontId="24" fillId="2" borderId="3" xfId="2" applyNumberFormat="1" applyFont="1" applyFill="1" applyBorder="1" applyAlignment="1" applyProtection="1">
      <alignment horizontal="left" vertical="top" wrapText="1"/>
      <protection hidden="1"/>
    </xf>
    <xf numFmtId="3" fontId="24" fillId="2" borderId="4" xfId="2" applyNumberFormat="1" applyFont="1" applyFill="1" applyBorder="1" applyAlignment="1" applyProtection="1">
      <alignment horizontal="left" vertical="top" wrapText="1"/>
      <protection hidden="1"/>
    </xf>
    <xf numFmtId="3" fontId="5" fillId="2" borderId="30" xfId="1" applyNumberFormat="1" applyFont="1" applyFill="1" applyBorder="1" applyAlignment="1" applyProtection="1">
      <alignment horizontal="right" vertical="center"/>
      <protection hidden="1"/>
    </xf>
    <xf numFmtId="3" fontId="5" fillId="2" borderId="34" xfId="1" applyNumberFormat="1" applyFont="1" applyFill="1" applyBorder="1" applyAlignment="1" applyProtection="1">
      <alignment horizontal="right" vertical="center"/>
      <protection hidden="1"/>
    </xf>
    <xf numFmtId="3" fontId="11" fillId="2" borderId="22" xfId="2" applyNumberFormat="1" applyFont="1" applyFill="1" applyBorder="1" applyProtection="1">
      <protection hidden="1"/>
    </xf>
    <xf numFmtId="0" fontId="15" fillId="2" borderId="5" xfId="1" applyFont="1" applyFill="1" applyBorder="1" applyAlignment="1" applyProtection="1">
      <alignment vertical="center"/>
      <protection hidden="1"/>
    </xf>
    <xf numFmtId="164" fontId="5" fillId="2" borderId="5" xfId="1" applyNumberFormat="1" applyFont="1" applyFill="1" applyBorder="1" applyAlignment="1" applyProtection="1">
      <alignment horizontal="right" vertical="center"/>
      <protection hidden="1"/>
    </xf>
    <xf numFmtId="3" fontId="5" fillId="2" borderId="5" xfId="1" applyNumberFormat="1" applyFont="1" applyFill="1" applyBorder="1" applyAlignment="1" applyProtection="1">
      <alignment horizontal="right" vertical="center"/>
      <protection hidden="1"/>
    </xf>
    <xf numFmtId="3" fontId="5" fillId="2" borderId="27" xfId="1" applyNumberFormat="1" applyFont="1" applyFill="1" applyBorder="1" applyAlignment="1" applyProtection="1">
      <alignment horizontal="right" vertical="center"/>
      <protection hidden="1"/>
    </xf>
    <xf numFmtId="164" fontId="8" fillId="2" borderId="35" xfId="1" applyNumberFormat="1" applyFont="1" applyFill="1" applyBorder="1" applyAlignment="1" applyProtection="1">
      <alignment horizontal="right" vertical="center"/>
      <protection hidden="1"/>
    </xf>
    <xf numFmtId="164" fontId="8" fillId="2" borderId="25" xfId="1" applyNumberFormat="1" applyFont="1" applyFill="1" applyBorder="1" applyAlignment="1" applyProtection="1">
      <alignment horizontal="right" vertical="center"/>
      <protection hidden="1"/>
    </xf>
    <xf numFmtId="3" fontId="13" fillId="2" borderId="5" xfId="2" applyNumberFormat="1" applyFont="1" applyFill="1" applyBorder="1" applyAlignment="1" applyProtection="1">
      <alignment horizontal="right" vertical="center"/>
      <protection hidden="1"/>
    </xf>
    <xf numFmtId="3" fontId="11" fillId="2" borderId="30" xfId="2" applyNumberFormat="1" applyFont="1" applyFill="1" applyBorder="1" applyAlignment="1" applyProtection="1">
      <alignment horizontal="center" vertical="center"/>
      <protection hidden="1"/>
    </xf>
    <xf numFmtId="3" fontId="2" fillId="2" borderId="30" xfId="2" applyNumberFormat="1" applyFont="1" applyFill="1" applyBorder="1" applyAlignment="1" applyProtection="1">
      <alignment horizontal="left" vertical="center"/>
      <protection hidden="1"/>
    </xf>
    <xf numFmtId="3" fontId="6" fillId="2" borderId="30" xfId="2" applyNumberFormat="1" applyFont="1" applyFill="1" applyBorder="1" applyAlignment="1" applyProtection="1">
      <alignment horizontal="right" vertical="center" wrapText="1"/>
      <protection hidden="1"/>
    </xf>
    <xf numFmtId="1" fontId="6" fillId="2" borderId="0" xfId="2" applyNumberFormat="1" applyFont="1" applyFill="1" applyBorder="1" applyAlignment="1" applyProtection="1">
      <alignment horizontal="right" vertical="center" wrapText="1"/>
      <protection hidden="1"/>
    </xf>
    <xf numFmtId="1" fontId="6" fillId="2" borderId="23" xfId="2" applyNumberFormat="1" applyFont="1" applyFill="1" applyBorder="1" applyAlignment="1" applyProtection="1">
      <alignment horizontal="right" vertical="center" wrapText="1"/>
      <protection hidden="1"/>
    </xf>
    <xf numFmtId="3" fontId="3" fillId="2" borderId="36" xfId="2" applyNumberFormat="1" applyFont="1" applyFill="1" applyBorder="1" applyAlignment="1" applyProtection="1">
      <alignment horizontal="right" vertical="center"/>
      <protection hidden="1"/>
    </xf>
    <xf numFmtId="4" fontId="14" fillId="2" borderId="0" xfId="1" applyNumberFormat="1" applyFont="1" applyFill="1" applyBorder="1" applyAlignment="1" applyProtection="1">
      <alignment vertical="center" wrapText="1"/>
      <protection hidden="1"/>
    </xf>
    <xf numFmtId="4" fontId="14" fillId="2" borderId="36" xfId="1" applyNumberFormat="1" applyFont="1" applyFill="1" applyBorder="1" applyAlignment="1" applyProtection="1">
      <alignment vertical="center" wrapText="1"/>
      <protection hidden="1"/>
    </xf>
  </cellXfs>
  <cellStyles count="3">
    <cellStyle name="Normal" xfId="0" builtinId="0"/>
    <cellStyle name="Normal_Distances" xfId="1"/>
    <cellStyle name="Normal_II-15(Population)" xfId="2"/>
  </cellStyles>
  <dxfs count="0"/>
  <tableStyles count="0" defaultTableStyle="TableStyleMedium2" defaultPivotStyle="PivotStyleLight16"/>
  <colors>
    <mruColors>
      <color rgb="FF996600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tx1"/>
                </a:solidFill>
                <a:effectLst/>
              </a:rPr>
              <a:t>Figure 1.3: Islands with highest population density, (census 2014)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536538931197019"/>
          <c:y val="2.967521495337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59227699965444"/>
          <c:y val="0.15110092043237022"/>
          <c:w val="0.8210334028560683"/>
          <c:h val="0.763836296481039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12700" dist="12700" dir="2700000" sy="-23000" kx="-800400" algn="bl" rotWithShape="0">
                <a:srgbClr val="FDEDDF">
                  <a:alpha val="20000"/>
                </a:srgbClr>
              </a:outerShdw>
              <a:softEdge rad="1270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1-847D-4773-BF40-CAE197E4A059}"/>
              </c:ext>
            </c:extLst>
          </c:dPt>
          <c:dPt>
            <c:idx val="1"/>
            <c:invertIfNegative val="0"/>
            <c:bubble3D val="0"/>
            <c:spPr>
              <a:solidFill>
                <a:srgbClr val="FFFF89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3-847D-4773-BF40-CAE197E4A059}"/>
              </c:ext>
            </c:extLst>
          </c:dPt>
          <c:dPt>
            <c:idx val="2"/>
            <c:invertIfNegative val="0"/>
            <c:bubble3D val="0"/>
            <c:spPr>
              <a:solidFill>
                <a:srgbClr val="FCF6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5-847D-4773-BF40-CAE197E4A05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7-847D-4773-BF40-CAE197E4A05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9-847D-4773-BF40-CAE197E4A05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B-847D-4773-BF40-CAE197E4A059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D-847D-4773-BF40-CAE197E4A059}"/>
              </c:ext>
            </c:extLst>
          </c:dPt>
          <c:dPt>
            <c:idx val="7"/>
            <c:invertIfNegative val="0"/>
            <c:bubble3D val="0"/>
            <c:spPr>
              <a:solidFill>
                <a:srgbClr val="C45B58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F-847D-4773-BF40-CAE197E4A059}"/>
              </c:ext>
            </c:extLst>
          </c:dPt>
          <c:dPt>
            <c:idx val="8"/>
            <c:invertIfNegative val="0"/>
            <c:bubble3D val="0"/>
            <c:spPr>
              <a:solidFill>
                <a:srgbClr val="FF4F4F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11-847D-4773-BF40-CAE197E4A059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13-847D-4773-BF40-CAE197E4A05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15-847D-4773-BF40-CAE197E4A05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'[2]1.5'!$Z$273:$Z$283</c:f>
              <c:strCache>
                <c:ptCount val="11"/>
                <c:pt idx="0">
                  <c:v>Hulhumale'</c:v>
                </c:pt>
                <c:pt idx="1">
                  <c:v>N. Holhudhoo</c:v>
                </c:pt>
                <c:pt idx="2">
                  <c:v>K. Maafushi</c:v>
                </c:pt>
                <c:pt idx="3">
                  <c:v>B. Eydhafushi </c:v>
                </c:pt>
                <c:pt idx="4">
                  <c:v>K.Gulhi</c:v>
                </c:pt>
                <c:pt idx="5">
                  <c:v>ADh. Mahibadhoo</c:v>
                </c:pt>
                <c:pt idx="6">
                  <c:v>M. Dhiggaru</c:v>
                </c:pt>
                <c:pt idx="7">
                  <c:v>Sh.Komandoo</c:v>
                </c:pt>
                <c:pt idx="8">
                  <c:v>Lh. Hinnavaru</c:v>
                </c:pt>
                <c:pt idx="9">
                  <c:v>VilliMale'</c:v>
                </c:pt>
                <c:pt idx="10">
                  <c:v>Male'</c:v>
                </c:pt>
              </c:strCache>
            </c:strRef>
          </c:cat>
          <c:val>
            <c:numRef>
              <c:f>'[2]1.5'!$AA$273:$AA$283</c:f>
              <c:numCache>
                <c:formatCode>General</c:formatCode>
                <c:ptCount val="11"/>
                <c:pt idx="0">
                  <c:v>42.053885201093323</c:v>
                </c:pt>
                <c:pt idx="1">
                  <c:v>81.492537313432834</c:v>
                </c:pt>
                <c:pt idx="2">
                  <c:v>82.922149122807028</c:v>
                </c:pt>
                <c:pt idx="3">
                  <c:v>85.631443298969074</c:v>
                </c:pt>
                <c:pt idx="4">
                  <c:v>86.527514231499055</c:v>
                </c:pt>
                <c:pt idx="5">
                  <c:v>91.446208112874785</c:v>
                </c:pt>
                <c:pt idx="6">
                  <c:v>99.09365558912387</c:v>
                </c:pt>
                <c:pt idx="7">
                  <c:v>107.23938223938225</c:v>
                </c:pt>
                <c:pt idx="8">
                  <c:v>114.17466849565615</c:v>
                </c:pt>
                <c:pt idx="9">
                  <c:v>251.98738170347005</c:v>
                </c:pt>
                <c:pt idx="10">
                  <c:v>786.87049440155431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47D-4773-BF40-CAE197E4A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2059475935"/>
        <c:axId val="2059478015"/>
      </c:barChart>
      <c:catAx>
        <c:axId val="205947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78015"/>
        <c:crosses val="autoZero"/>
        <c:auto val="1"/>
        <c:lblAlgn val="r"/>
        <c:lblOffset val="100"/>
        <c:noMultiLvlLbl val="0"/>
      </c:catAx>
      <c:valAx>
        <c:axId val="2059478015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75935"/>
        <c:crosses val="autoZero"/>
        <c:crossBetween val="between"/>
        <c:majorUnit val="100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  <a:effectLst>
          <a:outerShdw blurRad="50800" dist="50800" dir="5400000" algn="ctr" rotWithShape="0">
            <a:schemeClr val="accent1">
              <a:lumMod val="20000"/>
              <a:lumOff val="80000"/>
            </a:scheme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1" verticalDpi="-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1284175</xdr:colOff>
      <xdr:row>268</xdr:row>
      <xdr:rowOff>108518</xdr:rowOff>
    </xdr:from>
    <xdr:to>
      <xdr:col>8</xdr:col>
      <xdr:colOff>333375</xdr:colOff>
      <xdr:row>289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.GEOGRAPHY-M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.GEOGRAPHY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>
        <row r="9">
          <cell r="AI9" t="str">
            <v>Rainfall</v>
          </cell>
          <cell r="AJ9">
            <v>0</v>
          </cell>
          <cell r="AK9" t="str">
            <v>sunshine</v>
          </cell>
          <cell r="AL9">
            <v>0</v>
          </cell>
        </row>
        <row r="10">
          <cell r="AI10">
            <v>2017</v>
          </cell>
          <cell r="AJ10">
            <v>2018</v>
          </cell>
          <cell r="AK10">
            <v>2017</v>
          </cell>
          <cell r="AL10">
            <v>2018</v>
          </cell>
        </row>
        <row r="11">
          <cell r="AH11" t="str">
            <v>Jan</v>
          </cell>
          <cell r="AI11">
            <v>40.200000000000003</v>
          </cell>
          <cell r="AJ11">
            <v>129.30000000000001</v>
          </cell>
          <cell r="AK11">
            <v>269.60000000000002</v>
          </cell>
          <cell r="AL11">
            <v>256</v>
          </cell>
        </row>
        <row r="12">
          <cell r="AH12" t="str">
            <v>Feb</v>
          </cell>
          <cell r="AI12">
            <v>40.700000000000003</v>
          </cell>
          <cell r="AJ12">
            <v>72.2</v>
          </cell>
          <cell r="AK12">
            <v>248.7</v>
          </cell>
          <cell r="AL12">
            <v>266</v>
          </cell>
        </row>
        <row r="13">
          <cell r="AH13" t="str">
            <v>Mar</v>
          </cell>
          <cell r="AI13">
            <v>111.9</v>
          </cell>
          <cell r="AJ13">
            <v>9.6999999999999993</v>
          </cell>
          <cell r="AK13">
            <v>261.5</v>
          </cell>
          <cell r="AL13">
            <v>271.2</v>
          </cell>
        </row>
        <row r="14">
          <cell r="AH14" t="str">
            <v>Apr</v>
          </cell>
          <cell r="AI14">
            <v>66.8</v>
          </cell>
          <cell r="AJ14">
            <v>150.4</v>
          </cell>
          <cell r="AK14">
            <v>276.5</v>
          </cell>
          <cell r="AL14">
            <v>229.3</v>
          </cell>
        </row>
        <row r="15">
          <cell r="AH15" t="str">
            <v>May</v>
          </cell>
          <cell r="AI15">
            <v>440</v>
          </cell>
          <cell r="AJ15">
            <v>402.7</v>
          </cell>
          <cell r="AK15">
            <v>207.8</v>
          </cell>
          <cell r="AL15">
            <v>178.1</v>
          </cell>
        </row>
        <row r="16">
          <cell r="AH16" t="str">
            <v>Jun</v>
          </cell>
          <cell r="AI16">
            <v>35.799999999999997</v>
          </cell>
          <cell r="AJ16">
            <v>133.69999999999999</v>
          </cell>
          <cell r="AK16">
            <v>257</v>
          </cell>
          <cell r="AL16">
            <v>188.1</v>
          </cell>
        </row>
        <row r="17">
          <cell r="AH17" t="str">
            <v>Jul</v>
          </cell>
          <cell r="AI17">
            <v>109.2</v>
          </cell>
          <cell r="AJ17">
            <v>200.8</v>
          </cell>
          <cell r="AK17">
            <v>268.7</v>
          </cell>
          <cell r="AL17">
            <v>199.1</v>
          </cell>
        </row>
        <row r="18">
          <cell r="AH18" t="str">
            <v>Aug</v>
          </cell>
          <cell r="AI18">
            <v>130.9</v>
          </cell>
          <cell r="AJ18">
            <v>106</v>
          </cell>
          <cell r="AK18">
            <v>267</v>
          </cell>
          <cell r="AL18">
            <v>241.5</v>
          </cell>
        </row>
        <row r="19">
          <cell r="AH19" t="str">
            <v>Sep</v>
          </cell>
          <cell r="AI19">
            <v>172.8</v>
          </cell>
          <cell r="AJ19">
            <v>111</v>
          </cell>
          <cell r="AK19">
            <v>217</v>
          </cell>
          <cell r="AL19">
            <v>222</v>
          </cell>
        </row>
        <row r="20">
          <cell r="AH20" t="str">
            <v>Oct</v>
          </cell>
          <cell r="AI20">
            <v>135.4</v>
          </cell>
          <cell r="AJ20">
            <v>345.7</v>
          </cell>
          <cell r="AK20">
            <v>281.89999999999998</v>
          </cell>
          <cell r="AL20">
            <v>210.4</v>
          </cell>
        </row>
        <row r="21">
          <cell r="AH21" t="str">
            <v>Nov</v>
          </cell>
          <cell r="AI21">
            <v>237.2</v>
          </cell>
          <cell r="AJ21">
            <v>267</v>
          </cell>
          <cell r="AK21">
            <v>174.7</v>
          </cell>
          <cell r="AL21">
            <v>214.1</v>
          </cell>
        </row>
        <row r="22">
          <cell r="AH22" t="str">
            <v>Dec</v>
          </cell>
          <cell r="AI22">
            <v>143.5</v>
          </cell>
          <cell r="AJ22">
            <v>192.6</v>
          </cell>
          <cell r="AK22">
            <v>242.5</v>
          </cell>
          <cell r="AL22">
            <v>255.9</v>
          </cell>
        </row>
      </sheetData>
      <sheetData sheetId="1">
        <row r="16">
          <cell r="AJ16" t="str">
            <v>Maximum</v>
          </cell>
          <cell r="AK16" t="str">
            <v>Minimum</v>
          </cell>
        </row>
        <row r="17">
          <cell r="AH17" t="str">
            <v>Male'</v>
          </cell>
          <cell r="AJ17">
            <v>30.988287890424989</v>
          </cell>
          <cell r="AK17">
            <v>26.392532002048128</v>
          </cell>
        </row>
        <row r="18">
          <cell r="AH18" t="str">
            <v>HDh.Hanimaadhoo</v>
          </cell>
          <cell r="AJ18">
            <v>31.676926523297485</v>
          </cell>
          <cell r="AK18">
            <v>25.297726201143536</v>
          </cell>
        </row>
        <row r="19">
          <cell r="AH19" t="str">
            <v>L.Kadhdhoo</v>
          </cell>
          <cell r="AJ19">
            <v>31.358033794162825</v>
          </cell>
          <cell r="AK19">
            <v>25.700226574500771</v>
          </cell>
        </row>
        <row r="20">
          <cell r="AH20" t="str">
            <v>GDh.Kaadedhdhoo</v>
          </cell>
          <cell r="AJ20">
            <v>30.911217997951866</v>
          </cell>
          <cell r="AK20">
            <v>25.047217101894521</v>
          </cell>
        </row>
        <row r="21">
          <cell r="AH21" t="str">
            <v>S.Gan</v>
          </cell>
          <cell r="AI21">
            <v>0</v>
          </cell>
          <cell r="AJ21">
            <v>31.053465821812591</v>
          </cell>
          <cell r="AK21">
            <v>25.148213005632361</v>
          </cell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/>
      <sheetData sheetId="1"/>
      <sheetData sheetId="2"/>
      <sheetData sheetId="3"/>
      <sheetData sheetId="4">
        <row r="273">
          <cell r="Z273" t="str">
            <v>Hulhumale'</v>
          </cell>
          <cell r="AA273">
            <v>42.053885201093323</v>
          </cell>
        </row>
        <row r="274">
          <cell r="Z274" t="str">
            <v>N. Holhudhoo</v>
          </cell>
          <cell r="AA274">
            <v>81.492537313432834</v>
          </cell>
        </row>
        <row r="275">
          <cell r="Z275" t="str">
            <v>K. Maafushi</v>
          </cell>
          <cell r="AA275">
            <v>82.922149122807028</v>
          </cell>
        </row>
        <row r="276">
          <cell r="Z276" t="str">
            <v xml:space="preserve">B. Eydhafushi </v>
          </cell>
          <cell r="AA276">
            <v>85.631443298969074</v>
          </cell>
        </row>
        <row r="277">
          <cell r="Z277" t="str">
            <v>K.Gulhi</v>
          </cell>
          <cell r="AA277">
            <v>86.527514231499055</v>
          </cell>
        </row>
        <row r="278">
          <cell r="Z278" t="str">
            <v>ADh. Mahibadhoo</v>
          </cell>
          <cell r="AA278">
            <v>91.446208112874785</v>
          </cell>
        </row>
        <row r="279">
          <cell r="Z279" t="str">
            <v>M. Dhiggaru</v>
          </cell>
          <cell r="AA279">
            <v>99.09365558912387</v>
          </cell>
        </row>
        <row r="280">
          <cell r="Z280" t="str">
            <v>Sh.Komandoo</v>
          </cell>
          <cell r="AA280">
            <v>107.23938223938225</v>
          </cell>
        </row>
        <row r="281">
          <cell r="Z281" t="str">
            <v>Lh. Hinnavaru</v>
          </cell>
          <cell r="AA281">
            <v>114.17466849565615</v>
          </cell>
        </row>
        <row r="282">
          <cell r="Z282" t="str">
            <v>VilliMale'</v>
          </cell>
          <cell r="AA282">
            <v>251.98738170347005</v>
          </cell>
        </row>
        <row r="283">
          <cell r="Z283" t="str">
            <v>Male'</v>
          </cell>
          <cell r="AA283">
            <v>786.87049440155431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5"/>
  <sheetViews>
    <sheetView tabSelected="1" zoomScale="80" zoomScaleNormal="80" workbookViewId="0">
      <selection activeCell="I11" sqref="I11"/>
    </sheetView>
  </sheetViews>
  <sheetFormatPr defaultColWidth="11.42578125" defaultRowHeight="14.25" x14ac:dyDescent="0.2"/>
  <cols>
    <col min="1" max="1" width="6.7109375" style="88" customWidth="1"/>
    <col min="2" max="2" width="26.28515625" style="103" customWidth="1"/>
    <col min="3" max="3" width="13.42578125" style="90" customWidth="1"/>
    <col min="4" max="5" width="14.42578125" style="90" customWidth="1"/>
    <col min="6" max="7" width="11.28515625" style="91" customWidth="1"/>
    <col min="8" max="8" width="17.5703125" style="90" customWidth="1"/>
    <col min="9" max="9" width="29.5703125" style="6" customWidth="1"/>
    <col min="10" max="10" width="2.28515625" style="6" customWidth="1"/>
    <col min="11" max="19" width="5.42578125" style="6" customWidth="1"/>
    <col min="20" max="16384" width="11.42578125" style="6"/>
  </cols>
  <sheetData>
    <row r="1" spans="1:12" x14ac:dyDescent="0.2">
      <c r="A1" s="1"/>
      <c r="B1" s="2"/>
      <c r="C1" s="3"/>
      <c r="D1" s="3"/>
      <c r="E1" s="3"/>
      <c r="F1" s="4"/>
      <c r="G1" s="4"/>
      <c r="H1" s="3"/>
      <c r="I1" s="5"/>
    </row>
    <row r="2" spans="1:12" s="7" customFormat="1" ht="16.149999999999999" customHeight="1" x14ac:dyDescent="0.2">
      <c r="A2" s="108" t="s">
        <v>4</v>
      </c>
      <c r="B2" s="109"/>
      <c r="C2" s="109"/>
      <c r="D2" s="109"/>
      <c r="E2" s="109"/>
      <c r="F2" s="109"/>
      <c r="G2" s="109"/>
      <c r="H2" s="109"/>
      <c r="I2" s="110"/>
    </row>
    <row r="3" spans="1:12" s="7" customFormat="1" ht="21" customHeight="1" x14ac:dyDescent="0.2">
      <c r="A3" s="111" t="s">
        <v>5</v>
      </c>
      <c r="B3" s="112"/>
      <c r="C3" s="112"/>
      <c r="D3" s="112"/>
      <c r="E3" s="112"/>
      <c r="F3" s="112"/>
      <c r="G3" s="112"/>
      <c r="H3" s="112"/>
      <c r="I3" s="113"/>
    </row>
    <row r="4" spans="1:12" s="7" customFormat="1" ht="62.25" customHeight="1" x14ac:dyDescent="0.2">
      <c r="A4" s="8"/>
      <c r="B4" s="114" t="s">
        <v>0</v>
      </c>
      <c r="C4" s="9" t="s">
        <v>6</v>
      </c>
      <c r="D4" s="116" t="s">
        <v>7</v>
      </c>
      <c r="E4" s="117"/>
      <c r="F4" s="118" t="s">
        <v>8</v>
      </c>
      <c r="G4" s="119"/>
      <c r="H4" s="9" t="s">
        <v>9</v>
      </c>
      <c r="I4" s="120" t="s">
        <v>3</v>
      </c>
    </row>
    <row r="5" spans="1:12" s="7" customFormat="1" ht="35.25" customHeight="1" x14ac:dyDescent="0.2">
      <c r="A5" s="10"/>
      <c r="B5" s="115"/>
      <c r="C5" s="11" t="s">
        <v>10</v>
      </c>
      <c r="D5" s="12" t="s">
        <v>11</v>
      </c>
      <c r="E5" s="13" t="s">
        <v>12</v>
      </c>
      <c r="F5" s="12" t="s">
        <v>11</v>
      </c>
      <c r="G5" s="14" t="s">
        <v>12</v>
      </c>
      <c r="H5" s="11" t="s">
        <v>13</v>
      </c>
      <c r="I5" s="121"/>
      <c r="J5" s="15"/>
      <c r="K5" s="15"/>
      <c r="L5" s="16"/>
    </row>
    <row r="6" spans="1:12" s="7" customFormat="1" ht="19.5" customHeight="1" x14ac:dyDescent="0.2">
      <c r="A6" s="138"/>
      <c r="B6" s="139"/>
      <c r="C6" s="140"/>
      <c r="D6" s="141"/>
      <c r="E6" s="142"/>
      <c r="F6" s="141"/>
      <c r="G6" s="141"/>
      <c r="H6" s="140"/>
      <c r="I6" s="143"/>
      <c r="J6" s="144"/>
      <c r="K6" s="144"/>
      <c r="L6" s="145"/>
    </row>
    <row r="7" spans="1:12" s="7" customFormat="1" ht="16.149999999999999" customHeight="1" x14ac:dyDescent="0.2">
      <c r="A7" s="17">
        <v>1</v>
      </c>
      <c r="B7" s="18" t="s">
        <v>1</v>
      </c>
      <c r="C7" s="19">
        <v>195.59</v>
      </c>
      <c r="D7" s="20">
        <v>153904</v>
      </c>
      <c r="E7" s="21">
        <v>129381</v>
      </c>
      <c r="F7" s="22">
        <f>D7/C7</f>
        <v>786.87049440155431</v>
      </c>
      <c r="G7" s="22">
        <f>E7/C7</f>
        <v>661.49087376655245</v>
      </c>
      <c r="H7" s="23">
        <v>0</v>
      </c>
      <c r="I7" s="24" t="s">
        <v>2</v>
      </c>
      <c r="J7" s="25"/>
      <c r="K7" s="25"/>
      <c r="L7" s="26"/>
    </row>
    <row r="8" spans="1:12" s="7" customFormat="1" ht="18" x14ac:dyDescent="0.2">
      <c r="A8" s="27"/>
      <c r="B8" s="28" t="s">
        <v>14</v>
      </c>
      <c r="C8" s="29">
        <v>31.7</v>
      </c>
      <c r="D8" s="20">
        <v>7988</v>
      </c>
      <c r="E8" s="21">
        <v>7382</v>
      </c>
      <c r="F8" s="22">
        <f>D8/C8</f>
        <v>251.98738170347005</v>
      </c>
      <c r="G8" s="22">
        <f>E8/C8</f>
        <v>232.87066246056781</v>
      </c>
      <c r="H8" s="29">
        <v>2.8350261055543573</v>
      </c>
      <c r="I8" s="30" t="s">
        <v>15</v>
      </c>
      <c r="J8" s="25"/>
      <c r="K8" s="25"/>
    </row>
    <row r="9" spans="1:12" s="7" customFormat="1" ht="18" x14ac:dyDescent="0.2">
      <c r="A9" s="27"/>
      <c r="B9" s="28" t="s">
        <v>16</v>
      </c>
      <c r="C9" s="29">
        <v>386.42</v>
      </c>
      <c r="D9" s="20">
        <v>17149</v>
      </c>
      <c r="E9" s="31">
        <v>14608</v>
      </c>
      <c r="F9" s="22">
        <f>D9/C9</f>
        <v>44.379172920656281</v>
      </c>
      <c r="G9" s="22">
        <f>E9/C9</f>
        <v>37.803426323689251</v>
      </c>
      <c r="H9" s="29">
        <v>5.3</v>
      </c>
      <c r="I9" s="30" t="s">
        <v>17</v>
      </c>
      <c r="J9" s="25"/>
      <c r="K9" s="25"/>
    </row>
    <row r="10" spans="1:12" s="7" customFormat="1" ht="18" x14ac:dyDescent="0.2">
      <c r="A10" s="27"/>
      <c r="B10" s="28"/>
      <c r="C10" s="29"/>
      <c r="D10" s="20"/>
      <c r="E10" s="31"/>
      <c r="F10" s="32"/>
      <c r="G10" s="29"/>
      <c r="H10" s="29"/>
      <c r="I10" s="30"/>
      <c r="J10" s="25"/>
      <c r="K10" s="25"/>
    </row>
    <row r="11" spans="1:12" s="7" customFormat="1" ht="15.75" customHeight="1" x14ac:dyDescent="0.2">
      <c r="A11" s="27"/>
      <c r="B11" s="33" t="s">
        <v>18</v>
      </c>
      <c r="C11" s="29"/>
      <c r="D11" s="20"/>
      <c r="E11" s="31"/>
      <c r="F11" s="34"/>
      <c r="G11" s="35"/>
      <c r="H11" s="35"/>
      <c r="I11" s="36" t="s">
        <v>19</v>
      </c>
      <c r="J11" s="25"/>
      <c r="K11" s="25"/>
    </row>
    <row r="12" spans="1:12" s="7" customFormat="1" ht="18" x14ac:dyDescent="0.2">
      <c r="A12" s="27">
        <v>2</v>
      </c>
      <c r="B12" s="37" t="s">
        <v>20</v>
      </c>
      <c r="C12" s="29">
        <v>245.37</v>
      </c>
      <c r="D12" s="20">
        <v>1215</v>
      </c>
      <c r="E12" s="31">
        <v>1173</v>
      </c>
      <c r="F12" s="22">
        <f t="shared" ref="F12:F25" si="0">D12/C12</f>
        <v>4.9517055874801317</v>
      </c>
      <c r="G12" s="22">
        <f t="shared" ref="G12:G25" si="1">E12/C12</f>
        <v>4.7805355177894606</v>
      </c>
      <c r="H12" s="29">
        <v>295.87153052249988</v>
      </c>
      <c r="I12" s="30" t="s">
        <v>21</v>
      </c>
      <c r="J12" s="25"/>
      <c r="K12" s="25"/>
    </row>
    <row r="13" spans="1:12" s="7" customFormat="1" ht="18" x14ac:dyDescent="0.2">
      <c r="A13" s="27">
        <v>3</v>
      </c>
      <c r="B13" s="37" t="s">
        <v>22</v>
      </c>
      <c r="C13" s="29">
        <v>57.09</v>
      </c>
      <c r="D13" s="20">
        <v>2854</v>
      </c>
      <c r="E13" s="31">
        <v>2613</v>
      </c>
      <c r="F13" s="22">
        <f t="shared" si="0"/>
        <v>49.99124189875635</v>
      </c>
      <c r="G13" s="22">
        <f t="shared" si="1"/>
        <v>45.769837099316867</v>
      </c>
      <c r="H13" s="29">
        <v>305.07408072628539</v>
      </c>
      <c r="I13" s="30" t="s">
        <v>23</v>
      </c>
      <c r="J13" s="25"/>
      <c r="K13" s="25"/>
    </row>
    <row r="14" spans="1:12" s="7" customFormat="1" ht="18" x14ac:dyDescent="0.2">
      <c r="A14" s="27">
        <v>4</v>
      </c>
      <c r="B14" s="37" t="s">
        <v>24</v>
      </c>
      <c r="C14" s="29">
        <v>263</v>
      </c>
      <c r="D14" s="20">
        <v>584</v>
      </c>
      <c r="E14" s="31">
        <v>562</v>
      </c>
      <c r="F14" s="22">
        <f t="shared" si="0"/>
        <v>2.2205323193916349</v>
      </c>
      <c r="G14" s="22">
        <f t="shared" si="1"/>
        <v>2.1368821292775664</v>
      </c>
      <c r="H14" s="29">
        <v>302.8843253191763</v>
      </c>
      <c r="I14" s="30" t="s">
        <v>25</v>
      </c>
      <c r="J14" s="25"/>
      <c r="K14" s="25"/>
    </row>
    <row r="15" spans="1:12" s="7" customFormat="1" ht="18" x14ac:dyDescent="0.2">
      <c r="A15" s="27">
        <v>5</v>
      </c>
      <c r="B15" s="37" t="s">
        <v>26</v>
      </c>
      <c r="C15" s="29">
        <v>64.25</v>
      </c>
      <c r="D15" s="20">
        <v>1826</v>
      </c>
      <c r="E15" s="31">
        <v>1726</v>
      </c>
      <c r="F15" s="22">
        <f t="shared" si="0"/>
        <v>28.420233463035018</v>
      </c>
      <c r="G15" s="22">
        <f t="shared" si="1"/>
        <v>26.863813229571985</v>
      </c>
      <c r="H15" s="29">
        <v>319.54961781565254</v>
      </c>
      <c r="I15" s="30" t="s">
        <v>27</v>
      </c>
      <c r="J15" s="25"/>
      <c r="K15" s="25"/>
    </row>
    <row r="16" spans="1:12" s="7" customFormat="1" ht="18" x14ac:dyDescent="0.2">
      <c r="A16" s="27">
        <v>6</v>
      </c>
      <c r="B16" s="37" t="s">
        <v>28</v>
      </c>
      <c r="C16" s="29">
        <v>60.27</v>
      </c>
      <c r="D16" s="20">
        <v>2575</v>
      </c>
      <c r="E16" s="31">
        <v>2461</v>
      </c>
      <c r="F16" s="22">
        <f t="shared" si="0"/>
        <v>42.724406835905093</v>
      </c>
      <c r="G16" s="22">
        <f t="shared" si="1"/>
        <v>40.832918533266962</v>
      </c>
      <c r="H16" s="29">
        <v>315.75527037730239</v>
      </c>
      <c r="I16" s="30" t="s">
        <v>29</v>
      </c>
      <c r="J16" s="25"/>
      <c r="K16" s="25"/>
    </row>
    <row r="17" spans="1:11" s="7" customFormat="1" ht="18" x14ac:dyDescent="0.2">
      <c r="A17" s="27">
        <v>7</v>
      </c>
      <c r="B17" s="37" t="s">
        <v>30</v>
      </c>
      <c r="C17" s="29">
        <v>202.54</v>
      </c>
      <c r="D17" s="20">
        <v>1074</v>
      </c>
      <c r="E17" s="31">
        <v>1037</v>
      </c>
      <c r="F17" s="22">
        <f t="shared" si="0"/>
        <v>5.302656265429051</v>
      </c>
      <c r="G17" s="22">
        <f t="shared" si="1"/>
        <v>5.1199763009775845</v>
      </c>
      <c r="H17" s="29">
        <v>311.37431481858658</v>
      </c>
      <c r="I17" s="30" t="s">
        <v>31</v>
      </c>
      <c r="J17" s="25"/>
      <c r="K17" s="25"/>
    </row>
    <row r="18" spans="1:11" s="7" customFormat="1" ht="18" x14ac:dyDescent="0.2">
      <c r="A18" s="27">
        <v>8</v>
      </c>
      <c r="B18" s="37" t="s">
        <v>32</v>
      </c>
      <c r="C18" s="29">
        <v>42.62</v>
      </c>
      <c r="D18" s="20">
        <v>671</v>
      </c>
      <c r="E18" s="31">
        <v>647</v>
      </c>
      <c r="F18" s="22">
        <f t="shared" si="0"/>
        <v>15.743782261848898</v>
      </c>
      <c r="G18" s="22">
        <f t="shared" si="1"/>
        <v>15.180666353824497</v>
      </c>
      <c r="H18" s="29">
        <v>303.64012556722946</v>
      </c>
      <c r="I18" s="30" t="s">
        <v>33</v>
      </c>
    </row>
    <row r="19" spans="1:11" s="7" customFormat="1" ht="18" x14ac:dyDescent="0.2">
      <c r="A19" s="27">
        <v>9</v>
      </c>
      <c r="B19" s="37" t="s">
        <v>34</v>
      </c>
      <c r="C19" s="29">
        <v>118.09</v>
      </c>
      <c r="D19" s="20">
        <v>230</v>
      </c>
      <c r="E19" s="31">
        <v>220</v>
      </c>
      <c r="F19" s="22">
        <f t="shared" si="0"/>
        <v>1.9476670336184265</v>
      </c>
      <c r="G19" s="22">
        <f t="shared" si="1"/>
        <v>1.8629858582437124</v>
      </c>
      <c r="H19" s="29">
        <v>320.5797967412812</v>
      </c>
      <c r="I19" s="30" t="s">
        <v>35</v>
      </c>
    </row>
    <row r="20" spans="1:11" s="7" customFormat="1" ht="18" x14ac:dyDescent="0.2">
      <c r="A20" s="27">
        <v>10</v>
      </c>
      <c r="B20" s="37" t="s">
        <v>36</v>
      </c>
      <c r="C20" s="29">
        <v>47.21</v>
      </c>
      <c r="D20" s="20">
        <v>467</v>
      </c>
      <c r="E20" s="31">
        <v>443</v>
      </c>
      <c r="F20" s="22">
        <f t="shared" si="0"/>
        <v>9.8919720398220718</v>
      </c>
      <c r="G20" s="22">
        <f t="shared" si="1"/>
        <v>9.3836051683965263</v>
      </c>
      <c r="H20" s="29">
        <v>298.74571427815818</v>
      </c>
      <c r="I20" s="30" t="s">
        <v>37</v>
      </c>
    </row>
    <row r="21" spans="1:11" s="7" customFormat="1" ht="18" x14ac:dyDescent="0.2">
      <c r="A21" s="27">
        <v>11</v>
      </c>
      <c r="B21" s="37" t="s">
        <v>38</v>
      </c>
      <c r="C21" s="29">
        <v>41.46</v>
      </c>
      <c r="D21" s="20">
        <v>354</v>
      </c>
      <c r="E21" s="31">
        <v>336</v>
      </c>
      <c r="F21" s="22">
        <f t="shared" si="0"/>
        <v>8.5383502170767009</v>
      </c>
      <c r="G21" s="22">
        <f t="shared" si="1"/>
        <v>8.1041968162083933</v>
      </c>
      <c r="H21" s="29">
        <v>302.38191241169886</v>
      </c>
      <c r="I21" s="30" t="s">
        <v>39</v>
      </c>
    </row>
    <row r="22" spans="1:11" s="7" customFormat="1" ht="18" x14ac:dyDescent="0.2">
      <c r="A22" s="27">
        <v>12</v>
      </c>
      <c r="B22" s="37" t="s">
        <v>40</v>
      </c>
      <c r="C22" s="29">
        <v>24.63</v>
      </c>
      <c r="D22" s="20">
        <v>421</v>
      </c>
      <c r="E22" s="31">
        <v>393</v>
      </c>
      <c r="F22" s="22">
        <f t="shared" si="0"/>
        <v>17.092976045473002</v>
      </c>
      <c r="G22" s="22">
        <f t="shared" si="1"/>
        <v>15.956151035322778</v>
      </c>
      <c r="H22" s="29">
        <v>332.6413815566728</v>
      </c>
      <c r="I22" s="30" t="s">
        <v>41</v>
      </c>
    </row>
    <row r="23" spans="1:11" s="7" customFormat="1" ht="18" x14ac:dyDescent="0.2">
      <c r="A23" s="27">
        <v>13</v>
      </c>
      <c r="B23" s="37" t="s">
        <v>42</v>
      </c>
      <c r="C23" s="29">
        <v>106.7</v>
      </c>
      <c r="D23" s="20">
        <v>383</v>
      </c>
      <c r="E23" s="31">
        <v>367</v>
      </c>
      <c r="F23" s="22">
        <f t="shared" si="0"/>
        <v>3.5895032802249296</v>
      </c>
      <c r="G23" s="22">
        <f t="shared" si="1"/>
        <v>3.4395501405810682</v>
      </c>
      <c r="H23" s="29">
        <v>329.71456232533416</v>
      </c>
      <c r="I23" s="30" t="s">
        <v>43</v>
      </c>
    </row>
    <row r="24" spans="1:11" s="7" customFormat="1" ht="18" x14ac:dyDescent="0.2">
      <c r="A24" s="27">
        <v>14</v>
      </c>
      <c r="B24" s="37" t="s">
        <v>44</v>
      </c>
      <c r="C24" s="29">
        <v>48.07</v>
      </c>
      <c r="D24" s="20">
        <v>569</v>
      </c>
      <c r="E24" s="31">
        <v>538</v>
      </c>
      <c r="F24" s="22">
        <f t="shared" si="0"/>
        <v>11.836904514250051</v>
      </c>
      <c r="G24" s="22">
        <f t="shared" si="1"/>
        <v>11.192011649677553</v>
      </c>
      <c r="H24" s="29">
        <v>299.34313592524484</v>
      </c>
      <c r="I24" s="30" t="s">
        <v>45</v>
      </c>
    </row>
    <row r="25" spans="1:11" s="7" customFormat="1" ht="18" x14ac:dyDescent="0.2">
      <c r="A25" s="27">
        <v>15</v>
      </c>
      <c r="B25" s="37" t="s">
        <v>46</v>
      </c>
      <c r="C25" s="29">
        <v>32.85</v>
      </c>
      <c r="D25" s="20">
        <v>449</v>
      </c>
      <c r="E25" s="31">
        <v>423</v>
      </c>
      <c r="F25" s="22">
        <f t="shared" si="0"/>
        <v>13.668188736681886</v>
      </c>
      <c r="G25" s="22">
        <f t="shared" si="1"/>
        <v>12.876712328767123</v>
      </c>
      <c r="H25" s="29">
        <v>305.50987966268605</v>
      </c>
      <c r="I25" s="30" t="s">
        <v>47</v>
      </c>
    </row>
    <row r="26" spans="1:11" s="7" customFormat="1" ht="18" x14ac:dyDescent="0.2">
      <c r="A26" s="27"/>
      <c r="B26" s="37"/>
      <c r="C26" s="38"/>
      <c r="D26" s="38"/>
      <c r="E26" s="39"/>
      <c r="F26" s="22"/>
      <c r="G26" s="22"/>
      <c r="H26" s="29"/>
      <c r="I26" s="30"/>
    </row>
    <row r="27" spans="1:11" s="7" customFormat="1" ht="18" x14ac:dyDescent="0.2">
      <c r="A27" s="27"/>
      <c r="B27" s="33" t="s">
        <v>48</v>
      </c>
      <c r="C27" s="35"/>
      <c r="D27" s="40"/>
      <c r="E27" s="41"/>
      <c r="F27" s="22"/>
      <c r="G27" s="22"/>
      <c r="H27" s="35"/>
      <c r="I27" s="36" t="s">
        <v>49</v>
      </c>
    </row>
    <row r="28" spans="1:11" s="7" customFormat="1" ht="18" x14ac:dyDescent="0.2">
      <c r="A28" s="27">
        <v>16</v>
      </c>
      <c r="B28" s="37" t="s">
        <v>50</v>
      </c>
      <c r="C28" s="29">
        <v>113.49</v>
      </c>
      <c r="D28" s="20">
        <v>409</v>
      </c>
      <c r="E28" s="31">
        <v>388</v>
      </c>
      <c r="F28" s="22">
        <f t="shared" ref="F28:F40" si="2">D28/C28</f>
        <v>3.6038417481716452</v>
      </c>
      <c r="G28" s="22">
        <f t="shared" ref="G28:G40" si="3">E28/C28</f>
        <v>3.4188034188034191</v>
      </c>
      <c r="H28" s="29">
        <v>290.43542497313496</v>
      </c>
      <c r="I28" s="30" t="s">
        <v>51</v>
      </c>
    </row>
    <row r="29" spans="1:11" s="7" customFormat="1" ht="18" x14ac:dyDescent="0.2">
      <c r="A29" s="27">
        <v>17</v>
      </c>
      <c r="B29" s="37" t="s">
        <v>52</v>
      </c>
      <c r="C29" s="29">
        <v>299.24</v>
      </c>
      <c r="D29" s="20">
        <v>1951</v>
      </c>
      <c r="E29" s="31">
        <v>1616</v>
      </c>
      <c r="F29" s="22">
        <f t="shared" si="2"/>
        <v>6.5198502873947328</v>
      </c>
      <c r="G29" s="22">
        <f t="shared" si="3"/>
        <v>5.4003475471193685</v>
      </c>
      <c r="H29" s="29">
        <v>289.90407966021627</v>
      </c>
      <c r="I29" s="30" t="s">
        <v>53</v>
      </c>
    </row>
    <row r="30" spans="1:11" s="7" customFormat="1" ht="18" x14ac:dyDescent="0.2">
      <c r="A30" s="27">
        <v>18</v>
      </c>
      <c r="B30" s="37" t="s">
        <v>54</v>
      </c>
      <c r="C30" s="29">
        <v>45.36</v>
      </c>
      <c r="D30" s="20">
        <v>335</v>
      </c>
      <c r="E30" s="31">
        <v>314</v>
      </c>
      <c r="F30" s="22">
        <f t="shared" si="2"/>
        <v>7.3853615520282192</v>
      </c>
      <c r="G30" s="22">
        <f t="shared" si="3"/>
        <v>6.9223985890652555</v>
      </c>
      <c r="H30" s="29">
        <v>288.7631734255591</v>
      </c>
      <c r="I30" s="30" t="s">
        <v>55</v>
      </c>
    </row>
    <row r="31" spans="1:11" s="7" customFormat="1" ht="18" x14ac:dyDescent="0.2">
      <c r="A31" s="27">
        <v>19</v>
      </c>
      <c r="B31" s="37" t="s">
        <v>56</v>
      </c>
      <c r="C31" s="29">
        <v>234.88</v>
      </c>
      <c r="D31" s="20">
        <v>8440</v>
      </c>
      <c r="E31" s="31">
        <v>8186</v>
      </c>
      <c r="F31" s="22">
        <f t="shared" si="2"/>
        <v>35.933242506811993</v>
      </c>
      <c r="G31" s="22">
        <f t="shared" si="3"/>
        <v>34.85183923705722</v>
      </c>
      <c r="H31" s="29">
        <v>276.63080934363416</v>
      </c>
      <c r="I31" s="30" t="s">
        <v>57</v>
      </c>
    </row>
    <row r="32" spans="1:11" s="7" customFormat="1" ht="18" x14ac:dyDescent="0.2">
      <c r="A32" s="27">
        <v>20</v>
      </c>
      <c r="B32" s="37" t="s">
        <v>58</v>
      </c>
      <c r="C32" s="29">
        <v>188.36</v>
      </c>
      <c r="D32" s="20">
        <v>886</v>
      </c>
      <c r="E32" s="31">
        <v>858</v>
      </c>
      <c r="F32" s="22">
        <f t="shared" si="2"/>
        <v>4.7037587598216177</v>
      </c>
      <c r="G32" s="22">
        <f t="shared" si="3"/>
        <v>4.5551072414525375</v>
      </c>
      <c r="H32" s="29">
        <v>271.48163347638678</v>
      </c>
      <c r="I32" s="30" t="s">
        <v>59</v>
      </c>
    </row>
    <row r="33" spans="1:9" s="7" customFormat="1" ht="18" x14ac:dyDescent="0.2">
      <c r="A33" s="27">
        <v>21</v>
      </c>
      <c r="B33" s="37" t="s">
        <v>60</v>
      </c>
      <c r="C33" s="29">
        <v>40.049999999999997</v>
      </c>
      <c r="D33" s="20">
        <v>463</v>
      </c>
      <c r="E33" s="31">
        <v>444</v>
      </c>
      <c r="F33" s="22">
        <f t="shared" si="2"/>
        <v>11.560549313358303</v>
      </c>
      <c r="G33" s="22">
        <f t="shared" si="3"/>
        <v>11.086142322097379</v>
      </c>
      <c r="H33" s="29">
        <v>282.84949303294303</v>
      </c>
      <c r="I33" s="30" t="s">
        <v>61</v>
      </c>
    </row>
    <row r="34" spans="1:9" s="7" customFormat="1" ht="18" x14ac:dyDescent="0.45">
      <c r="A34" s="27">
        <v>22</v>
      </c>
      <c r="B34" s="37" t="s">
        <v>62</v>
      </c>
      <c r="C34" s="29">
        <v>73.989999999999995</v>
      </c>
      <c r="D34" s="20">
        <v>1282</v>
      </c>
      <c r="E34" s="31">
        <v>1213</v>
      </c>
      <c r="F34" s="22">
        <f t="shared" si="2"/>
        <v>17.326665765644009</v>
      </c>
      <c r="G34" s="22">
        <f t="shared" si="3"/>
        <v>16.394107311798894</v>
      </c>
      <c r="H34" s="29">
        <v>263.64727144745308</v>
      </c>
      <c r="I34" s="42" t="s">
        <v>63</v>
      </c>
    </row>
    <row r="35" spans="1:9" s="7" customFormat="1" ht="18" x14ac:dyDescent="0.2">
      <c r="A35" s="27">
        <v>23</v>
      </c>
      <c r="B35" s="37" t="s">
        <v>64</v>
      </c>
      <c r="C35" s="29">
        <v>29.38</v>
      </c>
      <c r="D35" s="20">
        <v>417</v>
      </c>
      <c r="E35" s="31">
        <v>397</v>
      </c>
      <c r="F35" s="22">
        <f t="shared" si="2"/>
        <v>14.193328795098708</v>
      </c>
      <c r="G35" s="22">
        <f t="shared" si="3"/>
        <v>13.512593601089177</v>
      </c>
      <c r="H35" s="29">
        <v>293.04312898570612</v>
      </c>
      <c r="I35" s="30" t="s">
        <v>65</v>
      </c>
    </row>
    <row r="36" spans="1:9" s="7" customFormat="1" ht="18" x14ac:dyDescent="0.2">
      <c r="A36" s="27">
        <v>24</v>
      </c>
      <c r="B36" s="37" t="s">
        <v>66</v>
      </c>
      <c r="C36" s="29">
        <v>31.52</v>
      </c>
      <c r="D36" s="20">
        <v>859</v>
      </c>
      <c r="E36" s="31">
        <v>827</v>
      </c>
      <c r="F36" s="22">
        <f t="shared" si="2"/>
        <v>27.252538071065992</v>
      </c>
      <c r="G36" s="22">
        <f t="shared" si="3"/>
        <v>26.237309644670052</v>
      </c>
      <c r="H36" s="29">
        <v>289.43580026918067</v>
      </c>
      <c r="I36" s="30" t="s">
        <v>67</v>
      </c>
    </row>
    <row r="37" spans="1:9" s="7" customFormat="1" ht="18" x14ac:dyDescent="0.2">
      <c r="A37" s="27">
        <v>25</v>
      </c>
      <c r="B37" s="37" t="s">
        <v>68</v>
      </c>
      <c r="C37" s="29">
        <v>168.2</v>
      </c>
      <c r="D37" s="20">
        <v>743</v>
      </c>
      <c r="E37" s="31">
        <v>706</v>
      </c>
      <c r="F37" s="22">
        <f t="shared" si="2"/>
        <v>4.4173602853745546</v>
      </c>
      <c r="G37" s="22">
        <f t="shared" si="3"/>
        <v>4.1973840665873965</v>
      </c>
      <c r="H37" s="29">
        <v>269.6171442373078</v>
      </c>
      <c r="I37" s="30" t="s">
        <v>69</v>
      </c>
    </row>
    <row r="38" spans="1:9" s="7" customFormat="1" ht="18" x14ac:dyDescent="0.2">
      <c r="A38" s="27">
        <v>26</v>
      </c>
      <c r="B38" s="37" t="s">
        <v>70</v>
      </c>
      <c r="C38" s="29">
        <v>202.49</v>
      </c>
      <c r="D38" s="20">
        <v>1892</v>
      </c>
      <c r="E38" s="31">
        <v>1830</v>
      </c>
      <c r="F38" s="22">
        <f t="shared" si="2"/>
        <v>9.3436712924095016</v>
      </c>
      <c r="G38" s="22">
        <f t="shared" si="3"/>
        <v>9.0374833325102468</v>
      </c>
      <c r="H38" s="29">
        <v>280.73943691607138</v>
      </c>
      <c r="I38" s="30" t="s">
        <v>71</v>
      </c>
    </row>
    <row r="39" spans="1:9" s="7" customFormat="1" ht="18" x14ac:dyDescent="0.2">
      <c r="A39" s="27">
        <v>27</v>
      </c>
      <c r="B39" s="37" t="s">
        <v>72</v>
      </c>
      <c r="C39" s="29">
        <v>166.57</v>
      </c>
      <c r="D39" s="20">
        <v>1081</v>
      </c>
      <c r="E39" s="31">
        <v>990</v>
      </c>
      <c r="F39" s="22">
        <f t="shared" si="2"/>
        <v>6.4897640631566311</v>
      </c>
      <c r="G39" s="22">
        <f t="shared" si="3"/>
        <v>5.9434471993756377</v>
      </c>
      <c r="H39" s="29">
        <v>284.12016529125788</v>
      </c>
      <c r="I39" s="30" t="s">
        <v>73</v>
      </c>
    </row>
    <row r="40" spans="1:9" s="7" customFormat="1" ht="18" x14ac:dyDescent="0.2">
      <c r="A40" s="27">
        <v>28</v>
      </c>
      <c r="B40" s="37" t="s">
        <v>74</v>
      </c>
      <c r="C40" s="29">
        <v>105.14</v>
      </c>
      <c r="D40" s="20">
        <v>783</v>
      </c>
      <c r="E40" s="31">
        <v>746</v>
      </c>
      <c r="F40" s="22">
        <f t="shared" si="2"/>
        <v>7.4472132394902033</v>
      </c>
      <c r="G40" s="22">
        <f t="shared" si="3"/>
        <v>7.0953015027582271</v>
      </c>
      <c r="H40" s="29">
        <v>270.95897369647918</v>
      </c>
      <c r="I40" s="30" t="s">
        <v>75</v>
      </c>
    </row>
    <row r="41" spans="1:9" s="7" customFormat="1" ht="18" x14ac:dyDescent="0.2">
      <c r="A41" s="17"/>
      <c r="B41" s="43"/>
      <c r="C41" s="29"/>
      <c r="D41" s="20"/>
      <c r="E41" s="31"/>
      <c r="F41" s="22"/>
      <c r="G41" s="22"/>
      <c r="H41" s="29"/>
      <c r="I41" s="44"/>
    </row>
    <row r="42" spans="1:9" s="7" customFormat="1" ht="18" x14ac:dyDescent="0.2">
      <c r="A42" s="17"/>
      <c r="B42" s="18" t="s">
        <v>76</v>
      </c>
      <c r="C42" s="29"/>
      <c r="D42" s="20"/>
      <c r="E42" s="31"/>
      <c r="F42" s="22"/>
      <c r="G42" s="22"/>
      <c r="H42" s="35"/>
      <c r="I42" s="24" t="s">
        <v>77</v>
      </c>
    </row>
    <row r="43" spans="1:9" s="7" customFormat="1" ht="18" x14ac:dyDescent="0.2">
      <c r="A43" s="27">
        <v>29</v>
      </c>
      <c r="B43" s="37" t="s">
        <v>78</v>
      </c>
      <c r="C43" s="29">
        <v>62.44</v>
      </c>
      <c r="D43" s="20">
        <v>484</v>
      </c>
      <c r="E43" s="31">
        <v>465</v>
      </c>
      <c r="F43" s="22">
        <f t="shared" ref="F43:F56" si="4">D43/C43</f>
        <v>7.7514413837283795</v>
      </c>
      <c r="G43" s="22">
        <f t="shared" ref="G43:G56" si="5">E43/C43</f>
        <v>7.4471492632927614</v>
      </c>
      <c r="H43" s="29">
        <v>247.79993566762229</v>
      </c>
      <c r="I43" s="30" t="s">
        <v>79</v>
      </c>
    </row>
    <row r="44" spans="1:9" s="7" customFormat="1" ht="18" x14ac:dyDescent="0.2">
      <c r="A44" s="27">
        <v>30</v>
      </c>
      <c r="B44" s="37" t="s">
        <v>80</v>
      </c>
      <c r="C44" s="29">
        <v>87.03</v>
      </c>
      <c r="D44" s="20">
        <v>660</v>
      </c>
      <c r="E44" s="31">
        <v>613</v>
      </c>
      <c r="F44" s="22">
        <f t="shared" si="4"/>
        <v>7.5835918648741814</v>
      </c>
      <c r="G44" s="22">
        <f t="shared" si="5"/>
        <v>7.0435482017695046</v>
      </c>
      <c r="H44" s="29">
        <v>244.08710654058572</v>
      </c>
      <c r="I44" s="30" t="s">
        <v>81</v>
      </c>
    </row>
    <row r="45" spans="1:9" s="7" customFormat="1" ht="18" x14ac:dyDescent="0.2">
      <c r="A45" s="27">
        <v>31</v>
      </c>
      <c r="B45" s="37" t="s">
        <v>82</v>
      </c>
      <c r="C45" s="29">
        <v>89.45</v>
      </c>
      <c r="D45" s="20">
        <v>741</v>
      </c>
      <c r="E45" s="31">
        <v>721</v>
      </c>
      <c r="F45" s="22">
        <f t="shared" si="4"/>
        <v>8.2839575181665737</v>
      </c>
      <c r="G45" s="22">
        <f t="shared" si="5"/>
        <v>8.0603689211850185</v>
      </c>
      <c r="H45" s="29">
        <v>248.34782370965905</v>
      </c>
      <c r="I45" s="30" t="s">
        <v>83</v>
      </c>
    </row>
    <row r="46" spans="1:9" s="7" customFormat="1" ht="18" x14ac:dyDescent="0.2">
      <c r="A46" s="27">
        <v>32</v>
      </c>
      <c r="B46" s="37" t="s">
        <v>84</v>
      </c>
      <c r="C46" s="29">
        <v>67.540000000000006</v>
      </c>
      <c r="D46" s="20">
        <v>1366</v>
      </c>
      <c r="E46" s="31">
        <v>1319</v>
      </c>
      <c r="F46" s="22">
        <f t="shared" si="4"/>
        <v>20.225051821143026</v>
      </c>
      <c r="G46" s="22">
        <f t="shared" si="5"/>
        <v>19.529167900503403</v>
      </c>
      <c r="H46" s="29">
        <v>242.56209095848257</v>
      </c>
      <c r="I46" s="30" t="s">
        <v>85</v>
      </c>
    </row>
    <row r="47" spans="1:9" s="7" customFormat="1" ht="18" x14ac:dyDescent="0.2">
      <c r="A47" s="27">
        <v>33</v>
      </c>
      <c r="B47" s="37" t="s">
        <v>86</v>
      </c>
      <c r="C47" s="29">
        <v>88.85</v>
      </c>
      <c r="D47" s="20">
        <v>2104</v>
      </c>
      <c r="E47" s="31">
        <v>2015</v>
      </c>
      <c r="F47" s="22">
        <f t="shared" si="4"/>
        <v>23.680360157568938</v>
      </c>
      <c r="G47" s="22">
        <f t="shared" si="5"/>
        <v>22.678671918964547</v>
      </c>
      <c r="H47" s="29">
        <v>220.62071894338268</v>
      </c>
      <c r="I47" s="30" t="s">
        <v>87</v>
      </c>
    </row>
    <row r="48" spans="1:9" s="7" customFormat="1" ht="18" x14ac:dyDescent="0.2">
      <c r="A48" s="27">
        <v>34</v>
      </c>
      <c r="B48" s="37" t="s">
        <v>88</v>
      </c>
      <c r="C48" s="29">
        <v>97.4</v>
      </c>
      <c r="D48" s="20">
        <v>515</v>
      </c>
      <c r="E48" s="31">
        <v>496</v>
      </c>
      <c r="F48" s="22">
        <f t="shared" si="4"/>
        <v>5.2874743326488707</v>
      </c>
      <c r="G48" s="22">
        <f t="shared" si="5"/>
        <v>5.0924024640657084</v>
      </c>
      <c r="H48" s="29">
        <v>258.94723977169048</v>
      </c>
      <c r="I48" s="30" t="s">
        <v>89</v>
      </c>
    </row>
    <row r="49" spans="1:9" s="7" customFormat="1" ht="18" x14ac:dyDescent="0.2">
      <c r="A49" s="27">
        <v>35</v>
      </c>
      <c r="B49" s="37" t="s">
        <v>90</v>
      </c>
      <c r="C49" s="29">
        <v>86.92</v>
      </c>
      <c r="D49" s="20">
        <v>1094</v>
      </c>
      <c r="E49" s="31">
        <v>1057</v>
      </c>
      <c r="F49" s="22">
        <f t="shared" si="4"/>
        <v>12.586286240220893</v>
      </c>
      <c r="G49" s="22">
        <f t="shared" si="5"/>
        <v>12.160607455131155</v>
      </c>
      <c r="H49" s="29">
        <v>260.17051184200989</v>
      </c>
      <c r="I49" s="30" t="s">
        <v>91</v>
      </c>
    </row>
    <row r="50" spans="1:9" s="7" customFormat="1" ht="18" x14ac:dyDescent="0.2">
      <c r="A50" s="27">
        <v>36</v>
      </c>
      <c r="B50" s="37" t="s">
        <v>92</v>
      </c>
      <c r="C50" s="29">
        <v>10.36</v>
      </c>
      <c r="D50" s="20">
        <v>1111</v>
      </c>
      <c r="E50" s="31">
        <v>1054</v>
      </c>
      <c r="F50" s="22">
        <f t="shared" si="4"/>
        <v>107.23938223938225</v>
      </c>
      <c r="G50" s="22">
        <f t="shared" si="5"/>
        <v>101.73745173745175</v>
      </c>
      <c r="H50" s="29">
        <v>215.15335442077802</v>
      </c>
      <c r="I50" s="30" t="s">
        <v>93</v>
      </c>
    </row>
    <row r="51" spans="1:9" s="7" customFormat="1" ht="18" x14ac:dyDescent="0.2">
      <c r="A51" s="27">
        <v>37</v>
      </c>
      <c r="B51" s="37" t="s">
        <v>94</v>
      </c>
      <c r="C51" s="29">
        <v>44.67</v>
      </c>
      <c r="D51" s="20">
        <v>597</v>
      </c>
      <c r="E51" s="31">
        <v>562</v>
      </c>
      <c r="F51" s="22">
        <f t="shared" si="4"/>
        <v>13.364674278038953</v>
      </c>
      <c r="G51" s="22">
        <f t="shared" si="5"/>
        <v>12.581150660398476</v>
      </c>
      <c r="H51" s="29">
        <v>222.9072746014439</v>
      </c>
      <c r="I51" s="30" t="s">
        <v>95</v>
      </c>
    </row>
    <row r="52" spans="1:9" s="7" customFormat="1" ht="18" x14ac:dyDescent="0.2">
      <c r="A52" s="27">
        <v>38</v>
      </c>
      <c r="B52" s="37" t="s">
        <v>96</v>
      </c>
      <c r="C52" s="29">
        <v>29.27</v>
      </c>
      <c r="D52" s="20">
        <v>802</v>
      </c>
      <c r="E52" s="31">
        <v>774</v>
      </c>
      <c r="F52" s="22">
        <f t="shared" si="4"/>
        <v>27.400068329347455</v>
      </c>
      <c r="G52" s="22">
        <f t="shared" si="5"/>
        <v>26.443457464981211</v>
      </c>
      <c r="H52" s="29">
        <v>208.54207456684813</v>
      </c>
      <c r="I52" s="30" t="s">
        <v>97</v>
      </c>
    </row>
    <row r="53" spans="1:9" s="7" customFormat="1" ht="18" x14ac:dyDescent="0.2">
      <c r="A53" s="27">
        <v>39</v>
      </c>
      <c r="B53" s="37" t="s">
        <v>98</v>
      </c>
      <c r="C53" s="29">
        <v>29.21</v>
      </c>
      <c r="D53" s="20">
        <v>439</v>
      </c>
      <c r="E53" s="31">
        <v>425</v>
      </c>
      <c r="F53" s="22">
        <f t="shared" si="4"/>
        <v>15.029099623416638</v>
      </c>
      <c r="G53" s="22">
        <f t="shared" si="5"/>
        <v>14.549811708319069</v>
      </c>
      <c r="H53" s="29">
        <v>231.52480239527713</v>
      </c>
      <c r="I53" s="30" t="s">
        <v>99</v>
      </c>
    </row>
    <row r="54" spans="1:9" s="7" customFormat="1" ht="18" x14ac:dyDescent="0.2">
      <c r="A54" s="27">
        <v>40</v>
      </c>
      <c r="B54" s="37" t="s">
        <v>100</v>
      </c>
      <c r="C54" s="29">
        <v>135.02000000000001</v>
      </c>
      <c r="D54" s="20">
        <v>1884</v>
      </c>
      <c r="E54" s="31">
        <v>1782</v>
      </c>
      <c r="F54" s="22">
        <f t="shared" si="4"/>
        <v>13.953488372093021</v>
      </c>
      <c r="G54" s="22">
        <f t="shared" si="5"/>
        <v>13.198044734113463</v>
      </c>
      <c r="H54" s="29">
        <v>236.47279880200287</v>
      </c>
      <c r="I54" s="30" t="s">
        <v>101</v>
      </c>
    </row>
    <row r="55" spans="1:9" s="7" customFormat="1" ht="18" x14ac:dyDescent="0.2">
      <c r="A55" s="27">
        <v>41</v>
      </c>
      <c r="B55" s="37" t="s">
        <v>102</v>
      </c>
      <c r="C55" s="29">
        <v>42.88</v>
      </c>
      <c r="D55" s="20">
        <v>491</v>
      </c>
      <c r="E55" s="31">
        <v>471</v>
      </c>
      <c r="F55" s="22">
        <f t="shared" si="4"/>
        <v>11.450559701492537</v>
      </c>
      <c r="G55" s="22">
        <f t="shared" si="5"/>
        <v>10.984141791044776</v>
      </c>
      <c r="H55" s="29">
        <v>234.53443033328648</v>
      </c>
      <c r="I55" s="30" t="s">
        <v>103</v>
      </c>
    </row>
    <row r="56" spans="1:9" s="7" customFormat="1" ht="18" x14ac:dyDescent="0.2">
      <c r="A56" s="27">
        <v>42</v>
      </c>
      <c r="B56" s="37" t="s">
        <v>104</v>
      </c>
      <c r="C56" s="29">
        <v>39.96</v>
      </c>
      <c r="D56" s="20">
        <v>348</v>
      </c>
      <c r="E56" s="31">
        <v>337</v>
      </c>
      <c r="F56" s="22">
        <f t="shared" si="4"/>
        <v>8.7087087087087092</v>
      </c>
      <c r="G56" s="22">
        <f t="shared" si="5"/>
        <v>8.433433433433434</v>
      </c>
      <c r="H56" s="29">
        <v>255.90073616419605</v>
      </c>
      <c r="I56" s="30" t="s">
        <v>105</v>
      </c>
    </row>
    <row r="57" spans="1:9" s="7" customFormat="1" ht="21" x14ac:dyDescent="0.2">
      <c r="A57" s="27"/>
      <c r="B57" s="131" t="s">
        <v>106</v>
      </c>
      <c r="C57" s="132"/>
      <c r="D57" s="133"/>
      <c r="E57" s="134"/>
      <c r="F57" s="135"/>
      <c r="G57" s="136"/>
      <c r="H57" s="132"/>
      <c r="I57" s="137" t="s">
        <v>107</v>
      </c>
    </row>
    <row r="58" spans="1:9" s="7" customFormat="1" ht="21" x14ac:dyDescent="0.2">
      <c r="A58" s="48"/>
      <c r="B58" s="49"/>
      <c r="C58" s="19"/>
      <c r="D58" s="20"/>
      <c r="E58" s="31"/>
      <c r="F58" s="22"/>
      <c r="G58" s="22"/>
      <c r="H58" s="50"/>
      <c r="I58" s="51"/>
    </row>
    <row r="59" spans="1:9" s="7" customFormat="1" ht="18" x14ac:dyDescent="0.2">
      <c r="A59" s="17"/>
      <c r="B59" s="18" t="s">
        <v>108</v>
      </c>
      <c r="C59" s="29"/>
      <c r="D59" s="20"/>
      <c r="E59" s="31"/>
      <c r="F59" s="22"/>
      <c r="G59" s="22"/>
      <c r="H59" s="23"/>
      <c r="I59" s="24" t="s">
        <v>109</v>
      </c>
    </row>
    <row r="60" spans="1:9" s="7" customFormat="1" ht="18" x14ac:dyDescent="0.2">
      <c r="A60" s="27">
        <v>43</v>
      </c>
      <c r="B60" s="37" t="s">
        <v>110</v>
      </c>
      <c r="C60" s="29">
        <v>26.35</v>
      </c>
      <c r="D60" s="20">
        <v>228</v>
      </c>
      <c r="E60" s="31">
        <v>215</v>
      </c>
      <c r="F60" s="22">
        <f t="shared" ref="F60:F72" si="6">D60/C60</f>
        <v>8.6527514231499048</v>
      </c>
      <c r="G60" s="22">
        <f t="shared" ref="G60:G72" si="7">E60/C60</f>
        <v>8.159392789373813</v>
      </c>
      <c r="H60" s="29">
        <v>177.39051395445676</v>
      </c>
      <c r="I60" s="30" t="s">
        <v>111</v>
      </c>
    </row>
    <row r="61" spans="1:9" s="7" customFormat="1" ht="18" x14ac:dyDescent="0.2">
      <c r="A61" s="27">
        <v>44</v>
      </c>
      <c r="B61" s="37" t="s">
        <v>112</v>
      </c>
      <c r="C61" s="29">
        <v>13.71</v>
      </c>
      <c r="D61" s="20">
        <v>491</v>
      </c>
      <c r="E61" s="31">
        <v>475</v>
      </c>
      <c r="F61" s="22">
        <f t="shared" si="6"/>
        <v>35.813274981765133</v>
      </c>
      <c r="G61" s="22">
        <f t="shared" si="7"/>
        <v>34.646243617797225</v>
      </c>
      <c r="H61" s="29">
        <v>201.53350711335071</v>
      </c>
      <c r="I61" s="30" t="s">
        <v>113</v>
      </c>
    </row>
    <row r="62" spans="1:9" s="7" customFormat="1" ht="18" x14ac:dyDescent="0.2">
      <c r="A62" s="27">
        <v>45</v>
      </c>
      <c r="B62" s="37" t="s">
        <v>114</v>
      </c>
      <c r="C62" s="29">
        <v>20.100000000000001</v>
      </c>
      <c r="D62" s="20">
        <v>1638</v>
      </c>
      <c r="E62" s="31">
        <v>1508</v>
      </c>
      <c r="F62" s="22">
        <f t="shared" si="6"/>
        <v>81.492537313432834</v>
      </c>
      <c r="G62" s="22">
        <f t="shared" si="7"/>
        <v>75.024875621890544</v>
      </c>
      <c r="H62" s="29">
        <v>177.90283429218582</v>
      </c>
      <c r="I62" s="30" t="s">
        <v>115</v>
      </c>
    </row>
    <row r="63" spans="1:9" s="7" customFormat="1" ht="18" x14ac:dyDescent="0.2">
      <c r="A63" s="27">
        <v>46</v>
      </c>
      <c r="B63" s="37" t="s">
        <v>116</v>
      </c>
      <c r="C63" s="29">
        <v>204.6</v>
      </c>
      <c r="D63" s="20">
        <v>1326</v>
      </c>
      <c r="E63" s="31">
        <v>1285</v>
      </c>
      <c r="F63" s="22">
        <f t="shared" si="6"/>
        <v>6.4809384164222879</v>
      </c>
      <c r="G63" s="22">
        <f t="shared" si="7"/>
        <v>6.2805474095796674</v>
      </c>
      <c r="H63" s="29">
        <v>197.63913331942476</v>
      </c>
      <c r="I63" s="30" t="s">
        <v>117</v>
      </c>
    </row>
    <row r="64" spans="1:9" s="7" customFormat="1" ht="18" x14ac:dyDescent="0.2">
      <c r="A64" s="27">
        <v>47</v>
      </c>
      <c r="B64" s="37" t="s">
        <v>118</v>
      </c>
      <c r="C64" s="29">
        <v>27.66</v>
      </c>
      <c r="D64" s="20">
        <v>453</v>
      </c>
      <c r="E64" s="31">
        <v>414</v>
      </c>
      <c r="F64" s="22">
        <f t="shared" si="6"/>
        <v>16.377440347071584</v>
      </c>
      <c r="G64" s="22">
        <f t="shared" si="7"/>
        <v>14.967462039045554</v>
      </c>
      <c r="H64" s="29">
        <v>190.01517464766243</v>
      </c>
      <c r="I64" s="30" t="s">
        <v>119</v>
      </c>
    </row>
    <row r="65" spans="1:9" s="7" customFormat="1" ht="18" x14ac:dyDescent="0.2">
      <c r="A65" s="27">
        <v>48</v>
      </c>
      <c r="B65" s="37" t="s">
        <v>120</v>
      </c>
      <c r="C65" s="29">
        <v>86.3</v>
      </c>
      <c r="D65" s="20">
        <v>665</v>
      </c>
      <c r="E65" s="31">
        <v>652</v>
      </c>
      <c r="F65" s="22">
        <f t="shared" si="6"/>
        <v>7.705677867902665</v>
      </c>
      <c r="G65" s="22">
        <f t="shared" si="7"/>
        <v>7.5550405561993053</v>
      </c>
      <c r="H65" s="29">
        <v>189.58692171681025</v>
      </c>
      <c r="I65" s="30" t="s">
        <v>121</v>
      </c>
    </row>
    <row r="66" spans="1:9" s="7" customFormat="1" ht="18" x14ac:dyDescent="0.2">
      <c r="A66" s="27">
        <v>49</v>
      </c>
      <c r="B66" s="37" t="s">
        <v>122</v>
      </c>
      <c r="C66" s="29">
        <v>41.47</v>
      </c>
      <c r="D66" s="20">
        <v>615</v>
      </c>
      <c r="E66" s="31">
        <v>571</v>
      </c>
      <c r="F66" s="22">
        <f t="shared" si="6"/>
        <v>14.829997588618278</v>
      </c>
      <c r="G66" s="22">
        <f t="shared" si="7"/>
        <v>13.768989631058597</v>
      </c>
      <c r="H66" s="29">
        <v>182.89356310551597</v>
      </c>
      <c r="I66" s="30" t="s">
        <v>123</v>
      </c>
    </row>
    <row r="67" spans="1:9" s="7" customFormat="1" ht="18" x14ac:dyDescent="0.2">
      <c r="A67" s="27">
        <v>50</v>
      </c>
      <c r="B67" s="37" t="s">
        <v>124</v>
      </c>
      <c r="C67" s="29">
        <v>123.26</v>
      </c>
      <c r="D67" s="20">
        <v>715</v>
      </c>
      <c r="E67" s="31">
        <v>697</v>
      </c>
      <c r="F67" s="22">
        <f t="shared" si="6"/>
        <v>5.800746389745254</v>
      </c>
      <c r="G67" s="22">
        <f t="shared" si="7"/>
        <v>5.6547136134999185</v>
      </c>
      <c r="H67" s="29">
        <v>184.34217103692311</v>
      </c>
      <c r="I67" s="30" t="s">
        <v>125</v>
      </c>
    </row>
    <row r="68" spans="1:9" s="7" customFormat="1" ht="18" x14ac:dyDescent="0.2">
      <c r="A68" s="27">
        <v>51</v>
      </c>
      <c r="B68" s="37" t="s">
        <v>126</v>
      </c>
      <c r="C68" s="29">
        <v>38.799999999999997</v>
      </c>
      <c r="D68" s="20">
        <v>666</v>
      </c>
      <c r="E68" s="31">
        <v>633</v>
      </c>
      <c r="F68" s="22">
        <f t="shared" si="6"/>
        <v>17.16494845360825</v>
      </c>
      <c r="G68" s="22">
        <f t="shared" si="7"/>
        <v>16.314432989690722</v>
      </c>
      <c r="H68" s="29">
        <v>192.21665858406908</v>
      </c>
      <c r="I68" s="30" t="s">
        <v>127</v>
      </c>
    </row>
    <row r="69" spans="1:9" s="7" customFormat="1" ht="18" x14ac:dyDescent="0.2">
      <c r="A69" s="27">
        <v>52</v>
      </c>
      <c r="B69" s="37" t="s">
        <v>128</v>
      </c>
      <c r="C69" s="29">
        <v>37.15</v>
      </c>
      <c r="D69" s="20">
        <v>255</v>
      </c>
      <c r="E69" s="31">
        <v>252</v>
      </c>
      <c r="F69" s="22">
        <f t="shared" si="6"/>
        <v>6.8640646029609691</v>
      </c>
      <c r="G69" s="22">
        <f t="shared" si="7"/>
        <v>6.7833109017496636</v>
      </c>
      <c r="H69" s="29">
        <v>178.7162119662049</v>
      </c>
      <c r="I69" s="30" t="s">
        <v>129</v>
      </c>
    </row>
    <row r="70" spans="1:9" s="7" customFormat="1" ht="18" x14ac:dyDescent="0.2">
      <c r="A70" s="27">
        <v>53</v>
      </c>
      <c r="B70" s="37" t="s">
        <v>130</v>
      </c>
      <c r="C70" s="29">
        <v>106.53</v>
      </c>
      <c r="D70" s="20">
        <v>1397</v>
      </c>
      <c r="E70" s="31">
        <v>1295</v>
      </c>
      <c r="F70" s="22">
        <f t="shared" si="6"/>
        <v>13.113676898526236</v>
      </c>
      <c r="G70" s="22">
        <f t="shared" si="7"/>
        <v>12.15620013141838</v>
      </c>
      <c r="H70" s="29">
        <v>176.96803998965862</v>
      </c>
      <c r="I70" s="30" t="s">
        <v>131</v>
      </c>
    </row>
    <row r="71" spans="1:9" s="7" customFormat="1" ht="18" x14ac:dyDescent="0.2">
      <c r="A71" s="27">
        <v>54</v>
      </c>
      <c r="B71" s="37" t="s">
        <v>132</v>
      </c>
      <c r="C71" s="29">
        <v>22.84</v>
      </c>
      <c r="D71" s="20">
        <v>819</v>
      </c>
      <c r="E71" s="31">
        <v>799</v>
      </c>
      <c r="F71" s="22">
        <f t="shared" si="6"/>
        <v>35.858143607705777</v>
      </c>
      <c r="G71" s="22">
        <f t="shared" si="7"/>
        <v>34.982486865148864</v>
      </c>
      <c r="H71" s="29">
        <v>180.21952971905435</v>
      </c>
      <c r="I71" s="30" t="s">
        <v>133</v>
      </c>
    </row>
    <row r="72" spans="1:9" s="7" customFormat="1" ht="18" x14ac:dyDescent="0.2">
      <c r="A72" s="27">
        <v>55</v>
      </c>
      <c r="B72" s="37" t="s">
        <v>134</v>
      </c>
      <c r="C72" s="29">
        <v>43.76</v>
      </c>
      <c r="D72" s="20">
        <v>1961</v>
      </c>
      <c r="E72" s="31">
        <v>1687</v>
      </c>
      <c r="F72" s="22">
        <f t="shared" si="6"/>
        <v>44.812614259597808</v>
      </c>
      <c r="G72" s="22">
        <f t="shared" si="7"/>
        <v>38.551188299817184</v>
      </c>
      <c r="H72" s="29">
        <v>168.20589514782483</v>
      </c>
      <c r="I72" s="30" t="s">
        <v>135</v>
      </c>
    </row>
    <row r="73" spans="1:9" s="7" customFormat="1" ht="18" x14ac:dyDescent="0.2">
      <c r="A73" s="27"/>
      <c r="B73" s="37"/>
      <c r="C73" s="29"/>
      <c r="D73" s="20"/>
      <c r="E73" s="31"/>
      <c r="F73" s="22"/>
      <c r="G73" s="22"/>
      <c r="H73" s="29"/>
      <c r="I73" s="30"/>
    </row>
    <row r="74" spans="1:9" s="7" customFormat="1" ht="18" x14ac:dyDescent="0.2">
      <c r="A74" s="27"/>
      <c r="B74" s="33" t="s">
        <v>136</v>
      </c>
      <c r="C74" s="29"/>
      <c r="D74" s="20"/>
      <c r="E74" s="31"/>
      <c r="F74" s="22"/>
      <c r="G74" s="22"/>
      <c r="H74" s="35"/>
      <c r="I74" s="36" t="s">
        <v>137</v>
      </c>
    </row>
    <row r="75" spans="1:9" s="7" customFormat="1" ht="18" x14ac:dyDescent="0.2">
      <c r="A75" s="27">
        <v>56</v>
      </c>
      <c r="B75" s="37" t="s">
        <v>138</v>
      </c>
      <c r="C75" s="29">
        <v>38.97</v>
      </c>
      <c r="D75" s="20">
        <v>403</v>
      </c>
      <c r="E75" s="31">
        <v>373</v>
      </c>
      <c r="F75" s="22">
        <f t="shared" ref="F75:F89" si="8">D75/C75</f>
        <v>10.341288170387477</v>
      </c>
      <c r="G75" s="22">
        <f t="shared" ref="G75:G89" si="9">E75/C75</f>
        <v>9.5714652296638434</v>
      </c>
      <c r="H75" s="29">
        <v>188.36007748143254</v>
      </c>
      <c r="I75" s="30" t="s">
        <v>139</v>
      </c>
    </row>
    <row r="76" spans="1:9" s="7" customFormat="1" ht="18" x14ac:dyDescent="0.2">
      <c r="A76" s="27">
        <v>57</v>
      </c>
      <c r="B76" s="37" t="s">
        <v>140</v>
      </c>
      <c r="C76" s="29">
        <v>58.24</v>
      </c>
      <c r="D76" s="20">
        <v>1804</v>
      </c>
      <c r="E76" s="31">
        <v>1571</v>
      </c>
      <c r="F76" s="22">
        <f t="shared" si="8"/>
        <v>30.975274725274723</v>
      </c>
      <c r="G76" s="22">
        <f t="shared" si="9"/>
        <v>26.974587912087912</v>
      </c>
      <c r="H76" s="29">
        <v>208.54448392041277</v>
      </c>
      <c r="I76" s="30" t="s">
        <v>141</v>
      </c>
    </row>
    <row r="77" spans="1:9" s="7" customFormat="1" ht="18" x14ac:dyDescent="0.2">
      <c r="A77" s="27">
        <v>58</v>
      </c>
      <c r="B77" s="37" t="s">
        <v>142</v>
      </c>
      <c r="C77" s="29">
        <v>58.76</v>
      </c>
      <c r="D77" s="20">
        <v>318</v>
      </c>
      <c r="E77" s="31">
        <v>304</v>
      </c>
      <c r="F77" s="22">
        <f t="shared" si="8"/>
        <v>5.4118447923757662</v>
      </c>
      <c r="G77" s="22">
        <f t="shared" si="9"/>
        <v>5.1735874744724306</v>
      </c>
      <c r="H77" s="29">
        <v>152.73548703225444</v>
      </c>
      <c r="I77" s="30" t="s">
        <v>143</v>
      </c>
    </row>
    <row r="78" spans="1:9" s="7" customFormat="1" ht="18" x14ac:dyDescent="0.2">
      <c r="A78" s="27">
        <v>59</v>
      </c>
      <c r="B78" s="37" t="s">
        <v>144</v>
      </c>
      <c r="C78" s="29">
        <v>58.57</v>
      </c>
      <c r="D78" s="20">
        <v>1131</v>
      </c>
      <c r="E78" s="31">
        <v>1079</v>
      </c>
      <c r="F78" s="22">
        <f t="shared" si="8"/>
        <v>19.310227078709236</v>
      </c>
      <c r="G78" s="22">
        <f t="shared" si="9"/>
        <v>18.42240054635479</v>
      </c>
      <c r="H78" s="29">
        <v>185.15089759364471</v>
      </c>
      <c r="I78" s="30" t="s">
        <v>145</v>
      </c>
    </row>
    <row r="79" spans="1:9" s="7" customFormat="1" ht="18" x14ac:dyDescent="0.2">
      <c r="A79" s="27">
        <v>60</v>
      </c>
      <c r="B79" s="37" t="s">
        <v>146</v>
      </c>
      <c r="C79" s="29">
        <v>44.64</v>
      </c>
      <c r="D79" s="20">
        <v>1209</v>
      </c>
      <c r="E79" s="31">
        <v>1123</v>
      </c>
      <c r="F79" s="22">
        <f t="shared" si="8"/>
        <v>27.083333333333332</v>
      </c>
      <c r="G79" s="22">
        <f t="shared" si="9"/>
        <v>25.156810035842295</v>
      </c>
      <c r="H79" s="29">
        <v>154.12220857560308</v>
      </c>
      <c r="I79" s="30" t="s">
        <v>147</v>
      </c>
    </row>
    <row r="80" spans="1:9" s="7" customFormat="1" ht="18" x14ac:dyDescent="0.2">
      <c r="A80" s="27">
        <v>61</v>
      </c>
      <c r="B80" s="37" t="s">
        <v>148</v>
      </c>
      <c r="C80" s="29">
        <v>34.159999999999997</v>
      </c>
      <c r="D80" s="20">
        <v>577</v>
      </c>
      <c r="E80" s="31">
        <v>504</v>
      </c>
      <c r="F80" s="22">
        <f t="shared" si="8"/>
        <v>16.891100702576114</v>
      </c>
      <c r="G80" s="22">
        <f t="shared" si="9"/>
        <v>14.754098360655739</v>
      </c>
      <c r="H80" s="29">
        <v>161.40406108531585</v>
      </c>
      <c r="I80" s="30" t="s">
        <v>149</v>
      </c>
    </row>
    <row r="81" spans="1:13" s="7" customFormat="1" ht="18" x14ac:dyDescent="0.2">
      <c r="A81" s="27">
        <v>62</v>
      </c>
      <c r="B81" s="37" t="s">
        <v>150</v>
      </c>
      <c r="C81" s="29">
        <v>53.25</v>
      </c>
      <c r="D81" s="20">
        <v>464</v>
      </c>
      <c r="E81" s="31">
        <v>432</v>
      </c>
      <c r="F81" s="22">
        <f t="shared" si="8"/>
        <v>8.713615023474178</v>
      </c>
      <c r="G81" s="22">
        <f t="shared" si="9"/>
        <v>8.112676056338028</v>
      </c>
      <c r="H81" s="29">
        <v>151.50638927057196</v>
      </c>
      <c r="I81" s="30" t="s">
        <v>151</v>
      </c>
    </row>
    <row r="82" spans="1:13" s="7" customFormat="1" ht="18" x14ac:dyDescent="0.2">
      <c r="A82" s="27">
        <v>63</v>
      </c>
      <c r="B82" s="37" t="s">
        <v>152</v>
      </c>
      <c r="C82" s="29">
        <v>49.09</v>
      </c>
      <c r="D82" s="20">
        <v>798</v>
      </c>
      <c r="E82" s="31">
        <v>765</v>
      </c>
      <c r="F82" s="22">
        <f t="shared" si="8"/>
        <v>16.255856589936851</v>
      </c>
      <c r="G82" s="22">
        <f t="shared" si="9"/>
        <v>15.583621918924424</v>
      </c>
      <c r="H82" s="29">
        <v>167.33260717446282</v>
      </c>
      <c r="I82" s="30" t="s">
        <v>153</v>
      </c>
    </row>
    <row r="83" spans="1:13" s="7" customFormat="1" ht="18" x14ac:dyDescent="0.2">
      <c r="A83" s="27">
        <v>64</v>
      </c>
      <c r="B83" s="37" t="s">
        <v>154</v>
      </c>
      <c r="C83" s="29">
        <v>21.1</v>
      </c>
      <c r="D83" s="20">
        <v>1449</v>
      </c>
      <c r="E83" s="31">
        <v>1390</v>
      </c>
      <c r="F83" s="22">
        <f t="shared" si="8"/>
        <v>68.672985781990519</v>
      </c>
      <c r="G83" s="22">
        <f t="shared" si="9"/>
        <v>65.876777251184834</v>
      </c>
      <c r="H83" s="29">
        <v>160.65930601336856</v>
      </c>
      <c r="I83" s="30" t="s">
        <v>155</v>
      </c>
    </row>
    <row r="84" spans="1:13" s="7" customFormat="1" ht="18" x14ac:dyDescent="0.2">
      <c r="A84" s="27">
        <v>65</v>
      </c>
      <c r="B84" s="37" t="s">
        <v>156</v>
      </c>
      <c r="C84" s="29">
        <v>34.53</v>
      </c>
      <c r="D84" s="20">
        <v>1726</v>
      </c>
      <c r="E84" s="31">
        <v>1664</v>
      </c>
      <c r="F84" s="22">
        <f t="shared" si="8"/>
        <v>49.985519837822181</v>
      </c>
      <c r="G84" s="22">
        <f t="shared" si="9"/>
        <v>48.18997972777295</v>
      </c>
      <c r="H84" s="29">
        <v>155.39386215212542</v>
      </c>
      <c r="I84" s="30" t="s">
        <v>157</v>
      </c>
    </row>
    <row r="85" spans="1:13" s="7" customFormat="1" ht="18" x14ac:dyDescent="0.2">
      <c r="A85" s="27">
        <v>66</v>
      </c>
      <c r="B85" s="37" t="s">
        <v>158</v>
      </c>
      <c r="C85" s="29">
        <v>38.340000000000003</v>
      </c>
      <c r="D85" s="20">
        <v>509</v>
      </c>
      <c r="E85" s="31">
        <v>484</v>
      </c>
      <c r="F85" s="22">
        <f t="shared" si="8"/>
        <v>13.275952008346373</v>
      </c>
      <c r="G85" s="22">
        <f t="shared" si="9"/>
        <v>12.623891497130932</v>
      </c>
      <c r="H85" s="29">
        <v>189.98197704324636</v>
      </c>
      <c r="I85" s="30" t="s">
        <v>159</v>
      </c>
    </row>
    <row r="86" spans="1:13" s="7" customFormat="1" ht="18" x14ac:dyDescent="0.2">
      <c r="A86" s="27">
        <v>67</v>
      </c>
      <c r="B86" s="37" t="s">
        <v>160</v>
      </c>
      <c r="C86" s="29">
        <v>26.45</v>
      </c>
      <c r="D86" s="20">
        <v>516</v>
      </c>
      <c r="E86" s="31">
        <v>494</v>
      </c>
      <c r="F86" s="22">
        <f t="shared" si="8"/>
        <v>19.50850661625709</v>
      </c>
      <c r="G86" s="22">
        <f t="shared" si="9"/>
        <v>18.676748582230623</v>
      </c>
      <c r="H86" s="29">
        <v>162.8574121135037</v>
      </c>
      <c r="I86" s="30" t="s">
        <v>161</v>
      </c>
    </row>
    <row r="87" spans="1:13" s="7" customFormat="1" ht="18" x14ac:dyDescent="0.2">
      <c r="A87" s="27">
        <v>68</v>
      </c>
      <c r="B87" s="37" t="s">
        <v>162</v>
      </c>
      <c r="C87" s="29">
        <v>33.049999999999997</v>
      </c>
      <c r="D87" s="20">
        <v>1501</v>
      </c>
      <c r="E87" s="31">
        <v>1384</v>
      </c>
      <c r="F87" s="22">
        <f t="shared" si="8"/>
        <v>45.416036308623305</v>
      </c>
      <c r="G87" s="22">
        <f t="shared" si="9"/>
        <v>41.875945537065057</v>
      </c>
      <c r="H87" s="29">
        <v>174.38577553399128</v>
      </c>
      <c r="I87" s="30" t="s">
        <v>163</v>
      </c>
    </row>
    <row r="88" spans="1:13" s="7" customFormat="1" ht="18" x14ac:dyDescent="0.2">
      <c r="A88" s="27">
        <v>69</v>
      </c>
      <c r="B88" s="37" t="s">
        <v>164</v>
      </c>
      <c r="C88" s="29">
        <v>37.14</v>
      </c>
      <c r="D88" s="20">
        <v>398</v>
      </c>
      <c r="E88" s="31">
        <v>375</v>
      </c>
      <c r="F88" s="22">
        <f t="shared" si="8"/>
        <v>10.716208939149166</v>
      </c>
      <c r="G88" s="22">
        <f t="shared" si="9"/>
        <v>10.096930533117932</v>
      </c>
      <c r="H88" s="29">
        <v>195.53304178747399</v>
      </c>
      <c r="I88" s="30" t="s">
        <v>165</v>
      </c>
    </row>
    <row r="89" spans="1:13" s="7" customFormat="1" ht="18" x14ac:dyDescent="0.2">
      <c r="A89" s="27">
        <v>70</v>
      </c>
      <c r="B89" s="37" t="s">
        <v>166</v>
      </c>
      <c r="C89" s="29">
        <v>47.77</v>
      </c>
      <c r="D89" s="20">
        <v>3016</v>
      </c>
      <c r="E89" s="31">
        <v>2920</v>
      </c>
      <c r="F89" s="22">
        <f t="shared" si="8"/>
        <v>63.135859325936778</v>
      </c>
      <c r="G89" s="22">
        <f t="shared" si="9"/>
        <v>61.12622985137115</v>
      </c>
      <c r="H89" s="52" t="s">
        <v>167</v>
      </c>
      <c r="I89" s="44"/>
    </row>
    <row r="90" spans="1:13" s="7" customFormat="1" ht="18" x14ac:dyDescent="0.2">
      <c r="A90" s="17"/>
      <c r="B90" s="43"/>
      <c r="C90" s="29"/>
      <c r="D90" s="20"/>
      <c r="E90" s="31"/>
      <c r="F90" s="22"/>
      <c r="G90" s="22"/>
      <c r="H90" s="29"/>
      <c r="I90" s="44"/>
      <c r="M90" s="53"/>
    </row>
    <row r="91" spans="1:13" s="7" customFormat="1" ht="18" x14ac:dyDescent="0.2">
      <c r="A91" s="17"/>
      <c r="B91" s="18" t="s">
        <v>168</v>
      </c>
      <c r="C91" s="29"/>
      <c r="D91" s="20"/>
      <c r="E91" s="31"/>
      <c r="F91" s="22"/>
      <c r="G91" s="22"/>
      <c r="H91" s="35"/>
      <c r="I91" s="24" t="s">
        <v>169</v>
      </c>
    </row>
    <row r="92" spans="1:13" s="7" customFormat="1" ht="18" x14ac:dyDescent="0.2">
      <c r="A92" s="27">
        <v>71</v>
      </c>
      <c r="B92" s="37" t="s">
        <v>170</v>
      </c>
      <c r="C92" s="29">
        <v>65.97</v>
      </c>
      <c r="D92" s="20">
        <v>857</v>
      </c>
      <c r="E92" s="54">
        <v>739</v>
      </c>
      <c r="F92" s="22">
        <f t="shared" ref="F92:F104" si="10">D92/C92</f>
        <v>12.990753372745187</v>
      </c>
      <c r="G92" s="22">
        <f t="shared" ref="G92:G104" si="11">E92/C92</f>
        <v>11.202061543125664</v>
      </c>
      <c r="H92" s="29">
        <v>117.23765516596639</v>
      </c>
      <c r="I92" s="30" t="s">
        <v>171</v>
      </c>
    </row>
    <row r="93" spans="1:13" s="7" customFormat="1" ht="18" x14ac:dyDescent="0.2">
      <c r="A93" s="27">
        <v>72</v>
      </c>
      <c r="B93" s="37" t="s">
        <v>172</v>
      </c>
      <c r="C93" s="29">
        <v>17.25</v>
      </c>
      <c r="D93" s="20">
        <v>401</v>
      </c>
      <c r="E93" s="54">
        <v>359</v>
      </c>
      <c r="F93" s="22">
        <f t="shared" si="10"/>
        <v>23.246376811594203</v>
      </c>
      <c r="G93" s="22">
        <f t="shared" si="11"/>
        <v>20.811594202898551</v>
      </c>
      <c r="H93" s="29">
        <v>120.68402565802486</v>
      </c>
      <c r="I93" s="30" t="s">
        <v>173</v>
      </c>
    </row>
    <row r="94" spans="1:13" s="7" customFormat="1" ht="18" x14ac:dyDescent="0.2">
      <c r="A94" s="27">
        <v>73</v>
      </c>
      <c r="B94" s="37" t="s">
        <v>174</v>
      </c>
      <c r="C94" s="29">
        <v>31.04</v>
      </c>
      <c r="D94" s="20">
        <v>2658</v>
      </c>
      <c r="E94" s="54">
        <v>2530</v>
      </c>
      <c r="F94" s="22">
        <f t="shared" si="10"/>
        <v>85.631443298969074</v>
      </c>
      <c r="G94" s="22">
        <f t="shared" si="11"/>
        <v>81.507731958762889</v>
      </c>
      <c r="H94" s="29">
        <v>114.15241683924339</v>
      </c>
      <c r="I94" s="30" t="s">
        <v>175</v>
      </c>
    </row>
    <row r="95" spans="1:13" s="7" customFormat="1" ht="18" x14ac:dyDescent="0.2">
      <c r="A95" s="27">
        <v>74</v>
      </c>
      <c r="B95" s="37" t="s">
        <v>176</v>
      </c>
      <c r="C95" s="29">
        <v>25.45</v>
      </c>
      <c r="D95" s="20">
        <v>107</v>
      </c>
      <c r="E95" s="54">
        <v>99</v>
      </c>
      <c r="F95" s="22">
        <f t="shared" si="10"/>
        <v>4.2043222003929275</v>
      </c>
      <c r="G95" s="22">
        <f t="shared" si="11"/>
        <v>3.8899803536345776</v>
      </c>
      <c r="H95" s="29">
        <v>99.107403735284393</v>
      </c>
      <c r="I95" s="30" t="s">
        <v>177</v>
      </c>
    </row>
    <row r="96" spans="1:13" s="7" customFormat="1" ht="18" x14ac:dyDescent="0.2">
      <c r="A96" s="27">
        <v>75</v>
      </c>
      <c r="B96" s="37" t="s">
        <v>178</v>
      </c>
      <c r="C96" s="29">
        <v>29.04</v>
      </c>
      <c r="D96" s="20">
        <v>187</v>
      </c>
      <c r="E96" s="54">
        <v>174</v>
      </c>
      <c r="F96" s="22">
        <f t="shared" si="10"/>
        <v>6.4393939393939394</v>
      </c>
      <c r="G96" s="22">
        <f t="shared" si="11"/>
        <v>5.9917355371900829</v>
      </c>
      <c r="H96" s="29">
        <v>101.66660210417403</v>
      </c>
      <c r="I96" s="30" t="s">
        <v>179</v>
      </c>
    </row>
    <row r="97" spans="1:9" s="7" customFormat="1" ht="18" x14ac:dyDescent="0.2">
      <c r="A97" s="27">
        <v>76</v>
      </c>
      <c r="B97" s="37" t="s">
        <v>88</v>
      </c>
      <c r="C97" s="29">
        <v>162.74</v>
      </c>
      <c r="D97" s="20">
        <v>543</v>
      </c>
      <c r="E97" s="54">
        <v>501</v>
      </c>
      <c r="F97" s="22">
        <f t="shared" si="10"/>
        <v>3.3366105444266929</v>
      </c>
      <c r="G97" s="22">
        <f t="shared" si="11"/>
        <v>3.078530170824628</v>
      </c>
      <c r="H97" s="29">
        <v>96.16450884347519</v>
      </c>
      <c r="I97" s="30" t="s">
        <v>89</v>
      </c>
    </row>
    <row r="98" spans="1:9" s="7" customFormat="1" ht="18" x14ac:dyDescent="0.2">
      <c r="A98" s="27">
        <v>77</v>
      </c>
      <c r="B98" s="37" t="s">
        <v>180</v>
      </c>
      <c r="C98" s="29">
        <v>30.65</v>
      </c>
      <c r="D98" s="20">
        <v>705</v>
      </c>
      <c r="E98" s="54">
        <v>669</v>
      </c>
      <c r="F98" s="22">
        <f t="shared" si="10"/>
        <v>23.001631321370311</v>
      </c>
      <c r="G98" s="22">
        <f t="shared" si="11"/>
        <v>21.827079934747147</v>
      </c>
      <c r="H98" s="29">
        <v>113.30190886052645</v>
      </c>
      <c r="I98" s="30" t="s">
        <v>181</v>
      </c>
    </row>
    <row r="99" spans="1:9" s="7" customFormat="1" ht="18" x14ac:dyDescent="0.2">
      <c r="A99" s="27">
        <v>78</v>
      </c>
      <c r="B99" s="37" t="s">
        <v>182</v>
      </c>
      <c r="C99" s="29">
        <v>20.32</v>
      </c>
      <c r="D99" s="20">
        <v>495</v>
      </c>
      <c r="E99" s="54">
        <v>353</v>
      </c>
      <c r="F99" s="22">
        <f t="shared" si="10"/>
        <v>24.360236220472441</v>
      </c>
      <c r="G99" s="22">
        <f t="shared" si="11"/>
        <v>17.372047244094489</v>
      </c>
      <c r="H99" s="29">
        <v>130.07411254652678</v>
      </c>
      <c r="I99" s="30" t="s">
        <v>183</v>
      </c>
    </row>
    <row r="100" spans="1:9" s="7" customFormat="1" ht="18" x14ac:dyDescent="0.2">
      <c r="A100" s="27">
        <v>79</v>
      </c>
      <c r="B100" s="37" t="s">
        <v>184</v>
      </c>
      <c r="C100" s="29">
        <v>17.36</v>
      </c>
      <c r="D100" s="20">
        <v>870</v>
      </c>
      <c r="E100" s="54">
        <v>829</v>
      </c>
      <c r="F100" s="22">
        <f t="shared" si="10"/>
        <v>50.115207373271893</v>
      </c>
      <c r="G100" s="22">
        <f t="shared" si="11"/>
        <v>47.753456221198157</v>
      </c>
      <c r="H100" s="29">
        <v>134.41258552569903</v>
      </c>
      <c r="I100" s="30" t="s">
        <v>185</v>
      </c>
    </row>
    <row r="101" spans="1:9" s="7" customFormat="1" ht="18" x14ac:dyDescent="0.2">
      <c r="A101" s="27">
        <v>80</v>
      </c>
      <c r="B101" s="37" t="s">
        <v>186</v>
      </c>
      <c r="C101" s="29">
        <v>30.46</v>
      </c>
      <c r="D101" s="20">
        <v>360</v>
      </c>
      <c r="E101" s="54">
        <v>345</v>
      </c>
      <c r="F101" s="22">
        <f t="shared" si="10"/>
        <v>11.818778726198293</v>
      </c>
      <c r="G101" s="22">
        <f t="shared" si="11"/>
        <v>11.326329612606697</v>
      </c>
      <c r="H101" s="29">
        <v>123.40607132612985</v>
      </c>
      <c r="I101" s="30" t="s">
        <v>187</v>
      </c>
    </row>
    <row r="102" spans="1:9" s="7" customFormat="1" ht="18" x14ac:dyDescent="0.2">
      <c r="A102" s="27">
        <v>81</v>
      </c>
      <c r="B102" s="37" t="s">
        <v>188</v>
      </c>
      <c r="C102" s="29">
        <v>18.309999999999999</v>
      </c>
      <c r="D102" s="20">
        <v>428</v>
      </c>
      <c r="E102" s="54">
        <v>410</v>
      </c>
      <c r="F102" s="22">
        <f t="shared" si="10"/>
        <v>23.375204806116876</v>
      </c>
      <c r="G102" s="22">
        <f t="shared" si="11"/>
        <v>22.392135445111961</v>
      </c>
      <c r="H102" s="29">
        <v>134.5057496870327</v>
      </c>
      <c r="I102" s="30" t="s">
        <v>189</v>
      </c>
    </row>
    <row r="103" spans="1:9" s="7" customFormat="1" ht="18" x14ac:dyDescent="0.2">
      <c r="A103" s="27">
        <v>82</v>
      </c>
      <c r="B103" s="37" t="s">
        <v>190</v>
      </c>
      <c r="C103" s="29">
        <v>25.22</v>
      </c>
      <c r="D103" s="20">
        <v>484</v>
      </c>
      <c r="E103" s="54">
        <v>458</v>
      </c>
      <c r="F103" s="22">
        <f t="shared" si="10"/>
        <v>19.191118160190324</v>
      </c>
      <c r="G103" s="22">
        <f t="shared" si="11"/>
        <v>18.160190325138778</v>
      </c>
      <c r="H103" s="29">
        <v>115.7436895327659</v>
      </c>
      <c r="I103" s="30" t="s">
        <v>191</v>
      </c>
    </row>
    <row r="104" spans="1:9" s="7" customFormat="1" ht="18" x14ac:dyDescent="0.2">
      <c r="A104" s="27">
        <v>83</v>
      </c>
      <c r="B104" s="37" t="s">
        <v>192</v>
      </c>
      <c r="C104" s="29">
        <v>24.23</v>
      </c>
      <c r="D104" s="20">
        <v>1506</v>
      </c>
      <c r="E104" s="54">
        <v>1412</v>
      </c>
      <c r="F104" s="22">
        <f t="shared" si="10"/>
        <v>62.154354106479566</v>
      </c>
      <c r="G104" s="22">
        <f t="shared" si="11"/>
        <v>58.274865868757736</v>
      </c>
      <c r="H104" s="29">
        <v>120.08768799050748</v>
      </c>
      <c r="I104" s="30" t="s">
        <v>193</v>
      </c>
    </row>
    <row r="105" spans="1:9" s="7" customFormat="1" ht="18" x14ac:dyDescent="0.2">
      <c r="A105" s="27"/>
      <c r="B105" s="37"/>
      <c r="C105" s="29"/>
      <c r="D105" s="20"/>
      <c r="E105" s="31"/>
      <c r="F105" s="22"/>
      <c r="G105" s="22"/>
      <c r="H105" s="29"/>
      <c r="I105" s="30"/>
    </row>
    <row r="106" spans="1:9" s="7" customFormat="1" ht="18" x14ac:dyDescent="0.2">
      <c r="A106" s="27"/>
      <c r="B106" s="33" t="s">
        <v>194</v>
      </c>
      <c r="C106" s="29"/>
      <c r="D106" s="20"/>
      <c r="E106" s="31"/>
      <c r="F106" s="22"/>
      <c r="G106" s="22"/>
      <c r="H106" s="35"/>
      <c r="I106" s="36" t="s">
        <v>195</v>
      </c>
    </row>
    <row r="107" spans="1:9" s="7" customFormat="1" ht="18" x14ac:dyDescent="0.2">
      <c r="A107" s="27">
        <v>84</v>
      </c>
      <c r="B107" s="37" t="s">
        <v>196</v>
      </c>
      <c r="C107" s="29">
        <v>21.87</v>
      </c>
      <c r="D107" s="20">
        <v>2497</v>
      </c>
      <c r="E107" s="54">
        <v>2422</v>
      </c>
      <c r="F107" s="22">
        <f>D107/C107</f>
        <v>114.17466849565615</v>
      </c>
      <c r="G107" s="22">
        <f>E107/C107</f>
        <v>110.74531321444901</v>
      </c>
      <c r="H107" s="29">
        <v>147.02013273954145</v>
      </c>
      <c r="I107" s="30" t="s">
        <v>197</v>
      </c>
    </row>
    <row r="108" spans="1:9" s="7" customFormat="1" ht="18" x14ac:dyDescent="0.2">
      <c r="A108" s="27">
        <v>85</v>
      </c>
      <c r="B108" s="37" t="s">
        <v>198</v>
      </c>
      <c r="C108" s="29">
        <v>20.87</v>
      </c>
      <c r="D108" s="20">
        <v>1259</v>
      </c>
      <c r="E108" s="54">
        <v>1177</v>
      </c>
      <c r="F108" s="22">
        <f>D108/C108</f>
        <v>60.325826545280307</v>
      </c>
      <c r="G108" s="22">
        <f>E108/C108</f>
        <v>56.396741734547192</v>
      </c>
      <c r="H108" s="29">
        <v>129.0493890091164</v>
      </c>
      <c r="I108" s="30" t="s">
        <v>199</v>
      </c>
    </row>
    <row r="109" spans="1:9" s="7" customFormat="1" ht="18" x14ac:dyDescent="0.2">
      <c r="A109" s="27">
        <v>86</v>
      </c>
      <c r="B109" s="37" t="s">
        <v>200</v>
      </c>
      <c r="C109" s="29">
        <v>54.32</v>
      </c>
      <c r="D109" s="20">
        <v>4103</v>
      </c>
      <c r="E109" s="54">
        <v>3806</v>
      </c>
      <c r="F109" s="22">
        <f>D109/C109</f>
        <v>75.533873343151697</v>
      </c>
      <c r="G109" s="22">
        <f>E109/C109</f>
        <v>70.06627393225331</v>
      </c>
      <c r="H109" s="29">
        <v>142.10387746541366</v>
      </c>
      <c r="I109" s="30" t="s">
        <v>201</v>
      </c>
    </row>
    <row r="110" spans="1:9" s="7" customFormat="1" ht="18" x14ac:dyDescent="0.2">
      <c r="A110" s="27">
        <v>87</v>
      </c>
      <c r="B110" s="37" t="s">
        <v>202</v>
      </c>
      <c r="C110" s="29">
        <v>24.87</v>
      </c>
      <c r="D110" s="20">
        <v>521</v>
      </c>
      <c r="E110" s="54">
        <v>500</v>
      </c>
      <c r="F110" s="22">
        <f>D110/C110</f>
        <v>20.948934459187775</v>
      </c>
      <c r="G110" s="22">
        <f>E110/C110</f>
        <v>20.10454362685967</v>
      </c>
      <c r="H110" s="29">
        <v>123.4997257236855</v>
      </c>
      <c r="I110" s="30" t="s">
        <v>203</v>
      </c>
    </row>
    <row r="111" spans="1:9" s="7" customFormat="1" ht="18" x14ac:dyDescent="0.2">
      <c r="A111" s="55"/>
      <c r="B111" s="56"/>
      <c r="C111" s="22"/>
      <c r="D111" s="20"/>
      <c r="E111" s="31"/>
      <c r="F111" s="22"/>
      <c r="G111" s="22"/>
      <c r="H111" s="57"/>
      <c r="I111" s="58"/>
    </row>
    <row r="112" spans="1:9" s="7" customFormat="1" ht="21" x14ac:dyDescent="0.2">
      <c r="A112" s="27"/>
      <c r="B112" s="131" t="s">
        <v>106</v>
      </c>
      <c r="C112" s="132"/>
      <c r="D112" s="133"/>
      <c r="E112" s="134"/>
      <c r="F112" s="135"/>
      <c r="G112" s="136"/>
      <c r="H112" s="132"/>
      <c r="I112" s="137" t="s">
        <v>107</v>
      </c>
    </row>
    <row r="113" spans="1:10" s="7" customFormat="1" ht="11.25" customHeight="1" x14ac:dyDescent="0.2">
      <c r="A113" s="48"/>
      <c r="B113" s="49"/>
      <c r="C113" s="50"/>
      <c r="D113" s="128"/>
      <c r="E113" s="129"/>
      <c r="F113" s="22"/>
      <c r="G113" s="22"/>
      <c r="H113" s="50"/>
      <c r="I113" s="51"/>
      <c r="J113" s="130"/>
    </row>
    <row r="114" spans="1:10" s="7" customFormat="1" ht="18" x14ac:dyDescent="0.2">
      <c r="A114" s="17"/>
      <c r="B114" s="33" t="s">
        <v>204</v>
      </c>
      <c r="C114" s="35"/>
      <c r="D114" s="40"/>
      <c r="E114" s="41"/>
      <c r="F114" s="22"/>
      <c r="G114" s="22"/>
      <c r="H114" s="35"/>
      <c r="I114" s="36" t="s">
        <v>205</v>
      </c>
    </row>
    <row r="115" spans="1:10" s="7" customFormat="1" ht="18" x14ac:dyDescent="0.2">
      <c r="A115" s="27">
        <v>88</v>
      </c>
      <c r="B115" s="37" t="s">
        <v>206</v>
      </c>
      <c r="C115" s="29">
        <v>22.39</v>
      </c>
      <c r="D115" s="20">
        <v>1053</v>
      </c>
      <c r="E115" s="31">
        <v>966</v>
      </c>
      <c r="F115" s="22">
        <f t="shared" ref="F115:F123" si="12">D115/C115</f>
        <v>47.029924073246981</v>
      </c>
      <c r="G115" s="22">
        <f t="shared" ref="G115:G123" si="13">E115/C115</f>
        <v>43.144260830728001</v>
      </c>
      <c r="H115" s="29">
        <v>37.195151274456549</v>
      </c>
      <c r="I115" s="30" t="s">
        <v>207</v>
      </c>
    </row>
    <row r="116" spans="1:10" s="7" customFormat="1" ht="18" x14ac:dyDescent="0.2">
      <c r="A116" s="27">
        <v>89</v>
      </c>
      <c r="B116" s="37" t="s">
        <v>208</v>
      </c>
      <c r="C116" s="29">
        <v>16.670000000000002</v>
      </c>
      <c r="D116" s="20">
        <v>1066</v>
      </c>
      <c r="E116" s="31">
        <v>1010</v>
      </c>
      <c r="F116" s="22">
        <f t="shared" si="12"/>
        <v>63.947210557888418</v>
      </c>
      <c r="G116" s="22">
        <f t="shared" si="13"/>
        <v>60.587882423515289</v>
      </c>
      <c r="H116" s="29">
        <v>62.550860112406703</v>
      </c>
      <c r="I116" s="30" t="s">
        <v>209</v>
      </c>
    </row>
    <row r="117" spans="1:10" s="7" customFormat="1" ht="18" x14ac:dyDescent="0.2">
      <c r="A117" s="27">
        <v>90</v>
      </c>
      <c r="B117" s="37" t="s">
        <v>210</v>
      </c>
      <c r="C117" s="29">
        <v>10.54</v>
      </c>
      <c r="D117" s="20">
        <v>912</v>
      </c>
      <c r="E117" s="31">
        <v>831</v>
      </c>
      <c r="F117" s="22">
        <f t="shared" si="12"/>
        <v>86.527514231499055</v>
      </c>
      <c r="G117" s="22">
        <f t="shared" si="13"/>
        <v>78.842504743833018</v>
      </c>
      <c r="H117" s="29">
        <v>20.49661851795053</v>
      </c>
      <c r="I117" s="30" t="s">
        <v>211</v>
      </c>
    </row>
    <row r="118" spans="1:10" s="7" customFormat="1" ht="18" x14ac:dyDescent="0.2">
      <c r="A118" s="27">
        <v>91</v>
      </c>
      <c r="B118" s="37" t="s">
        <v>212</v>
      </c>
      <c r="C118" s="29">
        <v>22.68</v>
      </c>
      <c r="D118" s="20">
        <v>1738</v>
      </c>
      <c r="E118" s="31">
        <v>1569</v>
      </c>
      <c r="F118" s="22">
        <f t="shared" si="12"/>
        <v>76.631393298059962</v>
      </c>
      <c r="G118" s="22">
        <f t="shared" si="13"/>
        <v>69.179894179894177</v>
      </c>
      <c r="H118" s="29">
        <v>30.718740913454958</v>
      </c>
      <c r="I118" s="30" t="s">
        <v>213</v>
      </c>
    </row>
    <row r="119" spans="1:10" s="7" customFormat="1" ht="18" x14ac:dyDescent="0.2">
      <c r="A119" s="27">
        <v>92</v>
      </c>
      <c r="B119" s="37" t="s">
        <v>214</v>
      </c>
      <c r="C119" s="29">
        <v>42.6</v>
      </c>
      <c r="D119" s="20">
        <v>1725</v>
      </c>
      <c r="E119" s="31">
        <v>1328</v>
      </c>
      <c r="F119" s="22">
        <f t="shared" si="12"/>
        <v>40.492957746478872</v>
      </c>
      <c r="G119" s="22">
        <f t="shared" si="13"/>
        <v>31.173708920187792</v>
      </c>
      <c r="H119" s="29">
        <v>16.544150560394538</v>
      </c>
      <c r="I119" s="30" t="s">
        <v>215</v>
      </c>
    </row>
    <row r="120" spans="1:10" s="7" customFormat="1" ht="18" x14ac:dyDescent="0.2">
      <c r="A120" s="27">
        <v>93</v>
      </c>
      <c r="B120" s="37" t="s">
        <v>216</v>
      </c>
      <c r="C120" s="29">
        <v>26.23</v>
      </c>
      <c r="D120" s="20">
        <v>1300</v>
      </c>
      <c r="E120" s="31">
        <v>1014</v>
      </c>
      <c r="F120" s="22">
        <f t="shared" si="12"/>
        <v>49.561570720548985</v>
      </c>
      <c r="G120" s="22">
        <f t="shared" si="13"/>
        <v>38.65802516202821</v>
      </c>
      <c r="H120" s="29">
        <v>20.335958745265142</v>
      </c>
      <c r="I120" s="30" t="s">
        <v>217</v>
      </c>
    </row>
    <row r="121" spans="1:10" s="7" customFormat="1" ht="18" x14ac:dyDescent="0.2">
      <c r="A121" s="27">
        <v>94</v>
      </c>
      <c r="B121" s="37" t="s">
        <v>218</v>
      </c>
      <c r="C121" s="29">
        <v>276.23</v>
      </c>
      <c r="D121" s="20">
        <v>1865</v>
      </c>
      <c r="E121" s="31">
        <v>1715</v>
      </c>
      <c r="F121" s="22">
        <f t="shared" si="12"/>
        <v>6.7516200267892694</v>
      </c>
      <c r="G121" s="22">
        <f t="shared" si="13"/>
        <v>6.2085942873692206</v>
      </c>
      <c r="H121" s="29">
        <v>87.067344237929547</v>
      </c>
      <c r="I121" s="30" t="s">
        <v>219</v>
      </c>
    </row>
    <row r="122" spans="1:10" s="7" customFormat="1" ht="18" x14ac:dyDescent="0.2">
      <c r="A122" s="27">
        <v>95</v>
      </c>
      <c r="B122" s="37" t="s">
        <v>220</v>
      </c>
      <c r="C122" s="29">
        <v>36.479999999999997</v>
      </c>
      <c r="D122" s="20">
        <v>3025</v>
      </c>
      <c r="E122" s="31">
        <v>2606</v>
      </c>
      <c r="F122" s="22">
        <f t="shared" si="12"/>
        <v>82.922149122807028</v>
      </c>
      <c r="G122" s="22">
        <f t="shared" si="13"/>
        <v>71.436403508771932</v>
      </c>
      <c r="H122" s="29">
        <v>26.001080049908023</v>
      </c>
      <c r="I122" s="30" t="s">
        <v>221</v>
      </c>
    </row>
    <row r="123" spans="1:10" s="7" customFormat="1" ht="18" x14ac:dyDescent="0.2">
      <c r="A123" s="27">
        <v>96</v>
      </c>
      <c r="B123" s="37" t="s">
        <v>222</v>
      </c>
      <c r="C123" s="29">
        <v>36.6</v>
      </c>
      <c r="D123" s="20">
        <v>1408</v>
      </c>
      <c r="E123" s="31">
        <v>1127</v>
      </c>
      <c r="F123" s="22">
        <f t="shared" si="12"/>
        <v>38.469945355191257</v>
      </c>
      <c r="G123" s="22">
        <f t="shared" si="13"/>
        <v>30.792349726775956</v>
      </c>
      <c r="H123" s="29">
        <v>28.618605057846835</v>
      </c>
      <c r="I123" s="30" t="s">
        <v>223</v>
      </c>
    </row>
    <row r="124" spans="1:10" s="7" customFormat="1" ht="18" x14ac:dyDescent="0.2">
      <c r="A124" s="27"/>
      <c r="B124" s="37"/>
      <c r="C124" s="29"/>
      <c r="D124" s="38"/>
      <c r="E124" s="39"/>
      <c r="F124" s="22"/>
      <c r="G124" s="22"/>
      <c r="H124" s="29"/>
      <c r="I124" s="30"/>
    </row>
    <row r="125" spans="1:10" s="7" customFormat="1" ht="18" x14ac:dyDescent="0.2">
      <c r="A125" s="27"/>
      <c r="B125" s="33" t="s">
        <v>224</v>
      </c>
      <c r="C125" s="29"/>
      <c r="D125" s="40"/>
      <c r="E125" s="41"/>
      <c r="F125" s="22"/>
      <c r="G125" s="22"/>
      <c r="H125" s="35"/>
      <c r="I125" s="36" t="s">
        <v>225</v>
      </c>
    </row>
    <row r="126" spans="1:10" s="7" customFormat="1" ht="18" x14ac:dyDescent="0.2">
      <c r="A126" s="27">
        <v>97</v>
      </c>
      <c r="B126" s="37" t="s">
        <v>226</v>
      </c>
      <c r="C126" s="29">
        <v>10.96</v>
      </c>
      <c r="D126" s="20">
        <v>608</v>
      </c>
      <c r="E126" s="31">
        <v>584</v>
      </c>
      <c r="F126" s="22">
        <f t="shared" ref="F126:F133" si="14">D126/C126</f>
        <v>55.474452554744524</v>
      </c>
      <c r="G126" s="22">
        <f t="shared" ref="G126:G133" si="15">E126/C126</f>
        <v>53.284671532846708</v>
      </c>
      <c r="H126" s="29">
        <v>81.592756299293271</v>
      </c>
      <c r="I126" s="30" t="s">
        <v>227</v>
      </c>
    </row>
    <row r="127" spans="1:10" s="63" customFormat="1" ht="18" x14ac:dyDescent="0.25">
      <c r="A127" s="27">
        <v>98</v>
      </c>
      <c r="B127" s="37" t="s">
        <v>228</v>
      </c>
      <c r="C127" s="29">
        <v>43.48</v>
      </c>
      <c r="D127" s="20">
        <v>441</v>
      </c>
      <c r="E127" s="31">
        <v>413</v>
      </c>
      <c r="F127" s="22">
        <f t="shared" si="14"/>
        <v>10.142594296228152</v>
      </c>
      <c r="G127" s="22">
        <f t="shared" si="15"/>
        <v>9.498620055197792</v>
      </c>
      <c r="H127" s="29">
        <v>87.875003094115016</v>
      </c>
      <c r="I127" s="30" t="s">
        <v>229</v>
      </c>
    </row>
    <row r="128" spans="1:10" s="7" customFormat="1" ht="18" x14ac:dyDescent="0.2">
      <c r="A128" s="27">
        <v>99</v>
      </c>
      <c r="B128" s="37" t="s">
        <v>230</v>
      </c>
      <c r="C128" s="29">
        <v>22.16</v>
      </c>
      <c r="D128" s="20">
        <v>724</v>
      </c>
      <c r="E128" s="31">
        <v>666</v>
      </c>
      <c r="F128" s="22">
        <f t="shared" si="14"/>
        <v>32.671480144404335</v>
      </c>
      <c r="G128" s="22">
        <f t="shared" si="15"/>
        <v>30.054151624548737</v>
      </c>
      <c r="H128" s="29">
        <v>89.49576331560003</v>
      </c>
      <c r="I128" s="30" t="s">
        <v>231</v>
      </c>
    </row>
    <row r="129" spans="1:9" s="7" customFormat="1" ht="18" x14ac:dyDescent="0.2">
      <c r="A129" s="27">
        <v>100</v>
      </c>
      <c r="B129" s="37" t="s">
        <v>190</v>
      </c>
      <c r="C129" s="29">
        <v>32.81</v>
      </c>
      <c r="D129" s="20">
        <v>434</v>
      </c>
      <c r="E129" s="31">
        <v>408</v>
      </c>
      <c r="F129" s="22">
        <f t="shared" si="14"/>
        <v>13.227674489484912</v>
      </c>
      <c r="G129" s="22">
        <f t="shared" si="15"/>
        <v>12.435233160621761</v>
      </c>
      <c r="H129" s="29">
        <v>90.198017678456637</v>
      </c>
      <c r="I129" s="30" t="s">
        <v>191</v>
      </c>
    </row>
    <row r="130" spans="1:9" s="7" customFormat="1" ht="18" x14ac:dyDescent="0.2">
      <c r="A130" s="27">
        <v>101</v>
      </c>
      <c r="B130" s="37" t="s">
        <v>232</v>
      </c>
      <c r="C130" s="29">
        <v>20.76</v>
      </c>
      <c r="D130" s="20">
        <v>662</v>
      </c>
      <c r="E130" s="31">
        <v>623</v>
      </c>
      <c r="F130" s="22">
        <f t="shared" si="14"/>
        <v>31.888246628131018</v>
      </c>
      <c r="G130" s="22">
        <f t="shared" si="15"/>
        <v>30.009633911368013</v>
      </c>
      <c r="H130" s="29">
        <v>84.525064569924709</v>
      </c>
      <c r="I130" s="30" t="s">
        <v>233</v>
      </c>
    </row>
    <row r="131" spans="1:9" s="7" customFormat="1" ht="18" x14ac:dyDescent="0.2">
      <c r="A131" s="27">
        <v>102</v>
      </c>
      <c r="B131" s="37" t="s">
        <v>234</v>
      </c>
      <c r="C131" s="29">
        <v>20.68</v>
      </c>
      <c r="D131" s="20">
        <v>1067</v>
      </c>
      <c r="E131" s="31">
        <v>943</v>
      </c>
      <c r="F131" s="22">
        <f t="shared" si="14"/>
        <v>51.595744680851062</v>
      </c>
      <c r="G131" s="22">
        <f t="shared" si="15"/>
        <v>45.599613152804643</v>
      </c>
      <c r="H131" s="29">
        <v>57.42326999049218</v>
      </c>
      <c r="I131" s="30" t="s">
        <v>235</v>
      </c>
    </row>
    <row r="132" spans="1:9" s="7" customFormat="1" ht="18" x14ac:dyDescent="0.2">
      <c r="A132" s="27">
        <v>103</v>
      </c>
      <c r="B132" s="37" t="s">
        <v>236</v>
      </c>
      <c r="C132" s="29">
        <v>162.74</v>
      </c>
      <c r="D132" s="20">
        <v>1534</v>
      </c>
      <c r="E132" s="31">
        <v>1347</v>
      </c>
      <c r="F132" s="22">
        <f t="shared" si="14"/>
        <v>9.4260784072754085</v>
      </c>
      <c r="G132" s="22">
        <f t="shared" si="15"/>
        <v>8.2770062676662164</v>
      </c>
      <c r="H132" s="29">
        <v>67.287311989340722</v>
      </c>
      <c r="I132" s="30" t="s">
        <v>237</v>
      </c>
    </row>
    <row r="133" spans="1:9" s="7" customFormat="1" ht="18" x14ac:dyDescent="0.2">
      <c r="A133" s="27">
        <v>104</v>
      </c>
      <c r="B133" s="37" t="s">
        <v>238</v>
      </c>
      <c r="C133" s="29">
        <v>22.02</v>
      </c>
      <c r="D133" s="20">
        <v>1005</v>
      </c>
      <c r="E133" s="31">
        <v>921</v>
      </c>
      <c r="F133" s="22">
        <f t="shared" si="14"/>
        <v>45.640326975476839</v>
      </c>
      <c r="G133" s="22">
        <f t="shared" si="15"/>
        <v>41.825613079019071</v>
      </c>
      <c r="H133" s="29">
        <v>71.410649273936912</v>
      </c>
      <c r="I133" s="30" t="s">
        <v>239</v>
      </c>
    </row>
    <row r="134" spans="1:9" s="7" customFormat="1" ht="18" x14ac:dyDescent="0.2">
      <c r="A134" s="27"/>
      <c r="B134" s="37"/>
      <c r="C134" s="29"/>
      <c r="D134" s="38"/>
      <c r="E134" s="39"/>
      <c r="F134" s="22"/>
      <c r="G134" s="22"/>
      <c r="H134" s="29"/>
      <c r="I134" s="30"/>
    </row>
    <row r="135" spans="1:9" s="7" customFormat="1" ht="21" x14ac:dyDescent="0.2">
      <c r="A135" s="27"/>
      <c r="B135" s="33" t="s">
        <v>240</v>
      </c>
      <c r="C135" s="29"/>
      <c r="D135" s="40"/>
      <c r="E135" s="41"/>
      <c r="F135" s="22"/>
      <c r="G135" s="22"/>
      <c r="H135" s="35"/>
      <c r="I135" s="64" t="s">
        <v>241</v>
      </c>
    </row>
    <row r="136" spans="1:9" s="7" customFormat="1" ht="18" x14ac:dyDescent="0.2">
      <c r="A136" s="27">
        <v>105</v>
      </c>
      <c r="B136" s="37" t="s">
        <v>242</v>
      </c>
      <c r="C136" s="29">
        <v>20.71</v>
      </c>
      <c r="D136" s="20">
        <v>517</v>
      </c>
      <c r="E136" s="31">
        <v>480</v>
      </c>
      <c r="F136" s="22">
        <f t="shared" ref="F136:F145" si="16">D136/C136</f>
        <v>24.963785610816029</v>
      </c>
      <c r="G136" s="22">
        <f t="shared" ref="G136:G145" si="17">E136/C136</f>
        <v>23.177209077740223</v>
      </c>
      <c r="H136" s="29">
        <v>70.714399302136613</v>
      </c>
      <c r="I136" s="30" t="s">
        <v>243</v>
      </c>
    </row>
    <row r="137" spans="1:9" s="7" customFormat="1" ht="18" x14ac:dyDescent="0.2">
      <c r="A137" s="27">
        <v>106</v>
      </c>
      <c r="B137" s="37" t="s">
        <v>244</v>
      </c>
      <c r="C137" s="29">
        <v>22.93</v>
      </c>
      <c r="D137" s="20">
        <v>883</v>
      </c>
      <c r="E137" s="31">
        <v>840</v>
      </c>
      <c r="F137" s="22">
        <f t="shared" si="16"/>
        <v>38.50850414304405</v>
      </c>
      <c r="G137" s="22">
        <f t="shared" si="17"/>
        <v>36.633231574356735</v>
      </c>
      <c r="H137" s="29">
        <v>73.64387216501224</v>
      </c>
      <c r="I137" s="30" t="s">
        <v>245</v>
      </c>
    </row>
    <row r="138" spans="1:9" s="63" customFormat="1" ht="18" x14ac:dyDescent="0.25">
      <c r="A138" s="27">
        <v>107</v>
      </c>
      <c r="B138" s="37" t="s">
        <v>246</v>
      </c>
      <c r="C138" s="29">
        <v>6</v>
      </c>
      <c r="D138" s="20">
        <v>462</v>
      </c>
      <c r="E138" s="31">
        <v>437</v>
      </c>
      <c r="F138" s="22">
        <f t="shared" si="16"/>
        <v>77</v>
      </c>
      <c r="G138" s="22">
        <f t="shared" si="17"/>
        <v>72.833333333333329</v>
      </c>
      <c r="H138" s="29">
        <v>78.072795342715096</v>
      </c>
      <c r="I138" s="30" t="s">
        <v>247</v>
      </c>
    </row>
    <row r="139" spans="1:9" s="63" customFormat="1" ht="18" x14ac:dyDescent="0.25">
      <c r="A139" s="27">
        <v>108</v>
      </c>
      <c r="B139" s="43" t="s">
        <v>248</v>
      </c>
      <c r="C139" s="29">
        <v>24.19</v>
      </c>
      <c r="D139" s="20">
        <v>824</v>
      </c>
      <c r="E139" s="31">
        <v>707</v>
      </c>
      <c r="F139" s="22">
        <f t="shared" si="16"/>
        <v>34.063662670525005</v>
      </c>
      <c r="G139" s="22">
        <f t="shared" si="17"/>
        <v>29.226953286482015</v>
      </c>
      <c r="H139" s="19">
        <v>87.856112636316354</v>
      </c>
      <c r="I139" s="44" t="s">
        <v>249</v>
      </c>
    </row>
    <row r="140" spans="1:9" s="7" customFormat="1" ht="18" x14ac:dyDescent="0.2">
      <c r="A140" s="27">
        <v>109</v>
      </c>
      <c r="B140" s="37" t="s">
        <v>250</v>
      </c>
      <c r="C140" s="29">
        <v>19.440000000000001</v>
      </c>
      <c r="D140" s="20">
        <v>153</v>
      </c>
      <c r="E140" s="31">
        <v>137</v>
      </c>
      <c r="F140" s="22">
        <f t="shared" si="16"/>
        <v>7.8703703703703702</v>
      </c>
      <c r="G140" s="22">
        <f t="shared" si="17"/>
        <v>7.0473251028806576</v>
      </c>
      <c r="H140" s="29">
        <v>103.67219752092971</v>
      </c>
      <c r="I140" s="30" t="s">
        <v>251</v>
      </c>
    </row>
    <row r="141" spans="1:9" s="7" customFormat="1" ht="18" x14ac:dyDescent="0.2">
      <c r="A141" s="27">
        <v>110</v>
      </c>
      <c r="B141" s="37" t="s">
        <v>252</v>
      </c>
      <c r="C141" s="29">
        <v>51.99</v>
      </c>
      <c r="D141" s="20">
        <v>610</v>
      </c>
      <c r="E141" s="31">
        <v>522</v>
      </c>
      <c r="F141" s="22">
        <f t="shared" si="16"/>
        <v>11.733025581842661</v>
      </c>
      <c r="G141" s="22">
        <f t="shared" si="17"/>
        <v>10.040392383150605</v>
      </c>
      <c r="H141" s="29">
        <v>96.497228659535438</v>
      </c>
      <c r="I141" s="30" t="s">
        <v>253</v>
      </c>
    </row>
    <row r="142" spans="1:9" s="7" customFormat="1" ht="18" x14ac:dyDescent="0.2">
      <c r="A142" s="27">
        <v>111</v>
      </c>
      <c r="B142" s="37" t="s">
        <v>254</v>
      </c>
      <c r="C142" s="29">
        <v>22.44</v>
      </c>
      <c r="D142" s="20">
        <v>837</v>
      </c>
      <c r="E142" s="31">
        <v>726</v>
      </c>
      <c r="F142" s="22">
        <f t="shared" si="16"/>
        <v>37.299465240641709</v>
      </c>
      <c r="G142" s="22">
        <f t="shared" si="17"/>
        <v>32.352941176470587</v>
      </c>
      <c r="H142" s="29">
        <v>110.77692093742364</v>
      </c>
      <c r="I142" s="30" t="s">
        <v>255</v>
      </c>
    </row>
    <row r="143" spans="1:9" s="7" customFormat="1" ht="18" x14ac:dyDescent="0.2">
      <c r="A143" s="27">
        <v>112</v>
      </c>
      <c r="B143" s="37" t="s">
        <v>256</v>
      </c>
      <c r="C143" s="29">
        <v>166.46</v>
      </c>
      <c r="D143" s="20">
        <v>2359</v>
      </c>
      <c r="E143" s="31">
        <v>2077</v>
      </c>
      <c r="F143" s="22">
        <f t="shared" si="16"/>
        <v>14.17157275021026</v>
      </c>
      <c r="G143" s="22">
        <f t="shared" si="17"/>
        <v>12.477472065361047</v>
      </c>
      <c r="H143" s="29">
        <v>107.59852211143473</v>
      </c>
      <c r="I143" s="30" t="s">
        <v>257</v>
      </c>
    </row>
    <row r="144" spans="1:9" s="7" customFormat="1" ht="18" x14ac:dyDescent="0.2">
      <c r="A144" s="27">
        <v>113</v>
      </c>
      <c r="B144" s="37" t="s">
        <v>258</v>
      </c>
      <c r="C144" s="29">
        <v>22.68</v>
      </c>
      <c r="D144" s="20">
        <v>2074</v>
      </c>
      <c r="E144" s="31">
        <v>1925</v>
      </c>
      <c r="F144" s="22">
        <f t="shared" si="16"/>
        <v>91.446208112874785</v>
      </c>
      <c r="G144" s="22">
        <f t="shared" si="17"/>
        <v>84.876543209876544</v>
      </c>
      <c r="H144" s="29">
        <v>75.269093421870863</v>
      </c>
      <c r="I144" s="30" t="s">
        <v>259</v>
      </c>
    </row>
    <row r="145" spans="1:9" s="7" customFormat="1" ht="18" x14ac:dyDescent="0.2">
      <c r="A145" s="27">
        <v>114</v>
      </c>
      <c r="B145" s="37" t="s">
        <v>260</v>
      </c>
      <c r="C145" s="29">
        <v>38.85</v>
      </c>
      <c r="D145" s="20">
        <v>367</v>
      </c>
      <c r="E145" s="31">
        <v>294</v>
      </c>
      <c r="F145" s="22">
        <f t="shared" si="16"/>
        <v>9.4465894465894458</v>
      </c>
      <c r="G145" s="22">
        <f t="shared" si="17"/>
        <v>7.5675675675675675</v>
      </c>
      <c r="H145" s="29">
        <v>103.53705338472595</v>
      </c>
      <c r="I145" s="30" t="s">
        <v>261</v>
      </c>
    </row>
    <row r="146" spans="1:9" s="7" customFormat="1" ht="18" x14ac:dyDescent="0.2">
      <c r="A146" s="27"/>
      <c r="B146" s="37"/>
      <c r="C146" s="29"/>
      <c r="D146" s="20"/>
      <c r="E146" s="31"/>
      <c r="F146" s="22"/>
      <c r="G146" s="22"/>
      <c r="H146" s="29"/>
      <c r="I146" s="30"/>
    </row>
    <row r="147" spans="1:9" s="7" customFormat="1" ht="18" x14ac:dyDescent="0.2">
      <c r="A147" s="27"/>
      <c r="B147" s="33" t="s">
        <v>262</v>
      </c>
      <c r="C147" s="29"/>
      <c r="D147" s="20"/>
      <c r="E147" s="31"/>
      <c r="F147" s="22"/>
      <c r="G147" s="22"/>
      <c r="H147" s="35"/>
      <c r="I147" s="36" t="s">
        <v>263</v>
      </c>
    </row>
    <row r="148" spans="1:9" s="7" customFormat="1" ht="18" x14ac:dyDescent="0.2">
      <c r="A148" s="27">
        <v>115</v>
      </c>
      <c r="B148" s="37" t="s">
        <v>264</v>
      </c>
      <c r="C148" s="29">
        <v>14.2</v>
      </c>
      <c r="D148" s="20">
        <v>506</v>
      </c>
      <c r="E148" s="31">
        <v>473</v>
      </c>
      <c r="F148" s="22">
        <f>D148/C148</f>
        <v>35.633802816901408</v>
      </c>
      <c r="G148" s="22">
        <f>E148/C148</f>
        <v>33.309859154929576</v>
      </c>
      <c r="H148" s="29">
        <v>77.862922655904924</v>
      </c>
      <c r="I148" s="30" t="s">
        <v>265</v>
      </c>
    </row>
    <row r="149" spans="1:9" s="7" customFormat="1" ht="18" x14ac:dyDescent="0.2">
      <c r="A149" s="27">
        <v>116</v>
      </c>
      <c r="B149" s="37" t="s">
        <v>266</v>
      </c>
      <c r="C149" s="29">
        <v>11.29</v>
      </c>
      <c r="D149" s="20">
        <v>372</v>
      </c>
      <c r="E149" s="31">
        <v>323</v>
      </c>
      <c r="F149" s="22">
        <f>D149/C149</f>
        <v>32.949512843224092</v>
      </c>
      <c r="G149" s="22">
        <f>E149/C149</f>
        <v>28.609388839681134</v>
      </c>
      <c r="H149" s="29">
        <v>55.763614745484716</v>
      </c>
      <c r="I149" s="30" t="s">
        <v>267</v>
      </c>
    </row>
    <row r="150" spans="1:9" s="7" customFormat="1" ht="18" x14ac:dyDescent="0.2">
      <c r="A150" s="27">
        <v>117</v>
      </c>
      <c r="B150" s="37" t="s">
        <v>268</v>
      </c>
      <c r="C150" s="29">
        <v>11.85</v>
      </c>
      <c r="D150" s="20">
        <v>675</v>
      </c>
      <c r="E150" s="31">
        <v>635</v>
      </c>
      <c r="F150" s="22">
        <f>D150/C150</f>
        <v>56.962025316455701</v>
      </c>
      <c r="G150" s="22">
        <f>E150/C150</f>
        <v>53.586497890295362</v>
      </c>
      <c r="H150" s="29">
        <v>79.112418297469475</v>
      </c>
      <c r="I150" s="30" t="s">
        <v>269</v>
      </c>
    </row>
    <row r="151" spans="1:9" s="7" customFormat="1" ht="18" x14ac:dyDescent="0.2">
      <c r="A151" s="27">
        <v>118</v>
      </c>
      <c r="B151" s="37" t="s">
        <v>270</v>
      </c>
      <c r="C151" s="29">
        <v>6.16</v>
      </c>
      <c r="D151" s="20">
        <v>106</v>
      </c>
      <c r="E151" s="31">
        <v>101</v>
      </c>
      <c r="F151" s="22">
        <f>D151/C151</f>
        <v>17.207792207792206</v>
      </c>
      <c r="G151" s="22">
        <f>E151/C151</f>
        <v>16.396103896103895</v>
      </c>
      <c r="H151" s="29">
        <v>95.45606674059151</v>
      </c>
      <c r="I151" s="30" t="s">
        <v>271</v>
      </c>
    </row>
    <row r="152" spans="1:9" s="7" customFormat="1" ht="18" x14ac:dyDescent="0.2">
      <c r="A152" s="27">
        <v>119</v>
      </c>
      <c r="B152" s="37" t="s">
        <v>272</v>
      </c>
      <c r="C152" s="29">
        <v>12.69</v>
      </c>
      <c r="D152" s="20">
        <v>152</v>
      </c>
      <c r="E152" s="31">
        <v>69</v>
      </c>
      <c r="F152" s="22">
        <f>D152/C152</f>
        <v>11.977935382190703</v>
      </c>
      <c r="G152" s="22">
        <f>E152/C152</f>
        <v>5.4373522458628845</v>
      </c>
      <c r="H152" s="29">
        <v>76.115225735463085</v>
      </c>
      <c r="I152" s="30" t="s">
        <v>273</v>
      </c>
    </row>
    <row r="153" spans="1:9" s="7" customFormat="1" ht="18" x14ac:dyDescent="0.2">
      <c r="A153" s="27"/>
      <c r="B153" s="37"/>
      <c r="C153" s="29"/>
      <c r="D153" s="20"/>
      <c r="E153" s="31"/>
      <c r="F153" s="22"/>
      <c r="G153" s="22"/>
      <c r="H153" s="29"/>
      <c r="I153" s="30"/>
    </row>
    <row r="154" spans="1:9" s="7" customFormat="1" ht="18" x14ac:dyDescent="0.2">
      <c r="A154" s="27"/>
      <c r="B154" s="33" t="s">
        <v>274</v>
      </c>
      <c r="C154" s="29"/>
      <c r="D154" s="20"/>
      <c r="E154" s="31"/>
      <c r="F154" s="22"/>
      <c r="G154" s="22"/>
      <c r="H154" s="35"/>
      <c r="I154" s="36" t="s">
        <v>275</v>
      </c>
    </row>
    <row r="155" spans="1:9" s="7" customFormat="1" ht="18" x14ac:dyDescent="0.2">
      <c r="A155" s="27">
        <v>120</v>
      </c>
      <c r="B155" s="37" t="s">
        <v>276</v>
      </c>
      <c r="C155" s="29">
        <v>9.93</v>
      </c>
      <c r="D155" s="20">
        <v>984</v>
      </c>
      <c r="E155" s="31">
        <v>944</v>
      </c>
      <c r="F155" s="22">
        <f t="shared" ref="F155:F162" si="18">D155/C155</f>
        <v>99.09365558912387</v>
      </c>
      <c r="G155" s="22">
        <f t="shared" ref="G155:G162" si="19">E155/C155</f>
        <v>95.065458207452167</v>
      </c>
      <c r="H155" s="29">
        <v>118.20837520214879</v>
      </c>
      <c r="I155" s="30" t="s">
        <v>277</v>
      </c>
    </row>
    <row r="156" spans="1:9" s="7" customFormat="1" ht="18" x14ac:dyDescent="0.2">
      <c r="A156" s="27">
        <v>121</v>
      </c>
      <c r="B156" s="37" t="s">
        <v>278</v>
      </c>
      <c r="C156" s="29">
        <v>61.1</v>
      </c>
      <c r="D156" s="20">
        <v>735</v>
      </c>
      <c r="E156" s="31">
        <v>702</v>
      </c>
      <c r="F156" s="22">
        <f t="shared" si="18"/>
        <v>12.029459901800328</v>
      </c>
      <c r="G156" s="22">
        <f t="shared" si="19"/>
        <v>11.48936170212766</v>
      </c>
      <c r="H156" s="29">
        <v>155.11923452296421</v>
      </c>
      <c r="I156" s="30" t="s">
        <v>279</v>
      </c>
    </row>
    <row r="157" spans="1:9" s="7" customFormat="1" ht="18" x14ac:dyDescent="0.2">
      <c r="A157" s="27">
        <v>122</v>
      </c>
      <c r="B157" s="37" t="s">
        <v>154</v>
      </c>
      <c r="C157" s="29">
        <v>8.36</v>
      </c>
      <c r="D157" s="20">
        <v>369</v>
      </c>
      <c r="E157" s="31">
        <v>350</v>
      </c>
      <c r="F157" s="22">
        <f t="shared" si="18"/>
        <v>44.138755980861248</v>
      </c>
      <c r="G157" s="22">
        <f t="shared" si="19"/>
        <v>41.866028708133975</v>
      </c>
      <c r="H157" s="29">
        <v>118.86827850717795</v>
      </c>
      <c r="I157" s="30" t="s">
        <v>155</v>
      </c>
    </row>
    <row r="158" spans="1:9" s="7" customFormat="1" ht="18" x14ac:dyDescent="0.2">
      <c r="A158" s="27">
        <v>123</v>
      </c>
      <c r="B158" s="37" t="s">
        <v>280</v>
      </c>
      <c r="C158" s="29">
        <v>68.37</v>
      </c>
      <c r="D158" s="20">
        <v>1275</v>
      </c>
      <c r="E158" s="31">
        <v>1194</v>
      </c>
      <c r="F158" s="22">
        <f t="shared" si="18"/>
        <v>18.64853005704256</v>
      </c>
      <c r="G158" s="22">
        <f t="shared" si="19"/>
        <v>17.463799912242209</v>
      </c>
      <c r="H158" s="29">
        <v>136.50541417929571</v>
      </c>
      <c r="I158" s="30" t="s">
        <v>281</v>
      </c>
    </row>
    <row r="159" spans="1:9" s="7" customFormat="1" ht="18" x14ac:dyDescent="0.2">
      <c r="A159" s="27">
        <v>124</v>
      </c>
      <c r="B159" s="37" t="s">
        <v>282</v>
      </c>
      <c r="C159" s="29">
        <v>37.35</v>
      </c>
      <c r="D159" s="20">
        <v>860</v>
      </c>
      <c r="E159" s="31">
        <v>775</v>
      </c>
      <c r="F159" s="22">
        <f t="shared" si="18"/>
        <v>23.025435073627843</v>
      </c>
      <c r="G159" s="22">
        <f t="shared" si="19"/>
        <v>20.74966532797858</v>
      </c>
      <c r="H159" s="29">
        <v>139.40574802637985</v>
      </c>
      <c r="I159" s="30" t="s">
        <v>283</v>
      </c>
    </row>
    <row r="160" spans="1:9" s="7" customFormat="1" ht="18" x14ac:dyDescent="0.2">
      <c r="A160" s="27">
        <v>125</v>
      </c>
      <c r="B160" s="37" t="s">
        <v>284</v>
      </c>
      <c r="C160" s="29">
        <v>9.82</v>
      </c>
      <c r="D160" s="20">
        <v>424</v>
      </c>
      <c r="E160" s="31">
        <v>406</v>
      </c>
      <c r="F160" s="22">
        <f t="shared" si="18"/>
        <v>43.177189409368637</v>
      </c>
      <c r="G160" s="22">
        <f t="shared" si="19"/>
        <v>41.344195519348268</v>
      </c>
      <c r="H160" s="29">
        <v>142.15960371497999</v>
      </c>
      <c r="I160" s="30" t="s">
        <v>285</v>
      </c>
    </row>
    <row r="161" spans="1:9" s="7" customFormat="1" ht="18" x14ac:dyDescent="0.2">
      <c r="A161" s="27">
        <v>126</v>
      </c>
      <c r="B161" s="37" t="s">
        <v>286</v>
      </c>
      <c r="C161" s="29">
        <v>28.05</v>
      </c>
      <c r="D161" s="20">
        <v>112</v>
      </c>
      <c r="E161" s="31">
        <v>111</v>
      </c>
      <c r="F161" s="22">
        <f t="shared" si="18"/>
        <v>3.9928698752228162</v>
      </c>
      <c r="G161" s="22">
        <f t="shared" si="19"/>
        <v>3.9572192513368982</v>
      </c>
      <c r="H161" s="29">
        <v>121.357396822562</v>
      </c>
      <c r="I161" s="30" t="s">
        <v>287</v>
      </c>
    </row>
    <row r="162" spans="1:9" s="7" customFormat="1" ht="18" x14ac:dyDescent="0.2">
      <c r="A162" s="27">
        <v>127</v>
      </c>
      <c r="B162" s="56" t="s">
        <v>288</v>
      </c>
      <c r="C162" s="29">
        <v>41.64</v>
      </c>
      <c r="D162" s="20">
        <v>263</v>
      </c>
      <c r="E162" s="31">
        <v>223</v>
      </c>
      <c r="F162" s="22">
        <f t="shared" si="18"/>
        <v>6.3160422670509124</v>
      </c>
      <c r="G162" s="22">
        <f t="shared" si="19"/>
        <v>5.3554274735830933</v>
      </c>
      <c r="H162" s="57">
        <v>135.69559744768833</v>
      </c>
      <c r="I162" s="58" t="s">
        <v>289</v>
      </c>
    </row>
    <row r="163" spans="1:9" s="7" customFormat="1" ht="21" x14ac:dyDescent="0.2">
      <c r="A163" s="65"/>
      <c r="B163" s="66"/>
      <c r="C163" s="29"/>
      <c r="D163" s="20"/>
      <c r="E163" s="31"/>
      <c r="F163" s="22"/>
      <c r="G163" s="22"/>
      <c r="H163" s="67"/>
      <c r="I163" s="68"/>
    </row>
    <row r="164" spans="1:9" s="7" customFormat="1" ht="18" x14ac:dyDescent="0.2">
      <c r="A164" s="17"/>
      <c r="B164" s="18" t="s">
        <v>290</v>
      </c>
      <c r="C164" s="29"/>
      <c r="D164" s="20"/>
      <c r="E164" s="31"/>
      <c r="F164" s="22"/>
      <c r="G164" s="22"/>
      <c r="H164" s="23"/>
      <c r="I164" s="24" t="s">
        <v>291</v>
      </c>
    </row>
    <row r="165" spans="1:9" s="7" customFormat="1" ht="18" x14ac:dyDescent="0.2">
      <c r="A165" s="27">
        <v>128</v>
      </c>
      <c r="B165" s="37" t="s">
        <v>292</v>
      </c>
      <c r="C165" s="29">
        <v>30.85</v>
      </c>
      <c r="D165" s="20">
        <v>914</v>
      </c>
      <c r="E165" s="31">
        <v>868</v>
      </c>
      <c r="F165" s="22">
        <f>D165/C165</f>
        <v>29.627228525121556</v>
      </c>
      <c r="G165" s="22">
        <f>E165/C165</f>
        <v>28.136142625607778</v>
      </c>
      <c r="H165" s="29">
        <v>130.85724156419374</v>
      </c>
      <c r="I165" s="30" t="s">
        <v>293</v>
      </c>
    </row>
    <row r="166" spans="1:9" s="7" customFormat="1" ht="18" x14ac:dyDescent="0.2">
      <c r="A166" s="27">
        <v>129</v>
      </c>
      <c r="B166" s="37" t="s">
        <v>294</v>
      </c>
      <c r="C166" s="29">
        <v>39.950000000000003</v>
      </c>
      <c r="D166" s="20">
        <v>400</v>
      </c>
      <c r="E166" s="31">
        <v>383</v>
      </c>
      <c r="F166" s="22">
        <f>D166/C166</f>
        <v>10.012515644555695</v>
      </c>
      <c r="G166" s="22">
        <f>E166/C166</f>
        <v>9.5869837296620766</v>
      </c>
      <c r="H166" s="29">
        <v>139.21275502520592</v>
      </c>
      <c r="I166" s="30" t="s">
        <v>295</v>
      </c>
    </row>
    <row r="167" spans="1:9" s="7" customFormat="1" ht="18" x14ac:dyDescent="0.2">
      <c r="A167" s="27">
        <v>130</v>
      </c>
      <c r="B167" s="37" t="s">
        <v>296</v>
      </c>
      <c r="C167" s="29">
        <v>15.31</v>
      </c>
      <c r="D167" s="20">
        <v>839</v>
      </c>
      <c r="E167" s="31">
        <v>808</v>
      </c>
      <c r="F167" s="22">
        <f>D167/C167</f>
        <v>54.800783801436971</v>
      </c>
      <c r="G167" s="22">
        <f>E167/C167</f>
        <v>52.775963422599609</v>
      </c>
      <c r="H167" s="29">
        <v>115.13554157236497</v>
      </c>
      <c r="I167" s="30" t="s">
        <v>297</v>
      </c>
    </row>
    <row r="168" spans="1:9" s="7" customFormat="1" ht="18" x14ac:dyDescent="0.2">
      <c r="A168" s="27">
        <v>131</v>
      </c>
      <c r="B168" s="37" t="s">
        <v>128</v>
      </c>
      <c r="C168" s="29">
        <v>21.31</v>
      </c>
      <c r="D168" s="20">
        <v>549</v>
      </c>
      <c r="E168" s="31">
        <v>512</v>
      </c>
      <c r="F168" s="22">
        <f>D168/C168</f>
        <v>25.762552792116377</v>
      </c>
      <c r="G168" s="22">
        <f>E168/C168</f>
        <v>24.026278742374473</v>
      </c>
      <c r="H168" s="29">
        <v>135.89412795909476</v>
      </c>
      <c r="I168" s="30" t="s">
        <v>129</v>
      </c>
    </row>
    <row r="169" spans="1:9" s="7" customFormat="1" ht="18" x14ac:dyDescent="0.2">
      <c r="A169" s="27">
        <v>132</v>
      </c>
      <c r="B169" s="37" t="s">
        <v>298</v>
      </c>
      <c r="C169" s="29">
        <v>56.21</v>
      </c>
      <c r="D169" s="20">
        <v>1663</v>
      </c>
      <c r="E169" s="31">
        <v>1548</v>
      </c>
      <c r="F169" s="22">
        <f>D169/C169</f>
        <v>29.585483010140543</v>
      </c>
      <c r="G169" s="22">
        <f>E169/C169</f>
        <v>27.539583703967264</v>
      </c>
      <c r="H169" s="29">
        <v>141.90001786658132</v>
      </c>
      <c r="I169" s="30" t="s">
        <v>299</v>
      </c>
    </row>
    <row r="170" spans="1:9" s="7" customFormat="1" ht="18" x14ac:dyDescent="0.2">
      <c r="A170" s="27"/>
      <c r="B170" s="37"/>
      <c r="C170" s="29"/>
      <c r="D170" s="20"/>
      <c r="E170" s="31"/>
      <c r="F170" s="22"/>
      <c r="G170" s="22"/>
      <c r="H170" s="29"/>
      <c r="I170" s="30"/>
    </row>
    <row r="171" spans="1:9" s="7" customFormat="1" ht="21" x14ac:dyDescent="0.2">
      <c r="A171" s="27"/>
      <c r="B171" s="131" t="s">
        <v>106</v>
      </c>
      <c r="C171" s="132"/>
      <c r="D171" s="133"/>
      <c r="E171" s="134"/>
      <c r="F171" s="135"/>
      <c r="G171" s="136"/>
      <c r="H171" s="132"/>
      <c r="I171" s="137" t="s">
        <v>107</v>
      </c>
    </row>
    <row r="172" spans="1:9" s="7" customFormat="1" ht="3.75" customHeight="1" x14ac:dyDescent="0.2">
      <c r="A172" s="55"/>
      <c r="B172" s="60"/>
      <c r="C172" s="19"/>
      <c r="D172" s="20"/>
      <c r="E172" s="31"/>
      <c r="F172" s="22"/>
      <c r="G172" s="22"/>
      <c r="H172" s="61"/>
      <c r="I172" s="62"/>
    </row>
    <row r="173" spans="1:9" s="7" customFormat="1" ht="18" x14ac:dyDescent="0.2">
      <c r="A173" s="27"/>
      <c r="B173" s="33" t="s">
        <v>300</v>
      </c>
      <c r="C173" s="29"/>
      <c r="D173" s="20"/>
      <c r="E173" s="31"/>
      <c r="F173" s="22"/>
      <c r="G173" s="22"/>
      <c r="H173" s="35"/>
      <c r="I173" s="36" t="s">
        <v>301</v>
      </c>
    </row>
    <row r="174" spans="1:9" s="7" customFormat="1" ht="18" x14ac:dyDescent="0.2">
      <c r="A174" s="27">
        <v>133</v>
      </c>
      <c r="B174" s="37" t="s">
        <v>302</v>
      </c>
      <c r="C174" s="29">
        <v>24.24</v>
      </c>
      <c r="D174" s="20">
        <v>793</v>
      </c>
      <c r="E174" s="31">
        <v>714</v>
      </c>
      <c r="F174" s="22">
        <f t="shared" ref="F174:F179" si="20">D174/C174</f>
        <v>32.714521452145213</v>
      </c>
      <c r="G174" s="22">
        <f t="shared" ref="G174:G179" si="21">E174/C174</f>
        <v>29.455445544554458</v>
      </c>
      <c r="H174" s="29">
        <v>149.06901226114087</v>
      </c>
      <c r="I174" s="30" t="s">
        <v>303</v>
      </c>
    </row>
    <row r="175" spans="1:9" s="7" customFormat="1" ht="18" x14ac:dyDescent="0.2">
      <c r="A175" s="27">
        <v>134</v>
      </c>
      <c r="B175" s="37" t="s">
        <v>304</v>
      </c>
      <c r="C175" s="29">
        <v>20.11</v>
      </c>
      <c r="D175" s="20">
        <v>719</v>
      </c>
      <c r="E175" s="31">
        <v>681</v>
      </c>
      <c r="F175" s="22">
        <f t="shared" si="20"/>
        <v>35.753356539035309</v>
      </c>
      <c r="G175" s="22">
        <f t="shared" si="21"/>
        <v>33.863749378418696</v>
      </c>
      <c r="H175" s="29">
        <v>163.49484129964057</v>
      </c>
      <c r="I175" s="30" t="s">
        <v>305</v>
      </c>
    </row>
    <row r="176" spans="1:9" s="7" customFormat="1" ht="18" x14ac:dyDescent="0.2">
      <c r="A176" s="27">
        <v>135</v>
      </c>
      <c r="B176" s="37" t="s">
        <v>306</v>
      </c>
      <c r="C176" s="29">
        <v>71.569999999999993</v>
      </c>
      <c r="D176" s="20">
        <v>2447</v>
      </c>
      <c r="E176" s="31">
        <v>2213</v>
      </c>
      <c r="F176" s="22">
        <f t="shared" si="20"/>
        <v>34.190303199664669</v>
      </c>
      <c r="G176" s="22">
        <f t="shared" si="21"/>
        <v>30.920776861813611</v>
      </c>
      <c r="H176" s="29">
        <v>180.43403772299447</v>
      </c>
      <c r="I176" s="30" t="s">
        <v>307</v>
      </c>
    </row>
    <row r="177" spans="1:9" s="7" customFormat="1" ht="18" x14ac:dyDescent="0.2">
      <c r="A177" s="27">
        <v>136</v>
      </c>
      <c r="B177" s="37" t="s">
        <v>308</v>
      </c>
      <c r="C177" s="29">
        <v>20.52</v>
      </c>
      <c r="D177" s="20">
        <v>621</v>
      </c>
      <c r="E177" s="31">
        <v>591</v>
      </c>
      <c r="F177" s="22">
        <f t="shared" si="20"/>
        <v>30.263157894736842</v>
      </c>
      <c r="G177" s="22">
        <f t="shared" si="21"/>
        <v>28.801169590643276</v>
      </c>
      <c r="H177" s="29">
        <v>175.04823033193523</v>
      </c>
      <c r="I177" s="30" t="s">
        <v>309</v>
      </c>
    </row>
    <row r="178" spans="1:9" s="7" customFormat="1" ht="18" x14ac:dyDescent="0.2">
      <c r="A178" s="27">
        <v>137</v>
      </c>
      <c r="B178" s="37" t="s">
        <v>156</v>
      </c>
      <c r="C178" s="29">
        <v>13.13</v>
      </c>
      <c r="D178" s="20">
        <v>929</v>
      </c>
      <c r="E178" s="31">
        <v>856</v>
      </c>
      <c r="F178" s="22">
        <f t="shared" si="20"/>
        <v>70.753998476770747</v>
      </c>
      <c r="G178" s="22">
        <f t="shared" si="21"/>
        <v>65.194211728865184</v>
      </c>
      <c r="H178" s="29">
        <v>142.23557528326324</v>
      </c>
      <c r="I178" s="30" t="s">
        <v>157</v>
      </c>
    </row>
    <row r="179" spans="1:9" s="7" customFormat="1" ht="18" x14ac:dyDescent="0.2">
      <c r="A179" s="27">
        <v>138</v>
      </c>
      <c r="B179" s="37" t="s">
        <v>310</v>
      </c>
      <c r="C179" s="29">
        <v>17.149999999999999</v>
      </c>
      <c r="D179" s="20">
        <v>277</v>
      </c>
      <c r="E179" s="31">
        <v>250</v>
      </c>
      <c r="F179" s="22">
        <f t="shared" si="20"/>
        <v>16.151603498542276</v>
      </c>
      <c r="G179" s="22">
        <f t="shared" si="21"/>
        <v>14.577259475218661</v>
      </c>
      <c r="H179" s="29">
        <v>154.52931121562577</v>
      </c>
      <c r="I179" s="30" t="s">
        <v>311</v>
      </c>
    </row>
    <row r="180" spans="1:9" s="7" customFormat="1" ht="21" x14ac:dyDescent="0.2">
      <c r="A180" s="48"/>
      <c r="B180" s="60"/>
      <c r="C180" s="29"/>
      <c r="D180" s="20"/>
      <c r="E180" s="31"/>
      <c r="F180" s="22"/>
      <c r="G180" s="22"/>
      <c r="H180" s="61"/>
      <c r="I180" s="62"/>
    </row>
    <row r="181" spans="1:9" s="7" customFormat="1" ht="18" x14ac:dyDescent="0.2">
      <c r="A181" s="17"/>
      <c r="B181" s="33" t="s">
        <v>312</v>
      </c>
      <c r="C181" s="29"/>
      <c r="D181" s="20"/>
      <c r="E181" s="31"/>
      <c r="F181" s="22"/>
      <c r="G181" s="22"/>
      <c r="H181" s="35"/>
      <c r="I181" s="36" t="s">
        <v>313</v>
      </c>
    </row>
    <row r="182" spans="1:9" s="7" customFormat="1" ht="18" x14ac:dyDescent="0.2">
      <c r="A182" s="27">
        <v>139</v>
      </c>
      <c r="B182" s="37" t="s">
        <v>314</v>
      </c>
      <c r="C182" s="29">
        <v>34.799999999999997</v>
      </c>
      <c r="D182" s="20">
        <v>350</v>
      </c>
      <c r="E182" s="31">
        <v>312</v>
      </c>
      <c r="F182" s="22">
        <f t="shared" ref="F182:F194" si="22">D182/C182</f>
        <v>10.057471264367816</v>
      </c>
      <c r="G182" s="22">
        <f t="shared" ref="G182:G194" si="23">E182/C182</f>
        <v>8.9655172413793114</v>
      </c>
      <c r="H182" s="29">
        <v>184.94521179043917</v>
      </c>
      <c r="I182" s="30" t="s">
        <v>315</v>
      </c>
    </row>
    <row r="183" spans="1:9" s="7" customFormat="1" ht="18" x14ac:dyDescent="0.2">
      <c r="A183" s="27">
        <v>140</v>
      </c>
      <c r="B183" s="37" t="s">
        <v>316</v>
      </c>
      <c r="C183" s="29">
        <v>58.74</v>
      </c>
      <c r="D183" s="20">
        <v>1103</v>
      </c>
      <c r="E183" s="31">
        <v>976</v>
      </c>
      <c r="F183" s="22">
        <f t="shared" si="22"/>
        <v>18.77766428328226</v>
      </c>
      <c r="G183" s="22">
        <f t="shared" si="23"/>
        <v>16.615594143684032</v>
      </c>
      <c r="H183" s="29">
        <v>186.79080441917955</v>
      </c>
      <c r="I183" s="30" t="s">
        <v>317</v>
      </c>
    </row>
    <row r="184" spans="1:9" s="7" customFormat="1" ht="18" x14ac:dyDescent="0.2">
      <c r="A184" s="27">
        <v>141</v>
      </c>
      <c r="B184" s="37" t="s">
        <v>318</v>
      </c>
      <c r="C184" s="29">
        <v>19.809999999999999</v>
      </c>
      <c r="D184" s="20">
        <v>801</v>
      </c>
      <c r="E184" s="31">
        <v>741</v>
      </c>
      <c r="F184" s="22">
        <f t="shared" si="22"/>
        <v>40.434124179707219</v>
      </c>
      <c r="G184" s="22">
        <f t="shared" si="23"/>
        <v>37.405350832912674</v>
      </c>
      <c r="H184" s="29">
        <v>202.74976695816676</v>
      </c>
      <c r="I184" s="30" t="s">
        <v>319</v>
      </c>
    </row>
    <row r="185" spans="1:9" s="7" customFormat="1" ht="18" x14ac:dyDescent="0.2">
      <c r="A185" s="27">
        <v>142</v>
      </c>
      <c r="B185" s="37" t="s">
        <v>320</v>
      </c>
      <c r="C185" s="29">
        <v>24.44</v>
      </c>
      <c r="D185" s="20">
        <v>556</v>
      </c>
      <c r="E185" s="31">
        <v>511</v>
      </c>
      <c r="F185" s="22">
        <f t="shared" si="22"/>
        <v>22.749590834697216</v>
      </c>
      <c r="G185" s="22">
        <f t="shared" si="23"/>
        <v>20.908346972176759</v>
      </c>
      <c r="H185" s="29">
        <v>204.94358055049432</v>
      </c>
      <c r="I185" s="30" t="s">
        <v>321</v>
      </c>
    </row>
    <row r="186" spans="1:9" s="7" customFormat="1" ht="18" x14ac:dyDescent="0.2">
      <c r="A186" s="27">
        <v>143</v>
      </c>
      <c r="B186" s="37" t="s">
        <v>212</v>
      </c>
      <c r="C186" s="29">
        <v>37.4</v>
      </c>
      <c r="D186" s="20">
        <v>1280</v>
      </c>
      <c r="E186" s="31">
        <v>1211</v>
      </c>
      <c r="F186" s="22">
        <f t="shared" si="22"/>
        <v>34.224598930481285</v>
      </c>
      <c r="G186" s="22">
        <f t="shared" si="23"/>
        <v>32.37967914438503</v>
      </c>
      <c r="H186" s="29">
        <v>206.6634341447041</v>
      </c>
      <c r="I186" s="30" t="s">
        <v>213</v>
      </c>
    </row>
    <row r="187" spans="1:9" s="7" customFormat="1" ht="18" x14ac:dyDescent="0.2">
      <c r="A187" s="27">
        <v>144</v>
      </c>
      <c r="B187" s="37" t="s">
        <v>322</v>
      </c>
      <c r="C187" s="29">
        <v>78.37</v>
      </c>
      <c r="D187" s="20">
        <v>432</v>
      </c>
      <c r="E187" s="31">
        <v>370</v>
      </c>
      <c r="F187" s="22">
        <f t="shared" si="22"/>
        <v>5.512313385223937</v>
      </c>
      <c r="G187" s="22">
        <f t="shared" si="23"/>
        <v>4.7211943345667979</v>
      </c>
      <c r="H187" s="29">
        <v>216.11797920454526</v>
      </c>
      <c r="I187" s="30" t="s">
        <v>323</v>
      </c>
    </row>
    <row r="188" spans="1:9" s="7" customFormat="1" ht="18" x14ac:dyDescent="0.2">
      <c r="A188" s="27">
        <v>145</v>
      </c>
      <c r="B188" s="37" t="s">
        <v>324</v>
      </c>
      <c r="C188" s="29">
        <v>26.5</v>
      </c>
      <c r="D188" s="20">
        <v>293</v>
      </c>
      <c r="E188" s="31">
        <v>275</v>
      </c>
      <c r="F188" s="22">
        <f t="shared" si="22"/>
        <v>11.056603773584905</v>
      </c>
      <c r="G188" s="22">
        <f t="shared" si="23"/>
        <v>10.377358490566039</v>
      </c>
      <c r="H188" s="29">
        <v>218.53907706597286</v>
      </c>
      <c r="I188" s="30" t="s">
        <v>325</v>
      </c>
    </row>
    <row r="189" spans="1:9" s="7" customFormat="1" ht="18" x14ac:dyDescent="0.2">
      <c r="A189" s="27">
        <v>146</v>
      </c>
      <c r="B189" s="37" t="s">
        <v>326</v>
      </c>
      <c r="C189" s="29">
        <v>30.28</v>
      </c>
      <c r="D189" s="20">
        <v>1039</v>
      </c>
      <c r="E189" s="31">
        <v>952</v>
      </c>
      <c r="F189" s="22">
        <f t="shared" si="22"/>
        <v>34.313077939233814</v>
      </c>
      <c r="G189" s="22">
        <f t="shared" si="23"/>
        <v>31.439894319682956</v>
      </c>
      <c r="H189" s="29">
        <v>220.81671772674125</v>
      </c>
      <c r="I189" s="30" t="s">
        <v>327</v>
      </c>
    </row>
    <row r="190" spans="1:9" s="7" customFormat="1" ht="18" x14ac:dyDescent="0.2">
      <c r="A190" s="27">
        <v>147</v>
      </c>
      <c r="B190" s="43" t="s">
        <v>328</v>
      </c>
      <c r="C190" s="29">
        <v>12.92</v>
      </c>
      <c r="D190" s="20">
        <v>268</v>
      </c>
      <c r="E190" s="31">
        <v>239</v>
      </c>
      <c r="F190" s="22">
        <f t="shared" si="22"/>
        <v>20.743034055727556</v>
      </c>
      <c r="G190" s="22">
        <f t="shared" si="23"/>
        <v>18.4984520123839</v>
      </c>
      <c r="H190" s="19">
        <v>216.28303439692274</v>
      </c>
      <c r="I190" s="44" t="s">
        <v>329</v>
      </c>
    </row>
    <row r="191" spans="1:9" s="7" customFormat="1" ht="18" x14ac:dyDescent="0.2">
      <c r="A191" s="27">
        <v>148</v>
      </c>
      <c r="B191" s="37" t="s">
        <v>330</v>
      </c>
      <c r="C191" s="29">
        <v>21.57</v>
      </c>
      <c r="D191" s="20">
        <v>1190</v>
      </c>
      <c r="E191" s="31">
        <v>1101</v>
      </c>
      <c r="F191" s="22">
        <f t="shared" si="22"/>
        <v>55.169216504404261</v>
      </c>
      <c r="G191" s="22">
        <f t="shared" si="23"/>
        <v>51.043115438108487</v>
      </c>
      <c r="H191" s="29">
        <v>223.36005395506913</v>
      </c>
      <c r="I191" s="30" t="s">
        <v>331</v>
      </c>
    </row>
    <row r="192" spans="1:9" s="7" customFormat="1" ht="18" x14ac:dyDescent="0.2">
      <c r="A192" s="27">
        <v>149</v>
      </c>
      <c r="B192" s="37" t="s">
        <v>332</v>
      </c>
      <c r="C192" s="29">
        <v>41.3</v>
      </c>
      <c r="D192" s="20">
        <v>1118</v>
      </c>
      <c r="E192" s="31">
        <v>1051</v>
      </c>
      <c r="F192" s="22">
        <f t="shared" si="22"/>
        <v>27.070217917675546</v>
      </c>
      <c r="G192" s="22">
        <f t="shared" si="23"/>
        <v>25.447941888619855</v>
      </c>
      <c r="H192" s="29">
        <v>226.50480480027468</v>
      </c>
      <c r="I192" s="30" t="s">
        <v>333</v>
      </c>
    </row>
    <row r="193" spans="1:10" s="7" customFormat="1" ht="18" x14ac:dyDescent="0.2">
      <c r="A193" s="27">
        <v>150</v>
      </c>
      <c r="B193" s="37" t="s">
        <v>334</v>
      </c>
      <c r="C193" s="29">
        <v>34.74</v>
      </c>
      <c r="D193" s="20">
        <v>768</v>
      </c>
      <c r="E193" s="31">
        <v>747</v>
      </c>
      <c r="F193" s="22">
        <f t="shared" si="22"/>
        <v>22.107081174438687</v>
      </c>
      <c r="G193" s="22">
        <f t="shared" si="23"/>
        <v>21.502590673575128</v>
      </c>
      <c r="H193" s="29">
        <v>229.00092901969461</v>
      </c>
      <c r="I193" s="30" t="s">
        <v>335</v>
      </c>
    </row>
    <row r="194" spans="1:10" s="7" customFormat="1" ht="18" x14ac:dyDescent="0.2">
      <c r="A194" s="27">
        <v>151</v>
      </c>
      <c r="B194" s="37" t="s">
        <v>244</v>
      </c>
      <c r="C194" s="29">
        <v>36.79</v>
      </c>
      <c r="D194" s="20">
        <v>458</v>
      </c>
      <c r="E194" s="31">
        <v>415</v>
      </c>
      <c r="F194" s="22">
        <f t="shared" si="22"/>
        <v>12.449035063876053</v>
      </c>
      <c r="G194" s="22">
        <f t="shared" si="23"/>
        <v>11.280239195433541</v>
      </c>
      <c r="H194" s="29">
        <v>230.02084462936756</v>
      </c>
      <c r="I194" s="30" t="s">
        <v>245</v>
      </c>
    </row>
    <row r="195" spans="1:10" s="7" customFormat="1" ht="18" x14ac:dyDescent="0.2">
      <c r="A195" s="27"/>
      <c r="B195" s="37"/>
      <c r="C195" s="29"/>
      <c r="D195" s="20"/>
      <c r="E195" s="31"/>
      <c r="F195" s="22"/>
      <c r="G195" s="22"/>
      <c r="H195" s="29"/>
      <c r="I195" s="30"/>
    </row>
    <row r="196" spans="1:10" s="7" customFormat="1" ht="18" x14ac:dyDescent="0.2">
      <c r="A196" s="27"/>
      <c r="B196" s="33" t="s">
        <v>336</v>
      </c>
      <c r="C196" s="29"/>
      <c r="D196" s="20"/>
      <c r="E196" s="31"/>
      <c r="F196" s="22"/>
      <c r="G196" s="22"/>
      <c r="H196" s="52"/>
      <c r="I196" s="36" t="s">
        <v>337</v>
      </c>
    </row>
    <row r="197" spans="1:10" s="7" customFormat="1" ht="18" x14ac:dyDescent="0.2">
      <c r="A197" s="27">
        <v>152</v>
      </c>
      <c r="B197" s="37" t="s">
        <v>338</v>
      </c>
      <c r="C197" s="29">
        <v>53.23</v>
      </c>
      <c r="D197" s="20">
        <v>647</v>
      </c>
      <c r="E197" s="31">
        <v>622</v>
      </c>
      <c r="F197" s="22">
        <f t="shared" ref="F197:F208" si="24">D197/C197</f>
        <v>12.154799924854407</v>
      </c>
      <c r="G197" s="22">
        <f t="shared" ref="G197:G208" si="25">E197/C197</f>
        <v>11.685139958669923</v>
      </c>
      <c r="H197" s="29">
        <v>231.04736773679886</v>
      </c>
      <c r="I197" s="30" t="s">
        <v>339</v>
      </c>
    </row>
    <row r="198" spans="1:10" s="7" customFormat="1" ht="18" x14ac:dyDescent="0.2">
      <c r="A198" s="27">
        <v>153</v>
      </c>
      <c r="B198" s="37" t="s">
        <v>340</v>
      </c>
      <c r="C198" s="29">
        <v>162.6</v>
      </c>
      <c r="D198" s="20">
        <v>2266</v>
      </c>
      <c r="E198" s="31">
        <v>2078</v>
      </c>
      <c r="F198" s="22">
        <f t="shared" si="24"/>
        <v>13.936039360393604</v>
      </c>
      <c r="G198" s="22">
        <f t="shared" si="25"/>
        <v>12.779827798277983</v>
      </c>
      <c r="H198" s="29">
        <v>260.03501058362741</v>
      </c>
      <c r="I198" s="30" t="s">
        <v>341</v>
      </c>
    </row>
    <row r="199" spans="1:10" s="7" customFormat="1" ht="18" x14ac:dyDescent="0.2">
      <c r="A199" s="27">
        <v>154</v>
      </c>
      <c r="B199" s="37" t="s">
        <v>342</v>
      </c>
      <c r="C199" s="29">
        <v>69.14</v>
      </c>
      <c r="D199" s="20">
        <v>178</v>
      </c>
      <c r="E199" s="31">
        <v>174</v>
      </c>
      <c r="F199" s="22">
        <f t="shared" si="24"/>
        <v>2.5744865490309516</v>
      </c>
      <c r="G199" s="22">
        <f t="shared" si="25"/>
        <v>2.5166329187156493</v>
      </c>
      <c r="H199" s="29">
        <v>261.560940055537</v>
      </c>
      <c r="I199" s="30" t="s">
        <v>343</v>
      </c>
    </row>
    <row r="200" spans="1:10" s="69" customFormat="1" ht="18" x14ac:dyDescent="0.25">
      <c r="A200" s="27">
        <v>155</v>
      </c>
      <c r="B200" s="37" t="s">
        <v>344</v>
      </c>
      <c r="C200" s="29">
        <v>662.99</v>
      </c>
      <c r="D200" s="20">
        <v>3080</v>
      </c>
      <c r="E200" s="31">
        <v>2793</v>
      </c>
      <c r="F200" s="22">
        <f t="shared" si="24"/>
        <v>4.6456205975957401</v>
      </c>
      <c r="G200" s="22">
        <f t="shared" si="25"/>
        <v>4.2127332237288648</v>
      </c>
      <c r="H200" s="29">
        <v>250.95394500719212</v>
      </c>
      <c r="I200" s="30" t="s">
        <v>345</v>
      </c>
      <c r="J200" s="7"/>
    </row>
    <row r="201" spans="1:10" s="7" customFormat="1" ht="18" x14ac:dyDescent="0.2">
      <c r="A201" s="27">
        <v>156</v>
      </c>
      <c r="B201" s="37" t="s">
        <v>346</v>
      </c>
      <c r="C201" s="29">
        <v>112.59</v>
      </c>
      <c r="D201" s="20">
        <v>1007</v>
      </c>
      <c r="E201" s="31">
        <v>989</v>
      </c>
      <c r="F201" s="22">
        <f t="shared" si="24"/>
        <v>8.943955946354027</v>
      </c>
      <c r="G201" s="22">
        <f t="shared" si="25"/>
        <v>8.7840838440358819</v>
      </c>
      <c r="H201" s="29">
        <v>264.08070311903373</v>
      </c>
      <c r="I201" s="30" t="s">
        <v>347</v>
      </c>
    </row>
    <row r="202" spans="1:10" s="7" customFormat="1" ht="18" x14ac:dyDescent="0.2">
      <c r="A202" s="27">
        <v>157</v>
      </c>
      <c r="B202" s="37" t="s">
        <v>348</v>
      </c>
      <c r="C202" s="29">
        <v>145.53</v>
      </c>
      <c r="D202" s="20">
        <v>958</v>
      </c>
      <c r="E202" s="31">
        <v>907</v>
      </c>
      <c r="F202" s="22">
        <f t="shared" si="24"/>
        <v>6.5828351542637256</v>
      </c>
      <c r="G202" s="22">
        <f t="shared" si="25"/>
        <v>6.2323919466776605</v>
      </c>
      <c r="H202" s="29">
        <v>228.33480964817844</v>
      </c>
      <c r="I202" s="30" t="s">
        <v>349</v>
      </c>
    </row>
    <row r="203" spans="1:10" s="7" customFormat="1" ht="18" x14ac:dyDescent="0.2">
      <c r="A203" s="27">
        <v>158</v>
      </c>
      <c r="B203" s="37" t="s">
        <v>350</v>
      </c>
      <c r="C203" s="29">
        <v>91.69</v>
      </c>
      <c r="D203" s="20">
        <v>650</v>
      </c>
      <c r="E203" s="31">
        <v>628</v>
      </c>
      <c r="F203" s="22">
        <f t="shared" si="24"/>
        <v>7.0891045915585122</v>
      </c>
      <c r="G203" s="22">
        <f t="shared" si="25"/>
        <v>6.8491656669211478</v>
      </c>
      <c r="H203" s="29">
        <v>266.46359087531567</v>
      </c>
      <c r="I203" s="30" t="s">
        <v>351</v>
      </c>
    </row>
    <row r="204" spans="1:10" s="7" customFormat="1" ht="18" x14ac:dyDescent="0.2">
      <c r="A204" s="27">
        <v>159</v>
      </c>
      <c r="B204" s="37" t="s">
        <v>352</v>
      </c>
      <c r="C204" s="29">
        <v>59.24</v>
      </c>
      <c r="D204" s="20">
        <v>649</v>
      </c>
      <c r="E204" s="31">
        <v>607</v>
      </c>
      <c r="F204" s="22">
        <f t="shared" si="24"/>
        <v>10.955435516542876</v>
      </c>
      <c r="G204" s="22">
        <f t="shared" si="25"/>
        <v>10.24645509790682</v>
      </c>
      <c r="H204" s="29">
        <v>238.28352811702922</v>
      </c>
      <c r="I204" s="30" t="s">
        <v>353</v>
      </c>
    </row>
    <row r="205" spans="1:10" s="7" customFormat="1" ht="18" x14ac:dyDescent="0.2">
      <c r="A205" s="27">
        <v>160</v>
      </c>
      <c r="B205" s="37" t="s">
        <v>354</v>
      </c>
      <c r="C205" s="29">
        <v>18.690000000000001</v>
      </c>
      <c r="D205" s="20">
        <v>896</v>
      </c>
      <c r="E205" s="31">
        <v>824</v>
      </c>
      <c r="F205" s="22">
        <f t="shared" si="24"/>
        <v>47.940074906367037</v>
      </c>
      <c r="G205" s="22">
        <f t="shared" si="25"/>
        <v>44.087747458533975</v>
      </c>
      <c r="H205" s="29">
        <v>261.9355647206516</v>
      </c>
      <c r="I205" s="30" t="s">
        <v>355</v>
      </c>
    </row>
    <row r="206" spans="1:10" s="7" customFormat="1" ht="18" x14ac:dyDescent="0.2">
      <c r="A206" s="27">
        <v>161</v>
      </c>
      <c r="B206" s="37" t="s">
        <v>356</v>
      </c>
      <c r="C206" s="29">
        <v>38.35</v>
      </c>
      <c r="D206" s="20">
        <v>1530</v>
      </c>
      <c r="E206" s="31">
        <v>1399</v>
      </c>
      <c r="F206" s="22">
        <f t="shared" si="24"/>
        <v>39.895697522816164</v>
      </c>
      <c r="G206" s="22">
        <f t="shared" si="25"/>
        <v>36.479791395045631</v>
      </c>
      <c r="H206" s="29">
        <v>255.90232311246106</v>
      </c>
      <c r="I206" s="30" t="s">
        <v>357</v>
      </c>
    </row>
    <row r="207" spans="1:10" s="7" customFormat="1" ht="18" x14ac:dyDescent="0.2">
      <c r="A207" s="27">
        <v>162</v>
      </c>
      <c r="B207" s="37" t="s">
        <v>358</v>
      </c>
      <c r="C207" s="29">
        <v>23.58</v>
      </c>
      <c r="D207" s="20">
        <v>236</v>
      </c>
      <c r="E207" s="31">
        <v>222</v>
      </c>
      <c r="F207" s="22">
        <f t="shared" si="24"/>
        <v>10.008481764206955</v>
      </c>
      <c r="G207" s="22">
        <f t="shared" si="25"/>
        <v>9.4147582697201031</v>
      </c>
      <c r="H207" s="29">
        <v>240.13714697683963</v>
      </c>
      <c r="I207" s="30" t="s">
        <v>359</v>
      </c>
    </row>
    <row r="208" spans="1:10" s="7" customFormat="1" ht="13.9" customHeight="1" x14ac:dyDescent="0.2">
      <c r="A208" s="27">
        <v>163</v>
      </c>
      <c r="B208" s="56" t="s">
        <v>360</v>
      </c>
      <c r="C208" s="29">
        <v>27.12</v>
      </c>
      <c r="D208" s="20">
        <v>579</v>
      </c>
      <c r="E208" s="31">
        <v>552</v>
      </c>
      <c r="F208" s="22">
        <f t="shared" si="24"/>
        <v>21.349557522123892</v>
      </c>
      <c r="G208" s="22">
        <f t="shared" si="25"/>
        <v>20.353982300884955</v>
      </c>
      <c r="H208" s="35" t="s">
        <v>167</v>
      </c>
      <c r="I208" s="30"/>
    </row>
    <row r="209" spans="1:9" s="7" customFormat="1" ht="18" x14ac:dyDescent="0.25">
      <c r="A209" s="70"/>
      <c r="B209" s="71"/>
      <c r="C209" s="29"/>
      <c r="D209" s="20"/>
      <c r="E209" s="31"/>
      <c r="F209" s="22"/>
      <c r="G209" s="22"/>
      <c r="H209" s="29"/>
      <c r="I209" s="30"/>
    </row>
    <row r="210" spans="1:9" s="7" customFormat="1" ht="18" x14ac:dyDescent="0.25">
      <c r="A210" s="27"/>
      <c r="B210" s="72"/>
      <c r="C210" s="29"/>
      <c r="D210" s="20"/>
      <c r="E210" s="31"/>
      <c r="F210" s="22"/>
      <c r="G210" s="22"/>
      <c r="H210" s="29"/>
      <c r="I210" s="30"/>
    </row>
    <row r="211" spans="1:9" s="7" customFormat="1" ht="18" x14ac:dyDescent="0.2">
      <c r="A211" s="27"/>
      <c r="B211" s="33" t="s">
        <v>361</v>
      </c>
      <c r="C211" s="29"/>
      <c r="D211" s="40"/>
      <c r="E211" s="41"/>
      <c r="F211" s="22"/>
      <c r="G211" s="22"/>
      <c r="H211" s="35"/>
      <c r="I211" s="36" t="s">
        <v>362</v>
      </c>
    </row>
    <row r="212" spans="1:9" s="7" customFormat="1" ht="18" x14ac:dyDescent="0.2">
      <c r="A212" s="27">
        <v>164</v>
      </c>
      <c r="B212" s="37" t="s">
        <v>363</v>
      </c>
      <c r="C212" s="29">
        <v>25.61</v>
      </c>
      <c r="D212" s="20">
        <v>1077</v>
      </c>
      <c r="E212" s="31">
        <v>1009</v>
      </c>
      <c r="F212" s="22">
        <f t="shared" ref="F212:F220" si="26">D212/C212</f>
        <v>42.053885201093323</v>
      </c>
      <c r="G212" s="22">
        <f t="shared" ref="G212:G220" si="27">E212/C212</f>
        <v>39.39867239359625</v>
      </c>
      <c r="H212" s="29">
        <v>394.09485572720763</v>
      </c>
      <c r="I212" s="30" t="s">
        <v>364</v>
      </c>
    </row>
    <row r="213" spans="1:9" s="7" customFormat="1" ht="18" x14ac:dyDescent="0.2">
      <c r="A213" s="27">
        <v>165</v>
      </c>
      <c r="B213" s="37" t="s">
        <v>365</v>
      </c>
      <c r="C213" s="29">
        <v>23.15</v>
      </c>
      <c r="D213" s="20">
        <v>584</v>
      </c>
      <c r="E213" s="31">
        <v>504</v>
      </c>
      <c r="F213" s="22">
        <f t="shared" si="26"/>
        <v>25.226781857451407</v>
      </c>
      <c r="G213" s="22">
        <f t="shared" si="27"/>
        <v>21.771058315334773</v>
      </c>
      <c r="H213" s="29">
        <v>402.74047305542678</v>
      </c>
      <c r="I213" s="30" t="s">
        <v>366</v>
      </c>
    </row>
    <row r="214" spans="1:9" s="7" customFormat="1" ht="18" x14ac:dyDescent="0.2">
      <c r="A214" s="27">
        <v>166</v>
      </c>
      <c r="B214" s="37" t="s">
        <v>367</v>
      </c>
      <c r="C214" s="29">
        <v>54.35</v>
      </c>
      <c r="D214" s="20">
        <v>1223</v>
      </c>
      <c r="E214" s="31">
        <v>1147</v>
      </c>
      <c r="F214" s="22">
        <f t="shared" si="26"/>
        <v>22.502299908003678</v>
      </c>
      <c r="G214" s="22">
        <f t="shared" si="27"/>
        <v>21.103955841766329</v>
      </c>
      <c r="H214" s="29">
        <v>414.27697965467729</v>
      </c>
      <c r="I214" s="30" t="s">
        <v>368</v>
      </c>
    </row>
    <row r="215" spans="1:9" s="7" customFormat="1" ht="18" x14ac:dyDescent="0.2">
      <c r="A215" s="27">
        <v>167</v>
      </c>
      <c r="B215" s="37" t="s">
        <v>369</v>
      </c>
      <c r="C215" s="29">
        <v>29.89</v>
      </c>
      <c r="D215" s="20">
        <v>533</v>
      </c>
      <c r="E215" s="31">
        <v>503</v>
      </c>
      <c r="F215" s="22">
        <f t="shared" si="26"/>
        <v>17.832050853128138</v>
      </c>
      <c r="G215" s="22">
        <f t="shared" si="27"/>
        <v>16.828370692539309</v>
      </c>
      <c r="H215" s="29">
        <v>424.42147418188216</v>
      </c>
      <c r="I215" s="30" t="s">
        <v>370</v>
      </c>
    </row>
    <row r="216" spans="1:9" s="7" customFormat="1" ht="18" x14ac:dyDescent="0.2">
      <c r="A216" s="27">
        <v>168</v>
      </c>
      <c r="B216" s="37" t="s">
        <v>371</v>
      </c>
      <c r="C216" s="29">
        <v>116.8</v>
      </c>
      <c r="D216" s="20">
        <v>272</v>
      </c>
      <c r="E216" s="31">
        <v>258</v>
      </c>
      <c r="F216" s="22">
        <f t="shared" si="26"/>
        <v>2.3287671232876712</v>
      </c>
      <c r="G216" s="22">
        <f t="shared" si="27"/>
        <v>2.2089041095890409</v>
      </c>
      <c r="H216" s="29">
        <v>408.22757766386837</v>
      </c>
      <c r="I216" s="30" t="s">
        <v>372</v>
      </c>
    </row>
    <row r="217" spans="1:9" s="7" customFormat="1" ht="18" x14ac:dyDescent="0.2">
      <c r="A217" s="27">
        <v>169</v>
      </c>
      <c r="B217" s="37" t="s">
        <v>373</v>
      </c>
      <c r="C217" s="29">
        <v>35.5</v>
      </c>
      <c r="D217" s="20">
        <v>958</v>
      </c>
      <c r="E217" s="31">
        <v>871</v>
      </c>
      <c r="F217" s="22">
        <f t="shared" si="26"/>
        <v>26.985915492957748</v>
      </c>
      <c r="G217" s="22">
        <f t="shared" si="27"/>
        <v>24.535211267605632</v>
      </c>
      <c r="H217" s="29">
        <v>372.43128743440127</v>
      </c>
      <c r="I217" s="30" t="s">
        <v>374</v>
      </c>
    </row>
    <row r="218" spans="1:9" s="7" customFormat="1" ht="18" x14ac:dyDescent="0.2">
      <c r="A218" s="27">
        <v>170</v>
      </c>
      <c r="B218" s="37" t="s">
        <v>354</v>
      </c>
      <c r="C218" s="29">
        <v>51.5</v>
      </c>
      <c r="D218" s="20">
        <v>1137</v>
      </c>
      <c r="E218" s="31">
        <v>1053</v>
      </c>
      <c r="F218" s="22">
        <f t="shared" si="26"/>
        <v>22.077669902912621</v>
      </c>
      <c r="G218" s="22">
        <f t="shared" si="27"/>
        <v>20.446601941747574</v>
      </c>
      <c r="H218" s="29">
        <v>384.0455217625809</v>
      </c>
      <c r="I218" s="30" t="s">
        <v>355</v>
      </c>
    </row>
    <row r="219" spans="1:9" s="7" customFormat="1" ht="18" x14ac:dyDescent="0.2">
      <c r="A219" s="27">
        <v>171</v>
      </c>
      <c r="B219" s="37" t="s">
        <v>375</v>
      </c>
      <c r="C219" s="29">
        <v>59.81</v>
      </c>
      <c r="D219" s="20">
        <v>600</v>
      </c>
      <c r="E219" s="31">
        <v>500</v>
      </c>
      <c r="F219" s="22">
        <f t="shared" si="26"/>
        <v>10.031767262999498</v>
      </c>
      <c r="G219" s="22">
        <f t="shared" si="27"/>
        <v>8.3598060524995823</v>
      </c>
      <c r="H219" s="29">
        <v>392.51819287749311</v>
      </c>
      <c r="I219" s="30" t="s">
        <v>376</v>
      </c>
    </row>
    <row r="220" spans="1:9" s="7" customFormat="1" ht="18" x14ac:dyDescent="0.2">
      <c r="A220" s="27">
        <v>172</v>
      </c>
      <c r="B220" s="37" t="s">
        <v>377</v>
      </c>
      <c r="C220" s="29">
        <v>102.93</v>
      </c>
      <c r="D220" s="20">
        <v>2837</v>
      </c>
      <c r="E220" s="31">
        <v>2489</v>
      </c>
      <c r="F220" s="22">
        <f t="shared" si="26"/>
        <v>27.562421062858252</v>
      </c>
      <c r="G220" s="22">
        <f t="shared" si="27"/>
        <v>24.181482560963762</v>
      </c>
      <c r="H220" s="29">
        <v>379.73453948867439</v>
      </c>
      <c r="I220" s="30" t="s">
        <v>378</v>
      </c>
    </row>
    <row r="221" spans="1:9" s="7" customFormat="1" ht="18" x14ac:dyDescent="0.25">
      <c r="A221" s="73"/>
      <c r="B221" s="37"/>
      <c r="C221" s="29"/>
      <c r="D221" s="20"/>
      <c r="E221" s="31"/>
      <c r="F221" s="22"/>
      <c r="G221" s="22"/>
      <c r="H221" s="29"/>
      <c r="I221" s="30"/>
    </row>
    <row r="222" spans="1:9" s="7" customFormat="1" ht="18" x14ac:dyDescent="0.2">
      <c r="A222" s="27"/>
      <c r="B222" s="33" t="s">
        <v>379</v>
      </c>
      <c r="C222" s="29"/>
      <c r="D222" s="20"/>
      <c r="E222" s="31"/>
      <c r="F222" s="22"/>
      <c r="G222" s="22"/>
      <c r="H222" s="35"/>
      <c r="I222" s="36" t="s">
        <v>380</v>
      </c>
    </row>
    <row r="223" spans="1:9" s="7" customFormat="1" ht="18" x14ac:dyDescent="0.2">
      <c r="A223" s="27">
        <v>173</v>
      </c>
      <c r="B223" s="37" t="s">
        <v>381</v>
      </c>
      <c r="C223" s="29">
        <v>45.5</v>
      </c>
      <c r="D223" s="20">
        <v>1104</v>
      </c>
      <c r="E223" s="31">
        <v>1024</v>
      </c>
      <c r="F223" s="22">
        <f t="shared" ref="F223:F231" si="28">D223/C223</f>
        <v>24.263736263736263</v>
      </c>
      <c r="G223" s="22">
        <f t="shared" ref="G223:G231" si="29">E223/C223</f>
        <v>22.505494505494507</v>
      </c>
      <c r="H223" s="29">
        <v>443.11301483916606</v>
      </c>
      <c r="I223" s="30" t="s">
        <v>382</v>
      </c>
    </row>
    <row r="224" spans="1:9" s="7" customFormat="1" ht="18" x14ac:dyDescent="0.2">
      <c r="A224" s="27">
        <v>174</v>
      </c>
      <c r="B224" s="37" t="s">
        <v>383</v>
      </c>
      <c r="C224" s="29">
        <v>79.08</v>
      </c>
      <c r="D224" s="20">
        <v>737</v>
      </c>
      <c r="E224" s="31">
        <v>689</v>
      </c>
      <c r="F224" s="22">
        <f t="shared" si="28"/>
        <v>9.3196762771876589</v>
      </c>
      <c r="G224" s="22">
        <f t="shared" si="29"/>
        <v>8.7126960040465349</v>
      </c>
      <c r="H224" s="29">
        <v>440.86892612108676</v>
      </c>
      <c r="I224" s="30" t="s">
        <v>384</v>
      </c>
    </row>
    <row r="225" spans="1:9" s="7" customFormat="1" ht="18" x14ac:dyDescent="0.2">
      <c r="A225" s="27">
        <v>175</v>
      </c>
      <c r="B225" s="37" t="s">
        <v>385</v>
      </c>
      <c r="C225" s="29">
        <v>59.98</v>
      </c>
      <c r="D225" s="20">
        <v>1502</v>
      </c>
      <c r="E225" s="31">
        <v>1387</v>
      </c>
      <c r="F225" s="22">
        <f t="shared" si="28"/>
        <v>25.04168056018673</v>
      </c>
      <c r="G225" s="22">
        <f t="shared" si="29"/>
        <v>23.124374791597202</v>
      </c>
      <c r="H225" s="29">
        <v>431.5447810970619</v>
      </c>
      <c r="I225" s="30" t="s">
        <v>386</v>
      </c>
    </row>
    <row r="226" spans="1:9" s="7" customFormat="1" ht="18" x14ac:dyDescent="0.2">
      <c r="A226" s="27">
        <v>176</v>
      </c>
      <c r="B226" s="37" t="s">
        <v>387</v>
      </c>
      <c r="C226" s="29">
        <v>94.51</v>
      </c>
      <c r="D226" s="20">
        <v>861</v>
      </c>
      <c r="E226" s="31">
        <v>800</v>
      </c>
      <c r="F226" s="22">
        <f t="shared" si="28"/>
        <v>9.1101470743836632</v>
      </c>
      <c r="G226" s="22">
        <f t="shared" si="29"/>
        <v>8.4647127288117652</v>
      </c>
      <c r="H226" s="29">
        <v>418.00384525802559</v>
      </c>
      <c r="I226" s="30" t="s">
        <v>388</v>
      </c>
    </row>
    <row r="227" spans="1:9" s="7" customFormat="1" ht="18" x14ac:dyDescent="0.2">
      <c r="A227" s="27">
        <v>177</v>
      </c>
      <c r="B227" s="37" t="s">
        <v>389</v>
      </c>
      <c r="C227" s="29">
        <v>40.61</v>
      </c>
      <c r="D227" s="20">
        <v>1218</v>
      </c>
      <c r="E227" s="31">
        <v>1145</v>
      </c>
      <c r="F227" s="22">
        <f t="shared" si="28"/>
        <v>29.992612656981038</v>
      </c>
      <c r="G227" s="22">
        <f t="shared" si="29"/>
        <v>28.195025855700568</v>
      </c>
      <c r="H227" s="29">
        <v>416.53702766697984</v>
      </c>
      <c r="I227" s="30" t="s">
        <v>390</v>
      </c>
    </row>
    <row r="228" spans="1:9" s="7" customFormat="1" ht="18" x14ac:dyDescent="0.2">
      <c r="A228" s="27">
        <v>178</v>
      </c>
      <c r="B228" s="37" t="s">
        <v>391</v>
      </c>
      <c r="C228" s="29">
        <v>43.82</v>
      </c>
      <c r="D228" s="20">
        <v>776</v>
      </c>
      <c r="E228" s="31">
        <v>738</v>
      </c>
      <c r="F228" s="22">
        <f t="shared" si="28"/>
        <v>17.708808763121862</v>
      </c>
      <c r="G228" s="22">
        <f t="shared" si="29"/>
        <v>16.841624828845276</v>
      </c>
      <c r="H228" s="29">
        <v>434.02808842363726</v>
      </c>
      <c r="I228" s="30" t="s">
        <v>392</v>
      </c>
    </row>
    <row r="229" spans="1:9" s="7" customFormat="1" ht="18" x14ac:dyDescent="0.2">
      <c r="A229" s="27">
        <v>179</v>
      </c>
      <c r="B229" s="37" t="s">
        <v>393</v>
      </c>
      <c r="C229" s="29">
        <v>40.130000000000003</v>
      </c>
      <c r="D229" s="20">
        <v>550</v>
      </c>
      <c r="E229" s="31">
        <v>514</v>
      </c>
      <c r="F229" s="22">
        <f t="shared" si="28"/>
        <v>13.705457263892349</v>
      </c>
      <c r="G229" s="22">
        <f t="shared" si="29"/>
        <v>12.808372788437577</v>
      </c>
      <c r="H229" s="29">
        <v>438.01673587996441</v>
      </c>
      <c r="I229" s="30" t="s">
        <v>394</v>
      </c>
    </row>
    <row r="230" spans="1:9" s="7" customFormat="1" ht="18" x14ac:dyDescent="0.2">
      <c r="A230" s="27">
        <v>180</v>
      </c>
      <c r="B230" s="37" t="s">
        <v>395</v>
      </c>
      <c r="C230" s="29">
        <v>118.9</v>
      </c>
      <c r="D230" s="20">
        <v>5230</v>
      </c>
      <c r="E230" s="31">
        <v>4629</v>
      </c>
      <c r="F230" s="22">
        <f t="shared" si="28"/>
        <v>43.986543313708999</v>
      </c>
      <c r="G230" s="22">
        <f t="shared" si="29"/>
        <v>38.931875525651805</v>
      </c>
      <c r="H230" s="29">
        <v>408.96670279969226</v>
      </c>
      <c r="I230" s="30" t="s">
        <v>396</v>
      </c>
    </row>
    <row r="231" spans="1:9" s="7" customFormat="1" ht="18" x14ac:dyDescent="0.2">
      <c r="A231" s="27">
        <v>181</v>
      </c>
      <c r="B231" s="37" t="s">
        <v>164</v>
      </c>
      <c r="C231" s="29">
        <v>193.01</v>
      </c>
      <c r="D231" s="20">
        <v>712</v>
      </c>
      <c r="E231" s="31">
        <v>661</v>
      </c>
      <c r="F231" s="22">
        <f t="shared" si="28"/>
        <v>3.6889280348168492</v>
      </c>
      <c r="G231" s="22">
        <f t="shared" si="29"/>
        <v>3.4246930210869904</v>
      </c>
      <c r="H231" s="29">
        <v>437.22116354233185</v>
      </c>
      <c r="I231" s="30" t="s">
        <v>165</v>
      </c>
    </row>
    <row r="232" spans="1:9" s="7" customFormat="1" ht="18" x14ac:dyDescent="0.2">
      <c r="A232" s="27"/>
      <c r="B232" s="37"/>
      <c r="C232" s="29"/>
      <c r="D232" s="20"/>
      <c r="E232" s="31"/>
      <c r="F232" s="22"/>
      <c r="G232" s="22"/>
      <c r="H232" s="29"/>
      <c r="I232" s="30"/>
    </row>
    <row r="233" spans="1:9" s="7" customFormat="1" ht="18" x14ac:dyDescent="0.2">
      <c r="A233" s="27"/>
      <c r="B233" s="33" t="s">
        <v>397</v>
      </c>
      <c r="C233" s="29"/>
      <c r="D233" s="20"/>
      <c r="E233" s="31"/>
      <c r="F233" s="22"/>
      <c r="G233" s="22"/>
      <c r="H233" s="52"/>
      <c r="I233" s="36" t="s">
        <v>398</v>
      </c>
    </row>
    <row r="234" spans="1:9" s="7" customFormat="1" ht="18" x14ac:dyDescent="0.2">
      <c r="A234" s="27">
        <v>182</v>
      </c>
      <c r="B234" s="28" t="s">
        <v>399</v>
      </c>
      <c r="C234" s="29">
        <v>493</v>
      </c>
      <c r="D234" s="20">
        <v>8510</v>
      </c>
      <c r="E234" s="31">
        <v>7984</v>
      </c>
      <c r="F234" s="22">
        <f>D234/C234</f>
        <v>17.261663286004058</v>
      </c>
      <c r="G234" s="22">
        <f>E234/C234</f>
        <v>16.1947261663286</v>
      </c>
      <c r="H234" s="29">
        <v>496.96690737890174</v>
      </c>
      <c r="I234" s="30" t="s">
        <v>400</v>
      </c>
    </row>
    <row r="235" spans="1:9" s="7" customFormat="1" ht="18" x14ac:dyDescent="0.2">
      <c r="A235" s="27"/>
      <c r="B235" s="28"/>
      <c r="C235" s="29"/>
      <c r="D235" s="20"/>
      <c r="E235" s="31"/>
      <c r="F235" s="22"/>
      <c r="G235" s="22"/>
      <c r="H235" s="29"/>
      <c r="I235" s="30"/>
    </row>
    <row r="236" spans="1:9" s="7" customFormat="1" ht="18" x14ac:dyDescent="0.2">
      <c r="A236" s="27"/>
      <c r="B236" s="33" t="s">
        <v>401</v>
      </c>
      <c r="C236" s="29"/>
      <c r="D236" s="20"/>
      <c r="E236" s="31"/>
      <c r="F236" s="22"/>
      <c r="G236" s="22"/>
      <c r="H236" s="35"/>
      <c r="I236" s="36" t="s">
        <v>402</v>
      </c>
    </row>
    <row r="237" spans="1:9" s="7" customFormat="1" ht="18" x14ac:dyDescent="0.2">
      <c r="A237" s="27">
        <v>183</v>
      </c>
      <c r="B237" s="28" t="s">
        <v>403</v>
      </c>
      <c r="C237" s="29">
        <v>184.32</v>
      </c>
      <c r="D237" s="20">
        <v>1871</v>
      </c>
      <c r="E237" s="31">
        <v>1716</v>
      </c>
      <c r="F237" s="22">
        <v>17.261663286004058</v>
      </c>
      <c r="G237" s="22">
        <v>16.1947261663286</v>
      </c>
      <c r="H237" s="52">
        <v>529.79999999999995</v>
      </c>
      <c r="I237" s="30" t="s">
        <v>157</v>
      </c>
    </row>
    <row r="238" spans="1:9" s="7" customFormat="1" ht="18" x14ac:dyDescent="0.2">
      <c r="A238" s="27">
        <v>184</v>
      </c>
      <c r="B238" s="28" t="s">
        <v>82</v>
      </c>
      <c r="C238" s="29">
        <v>63.93</v>
      </c>
      <c r="D238" s="20">
        <v>3431</v>
      </c>
      <c r="E238" s="31">
        <v>3099</v>
      </c>
      <c r="F238" s="22">
        <f>D238/C238</f>
        <v>53.668074456436727</v>
      </c>
      <c r="G238" s="22">
        <f>E238/C238</f>
        <v>48.474894415767245</v>
      </c>
      <c r="H238" s="29">
        <v>541.1</v>
      </c>
      <c r="I238" s="30" t="s">
        <v>83</v>
      </c>
    </row>
    <row r="239" spans="1:9" s="7" customFormat="1" ht="18" x14ac:dyDescent="0.2">
      <c r="A239" s="27">
        <v>185</v>
      </c>
      <c r="B239" s="28" t="s">
        <v>404</v>
      </c>
      <c r="C239" s="29">
        <v>547.96</v>
      </c>
      <c r="D239" s="20">
        <v>11129</v>
      </c>
      <c r="E239" s="31">
        <v>10114</v>
      </c>
      <c r="F239" s="22">
        <f>D239/C239</f>
        <v>20.309876633330898</v>
      </c>
      <c r="G239" s="22">
        <f>E239/C239</f>
        <v>18.457551646105554</v>
      </c>
      <c r="H239" s="29">
        <v>533.70803127759086</v>
      </c>
      <c r="I239" s="30" t="s">
        <v>405</v>
      </c>
    </row>
    <row r="240" spans="1:9" s="7" customFormat="1" ht="18" x14ac:dyDescent="0.2">
      <c r="A240" s="27">
        <v>186</v>
      </c>
      <c r="B240" s="28" t="s">
        <v>406</v>
      </c>
      <c r="C240" s="29">
        <v>57.89</v>
      </c>
      <c r="D240" s="20">
        <v>2374</v>
      </c>
      <c r="E240" s="31">
        <v>2133</v>
      </c>
      <c r="F240" s="22">
        <f>D240/C240</f>
        <v>41.00880981171187</v>
      </c>
      <c r="G240" s="22">
        <f>E240/C240</f>
        <v>36.845741924339265</v>
      </c>
      <c r="H240" s="57">
        <v>539.6</v>
      </c>
      <c r="I240" s="58" t="s">
        <v>407</v>
      </c>
    </row>
    <row r="241" spans="1:16" s="7" customFormat="1" ht="18" x14ac:dyDescent="0.2">
      <c r="A241" s="27">
        <v>187</v>
      </c>
      <c r="B241" s="28" t="s">
        <v>408</v>
      </c>
      <c r="C241" s="29">
        <v>33.549999999999997</v>
      </c>
      <c r="D241" s="20">
        <v>1228</v>
      </c>
      <c r="E241" s="31">
        <v>1153</v>
      </c>
      <c r="F241" s="22">
        <f>D241/C241</f>
        <v>36.602086438152014</v>
      </c>
      <c r="G241" s="22">
        <f>E241/C241</f>
        <v>34.36661698956781</v>
      </c>
      <c r="H241" s="57">
        <v>540.29999999999995</v>
      </c>
      <c r="I241" s="58" t="s">
        <v>409</v>
      </c>
    </row>
    <row r="242" spans="1:16" s="7" customFormat="1" ht="18" x14ac:dyDescent="0.2">
      <c r="A242" s="59">
        <v>188</v>
      </c>
      <c r="B242" s="74" t="s">
        <v>410</v>
      </c>
      <c r="C242" s="45">
        <v>122.24</v>
      </c>
      <c r="D242" s="75">
        <v>1242</v>
      </c>
      <c r="E242" s="46">
        <v>1104</v>
      </c>
      <c r="F242" s="47">
        <f>D242/C242</f>
        <v>10.160340314136127</v>
      </c>
      <c r="G242" s="47">
        <f>E242/C242</f>
        <v>9.0314136125654461</v>
      </c>
      <c r="H242" s="45">
        <v>530.70000000000005</v>
      </c>
      <c r="I242" s="76" t="s">
        <v>411</v>
      </c>
    </row>
    <row r="243" spans="1:16" s="7" customFormat="1" ht="18" x14ac:dyDescent="0.2">
      <c r="A243" s="77" t="s">
        <v>412</v>
      </c>
      <c r="B243" s="78"/>
      <c r="C243" s="79"/>
      <c r="D243" s="80"/>
      <c r="E243" s="81"/>
      <c r="F243" s="82"/>
      <c r="G243" s="82"/>
      <c r="H243" s="79"/>
      <c r="I243" s="83"/>
    </row>
    <row r="244" spans="1:16" s="7" customFormat="1" ht="13.5" customHeight="1" x14ac:dyDescent="0.25">
      <c r="A244" s="84"/>
      <c r="B244" s="85" t="s">
        <v>413</v>
      </c>
      <c r="C244" s="86"/>
      <c r="D244" s="86"/>
      <c r="E244" s="86"/>
      <c r="F244" s="87"/>
      <c r="G244" s="87"/>
      <c r="H244" s="86"/>
      <c r="I244" s="44" t="s">
        <v>414</v>
      </c>
    </row>
    <row r="245" spans="1:16" ht="16.5" customHeight="1" x14ac:dyDescent="0.2">
      <c r="B245" s="89" t="s">
        <v>415</v>
      </c>
    </row>
    <row r="246" spans="1:16" ht="15" x14ac:dyDescent="0.25">
      <c r="A246" s="92"/>
      <c r="B246" s="93"/>
      <c r="C246" s="94"/>
      <c r="D246" s="94"/>
      <c r="E246" s="94"/>
      <c r="F246" s="95"/>
      <c r="G246" s="95"/>
      <c r="H246" s="94"/>
      <c r="I246" s="96"/>
      <c r="P246" s="97"/>
    </row>
    <row r="247" spans="1:16" s="7" customFormat="1" ht="12.6" customHeight="1" x14ac:dyDescent="0.2">
      <c r="A247" s="98" t="s">
        <v>416</v>
      </c>
      <c r="B247" s="99"/>
      <c r="C247" s="86"/>
      <c r="D247" s="86"/>
      <c r="E247" s="86"/>
      <c r="F247" s="87"/>
      <c r="G247" s="87"/>
      <c r="H247" s="86"/>
      <c r="I247" s="44"/>
      <c r="P247" s="100"/>
    </row>
    <row r="248" spans="1:16" ht="33.75" customHeight="1" x14ac:dyDescent="0.25">
      <c r="A248" s="101" t="s">
        <v>417</v>
      </c>
      <c r="B248" s="122" t="s">
        <v>418</v>
      </c>
      <c r="C248" s="122"/>
      <c r="D248" s="122"/>
      <c r="E248" s="122"/>
      <c r="F248" s="122"/>
      <c r="G248" s="122"/>
      <c r="H248" s="122"/>
      <c r="I248" s="122"/>
      <c r="J248" s="102"/>
    </row>
    <row r="249" spans="1:16" ht="24.75" customHeight="1" x14ac:dyDescent="0.25">
      <c r="A249" s="101" t="s">
        <v>417</v>
      </c>
      <c r="B249" s="123" t="s">
        <v>419</v>
      </c>
      <c r="C249" s="123"/>
      <c r="D249" s="123"/>
      <c r="E249" s="123"/>
      <c r="F249" s="123"/>
      <c r="G249" s="123"/>
      <c r="H249" s="123"/>
      <c r="I249" s="123"/>
      <c r="J249" s="102"/>
    </row>
    <row r="250" spans="1:16" ht="24.75" customHeight="1" x14ac:dyDescent="0.25">
      <c r="A250" s="101" t="s">
        <v>420</v>
      </c>
      <c r="B250" s="123" t="s">
        <v>421</v>
      </c>
      <c r="C250" s="123"/>
      <c r="D250" s="123"/>
      <c r="E250" s="123"/>
      <c r="F250" s="123"/>
      <c r="G250" s="123"/>
      <c r="H250" s="123"/>
      <c r="I250" s="123"/>
      <c r="J250" s="102"/>
    </row>
    <row r="251" spans="1:16" ht="24.75" customHeight="1" x14ac:dyDescent="0.25">
      <c r="A251" s="101" t="s">
        <v>420</v>
      </c>
      <c r="B251" s="123" t="s">
        <v>422</v>
      </c>
      <c r="C251" s="123"/>
      <c r="D251" s="123"/>
      <c r="E251" s="123"/>
      <c r="F251" s="123"/>
      <c r="G251" s="123"/>
      <c r="H251" s="123"/>
      <c r="I251" s="123"/>
      <c r="J251" s="102"/>
    </row>
    <row r="252" spans="1:16" ht="24.75" customHeight="1" x14ac:dyDescent="0.25">
      <c r="A252" s="101" t="s">
        <v>423</v>
      </c>
      <c r="B252" s="123" t="s">
        <v>424</v>
      </c>
      <c r="C252" s="123"/>
      <c r="D252" s="123"/>
      <c r="E252" s="123"/>
      <c r="F252" s="123"/>
      <c r="G252" s="123"/>
      <c r="H252" s="123"/>
      <c r="I252" s="123"/>
      <c r="J252" s="102"/>
    </row>
    <row r="253" spans="1:16" ht="24.75" customHeight="1" x14ac:dyDescent="0.25">
      <c r="A253" s="101" t="s">
        <v>423</v>
      </c>
      <c r="B253" s="123" t="s">
        <v>425</v>
      </c>
      <c r="C253" s="123"/>
      <c r="D253" s="123"/>
      <c r="E253" s="123"/>
      <c r="F253" s="123"/>
      <c r="G253" s="123"/>
      <c r="H253" s="123"/>
      <c r="I253" s="123"/>
      <c r="J253" s="102"/>
    </row>
    <row r="254" spans="1:16" ht="24.75" customHeight="1" x14ac:dyDescent="0.25">
      <c r="A254" s="101" t="s">
        <v>423</v>
      </c>
      <c r="B254" s="123" t="s">
        <v>426</v>
      </c>
      <c r="C254" s="123"/>
      <c r="D254" s="123"/>
      <c r="E254" s="123"/>
      <c r="F254" s="123"/>
      <c r="G254" s="123"/>
      <c r="H254" s="123"/>
      <c r="I254" s="123"/>
      <c r="J254" s="102"/>
    </row>
    <row r="255" spans="1:16" ht="33.75" customHeight="1" x14ac:dyDescent="0.25">
      <c r="A255" s="101" t="s">
        <v>427</v>
      </c>
      <c r="B255" s="122" t="s">
        <v>428</v>
      </c>
      <c r="C255" s="122"/>
      <c r="D255" s="122"/>
      <c r="E255" s="122"/>
      <c r="F255" s="122"/>
      <c r="G255" s="122"/>
      <c r="H255" s="122"/>
      <c r="I255" s="122"/>
      <c r="J255" s="102"/>
    </row>
    <row r="256" spans="1:16" ht="24.75" customHeight="1" x14ac:dyDescent="0.25">
      <c r="A256" s="101" t="s">
        <v>429</v>
      </c>
      <c r="B256" s="123" t="s">
        <v>430</v>
      </c>
      <c r="C256" s="123"/>
      <c r="D256" s="123"/>
      <c r="E256" s="123"/>
      <c r="F256" s="123"/>
      <c r="G256" s="123"/>
      <c r="H256" s="123"/>
      <c r="I256" s="123"/>
      <c r="J256" s="102"/>
    </row>
    <row r="257" spans="1:10" ht="24.75" customHeight="1" x14ac:dyDescent="0.25">
      <c r="A257" s="101" t="s">
        <v>431</v>
      </c>
      <c r="B257" s="123" t="s">
        <v>432</v>
      </c>
      <c r="C257" s="123"/>
      <c r="D257" s="123"/>
      <c r="E257" s="123"/>
      <c r="F257" s="123"/>
      <c r="G257" s="123"/>
      <c r="H257" s="123"/>
      <c r="I257" s="123"/>
      <c r="J257" s="102"/>
    </row>
    <row r="258" spans="1:10" ht="24.75" customHeight="1" x14ac:dyDescent="0.25">
      <c r="A258" s="101" t="s">
        <v>433</v>
      </c>
      <c r="B258" s="123" t="s">
        <v>434</v>
      </c>
      <c r="C258" s="123"/>
      <c r="D258" s="123"/>
      <c r="E258" s="123"/>
      <c r="F258" s="123"/>
      <c r="G258" s="123"/>
      <c r="H258" s="123"/>
      <c r="I258" s="123"/>
      <c r="J258" s="102"/>
    </row>
    <row r="259" spans="1:10" ht="33.75" customHeight="1" x14ac:dyDescent="0.25">
      <c r="A259" s="101" t="s">
        <v>433</v>
      </c>
      <c r="B259" s="122" t="s">
        <v>435</v>
      </c>
      <c r="C259" s="122"/>
      <c r="D259" s="122"/>
      <c r="E259" s="122"/>
      <c r="F259" s="122"/>
      <c r="G259" s="122"/>
      <c r="H259" s="122"/>
      <c r="I259" s="122"/>
      <c r="J259" s="102"/>
    </row>
    <row r="260" spans="1:10" ht="24.75" customHeight="1" x14ac:dyDescent="0.25">
      <c r="A260" s="101" t="s">
        <v>436</v>
      </c>
      <c r="B260" s="123" t="s">
        <v>437</v>
      </c>
      <c r="C260" s="123"/>
      <c r="D260" s="123"/>
      <c r="E260" s="123"/>
      <c r="F260" s="123"/>
      <c r="G260" s="123"/>
      <c r="H260" s="123"/>
      <c r="I260" s="123"/>
      <c r="J260" s="102"/>
    </row>
    <row r="261" spans="1:10" ht="24.75" customHeight="1" x14ac:dyDescent="0.25">
      <c r="A261" s="101" t="s">
        <v>436</v>
      </c>
      <c r="B261" s="123" t="s">
        <v>438</v>
      </c>
      <c r="C261" s="123"/>
      <c r="D261" s="123"/>
      <c r="E261" s="123"/>
      <c r="F261" s="123"/>
      <c r="G261" s="123"/>
      <c r="H261" s="123"/>
      <c r="I261" s="123"/>
      <c r="J261" s="102"/>
    </row>
    <row r="262" spans="1:10" ht="24.75" customHeight="1" x14ac:dyDescent="0.25">
      <c r="A262" s="101" t="s">
        <v>439</v>
      </c>
      <c r="B262" s="123" t="s">
        <v>440</v>
      </c>
      <c r="C262" s="123"/>
      <c r="D262" s="123"/>
      <c r="E262" s="123"/>
      <c r="F262" s="123"/>
      <c r="G262" s="123"/>
      <c r="H262" s="123"/>
      <c r="I262" s="123"/>
      <c r="J262" s="102"/>
    </row>
    <row r="263" spans="1:10" ht="24.75" customHeight="1" x14ac:dyDescent="0.25">
      <c r="A263" s="101" t="s">
        <v>439</v>
      </c>
      <c r="B263" s="123" t="s">
        <v>441</v>
      </c>
      <c r="C263" s="123"/>
      <c r="D263" s="123"/>
      <c r="E263" s="123"/>
      <c r="F263" s="123"/>
      <c r="G263" s="123"/>
      <c r="H263" s="123"/>
      <c r="I263" s="123"/>
      <c r="J263" s="102"/>
    </row>
    <row r="264" spans="1:10" ht="24.75" customHeight="1" x14ac:dyDescent="0.25">
      <c r="A264" s="101" t="s">
        <v>439</v>
      </c>
      <c r="B264" s="123" t="s">
        <v>442</v>
      </c>
      <c r="C264" s="123"/>
      <c r="D264" s="123"/>
      <c r="E264" s="123"/>
      <c r="F264" s="123"/>
      <c r="G264" s="123"/>
      <c r="H264" s="123"/>
      <c r="I264" s="123"/>
      <c r="J264" s="102"/>
    </row>
    <row r="265" spans="1:10" ht="24.75" customHeight="1" x14ac:dyDescent="0.25">
      <c r="A265" s="101" t="s">
        <v>439</v>
      </c>
      <c r="B265" s="123" t="s">
        <v>443</v>
      </c>
      <c r="C265" s="123"/>
      <c r="D265" s="123"/>
      <c r="E265" s="123"/>
      <c r="F265" s="123"/>
      <c r="G265" s="123"/>
      <c r="H265" s="123"/>
      <c r="I265" s="123"/>
      <c r="J265" s="102"/>
    </row>
    <row r="266" spans="1:10" ht="24.75" customHeight="1" x14ac:dyDescent="0.25">
      <c r="A266" s="101" t="s">
        <v>444</v>
      </c>
      <c r="B266" s="123" t="s">
        <v>445</v>
      </c>
      <c r="C266" s="123"/>
      <c r="D266" s="123"/>
      <c r="E266" s="123"/>
      <c r="F266" s="123"/>
      <c r="G266" s="123"/>
      <c r="H266" s="123"/>
      <c r="I266" s="123"/>
      <c r="J266" s="102"/>
    </row>
    <row r="267" spans="1:10" ht="24.75" customHeight="1" x14ac:dyDescent="0.25">
      <c r="A267" s="101" t="s">
        <v>444</v>
      </c>
      <c r="B267" s="124" t="s">
        <v>446</v>
      </c>
      <c r="C267" s="124"/>
      <c r="D267" s="124"/>
      <c r="E267" s="124"/>
      <c r="F267" s="124"/>
      <c r="G267" s="124"/>
      <c r="H267" s="124"/>
      <c r="I267" s="124"/>
      <c r="J267" s="102"/>
    </row>
    <row r="268" spans="1:10" ht="24.75" customHeight="1" x14ac:dyDescent="0.2">
      <c r="A268" s="125" t="s">
        <v>447</v>
      </c>
      <c r="B268" s="126"/>
      <c r="C268" s="126"/>
      <c r="D268" s="126"/>
      <c r="E268" s="126"/>
      <c r="F268" s="126"/>
      <c r="G268" s="126"/>
      <c r="H268" s="127"/>
    </row>
    <row r="269" spans="1:10" x14ac:dyDescent="0.2">
      <c r="C269" s="104"/>
      <c r="D269" s="104"/>
      <c r="E269" s="104"/>
      <c r="F269" s="105"/>
      <c r="G269" s="105"/>
      <c r="H269" s="104"/>
    </row>
    <row r="270" spans="1:10" x14ac:dyDescent="0.2">
      <c r="C270" s="104"/>
      <c r="D270" s="104"/>
      <c r="E270" s="104"/>
      <c r="F270" s="105"/>
      <c r="G270" s="105"/>
      <c r="H270" s="104"/>
    </row>
    <row r="271" spans="1:10" x14ac:dyDescent="0.2">
      <c r="C271" s="104"/>
      <c r="D271" s="104"/>
      <c r="E271" s="104"/>
      <c r="F271" s="105"/>
      <c r="G271" s="105"/>
      <c r="H271" s="104"/>
    </row>
    <row r="272" spans="1:10" x14ac:dyDescent="0.2">
      <c r="C272" s="104"/>
      <c r="D272" s="104"/>
      <c r="E272" s="104"/>
      <c r="F272" s="105"/>
      <c r="G272" s="105"/>
      <c r="H272" s="104"/>
    </row>
    <row r="273" spans="3:27" x14ac:dyDescent="0.2">
      <c r="C273" s="104"/>
      <c r="D273" s="104"/>
      <c r="E273" s="104"/>
      <c r="F273" s="105"/>
      <c r="G273" s="105"/>
      <c r="H273" s="104"/>
    </row>
    <row r="274" spans="3:27" x14ac:dyDescent="0.2">
      <c r="C274" s="104"/>
      <c r="D274" s="104"/>
      <c r="E274" s="104"/>
      <c r="F274" s="105"/>
      <c r="G274" s="105"/>
      <c r="H274" s="104"/>
      <c r="Z274" s="6" t="s">
        <v>16</v>
      </c>
      <c r="AA274" s="106">
        <v>42.053885201093323</v>
      </c>
    </row>
    <row r="275" spans="3:27" x14ac:dyDescent="0.2">
      <c r="Z275" s="6" t="s">
        <v>448</v>
      </c>
      <c r="AA275" s="106">
        <v>81.492537313432834</v>
      </c>
    </row>
    <row r="276" spans="3:27" x14ac:dyDescent="0.2">
      <c r="Z276" s="6" t="s">
        <v>449</v>
      </c>
      <c r="AA276" s="106">
        <v>82.922149122807028</v>
      </c>
    </row>
    <row r="277" spans="3:27" x14ac:dyDescent="0.2">
      <c r="Z277" s="6" t="s">
        <v>450</v>
      </c>
      <c r="AA277" s="106">
        <v>85.631443298969074</v>
      </c>
    </row>
    <row r="278" spans="3:27" x14ac:dyDescent="0.2">
      <c r="Z278" s="6" t="s">
        <v>451</v>
      </c>
      <c r="AA278" s="106">
        <v>86.527514231499055</v>
      </c>
    </row>
    <row r="279" spans="3:27" x14ac:dyDescent="0.2">
      <c r="Z279" s="6" t="s">
        <v>452</v>
      </c>
      <c r="AA279" s="106">
        <v>91.446208112874785</v>
      </c>
    </row>
    <row r="280" spans="3:27" x14ac:dyDescent="0.2">
      <c r="Z280" s="6" t="s">
        <v>453</v>
      </c>
      <c r="AA280" s="106">
        <v>99.09365558912387</v>
      </c>
    </row>
    <row r="281" spans="3:27" x14ac:dyDescent="0.2">
      <c r="Z281" s="6" t="s">
        <v>454</v>
      </c>
      <c r="AA281" s="106">
        <v>107.23938223938225</v>
      </c>
    </row>
    <row r="282" spans="3:27" x14ac:dyDescent="0.2">
      <c r="Z282" s="6" t="s">
        <v>455</v>
      </c>
      <c r="AA282" s="106">
        <v>114.17466849565615</v>
      </c>
    </row>
    <row r="283" spans="3:27" x14ac:dyDescent="0.2">
      <c r="Z283" s="6" t="s">
        <v>456</v>
      </c>
      <c r="AA283" s="106">
        <v>251.98738170347005</v>
      </c>
    </row>
    <row r="284" spans="3:27" x14ac:dyDescent="0.2">
      <c r="Z284" s="6" t="s">
        <v>1</v>
      </c>
      <c r="AA284" s="106">
        <v>786.87049440155431</v>
      </c>
    </row>
    <row r="315" spans="5:5" x14ac:dyDescent="0.2">
      <c r="E315" s="107"/>
    </row>
  </sheetData>
  <mergeCells count="27">
    <mergeCell ref="B266:I266"/>
    <mergeCell ref="B267:I267"/>
    <mergeCell ref="A268:H268"/>
    <mergeCell ref="B260:I260"/>
    <mergeCell ref="B261:I261"/>
    <mergeCell ref="B262:I262"/>
    <mergeCell ref="B263:I263"/>
    <mergeCell ref="B264:I264"/>
    <mergeCell ref="B265:I265"/>
    <mergeCell ref="B259:I259"/>
    <mergeCell ref="B248:I248"/>
    <mergeCell ref="B249:I249"/>
    <mergeCell ref="B250:I250"/>
    <mergeCell ref="B251:I251"/>
    <mergeCell ref="B252:I252"/>
    <mergeCell ref="B253:I253"/>
    <mergeCell ref="B254:I254"/>
    <mergeCell ref="B255:I255"/>
    <mergeCell ref="B256:I256"/>
    <mergeCell ref="B257:I257"/>
    <mergeCell ref="B258:I258"/>
    <mergeCell ref="A2:I2"/>
    <mergeCell ref="A3:I3"/>
    <mergeCell ref="B4:B5"/>
    <mergeCell ref="D4:E4"/>
    <mergeCell ref="F4:G4"/>
    <mergeCell ref="I4:I5"/>
  </mergeCells>
  <pageMargins left="0.7" right="0.7" top="0.75" bottom="0.75" header="0.3" footer="0.3"/>
  <pageSetup paperSize="9" scale="59" orientation="portrait" horizontalDpi="4294967295" verticalDpi="4294967295" r:id="rId1"/>
  <rowBreaks count="4" manualBreakCount="4">
    <brk id="56" max="9" man="1"/>
    <brk id="110" max="9" man="1"/>
    <brk id="169" max="9" man="1"/>
    <brk id="231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1.5</vt:lpstr>
      <vt:lpstr>'1.5'!Print_Area</vt:lpstr>
      <vt:lpstr>'1.5'!Print_Titles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2019-04-29T08:21:24Z</cp:lastPrinted>
  <dcterms:created xsi:type="dcterms:W3CDTF">2019-04-10T06:39:10Z</dcterms:created>
  <dcterms:modified xsi:type="dcterms:W3CDTF">2019-04-29T08:21:50Z</dcterms:modified>
</cp:coreProperties>
</file>