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.GEOGRAPHY\"/>
    </mc:Choice>
  </mc:AlternateContent>
  <bookViews>
    <workbookView xWindow="0" yWindow="0" windowWidth="28800" windowHeight="12030" tabRatio="729"/>
  </bookViews>
  <sheets>
    <sheet name="1.2" sheetId="2" r:id="rId1"/>
  </sheets>
  <externalReferences>
    <externalReference r:id="rId2"/>
    <externalReference r:id="rId3"/>
  </externalReferences>
  <definedNames>
    <definedName name="_xlnm.Print_Area" localSheetId="0">'1.2'!$A$1:$P$42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7" i="2" l="1"/>
  <c r="B18" i="2" l="1"/>
  <c r="AK21" i="2" s="1"/>
  <c r="B17" i="2"/>
  <c r="AK20" i="2" s="1"/>
  <c r="B16" i="2"/>
  <c r="AK19" i="2" s="1"/>
  <c r="B15" i="2"/>
  <c r="AK18" i="2" s="1"/>
  <c r="B14" i="2"/>
  <c r="AK17" i="2" s="1"/>
  <c r="B12" i="2"/>
  <c r="AJ21" i="2" s="1"/>
  <c r="B11" i="2"/>
  <c r="AJ20" i="2" s="1"/>
  <c r="B10" i="2"/>
  <c r="AJ19" i="2" s="1"/>
  <c r="B9" i="2"/>
  <c r="AJ18" i="2" s="1"/>
  <c r="B8" i="2"/>
</calcChain>
</file>

<file path=xl/sharedStrings.xml><?xml version="1.0" encoding="utf-8"?>
<sst xmlns="http://schemas.openxmlformats.org/spreadsheetml/2006/main" count="63" uniqueCount="48">
  <si>
    <t>Locality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</si>
  <si>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</si>
  <si>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</si>
  <si>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</si>
  <si>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</si>
  <si>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</si>
  <si>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</si>
  <si>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</si>
  <si>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</si>
  <si>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</si>
  <si>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</si>
  <si>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</si>
  <si>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</si>
  <si>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</si>
  <si>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</si>
  <si>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</si>
  <si>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</si>
  <si>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</si>
  <si>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</si>
  <si>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</si>
  <si>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</si>
  <si>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</si>
  <si>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2018 ,urwvcnim Wviawfcsog cSwSwd idwa cSwCcawm emcnea cnimunUh uhwmcswmikea : 1.2 clwvWt</t>
  </si>
  <si>
    <t>Table 1.2 : AVERAGE OF DAILY MAXIMUM AND MINIMUM TEMPERATURE, BY MONTH, 2018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</si>
  <si>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</si>
  <si>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</si>
  <si>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</si>
  <si>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</si>
  <si>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</si>
  <si>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</si>
  <si>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</si>
  <si>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</si>
  <si>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</si>
  <si>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</si>
  <si>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</si>
  <si>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</si>
  <si>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</si>
  <si>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</si>
  <si>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</si>
  <si>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</si>
  <si>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  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</si>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</sst>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A_Randhoo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5" fillId="2" borderId="2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 wrapText="1"/>
      <protection hidden="1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164" fontId="4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Alignment="1">
      <alignment vertical="center"/>
    </xf>
    <xf numFmtId="0" fontId="8" fillId="2" borderId="0" xfId="0" applyFont="1" applyFill="1" applyBorder="1" applyAlignment="1" applyProtection="1">
      <alignment horizontal="left" vertical="center"/>
      <protection hidden="1"/>
    </xf>
    <xf numFmtId="164" fontId="5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center"/>
    </xf>
    <xf numFmtId="0" fontId="8" fillId="2" borderId="2" xfId="0" applyFont="1" applyFill="1" applyBorder="1" applyAlignment="1" applyProtection="1">
      <alignment horizontal="left" vertical="center"/>
      <protection hidden="1"/>
    </xf>
    <xf numFmtId="164" fontId="5" fillId="2" borderId="2" xfId="0" applyNumberFormat="1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4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6" fontId="2" fillId="2" borderId="0" xfId="0" applyNumberFormat="1" applyFont="1" applyFill="1" applyBorder="1" applyAlignment="1" applyProtection="1">
      <alignment horizontal="right" vertical="center"/>
      <protection hidden="1"/>
    </xf>
    <xf numFmtId="166" fontId="7" fillId="2" borderId="0" xfId="0" applyNumberFormat="1" applyFont="1" applyFill="1" applyBorder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0" xfId="0" applyNumberFormat="1" applyFont="1" applyFill="1" applyBorder="1" applyAlignment="1" applyProtection="1">
      <alignment horizontal="right" vertical="center"/>
      <protection locked="0"/>
    </xf>
    <xf numFmtId="166" fontId="8" fillId="2" borderId="2" xfId="0" applyNumberFormat="1" applyFont="1" applyFill="1" applyBorder="1" applyAlignment="1" applyProtection="1">
      <alignment horizontal="right" vertical="center"/>
      <protection locked="0"/>
    </xf>
    <xf numFmtId="166" fontId="0" fillId="2" borderId="2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top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  <xf numFmtId="0" fontId="6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1772161963E-2"/>
          <c:y val="0.18935069638067326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30.988287890424989</c:v>
                </c:pt>
                <c:pt idx="1">
                  <c:v>31.676926523297485</c:v>
                </c:pt>
                <c:pt idx="2">
                  <c:v>31.358033794162825</c:v>
                </c:pt>
                <c:pt idx="3">
                  <c:v>30.911217997951866</c:v>
                </c:pt>
                <c:pt idx="4">
                  <c:v>31.053465821812591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D-4640-A355-B24E7A19A9D4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26.392532002048128</c:v>
                </c:pt>
                <c:pt idx="1">
                  <c:v>25.297726201143536</c:v>
                </c:pt>
                <c:pt idx="2">
                  <c:v>25.700226574500771</c:v>
                </c:pt>
                <c:pt idx="3">
                  <c:v>25.047217101894521</c:v>
                </c:pt>
                <c:pt idx="4">
                  <c:v>25.148213005632361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0D-4640-A355-B24E7A19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19446128"/>
        <c:axId val="-319445584"/>
      </c:barChart>
      <c:catAx>
        <c:axId val="-31944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31944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31944558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319446128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75694911293825"/>
          <c:y val="0.19809866701226778"/>
          <c:w val="0.22114265200747499"/>
          <c:h val="5.7115968000115494E-2"/>
        </c:manualLayout>
      </c:layout>
      <c:overlay val="0"/>
      <c:spPr>
        <a:ln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76926</xdr:rowOff>
    </xdr:from>
    <xdr:to>
      <xdr:col>14</xdr:col>
      <xdr:colOff>266700</xdr:colOff>
      <xdr:row>40</xdr:row>
      <xdr:rowOff>136071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0.13031</cdr:x>
      <cdr:y>0.05198</cdr:y>
    </cdr:from>
    <cdr:to>
      <cdr:x>0.89834</cdr:x>
      <cdr:y>0.12954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532" y="175772"/>
          <a:ext cx="6409754" cy="262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1.2: Yearly Average of daily maximum and minimum temperature, </a:t>
          </a:r>
          <a:r>
            <a:rPr lang="en-US" sz="1200" b="1" i="0" strike="noStrike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2018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.GEOGRAPHY-M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>
        <row r="9">
          <cell r="AI9" t="str">
            <v>Rainfall</v>
          </cell>
          <cell r="AJ9">
            <v>0</v>
          </cell>
          <cell r="AK9" t="str">
            <v>sunshine</v>
          </cell>
          <cell r="AL9">
            <v>0</v>
          </cell>
        </row>
        <row r="10">
          <cell r="AI10">
            <v>2017</v>
          </cell>
          <cell r="AJ10">
            <v>2018</v>
          </cell>
          <cell r="AK10">
            <v>2017</v>
          </cell>
          <cell r="AL10">
            <v>2018</v>
          </cell>
        </row>
        <row r="11">
          <cell r="AH11" t="str">
            <v>Jan</v>
          </cell>
          <cell r="AI11">
            <v>40.200000000000003</v>
          </cell>
          <cell r="AJ11">
            <v>129.30000000000001</v>
          </cell>
          <cell r="AK11">
            <v>269.60000000000002</v>
          </cell>
          <cell r="AL11">
            <v>256</v>
          </cell>
        </row>
        <row r="12">
          <cell r="AH12" t="str">
            <v>Feb</v>
          </cell>
          <cell r="AI12">
            <v>40.700000000000003</v>
          </cell>
          <cell r="AJ12">
            <v>72.2</v>
          </cell>
          <cell r="AK12">
            <v>248.7</v>
          </cell>
          <cell r="AL12">
            <v>266</v>
          </cell>
        </row>
        <row r="13">
          <cell r="AH13" t="str">
            <v>Mar</v>
          </cell>
          <cell r="AI13">
            <v>111.9</v>
          </cell>
          <cell r="AJ13">
            <v>9.6999999999999993</v>
          </cell>
          <cell r="AK13">
            <v>261.5</v>
          </cell>
          <cell r="AL13">
            <v>271.2</v>
          </cell>
        </row>
        <row r="14">
          <cell r="AH14" t="str">
            <v>Apr</v>
          </cell>
          <cell r="AI14">
            <v>66.8</v>
          </cell>
          <cell r="AJ14">
            <v>150.4</v>
          </cell>
          <cell r="AK14">
            <v>276.5</v>
          </cell>
          <cell r="AL14">
            <v>229.3</v>
          </cell>
        </row>
        <row r="15">
          <cell r="AH15" t="str">
            <v>May</v>
          </cell>
          <cell r="AI15">
            <v>440</v>
          </cell>
          <cell r="AJ15">
            <v>402.7</v>
          </cell>
          <cell r="AK15">
            <v>207.8</v>
          </cell>
          <cell r="AL15">
            <v>178.1</v>
          </cell>
        </row>
        <row r="16">
          <cell r="AH16" t="str">
            <v>Jun</v>
          </cell>
          <cell r="AI16">
            <v>35.799999999999997</v>
          </cell>
          <cell r="AJ16">
            <v>133.69999999999999</v>
          </cell>
          <cell r="AK16">
            <v>257</v>
          </cell>
          <cell r="AL16">
            <v>188.1</v>
          </cell>
        </row>
        <row r="17">
          <cell r="AH17" t="str">
            <v>Jul</v>
          </cell>
          <cell r="AI17">
            <v>109.2</v>
          </cell>
          <cell r="AJ17">
            <v>200.8</v>
          </cell>
          <cell r="AK17">
            <v>268.7</v>
          </cell>
          <cell r="AL17">
            <v>199.1</v>
          </cell>
        </row>
        <row r="18">
          <cell r="AH18" t="str">
            <v>Aug</v>
          </cell>
          <cell r="AI18">
            <v>130.9</v>
          </cell>
          <cell r="AJ18">
            <v>106</v>
          </cell>
          <cell r="AK18">
            <v>267</v>
          </cell>
          <cell r="AL18">
            <v>241.5</v>
          </cell>
        </row>
        <row r="19">
          <cell r="AH19" t="str">
            <v>Sep</v>
          </cell>
          <cell r="AI19">
            <v>172.8</v>
          </cell>
          <cell r="AJ19">
            <v>111</v>
          </cell>
          <cell r="AK19">
            <v>217</v>
          </cell>
          <cell r="AL19">
            <v>222</v>
          </cell>
        </row>
        <row r="20">
          <cell r="AH20" t="str">
            <v>Oct</v>
          </cell>
          <cell r="AI20">
            <v>135.4</v>
          </cell>
          <cell r="AJ20">
            <v>345.7</v>
          </cell>
          <cell r="AK20">
            <v>281.89999999999998</v>
          </cell>
          <cell r="AL20">
            <v>210.4</v>
          </cell>
        </row>
        <row r="21">
          <cell r="AH21" t="str">
            <v>Nov</v>
          </cell>
          <cell r="AI21">
            <v>237.2</v>
          </cell>
          <cell r="AJ21">
            <v>267</v>
          </cell>
          <cell r="AK21">
            <v>174.7</v>
          </cell>
          <cell r="AL21">
            <v>214.1</v>
          </cell>
        </row>
        <row r="22">
          <cell r="AH22" t="str">
            <v>Dec</v>
          </cell>
          <cell r="AI22">
            <v>143.5</v>
          </cell>
          <cell r="AJ22">
            <v>192.6</v>
          </cell>
          <cell r="AK22">
            <v>242.5</v>
          </cell>
          <cell r="AL22">
            <v>255.9</v>
          </cell>
        </row>
      </sheetData>
      <sheetData sheetId="1">
        <row r="16">
          <cell r="AJ16" t="str">
            <v>Maximum</v>
          </cell>
          <cell r="AK16" t="str">
            <v>Minimum</v>
          </cell>
        </row>
        <row r="17">
          <cell r="AH17" t="str">
            <v>Male'</v>
          </cell>
          <cell r="AJ17">
            <v>30.988287890424989</v>
          </cell>
          <cell r="AK17">
            <v>26.392532002048128</v>
          </cell>
        </row>
        <row r="18">
          <cell r="AH18" t="str">
            <v>HDh.Hanimaadhoo</v>
          </cell>
          <cell r="AJ18">
            <v>31.676926523297485</v>
          </cell>
          <cell r="AK18">
            <v>25.297726201143536</v>
          </cell>
        </row>
        <row r="19">
          <cell r="AH19" t="str">
            <v>L.Kadhdhoo</v>
          </cell>
          <cell r="AJ19">
            <v>31.358033794162825</v>
          </cell>
          <cell r="AK19">
            <v>25.700226574500771</v>
          </cell>
        </row>
        <row r="20">
          <cell r="AH20" t="str">
            <v>GDh.Kaadedhdhoo</v>
          </cell>
          <cell r="AJ20">
            <v>30.911217997951866</v>
          </cell>
          <cell r="AK20">
            <v>25.047217101894521</v>
          </cell>
        </row>
        <row r="21">
          <cell r="AH21" t="str">
            <v>S.Gan</v>
          </cell>
          <cell r="AI21">
            <v>0</v>
          </cell>
          <cell r="AJ21">
            <v>31.053465821812591</v>
          </cell>
          <cell r="AK21">
            <v>25.148213005632361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tabSelected="1" zoomScale="98" zoomScaleNormal="98" workbookViewId="0">
      <selection activeCell="R10" sqref="R10"/>
    </sheetView>
  </sheetViews>
  <sheetFormatPr defaultColWidth="8.85546875" defaultRowHeight="15" x14ac:dyDescent="0.25"/>
  <cols>
    <col min="1" max="1" width="18.140625" style="27" customWidth="1"/>
    <col min="2" max="14" width="8.85546875" style="27"/>
    <col min="15" max="15" width="19.5703125" style="27" customWidth="1"/>
    <col min="16" max="16384" width="8.85546875" style="27"/>
  </cols>
  <sheetData>
    <row r="1" spans="1:37" s="1" customFormat="1" ht="18" x14ac:dyDescent="0.25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37" s="5" customFormat="1" ht="15.75" x14ac:dyDescent="0.25">
      <c r="A2" s="3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37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37" s="1" customFormat="1" ht="15.75" customHeight="1" x14ac:dyDescent="0.25">
      <c r="A4" s="40" t="s">
        <v>0</v>
      </c>
      <c r="B4" s="7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M4" s="8" t="s">
        <v>35</v>
      </c>
      <c r="N4" s="8" t="s">
        <v>36</v>
      </c>
      <c r="O4" s="8" t="s">
        <v>37</v>
      </c>
    </row>
    <row r="5" spans="1:37" s="4" customFormat="1" ht="24.75" customHeight="1" x14ac:dyDescent="0.25">
      <c r="A5" s="41"/>
      <c r="B5" s="9" t="s">
        <v>38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8"/>
    </row>
    <row r="6" spans="1:37" s="4" customFormat="1" ht="15.75" x14ac:dyDescent="0.25">
      <c r="A6" s="11"/>
      <c r="B6" s="12"/>
      <c r="C6" s="13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5"/>
    </row>
    <row r="7" spans="1:37" s="4" customFormat="1" ht="19.5" customHeight="1" x14ac:dyDescent="0.25">
      <c r="A7" s="16" t="s">
        <v>39</v>
      </c>
      <c r="B7" s="17"/>
      <c r="C7" s="17"/>
      <c r="D7" s="17"/>
      <c r="E7" s="17"/>
      <c r="F7" s="17"/>
      <c r="G7" s="17"/>
      <c r="H7" s="17"/>
      <c r="I7" s="17"/>
      <c r="J7" s="18" t="s">
        <v>40</v>
      </c>
      <c r="K7" s="8"/>
      <c r="L7" s="8"/>
      <c r="M7" s="8"/>
      <c r="N7" s="8"/>
      <c r="O7" s="8"/>
    </row>
    <row r="8" spans="1:37" s="1" customFormat="1" ht="22.9" customHeight="1" x14ac:dyDescent="0.25">
      <c r="A8" s="19" t="s">
        <v>1</v>
      </c>
      <c r="B8" s="20">
        <f>AVERAGE(C8:N8)</f>
        <v>30.988287890424989</v>
      </c>
      <c r="C8" s="34">
        <v>30.480645161290322</v>
      </c>
      <c r="D8" s="34">
        <v>30.982142857142854</v>
      </c>
      <c r="E8" s="34">
        <v>31.770967741935486</v>
      </c>
      <c r="F8" s="34">
        <v>32.086666666666666</v>
      </c>
      <c r="G8" s="34">
        <v>31.061290322580643</v>
      </c>
      <c r="H8" s="34">
        <v>30.90666666666667</v>
      </c>
      <c r="I8" s="34">
        <v>30.693548387096765</v>
      </c>
      <c r="J8" s="34">
        <v>31.06129032258065</v>
      </c>
      <c r="K8" s="34">
        <v>30.903333333333332</v>
      </c>
      <c r="L8" s="34">
        <v>30.229032258064517</v>
      </c>
      <c r="M8" s="34">
        <v>30.7</v>
      </c>
      <c r="N8" s="34">
        <v>30.983870967741936</v>
      </c>
      <c r="O8" s="8" t="s">
        <v>2</v>
      </c>
    </row>
    <row r="9" spans="1:37" s="1" customFormat="1" ht="22.9" customHeight="1" x14ac:dyDescent="0.25">
      <c r="A9" s="19" t="s">
        <v>4</v>
      </c>
      <c r="B9" s="20">
        <f>AVERAGE(C9:N9)</f>
        <v>31.676926523297485</v>
      </c>
      <c r="C9" s="34">
        <v>31.08064516129032</v>
      </c>
      <c r="D9" s="34">
        <v>31.849999999999994</v>
      </c>
      <c r="E9" s="34">
        <v>32.28709677419355</v>
      </c>
      <c r="F9" s="34">
        <v>33.190000000000005</v>
      </c>
      <c r="G9" s="34">
        <v>31.896774193548392</v>
      </c>
      <c r="H9" s="34">
        <v>31.133333333333336</v>
      </c>
      <c r="I9" s="34">
        <v>31.603225806451615</v>
      </c>
      <c r="J9" s="34">
        <v>31.34516129032259</v>
      </c>
      <c r="K9" s="34">
        <v>31.750000000000004</v>
      </c>
      <c r="L9" s="34">
        <v>31.148387096774194</v>
      </c>
      <c r="M9" s="34">
        <v>31.693333333333335</v>
      </c>
      <c r="N9" s="34">
        <v>31.145161290322584</v>
      </c>
      <c r="O9" s="8" t="s">
        <v>5</v>
      </c>
    </row>
    <row r="10" spans="1:37" s="1" customFormat="1" ht="22.9" customHeight="1" x14ac:dyDescent="0.25">
      <c r="A10" s="19" t="s">
        <v>6</v>
      </c>
      <c r="B10" s="20">
        <f>AVERAGE(C10:N10)</f>
        <v>31.358033794162825</v>
      </c>
      <c r="C10" s="34">
        <v>31.009677419354837</v>
      </c>
      <c r="D10" s="34">
        <v>30.792857142857141</v>
      </c>
      <c r="E10" s="34">
        <v>32.08709677419354</v>
      </c>
      <c r="F10" s="34">
        <v>32.106666666666669</v>
      </c>
      <c r="G10" s="34">
        <v>31.622580645161293</v>
      </c>
      <c r="H10" s="34">
        <v>31.466666666666665</v>
      </c>
      <c r="I10" s="34">
        <v>31.177419354838708</v>
      </c>
      <c r="J10" s="34">
        <v>31.609677419354838</v>
      </c>
      <c r="K10" s="34">
        <v>31.313333333333329</v>
      </c>
      <c r="L10" s="34">
        <v>30.906451612903226</v>
      </c>
      <c r="M10" s="34">
        <v>31.123333333333335</v>
      </c>
      <c r="N10" s="34">
        <v>31.080645161290327</v>
      </c>
      <c r="O10" s="8" t="s">
        <v>41</v>
      </c>
    </row>
    <row r="11" spans="1:37" s="1" customFormat="1" ht="22.9" customHeight="1" x14ac:dyDescent="0.25">
      <c r="A11" s="19" t="s">
        <v>7</v>
      </c>
      <c r="B11" s="20">
        <f>AVERAGE(C11:N11)</f>
        <v>30.911217997951866</v>
      </c>
      <c r="C11" s="34">
        <v>30.764516129032263</v>
      </c>
      <c r="D11" s="34">
        <v>30.932142857142853</v>
      </c>
      <c r="E11" s="34">
        <v>31.316129032258075</v>
      </c>
      <c r="F11" s="34">
        <v>31.18666666666666</v>
      </c>
      <c r="G11" s="34">
        <v>31.016129032258068</v>
      </c>
      <c r="H11" s="34">
        <v>30.979999999999997</v>
      </c>
      <c r="I11" s="34">
        <v>31.012903225806451</v>
      </c>
      <c r="J11" s="34">
        <v>31.090322580645168</v>
      </c>
      <c r="K11" s="34">
        <v>30.683333333333334</v>
      </c>
      <c r="L11" s="34">
        <v>30.451612903225804</v>
      </c>
      <c r="M11" s="34">
        <v>30.726666666666663</v>
      </c>
      <c r="N11" s="34">
        <v>30.7741935483871</v>
      </c>
      <c r="O11" s="8" t="s">
        <v>42</v>
      </c>
    </row>
    <row r="12" spans="1:37" s="1" customFormat="1" ht="22.9" customHeight="1" x14ac:dyDescent="0.25">
      <c r="A12" s="19" t="s">
        <v>3</v>
      </c>
      <c r="B12" s="20">
        <f>AVERAGE(C12:N12)</f>
        <v>31.053465821812591</v>
      </c>
      <c r="C12" s="35">
        <v>31.180645161290322</v>
      </c>
      <c r="D12" s="34">
        <v>31.246428571428567</v>
      </c>
      <c r="E12" s="34">
        <v>31.65806451612902</v>
      </c>
      <c r="F12" s="34">
        <v>31.183333333333334</v>
      </c>
      <c r="G12" s="34">
        <v>31.070967741935483</v>
      </c>
      <c r="H12" s="34">
        <v>31.083333333333336</v>
      </c>
      <c r="I12" s="34">
        <v>31.074193548387097</v>
      </c>
      <c r="J12" s="34">
        <v>31.222580645161287</v>
      </c>
      <c r="K12" s="34">
        <v>30.540000000000003</v>
      </c>
      <c r="L12" s="34">
        <v>30.654838709677414</v>
      </c>
      <c r="M12" s="34">
        <v>30.84333333333333</v>
      </c>
      <c r="N12" s="34">
        <v>30.883870967741931</v>
      </c>
      <c r="O12" s="8" t="s">
        <v>43</v>
      </c>
    </row>
    <row r="13" spans="1:37" s="1" customFormat="1" ht="19.5" customHeight="1" x14ac:dyDescent="0.25">
      <c r="A13" s="16" t="s">
        <v>44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8" t="s">
        <v>45</v>
      </c>
    </row>
    <row r="14" spans="1:37" s="1" customFormat="1" ht="22.9" customHeight="1" x14ac:dyDescent="0.25">
      <c r="A14" s="19" t="s">
        <v>1</v>
      </c>
      <c r="B14" s="20">
        <f>AVERAGE(C14:N14)</f>
        <v>26.392532002048128</v>
      </c>
      <c r="C14" s="34">
        <v>25.954838709677421</v>
      </c>
      <c r="D14" s="34">
        <v>26.442857142857143</v>
      </c>
      <c r="E14" s="34">
        <v>27.516129032258068</v>
      </c>
      <c r="F14" s="34">
        <v>27.009999999999994</v>
      </c>
      <c r="G14" s="34">
        <v>25.964516129032265</v>
      </c>
      <c r="H14" s="34">
        <v>26.41333333333333</v>
      </c>
      <c r="I14" s="34">
        <v>26.219354838709684</v>
      </c>
      <c r="J14" s="34">
        <v>27.064516129032267</v>
      </c>
      <c r="K14" s="34">
        <v>25.976666666666667</v>
      </c>
      <c r="L14" s="34">
        <v>25.696774193548393</v>
      </c>
      <c r="M14" s="34">
        <v>25.993333333333325</v>
      </c>
      <c r="N14" s="34">
        <v>26.458064516129028</v>
      </c>
      <c r="O14" s="8" t="s">
        <v>2</v>
      </c>
    </row>
    <row r="15" spans="1:37" s="1" customFormat="1" ht="22.9" customHeight="1" x14ac:dyDescent="0.25">
      <c r="A15" s="19" t="s">
        <v>4</v>
      </c>
      <c r="B15" s="20">
        <f>AVERAGE(C15:N15)</f>
        <v>25.297726201143536</v>
      </c>
      <c r="C15" s="34">
        <v>23.803225806451611</v>
      </c>
      <c r="D15" s="34">
        <v>25.446428571428573</v>
      </c>
      <c r="E15" s="34">
        <v>25.564516129032253</v>
      </c>
      <c r="F15" s="34">
        <v>26.874027777777783</v>
      </c>
      <c r="G15" s="34">
        <v>25.770967741935486</v>
      </c>
      <c r="H15" s="34">
        <v>25.01</v>
      </c>
      <c r="I15" s="34">
        <v>25.545161290322579</v>
      </c>
      <c r="J15" s="34">
        <v>25.877419354838707</v>
      </c>
      <c r="K15" s="34">
        <v>25.376666666666665</v>
      </c>
      <c r="L15" s="34">
        <v>24.58064516129032</v>
      </c>
      <c r="M15" s="34">
        <v>25.233333333333331</v>
      </c>
      <c r="N15" s="34">
        <v>24.490322580645159</v>
      </c>
      <c r="O15" s="8" t="s">
        <v>5</v>
      </c>
    </row>
    <row r="16" spans="1:37" s="1" customFormat="1" ht="22.9" customHeight="1" x14ac:dyDescent="0.2">
      <c r="A16" s="19" t="s">
        <v>6</v>
      </c>
      <c r="B16" s="20">
        <f>AVERAGE(C16:N16)</f>
        <v>25.700226574500771</v>
      </c>
      <c r="C16" s="34">
        <v>25.5741935483871</v>
      </c>
      <c r="D16" s="34">
        <v>25.371428571428574</v>
      </c>
      <c r="E16" s="34">
        <v>26.190322580645169</v>
      </c>
      <c r="F16" s="34">
        <v>26.15333333333334</v>
      </c>
      <c r="G16" s="34">
        <v>25.696774193548386</v>
      </c>
      <c r="H16" s="34">
        <v>26.043333333333337</v>
      </c>
      <c r="I16" s="34">
        <v>25.741935483870968</v>
      </c>
      <c r="J16" s="34">
        <v>26.309677419354838</v>
      </c>
      <c r="K16" s="34">
        <v>25.176666666666669</v>
      </c>
      <c r="L16" s="34">
        <v>24.987096774193549</v>
      </c>
      <c r="M16" s="34">
        <v>25.696666666666665</v>
      </c>
      <c r="N16" s="34">
        <v>25.461290322580641</v>
      </c>
      <c r="O16" s="8" t="s">
        <v>41</v>
      </c>
      <c r="AJ16" s="22" t="s">
        <v>46</v>
      </c>
      <c r="AK16" s="22" t="s">
        <v>47</v>
      </c>
    </row>
    <row r="17" spans="1:37" s="1" customFormat="1" ht="22.9" customHeight="1" x14ac:dyDescent="0.25">
      <c r="A17" s="19" t="s">
        <v>7</v>
      </c>
      <c r="B17" s="20">
        <f>AVERAGE(C17:N17)</f>
        <v>25.047217101894521</v>
      </c>
      <c r="C17" s="34">
        <v>25.44193548387096</v>
      </c>
      <c r="D17" s="34">
        <v>25.607142857142868</v>
      </c>
      <c r="E17" s="34">
        <v>25.445161290322584</v>
      </c>
      <c r="F17" s="34">
        <v>25.15666666666667</v>
      </c>
      <c r="G17" s="34">
        <v>25.203225806451613</v>
      </c>
      <c r="H17" s="34">
        <v>25.17</v>
      </c>
      <c r="I17" s="34">
        <v>25.36129032258064</v>
      </c>
      <c r="J17" s="34">
        <v>24.812903225806455</v>
      </c>
      <c r="K17" s="34">
        <v>24.566666666666666</v>
      </c>
      <c r="L17" s="34">
        <v>24.464516129032262</v>
      </c>
      <c r="M17" s="34">
        <v>24.85</v>
      </c>
      <c r="N17" s="34">
        <v>24.487096774193553</v>
      </c>
      <c r="O17" s="8" t="s">
        <v>42</v>
      </c>
      <c r="AH17" s="3" t="s">
        <v>1</v>
      </c>
      <c r="AJ17" s="20">
        <f>B8</f>
        <v>30.988287890424989</v>
      </c>
      <c r="AK17" s="20">
        <f>B14</f>
        <v>26.392532002048128</v>
      </c>
    </row>
    <row r="18" spans="1:37" s="1" customFormat="1" ht="22.9" customHeight="1" x14ac:dyDescent="0.25">
      <c r="A18" s="23" t="s">
        <v>3</v>
      </c>
      <c r="B18" s="24">
        <f>AVERAGE(C18:N18)</f>
        <v>25.148213005632361</v>
      </c>
      <c r="C18" s="36">
        <v>26.132258064516122</v>
      </c>
      <c r="D18" s="37">
        <v>25.442857142857147</v>
      </c>
      <c r="E18" s="36">
        <v>25.664516129032254</v>
      </c>
      <c r="F18" s="36">
        <v>25.416666666666671</v>
      </c>
      <c r="G18" s="36">
        <v>25.183870967741932</v>
      </c>
      <c r="H18" s="36">
        <v>25.526666666666667</v>
      </c>
      <c r="I18" s="36">
        <v>24.938709677419357</v>
      </c>
      <c r="J18" s="36">
        <v>25.006451612903227</v>
      </c>
      <c r="K18" s="36">
        <v>24.540000000000003</v>
      </c>
      <c r="L18" s="36">
        <v>24.558064516129029</v>
      </c>
      <c r="M18" s="36">
        <v>24.823333333333331</v>
      </c>
      <c r="N18" s="36">
        <v>24.545161290322579</v>
      </c>
      <c r="O18" s="42" t="s">
        <v>43</v>
      </c>
      <c r="AH18" s="3" t="s">
        <v>4</v>
      </c>
      <c r="AJ18" s="20">
        <f>B9</f>
        <v>31.676926523297485</v>
      </c>
      <c r="AK18" s="20">
        <f>B15</f>
        <v>25.297726201143536</v>
      </c>
    </row>
    <row r="19" spans="1:37" s="1" customFormat="1" ht="14.25" customHeight="1" x14ac:dyDescent="0.25">
      <c r="A19" s="2" t="s">
        <v>20</v>
      </c>
      <c r="B19" s="25"/>
      <c r="O19" s="26" t="s">
        <v>21</v>
      </c>
      <c r="AH19" s="3" t="s">
        <v>6</v>
      </c>
      <c r="AJ19" s="20">
        <f>B10</f>
        <v>31.358033794162825</v>
      </c>
      <c r="AK19" s="20">
        <f>B16</f>
        <v>25.700226574500771</v>
      </c>
    </row>
    <row r="20" spans="1:37" s="1" customFormat="1" ht="15.75" x14ac:dyDescent="0.25">
      <c r="A20" s="2"/>
      <c r="B20" s="25"/>
      <c r="O20" s="26"/>
      <c r="AH20" s="3" t="s">
        <v>7</v>
      </c>
      <c r="AJ20" s="20">
        <f>B11</f>
        <v>30.911217997951866</v>
      </c>
      <c r="AK20" s="20">
        <f>B17</f>
        <v>25.047217101894521</v>
      </c>
    </row>
    <row r="21" spans="1:37" x14ac:dyDescent="0.25">
      <c r="AH21" s="3" t="s">
        <v>3</v>
      </c>
      <c r="AI21" s="1"/>
      <c r="AJ21" s="20">
        <f>B12</f>
        <v>31.053465821812591</v>
      </c>
      <c r="AK21" s="20">
        <f>B18</f>
        <v>25.148213005632361</v>
      </c>
    </row>
    <row r="22" spans="1:37" x14ac:dyDescent="0.25">
      <c r="AH22" s="28"/>
      <c r="AI22" s="1"/>
      <c r="AJ22" s="1"/>
      <c r="AK22" s="1"/>
    </row>
    <row r="24" spans="1:37" s="1" customFormat="1" ht="15.75" x14ac:dyDescent="0.25">
      <c r="A24" s="2"/>
      <c r="B24" s="25"/>
      <c r="O24" s="26"/>
    </row>
    <row r="25" spans="1:37" s="1" customFormat="1" ht="12.75" x14ac:dyDescent="0.25"/>
    <row r="26" spans="1:37" s="1" customFormat="1" ht="12.75" x14ac:dyDescent="0.25">
      <c r="A26" s="29"/>
    </row>
    <row r="27" spans="1:37" s="1" customFormat="1" ht="12.75" x14ac:dyDescent="0.25">
      <c r="A27" s="29"/>
      <c r="B27" s="30"/>
    </row>
    <row r="28" spans="1:37" s="1" customFormat="1" ht="12.75" x14ac:dyDescent="0.25">
      <c r="A28" s="3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37" s="1" customFormat="1" ht="12.75" x14ac:dyDescent="0.25">
      <c r="A29" s="3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37" s="1" customFormat="1" ht="12.75" x14ac:dyDescent="0.25">
      <c r="A30" s="3"/>
      <c r="B30" s="30"/>
      <c r="C30" s="33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37" s="1" customFormat="1" ht="12.75" x14ac:dyDescent="0.25">
      <c r="A31" s="3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37" s="1" customFormat="1" ht="12.75" x14ac:dyDescent="0.2">
      <c r="A32" s="3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8"/>
    </row>
    <row r="33" spans="1:14" s="1" customFormat="1" ht="12.75" x14ac:dyDescent="0.25">
      <c r="A33" s="3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 s="1" customFormat="1" ht="12.75" x14ac:dyDescent="0.25">
      <c r="A34" s="3"/>
    </row>
    <row r="35" spans="1:14" s="1" customFormat="1" ht="12.75" x14ac:dyDescent="0.25">
      <c r="A35" s="3"/>
      <c r="B35" s="30"/>
    </row>
    <row r="36" spans="1:14" s="1" customFormat="1" ht="12.75" x14ac:dyDescent="0.25">
      <c r="A36" s="3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 s="1" customFormat="1" ht="12.75" x14ac:dyDescent="0.25">
      <c r="A37" s="3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1:14" s="1" customFormat="1" ht="12.75" x14ac:dyDescent="0.25">
      <c r="A38" s="3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4" s="1" customFormat="1" ht="12.75" x14ac:dyDescent="0.25">
      <c r="A39" s="3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4" s="1" customFormat="1" ht="12.75" x14ac:dyDescent="0.25">
      <c r="A40" s="3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3">
    <mergeCell ref="A1:O1"/>
    <mergeCell ref="A2:O2"/>
    <mergeCell ref="A4:A5"/>
  </mergeCells>
  <dataValidations disablePrompts="1"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>
      <formula1>0</formula1>
      <formula2>1000</formula2>
    </dataValidation>
  </dataValidation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42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</vt:lpstr>
      <vt:lpstr>'1.2'!Print_Area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2019-04-29T08:13:49Z</cp:lastPrinted>
  <dcterms:created xsi:type="dcterms:W3CDTF">2019-04-10T06:39:10Z</dcterms:created>
  <dcterms:modified xsi:type="dcterms:W3CDTF">2019-04-29T08:14:21Z</dcterms:modified>
</cp:coreProperties>
</file>