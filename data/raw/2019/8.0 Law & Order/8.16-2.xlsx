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6" sheetId="15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'8.16'!$A$1:$Q$53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3" i="15" l="1"/>
  <c r="AA4" i="15" l="1"/>
  <c r="Z4" i="15"/>
  <c r="AA7" i="15" l="1"/>
  <c r="AB15" i="15"/>
  <c r="AB14" i="15"/>
  <c r="AB4" i="15"/>
  <c r="AB7" i="15" l="1"/>
  <c r="AA8" i="15"/>
  <c r="AB8" i="15" s="1"/>
  <c r="AA15" i="15"/>
  <c r="AB13" i="15"/>
  <c r="AA14" i="15"/>
  <c r="AA25" i="15" l="1"/>
  <c r="AA16" i="15"/>
  <c r="AB25" i="15"/>
  <c r="AB16" i="15"/>
  <c r="AA9" i="15"/>
  <c r="AC4" i="15" s="1"/>
  <c r="AB9" i="15"/>
</calcChain>
</file>

<file path=xl/sharedStrings.xml><?xml version="1.0" encoding="utf-8"?>
<sst xmlns="http://schemas.openxmlformats.org/spreadsheetml/2006/main" count="104" uniqueCount="76">
  <si>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</si>
  <si>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</si>
  <si>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</si>
  <si>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</si>
  <si>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</si>
  <si>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</si>
  <si>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</si>
  <si>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</si>
  <si>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</si>
  <si>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</si>
  <si>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</si>
  <si>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</si>
  <si>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</si>
  <si>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</si>
  <si>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</si>
  <si>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</si>
  <si>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</si>
  <si>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</si>
  <si>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</si>
  <si>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</si>
  <si>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</si>
  <si>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</si>
  <si>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</si>
  <si>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</si>
  <si>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</si>
  <si>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</si>
  <si>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</si>
  <si>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</si>
  <si>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</si>
  <si>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</si>
  <si>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</si>
  <si>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</si>
  <si>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</si>
  <si>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</si>
  <si>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</si>
  <si>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</si>
  <si>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</si>
  <si>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</si>
  <si>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</si>
  <si>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</si>
  <si>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</si>
  <si>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</si>
  <si>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</si>
  <si>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</si>
  <si>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</si>
  <si>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</si>
  <si>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</si>
  <si>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</si>
  <si>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</si>
  <si>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</si>
  <si>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</si>
  <si>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</si>
  <si>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</si>
  <si>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</si>
  <si>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</si>
  <si>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</si>
  <si>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</si>
  <si>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</si>
  <si>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ޖިންސީ މައްސަލަ</t>
  </si>
  <si>
    <t>&lt; 18 yrs</t>
  </si>
  <si>
    <t>18 - 34 yrs</t>
  </si>
  <si>
    <t>35 yrs  and above</t>
  </si>
  <si>
    <t>Age Unknown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</si>
  <si>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</si>
  <si>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</si>
  <si>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</si>
  <si>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</si>
  <si>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</si>
  <si>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</si>
  <si>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</si>
  <si>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</si>
  <si>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Note: Foreigners without ages are not included in this total. There are 34 person that age is not defined.</t>
  </si>
  <si>
    <t>ނޯޓް: އުމުރު ނޭނގޭ ބިދޭސީން މިތާވަލުގައި ނުހިމެނޭ</t>
  </si>
  <si>
    <t>%</t>
  </si>
  <si>
    <t>Table 8.16: NUMBER OF DETAINEES REPORTED BY TYPE OF OFFENCES, GENDER AND AGE GROUP, 2018</t>
  </si>
  <si>
    <t>ތާވަލު 8.16: ހުށަހެޅިފައިވާ މައްސަލަތަކުގެ ތެރެއިން ހައްޔަރުކުރެވުނު މީހުންގެ އަދަދު ޖިންސް އަދި އުމުރުފުރާއިން،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</si>
</sst>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12"/>
      <color theme="1"/>
      <name val="Faruma"/>
      <family val="3"/>
    </font>
    <font>
      <sz val="11"/>
      <color rgb="FF00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0"/>
      <name val="A_Reethi"/>
    </font>
    <font>
      <b/>
      <sz val="10"/>
      <name val="A_Utheem"/>
    </font>
    <font>
      <b/>
      <sz val="9"/>
      <name val="P_Faruma"/>
    </font>
    <font>
      <sz val="8"/>
      <color rgb="FF000000"/>
      <name val="Faruma"/>
      <family val="3"/>
    </font>
    <font>
      <i/>
      <sz val="11"/>
      <color rgb="FF000000"/>
      <name val="Calibri"/>
      <family val="2"/>
      <scheme val="minor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6" fillId="0" borderId="0"/>
    <xf numFmtId="0" fontId="22" fillId="0" borderId="12" applyNumberFormat="0" applyFill="0" applyAlignment="0" applyProtection="0"/>
    <xf numFmtId="0" fontId="16" fillId="0" borderId="0"/>
  </cellStyleXfs>
  <cellXfs count="71">
    <xf numFmtId="0" fontId="0" fillId="0" borderId="0" xfId="0"/>
    <xf numFmtId="164" fontId="3" fillId="2" borderId="0" xfId="0" applyNumberFormat="1" applyFont="1" applyFill="1" applyBorder="1" applyAlignment="1" applyProtection="1">
      <alignment horizontal="right" vertical="center" indent="2"/>
    </xf>
    <xf numFmtId="164" fontId="3" fillId="2" borderId="2" xfId="0" applyNumberFormat="1" applyFont="1" applyFill="1" applyBorder="1" applyAlignment="1" applyProtection="1">
      <alignment horizontal="right" vertical="center" indent="2"/>
    </xf>
    <xf numFmtId="0" fontId="0" fillId="2" borderId="0" xfId="0" applyNumberFormat="1" applyFill="1" applyBorder="1"/>
    <xf numFmtId="0" fontId="1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4" fillId="2" borderId="0" xfId="0" applyNumberFormat="1" applyFont="1" applyFill="1"/>
    <xf numFmtId="0" fontId="14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0" fillId="2" borderId="0" xfId="0" applyNumberFormat="1" applyFont="1" applyFill="1" applyBorder="1"/>
    <xf numFmtId="0" fontId="5" fillId="2" borderId="0" xfId="0" applyNumberFormat="1" applyFont="1" applyFill="1" applyBorder="1" applyAlignment="1">
      <alignment vertical="top"/>
    </xf>
    <xf numFmtId="0" fontId="15" fillId="2" borderId="7" xfId="0" applyNumberFormat="1" applyFont="1" applyFill="1" applyBorder="1" applyAlignment="1">
      <alignment vertical="center"/>
    </xf>
    <xf numFmtId="3" fontId="0" fillId="2" borderId="0" xfId="0" applyNumberFormat="1" applyFont="1" applyFill="1"/>
    <xf numFmtId="0" fontId="1" fillId="2" borderId="0" xfId="0" applyNumberFormat="1" applyFont="1" applyFill="1"/>
    <xf numFmtId="0" fontId="6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Alignment="1">
      <alignment vertical="center"/>
    </xf>
    <xf numFmtId="0" fontId="4" fillId="2" borderId="2" xfId="0" applyNumberFormat="1" applyFont="1" applyFill="1" applyBorder="1"/>
    <xf numFmtId="3" fontId="1" fillId="2" borderId="1" xfId="0" applyNumberFormat="1" applyFont="1" applyFill="1" applyBorder="1" applyAlignment="1">
      <alignment horizontal="right" vertical="center" indent="3"/>
    </xf>
    <xf numFmtId="0" fontId="6" fillId="2" borderId="1" xfId="0" applyNumberFormat="1" applyFont="1" applyFill="1" applyBorder="1" applyAlignment="1">
      <alignment horizontal="center" vertical="center"/>
    </xf>
    <xf numFmtId="0" fontId="9" fillId="2" borderId="0" xfId="0" applyNumberFormat="1" applyFont="1" applyFill="1"/>
    <xf numFmtId="0" fontId="11" fillId="2" borderId="0" xfId="0" applyNumberFormat="1" applyFont="1" applyFill="1" applyBorder="1" applyAlignment="1">
      <alignment horizontal="center" vertical="center"/>
    </xf>
    <xf numFmtId="3" fontId="0" fillId="2" borderId="0" xfId="0" applyNumberFormat="1" applyFont="1" applyFill="1" applyAlignment="1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2" fillId="2" borderId="0" xfId="0" applyNumberFormat="1" applyFont="1" applyFill="1"/>
    <xf numFmtId="0" fontId="9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vertical="center"/>
    </xf>
    <xf numFmtId="1" fontId="0" fillId="2" borderId="0" xfId="0" applyNumberFormat="1" applyFont="1" applyFill="1" applyAlignment="1">
      <alignment vertical="center"/>
    </xf>
    <xf numFmtId="0" fontId="17" fillId="2" borderId="2" xfId="4" applyFont="1" applyFill="1" applyBorder="1" applyAlignment="1">
      <alignment horizontal="center" vertical="center" wrapText="1" readingOrder="2"/>
    </xf>
    <xf numFmtId="0" fontId="18" fillId="2" borderId="2" xfId="4" applyFont="1" applyFill="1" applyBorder="1" applyAlignment="1">
      <alignment horizontal="center" vertical="center" wrapText="1"/>
    </xf>
    <xf numFmtId="0" fontId="17" fillId="2" borderId="6" xfId="4" applyFont="1" applyFill="1" applyBorder="1" applyAlignment="1">
      <alignment horizontal="center" vertical="center" wrapText="1" readingOrder="2"/>
    </xf>
    <xf numFmtId="0" fontId="8" fillId="2" borderId="0" xfId="0" applyNumberFormat="1" applyFont="1" applyFill="1" applyAlignment="1">
      <alignment vertical="center"/>
    </xf>
    <xf numFmtId="0" fontId="10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right" vertical="center" indent="3"/>
    </xf>
    <xf numFmtId="0" fontId="19" fillId="2" borderId="0" xfId="4" applyFont="1" applyFill="1" applyBorder="1" applyAlignment="1">
      <alignment horizontal="right" vertical="center" wrapText="1"/>
    </xf>
    <xf numFmtId="0" fontId="20" fillId="2" borderId="0" xfId="0" applyNumberFormat="1" applyFont="1" applyFill="1" applyBorder="1" applyAlignment="1">
      <alignment horizontal="right" vertical="center" wrapText="1"/>
    </xf>
    <xf numFmtId="3" fontId="6" fillId="2" borderId="1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right" vertical="center" wrapText="1"/>
    </xf>
    <xf numFmtId="164" fontId="21" fillId="2" borderId="0" xfId="0" applyNumberFormat="1" applyFont="1" applyFill="1" applyBorder="1" applyAlignment="1">
      <alignment horizontal="left" vertical="center" indent="2"/>
    </xf>
    <xf numFmtId="164" fontId="21" fillId="2" borderId="0" xfId="0" applyNumberFormat="1" applyFont="1" applyFill="1" applyBorder="1" applyAlignment="1">
      <alignment horizontal="left" vertical="center" wrapText="1" indent="2"/>
    </xf>
    <xf numFmtId="164" fontId="21" fillId="2" borderId="2" xfId="0" applyNumberFormat="1" applyFont="1" applyFill="1" applyBorder="1" applyAlignment="1">
      <alignment horizontal="left" vertical="center" indent="2"/>
    </xf>
    <xf numFmtId="0" fontId="5" fillId="2" borderId="0" xfId="0" applyNumberFormat="1" applyFont="1" applyFill="1" applyBorder="1" applyAlignment="1">
      <alignment vertical="center"/>
    </xf>
    <xf numFmtId="0" fontId="15" fillId="2" borderId="0" xfId="0" applyNumberFormat="1" applyFont="1" applyFill="1" applyBorder="1" applyAlignment="1">
      <alignment vertical="center"/>
    </xf>
    <xf numFmtId="0" fontId="6" fillId="2" borderId="3" xfId="0" applyNumberFormat="1" applyFont="1" applyFill="1" applyBorder="1" applyAlignment="1">
      <alignment horizontal="center" vertical="center"/>
    </xf>
    <xf numFmtId="0" fontId="11" fillId="2" borderId="8" xfId="0" applyNumberFormat="1" applyFont="1" applyFill="1" applyBorder="1" applyAlignment="1">
      <alignment horizontal="center" vertical="center"/>
    </xf>
    <xf numFmtId="0" fontId="18" fillId="2" borderId="5" xfId="4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right" vertical="center"/>
    </xf>
    <xf numFmtId="0" fontId="11" fillId="2" borderId="0" xfId="0" applyNumberFormat="1" applyFont="1" applyFill="1" applyBorder="1" applyAlignment="1">
      <alignment horizontal="right" vertical="center"/>
    </xf>
    <xf numFmtId="0" fontId="11" fillId="2" borderId="2" xfId="0" applyNumberFormat="1" applyFont="1" applyFill="1" applyBorder="1" applyAlignment="1">
      <alignment horizontal="right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11" fillId="2" borderId="6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3" fontId="0" fillId="2" borderId="9" xfId="0" applyNumberFormat="1" applyFont="1" applyFill="1" applyBorder="1" applyAlignment="1">
      <alignment horizontal="right" vertical="center"/>
    </xf>
    <xf numFmtId="3" fontId="0" fillId="2" borderId="8" xfId="0" applyNumberFormat="1" applyFont="1" applyFill="1" applyBorder="1" applyAlignment="1">
      <alignment horizontal="right" vertical="center"/>
    </xf>
    <xf numFmtId="3" fontId="0" fillId="2" borderId="6" xfId="0" applyNumberFormat="1" applyFont="1" applyFill="1" applyBorder="1" applyAlignment="1">
      <alignment horizontal="right" vertical="center"/>
    </xf>
    <xf numFmtId="3" fontId="0" fillId="2" borderId="5" xfId="0" applyNumberFormat="1" applyFont="1" applyFill="1" applyBorder="1" applyAlignment="1">
      <alignment horizontal="right" vertical="center"/>
    </xf>
  </cellXfs>
  <cellStyles count="7">
    <cellStyle name="Comma 2" xfId="1"/>
    <cellStyle name="Heading 1 2" xfId="5"/>
    <cellStyle name="Normal" xfId="0" builtinId="0"/>
    <cellStyle name="Normal 2" xfId="6"/>
    <cellStyle name="Normal 3" xfId="3"/>
    <cellStyle name="Normal_II-14(Population)" xfId="4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explosion val="2"/>
          <c:dPt>
            <c:idx val="3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C51E-40E6-ADDE-85D8C893BF0E}"/>
              </c:ext>
            </c:extLst>
          </c:dPt>
          <c:dLbls>
            <c:dLbl>
              <c:idx val="0"/>
              <c:layout>
                <c:manualLayout>
                  <c:x val="1.0116176565445176E-2"/>
                  <c:y val="4.38801687513438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51E-40E6-ADDE-85D8C893BF0E}"/>
                </c:ext>
              </c:extLst>
            </c:dLbl>
            <c:dLbl>
              <c:idx val="1"/>
              <c:layout>
                <c:manualLayout>
                  <c:x val="0.11175624309000468"/>
                  <c:y val="-0.161638479656170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51E-40E6-ADDE-85D8C893BF0E}"/>
                </c:ext>
              </c:extLst>
            </c:dLbl>
            <c:dLbl>
              <c:idx val="2"/>
              <c:layout>
                <c:manualLayout>
                  <c:x val="-1.0818879654335289E-2"/>
                  <c:y val="0.22582322011780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51E-40E6-ADDE-85D8C893BF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'8.16'!$Z$3:$AC$3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'8.16'!$Z$4:$AC$4</c:f>
              <c:numCache>
                <c:formatCode>#,##0</c:formatCode>
                <c:ptCount val="4"/>
                <c:pt idx="0">
                  <c:v>164</c:v>
                </c:pt>
                <c:pt idx="1">
                  <c:v>2087</c:v>
                </c:pt>
                <c:pt idx="2">
                  <c:v>593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55776764456935"/>
          <c:y val="0.13651285620307213"/>
          <c:w val="0.54892824060778178"/>
          <c:h val="0.79067459282821462"/>
        </c:manualLayout>
      </c:layout>
      <c:pie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explosion val="3"/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93B3-45DD-AFCD-3D0B1CA6A0F5}"/>
              </c:ext>
            </c:extLst>
          </c:dPt>
          <c:dLbls>
            <c:dLbl>
              <c:idx val="0"/>
              <c:layout>
                <c:manualLayout>
                  <c:x val="0.16214673779179725"/>
                  <c:y val="-0.281853550551824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3B3-45DD-AFCD-3D0B1CA6A0F5}"/>
                </c:ext>
              </c:extLst>
            </c:dLbl>
            <c:dLbl>
              <c:idx val="1"/>
              <c:layout>
                <c:manualLayout>
                  <c:x val="-2.8177067970940817E-2"/>
                  <c:y val="1.57327454629368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3B3-45DD-AFCD-3D0B1CA6A0F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'8.16'!$Z$7:$Z$9</c15:sqref>
                  </c15:fullRef>
                </c:ext>
              </c:extLst>
              <c:f>'8.16'!$Z$7:$Z$8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'8.16'!$AB$7:$AB$9</c15:sqref>
                  </c15:fullRef>
                </c:ext>
              </c:extLst>
              <c:f>'8.16'!$AB$7:$AB$8</c:f>
              <c:numCache>
                <c:formatCode>0</c:formatCode>
                <c:ptCount val="2"/>
                <c:pt idx="0">
                  <c:v>96.143154968728282</c:v>
                </c:pt>
                <c:pt idx="1">
                  <c:v>2.6754690757470465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'8.16'!$AB$9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</c15:spPr>
                  <c15:bubble3D val="0"/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2000-4191-9C53-BCB1DFF279B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3B3-45DD-AFCD-3D0B1CA6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8848494122"/>
          <c:y val="0.14376166520851469"/>
          <c:w val="0.87973626075415867"/>
          <c:h val="0.69013721194806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'8.16'!$AA$12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293-42A4-88B6-8414D69CE4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'8.16'!$Z$13:$Z$16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'8.16'!$AA$13:$AA$16</c:f>
              <c:numCache>
                <c:formatCode>#,##0</c:formatCode>
                <c:ptCount val="4"/>
                <c:pt idx="0">
                  <c:v>163</c:v>
                </c:pt>
                <c:pt idx="1">
                  <c:v>2030</c:v>
                </c:pt>
                <c:pt idx="2">
                  <c:v>574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'8.16'!$AB$12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'8.16'!$Z$13:$Z$16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'8.16'!$AB$13:$AB$16</c:f>
              <c:numCache>
                <c:formatCode>#,##0</c:formatCode>
                <c:ptCount val="4"/>
                <c:pt idx="0">
                  <c:v>1</c:v>
                </c:pt>
                <c:pt idx="1">
                  <c:v>57</c:v>
                </c:pt>
                <c:pt idx="2">
                  <c:v>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7621120"/>
        <c:axId val="587623040"/>
      </c:barChart>
      <c:catAx>
        <c:axId val="58762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08181457485313"/>
              <c:y val="0.9157175503129295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587623040"/>
        <c:crosses val="autoZero"/>
        <c:auto val="1"/>
        <c:lblAlgn val="ctr"/>
        <c:lblOffset val="100"/>
        <c:noMultiLvlLbl val="0"/>
      </c:catAx>
      <c:valAx>
        <c:axId val="5876230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587621120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40674</xdr:colOff>
      <xdr:row>36</xdr:row>
      <xdr:rowOff>65305</xdr:rowOff>
    </xdr:from>
    <xdr:to>
      <xdr:col>9</xdr:col>
      <xdr:colOff>719666</xdr:colOff>
      <xdr:row>52</xdr:row>
      <xdr:rowOff>84666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39D55E9-0083-4B00-A1A6-4B1C67428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293611</xdr:colOff>
      <xdr:row>36</xdr:row>
      <xdr:rowOff>45509</xdr:rowOff>
    </xdr:from>
    <xdr:to>
      <xdr:col>2</xdr:col>
      <xdr:colOff>709084</xdr:colOff>
      <xdr:row>52</xdr:row>
      <xdr:rowOff>63500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E4A694D-FEAE-4ECE-BA04-A0380A230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878418</xdr:colOff>
      <xdr:row>36</xdr:row>
      <xdr:rowOff>95250</xdr:rowOff>
    </xdr:from>
    <xdr:to>
      <xdr:col>15</xdr:col>
      <xdr:colOff>2137833</xdr:colOff>
      <xdr:row>52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7D2144-791B-4812-8AB7-F996FA29F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819742</xdr:colOff>
      <xdr:row>36</xdr:row>
      <xdr:rowOff>120121</xdr:rowOff>
    </xdr:from>
    <xdr:to>
      <xdr:col>2</xdr:col>
      <xdr:colOff>423801</xdr:colOff>
      <xdr:row>38</xdr:row>
      <xdr:rowOff>10584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72BFDA-DC1C-44A6-AAED-0DB02AB81BCC}"/>
            </a:ext>
          </a:extLst>
        </xdr:cNvPr>
        <xdr:cNvSpPr txBox="1"/>
      </xdr:nvSpPr>
      <xdr:spPr>
        <a:xfrm>
          <a:off x="819742" y="9140296"/>
          <a:ext cx="4080809" cy="3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8.21: Percentage share of detainees by sex, 2018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656167</xdr:colOff>
      <xdr:row>36</xdr:row>
      <xdr:rowOff>158316</xdr:rowOff>
    </xdr:from>
    <xdr:to>
      <xdr:col>9</xdr:col>
      <xdr:colOff>229255</xdr:colOff>
      <xdr:row>37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70EC8D-42CF-4ACA-A3E5-CF5BAE561683}"/>
            </a:ext>
          </a:extLst>
        </xdr:cNvPr>
        <xdr:cNvSpPr txBox="1"/>
      </xdr:nvSpPr>
      <xdr:spPr>
        <a:xfrm>
          <a:off x="5952067" y="9178491"/>
          <a:ext cx="4173663" cy="24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8.22: Percentage share of detainees by age, 2018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0.13269</cdr:x>
      <cdr:y>0.03482</cdr:y>
    </cdr:from>
    <cdr:to>
      <cdr:x>0.88523</cdr:x>
      <cdr:y>0.12114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59721" y="110565"/>
          <a:ext cx="4308729" cy="274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8.23: Number of Detainees by age and sex,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Views>
    <sheetView tabSelected="1" zoomScaleNormal="100" workbookViewId="0">
      <selection activeCell="B9" sqref="B9:O34"/>
    </sheetView>
  </sheetViews>
  <sheetFormatPr defaultColWidth="9.140625" defaultRowHeight="15"/>
  <cols>
    <col min="1" max="1" width="54.140625" style="8" customWidth="1"/>
    <col min="2" max="2" width="13" style="8" customWidth="1"/>
    <col min="3" max="3" width="12.28515625" style="8" customWidth="1"/>
    <col min="4" max="5" width="13.85546875" style="8" customWidth="1"/>
    <col min="6" max="6" width="0.140625" style="8" customWidth="1"/>
    <col min="7" max="10" width="13.7109375" style="8" customWidth="1"/>
    <col min="11" max="11" width="0.140625" style="8" customWidth="1"/>
    <col min="12" max="13" width="12.28515625" style="8" customWidth="1"/>
    <col min="14" max="15" width="14.28515625" style="8" customWidth="1"/>
    <col min="16" max="16" width="34.28515625" style="8" customWidth="1"/>
    <col min="17" max="17" width="3.28515625" style="8" customWidth="1"/>
    <col min="18" max="24" width="9.140625" style="8"/>
    <col min="25" max="25" width="33.85546875" style="8" customWidth="1"/>
    <col min="26" max="26" width="9.140625" style="8"/>
    <col min="27" max="27" width="11.28515625" style="8" customWidth="1"/>
    <col min="28" max="28" width="12.140625" style="8" customWidth="1"/>
    <col min="29" max="16384" width="9.140625" style="8"/>
  </cols>
  <sheetData>
    <row r="1" spans="1:29" ht="9" customHeight="1"/>
    <row r="2" spans="1:29" s="13" customFormat="1" ht="19.5" customHeight="1">
      <c r="A2" s="52" t="s">
        <v>75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Z2" s="8"/>
      <c r="AA2" s="8"/>
      <c r="AB2" s="8"/>
    </row>
    <row r="3" spans="1:29">
      <c r="A3" s="53" t="s">
        <v>74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Z3" s="14" t="s">
        <v>59</v>
      </c>
      <c r="AA3" s="14" t="s">
        <v>60</v>
      </c>
      <c r="AB3" s="8" t="s">
        <v>61</v>
      </c>
      <c r="AC3" s="15" t="s">
        <v>62</v>
      </c>
    </row>
    <row r="4" spans="1:29" ht="9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16"/>
      <c r="L4" s="16"/>
      <c r="M4" s="6"/>
      <c r="N4" s="6"/>
      <c r="O4" s="6"/>
      <c r="P4" s="6"/>
      <c r="Y4" s="21">
        <v>2878</v>
      </c>
      <c r="Z4" s="17">
        <f>C9</f>
        <v>164</v>
      </c>
      <c r="AA4" s="17">
        <f>D9</f>
        <v>2087</v>
      </c>
      <c r="AB4" s="17">
        <f>E9</f>
        <v>593</v>
      </c>
      <c r="AC4" s="12">
        <f>AA9</f>
        <v>34</v>
      </c>
    </row>
    <row r="5" spans="1:29" s="19" customFormat="1" ht="13.5" customHeight="1">
      <c r="A5" s="55" t="s">
        <v>51</v>
      </c>
      <c r="B5" s="58" t="s">
        <v>63</v>
      </c>
      <c r="C5" s="58"/>
      <c r="D5" s="58"/>
      <c r="E5" s="58"/>
      <c r="F5" s="18"/>
      <c r="G5" s="59" t="s">
        <v>53</v>
      </c>
      <c r="H5" s="58"/>
      <c r="I5" s="58"/>
      <c r="J5" s="58"/>
      <c r="K5" s="45"/>
      <c r="L5" s="59" t="s">
        <v>54</v>
      </c>
      <c r="M5" s="58"/>
      <c r="N5" s="58"/>
      <c r="O5" s="58"/>
      <c r="P5" s="60" t="s">
        <v>52</v>
      </c>
      <c r="Z5" s="8"/>
      <c r="AA5" s="8"/>
      <c r="AB5" s="8"/>
    </row>
    <row r="6" spans="1:29" s="19" customFormat="1" ht="18.75" customHeight="1">
      <c r="A6" s="56"/>
      <c r="B6" s="63" t="s">
        <v>55</v>
      </c>
      <c r="C6" s="63"/>
      <c r="D6" s="63"/>
      <c r="E6" s="63"/>
      <c r="F6" s="20"/>
      <c r="G6" s="64" t="s">
        <v>56</v>
      </c>
      <c r="H6" s="63"/>
      <c r="I6" s="63"/>
      <c r="J6" s="63"/>
      <c r="K6" s="46"/>
      <c r="L6" s="64" t="s">
        <v>57</v>
      </c>
      <c r="M6" s="63"/>
      <c r="N6" s="63"/>
      <c r="O6" s="63"/>
      <c r="P6" s="61"/>
      <c r="Z6" s="15"/>
      <c r="AB6" s="15" t="s">
        <v>73</v>
      </c>
    </row>
    <row r="7" spans="1:29" s="25" customFormat="1" ht="12.75" customHeight="1">
      <c r="A7" s="56"/>
      <c r="B7" s="22" t="s">
        <v>1</v>
      </c>
      <c r="C7" s="22" t="s">
        <v>64</v>
      </c>
      <c r="D7" s="22" t="s">
        <v>65</v>
      </c>
      <c r="E7" s="22" t="s">
        <v>66</v>
      </c>
      <c r="F7" s="22"/>
      <c r="G7" s="23" t="s">
        <v>1</v>
      </c>
      <c r="H7" s="22" t="s">
        <v>64</v>
      </c>
      <c r="I7" s="22" t="s">
        <v>65</v>
      </c>
      <c r="J7" s="22" t="s">
        <v>67</v>
      </c>
      <c r="K7" s="24"/>
      <c r="L7" s="23" t="s">
        <v>1</v>
      </c>
      <c r="M7" s="22" t="s">
        <v>64</v>
      </c>
      <c r="N7" s="22" t="s">
        <v>65</v>
      </c>
      <c r="O7" s="22" t="s">
        <v>67</v>
      </c>
      <c r="P7" s="61"/>
      <c r="Z7" s="26" t="s">
        <v>53</v>
      </c>
      <c r="AA7" s="27">
        <f>G9</f>
        <v>2767</v>
      </c>
      <c r="AB7" s="28">
        <f>AA7/Y4*100</f>
        <v>96.143154968728282</v>
      </c>
    </row>
    <row r="8" spans="1:29" ht="37.5">
      <c r="A8" s="57"/>
      <c r="B8" s="29" t="s">
        <v>48</v>
      </c>
      <c r="C8" s="29" t="s">
        <v>68</v>
      </c>
      <c r="D8" s="29" t="s">
        <v>69</v>
      </c>
      <c r="E8" s="29" t="s">
        <v>70</v>
      </c>
      <c r="F8" s="30"/>
      <c r="G8" s="31" t="s">
        <v>48</v>
      </c>
      <c r="H8" s="29" t="s">
        <v>68</v>
      </c>
      <c r="I8" s="29" t="s">
        <v>69</v>
      </c>
      <c r="J8" s="29" t="s">
        <v>70</v>
      </c>
      <c r="K8" s="47"/>
      <c r="L8" s="31" t="s">
        <v>48</v>
      </c>
      <c r="M8" s="29" t="s">
        <v>68</v>
      </c>
      <c r="N8" s="29" t="s">
        <v>69</v>
      </c>
      <c r="O8" s="29" t="s">
        <v>70</v>
      </c>
      <c r="P8" s="62"/>
      <c r="Z8" s="32" t="s">
        <v>54</v>
      </c>
      <c r="AA8" s="21">
        <f>L9</f>
        <v>77</v>
      </c>
      <c r="AB8" s="28">
        <f>AA8/Y4*100</f>
        <v>2.6754690757470465</v>
      </c>
    </row>
    <row r="9" spans="1:29" s="26" customFormat="1" ht="21.75" customHeight="1">
      <c r="A9" s="4" t="s">
        <v>1</v>
      </c>
      <c r="B9" s="48">
        <v>2844</v>
      </c>
      <c r="C9" s="48">
        <v>164</v>
      </c>
      <c r="D9" s="48">
        <v>2087</v>
      </c>
      <c r="E9" s="48">
        <v>593</v>
      </c>
      <c r="F9" s="49"/>
      <c r="G9" s="65">
        <v>2767</v>
      </c>
      <c r="H9" s="48">
        <v>163</v>
      </c>
      <c r="I9" s="48">
        <v>2030</v>
      </c>
      <c r="J9" s="48">
        <v>574</v>
      </c>
      <c r="K9" s="66"/>
      <c r="L9" s="65">
        <v>77</v>
      </c>
      <c r="M9" s="48">
        <v>1</v>
      </c>
      <c r="N9" s="48">
        <v>57</v>
      </c>
      <c r="O9" s="48">
        <v>19</v>
      </c>
      <c r="P9" s="33" t="s">
        <v>48</v>
      </c>
      <c r="R9" s="27"/>
      <c r="Z9" s="15" t="s">
        <v>62</v>
      </c>
      <c r="AA9" s="21">
        <f>Y4-(AA7+AA8)</f>
        <v>34</v>
      </c>
      <c r="AB9" s="28">
        <f>AA9/Y4*100</f>
        <v>1.1813759555246699</v>
      </c>
    </row>
    <row r="10" spans="1:29" s="15" customFormat="1" ht="21.75" customHeight="1">
      <c r="A10" s="34" t="s">
        <v>6</v>
      </c>
      <c r="B10" s="50">
        <v>403</v>
      </c>
      <c r="C10" s="50">
        <v>56</v>
      </c>
      <c r="D10" s="50">
        <v>294</v>
      </c>
      <c r="E10" s="50">
        <v>53</v>
      </c>
      <c r="F10" s="50"/>
      <c r="G10" s="67">
        <v>399</v>
      </c>
      <c r="H10" s="50">
        <v>55</v>
      </c>
      <c r="I10" s="50">
        <v>291</v>
      </c>
      <c r="J10" s="50">
        <v>53</v>
      </c>
      <c r="K10" s="68"/>
      <c r="L10" s="67">
        <v>4</v>
      </c>
      <c r="M10" s="50">
        <v>1</v>
      </c>
      <c r="N10" s="50">
        <v>3</v>
      </c>
      <c r="O10" s="50">
        <v>0</v>
      </c>
      <c r="P10" s="7" t="s">
        <v>11</v>
      </c>
      <c r="Q10" s="36"/>
      <c r="R10" s="37"/>
      <c r="Z10" s="38"/>
      <c r="AA10" s="38"/>
      <c r="AB10" s="38"/>
    </row>
    <row r="11" spans="1:29" s="15" customFormat="1" ht="21.75" customHeight="1">
      <c r="A11" s="34" t="s">
        <v>0</v>
      </c>
      <c r="B11" s="50">
        <v>697</v>
      </c>
      <c r="C11" s="50">
        <v>12</v>
      </c>
      <c r="D11" s="50">
        <v>520</v>
      </c>
      <c r="E11" s="50">
        <v>165</v>
      </c>
      <c r="F11" s="50"/>
      <c r="G11" s="67">
        <v>690</v>
      </c>
      <c r="H11" s="50">
        <v>12</v>
      </c>
      <c r="I11" s="50">
        <v>514</v>
      </c>
      <c r="J11" s="50">
        <v>164</v>
      </c>
      <c r="K11" s="68"/>
      <c r="L11" s="67">
        <v>7</v>
      </c>
      <c r="M11" s="50">
        <v>0</v>
      </c>
      <c r="N11" s="50">
        <v>6</v>
      </c>
      <c r="O11" s="50">
        <v>1</v>
      </c>
      <c r="P11" s="7" t="s">
        <v>3</v>
      </c>
      <c r="Q11" s="39"/>
      <c r="R11" s="37"/>
      <c r="W11" s="3"/>
      <c r="X11" s="3"/>
      <c r="Y11" s="8"/>
      <c r="AA11" s="15">
        <v>2801</v>
      </c>
      <c r="AB11" s="15">
        <v>77</v>
      </c>
      <c r="AC11" s="8"/>
    </row>
    <row r="12" spans="1:29" s="15" customFormat="1" ht="21.75" customHeight="1">
      <c r="A12" s="34" t="s">
        <v>10</v>
      </c>
      <c r="B12" s="50">
        <v>96</v>
      </c>
      <c r="C12" s="50">
        <v>3</v>
      </c>
      <c r="D12" s="50">
        <v>78</v>
      </c>
      <c r="E12" s="50">
        <v>15</v>
      </c>
      <c r="F12" s="50"/>
      <c r="G12" s="67">
        <v>88</v>
      </c>
      <c r="H12" s="50">
        <v>3</v>
      </c>
      <c r="I12" s="50">
        <v>70</v>
      </c>
      <c r="J12" s="50">
        <v>15</v>
      </c>
      <c r="K12" s="68"/>
      <c r="L12" s="67">
        <v>8</v>
      </c>
      <c r="M12" s="50">
        <v>0</v>
      </c>
      <c r="N12" s="50">
        <v>8</v>
      </c>
      <c r="O12" s="50">
        <v>0</v>
      </c>
      <c r="P12" s="7" t="s">
        <v>16</v>
      </c>
      <c r="Q12" s="39"/>
      <c r="R12" s="37"/>
      <c r="W12" s="26"/>
      <c r="X12" s="26"/>
      <c r="Y12" s="19"/>
      <c r="Z12" s="9"/>
      <c r="AA12" s="3" t="s">
        <v>53</v>
      </c>
      <c r="AB12" s="3" t="s">
        <v>54</v>
      </c>
      <c r="AC12" s="19"/>
    </row>
    <row r="13" spans="1:29" s="15" customFormat="1" ht="21.75" customHeight="1">
      <c r="A13" s="34" t="s">
        <v>4</v>
      </c>
      <c r="B13" s="50">
        <v>1040</v>
      </c>
      <c r="C13" s="50">
        <v>67</v>
      </c>
      <c r="D13" s="50">
        <v>762</v>
      </c>
      <c r="E13" s="50">
        <v>211</v>
      </c>
      <c r="F13" s="50"/>
      <c r="G13" s="67">
        <v>1005</v>
      </c>
      <c r="H13" s="50">
        <v>67</v>
      </c>
      <c r="I13" s="50">
        <v>737</v>
      </c>
      <c r="J13" s="50">
        <v>201</v>
      </c>
      <c r="K13" s="68"/>
      <c r="L13" s="67">
        <v>35</v>
      </c>
      <c r="M13" s="50">
        <v>0</v>
      </c>
      <c r="N13" s="50">
        <v>25</v>
      </c>
      <c r="O13" s="50">
        <v>10</v>
      </c>
      <c r="P13" s="7" t="s">
        <v>8</v>
      </c>
      <c r="Q13" s="39"/>
      <c r="R13" s="37"/>
      <c r="Y13" s="19"/>
      <c r="Z13" s="14" t="s">
        <v>59</v>
      </c>
      <c r="AA13" s="5">
        <f>H9</f>
        <v>163</v>
      </c>
      <c r="AB13" s="5">
        <f>M9</f>
        <v>1</v>
      </c>
      <c r="AC13" s="19"/>
    </row>
    <row r="14" spans="1:29" s="15" customFormat="1" ht="21.75" customHeight="1">
      <c r="A14" s="34" t="s">
        <v>14</v>
      </c>
      <c r="B14" s="50">
        <v>134</v>
      </c>
      <c r="C14" s="50">
        <v>4</v>
      </c>
      <c r="D14" s="50">
        <v>90</v>
      </c>
      <c r="E14" s="50">
        <v>40</v>
      </c>
      <c r="F14" s="50"/>
      <c r="G14" s="67">
        <v>126</v>
      </c>
      <c r="H14" s="50">
        <v>4</v>
      </c>
      <c r="I14" s="50">
        <v>83</v>
      </c>
      <c r="J14" s="50">
        <v>39</v>
      </c>
      <c r="K14" s="68"/>
      <c r="L14" s="67">
        <v>8</v>
      </c>
      <c r="M14" s="50">
        <v>0</v>
      </c>
      <c r="N14" s="50">
        <v>7</v>
      </c>
      <c r="O14" s="50">
        <v>1</v>
      </c>
      <c r="P14" s="7" t="s">
        <v>58</v>
      </c>
      <c r="Q14" s="39"/>
      <c r="R14" s="37"/>
      <c r="Y14" s="6"/>
      <c r="Z14" s="14" t="s">
        <v>60</v>
      </c>
      <c r="AA14" s="5">
        <f>I9</f>
        <v>2030</v>
      </c>
      <c r="AB14" s="5">
        <f>N9</f>
        <v>57</v>
      </c>
      <c r="AC14" s="6"/>
    </row>
    <row r="15" spans="1:29" s="15" customFormat="1" ht="21.75" customHeight="1">
      <c r="A15" s="34" t="s">
        <v>2</v>
      </c>
      <c r="B15" s="50">
        <v>3</v>
      </c>
      <c r="C15" s="50">
        <v>0</v>
      </c>
      <c r="D15" s="50">
        <v>3</v>
      </c>
      <c r="E15" s="50">
        <v>0</v>
      </c>
      <c r="F15" s="50"/>
      <c r="G15" s="67">
        <v>3</v>
      </c>
      <c r="H15" s="50">
        <v>0</v>
      </c>
      <c r="I15" s="50">
        <v>3</v>
      </c>
      <c r="J15" s="50">
        <v>0</v>
      </c>
      <c r="K15" s="68"/>
      <c r="L15" s="67">
        <v>0</v>
      </c>
      <c r="M15" s="50">
        <v>0</v>
      </c>
      <c r="N15" s="50">
        <v>0</v>
      </c>
      <c r="O15" s="50">
        <v>0</v>
      </c>
      <c r="P15" s="7" t="s">
        <v>5</v>
      </c>
      <c r="Q15" s="39"/>
      <c r="R15" s="37"/>
      <c r="W15" s="21"/>
      <c r="X15" s="21"/>
      <c r="Z15" s="8" t="s">
        <v>61</v>
      </c>
      <c r="AA15" s="5">
        <f>J9</f>
        <v>574</v>
      </c>
      <c r="AB15" s="5">
        <f>O9</f>
        <v>19</v>
      </c>
    </row>
    <row r="16" spans="1:29" s="15" customFormat="1" ht="21.75" customHeight="1">
      <c r="A16" s="34" t="s">
        <v>18</v>
      </c>
      <c r="B16" s="50">
        <v>12</v>
      </c>
      <c r="C16" s="50">
        <v>0</v>
      </c>
      <c r="D16" s="50">
        <v>6</v>
      </c>
      <c r="E16" s="50">
        <v>6</v>
      </c>
      <c r="F16" s="50"/>
      <c r="G16" s="67">
        <v>10</v>
      </c>
      <c r="H16" s="50">
        <v>0</v>
      </c>
      <c r="I16" s="50">
        <v>4</v>
      </c>
      <c r="J16" s="50">
        <v>6</v>
      </c>
      <c r="K16" s="68"/>
      <c r="L16" s="67">
        <v>2</v>
      </c>
      <c r="M16" s="50">
        <v>0</v>
      </c>
      <c r="N16" s="50">
        <v>2</v>
      </c>
      <c r="O16" s="50">
        <v>0</v>
      </c>
      <c r="P16" s="7" t="s">
        <v>21</v>
      </c>
      <c r="Q16" s="39"/>
      <c r="R16" s="37"/>
      <c r="Z16" s="15" t="s">
        <v>62</v>
      </c>
      <c r="AA16" s="5">
        <f>AA11-AA13-AA14-AA15</f>
        <v>34</v>
      </c>
      <c r="AB16" s="5">
        <f>AB11-AB13-AB14-AB15</f>
        <v>0</v>
      </c>
    </row>
    <row r="17" spans="1:28" s="15" customFormat="1" ht="21.75" customHeight="1">
      <c r="A17" s="34" t="s">
        <v>20</v>
      </c>
      <c r="B17" s="50">
        <v>1</v>
      </c>
      <c r="C17" s="50">
        <v>0</v>
      </c>
      <c r="D17" s="50">
        <v>1</v>
      </c>
      <c r="E17" s="50">
        <v>0</v>
      </c>
      <c r="F17" s="50"/>
      <c r="G17" s="67">
        <v>1</v>
      </c>
      <c r="H17" s="50">
        <v>0</v>
      </c>
      <c r="I17" s="50">
        <v>1</v>
      </c>
      <c r="J17" s="50">
        <v>0</v>
      </c>
      <c r="K17" s="68"/>
      <c r="L17" s="67">
        <v>0</v>
      </c>
      <c r="M17" s="50">
        <v>0</v>
      </c>
      <c r="N17" s="50">
        <v>0</v>
      </c>
      <c r="O17" s="50">
        <v>0</v>
      </c>
      <c r="P17" s="7" t="s">
        <v>49</v>
      </c>
      <c r="Q17" s="39"/>
      <c r="R17" s="37"/>
      <c r="Z17" s="14"/>
      <c r="AA17" s="5"/>
      <c r="AB17" s="5"/>
    </row>
    <row r="18" spans="1:28" s="15" customFormat="1" ht="21.75" customHeight="1">
      <c r="A18" s="34" t="s">
        <v>12</v>
      </c>
      <c r="B18" s="50">
        <v>62</v>
      </c>
      <c r="C18" s="50">
        <v>4</v>
      </c>
      <c r="D18" s="50">
        <v>51</v>
      </c>
      <c r="E18" s="50">
        <v>7</v>
      </c>
      <c r="F18" s="50"/>
      <c r="G18" s="67">
        <v>62</v>
      </c>
      <c r="H18" s="50">
        <v>4</v>
      </c>
      <c r="I18" s="50">
        <v>51</v>
      </c>
      <c r="J18" s="50">
        <v>7</v>
      </c>
      <c r="K18" s="68"/>
      <c r="L18" s="67">
        <v>0</v>
      </c>
      <c r="M18" s="50">
        <v>0</v>
      </c>
      <c r="N18" s="50">
        <v>0</v>
      </c>
      <c r="O18" s="50">
        <v>0</v>
      </c>
      <c r="P18" s="7" t="s">
        <v>13</v>
      </c>
      <c r="Q18" s="39"/>
      <c r="R18" s="37"/>
    </row>
    <row r="19" spans="1:28" s="15" customFormat="1" ht="21.75" customHeight="1">
      <c r="A19" s="34" t="s">
        <v>17</v>
      </c>
      <c r="B19" s="50">
        <v>18</v>
      </c>
      <c r="C19" s="50">
        <v>0</v>
      </c>
      <c r="D19" s="50">
        <v>14</v>
      </c>
      <c r="E19" s="50">
        <v>4</v>
      </c>
      <c r="F19" s="50"/>
      <c r="G19" s="67">
        <v>18</v>
      </c>
      <c r="H19" s="50">
        <v>0</v>
      </c>
      <c r="I19" s="50">
        <v>14</v>
      </c>
      <c r="J19" s="50">
        <v>4</v>
      </c>
      <c r="K19" s="68"/>
      <c r="L19" s="67">
        <v>0</v>
      </c>
      <c r="M19" s="50">
        <v>0</v>
      </c>
      <c r="N19" s="50">
        <v>0</v>
      </c>
      <c r="O19" s="50">
        <v>0</v>
      </c>
      <c r="P19" s="7" t="s">
        <v>19</v>
      </c>
      <c r="Q19" s="39"/>
      <c r="R19" s="37"/>
      <c r="S19" s="34"/>
    </row>
    <row r="20" spans="1:28" s="15" customFormat="1" ht="21.75" customHeight="1">
      <c r="A20" s="34" t="s">
        <v>27</v>
      </c>
      <c r="B20" s="50">
        <v>0</v>
      </c>
      <c r="C20" s="50">
        <v>0</v>
      </c>
      <c r="D20" s="50">
        <v>0</v>
      </c>
      <c r="E20" s="50">
        <v>0</v>
      </c>
      <c r="F20" s="50"/>
      <c r="G20" s="67">
        <v>0</v>
      </c>
      <c r="H20" s="50">
        <v>0</v>
      </c>
      <c r="I20" s="50">
        <v>0</v>
      </c>
      <c r="J20" s="50">
        <v>0</v>
      </c>
      <c r="K20" s="68"/>
      <c r="L20" s="67">
        <v>0</v>
      </c>
      <c r="M20" s="50">
        <v>0</v>
      </c>
      <c r="N20" s="50">
        <v>0</v>
      </c>
      <c r="O20" s="50">
        <v>0</v>
      </c>
      <c r="P20" s="7" t="s">
        <v>9</v>
      </c>
      <c r="Q20" s="39"/>
      <c r="R20" s="37"/>
      <c r="S20" s="34"/>
    </row>
    <row r="21" spans="1:28" s="15" customFormat="1" ht="21.75" customHeight="1">
      <c r="A21" s="34" t="s">
        <v>7</v>
      </c>
      <c r="B21" s="50">
        <v>378</v>
      </c>
      <c r="C21" s="50">
        <v>18</v>
      </c>
      <c r="D21" s="50">
        <v>268</v>
      </c>
      <c r="E21" s="50">
        <v>92</v>
      </c>
      <c r="F21" s="50"/>
      <c r="G21" s="67">
        <v>365</v>
      </c>
      <c r="H21" s="50">
        <v>18</v>
      </c>
      <c r="I21" s="50">
        <v>262</v>
      </c>
      <c r="J21" s="50">
        <v>85</v>
      </c>
      <c r="K21" s="68"/>
      <c r="L21" s="67">
        <v>13</v>
      </c>
      <c r="M21" s="50">
        <v>0</v>
      </c>
      <c r="N21" s="50">
        <v>6</v>
      </c>
      <c r="O21" s="50">
        <v>7</v>
      </c>
      <c r="P21" s="7" t="s">
        <v>24</v>
      </c>
      <c r="Q21" s="39"/>
      <c r="R21" s="37"/>
      <c r="S21" s="34"/>
    </row>
    <row r="22" spans="1:28" ht="18.75" customHeight="1">
      <c r="A22" s="40" t="s">
        <v>25</v>
      </c>
      <c r="B22" s="50">
        <v>7</v>
      </c>
      <c r="C22" s="50">
        <v>0</v>
      </c>
      <c r="D22" s="50">
        <v>5</v>
      </c>
      <c r="E22" s="50">
        <v>2</v>
      </c>
      <c r="F22" s="50"/>
      <c r="G22" s="67">
        <v>7</v>
      </c>
      <c r="H22" s="50">
        <v>0</v>
      </c>
      <c r="I22" s="50">
        <v>5</v>
      </c>
      <c r="J22" s="50">
        <v>2</v>
      </c>
      <c r="K22" s="68"/>
      <c r="L22" s="67">
        <v>0</v>
      </c>
      <c r="M22" s="50">
        <v>0</v>
      </c>
      <c r="N22" s="50">
        <v>0</v>
      </c>
      <c r="O22" s="50">
        <v>0</v>
      </c>
      <c r="P22" s="1" t="s">
        <v>26</v>
      </c>
      <c r="Q22" s="39"/>
      <c r="R22" s="9"/>
      <c r="S22" s="9"/>
    </row>
    <row r="23" spans="1:28" ht="18.75" customHeight="1">
      <c r="A23" s="40" t="s">
        <v>28</v>
      </c>
      <c r="B23" s="50">
        <v>3</v>
      </c>
      <c r="C23" s="50">
        <v>0</v>
      </c>
      <c r="D23" s="50">
        <v>1</v>
      </c>
      <c r="E23" s="50">
        <v>2</v>
      </c>
      <c r="F23" s="50"/>
      <c r="G23" s="67">
        <v>3</v>
      </c>
      <c r="H23" s="50">
        <v>0</v>
      </c>
      <c r="I23" s="50">
        <v>1</v>
      </c>
      <c r="J23" s="50">
        <v>2</v>
      </c>
      <c r="K23" s="68"/>
      <c r="L23" s="67">
        <v>0</v>
      </c>
      <c r="M23" s="50">
        <v>0</v>
      </c>
      <c r="N23" s="50">
        <v>0</v>
      </c>
      <c r="O23" s="50">
        <v>0</v>
      </c>
      <c r="P23" s="1" t="s">
        <v>29</v>
      </c>
      <c r="Q23" s="39"/>
      <c r="R23" s="9"/>
      <c r="S23" s="9"/>
      <c r="Z23" s="8">
        <v>3961</v>
      </c>
      <c r="AA23" s="8">
        <v>3811</v>
      </c>
      <c r="AB23" s="8">
        <v>150</v>
      </c>
    </row>
    <row r="24" spans="1:28" ht="18.75" customHeight="1">
      <c r="A24" s="40" t="s">
        <v>31</v>
      </c>
      <c r="B24" s="50">
        <v>0</v>
      </c>
      <c r="C24" s="50">
        <v>0</v>
      </c>
      <c r="D24" s="50">
        <v>0</v>
      </c>
      <c r="E24" s="50">
        <v>0</v>
      </c>
      <c r="F24" s="50"/>
      <c r="G24" s="67">
        <v>0</v>
      </c>
      <c r="H24" s="50">
        <v>0</v>
      </c>
      <c r="I24" s="50">
        <v>0</v>
      </c>
      <c r="J24" s="50">
        <v>0</v>
      </c>
      <c r="K24" s="68"/>
      <c r="L24" s="67">
        <v>0</v>
      </c>
      <c r="M24" s="50">
        <v>0</v>
      </c>
      <c r="N24" s="50">
        <v>0</v>
      </c>
      <c r="O24" s="50">
        <v>0</v>
      </c>
      <c r="P24" s="1" t="s">
        <v>32</v>
      </c>
      <c r="Q24" s="39"/>
      <c r="R24" s="9"/>
      <c r="S24" s="9"/>
    </row>
    <row r="25" spans="1:28" ht="18.75" customHeight="1">
      <c r="A25" s="40" t="s">
        <v>33</v>
      </c>
      <c r="B25" s="50">
        <v>4</v>
      </c>
      <c r="C25" s="50">
        <v>0</v>
      </c>
      <c r="D25" s="50">
        <v>2</v>
      </c>
      <c r="E25" s="50">
        <v>2</v>
      </c>
      <c r="F25" s="50"/>
      <c r="G25" s="67">
        <v>2</v>
      </c>
      <c r="H25" s="50">
        <v>0</v>
      </c>
      <c r="I25" s="50">
        <v>1</v>
      </c>
      <c r="J25" s="50">
        <v>1</v>
      </c>
      <c r="K25" s="68"/>
      <c r="L25" s="67">
        <v>2</v>
      </c>
      <c r="M25" s="50">
        <v>0</v>
      </c>
      <c r="N25" s="50">
        <v>1</v>
      </c>
      <c r="O25" s="50">
        <v>1</v>
      </c>
      <c r="P25" s="1" t="s">
        <v>34</v>
      </c>
      <c r="Q25" s="39"/>
      <c r="R25" s="9"/>
      <c r="S25" s="9"/>
      <c r="AA25" s="12">
        <f>AA23-AA13-AA14-AA15</f>
        <v>1044</v>
      </c>
      <c r="AB25" s="12">
        <f>AB23-AB13-AB14-AB15</f>
        <v>73</v>
      </c>
    </row>
    <row r="26" spans="1:28" ht="18.75" customHeight="1">
      <c r="A26" s="40" t="s">
        <v>23</v>
      </c>
      <c r="B26" s="50">
        <v>0</v>
      </c>
      <c r="C26" s="50">
        <v>0</v>
      </c>
      <c r="D26" s="50">
        <v>0</v>
      </c>
      <c r="E26" s="50">
        <v>0</v>
      </c>
      <c r="F26" s="50"/>
      <c r="G26" s="67">
        <v>0</v>
      </c>
      <c r="H26" s="50">
        <v>0</v>
      </c>
      <c r="I26" s="50">
        <v>0</v>
      </c>
      <c r="J26" s="50">
        <v>0</v>
      </c>
      <c r="K26" s="68"/>
      <c r="L26" s="67">
        <v>0</v>
      </c>
      <c r="M26" s="50">
        <v>0</v>
      </c>
      <c r="N26" s="50">
        <v>0</v>
      </c>
      <c r="O26" s="50">
        <v>0</v>
      </c>
      <c r="P26" s="1" t="s">
        <v>35</v>
      </c>
      <c r="Q26" s="39"/>
      <c r="R26" s="9"/>
      <c r="S26" s="9"/>
    </row>
    <row r="27" spans="1:28" ht="18.75" customHeight="1">
      <c r="A27" s="40" t="s">
        <v>22</v>
      </c>
      <c r="B27" s="50">
        <v>13</v>
      </c>
      <c r="C27" s="50">
        <v>0</v>
      </c>
      <c r="D27" s="50">
        <v>6</v>
      </c>
      <c r="E27" s="50">
        <v>7</v>
      </c>
      <c r="F27" s="50"/>
      <c r="G27" s="67">
        <v>12</v>
      </c>
      <c r="H27" s="50">
        <v>0</v>
      </c>
      <c r="I27" s="50">
        <v>6</v>
      </c>
      <c r="J27" s="50">
        <v>6</v>
      </c>
      <c r="K27" s="68"/>
      <c r="L27" s="67">
        <v>1</v>
      </c>
      <c r="M27" s="50">
        <v>0</v>
      </c>
      <c r="N27" s="50">
        <v>0</v>
      </c>
      <c r="O27" s="50">
        <v>1</v>
      </c>
      <c r="P27" s="1" t="s">
        <v>36</v>
      </c>
      <c r="Q27" s="39"/>
      <c r="R27" s="9"/>
      <c r="S27" s="9"/>
    </row>
    <row r="28" spans="1:28" ht="18.75" customHeight="1">
      <c r="A28" s="40" t="s">
        <v>30</v>
      </c>
      <c r="B28" s="50">
        <v>37</v>
      </c>
      <c r="C28" s="50">
        <v>0</v>
      </c>
      <c r="D28" s="50">
        <v>31</v>
      </c>
      <c r="E28" s="50">
        <v>6</v>
      </c>
      <c r="F28" s="50"/>
      <c r="G28" s="67">
        <v>37</v>
      </c>
      <c r="H28" s="50">
        <v>0</v>
      </c>
      <c r="I28" s="50">
        <v>31</v>
      </c>
      <c r="J28" s="50">
        <v>6</v>
      </c>
      <c r="K28" s="68"/>
      <c r="L28" s="67">
        <v>0</v>
      </c>
      <c r="M28" s="50">
        <v>0</v>
      </c>
      <c r="N28" s="50">
        <v>0</v>
      </c>
      <c r="O28" s="50">
        <v>0</v>
      </c>
      <c r="P28" s="1" t="s">
        <v>37</v>
      </c>
      <c r="Q28" s="39"/>
      <c r="R28" s="9"/>
      <c r="S28" s="9"/>
    </row>
    <row r="29" spans="1:28" ht="18.75" customHeight="1">
      <c r="A29" s="40" t="s">
        <v>38</v>
      </c>
      <c r="B29" s="50">
        <v>15</v>
      </c>
      <c r="C29" s="50">
        <v>0</v>
      </c>
      <c r="D29" s="50">
        <v>14</v>
      </c>
      <c r="E29" s="50">
        <v>1</v>
      </c>
      <c r="F29" s="50"/>
      <c r="G29" s="67">
        <v>15</v>
      </c>
      <c r="H29" s="50">
        <v>0</v>
      </c>
      <c r="I29" s="50">
        <v>14</v>
      </c>
      <c r="J29" s="50">
        <v>1</v>
      </c>
      <c r="K29" s="68"/>
      <c r="L29" s="67">
        <v>0</v>
      </c>
      <c r="M29" s="50">
        <v>0</v>
      </c>
      <c r="N29" s="50">
        <v>0</v>
      </c>
      <c r="O29" s="50">
        <v>0</v>
      </c>
      <c r="P29" s="1" t="s">
        <v>39</v>
      </c>
      <c r="Q29" s="39"/>
      <c r="R29" s="9"/>
      <c r="S29" s="9"/>
    </row>
    <row r="30" spans="1:28" ht="18.75" customHeight="1">
      <c r="A30" s="40" t="s">
        <v>40</v>
      </c>
      <c r="B30" s="50">
        <v>1</v>
      </c>
      <c r="C30" s="50">
        <v>0</v>
      </c>
      <c r="D30" s="50">
        <v>1</v>
      </c>
      <c r="E30" s="50">
        <v>0</v>
      </c>
      <c r="F30" s="50"/>
      <c r="G30" s="67">
        <v>1</v>
      </c>
      <c r="H30" s="50">
        <v>0</v>
      </c>
      <c r="I30" s="50">
        <v>1</v>
      </c>
      <c r="J30" s="50">
        <v>0</v>
      </c>
      <c r="K30" s="68"/>
      <c r="L30" s="67">
        <v>0</v>
      </c>
      <c r="M30" s="50">
        <v>0</v>
      </c>
      <c r="N30" s="50">
        <v>0</v>
      </c>
      <c r="O30" s="50">
        <v>0</v>
      </c>
      <c r="P30" s="1" t="s">
        <v>41</v>
      </c>
      <c r="Q30" s="39"/>
      <c r="R30" s="9"/>
      <c r="S30" s="9"/>
    </row>
    <row r="31" spans="1:28" ht="18.75" customHeight="1">
      <c r="A31" s="40" t="s">
        <v>15</v>
      </c>
      <c r="B31" s="50">
        <v>61</v>
      </c>
      <c r="C31" s="50">
        <v>4</v>
      </c>
      <c r="D31" s="50">
        <v>43</v>
      </c>
      <c r="E31" s="50">
        <v>14</v>
      </c>
      <c r="F31" s="50"/>
      <c r="G31" s="67">
        <v>60</v>
      </c>
      <c r="H31" s="50">
        <v>4</v>
      </c>
      <c r="I31" s="50">
        <v>42</v>
      </c>
      <c r="J31" s="50">
        <v>14</v>
      </c>
      <c r="K31" s="68"/>
      <c r="L31" s="67">
        <v>1</v>
      </c>
      <c r="M31" s="50">
        <v>0</v>
      </c>
      <c r="N31" s="50">
        <v>1</v>
      </c>
      <c r="O31" s="50">
        <v>0</v>
      </c>
      <c r="P31" s="1" t="s">
        <v>42</v>
      </c>
      <c r="Q31" s="39"/>
      <c r="R31" s="9"/>
      <c r="S31" s="9"/>
    </row>
    <row r="32" spans="1:28" ht="29.25" customHeight="1">
      <c r="A32" s="41" t="s">
        <v>43</v>
      </c>
      <c r="B32" s="50">
        <v>31</v>
      </c>
      <c r="C32" s="50">
        <v>5</v>
      </c>
      <c r="D32" s="50">
        <v>25</v>
      </c>
      <c r="E32" s="50">
        <v>1</v>
      </c>
      <c r="F32" s="50"/>
      <c r="G32" s="67">
        <v>30</v>
      </c>
      <c r="H32" s="50">
        <v>5</v>
      </c>
      <c r="I32" s="50">
        <v>24</v>
      </c>
      <c r="J32" s="50">
        <v>1</v>
      </c>
      <c r="K32" s="68"/>
      <c r="L32" s="67">
        <v>1</v>
      </c>
      <c r="M32" s="50">
        <v>0</v>
      </c>
      <c r="N32" s="50">
        <v>1</v>
      </c>
      <c r="O32" s="50">
        <v>0</v>
      </c>
      <c r="P32" s="1" t="s">
        <v>44</v>
      </c>
      <c r="Q32" s="39"/>
      <c r="R32" s="9"/>
      <c r="S32" s="9"/>
    </row>
    <row r="33" spans="1:19" ht="18.75" customHeight="1">
      <c r="A33" s="40" t="s">
        <v>45</v>
      </c>
      <c r="B33" s="50">
        <v>12</v>
      </c>
      <c r="C33" s="50">
        <v>0</v>
      </c>
      <c r="D33" s="50">
        <v>12</v>
      </c>
      <c r="E33" s="50">
        <v>0</v>
      </c>
      <c r="F33" s="50"/>
      <c r="G33" s="67">
        <v>12</v>
      </c>
      <c r="H33" s="50">
        <v>0</v>
      </c>
      <c r="I33" s="50">
        <v>12</v>
      </c>
      <c r="J33" s="50">
        <v>0</v>
      </c>
      <c r="K33" s="68"/>
      <c r="L33" s="67">
        <v>0</v>
      </c>
      <c r="M33" s="50">
        <v>0</v>
      </c>
      <c r="N33" s="50">
        <v>0</v>
      </c>
      <c r="O33" s="50">
        <v>0</v>
      </c>
      <c r="P33" s="1" t="s">
        <v>46</v>
      </c>
      <c r="Q33" s="39"/>
      <c r="R33" s="9"/>
      <c r="S33" s="9"/>
    </row>
    <row r="34" spans="1:19" ht="18.75" customHeight="1">
      <c r="A34" s="42" t="s">
        <v>7</v>
      </c>
      <c r="B34" s="51">
        <v>194</v>
      </c>
      <c r="C34" s="51">
        <v>9</v>
      </c>
      <c r="D34" s="51">
        <v>128</v>
      </c>
      <c r="E34" s="51">
        <v>57</v>
      </c>
      <c r="F34" s="51"/>
      <c r="G34" s="69">
        <v>186</v>
      </c>
      <c r="H34" s="51">
        <v>9</v>
      </c>
      <c r="I34" s="51">
        <v>125</v>
      </c>
      <c r="J34" s="51">
        <v>52</v>
      </c>
      <c r="K34" s="70"/>
      <c r="L34" s="69">
        <v>8</v>
      </c>
      <c r="M34" s="51">
        <v>0</v>
      </c>
      <c r="N34" s="51">
        <v>3</v>
      </c>
      <c r="O34" s="51">
        <v>5</v>
      </c>
      <c r="P34" s="2" t="s">
        <v>24</v>
      </c>
      <c r="Q34" s="39"/>
      <c r="R34" s="9"/>
      <c r="S34" s="9"/>
    </row>
    <row r="35" spans="1:19" ht="18.75" customHeight="1">
      <c r="A35" s="43" t="s">
        <v>71</v>
      </c>
      <c r="B35" s="35"/>
      <c r="C35" s="35"/>
      <c r="D35" s="35"/>
      <c r="E35" s="35"/>
      <c r="F35" s="35"/>
      <c r="G35" s="35"/>
      <c r="N35" s="11"/>
      <c r="O35" s="11"/>
      <c r="P35" s="11" t="s">
        <v>72</v>
      </c>
      <c r="Q35" s="39"/>
      <c r="R35" s="9"/>
      <c r="S35" s="9"/>
    </row>
    <row r="36" spans="1:19" ht="18.75" customHeight="1">
      <c r="A36" s="10" t="s">
        <v>47</v>
      </c>
      <c r="C36" s="12"/>
      <c r="N36" s="44"/>
      <c r="O36" s="44"/>
      <c r="P36" s="11" t="s">
        <v>50</v>
      </c>
      <c r="Q36" s="39"/>
      <c r="R36" s="9"/>
      <c r="S36" s="9"/>
    </row>
    <row r="37" spans="1:19" ht="18.75" customHeight="1">
      <c r="N37" s="44"/>
      <c r="O37" s="44"/>
      <c r="P37" s="44"/>
      <c r="Q37" s="39"/>
      <c r="R37" s="9"/>
      <c r="S37" s="9"/>
    </row>
    <row r="38" spans="1:19" ht="18.75" customHeight="1">
      <c r="A38" s="10"/>
      <c r="N38" s="44"/>
      <c r="O38" s="44"/>
      <c r="P38" s="44"/>
      <c r="Q38" s="39"/>
      <c r="R38" s="9"/>
      <c r="S38" s="9"/>
    </row>
    <row r="39" spans="1:19" ht="18.75" customHeight="1">
      <c r="A39" s="10"/>
      <c r="N39" s="44"/>
      <c r="O39" s="44"/>
      <c r="P39" s="44"/>
      <c r="Q39" s="39"/>
      <c r="R39" s="9"/>
      <c r="S39" s="9"/>
    </row>
    <row r="40" spans="1:19" ht="18.75" customHeight="1">
      <c r="A40" s="10"/>
      <c r="N40" s="44"/>
      <c r="O40" s="44"/>
      <c r="P40" s="44"/>
      <c r="Q40" s="39"/>
      <c r="R40" s="9"/>
      <c r="S40" s="9"/>
    </row>
    <row r="41" spans="1:19" ht="18.75" customHeight="1">
      <c r="Q41" s="39"/>
      <c r="R41" s="9"/>
      <c r="S41" s="9"/>
    </row>
    <row r="42" spans="1:19" ht="18.75" customHeight="1">
      <c r="A42" s="10"/>
      <c r="N42" s="44"/>
      <c r="O42" s="44"/>
      <c r="P42" s="44"/>
      <c r="Q42" s="39"/>
      <c r="R42" s="9"/>
      <c r="S42" s="9"/>
    </row>
    <row r="43" spans="1:19" ht="18.75" customHeight="1">
      <c r="A43" s="10"/>
      <c r="N43" s="44"/>
      <c r="O43" s="44"/>
      <c r="P43" s="44"/>
      <c r="Q43" s="39"/>
      <c r="R43" s="9"/>
      <c r="S43" s="9"/>
    </row>
    <row r="44" spans="1:19" ht="18.75" customHeight="1">
      <c r="A44" s="10"/>
      <c r="N44" s="44"/>
      <c r="O44" s="44"/>
      <c r="P44" s="44"/>
      <c r="Q44" s="39"/>
      <c r="R44" s="9"/>
      <c r="S44" s="9"/>
    </row>
    <row r="45" spans="1:19" ht="18.75" customHeight="1">
      <c r="A45" s="10"/>
      <c r="N45" s="44"/>
      <c r="O45" s="44"/>
      <c r="P45" s="44"/>
      <c r="Q45" s="39"/>
      <c r="R45" s="9"/>
      <c r="S45" s="9"/>
    </row>
    <row r="46" spans="1:19" ht="18.75" customHeight="1">
      <c r="Q46" s="39"/>
      <c r="R46" s="9"/>
      <c r="S46" s="9"/>
    </row>
    <row r="47" spans="1:19" ht="18.75">
      <c r="Q47" s="39"/>
      <c r="R47" s="9"/>
      <c r="S47" s="9"/>
    </row>
    <row r="48" spans="1:19" ht="9" customHeight="1"/>
    <row r="49" spans="17:28" ht="4.5" customHeight="1">
      <c r="Q49" s="39"/>
    </row>
    <row r="50" spans="17:28" ht="18.75" hidden="1">
      <c r="Q50" s="39"/>
    </row>
    <row r="51" spans="17:28" ht="9" customHeight="1"/>
    <row r="52" spans="17:28" ht="18.75">
      <c r="Q52" s="39"/>
      <c r="Z52" s="14"/>
      <c r="AA52" s="5"/>
      <c r="AB52" s="5"/>
    </row>
    <row r="53" spans="17:28" ht="18.75">
      <c r="Q53" s="39"/>
      <c r="Z53" s="14"/>
      <c r="AA53" s="5"/>
      <c r="AB53" s="5"/>
    </row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7" right="0.7" top="0.75" bottom="0.75" header="0.3" footer="0.3"/>
  <pageSetup paperSize="9" scale="3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8.16</vt:lpstr>
      <vt:lpstr>'8.16'!Print_Area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2019-11-19T06:36:18Z</cp:lastPrinted>
  <dcterms:created xsi:type="dcterms:W3CDTF">2019-06-30T04:22:49Z</dcterms:created>
  <dcterms:modified xsi:type="dcterms:W3CDTF">2019-11-19T06:36:26Z</dcterms:modified>
</cp:coreProperties>
</file>