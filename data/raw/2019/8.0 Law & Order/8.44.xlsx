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768"/>
  </bookViews>
  <sheets>
    <sheet name="8.44" sheetId="44" r:id="rId1"/>
  </sheets>
  <definedNames>
    <definedName name="_xlnm.Print_Area" localSheetId="0">'8.44'!$A$1:$M$60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44" l="1"/>
  <c r="J5" i="44"/>
  <c r="I5" i="44"/>
  <c r="H5" i="44"/>
  <c r="G5" i="44"/>
  <c r="F5" i="44"/>
  <c r="E5" i="44"/>
  <c r="D5" i="44"/>
  <c r="C5" i="44"/>
  <c r="B5" i="44"/>
</calcChain>
</file>

<file path=xl/sharedStrings.xml><?xml version="1.0" encoding="utf-8"?>
<sst xmlns="http://schemas.openxmlformats.org/spreadsheetml/2006/main" count="27" uniqueCount="27">
  <si>
    <t>Total</t>
  </si>
  <si>
    <t>Others</t>
  </si>
  <si>
    <t>އެހެނިހެން</t>
  </si>
  <si>
    <t>ޖުމްލަ</t>
  </si>
  <si>
    <t xml:space="preserve">Types of abuse </t>
  </si>
  <si>
    <t>ކުރެވޭ އަނިޔާގެ ބާވަތް</t>
  </si>
  <si>
    <t>Neglect</t>
  </si>
  <si>
    <t>އަޅާނުލުން</t>
  </si>
  <si>
    <t>Physical Abuse</t>
  </si>
  <si>
    <t>ޖިސްމާނީ އަނިޔާ</t>
  </si>
  <si>
    <t>Emotional Abuse</t>
  </si>
  <si>
    <t>ނަފްސާނީ އަނިޔާ</t>
  </si>
  <si>
    <t>Sexual Abuse</t>
  </si>
  <si>
    <t>ޖިންސީ އަނިޔާ</t>
  </si>
  <si>
    <t>Bullying</t>
  </si>
  <si>
    <t xml:space="preserve">ގަނާކުރުން </t>
  </si>
  <si>
    <t>Harrasment</t>
  </si>
  <si>
    <t xml:space="preserve">ފުރައްސާރަކުރުން </t>
  </si>
  <si>
    <t>Witness to Domestic Violence</t>
  </si>
  <si>
    <t xml:space="preserve">ގެވެށި އަނިޔާގެ އަމަލެއް ކުރާތައް ކުއްޖަކަށް ދެއްކުން ނުވަތަ ފެނުން </t>
  </si>
  <si>
    <t>Cyber Bullying</t>
  </si>
  <si>
    <t>އެހެންކުދިންގެ ފަރާތުން އިންޓަރނެޓް މެދުވެރިކޮށް ގަނާ ލިބުން</t>
  </si>
  <si>
    <t xml:space="preserve">Note: Others include: Child Deaths, Exploitation, Commercial Exploitation / Child Labor,  Commercial Sexual Exploitation,  Trafficking of Children, Victims of Bullying,  Child Abandonment 
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</si>
  <si>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</si>
  <si>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</si>
  <si>
    <t>ތާވަލު 8.44: ކުޑަކުދިންނަށް ކުރާ އަނިޔާއާއިބެހޭގޮތުން ހުށަހެޅިފައިވާ މައްސަލަތައް، 2009 - 2018</t>
  </si>
  <si>
    <t>Table 8.44: NUMBER OF REPORTED CHILD ABUSE  CASES (UNDER 18) BY TYPE, 2009 - 2018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</si>
</sst>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_-* #,##0_-;\-* #,##0_-;_-* &quot;-&quot;??_-;_-@_-"/>
    <numFmt numFmtId="166" formatCode="#,##0.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Faruma"/>
    </font>
    <font>
      <b/>
      <sz val="10"/>
      <name val="Faruma"/>
    </font>
    <font>
      <sz val="10"/>
      <name val="Faruma"/>
    </font>
    <font>
      <sz val="12"/>
      <name val="Calibri"/>
      <family val="2"/>
      <scheme val="minor"/>
    </font>
    <font>
      <b/>
      <sz val="15"/>
      <color theme="3"/>
      <name val="Arial Mäori"/>
      <family val="2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166" fontId="7" fillId="0" borderId="0"/>
    <xf numFmtId="0" fontId="16" fillId="0" borderId="2" applyNumberFormat="0" applyFill="0" applyAlignment="0" applyProtection="0"/>
    <xf numFmtId="0" fontId="10" fillId="0" borderId="0"/>
  </cellStyleXfs>
  <cellXfs count="26">
    <xf numFmtId="0" fontId="0" fillId="0" borderId="0" xfId="0"/>
    <xf numFmtId="164" fontId="2" fillId="2" borderId="1" xfId="0" applyNumberFormat="1" applyFont="1" applyFill="1" applyBorder="1" applyAlignment="1">
      <alignment horizontal="center" vertical="center" wrapText="1"/>
    </xf>
    <xf numFmtId="164" fontId="3" fillId="2" borderId="0" xfId="0" applyNumberFormat="1" applyFont="1" applyFill="1"/>
    <xf numFmtId="164" fontId="4" fillId="2" borderId="0" xfId="0" applyNumberFormat="1" applyFont="1" applyFill="1"/>
    <xf numFmtId="164" fontId="2" fillId="2" borderId="4" xfId="0" applyNumberFormat="1" applyFont="1" applyFill="1" applyBorder="1" applyAlignment="1">
      <alignment horizontal="left" vertical="center" wrapText="1"/>
    </xf>
    <xf numFmtId="164" fontId="2" fillId="2" borderId="4" xfId="0" applyNumberFormat="1" applyFont="1" applyFill="1" applyBorder="1" applyAlignment="1">
      <alignment horizontal="right" vertical="center" wrapText="1"/>
    </xf>
    <xf numFmtId="164" fontId="13" fillId="2" borderId="4" xfId="0" applyNumberFormat="1" applyFont="1" applyFill="1" applyBorder="1" applyAlignment="1">
      <alignment horizontal="right" vertical="center" wrapText="1" readingOrder="2"/>
    </xf>
    <xf numFmtId="165" fontId="11" fillId="2" borderId="3" xfId="1" applyNumberFormat="1" applyFont="1" applyFill="1" applyBorder="1" applyAlignment="1">
      <alignment vertical="center" wrapText="1"/>
    </xf>
    <xf numFmtId="165" fontId="2" fillId="2" borderId="3" xfId="1" applyNumberFormat="1" applyFont="1" applyFill="1" applyBorder="1" applyAlignment="1">
      <alignment horizontal="right" vertical="center" wrapText="1"/>
    </xf>
    <xf numFmtId="165" fontId="13" fillId="2" borderId="3" xfId="1" applyNumberFormat="1" applyFont="1" applyFill="1" applyBorder="1" applyAlignment="1">
      <alignment vertical="center" wrapText="1" readingOrder="2"/>
    </xf>
    <xf numFmtId="165" fontId="17" fillId="2" borderId="0" xfId="1" applyNumberFormat="1" applyFont="1" applyFill="1"/>
    <xf numFmtId="165" fontId="9" fillId="2" borderId="0" xfId="1" applyNumberFormat="1" applyFont="1" applyFill="1" applyAlignment="1">
      <alignment vertical="center" wrapText="1"/>
    </xf>
    <xf numFmtId="165" fontId="3" fillId="2" borderId="0" xfId="1" applyNumberFormat="1" applyFont="1" applyFill="1" applyAlignment="1">
      <alignment horizontal="right" vertical="center" wrapText="1"/>
    </xf>
    <xf numFmtId="165" fontId="14" fillId="2" borderId="0" xfId="1" applyNumberFormat="1" applyFont="1" applyFill="1" applyAlignment="1">
      <alignment vertical="center" wrapText="1" readingOrder="2"/>
    </xf>
    <xf numFmtId="165" fontId="15" fillId="2" borderId="0" xfId="1" applyNumberFormat="1" applyFont="1" applyFill="1"/>
    <xf numFmtId="165" fontId="12" fillId="2" borderId="0" xfId="1" applyNumberFormat="1" applyFont="1" applyFill="1" applyAlignment="1">
      <alignment vertical="center" wrapText="1" readingOrder="2"/>
    </xf>
    <xf numFmtId="165" fontId="12" fillId="2" borderId="0" xfId="1" applyNumberFormat="1" applyFont="1" applyFill="1" applyAlignment="1">
      <alignment vertical="center" readingOrder="2"/>
    </xf>
    <xf numFmtId="165" fontId="9" fillId="2" borderId="1" xfId="1" applyNumberFormat="1" applyFont="1" applyFill="1" applyBorder="1" applyAlignment="1">
      <alignment vertical="center" wrapText="1"/>
    </xf>
    <xf numFmtId="165" fontId="3" fillId="2" borderId="1" xfId="1" applyNumberFormat="1" applyFont="1" applyFill="1" applyBorder="1" applyAlignment="1">
      <alignment horizontal="right" vertical="center" wrapText="1"/>
    </xf>
    <xf numFmtId="165" fontId="14" fillId="2" borderId="1" xfId="1" applyNumberFormat="1" applyFont="1" applyFill="1" applyBorder="1" applyAlignment="1">
      <alignment vertical="center" wrapText="1" readingOrder="2"/>
    </xf>
    <xf numFmtId="164" fontId="14" fillId="2" borderId="0" xfId="0" applyNumberFormat="1" applyFont="1" applyFill="1" applyBorder="1" applyAlignment="1">
      <alignment vertical="top" wrapText="1" readingOrder="2"/>
    </xf>
    <xf numFmtId="165" fontId="5" fillId="2" borderId="3" xfId="1" applyNumberFormat="1" applyFont="1" applyFill="1" applyBorder="1" applyAlignment="1">
      <alignment horizontal="right" vertical="center" wrapText="1"/>
    </xf>
    <xf numFmtId="164" fontId="13" fillId="2" borderId="0" xfId="0" applyNumberFormat="1" applyFont="1" applyFill="1" applyAlignment="1">
      <alignment horizontal="center" vertical="center" wrapText="1" readingOrder="2"/>
    </xf>
    <xf numFmtId="164" fontId="2" fillId="2" borderId="0" xfId="0" applyNumberFormat="1" applyFont="1" applyFill="1" applyBorder="1" applyAlignment="1">
      <alignment horizontal="center" vertical="center" wrapText="1"/>
    </xf>
    <xf numFmtId="164" fontId="8" fillId="2" borderId="3" xfId="0" applyNumberFormat="1" applyFont="1" applyFill="1" applyBorder="1" applyAlignment="1">
      <alignment horizontal="left" vertical="center" wrapText="1"/>
    </xf>
    <xf numFmtId="164" fontId="8" fillId="2" borderId="0" xfId="0" applyNumberFormat="1" applyFont="1" applyFill="1" applyBorder="1" applyAlignment="1">
      <alignment horizontal="left" vertical="center" wrapText="1"/>
    </xf>
  </cellXfs>
  <cellStyles count="7"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383223181439669E-2"/>
          <c:y val="0.15358178053830226"/>
          <c:w val="0.8941656389336875"/>
          <c:h val="0.683132321874399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'8.44'!$J$4</c:f>
              <c:strCache>
                <c:ptCount val="1"/>
                <c:pt idx="0">
                  <c:v>2017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'8.44'!$A$6:$A$14</c:f>
              <c:strCache>
                <c:ptCount val="9"/>
                <c:pt idx="0">
                  <c:v>Neglect</c:v>
                </c:pt>
                <c:pt idx="1">
                  <c:v>Physical Abuse</c:v>
                </c:pt>
                <c:pt idx="2">
                  <c:v>Emotional Abuse</c:v>
                </c:pt>
                <c:pt idx="3">
                  <c:v>Sexual Abuse</c:v>
                </c:pt>
                <c:pt idx="4">
                  <c:v>Bullying</c:v>
                </c:pt>
                <c:pt idx="5">
                  <c:v>Harrasment</c:v>
                </c:pt>
                <c:pt idx="6">
                  <c:v>Witness to Domestic Violence</c:v>
                </c:pt>
                <c:pt idx="7">
                  <c:v>Cyber Bullying</c:v>
                </c:pt>
                <c:pt idx="8">
                  <c:v>Others</c:v>
                </c:pt>
              </c:strCache>
            </c:strRef>
          </c:cat>
          <c:val>
            <c:numRef>
              <c:f>'8.44'!$J$6:$J$14</c:f>
              <c:numCache>
                <c:formatCode>_-* #,##0_-;\-* #,##0_-;_-* "-"??_-;_-@_-</c:formatCode>
                <c:ptCount val="9"/>
                <c:pt idx="0">
                  <c:v>297</c:v>
                </c:pt>
                <c:pt idx="1">
                  <c:v>354</c:v>
                </c:pt>
                <c:pt idx="2">
                  <c:v>182</c:v>
                </c:pt>
                <c:pt idx="3">
                  <c:v>418</c:v>
                </c:pt>
                <c:pt idx="4">
                  <c:v>39</c:v>
                </c:pt>
                <c:pt idx="5">
                  <c:v>12</c:v>
                </c:pt>
                <c:pt idx="6">
                  <c:v>48</c:v>
                </c:pt>
                <c:pt idx="7">
                  <c:v>10</c:v>
                </c:pt>
                <c:pt idx="8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33-4FE5-9A19-2F529D044815}"/>
            </c:ext>
          </c:extLst>
        </c:ser>
        <c:ser>
          <c:idx val="1"/>
          <c:order val="1"/>
          <c:tx>
            <c:strRef>
              <c:f>'8.44'!$K$4</c:f>
              <c:strCache>
                <c:ptCount val="1"/>
                <c:pt idx="0">
                  <c:v>2018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'8.44'!$A$6:$A$14</c:f>
              <c:strCache>
                <c:ptCount val="9"/>
                <c:pt idx="0">
                  <c:v>Neglect</c:v>
                </c:pt>
                <c:pt idx="1">
                  <c:v>Physical Abuse</c:v>
                </c:pt>
                <c:pt idx="2">
                  <c:v>Emotional Abuse</c:v>
                </c:pt>
                <c:pt idx="3">
                  <c:v>Sexual Abuse</c:v>
                </c:pt>
                <c:pt idx="4">
                  <c:v>Bullying</c:v>
                </c:pt>
                <c:pt idx="5">
                  <c:v>Harrasment</c:v>
                </c:pt>
                <c:pt idx="6">
                  <c:v>Witness to Domestic Violence</c:v>
                </c:pt>
                <c:pt idx="7">
                  <c:v>Cyber Bullying</c:v>
                </c:pt>
                <c:pt idx="8">
                  <c:v>Others</c:v>
                </c:pt>
              </c:strCache>
            </c:strRef>
          </c:cat>
          <c:val>
            <c:numRef>
              <c:f>'8.44'!$K$6:$K$14</c:f>
              <c:numCache>
                <c:formatCode>_-* #,##0_-;\-* #,##0_-;_-* "-"??_-;_-@_-</c:formatCode>
                <c:ptCount val="9"/>
                <c:pt idx="0">
                  <c:v>351</c:v>
                </c:pt>
                <c:pt idx="1">
                  <c:v>316</c:v>
                </c:pt>
                <c:pt idx="2">
                  <c:v>113</c:v>
                </c:pt>
                <c:pt idx="3">
                  <c:v>358</c:v>
                </c:pt>
                <c:pt idx="4">
                  <c:v>31</c:v>
                </c:pt>
                <c:pt idx="5">
                  <c:v>27</c:v>
                </c:pt>
                <c:pt idx="6">
                  <c:v>55</c:v>
                </c:pt>
                <c:pt idx="7">
                  <c:v>19</c:v>
                </c:pt>
                <c:pt idx="8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33-4FE5-9A19-2F529D044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"/>
        <c:axId val="139634944"/>
        <c:axId val="139640832"/>
        <c:extLst/>
      </c:barChart>
      <c:catAx>
        <c:axId val="13963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40832"/>
        <c:crosses val="autoZero"/>
        <c:auto val="1"/>
        <c:lblAlgn val="ctr"/>
        <c:lblOffset val="100"/>
        <c:noMultiLvlLbl val="0"/>
      </c:catAx>
      <c:valAx>
        <c:axId val="13964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34944"/>
        <c:crosses val="autoZero"/>
        <c:crossBetween val="between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9701943973346006"/>
          <c:y val="0.24959541642660521"/>
          <c:w val="0.21287635497623553"/>
          <c:h val="6.98762654668166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50204484510758"/>
          <c:y val="0.13720496206606905"/>
          <c:w val="0.85737130176031584"/>
          <c:h val="0.76332886787000098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'8.44'!$B$4:$K$4</c:f>
              <c:numCache>
                <c:formatCode>General_)</c:formatCode>
                <c:ptCount val="10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</c:numCache>
            </c:numRef>
          </c:cat>
          <c:val>
            <c:numRef>
              <c:f>'8.44'!$B$5:$K$5</c:f>
              <c:numCache>
                <c:formatCode>_-* #,##0_-;\-* #,##0_-;_-* "-"??_-;_-@_-</c:formatCode>
                <c:ptCount val="10"/>
                <c:pt idx="0">
                  <c:v>314</c:v>
                </c:pt>
                <c:pt idx="1">
                  <c:v>331</c:v>
                </c:pt>
                <c:pt idx="2">
                  <c:v>485</c:v>
                </c:pt>
                <c:pt idx="3">
                  <c:v>654</c:v>
                </c:pt>
                <c:pt idx="4">
                  <c:v>440</c:v>
                </c:pt>
                <c:pt idx="5">
                  <c:v>624</c:v>
                </c:pt>
                <c:pt idx="6">
                  <c:v>642</c:v>
                </c:pt>
                <c:pt idx="7">
                  <c:v>1095</c:v>
                </c:pt>
                <c:pt idx="8">
                  <c:v>1412</c:v>
                </c:pt>
                <c:pt idx="9">
                  <c:v>1309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A-444A-9767-CF9C1B335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093504"/>
        <c:axId val="117095040"/>
      </c:barChart>
      <c:catAx>
        <c:axId val="117093504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95040"/>
        <c:crosses val="autoZero"/>
        <c:auto val="1"/>
        <c:lblAlgn val="ctr"/>
        <c:lblOffset val="100"/>
        <c:noMultiLvlLbl val="0"/>
      </c:catAx>
      <c:valAx>
        <c:axId val="11709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93504"/>
        <c:crosses val="autoZero"/>
        <c:crossBetween val="between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>
                <a:solidFill>
                  <a:schemeClr val="tx1"/>
                </a:solidFill>
              </a:rPr>
              <a:t>Figure</a:t>
            </a:r>
            <a:r>
              <a:rPr lang="en-US" sz="1050" b="1" baseline="0">
                <a:solidFill>
                  <a:schemeClr val="tx1"/>
                </a:solidFill>
              </a:rPr>
              <a:t> 8.60: </a:t>
            </a:r>
            <a:r>
              <a:rPr lang="en-US" sz="1050" b="1">
                <a:solidFill>
                  <a:schemeClr val="tx1"/>
                </a:solidFill>
              </a:rPr>
              <a:t>Percentage of reported child abuse cases by type, 2018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711761906954607E-2"/>
          <c:y val="0.20602226445832203"/>
          <c:w val="0.81782014090343969"/>
          <c:h val="0.7032428274051950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9A7-4194-955D-A37E85037421}"/>
              </c:ext>
            </c:extLst>
          </c:dPt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9A7-4194-955D-A37E85037421}"/>
              </c:ext>
            </c:extLst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9A7-4194-955D-A37E8503742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9A7-4194-955D-A37E85037421}"/>
              </c:ext>
            </c:extLst>
          </c:dPt>
          <c:dPt>
            <c:idx val="4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9A7-4194-955D-A37E85037421}"/>
              </c:ext>
            </c:extLst>
          </c:dPt>
          <c:dPt>
            <c:idx val="5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9A7-4194-955D-A37E85037421}"/>
              </c:ext>
            </c:extLst>
          </c:dPt>
          <c:dPt>
            <c:idx val="6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9A7-4194-955D-A37E8503742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9A7-4194-955D-A37E85037421}"/>
              </c:ext>
            </c:extLst>
          </c:dPt>
          <c:dPt>
            <c:idx val="8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9A7-4194-955D-A37E85037421}"/>
              </c:ext>
            </c:extLst>
          </c:dPt>
          <c:dLbls>
            <c:dLbl>
              <c:idx val="2"/>
              <c:layout>
                <c:manualLayout>
                  <c:x val="-0.10430839002267574"/>
                  <c:y val="-5.363984674329502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9A7-4194-955D-A37E85037421}"/>
                </c:ext>
              </c:extLst>
            </c:dLbl>
            <c:dLbl>
              <c:idx val="4"/>
              <c:layout>
                <c:manualLayout>
                  <c:x val="8.8435429847678521E-2"/>
                  <c:y val="-7.255144505256473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9A7-4194-955D-A37E85037421}"/>
                </c:ext>
              </c:extLst>
            </c:dLbl>
            <c:dLbl>
              <c:idx val="5"/>
              <c:layout>
                <c:manualLayout>
                  <c:x val="0.11340692450989152"/>
                  <c:y val="-3.841934883811556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9A7-4194-955D-A37E85037421}"/>
                </c:ext>
              </c:extLst>
            </c:dLbl>
            <c:dLbl>
              <c:idx val="6"/>
              <c:layout>
                <c:manualLayout>
                  <c:x val="0.1566962358002835"/>
                  <c:y val="1.15294884858861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9A7-4194-955D-A37E85037421}"/>
                </c:ext>
              </c:extLst>
            </c:dLbl>
            <c:dLbl>
              <c:idx val="7"/>
              <c:layout>
                <c:manualLayout>
                  <c:x val="0.11588705798927272"/>
                  <c:y val="4.942244478130042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9A7-4194-955D-A37E85037421}"/>
                </c:ext>
              </c:extLst>
            </c:dLbl>
            <c:dLbl>
              <c:idx val="8"/>
              <c:layout>
                <c:manualLayout>
                  <c:x val="0.12461736278546705"/>
                  <c:y val="0.14924979168068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9A7-4194-955D-A37E850374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bg1">
                      <a:lumMod val="8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'8.44'!$A$6:$A$14</c:f>
              <c:strCache>
                <c:ptCount val="9"/>
                <c:pt idx="0">
                  <c:v>Neglect</c:v>
                </c:pt>
                <c:pt idx="1">
                  <c:v>Physical Abuse</c:v>
                </c:pt>
                <c:pt idx="2">
                  <c:v>Emotional Abuse</c:v>
                </c:pt>
                <c:pt idx="3">
                  <c:v>Sexual Abuse</c:v>
                </c:pt>
                <c:pt idx="4">
                  <c:v>Bullying</c:v>
                </c:pt>
                <c:pt idx="5">
                  <c:v>Harrasment</c:v>
                </c:pt>
                <c:pt idx="6">
                  <c:v>Witness to Domestic Violence</c:v>
                </c:pt>
                <c:pt idx="7">
                  <c:v>Cyber Bullying</c:v>
                </c:pt>
                <c:pt idx="8">
                  <c:v>Others</c:v>
                </c:pt>
              </c:strCache>
            </c:strRef>
          </c:cat>
          <c:val>
            <c:numRef>
              <c:f>'8.44'!$K$6:$K$14</c:f>
              <c:numCache>
                <c:formatCode>_-* #,##0_-;\-* #,##0_-;_-* "-"??_-;_-@_-</c:formatCode>
                <c:ptCount val="9"/>
                <c:pt idx="0">
                  <c:v>351</c:v>
                </c:pt>
                <c:pt idx="1">
                  <c:v>316</c:v>
                </c:pt>
                <c:pt idx="2">
                  <c:v>113</c:v>
                </c:pt>
                <c:pt idx="3">
                  <c:v>358</c:v>
                </c:pt>
                <c:pt idx="4">
                  <c:v>31</c:v>
                </c:pt>
                <c:pt idx="5">
                  <c:v>27</c:v>
                </c:pt>
                <c:pt idx="6">
                  <c:v>55</c:v>
                </c:pt>
                <c:pt idx="7">
                  <c:v>19</c:v>
                </c:pt>
                <c:pt idx="8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9A7-4194-955D-A37E85037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1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17</xdr:row>
      <xdr:rowOff>38100</xdr:rowOff>
    </xdr:from>
    <xdr:to>
      <xdr:col>6</xdr:col>
      <xdr:colOff>638175</xdr:colOff>
      <xdr:row>36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85725</xdr:colOff>
      <xdr:row>17</xdr:row>
      <xdr:rowOff>41587</xdr:rowOff>
    </xdr:from>
    <xdr:to>
      <xdr:col>12</xdr:col>
      <xdr:colOff>46418</xdr:colOff>
      <xdr:row>36</xdr:row>
      <xdr:rowOff>22537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107949</xdr:colOff>
      <xdr:row>37</xdr:row>
      <xdr:rowOff>123825</xdr:rowOff>
    </xdr:from>
    <xdr:to>
      <xdr:col>10</xdr:col>
      <xdr:colOff>708024</xdr:colOff>
      <xdr:row>58</xdr:row>
      <xdr:rowOff>41275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0.18128</cdr:x>
      <cdr:y>0.02274</cdr:y>
    </cdr:from>
    <cdr:to>
      <cdr:x>0.91746</cdr:x>
      <cdr:y>0.10973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87805" y="71032"/>
          <a:ext cx="4417646" cy="2717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Figure 8.58: Number of child abuse cases reported by type, 2014 - 2018 </a:t>
          </a:r>
          <a:endParaRPr lang="en-US">
            <a:effectLst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0.15793</cdr:x>
      <cdr:y>0.02533</cdr:y>
    </cdr:from>
    <cdr:to>
      <cdr:x>0.83551</cdr:x>
      <cdr:y>0.11598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42976" y="77447"/>
          <a:ext cx="4045828" cy="2771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50" b="1"/>
            <a:t>Figure 8.59:</a:t>
          </a:r>
          <a:r>
            <a:rPr lang="en-US" sz="1050" b="1" baseline="0"/>
            <a:t> Number of Child Abuse cases reported,  2009 - 2018</a:t>
          </a:r>
          <a:endParaRPr lang="en-US" sz="1050" b="1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zoomScaleNormal="100" workbookViewId="0">
      <selection activeCell="A2" sqref="A2:L2"/>
    </sheetView>
  </sheetViews>
  <sheetFormatPr defaultColWidth="9.140625" defaultRowHeight="12.75"/>
  <cols>
    <col min="1" max="1" width="29.85546875" style="2" customWidth="1"/>
    <col min="2" max="11" width="10.7109375" style="2" customWidth="1"/>
    <col min="12" max="12" width="47.28515625" style="2" customWidth="1"/>
    <col min="13" max="13" width="2.42578125" style="2" customWidth="1"/>
    <col min="14" max="16384" width="9.140625" style="2"/>
  </cols>
  <sheetData>
    <row r="1" spans="1:15" ht="18.75">
      <c r="A1" s="22" t="s">
        <v>25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5">
      <c r="A2" s="23" t="s">
        <v>26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O2" s="3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5" ht="18.75">
      <c r="A4" s="4" t="s">
        <v>4</v>
      </c>
      <c r="B4" s="5">
        <v>2009</v>
      </c>
      <c r="C4" s="5">
        <v>2010</v>
      </c>
      <c r="D4" s="5">
        <v>2011</v>
      </c>
      <c r="E4" s="5">
        <v>2012</v>
      </c>
      <c r="F4" s="5">
        <v>2013</v>
      </c>
      <c r="G4" s="5">
        <v>2014</v>
      </c>
      <c r="H4" s="5">
        <v>2015</v>
      </c>
      <c r="I4" s="5">
        <v>2016</v>
      </c>
      <c r="J4" s="5">
        <v>2017</v>
      </c>
      <c r="K4" s="5">
        <v>2018</v>
      </c>
      <c r="L4" s="6" t="s">
        <v>5</v>
      </c>
    </row>
    <row r="5" spans="1:15" s="10" customFormat="1" ht="18.75">
      <c r="A5" s="7" t="s">
        <v>0</v>
      </c>
      <c r="B5" s="8">
        <f t="shared" ref="B5:H5" si="0">SUM(B6:B9)</f>
        <v>314</v>
      </c>
      <c r="C5" s="8">
        <f t="shared" si="0"/>
        <v>331</v>
      </c>
      <c r="D5" s="8">
        <f t="shared" si="0"/>
        <v>485</v>
      </c>
      <c r="E5" s="8">
        <f t="shared" si="0"/>
        <v>654</v>
      </c>
      <c r="F5" s="8">
        <f t="shared" si="0"/>
        <v>440</v>
      </c>
      <c r="G5" s="8">
        <f t="shared" si="0"/>
        <v>624</v>
      </c>
      <c r="H5" s="8">
        <f t="shared" si="0"/>
        <v>642</v>
      </c>
      <c r="I5" s="8">
        <f>SUM(I6:I9)</f>
        <v>1095</v>
      </c>
      <c r="J5" s="8">
        <f>SUM(J6:J14)</f>
        <v>1412</v>
      </c>
      <c r="K5" s="21">
        <f>SUM(K6:K14)</f>
        <v>1309</v>
      </c>
      <c r="L5" s="9" t="s">
        <v>3</v>
      </c>
    </row>
    <row r="6" spans="1:15" s="14" customFormat="1" ht="18.75">
      <c r="A6" s="11" t="s">
        <v>6</v>
      </c>
      <c r="B6" s="12">
        <v>75</v>
      </c>
      <c r="C6" s="12">
        <v>102</v>
      </c>
      <c r="D6" s="12">
        <v>156</v>
      </c>
      <c r="E6" s="12">
        <v>141</v>
      </c>
      <c r="F6" s="12">
        <v>116</v>
      </c>
      <c r="G6" s="12">
        <v>120</v>
      </c>
      <c r="H6" s="12">
        <v>227</v>
      </c>
      <c r="I6" s="12">
        <v>287</v>
      </c>
      <c r="J6" s="12">
        <v>297</v>
      </c>
      <c r="K6" s="12">
        <v>351</v>
      </c>
      <c r="L6" s="13" t="s">
        <v>7</v>
      </c>
    </row>
    <row r="7" spans="1:15" s="14" customFormat="1" ht="18.75">
      <c r="A7" s="11" t="s">
        <v>8</v>
      </c>
      <c r="B7" s="12">
        <v>76</v>
      </c>
      <c r="C7" s="12">
        <v>69</v>
      </c>
      <c r="D7" s="12">
        <v>96</v>
      </c>
      <c r="E7" s="12">
        <v>159</v>
      </c>
      <c r="F7" s="12">
        <v>110</v>
      </c>
      <c r="G7" s="12">
        <v>139</v>
      </c>
      <c r="H7" s="12">
        <v>245</v>
      </c>
      <c r="I7" s="12">
        <v>324</v>
      </c>
      <c r="J7" s="12">
        <v>354</v>
      </c>
      <c r="K7" s="12">
        <v>316</v>
      </c>
      <c r="L7" s="13" t="s">
        <v>9</v>
      </c>
    </row>
    <row r="8" spans="1:15" s="14" customFormat="1" ht="18.75">
      <c r="A8" s="11" t="s">
        <v>10</v>
      </c>
      <c r="B8" s="12">
        <v>30</v>
      </c>
      <c r="C8" s="12">
        <v>93</v>
      </c>
      <c r="D8" s="12">
        <v>146</v>
      </c>
      <c r="E8" s="12">
        <v>59</v>
      </c>
      <c r="F8" s="12">
        <v>170</v>
      </c>
      <c r="G8" s="12">
        <v>65</v>
      </c>
      <c r="H8" s="12">
        <v>72</v>
      </c>
      <c r="I8" s="12">
        <v>142</v>
      </c>
      <c r="J8" s="12">
        <v>182</v>
      </c>
      <c r="K8" s="12">
        <v>113</v>
      </c>
      <c r="L8" s="13" t="s">
        <v>11</v>
      </c>
    </row>
    <row r="9" spans="1:15" s="14" customFormat="1" ht="18.75">
      <c r="A9" s="11" t="s">
        <v>12</v>
      </c>
      <c r="B9" s="12">
        <v>133</v>
      </c>
      <c r="C9" s="12">
        <v>67</v>
      </c>
      <c r="D9" s="12">
        <v>87</v>
      </c>
      <c r="E9" s="12">
        <v>295</v>
      </c>
      <c r="F9" s="12">
        <v>44</v>
      </c>
      <c r="G9" s="12">
        <v>300</v>
      </c>
      <c r="H9" s="12">
        <v>98</v>
      </c>
      <c r="I9" s="12">
        <v>342</v>
      </c>
      <c r="J9" s="12">
        <v>418</v>
      </c>
      <c r="K9" s="12">
        <v>358</v>
      </c>
      <c r="L9" s="13" t="s">
        <v>13</v>
      </c>
    </row>
    <row r="10" spans="1:15" s="14" customFormat="1" ht="21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39</v>
      </c>
      <c r="K10" s="12">
        <v>31</v>
      </c>
      <c r="L10" s="15" t="s">
        <v>15</v>
      </c>
    </row>
    <row r="11" spans="1:15" s="14" customFormat="1" ht="21">
      <c r="A11" s="11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12</v>
      </c>
      <c r="K11" s="12">
        <v>27</v>
      </c>
      <c r="L11" s="15" t="s">
        <v>17</v>
      </c>
    </row>
    <row r="12" spans="1:15" s="14" customFormat="1" ht="21">
      <c r="A12" s="11" t="s">
        <v>18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48</v>
      </c>
      <c r="K12" s="12">
        <v>55</v>
      </c>
      <c r="L12" s="16" t="s">
        <v>19</v>
      </c>
    </row>
    <row r="13" spans="1:15" s="14" customFormat="1" ht="21">
      <c r="A13" s="11" t="s">
        <v>20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10</v>
      </c>
      <c r="K13" s="12">
        <v>19</v>
      </c>
      <c r="L13" s="15" t="s">
        <v>21</v>
      </c>
    </row>
    <row r="14" spans="1:15" s="14" customFormat="1" ht="18.75">
      <c r="A14" s="17" t="s">
        <v>1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8">
        <v>52</v>
      </c>
      <c r="K14" s="18">
        <v>39</v>
      </c>
      <c r="L14" s="19" t="s">
        <v>2</v>
      </c>
    </row>
    <row r="15" spans="1:15" ht="24" customHeight="1">
      <c r="A15" s="24" t="s">
        <v>22</v>
      </c>
      <c r="B15" s="24"/>
      <c r="C15" s="24"/>
      <c r="D15" s="24"/>
      <c r="E15" s="24"/>
      <c r="F15" s="24"/>
      <c r="G15" s="24"/>
      <c r="H15" s="24"/>
      <c r="I15" s="24"/>
      <c r="J15" s="20"/>
      <c r="K15" s="20"/>
      <c r="L15" s="20" t="s">
        <v>23</v>
      </c>
    </row>
    <row r="16" spans="1:15">
      <c r="A16" s="25" t="s">
        <v>24</v>
      </c>
      <c r="B16" s="25"/>
      <c r="C16" s="25"/>
      <c r="D16" s="25"/>
      <c r="E16" s="25"/>
      <c r="F16" s="25"/>
      <c r="G16" s="25"/>
      <c r="H16" s="25"/>
      <c r="I16" s="25"/>
    </row>
  </sheetData>
  <mergeCells count="4">
    <mergeCell ref="A1:L1"/>
    <mergeCell ref="A2:L2"/>
    <mergeCell ref="A15:I15"/>
    <mergeCell ref="A16:I16"/>
  </mergeCells>
  <pageMargins left="0.7" right="0.7" top="0.75" bottom="0.75" header="0.3" footer="0.3"/>
  <pageSetup paperSize="9" scale="45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8.44</vt:lpstr>
      <vt:lpstr>'8.44'!Print_Area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2019-12-15T08:43:35Z</cp:lastPrinted>
  <dcterms:created xsi:type="dcterms:W3CDTF">2019-06-30T04:22:49Z</dcterms:created>
  <dcterms:modified xsi:type="dcterms:W3CDTF">2019-12-15T09:00:28Z</dcterms:modified>
</cp:coreProperties>
</file>