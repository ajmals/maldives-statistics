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24" sheetId="23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'8.24'!$A$1:$R$70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8" i="23" l="1"/>
  <c r="AI31" i="23" s="1"/>
  <c r="P13" i="23"/>
  <c r="AL9" i="23" s="1"/>
  <c r="O13" i="23"/>
  <c r="AH9" i="23" s="1"/>
  <c r="AG19" i="23" s="1"/>
  <c r="N13" i="23"/>
  <c r="M13" i="23"/>
  <c r="L13" i="23"/>
  <c r="L6" i="23" s="1"/>
  <c r="K13" i="23"/>
  <c r="AK9" i="23" s="1"/>
  <c r="AH32" i="23" s="1"/>
  <c r="J13" i="23"/>
  <c r="I13" i="23"/>
  <c r="H13" i="23"/>
  <c r="G13" i="23"/>
  <c r="F13" i="23"/>
  <c r="AJ9" i="23" s="1"/>
  <c r="E13" i="23"/>
  <c r="AF9" i="23" s="1"/>
  <c r="D13" i="23"/>
  <c r="D6" i="23" s="1"/>
  <c r="C13" i="23"/>
  <c r="B13" i="23"/>
  <c r="AI9" i="23"/>
  <c r="AG9" i="23"/>
  <c r="AH26" i="23" s="1"/>
  <c r="AE9" i="23"/>
  <c r="AE8" i="23"/>
  <c r="P7" i="23"/>
  <c r="P6" i="23" s="1"/>
  <c r="AL7" i="23" s="1"/>
  <c r="O7" i="23"/>
  <c r="AH8" i="23" s="1"/>
  <c r="N7" i="23"/>
  <c r="M7" i="23"/>
  <c r="L7" i="23"/>
  <c r="K7" i="23"/>
  <c r="AK8" i="23" s="1"/>
  <c r="J7" i="23"/>
  <c r="AG8" i="23" s="1"/>
  <c r="I7" i="23"/>
  <c r="I6" i="23" s="1"/>
  <c r="H7" i="23"/>
  <c r="H6" i="23" s="1"/>
  <c r="G7" i="23"/>
  <c r="G6" i="23" s="1"/>
  <c r="F7" i="23"/>
  <c r="AJ8" i="23" s="1"/>
  <c r="E7" i="23"/>
  <c r="AF8" i="23" s="1"/>
  <c r="D7" i="23"/>
  <c r="C7" i="23"/>
  <c r="B7" i="23"/>
  <c r="AI8" i="23"/>
  <c r="O6" i="23"/>
  <c r="AH7" i="23" s="1"/>
  <c r="AI24" i="23" s="1"/>
  <c r="N6" i="23"/>
  <c r="B6" i="23"/>
  <c r="AE7" i="23"/>
  <c r="C6" i="23" l="1"/>
  <c r="K6" i="23"/>
  <c r="AK7" i="23" s="1"/>
  <c r="AH30" i="23" s="1"/>
  <c r="J6" i="23"/>
  <c r="AG7" i="23" s="1"/>
  <c r="AH18" i="23"/>
  <c r="AI32" i="23"/>
  <c r="AH19" i="23"/>
  <c r="AH17" i="23"/>
  <c r="AI30" i="23"/>
  <c r="AG18" i="23"/>
  <c r="AI25" i="23"/>
  <c r="M6" i="23"/>
  <c r="F6" i="23"/>
  <c r="AJ7" i="23" s="1"/>
  <c r="AG17" i="23"/>
  <c r="AI26" i="23"/>
  <c r="AI7" i="23"/>
  <c r="AH25" i="23"/>
  <c r="AH31" i="23"/>
  <c r="AH24" i="23"/>
  <c r="E6" i="23"/>
  <c r="AF7" i="23" s="1"/>
</calcChain>
</file>

<file path=xl/sharedStrings.xml><?xml version="1.0" encoding="utf-8"?>
<sst xmlns="http://schemas.openxmlformats.org/spreadsheetml/2006/main" count="112" uniqueCount="76">
  <si>
    <t>މާލެ</t>
  </si>
  <si>
    <t>Republic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</si>
  <si>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</si>
  <si>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</si>
  <si>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</si>
  <si>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</si>
  <si>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</si>
  <si>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</si>
  <si>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</si>
  <si>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</si>
  <si>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</si>
  <si>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</si>
  <si>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</si>
  <si>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</si>
  <si>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</si>
  <si>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</si>
  <si>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</si>
  <si>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</si>
  <si>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</si>
  <si>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</si>
  <si>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</si>
  <si>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</si>
  <si>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</si>
  <si>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ޖުމްލަ</t>
  </si>
  <si>
    <t>Drug court</t>
  </si>
  <si>
    <t>Juvenile court</t>
  </si>
  <si>
    <t>Family court</t>
  </si>
  <si>
    <t>Criminal court</t>
  </si>
  <si>
    <t>Civil court</t>
  </si>
  <si>
    <t>Source: Department of Judicial Administration</t>
  </si>
  <si>
    <t>cnwxErcTcsinimcDea clwxiDuj cfoa cTcnwmcTWpiD : utWmUluAwm</t>
  </si>
  <si>
    <t xml:space="preserve">Civil Cases </t>
  </si>
  <si>
    <t>HulhuMale' Court</t>
  </si>
  <si>
    <t xml:space="preserve">Criminal Cases </t>
  </si>
  <si>
    <t>Family Cases</t>
  </si>
  <si>
    <t>އަތޮޅޮތައް</t>
  </si>
  <si>
    <t>Marriage</t>
  </si>
  <si>
    <t>Divorce</t>
  </si>
  <si>
    <t>އާއިލީ މައްސަލަ</t>
  </si>
  <si>
    <t>ކައިވެނި</t>
  </si>
  <si>
    <t>ވަރި</t>
  </si>
  <si>
    <t>ޖިނާއީ މައްސަލަ</t>
  </si>
  <si>
    <t>މަދަނީ މައްސަލަ</t>
  </si>
  <si>
    <t xml:space="preserve">Marriage       </t>
  </si>
  <si>
    <t xml:space="preserve"> Divorce              </t>
  </si>
  <si>
    <t xml:space="preserve"> Republic</t>
  </si>
  <si>
    <t xml:space="preserve"> Male'</t>
  </si>
  <si>
    <t>ޖުވެނައިލް ކޯޓް</t>
  </si>
  <si>
    <t>ފެމިލީކޯޓް</t>
  </si>
  <si>
    <t xml:space="preserve"> Atolls</t>
  </si>
  <si>
    <t>ކްރިމިނަލްކޯޓް</t>
  </si>
  <si>
    <t>ސިވިލް ކޯޓް</t>
  </si>
  <si>
    <t>ޑްރަގް ކޯޓް</t>
  </si>
  <si>
    <t>ހުޅުމާލޭ ކޯޓް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</si>
  <si>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</si>
  <si>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</si>
  <si>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</si>
  <si>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</si>
  <si>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</si>
  <si>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</si>
  <si>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</si>
  <si>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</si>
  <si>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</si>
  <si>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</si>
  <si>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</si>
  <si>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</si>
  <si>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</si>
  <si>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</si>
  <si>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</si>
  <si>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</si>
  <si>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</si>
  <si>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</si>
  <si>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</si>
  <si>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</si>
  <si>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Table 8.24: SUMMARY OF ALL NEW CASES FILED IN COURTS IN MALE' AND ATOLLS, 2016 - 2018</t>
  </si>
  <si>
    <t xml:space="preserve">ތާވަލް 8.24: މާލެއާއި ރަށްރަށުގެ ކޯޓުތަކަށް ހުށައެޅިފައިވާ މައްސަލަތައް، 2016 -2018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</si>
</sst>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0"/>
      <name val="Faruma"/>
    </font>
    <font>
      <sz val="10"/>
      <name val="Faruma"/>
    </font>
    <font>
      <sz val="48"/>
      <color rgb="FFFF0000"/>
      <name val="Calibri"/>
      <family val="2"/>
      <scheme val="minor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 style="hair">
        <color indexed="64"/>
      </left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/>
      <bottom/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9"/>
      </bottom>
      <diagonal/>
    </border>
    <border>
      <left/>
      <right/>
      <top style="thin">
        <color theme="0"/>
      </top>
      <bottom style="thin">
        <color indexed="9"/>
      </bottom>
      <diagonal/>
    </border>
    <border>
      <left/>
      <right style="thin">
        <color theme="0"/>
      </right>
      <top style="thin">
        <color theme="0"/>
      </top>
      <bottom style="thin">
        <color indexed="9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12" fillId="0" borderId="45" applyNumberFormat="0" applyFill="0" applyAlignment="0" applyProtection="0"/>
    <xf numFmtId="0" fontId="8" fillId="0" borderId="0"/>
  </cellStyleXfs>
  <cellXfs count="97">
    <xf numFmtId="0" fontId="0" fillId="0" borderId="0" xfId="0"/>
    <xf numFmtId="3" fontId="3" fillId="2" borderId="0" xfId="1" applyNumberFormat="1" applyFont="1" applyFill="1" applyBorder="1" applyAlignment="1">
      <alignment horizontal="right" vertical="center"/>
    </xf>
    <xf numFmtId="164" fontId="4" fillId="2" borderId="5" xfId="0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vertical="top"/>
    </xf>
    <xf numFmtId="164" fontId="3" fillId="2" borderId="0" xfId="0" applyNumberFormat="1" applyFont="1" applyFill="1" applyBorder="1" applyAlignment="1">
      <alignment vertical="center"/>
    </xf>
    <xf numFmtId="164" fontId="3" fillId="2" borderId="12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34" xfId="0" applyNumberFormat="1" applyFont="1" applyFill="1" applyBorder="1" applyAlignment="1">
      <alignment horizontal="right" vertical="center" wrapText="1"/>
    </xf>
    <xf numFmtId="164" fontId="2" fillId="2" borderId="12" xfId="0" applyNumberFormat="1" applyFont="1" applyFill="1" applyBorder="1" applyAlignment="1">
      <alignment horizontal="right" vertical="center" wrapText="1"/>
    </xf>
    <xf numFmtId="164" fontId="2" fillId="2" borderId="16" xfId="0" applyNumberFormat="1" applyFont="1" applyFill="1" applyBorder="1" applyAlignment="1">
      <alignment horizontal="right" vertical="center" wrapText="1"/>
    </xf>
    <xf numFmtId="164" fontId="2" fillId="2" borderId="7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right" vertical="center" wrapText="1"/>
    </xf>
    <xf numFmtId="164" fontId="2" fillId="2" borderId="33" xfId="0" applyNumberFormat="1" applyFont="1" applyFill="1" applyBorder="1" applyAlignment="1">
      <alignment horizontal="right" vertical="center" wrapText="1"/>
    </xf>
    <xf numFmtId="164" fontId="3" fillId="2" borderId="14" xfId="0" applyNumberFormat="1" applyFont="1" applyFill="1" applyBorder="1" applyAlignment="1">
      <alignment vertical="center"/>
    </xf>
    <xf numFmtId="164" fontId="3" fillId="2" borderId="9" xfId="0" applyNumberFormat="1" applyFont="1" applyFill="1" applyBorder="1" applyAlignment="1">
      <alignment vertical="center"/>
    </xf>
    <xf numFmtId="164" fontId="9" fillId="2" borderId="19" xfId="0" applyNumberFormat="1" applyFont="1" applyFill="1" applyBorder="1" applyAlignment="1">
      <alignment horizontal="right" vertical="center"/>
    </xf>
    <xf numFmtId="164" fontId="9" fillId="2" borderId="10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horizontal="right" vertical="center"/>
    </xf>
    <xf numFmtId="164" fontId="9" fillId="2" borderId="15" xfId="0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4" fontId="3" fillId="2" borderId="9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 applyProtection="1">
      <alignment horizontal="left" vertical="center" indent="1"/>
    </xf>
    <xf numFmtId="3" fontId="2" fillId="2" borderId="25" xfId="1" applyNumberFormat="1" applyFont="1" applyFill="1" applyBorder="1" applyAlignment="1">
      <alignment horizontal="right" vertical="center"/>
    </xf>
    <xf numFmtId="3" fontId="2" fillId="2" borderId="36" xfId="1" applyNumberFormat="1" applyFont="1" applyFill="1" applyBorder="1" applyAlignment="1">
      <alignment horizontal="right" vertical="center"/>
    </xf>
    <xf numFmtId="3" fontId="2" fillId="2" borderId="1" xfId="1" applyNumberFormat="1" applyFont="1" applyFill="1" applyBorder="1" applyAlignment="1">
      <alignment horizontal="right" vertical="center"/>
    </xf>
    <xf numFmtId="3" fontId="2" fillId="2" borderId="7" xfId="1" applyNumberFormat="1" applyFont="1" applyFill="1" applyBorder="1" applyAlignment="1">
      <alignment horizontal="right" vertical="center"/>
    </xf>
    <xf numFmtId="3" fontId="2" fillId="2" borderId="37" xfId="1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left" vertical="center"/>
    </xf>
    <xf numFmtId="164" fontId="2" fillId="2" borderId="5" xfId="0" applyNumberFormat="1" applyFont="1" applyFill="1" applyBorder="1" applyAlignment="1" applyProtection="1">
      <alignment horizontal="left" vertical="center"/>
    </xf>
    <xf numFmtId="164" fontId="3" fillId="2" borderId="24" xfId="0" applyNumberFormat="1" applyFont="1" applyFill="1" applyBorder="1" applyAlignment="1">
      <alignment horizontal="left" vertical="center"/>
    </xf>
    <xf numFmtId="3" fontId="2" fillId="2" borderId="26" xfId="1" applyNumberFormat="1" applyFont="1" applyFill="1" applyBorder="1" applyAlignment="1">
      <alignment horizontal="right" vertical="center"/>
    </xf>
    <xf numFmtId="3" fontId="2" fillId="2" borderId="38" xfId="1" applyNumberFormat="1" applyFont="1" applyFill="1" applyBorder="1" applyAlignment="1">
      <alignment horizontal="right" vertical="center"/>
    </xf>
    <xf numFmtId="3" fontId="2" fillId="2" borderId="39" xfId="1" applyNumberFormat="1" applyFont="1" applyFill="1" applyBorder="1" applyAlignment="1">
      <alignment horizontal="right" vertical="center"/>
    </xf>
    <xf numFmtId="164" fontId="9" fillId="2" borderId="24" xfId="0" applyNumberFormat="1" applyFont="1" applyFill="1" applyBorder="1" applyAlignment="1">
      <alignment horizontal="right" vertical="center"/>
    </xf>
    <xf numFmtId="164" fontId="3" fillId="2" borderId="24" xfId="0" applyNumberFormat="1" applyFont="1" applyFill="1" applyBorder="1" applyAlignment="1" applyProtection="1">
      <alignment horizontal="left" vertical="center" indent="2"/>
    </xf>
    <xf numFmtId="3" fontId="3" fillId="2" borderId="24" xfId="1" applyNumberFormat="1" applyFont="1" applyFill="1" applyBorder="1" applyAlignment="1">
      <alignment horizontal="right" vertical="center"/>
    </xf>
    <xf numFmtId="3" fontId="3" fillId="2" borderId="38" xfId="1" applyNumberFormat="1" applyFont="1" applyFill="1" applyBorder="1" applyAlignment="1">
      <alignment horizontal="right" vertical="center"/>
    </xf>
    <xf numFmtId="3" fontId="3" fillId="2" borderId="26" xfId="1" applyNumberFormat="1" applyFont="1" applyFill="1" applyBorder="1" applyAlignment="1">
      <alignment horizontal="right" vertical="center"/>
    </xf>
    <xf numFmtId="3" fontId="3" fillId="2" borderId="23" xfId="1" applyNumberFormat="1" applyFont="1" applyFill="1" applyBorder="1" applyAlignment="1">
      <alignment horizontal="right" vertical="center"/>
    </xf>
    <xf numFmtId="3" fontId="3" fillId="2" borderId="7" xfId="1" applyNumberFormat="1" applyFont="1" applyFill="1" applyBorder="1" applyAlignment="1">
      <alignment horizontal="right" vertical="center"/>
    </xf>
    <xf numFmtId="164" fontId="10" fillId="2" borderId="24" xfId="0" applyNumberFormat="1" applyFont="1" applyFill="1" applyBorder="1" applyAlignment="1">
      <alignment horizontal="right" vertical="center" indent="1"/>
    </xf>
    <xf numFmtId="164" fontId="2" fillId="2" borderId="24" xfId="0" applyNumberFormat="1" applyFont="1" applyFill="1" applyBorder="1" applyAlignment="1" applyProtection="1">
      <alignment horizontal="left" vertical="center"/>
    </xf>
    <xf numFmtId="164" fontId="2" fillId="2" borderId="24" xfId="0" applyNumberFormat="1" applyFont="1" applyFill="1" applyBorder="1" applyAlignment="1" applyProtection="1">
      <alignment horizontal="left" vertical="center" indent="1"/>
    </xf>
    <xf numFmtId="164" fontId="10" fillId="2" borderId="24" xfId="0" applyNumberFormat="1" applyFont="1" applyFill="1" applyBorder="1" applyAlignment="1">
      <alignment horizontal="right" vertical="center" indent="2"/>
    </xf>
    <xf numFmtId="164" fontId="3" fillId="2" borderId="28" xfId="0" applyNumberFormat="1" applyFont="1" applyFill="1" applyBorder="1" applyAlignment="1" applyProtection="1">
      <alignment horizontal="left" vertical="center" indent="2"/>
    </xf>
    <xf numFmtId="3" fontId="3" fillId="2" borderId="28" xfId="1" applyNumberFormat="1" applyFont="1" applyFill="1" applyBorder="1" applyAlignment="1">
      <alignment horizontal="right" vertical="center"/>
    </xf>
    <xf numFmtId="3" fontId="3" fillId="2" borderId="40" xfId="1" applyNumberFormat="1" applyFont="1" applyFill="1" applyBorder="1" applyAlignment="1">
      <alignment horizontal="right" vertical="center"/>
    </xf>
    <xf numFmtId="3" fontId="3" fillId="2" borderId="41" xfId="1" applyNumberFormat="1" applyFont="1" applyFill="1" applyBorder="1" applyAlignment="1">
      <alignment horizontal="right" vertical="center"/>
    </xf>
    <xf numFmtId="3" fontId="3" fillId="2" borderId="6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164" fontId="10" fillId="2" borderId="28" xfId="0" applyNumberFormat="1" applyFont="1" applyFill="1" applyBorder="1" applyAlignment="1">
      <alignment horizontal="right" vertical="center" indent="2"/>
    </xf>
    <xf numFmtId="164" fontId="7" fillId="2" borderId="5" xfId="0" applyNumberFormat="1" applyFont="1" applyFill="1" applyBorder="1" applyAlignment="1" applyProtection="1">
      <alignment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24" xfId="0" applyNumberFormat="1" applyFont="1" applyFill="1" applyBorder="1" applyAlignment="1">
      <alignment vertical="center"/>
    </xf>
    <xf numFmtId="164" fontId="3" fillId="2" borderId="24" xfId="0" applyNumberFormat="1" applyFont="1" applyFill="1" applyBorder="1" applyAlignment="1">
      <alignment horizontal="right" vertical="center"/>
    </xf>
    <xf numFmtId="164" fontId="10" fillId="2" borderId="24" xfId="0" applyNumberFormat="1" applyFont="1" applyFill="1" applyBorder="1" applyAlignment="1">
      <alignment vertical="center"/>
    </xf>
    <xf numFmtId="164" fontId="3" fillId="2" borderId="24" xfId="0" applyNumberFormat="1" applyFont="1" applyFill="1" applyBorder="1" applyAlignment="1" applyProtection="1">
      <alignment horizontal="left" vertical="center"/>
    </xf>
    <xf numFmtId="164" fontId="11" fillId="2" borderId="11" xfId="0" applyNumberFormat="1" applyFont="1" applyFill="1" applyBorder="1" applyAlignment="1">
      <alignment vertical="center"/>
    </xf>
    <xf numFmtId="164" fontId="11" fillId="2" borderId="27" xfId="0" applyNumberFormat="1" applyFont="1" applyFill="1" applyBorder="1" applyAlignment="1">
      <alignment vertical="center"/>
    </xf>
    <xf numFmtId="164" fontId="3" fillId="2" borderId="20" xfId="0" applyNumberFormat="1" applyFont="1" applyFill="1" applyBorder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1" fillId="2" borderId="37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vertical="center"/>
    </xf>
    <xf numFmtId="164" fontId="3" fillId="2" borderId="23" xfId="0" applyNumberFormat="1" applyFont="1" applyFill="1" applyBorder="1" applyAlignment="1">
      <alignment vertical="center"/>
    </xf>
    <xf numFmtId="164" fontId="3" fillId="2" borderId="26" xfId="0" applyNumberFormat="1" applyFont="1" applyFill="1" applyBorder="1" applyAlignment="1">
      <alignment vertical="center"/>
    </xf>
    <xf numFmtId="164" fontId="3" fillId="2" borderId="20" xfId="0" applyNumberFormat="1" applyFont="1" applyFill="1" applyBorder="1" applyAlignment="1" applyProtection="1">
      <alignment horizontal="left" vertical="center"/>
    </xf>
    <xf numFmtId="3" fontId="3" fillId="2" borderId="27" xfId="1" applyNumberFormat="1" applyFont="1" applyFill="1" applyBorder="1" applyAlignment="1">
      <alignment horizontal="right" vertical="center"/>
    </xf>
    <xf numFmtId="3" fontId="3" fillId="2" borderId="20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2" fillId="2" borderId="0" xfId="0" applyNumberFormat="1" applyFont="1" applyFill="1" applyBorder="1" applyAlignment="1" applyProtection="1">
      <alignment horizontal="left" vertical="center"/>
    </xf>
    <xf numFmtId="3" fontId="3" fillId="2" borderId="37" xfId="1" applyNumberFormat="1" applyFont="1" applyFill="1" applyBorder="1" applyAlignment="1">
      <alignment horizontal="right" vertical="center"/>
    </xf>
    <xf numFmtId="3" fontId="3" fillId="2" borderId="22" xfId="1" applyNumberFormat="1" applyFont="1" applyFill="1" applyBorder="1" applyAlignment="1">
      <alignment horizontal="right" vertical="center"/>
    </xf>
    <xf numFmtId="164" fontId="2" fillId="2" borderId="29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horizontal="right" vertical="center"/>
    </xf>
    <xf numFmtId="164" fontId="2" fillId="2" borderId="13" xfId="0" applyNumberFormat="1" applyFont="1" applyFill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center" vertical="center" wrapText="1"/>
    </xf>
    <xf numFmtId="164" fontId="2" fillId="2" borderId="17" xfId="0" applyNumberFormat="1" applyFont="1" applyFill="1" applyBorder="1" applyAlignment="1">
      <alignment horizontal="center" vertical="center" wrapText="1"/>
    </xf>
    <xf numFmtId="164" fontId="2" fillId="2" borderId="42" xfId="0" applyNumberFormat="1" applyFont="1" applyFill="1" applyBorder="1" applyAlignment="1">
      <alignment horizontal="center" vertical="center" wrapText="1"/>
    </xf>
    <xf numFmtId="164" fontId="2" fillId="2" borderId="43" xfId="0" applyNumberFormat="1" applyFont="1" applyFill="1" applyBorder="1" applyAlignment="1">
      <alignment horizontal="center" vertical="center" wrapText="1"/>
    </xf>
    <xf numFmtId="164" fontId="2" fillId="2" borderId="44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 applyProtection="1">
      <alignment horizontal="center" vertical="top" wrapText="1"/>
    </xf>
    <xf numFmtId="164" fontId="2" fillId="2" borderId="3" xfId="0" applyNumberFormat="1" applyFont="1" applyFill="1" applyBorder="1" applyAlignment="1" applyProtection="1">
      <alignment horizontal="center" vertical="top" wrapText="1"/>
    </xf>
    <xf numFmtId="164" fontId="2" fillId="2" borderId="30" xfId="0" applyNumberFormat="1" applyFont="1" applyFill="1" applyBorder="1" applyAlignment="1">
      <alignment horizontal="left" vertical="center"/>
    </xf>
    <xf numFmtId="164" fontId="2" fillId="2" borderId="33" xfId="0" applyNumberFormat="1" applyFont="1" applyFill="1" applyBorder="1" applyAlignment="1">
      <alignment horizontal="left" vertical="center"/>
    </xf>
    <xf numFmtId="164" fontId="2" fillId="2" borderId="35" xfId="0" applyNumberFormat="1" applyFont="1" applyFill="1" applyBorder="1" applyAlignment="1">
      <alignment horizontal="left" vertical="center"/>
    </xf>
    <xf numFmtId="164" fontId="2" fillId="2" borderId="31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+mj-lt"/>
              </a:defRPr>
            </a:pPr>
            <a:r>
              <a:rPr lang="en-US" sz="1000">
                <a:latin typeface="+mj-lt"/>
              </a:rPr>
              <a:t>Figure 8.36:  Number</a:t>
            </a:r>
            <a:r>
              <a:rPr lang="en-US" sz="1000" baseline="0">
                <a:latin typeface="+mj-lt"/>
              </a:rPr>
              <a:t> of </a:t>
            </a:r>
            <a:r>
              <a:rPr lang="en-US" sz="1000">
                <a:latin typeface="+mj-lt"/>
              </a:rPr>
              <a:t>New cases filed at majistrate courts in islands, 2018 </a:t>
            </a:r>
          </a:p>
        </c:rich>
      </c:tx>
      <c:layout>
        <c:manualLayout>
          <c:xMode val="edge"/>
          <c:yMode val="edge"/>
          <c:x val="0.16469654754694124"/>
          <c:y val="1.9406486735439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334347975922128"/>
          <c:y val="0.12385425780110819"/>
          <c:w val="0.85247655482802243"/>
          <c:h val="0.74567048825737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'8.24'!$L$4</c:f>
              <c:strCache>
                <c:ptCount val="1"/>
                <c:pt idx="0">
                  <c:v>Criminal Cases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'8.24'!$A$15:$A$34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'8.24'!$L$15:$L$34</c:f>
              <c:numCache>
                <c:formatCode>#,##0</c:formatCode>
                <c:ptCount val="20"/>
                <c:pt idx="0">
                  <c:v>51</c:v>
                </c:pt>
                <c:pt idx="1">
                  <c:v>71</c:v>
                </c:pt>
                <c:pt idx="2">
                  <c:v>21</c:v>
                </c:pt>
                <c:pt idx="3">
                  <c:v>34</c:v>
                </c:pt>
                <c:pt idx="4">
                  <c:v>70</c:v>
                </c:pt>
                <c:pt idx="5">
                  <c:v>36</c:v>
                </c:pt>
                <c:pt idx="6">
                  <c:v>72</c:v>
                </c:pt>
                <c:pt idx="7">
                  <c:v>207</c:v>
                </c:pt>
                <c:pt idx="8">
                  <c:v>16</c:v>
                </c:pt>
                <c:pt idx="9">
                  <c:v>27</c:v>
                </c:pt>
                <c:pt idx="10">
                  <c:v>3</c:v>
                </c:pt>
                <c:pt idx="11">
                  <c:v>13</c:v>
                </c:pt>
                <c:pt idx="12">
                  <c:v>6</c:v>
                </c:pt>
                <c:pt idx="13">
                  <c:v>18</c:v>
                </c:pt>
                <c:pt idx="14">
                  <c:v>26</c:v>
                </c:pt>
                <c:pt idx="15">
                  <c:v>124</c:v>
                </c:pt>
                <c:pt idx="16">
                  <c:v>113</c:v>
                </c:pt>
                <c:pt idx="17">
                  <c:v>126</c:v>
                </c:pt>
                <c:pt idx="18">
                  <c:v>164</c:v>
                </c:pt>
                <c:pt idx="19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20B-A5AC-847FF7EE6115}"/>
            </c:ext>
          </c:extLst>
        </c:ser>
        <c:ser>
          <c:idx val="1"/>
          <c:order val="1"/>
          <c:tx>
            <c:strRef>
              <c:f>'8.24'!$M$4</c:f>
              <c:strCache>
                <c:ptCount val="1"/>
                <c:pt idx="0">
                  <c:v>Civil Cases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'8.24'!$A$15:$A$34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'8.24'!$M$15:$M$34</c:f>
              <c:numCache>
                <c:formatCode>#,##0</c:formatCode>
                <c:ptCount val="20"/>
                <c:pt idx="0">
                  <c:v>62</c:v>
                </c:pt>
                <c:pt idx="1">
                  <c:v>95</c:v>
                </c:pt>
                <c:pt idx="2">
                  <c:v>52</c:v>
                </c:pt>
                <c:pt idx="3">
                  <c:v>59</c:v>
                </c:pt>
                <c:pt idx="4">
                  <c:v>142</c:v>
                </c:pt>
                <c:pt idx="5">
                  <c:v>47</c:v>
                </c:pt>
                <c:pt idx="6">
                  <c:v>70</c:v>
                </c:pt>
                <c:pt idx="7">
                  <c:v>112</c:v>
                </c:pt>
                <c:pt idx="8">
                  <c:v>87</c:v>
                </c:pt>
                <c:pt idx="9">
                  <c:v>81</c:v>
                </c:pt>
                <c:pt idx="10">
                  <c:v>17</c:v>
                </c:pt>
                <c:pt idx="11">
                  <c:v>30</c:v>
                </c:pt>
                <c:pt idx="12">
                  <c:v>53</c:v>
                </c:pt>
                <c:pt idx="13">
                  <c:v>45</c:v>
                </c:pt>
                <c:pt idx="14">
                  <c:v>80</c:v>
                </c:pt>
                <c:pt idx="15">
                  <c:v>116</c:v>
                </c:pt>
                <c:pt idx="16">
                  <c:v>189</c:v>
                </c:pt>
                <c:pt idx="17">
                  <c:v>147</c:v>
                </c:pt>
                <c:pt idx="18">
                  <c:v>82</c:v>
                </c:pt>
                <c:pt idx="19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0-420B-A5AC-847FF7EE6115}"/>
            </c:ext>
          </c:extLst>
        </c:ser>
        <c:ser>
          <c:idx val="2"/>
          <c:order val="2"/>
          <c:tx>
            <c:strRef>
              <c:f>'8.24'!$N$4</c:f>
              <c:strCache>
                <c:ptCount val="1"/>
                <c:pt idx="0">
                  <c:v>Family Cases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'8.24'!$A$15:$A$34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'8.24'!$N$15:$N$34</c:f>
              <c:numCache>
                <c:formatCode>#,##0</c:formatCode>
                <c:ptCount val="20"/>
                <c:pt idx="0">
                  <c:v>253</c:v>
                </c:pt>
                <c:pt idx="1">
                  <c:v>497</c:v>
                </c:pt>
                <c:pt idx="2">
                  <c:v>254</c:v>
                </c:pt>
                <c:pt idx="3">
                  <c:v>319</c:v>
                </c:pt>
                <c:pt idx="4">
                  <c:v>415</c:v>
                </c:pt>
                <c:pt idx="5">
                  <c:v>275</c:v>
                </c:pt>
                <c:pt idx="6">
                  <c:v>320</c:v>
                </c:pt>
                <c:pt idx="7">
                  <c:v>358</c:v>
                </c:pt>
                <c:pt idx="8">
                  <c:v>239</c:v>
                </c:pt>
                <c:pt idx="9">
                  <c:v>306</c:v>
                </c:pt>
                <c:pt idx="10">
                  <c:v>56</c:v>
                </c:pt>
                <c:pt idx="11">
                  <c:v>136</c:v>
                </c:pt>
                <c:pt idx="12">
                  <c:v>143</c:v>
                </c:pt>
                <c:pt idx="13">
                  <c:v>126</c:v>
                </c:pt>
                <c:pt idx="14">
                  <c:v>264</c:v>
                </c:pt>
                <c:pt idx="15">
                  <c:v>482</c:v>
                </c:pt>
                <c:pt idx="16">
                  <c:v>430</c:v>
                </c:pt>
                <c:pt idx="17">
                  <c:v>483</c:v>
                </c:pt>
                <c:pt idx="18">
                  <c:v>385</c:v>
                </c:pt>
                <c:pt idx="19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0-420B-A5AC-847FF7EE6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129485056"/>
        <c:axId val="129490944"/>
      </c:barChart>
      <c:catAx>
        <c:axId val="12948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29490944"/>
        <c:crosses val="autoZero"/>
        <c:auto val="1"/>
        <c:lblAlgn val="ctr"/>
        <c:lblOffset val="100"/>
        <c:noMultiLvlLbl val="0"/>
      </c:catAx>
      <c:valAx>
        <c:axId val="12949094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598429362739381E-2"/>
              <c:y val="0.3265941236512103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2948505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4628118467887009"/>
          <c:y val="0.18050009789838414"/>
          <c:w val="0.52101036358996089"/>
          <c:h val="8.799474605618945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</a:t>
            </a:r>
            <a:r>
              <a:rPr lang="en-US" sz="1100" baseline="0">
                <a:latin typeface="+mn-lt"/>
              </a:rPr>
              <a:t> 8.37: </a:t>
            </a:r>
            <a:r>
              <a:rPr lang="en-US" sz="1100">
                <a:latin typeface="+mn-lt"/>
              </a:rPr>
              <a:t>Number of Marriage</a:t>
            </a:r>
            <a:r>
              <a:rPr lang="en-US" sz="1100" baseline="0">
                <a:latin typeface="+mn-lt"/>
              </a:rPr>
              <a:t> and Divorce by locality, 2018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8525723307037212"/>
          <c:y val="3.06726440216870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065235560638719"/>
          <c:y val="0.14850721784777027"/>
          <c:w val="0.85138745924915815"/>
          <c:h val="0.68142115447247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'8.24'!$AF$17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'8.24'!$AG$16:$AH$16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'8.24'!$AG$17:$AH$17</c:f>
              <c:numCache>
                <c:formatCode>General_)</c:formatCode>
                <c:ptCount val="2"/>
                <c:pt idx="0">
                  <c:v>5178</c:v>
                </c:pt>
                <c:pt idx="1">
                  <c:v>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4-4935-BC22-2CE3A370D583}"/>
            </c:ext>
          </c:extLst>
        </c:ser>
        <c:ser>
          <c:idx val="1"/>
          <c:order val="1"/>
          <c:tx>
            <c:strRef>
              <c:f>'8.24'!$AF$18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'8.24'!$AG$16:$AH$16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'8.24'!$AG$18:$AH$18</c:f>
              <c:numCache>
                <c:formatCode>General_)</c:formatCode>
                <c:ptCount val="2"/>
                <c:pt idx="0">
                  <c:v>2191</c:v>
                </c:pt>
                <c:pt idx="1">
                  <c:v>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44-4935-BC22-2CE3A370D583}"/>
            </c:ext>
          </c:extLst>
        </c:ser>
        <c:ser>
          <c:idx val="2"/>
          <c:order val="2"/>
          <c:tx>
            <c:strRef>
              <c:f>'8.24'!$AF$19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'8.24'!$AG$16:$AH$16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'8.24'!$AG$19:$AH$19</c:f>
              <c:numCache>
                <c:formatCode>General_)</c:formatCode>
                <c:ptCount val="2"/>
                <c:pt idx="0">
                  <c:v>2987</c:v>
                </c:pt>
                <c:pt idx="1">
                  <c:v>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44-4935-BC22-2CE3A370D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522688"/>
        <c:axId val="129536768"/>
      </c:barChart>
      <c:catAx>
        <c:axId val="129522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9536768"/>
        <c:crosses val="autoZero"/>
        <c:auto val="1"/>
        <c:lblAlgn val="ctr"/>
        <c:lblOffset val="100"/>
        <c:noMultiLvlLbl val="0"/>
      </c:catAx>
      <c:valAx>
        <c:axId val="12953676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6.3391442155309114E-3"/>
              <c:y val="0.3447010790317876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295226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6374997005929347"/>
          <c:y val="0.21464421114027538"/>
          <c:w val="0.36261734035070908"/>
          <c:h val="7.522564887722368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8.39: Number of Divorces by locality, 2015 - 2018</a:t>
            </a:r>
          </a:p>
        </c:rich>
      </c:tx>
      <c:layout>
        <c:manualLayout>
          <c:xMode val="edge"/>
          <c:yMode val="edge"/>
          <c:x val="0.2490083229727863"/>
          <c:y val="1.90739991493158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'8.24'!$AE$30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multiLvlStrRef>
              <c:f>'8.24'!$AF$28:$AI$29</c:f>
              <c:multiLvlStrCache>
                <c:ptCount val="4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'8.24'!$AF$30:$AI$30</c:f>
              <c:numCache>
                <c:formatCode>General_)</c:formatCode>
                <c:ptCount val="4"/>
                <c:pt idx="0">
                  <c:v>3358</c:v>
                </c:pt>
                <c:pt idx="1">
                  <c:v>3417</c:v>
                </c:pt>
                <c:pt idx="2">
                  <c:v>3211</c:v>
                </c:pt>
                <c:pt idx="3">
                  <c:v>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A-4C10-95B0-B314EDCBFB18}"/>
            </c:ext>
          </c:extLst>
        </c:ser>
        <c:ser>
          <c:idx val="1"/>
          <c:order val="1"/>
          <c:tx>
            <c:strRef>
              <c:f>'8.24'!$AE$31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multiLvlStrRef>
              <c:f>'8.24'!$AF$28:$AI$29</c:f>
              <c:multiLvlStrCache>
                <c:ptCount val="4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'8.24'!$AF$31:$AI$31</c:f>
              <c:numCache>
                <c:formatCode>General_)</c:formatCode>
                <c:ptCount val="4"/>
                <c:pt idx="0">
                  <c:v>1288</c:v>
                </c:pt>
                <c:pt idx="1">
                  <c:v>1341</c:v>
                </c:pt>
                <c:pt idx="2">
                  <c:v>1248</c:v>
                </c:pt>
                <c:pt idx="3">
                  <c:v>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A-4C10-95B0-B314EDCBFB18}"/>
            </c:ext>
          </c:extLst>
        </c:ser>
        <c:ser>
          <c:idx val="2"/>
          <c:order val="2"/>
          <c:tx>
            <c:strRef>
              <c:f>'8.24'!$AE$32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multiLvlStrRef>
              <c:f>'8.24'!$AF$28:$AI$29</c:f>
              <c:multiLvlStrCache>
                <c:ptCount val="4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'8.24'!$AF$32:$AI$32</c:f>
              <c:numCache>
                <c:formatCode>General_)</c:formatCode>
                <c:ptCount val="4"/>
                <c:pt idx="0">
                  <c:v>2070</c:v>
                </c:pt>
                <c:pt idx="1">
                  <c:v>2076</c:v>
                </c:pt>
                <c:pt idx="2">
                  <c:v>1963</c:v>
                </c:pt>
                <c:pt idx="3">
                  <c:v>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BA-4C10-95B0-B314EDCBF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146304"/>
        <c:axId val="130147840"/>
      </c:barChart>
      <c:catAx>
        <c:axId val="13014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0147840"/>
        <c:crosses val="autoZero"/>
        <c:auto val="1"/>
        <c:lblAlgn val="ctr"/>
        <c:lblOffset val="100"/>
        <c:noMultiLvlLbl val="0"/>
      </c:catAx>
      <c:valAx>
        <c:axId val="13014784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130146304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5979604689573395"/>
          <c:y val="0.19354834070398735"/>
          <c:w val="0.30963718640090382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8.40: Number of</a:t>
            </a:r>
            <a:r>
              <a:rPr lang="en-US" sz="1050" baseline="0"/>
              <a:t> Marriage and Divorce, Republic, 2015 - 2018</a:t>
            </a:r>
            <a:endParaRPr lang="en-US" sz="1050"/>
          </a:p>
        </c:rich>
      </c:tx>
      <c:layout>
        <c:manualLayout>
          <c:xMode val="edge"/>
          <c:yMode val="edge"/>
          <c:x val="0.16916000759714897"/>
          <c:y val="3.6436852173139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13198985720092"/>
          <c:y val="0.15364270187876075"/>
          <c:w val="0.84800925308065611"/>
          <c:h val="0.61728076798619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'8.24'!$AD$7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CC2-4DFB-BDC0-1AED5A00B56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CC2-4DFB-BDC0-1AED5A00B56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CC2-4DFB-BDC0-1AED5A00B56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FCC2-4DFB-BDC0-1AED5A00B56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FCC2-4DFB-BDC0-1AED5A00B56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FCC2-4DFB-BDC0-1AED5A00B56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4-FCC2-4DFB-BDC0-1AED5A00B56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FCC2-4DFB-BDC0-1AED5A00B56C}"/>
              </c:ext>
            </c:extLst>
          </c:dPt>
          <c:cat>
            <c:multiLvlStrRef>
              <c:f>'8.24'!$AE$5:$AL$6</c:f>
              <c:multiLvlStrCache>
                <c:ptCount val="8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2018 </c:v>
                  </c:pt>
                  <c:pt idx="4">
                    <c:v>2015 </c:v>
                  </c:pt>
                  <c:pt idx="5">
                    <c:v>2016 </c:v>
                  </c:pt>
                  <c:pt idx="6">
                    <c:v>2017 </c:v>
                  </c:pt>
                  <c:pt idx="7">
                    <c:v>2018 </c:v>
                  </c:pt>
                </c:lvl>
                <c:lvl>
                  <c:pt idx="0">
                    <c:v>Marriage       </c:v>
                  </c:pt>
                  <c:pt idx="4">
                    <c:v> Divorce              </c:v>
                  </c:pt>
                </c:lvl>
              </c:multiLvlStrCache>
            </c:multiLvlStrRef>
          </c:cat>
          <c:val>
            <c:numRef>
              <c:f>'8.24'!$AE$7:$AL$7</c:f>
              <c:numCache>
                <c:formatCode>#,##0</c:formatCode>
                <c:ptCount val="8"/>
                <c:pt idx="0">
                  <c:v>0</c:v>
                </c:pt>
                <c:pt idx="1">
                  <c:v>5488</c:v>
                </c:pt>
                <c:pt idx="2">
                  <c:v>5048</c:v>
                </c:pt>
                <c:pt idx="3">
                  <c:v>5178</c:v>
                </c:pt>
                <c:pt idx="4">
                  <c:v>0</c:v>
                </c:pt>
                <c:pt idx="5">
                  <c:v>3417</c:v>
                </c:pt>
                <c:pt idx="6">
                  <c:v>3211</c:v>
                </c:pt>
                <c:pt idx="7">
                  <c:v>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C2-4DFB-BDC0-1AED5A00B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16"/>
        <c:axId val="130194432"/>
        <c:axId val="13020851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'8.24'!$AD$8</c15:sqref>
                        </c15:formulaRef>
                      </c:ext>
                    </c:extLst>
                    <c:strCache>
                      <c:ptCount val="1"/>
                      <c:pt idx="0">
                        <c:v> Male'</c:v>
                      </c:pt>
                    </c:strCache>
                  </c:strRef>
                </c:tx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'8.24'!$AE$5:$AL$6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2015 </c:v>
                        </c:pt>
                        <c:pt idx="1">
                          <c:v>2016 </c:v>
                        </c:pt>
                        <c:pt idx="2">
                          <c:v>2017 </c:v>
                        </c:pt>
                        <c:pt idx="3">
                          <c:v>2018 </c:v>
                        </c:pt>
                        <c:pt idx="4">
                          <c:v>2015 </c:v>
                        </c:pt>
                        <c:pt idx="5">
                          <c:v>2016 </c:v>
                        </c:pt>
                        <c:pt idx="6">
                          <c:v>2017 </c:v>
                        </c:pt>
                        <c:pt idx="7">
                          <c:v>2018 </c:v>
                        </c:pt>
                      </c:lvl>
                      <c:lvl>
                        <c:pt idx="0">
                          <c:v>Marriage       </c:v>
                        </c:pt>
                        <c:pt idx="4">
                          <c:v> Divorce              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'8.24'!$AE$8:$AL$8</c15:sqref>
                        </c15:formulaRef>
                      </c:ext>
                    </c:extLst>
                    <c:numCache>
                      <c:formatCode>#,##0</c:formatCode>
                      <c:ptCount val="8"/>
                      <c:pt idx="0">
                        <c:v>0</c:v>
                      </c:pt>
                      <c:pt idx="1">
                        <c:v>2304</c:v>
                      </c:pt>
                      <c:pt idx="2">
                        <c:v>1979</c:v>
                      </c:pt>
                      <c:pt idx="3">
                        <c:v>2191</c:v>
                      </c:pt>
                      <c:pt idx="4">
                        <c:v>0</c:v>
                      </c:pt>
                      <c:pt idx="5">
                        <c:v>1341</c:v>
                      </c:pt>
                      <c:pt idx="6">
                        <c:v>1248</c:v>
                      </c:pt>
                      <c:pt idx="7">
                        <c:v>1156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FCC2-4DFB-BDC0-1AED5A00B56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'8.24'!$AD$9</c15:sqref>
                        </c15:formulaRef>
                      </c:ext>
                    </c:extLst>
                    <c:strCache>
                      <c:ptCount val="1"/>
                      <c:pt idx="0">
                        <c:v> Atolls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'8.24'!$AE$5:$AL$6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2015 </c:v>
                        </c:pt>
                        <c:pt idx="1">
                          <c:v>2016 </c:v>
                        </c:pt>
                        <c:pt idx="2">
                          <c:v>2017 </c:v>
                        </c:pt>
                        <c:pt idx="3">
                          <c:v>2018 </c:v>
                        </c:pt>
                        <c:pt idx="4">
                          <c:v>2015 </c:v>
                        </c:pt>
                        <c:pt idx="5">
                          <c:v>2016 </c:v>
                        </c:pt>
                        <c:pt idx="6">
                          <c:v>2017 </c:v>
                        </c:pt>
                        <c:pt idx="7">
                          <c:v>2018 </c:v>
                        </c:pt>
                      </c:lvl>
                      <c:lvl>
                        <c:pt idx="0">
                          <c:v>Marriage       </c:v>
                        </c:pt>
                        <c:pt idx="4">
                          <c:v> Divorce              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'8.24'!$AE$9:$AL$9</c15:sqref>
                        </c15:formulaRef>
                      </c:ext>
                    </c:extLst>
                    <c:numCache>
                      <c:formatCode>#,##0</c:formatCode>
                      <c:ptCount val="8"/>
                      <c:pt idx="0">
                        <c:v>0</c:v>
                      </c:pt>
                      <c:pt idx="1">
                        <c:v>3184</c:v>
                      </c:pt>
                      <c:pt idx="2">
                        <c:v>3069</c:v>
                      </c:pt>
                      <c:pt idx="3">
                        <c:v>2987</c:v>
                      </c:pt>
                      <c:pt idx="4">
                        <c:v>0</c:v>
                      </c:pt>
                      <c:pt idx="5">
                        <c:v>2076</c:v>
                      </c:pt>
                      <c:pt idx="6">
                        <c:v>1963</c:v>
                      </c:pt>
                      <c:pt idx="7">
                        <c:v>1953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CC2-4DFB-BDC0-1AED5A00B56C}"/>
                  </c:ext>
                </c:extLst>
              </c15:ser>
            </c15:filteredBarSeries>
          </c:ext>
        </c:extLst>
      </c:barChart>
      <c:catAx>
        <c:axId val="130194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0208512"/>
        <c:crosses val="autoZero"/>
        <c:auto val="1"/>
        <c:lblAlgn val="ctr"/>
        <c:lblOffset val="100"/>
        <c:noMultiLvlLbl val="0"/>
      </c:catAx>
      <c:valAx>
        <c:axId val="13020851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6680364870269565E-3"/>
              <c:y val="0.34772222963654964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3019443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+mj-lt"/>
              </a:rPr>
              <a:t>Figure 8.38: Number of Marriages by locality, 2015 - 2018</a:t>
            </a:r>
          </a:p>
        </c:rich>
      </c:tx>
      <c:layout>
        <c:manualLayout>
          <c:xMode val="edge"/>
          <c:yMode val="edge"/>
          <c:x val="0.17941256759306465"/>
          <c:y val="3.4831695813364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'8.24'!$AE$24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'8.24'!$AF$23:$AI$23</c:f>
              <c:numCache>
                <c:formatCode>General_)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'8.24'!$AF$24:$AI$24</c:f>
              <c:numCache>
                <c:formatCode>General_)</c:formatCode>
                <c:ptCount val="4"/>
                <c:pt idx="0">
                  <c:v>5763</c:v>
                </c:pt>
                <c:pt idx="1">
                  <c:v>5488</c:v>
                </c:pt>
                <c:pt idx="2">
                  <c:v>5048</c:v>
                </c:pt>
                <c:pt idx="3">
                  <c:v>5178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E-4583-87E9-F84BDADDEB8C}"/>
            </c:ext>
          </c:extLst>
        </c:ser>
        <c:ser>
          <c:idx val="1"/>
          <c:order val="1"/>
          <c:tx>
            <c:strRef>
              <c:f>'8.24'!$AE$25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'8.24'!$AF$23:$AI$23</c:f>
              <c:numCache>
                <c:formatCode>General_)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'8.24'!$AF$25:$AI$25</c:f>
              <c:numCache>
                <c:formatCode>General_)</c:formatCode>
                <c:ptCount val="4"/>
                <c:pt idx="0">
                  <c:v>2417</c:v>
                </c:pt>
                <c:pt idx="1">
                  <c:v>2304</c:v>
                </c:pt>
                <c:pt idx="2">
                  <c:v>1979</c:v>
                </c:pt>
                <c:pt idx="3">
                  <c:v>2191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E-4583-87E9-F84BDADDEB8C}"/>
            </c:ext>
          </c:extLst>
        </c:ser>
        <c:ser>
          <c:idx val="2"/>
          <c:order val="2"/>
          <c:tx>
            <c:strRef>
              <c:f>'8.24'!$AE$26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'8.24'!$AF$23:$AI$23</c:f>
              <c:numCache>
                <c:formatCode>General_)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'8.24'!$AF$26:$AI$26</c:f>
              <c:numCache>
                <c:formatCode>General_)</c:formatCode>
                <c:ptCount val="4"/>
                <c:pt idx="0">
                  <c:v>3346</c:v>
                </c:pt>
                <c:pt idx="1">
                  <c:v>3184</c:v>
                </c:pt>
                <c:pt idx="2">
                  <c:v>3069</c:v>
                </c:pt>
                <c:pt idx="3">
                  <c:v>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0E-4583-87E9-F84BDADD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1680"/>
        <c:axId val="130233472"/>
      </c:barChart>
      <c:catAx>
        <c:axId val="13023168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0233472"/>
        <c:crosses val="autoZero"/>
        <c:auto val="1"/>
        <c:lblAlgn val="ctr"/>
        <c:lblOffset val="100"/>
        <c:noMultiLvlLbl val="0"/>
      </c:catAx>
      <c:valAx>
        <c:axId val="13023347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13023168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5097542594765092"/>
          <c:y val="0.1935483601549623"/>
          <c:w val="0.32699397108295203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73139</xdr:colOff>
      <xdr:row>35</xdr:row>
      <xdr:rowOff>164348</xdr:rowOff>
    </xdr:from>
    <xdr:to>
      <xdr:col>10</xdr:col>
      <xdr:colOff>357187</xdr:colOff>
      <xdr:row>46</xdr:row>
      <xdr:rowOff>154822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35</xdr:row>
      <xdr:rowOff>176129</xdr:rowOff>
    </xdr:from>
    <xdr:to>
      <xdr:col>17</xdr:col>
      <xdr:colOff>0</xdr:colOff>
      <xdr:row>46</xdr:row>
      <xdr:rowOff>166604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501853</xdr:colOff>
      <xdr:row>47</xdr:row>
      <xdr:rowOff>140368</xdr:rowOff>
    </xdr:from>
    <xdr:to>
      <xdr:col>17</xdr:col>
      <xdr:colOff>34019</xdr:colOff>
      <xdr:row>60</xdr:row>
      <xdr:rowOff>128253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51075</xdr:colOff>
      <xdr:row>61</xdr:row>
      <xdr:rowOff>1570</xdr:rowOff>
    </xdr:from>
    <xdr:to>
      <xdr:col>10</xdr:col>
      <xdr:colOff>357186</xdr:colOff>
      <xdr:row>70</xdr:row>
      <xdr:rowOff>17653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73221</xdr:colOff>
      <xdr:row>47</xdr:row>
      <xdr:rowOff>100095</xdr:rowOff>
    </xdr:from>
    <xdr:to>
      <xdr:col>10</xdr:col>
      <xdr:colOff>357187</xdr:colOff>
      <xdr:row>60</xdr:row>
      <xdr:rowOff>87979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6"/>
  <sheetViews>
    <sheetView tabSelected="1" zoomScale="112" zoomScaleNormal="112" workbookViewId="0">
      <selection activeCell="L6" sqref="L6"/>
    </sheetView>
  </sheetViews>
  <sheetFormatPr defaultColWidth="9.140625" defaultRowHeight="18.75"/>
  <cols>
    <col min="1" max="1" width="25" style="56" customWidth="1"/>
    <col min="2" max="6" width="11.140625" style="57" customWidth="1"/>
    <col min="7" max="16" width="12.28515625" style="57" customWidth="1"/>
    <col min="17" max="17" width="17.85546875" style="58" customWidth="1"/>
    <col min="18" max="18" width="4.85546875" style="56" customWidth="1"/>
    <col min="19" max="16384" width="9.140625" style="56"/>
  </cols>
  <sheetData>
    <row r="1" spans="1:38" s="5" customFormat="1">
      <c r="A1" s="89" t="s">
        <v>75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</row>
    <row r="2" spans="1:38" s="4" customFormat="1" ht="12.75">
      <c r="A2" s="90" t="s">
        <v>74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</row>
    <row r="3" spans="1:38" s="7" customFormat="1" ht="12.75">
      <c r="A3" s="92" t="s">
        <v>2</v>
      </c>
      <c r="B3" s="96">
        <v>2016</v>
      </c>
      <c r="C3" s="95"/>
      <c r="D3" s="95"/>
      <c r="E3" s="95"/>
      <c r="F3" s="95"/>
      <c r="G3" s="78">
        <v>2017</v>
      </c>
      <c r="H3" s="79"/>
      <c r="I3" s="79"/>
      <c r="J3" s="79"/>
      <c r="K3" s="79"/>
      <c r="L3" s="78">
        <v>2018</v>
      </c>
      <c r="M3" s="79"/>
      <c r="N3" s="79"/>
      <c r="O3" s="79"/>
      <c r="P3" s="79"/>
      <c r="Q3" s="80" t="s">
        <v>35</v>
      </c>
      <c r="R3" s="6"/>
    </row>
    <row r="4" spans="1:38" s="16" customFormat="1" ht="26.25" customHeight="1">
      <c r="A4" s="93"/>
      <c r="B4" s="9" t="s">
        <v>33</v>
      </c>
      <c r="C4" s="8" t="s">
        <v>31</v>
      </c>
      <c r="D4" s="8" t="s">
        <v>34</v>
      </c>
      <c r="E4" s="8" t="s">
        <v>36</v>
      </c>
      <c r="F4" s="11" t="s">
        <v>37</v>
      </c>
      <c r="G4" s="12" t="s">
        <v>33</v>
      </c>
      <c r="H4" s="13" t="s">
        <v>31</v>
      </c>
      <c r="I4" s="13" t="s">
        <v>34</v>
      </c>
      <c r="J4" s="13" t="s">
        <v>36</v>
      </c>
      <c r="K4" s="13" t="s">
        <v>37</v>
      </c>
      <c r="L4" s="12" t="s">
        <v>33</v>
      </c>
      <c r="M4" s="13" t="s">
        <v>31</v>
      </c>
      <c r="N4" s="13" t="s">
        <v>34</v>
      </c>
      <c r="O4" s="13" t="s">
        <v>36</v>
      </c>
      <c r="P4" s="14" t="s">
        <v>37</v>
      </c>
      <c r="Q4" s="81"/>
      <c r="R4" s="15"/>
    </row>
    <row r="5" spans="1:38" s="22" customFormat="1">
      <c r="A5" s="94"/>
      <c r="B5" s="20" t="s">
        <v>41</v>
      </c>
      <c r="C5" s="17" t="s">
        <v>42</v>
      </c>
      <c r="D5" s="17" t="s">
        <v>38</v>
      </c>
      <c r="E5" s="18" t="s">
        <v>39</v>
      </c>
      <c r="F5" s="19" t="s">
        <v>40</v>
      </c>
      <c r="G5" s="21" t="s">
        <v>41</v>
      </c>
      <c r="H5" s="19" t="s">
        <v>42</v>
      </c>
      <c r="I5" s="19" t="s">
        <v>38</v>
      </c>
      <c r="J5" s="19" t="s">
        <v>39</v>
      </c>
      <c r="K5" s="19" t="s">
        <v>40</v>
      </c>
      <c r="L5" s="21" t="s">
        <v>41</v>
      </c>
      <c r="M5" s="19" t="s">
        <v>42</v>
      </c>
      <c r="N5" s="19" t="s">
        <v>38</v>
      </c>
      <c r="O5" s="19" t="s">
        <v>39</v>
      </c>
      <c r="P5" s="19" t="s">
        <v>40</v>
      </c>
      <c r="Q5" s="82"/>
      <c r="AD5" s="8"/>
      <c r="AE5" s="83" t="s">
        <v>43</v>
      </c>
      <c r="AF5" s="84"/>
      <c r="AG5" s="84"/>
      <c r="AH5" s="85"/>
      <c r="AI5" s="86" t="s">
        <v>44</v>
      </c>
      <c r="AJ5" s="87"/>
      <c r="AK5" s="87"/>
      <c r="AL5" s="88"/>
    </row>
    <row r="6" spans="1:38" s="30" customFormat="1">
      <c r="A6" s="23" t="s">
        <v>45</v>
      </c>
      <c r="B6" s="25">
        <f t="shared" ref="B6:P6" si="0">B7+B13</f>
        <v>5339</v>
      </c>
      <c r="C6" s="24">
        <f t="shared" si="0"/>
        <v>5021</v>
      </c>
      <c r="D6" s="24">
        <f t="shared" si="0"/>
        <v>9828</v>
      </c>
      <c r="E6" s="24">
        <f t="shared" si="0"/>
        <v>5488</v>
      </c>
      <c r="F6" s="26">
        <f t="shared" si="0"/>
        <v>3417</v>
      </c>
      <c r="G6" s="27">
        <f t="shared" si="0"/>
        <v>5421</v>
      </c>
      <c r="H6" s="3">
        <f t="shared" si="0"/>
        <v>5692</v>
      </c>
      <c r="I6" s="3">
        <f t="shared" si="0"/>
        <v>9582</v>
      </c>
      <c r="J6" s="3">
        <f t="shared" si="0"/>
        <v>5048</v>
      </c>
      <c r="K6" s="3">
        <f t="shared" si="0"/>
        <v>3211</v>
      </c>
      <c r="L6" s="27">
        <f t="shared" si="0"/>
        <v>3499</v>
      </c>
      <c r="M6" s="3">
        <f t="shared" si="0"/>
        <v>6836</v>
      </c>
      <c r="N6" s="3">
        <f t="shared" si="0"/>
        <v>9821</v>
      </c>
      <c r="O6" s="3">
        <f t="shared" si="0"/>
        <v>5178</v>
      </c>
      <c r="P6" s="28">
        <f t="shared" si="0"/>
        <v>3109</v>
      </c>
      <c r="Q6" s="29" t="s">
        <v>23</v>
      </c>
      <c r="AD6" s="31"/>
      <c r="AE6" s="32">
        <v>2015</v>
      </c>
      <c r="AF6" s="32">
        <v>2016</v>
      </c>
      <c r="AG6" s="32">
        <v>2017</v>
      </c>
      <c r="AH6" s="32">
        <v>2018</v>
      </c>
      <c r="AI6" s="32">
        <v>2015</v>
      </c>
      <c r="AJ6" s="32">
        <v>2016</v>
      </c>
      <c r="AK6" s="32">
        <v>2017</v>
      </c>
      <c r="AL6" s="32">
        <v>2018</v>
      </c>
    </row>
    <row r="7" spans="1:38" s="32" customFormat="1">
      <c r="A7" s="23" t="s">
        <v>46</v>
      </c>
      <c r="B7" s="34">
        <f t="shared" ref="B7:P7" si="1">SUM(B8:B12)</f>
        <v>2977</v>
      </c>
      <c r="C7" s="33">
        <f t="shared" si="1"/>
        <v>2732</v>
      </c>
      <c r="D7" s="33">
        <f t="shared" si="1"/>
        <v>2569</v>
      </c>
      <c r="E7" s="33">
        <f t="shared" si="1"/>
        <v>2304</v>
      </c>
      <c r="F7" s="35">
        <f t="shared" si="1"/>
        <v>1341</v>
      </c>
      <c r="G7" s="27">
        <f t="shared" si="1"/>
        <v>3037</v>
      </c>
      <c r="H7" s="3">
        <f t="shared" si="1"/>
        <v>3607</v>
      </c>
      <c r="I7" s="3">
        <f t="shared" si="1"/>
        <v>2567</v>
      </c>
      <c r="J7" s="3">
        <f t="shared" si="1"/>
        <v>1979</v>
      </c>
      <c r="K7" s="3">
        <f t="shared" si="1"/>
        <v>1248</v>
      </c>
      <c r="L7" s="27">
        <f t="shared" si="1"/>
        <v>1977</v>
      </c>
      <c r="M7" s="3">
        <f t="shared" si="1"/>
        <v>4932</v>
      </c>
      <c r="N7" s="3">
        <f t="shared" si="1"/>
        <v>2825</v>
      </c>
      <c r="O7" s="3">
        <f t="shared" si="1"/>
        <v>2191</v>
      </c>
      <c r="P7" s="28">
        <f t="shared" si="1"/>
        <v>1156</v>
      </c>
      <c r="Q7" s="36" t="s">
        <v>0</v>
      </c>
      <c r="U7" s="30"/>
      <c r="V7" s="30"/>
      <c r="W7" s="30"/>
      <c r="X7" s="30"/>
      <c r="Y7" s="30"/>
      <c r="Z7" s="30"/>
      <c r="AA7" s="30"/>
      <c r="AB7" s="30"/>
      <c r="AD7" s="31" t="s">
        <v>1</v>
      </c>
      <c r="AE7" s="24" t="e">
        <f>#REF!</f>
        <v>#REF!</v>
      </c>
      <c r="AF7" s="24">
        <f>E6</f>
        <v>5488</v>
      </c>
      <c r="AG7" s="24">
        <f>J6</f>
        <v>5048</v>
      </c>
      <c r="AH7" s="24">
        <f>O6</f>
        <v>5178</v>
      </c>
      <c r="AI7" s="24" t="e">
        <f>#REF!</f>
        <v>#REF!</v>
      </c>
      <c r="AJ7" s="24">
        <f>F6</f>
        <v>3417</v>
      </c>
      <c r="AK7" s="24">
        <f>K6</f>
        <v>3211</v>
      </c>
      <c r="AL7" s="24">
        <f>P6</f>
        <v>3109</v>
      </c>
    </row>
    <row r="8" spans="1:38" s="32" customFormat="1">
      <c r="A8" s="37" t="s">
        <v>25</v>
      </c>
      <c r="B8" s="39">
        <v>46</v>
      </c>
      <c r="C8" s="38">
        <v>0</v>
      </c>
      <c r="D8" s="38">
        <v>0</v>
      </c>
      <c r="E8" s="38">
        <v>0</v>
      </c>
      <c r="F8" s="41">
        <v>0</v>
      </c>
      <c r="G8" s="42">
        <v>42</v>
      </c>
      <c r="H8" s="1">
        <v>0</v>
      </c>
      <c r="I8" s="1">
        <v>0</v>
      </c>
      <c r="J8" s="1">
        <v>0</v>
      </c>
      <c r="K8" s="1">
        <v>0</v>
      </c>
      <c r="L8" s="42">
        <v>39</v>
      </c>
      <c r="M8" s="1">
        <v>0</v>
      </c>
      <c r="N8" s="1">
        <v>0</v>
      </c>
      <c r="O8" s="1">
        <v>0</v>
      </c>
      <c r="P8" s="76">
        <v>0</v>
      </c>
      <c r="Q8" s="43" t="s">
        <v>47</v>
      </c>
      <c r="U8" s="30"/>
      <c r="V8" s="30"/>
      <c r="W8" s="30"/>
      <c r="X8" s="30"/>
      <c r="Y8" s="30"/>
      <c r="Z8" s="30"/>
      <c r="AA8" s="30"/>
      <c r="AB8" s="30"/>
      <c r="AD8" s="31" t="s">
        <v>46</v>
      </c>
      <c r="AE8" s="24" t="e">
        <f>#REF!</f>
        <v>#REF!</v>
      </c>
      <c r="AF8" s="24">
        <f>E7</f>
        <v>2304</v>
      </c>
      <c r="AG8" s="24">
        <f>J7</f>
        <v>1979</v>
      </c>
      <c r="AH8" s="24">
        <f>O7</f>
        <v>2191</v>
      </c>
      <c r="AI8" s="24" t="e">
        <f>#REF!</f>
        <v>#REF!</v>
      </c>
      <c r="AJ8" s="24">
        <f>F7</f>
        <v>1341</v>
      </c>
      <c r="AK8" s="24">
        <f>K7</f>
        <v>1248</v>
      </c>
      <c r="AL8" s="24">
        <f>P7</f>
        <v>1156</v>
      </c>
    </row>
    <row r="9" spans="1:38" s="32" customFormat="1">
      <c r="A9" s="37" t="s">
        <v>26</v>
      </c>
      <c r="B9" s="39">
        <v>0</v>
      </c>
      <c r="C9" s="38">
        <v>0</v>
      </c>
      <c r="D9" s="38">
        <v>2569</v>
      </c>
      <c r="E9" s="38">
        <v>2304</v>
      </c>
      <c r="F9" s="41">
        <v>1341</v>
      </c>
      <c r="G9" s="42">
        <v>0</v>
      </c>
      <c r="H9" s="1">
        <v>0</v>
      </c>
      <c r="I9" s="1">
        <v>2567</v>
      </c>
      <c r="J9" s="1">
        <v>1979</v>
      </c>
      <c r="K9" s="1">
        <v>1248</v>
      </c>
      <c r="L9" s="42">
        <v>0</v>
      </c>
      <c r="M9" s="1">
        <v>0</v>
      </c>
      <c r="N9" s="1">
        <v>2825</v>
      </c>
      <c r="O9" s="1">
        <v>2191</v>
      </c>
      <c r="P9" s="76">
        <v>1156</v>
      </c>
      <c r="Q9" s="43" t="s">
        <v>48</v>
      </c>
      <c r="U9" s="30"/>
      <c r="V9" s="30"/>
      <c r="W9" s="30"/>
      <c r="X9" s="30"/>
      <c r="Y9" s="30"/>
      <c r="Z9" s="30"/>
      <c r="AA9" s="30"/>
      <c r="AB9" s="30"/>
      <c r="AD9" s="44" t="s">
        <v>49</v>
      </c>
      <c r="AE9" s="24" t="e">
        <f>#REF!</f>
        <v>#REF!</v>
      </c>
      <c r="AF9" s="24">
        <f>E13</f>
        <v>3184</v>
      </c>
      <c r="AG9" s="24">
        <f>J13</f>
        <v>3069</v>
      </c>
      <c r="AH9" s="24">
        <f>O13</f>
        <v>2987</v>
      </c>
      <c r="AI9" s="24" t="e">
        <f>#REF!</f>
        <v>#REF!</v>
      </c>
      <c r="AJ9" s="24">
        <f>F13</f>
        <v>2076</v>
      </c>
      <c r="AK9" s="24">
        <f>K13</f>
        <v>1963</v>
      </c>
      <c r="AL9" s="24">
        <f>P13</f>
        <v>1953</v>
      </c>
    </row>
    <row r="10" spans="1:38" s="32" customFormat="1">
      <c r="A10" s="37" t="s">
        <v>27</v>
      </c>
      <c r="B10" s="39">
        <v>1408</v>
      </c>
      <c r="C10" s="38">
        <v>0</v>
      </c>
      <c r="D10" s="38">
        <v>0</v>
      </c>
      <c r="E10" s="38">
        <v>0</v>
      </c>
      <c r="F10" s="41">
        <v>0</v>
      </c>
      <c r="G10" s="42">
        <v>1433</v>
      </c>
      <c r="H10" s="1">
        <v>0</v>
      </c>
      <c r="I10" s="1">
        <v>0</v>
      </c>
      <c r="J10" s="1">
        <v>0</v>
      </c>
      <c r="K10" s="1">
        <v>0</v>
      </c>
      <c r="L10" s="42">
        <v>864</v>
      </c>
      <c r="M10" s="1">
        <v>0</v>
      </c>
      <c r="N10" s="1">
        <v>0</v>
      </c>
      <c r="O10" s="1">
        <v>0</v>
      </c>
      <c r="P10" s="76">
        <v>0</v>
      </c>
      <c r="Q10" s="43" t="s">
        <v>50</v>
      </c>
      <c r="U10" s="30"/>
      <c r="V10" s="30"/>
      <c r="W10" s="30"/>
      <c r="X10" s="30"/>
      <c r="Y10" s="30"/>
      <c r="Z10" s="30"/>
      <c r="AA10" s="30"/>
      <c r="AB10" s="30"/>
    </row>
    <row r="11" spans="1:38" s="32" customFormat="1">
      <c r="A11" s="37" t="s">
        <v>28</v>
      </c>
      <c r="B11" s="39">
        <v>0</v>
      </c>
      <c r="C11" s="38">
        <v>2732</v>
      </c>
      <c r="D11" s="38">
        <v>0</v>
      </c>
      <c r="E11" s="38">
        <v>0</v>
      </c>
      <c r="F11" s="41">
        <v>0</v>
      </c>
      <c r="G11" s="42">
        <v>0</v>
      </c>
      <c r="H11" s="1">
        <v>3607</v>
      </c>
      <c r="I11" s="1">
        <v>0</v>
      </c>
      <c r="J11" s="1">
        <v>0</v>
      </c>
      <c r="K11" s="1">
        <v>0</v>
      </c>
      <c r="L11" s="42">
        <v>0</v>
      </c>
      <c r="M11" s="1">
        <v>4932</v>
      </c>
      <c r="N11" s="1">
        <v>0</v>
      </c>
      <c r="O11" s="1">
        <v>0</v>
      </c>
      <c r="P11" s="76">
        <v>0</v>
      </c>
      <c r="Q11" s="43" t="s">
        <v>51</v>
      </c>
      <c r="U11" s="30"/>
      <c r="V11" s="30"/>
      <c r="W11" s="30"/>
      <c r="X11" s="30"/>
      <c r="Y11" s="30"/>
      <c r="Z11" s="30"/>
      <c r="AA11" s="30"/>
      <c r="AB11" s="30"/>
    </row>
    <row r="12" spans="1:38" s="32" customFormat="1">
      <c r="A12" s="37" t="s">
        <v>24</v>
      </c>
      <c r="B12" s="39">
        <v>1523</v>
      </c>
      <c r="C12" s="38">
        <v>0</v>
      </c>
      <c r="D12" s="38">
        <v>0</v>
      </c>
      <c r="E12" s="38">
        <v>0</v>
      </c>
      <c r="F12" s="41">
        <v>0</v>
      </c>
      <c r="G12" s="42">
        <v>1562</v>
      </c>
      <c r="H12" s="1">
        <v>0</v>
      </c>
      <c r="I12" s="1">
        <v>0</v>
      </c>
      <c r="J12" s="1">
        <v>0</v>
      </c>
      <c r="K12" s="1">
        <v>0</v>
      </c>
      <c r="L12" s="42">
        <v>1074</v>
      </c>
      <c r="M12" s="1">
        <v>0</v>
      </c>
      <c r="N12" s="1">
        <v>0</v>
      </c>
      <c r="O12" s="1">
        <v>0</v>
      </c>
      <c r="P12" s="76">
        <v>0</v>
      </c>
      <c r="Q12" s="43" t="s">
        <v>52</v>
      </c>
      <c r="U12" s="30"/>
      <c r="V12" s="30"/>
      <c r="W12" s="30"/>
      <c r="X12" s="30"/>
      <c r="Y12" s="30"/>
      <c r="Z12" s="30"/>
      <c r="AA12" s="30"/>
      <c r="AB12" s="30"/>
    </row>
    <row r="13" spans="1:38" s="32" customFormat="1">
      <c r="A13" s="45" t="s">
        <v>2</v>
      </c>
      <c r="B13" s="34">
        <f t="shared" ref="B13:I13" si="2">SUM(B14:B34)</f>
        <v>2362</v>
      </c>
      <c r="C13" s="33">
        <f t="shared" si="2"/>
        <v>2289</v>
      </c>
      <c r="D13" s="33">
        <f t="shared" si="2"/>
        <v>7259</v>
      </c>
      <c r="E13" s="33">
        <f>SUM(E14:E34)</f>
        <v>3184</v>
      </c>
      <c r="F13" s="35">
        <f t="shared" si="2"/>
        <v>2076</v>
      </c>
      <c r="G13" s="27">
        <f t="shared" si="2"/>
        <v>2384</v>
      </c>
      <c r="H13" s="3">
        <f t="shared" si="2"/>
        <v>2085</v>
      </c>
      <c r="I13" s="3">
        <f t="shared" si="2"/>
        <v>7015</v>
      </c>
      <c r="J13" s="3">
        <f>SUM(J14:J34)</f>
        <v>3069</v>
      </c>
      <c r="K13" s="3">
        <f t="shared" ref="K13:N13" si="3">SUM(K14:K34)</f>
        <v>1963</v>
      </c>
      <c r="L13" s="27">
        <f t="shared" si="3"/>
        <v>1522</v>
      </c>
      <c r="M13" s="3">
        <f t="shared" si="3"/>
        <v>1904</v>
      </c>
      <c r="N13" s="3">
        <f t="shared" si="3"/>
        <v>6996</v>
      </c>
      <c r="O13" s="3">
        <f>SUM(O14:O34)</f>
        <v>2987</v>
      </c>
      <c r="P13" s="28">
        <f t="shared" ref="P13" si="4">SUM(P14:P34)</f>
        <v>1953</v>
      </c>
      <c r="Q13" s="36" t="s">
        <v>35</v>
      </c>
      <c r="U13" s="30"/>
      <c r="V13" s="30"/>
      <c r="W13" s="30"/>
      <c r="X13" s="30"/>
      <c r="Y13" s="30"/>
      <c r="Z13" s="30"/>
      <c r="AA13" s="30"/>
      <c r="AB13" s="30"/>
    </row>
    <row r="14" spans="1:38" s="32" customFormat="1">
      <c r="A14" s="45" t="s">
        <v>32</v>
      </c>
      <c r="B14" s="34">
        <v>69</v>
      </c>
      <c r="C14" s="33">
        <v>66</v>
      </c>
      <c r="D14" s="33">
        <v>307</v>
      </c>
      <c r="E14" s="33">
        <v>223</v>
      </c>
      <c r="F14" s="35">
        <v>155</v>
      </c>
      <c r="G14" s="27">
        <v>98</v>
      </c>
      <c r="H14" s="3">
        <v>0</v>
      </c>
      <c r="I14" s="3">
        <v>335</v>
      </c>
      <c r="J14" s="3">
        <v>207</v>
      </c>
      <c r="K14" s="3">
        <v>149</v>
      </c>
      <c r="L14" s="27">
        <v>65</v>
      </c>
      <c r="M14" s="3">
        <v>0</v>
      </c>
      <c r="N14" s="3">
        <v>464</v>
      </c>
      <c r="O14" s="3">
        <v>258</v>
      </c>
      <c r="P14" s="28">
        <v>217</v>
      </c>
      <c r="Q14" s="36" t="s">
        <v>53</v>
      </c>
      <c r="U14" s="30"/>
      <c r="V14" s="30"/>
      <c r="W14" s="30"/>
      <c r="X14" s="30"/>
      <c r="Y14" s="30"/>
      <c r="Z14" s="30"/>
      <c r="AA14" s="30"/>
      <c r="AB14" s="30"/>
    </row>
    <row r="15" spans="1:38" s="32" customFormat="1">
      <c r="A15" s="37" t="s">
        <v>3</v>
      </c>
      <c r="B15" s="39">
        <v>110</v>
      </c>
      <c r="C15" s="38">
        <v>63</v>
      </c>
      <c r="D15" s="38">
        <v>269</v>
      </c>
      <c r="E15" s="38">
        <v>161</v>
      </c>
      <c r="F15" s="41">
        <v>92</v>
      </c>
      <c r="G15" s="42">
        <v>72</v>
      </c>
      <c r="H15" s="1">
        <v>72</v>
      </c>
      <c r="I15" s="1">
        <v>260</v>
      </c>
      <c r="J15" s="1">
        <v>158</v>
      </c>
      <c r="K15" s="1">
        <v>69</v>
      </c>
      <c r="L15" s="42">
        <v>51</v>
      </c>
      <c r="M15" s="1">
        <v>62</v>
      </c>
      <c r="N15" s="1">
        <v>253</v>
      </c>
      <c r="O15" s="1">
        <v>160</v>
      </c>
      <c r="P15" s="76">
        <v>94</v>
      </c>
      <c r="Q15" s="46" t="s">
        <v>54</v>
      </c>
      <c r="U15" s="30"/>
      <c r="V15" s="30"/>
      <c r="W15" s="30"/>
      <c r="X15" s="30"/>
      <c r="Y15" s="30"/>
      <c r="Z15" s="30"/>
      <c r="AA15" s="30"/>
      <c r="AB15" s="30"/>
    </row>
    <row r="16" spans="1:38" s="32" customFormat="1">
      <c r="A16" s="37" t="s">
        <v>4</v>
      </c>
      <c r="B16" s="39">
        <v>178</v>
      </c>
      <c r="C16" s="38">
        <v>96</v>
      </c>
      <c r="D16" s="38">
        <v>411</v>
      </c>
      <c r="E16" s="38">
        <v>291</v>
      </c>
      <c r="F16" s="41">
        <v>125</v>
      </c>
      <c r="G16" s="42">
        <v>142</v>
      </c>
      <c r="H16" s="1">
        <v>64</v>
      </c>
      <c r="I16" s="1">
        <v>460</v>
      </c>
      <c r="J16" s="1">
        <v>258</v>
      </c>
      <c r="K16" s="1">
        <v>150</v>
      </c>
      <c r="L16" s="42">
        <v>71</v>
      </c>
      <c r="M16" s="1">
        <v>95</v>
      </c>
      <c r="N16" s="1">
        <v>497</v>
      </c>
      <c r="O16" s="1">
        <v>289</v>
      </c>
      <c r="P16" s="76">
        <v>148</v>
      </c>
      <c r="Q16" s="46" t="s">
        <v>55</v>
      </c>
      <c r="U16" s="30"/>
      <c r="V16" s="30"/>
      <c r="W16" s="30"/>
      <c r="X16" s="30"/>
      <c r="Y16" s="30"/>
      <c r="Z16" s="30"/>
      <c r="AA16" s="30"/>
      <c r="AB16" s="30"/>
      <c r="AG16" s="32" t="s">
        <v>36</v>
      </c>
      <c r="AH16" s="32" t="s">
        <v>37</v>
      </c>
    </row>
    <row r="17" spans="1:35" s="32" customFormat="1" ht="15.75" customHeight="1">
      <c r="A17" s="37" t="s">
        <v>5</v>
      </c>
      <c r="B17" s="39">
        <v>58</v>
      </c>
      <c r="C17" s="38">
        <v>66</v>
      </c>
      <c r="D17" s="38">
        <v>328</v>
      </c>
      <c r="E17" s="38">
        <v>191</v>
      </c>
      <c r="F17" s="41">
        <v>93</v>
      </c>
      <c r="G17" s="42">
        <v>49</v>
      </c>
      <c r="H17" s="1">
        <v>53</v>
      </c>
      <c r="I17" s="1">
        <v>293</v>
      </c>
      <c r="J17" s="1">
        <v>138</v>
      </c>
      <c r="K17" s="1">
        <v>86</v>
      </c>
      <c r="L17" s="42">
        <v>21</v>
      </c>
      <c r="M17" s="1">
        <v>52</v>
      </c>
      <c r="N17" s="1">
        <v>254</v>
      </c>
      <c r="O17" s="1">
        <v>164</v>
      </c>
      <c r="P17" s="76">
        <v>77</v>
      </c>
      <c r="Q17" s="46" t="s">
        <v>56</v>
      </c>
      <c r="U17" s="30"/>
      <c r="V17" s="30"/>
      <c r="W17" s="30"/>
      <c r="X17" s="30"/>
      <c r="Y17" s="30"/>
      <c r="Z17" s="30"/>
      <c r="AA17" s="30"/>
      <c r="AB17" s="30"/>
      <c r="AF17" s="32" t="s">
        <v>1</v>
      </c>
      <c r="AG17" s="32">
        <f>AH7</f>
        <v>5178</v>
      </c>
      <c r="AH17" s="32">
        <f>AL7</f>
        <v>3109</v>
      </c>
    </row>
    <row r="18" spans="1:35" s="32" customFormat="1">
      <c r="A18" s="37" t="s">
        <v>7</v>
      </c>
      <c r="B18" s="39">
        <v>83</v>
      </c>
      <c r="C18" s="38">
        <v>92</v>
      </c>
      <c r="D18" s="38">
        <v>385</v>
      </c>
      <c r="E18" s="38">
        <v>154</v>
      </c>
      <c r="F18" s="41">
        <v>100</v>
      </c>
      <c r="G18" s="42">
        <v>141</v>
      </c>
      <c r="H18" s="1">
        <v>75</v>
      </c>
      <c r="I18" s="1">
        <v>291</v>
      </c>
      <c r="J18" s="1">
        <v>161</v>
      </c>
      <c r="K18" s="1">
        <v>106</v>
      </c>
      <c r="L18" s="42">
        <v>34</v>
      </c>
      <c r="M18" s="1">
        <v>59</v>
      </c>
      <c r="N18" s="1">
        <v>319</v>
      </c>
      <c r="O18" s="1">
        <v>140</v>
      </c>
      <c r="P18" s="76">
        <v>96</v>
      </c>
      <c r="Q18" s="46" t="s">
        <v>57</v>
      </c>
      <c r="U18" s="30"/>
      <c r="V18" s="30"/>
      <c r="W18" s="30"/>
      <c r="X18" s="30"/>
      <c r="Y18" s="30"/>
      <c r="Z18" s="30"/>
      <c r="AA18" s="30"/>
      <c r="AB18" s="30"/>
      <c r="AF18" s="32" t="s">
        <v>46</v>
      </c>
      <c r="AG18" s="32">
        <f>AH8</f>
        <v>2191</v>
      </c>
      <c r="AH18" s="32">
        <f>AL8</f>
        <v>1156</v>
      </c>
    </row>
    <row r="19" spans="1:35" s="32" customFormat="1">
      <c r="A19" s="37" t="s">
        <v>8</v>
      </c>
      <c r="B19" s="39">
        <v>147</v>
      </c>
      <c r="C19" s="38">
        <v>121</v>
      </c>
      <c r="D19" s="38">
        <v>403</v>
      </c>
      <c r="E19" s="38">
        <v>198</v>
      </c>
      <c r="F19" s="41">
        <v>111</v>
      </c>
      <c r="G19" s="42">
        <v>99</v>
      </c>
      <c r="H19" s="1">
        <v>112</v>
      </c>
      <c r="I19" s="1">
        <v>411</v>
      </c>
      <c r="J19" s="1">
        <v>219</v>
      </c>
      <c r="K19" s="1">
        <v>114</v>
      </c>
      <c r="L19" s="42">
        <v>70</v>
      </c>
      <c r="M19" s="1">
        <v>142</v>
      </c>
      <c r="N19" s="1">
        <v>415</v>
      </c>
      <c r="O19" s="1">
        <v>197</v>
      </c>
      <c r="P19" s="76">
        <v>110</v>
      </c>
      <c r="Q19" s="46" t="s">
        <v>58</v>
      </c>
      <c r="U19" s="30"/>
      <c r="V19" s="30"/>
      <c r="W19" s="30"/>
      <c r="X19" s="30"/>
      <c r="Y19" s="30"/>
      <c r="Z19" s="30"/>
      <c r="AA19" s="30"/>
      <c r="AB19" s="30"/>
      <c r="AF19" s="32" t="s">
        <v>49</v>
      </c>
      <c r="AG19" s="32">
        <f>AH9</f>
        <v>2987</v>
      </c>
      <c r="AH19" s="32">
        <f>AL9</f>
        <v>1953</v>
      </c>
    </row>
    <row r="20" spans="1:35" s="32" customFormat="1">
      <c r="A20" s="37" t="s">
        <v>9</v>
      </c>
      <c r="B20" s="39">
        <v>43</v>
      </c>
      <c r="C20" s="38">
        <v>70</v>
      </c>
      <c r="D20" s="38">
        <v>298</v>
      </c>
      <c r="E20" s="38">
        <v>119</v>
      </c>
      <c r="F20" s="41">
        <v>89</v>
      </c>
      <c r="G20" s="42">
        <v>57</v>
      </c>
      <c r="H20" s="1">
        <v>51</v>
      </c>
      <c r="I20" s="1">
        <v>257</v>
      </c>
      <c r="J20" s="1">
        <v>108</v>
      </c>
      <c r="K20" s="1">
        <v>68</v>
      </c>
      <c r="L20" s="42">
        <v>36</v>
      </c>
      <c r="M20" s="1">
        <v>47</v>
      </c>
      <c r="N20" s="1">
        <v>275</v>
      </c>
      <c r="O20" s="1">
        <v>116</v>
      </c>
      <c r="P20" s="76">
        <v>62</v>
      </c>
      <c r="Q20" s="46" t="s">
        <v>59</v>
      </c>
      <c r="U20" s="30"/>
      <c r="V20" s="30"/>
      <c r="W20" s="30"/>
      <c r="X20" s="30"/>
      <c r="Y20" s="30"/>
      <c r="Z20" s="30"/>
      <c r="AA20" s="30"/>
      <c r="AB20" s="30"/>
    </row>
    <row r="21" spans="1:35" s="32" customFormat="1">
      <c r="A21" s="37" t="s">
        <v>10</v>
      </c>
      <c r="B21" s="39">
        <v>140</v>
      </c>
      <c r="C21" s="38">
        <v>113</v>
      </c>
      <c r="D21" s="38">
        <v>344</v>
      </c>
      <c r="E21" s="38">
        <v>133</v>
      </c>
      <c r="F21" s="41">
        <v>90</v>
      </c>
      <c r="G21" s="42">
        <v>143</v>
      </c>
      <c r="H21" s="1">
        <v>104</v>
      </c>
      <c r="I21" s="1">
        <v>328</v>
      </c>
      <c r="J21" s="1">
        <v>140</v>
      </c>
      <c r="K21" s="1">
        <v>73</v>
      </c>
      <c r="L21" s="42">
        <v>72</v>
      </c>
      <c r="M21" s="1">
        <v>70</v>
      </c>
      <c r="N21" s="1">
        <v>320</v>
      </c>
      <c r="O21" s="1">
        <v>68</v>
      </c>
      <c r="P21" s="76">
        <v>49</v>
      </c>
      <c r="Q21" s="46" t="s">
        <v>60</v>
      </c>
      <c r="U21" s="30"/>
      <c r="V21" s="30"/>
      <c r="W21" s="30"/>
      <c r="X21" s="30"/>
      <c r="Y21" s="30"/>
      <c r="Z21" s="30"/>
      <c r="AA21" s="30"/>
      <c r="AB21" s="30"/>
    </row>
    <row r="22" spans="1:35" s="32" customFormat="1">
      <c r="A22" s="37" t="s">
        <v>12</v>
      </c>
      <c r="B22" s="39">
        <v>106</v>
      </c>
      <c r="C22" s="38">
        <v>135</v>
      </c>
      <c r="D22" s="38">
        <v>403</v>
      </c>
      <c r="E22" s="38">
        <v>195</v>
      </c>
      <c r="F22" s="41">
        <v>126</v>
      </c>
      <c r="G22" s="42">
        <v>129</v>
      </c>
      <c r="H22" s="1">
        <v>160</v>
      </c>
      <c r="I22" s="1">
        <v>406</v>
      </c>
      <c r="J22" s="1">
        <v>201</v>
      </c>
      <c r="K22" s="1">
        <v>132</v>
      </c>
      <c r="L22" s="42">
        <v>207</v>
      </c>
      <c r="M22" s="1">
        <v>112</v>
      </c>
      <c r="N22" s="1">
        <v>358</v>
      </c>
      <c r="O22" s="1">
        <v>152</v>
      </c>
      <c r="P22" s="76">
        <v>108</v>
      </c>
      <c r="Q22" s="46" t="s">
        <v>61</v>
      </c>
      <c r="U22" s="30"/>
      <c r="V22" s="30"/>
      <c r="W22" s="30"/>
      <c r="X22" s="30"/>
      <c r="Y22" s="30"/>
      <c r="Z22" s="30"/>
      <c r="AA22" s="30"/>
      <c r="AB22" s="30"/>
      <c r="AF22" s="32" t="s">
        <v>36</v>
      </c>
    </row>
    <row r="23" spans="1:35" s="32" customFormat="1">
      <c r="A23" s="37" t="s">
        <v>13</v>
      </c>
      <c r="B23" s="39">
        <v>37</v>
      </c>
      <c r="C23" s="38">
        <v>87</v>
      </c>
      <c r="D23" s="38">
        <v>291</v>
      </c>
      <c r="E23" s="38">
        <v>111</v>
      </c>
      <c r="F23" s="41">
        <v>79</v>
      </c>
      <c r="G23" s="42">
        <v>41</v>
      </c>
      <c r="H23" s="1">
        <v>104</v>
      </c>
      <c r="I23" s="1">
        <v>273</v>
      </c>
      <c r="J23" s="1">
        <v>89</v>
      </c>
      <c r="K23" s="1">
        <v>89</v>
      </c>
      <c r="L23" s="42">
        <v>16</v>
      </c>
      <c r="M23" s="1">
        <v>87</v>
      </c>
      <c r="N23" s="1">
        <v>239</v>
      </c>
      <c r="O23" s="1">
        <v>110</v>
      </c>
      <c r="P23" s="76">
        <v>62</v>
      </c>
      <c r="Q23" s="46" t="s">
        <v>62</v>
      </c>
      <c r="U23" s="30"/>
      <c r="V23" s="30"/>
      <c r="W23" s="30"/>
      <c r="X23" s="30"/>
      <c r="Y23" s="30"/>
      <c r="Z23" s="30"/>
      <c r="AA23" s="30"/>
      <c r="AB23" s="30"/>
      <c r="AF23" s="32">
        <v>2015</v>
      </c>
      <c r="AG23" s="32">
        <v>2016</v>
      </c>
      <c r="AH23" s="32">
        <v>2017</v>
      </c>
      <c r="AI23" s="32">
        <v>2018</v>
      </c>
    </row>
    <row r="24" spans="1:35" s="32" customFormat="1">
      <c r="A24" s="37" t="s">
        <v>14</v>
      </c>
      <c r="B24" s="39">
        <v>39</v>
      </c>
      <c r="C24" s="38">
        <v>103</v>
      </c>
      <c r="D24" s="38">
        <v>276</v>
      </c>
      <c r="E24" s="38">
        <v>123</v>
      </c>
      <c r="F24" s="41">
        <v>90</v>
      </c>
      <c r="G24" s="42">
        <v>40</v>
      </c>
      <c r="H24" s="1">
        <v>88</v>
      </c>
      <c r="I24" s="1">
        <v>280</v>
      </c>
      <c r="J24" s="1">
        <v>121</v>
      </c>
      <c r="K24" s="1">
        <v>83</v>
      </c>
      <c r="L24" s="42">
        <v>27</v>
      </c>
      <c r="M24" s="1">
        <v>81</v>
      </c>
      <c r="N24" s="1">
        <v>306</v>
      </c>
      <c r="O24" s="1">
        <v>88</v>
      </c>
      <c r="P24" s="76">
        <v>70</v>
      </c>
      <c r="Q24" s="46" t="s">
        <v>63</v>
      </c>
      <c r="U24" s="30"/>
      <c r="V24" s="30"/>
      <c r="W24" s="30"/>
      <c r="X24" s="30"/>
      <c r="Y24" s="30"/>
      <c r="Z24" s="30"/>
      <c r="AA24" s="30"/>
      <c r="AB24" s="30"/>
      <c r="AE24" s="32" t="s">
        <v>1</v>
      </c>
      <c r="AF24" s="32">
        <v>5763</v>
      </c>
      <c r="AG24" s="32">
        <v>5488</v>
      </c>
      <c r="AH24" s="32">
        <f>AG7</f>
        <v>5048</v>
      </c>
      <c r="AI24" s="32">
        <f>AH7</f>
        <v>5178</v>
      </c>
    </row>
    <row r="25" spans="1:35" s="32" customFormat="1">
      <c r="A25" s="37" t="s">
        <v>15</v>
      </c>
      <c r="B25" s="39">
        <v>16</v>
      </c>
      <c r="C25" s="38">
        <v>24</v>
      </c>
      <c r="D25" s="38">
        <v>48</v>
      </c>
      <c r="E25" s="38">
        <v>21</v>
      </c>
      <c r="F25" s="41">
        <v>7</v>
      </c>
      <c r="G25" s="42">
        <v>10</v>
      </c>
      <c r="H25" s="1">
        <v>18</v>
      </c>
      <c r="I25" s="1">
        <v>55</v>
      </c>
      <c r="J25" s="1">
        <v>13</v>
      </c>
      <c r="K25" s="1">
        <v>11</v>
      </c>
      <c r="L25" s="42">
        <v>3</v>
      </c>
      <c r="M25" s="1">
        <v>17</v>
      </c>
      <c r="N25" s="1">
        <v>56</v>
      </c>
      <c r="O25" s="1">
        <v>19</v>
      </c>
      <c r="P25" s="76">
        <v>23</v>
      </c>
      <c r="Q25" s="46" t="s">
        <v>64</v>
      </c>
      <c r="U25" s="30"/>
      <c r="V25" s="30"/>
      <c r="W25" s="30"/>
      <c r="X25" s="30"/>
      <c r="Y25" s="30"/>
      <c r="Z25" s="30"/>
      <c r="AA25" s="30"/>
      <c r="AB25" s="30"/>
      <c r="AE25" s="32" t="s">
        <v>46</v>
      </c>
      <c r="AF25" s="32">
        <v>2417</v>
      </c>
      <c r="AG25" s="32">
        <v>2304</v>
      </c>
      <c r="AH25" s="32">
        <f t="shared" ref="AH25:AI26" si="5">AG8</f>
        <v>1979</v>
      </c>
      <c r="AI25" s="32">
        <f t="shared" si="5"/>
        <v>2191</v>
      </c>
    </row>
    <row r="26" spans="1:35" s="32" customFormat="1">
      <c r="A26" s="37" t="s">
        <v>16</v>
      </c>
      <c r="B26" s="39">
        <v>11</v>
      </c>
      <c r="C26" s="38">
        <v>24</v>
      </c>
      <c r="D26" s="38">
        <v>153</v>
      </c>
      <c r="E26" s="38">
        <v>58</v>
      </c>
      <c r="F26" s="41">
        <v>41</v>
      </c>
      <c r="G26" s="42">
        <v>19</v>
      </c>
      <c r="H26" s="1">
        <v>17</v>
      </c>
      <c r="I26" s="1">
        <v>123</v>
      </c>
      <c r="J26" s="1">
        <v>51</v>
      </c>
      <c r="K26" s="1">
        <v>31</v>
      </c>
      <c r="L26" s="42">
        <v>13</v>
      </c>
      <c r="M26" s="1">
        <v>30</v>
      </c>
      <c r="N26" s="1">
        <v>136</v>
      </c>
      <c r="O26" s="1">
        <v>64</v>
      </c>
      <c r="P26" s="76">
        <v>44</v>
      </c>
      <c r="Q26" s="46" t="s">
        <v>65</v>
      </c>
      <c r="U26" s="30"/>
      <c r="V26" s="30"/>
      <c r="W26" s="30"/>
      <c r="X26" s="30"/>
      <c r="Y26" s="30"/>
      <c r="Z26" s="30"/>
      <c r="AA26" s="30"/>
      <c r="AB26" s="30"/>
      <c r="AE26" s="32" t="s">
        <v>49</v>
      </c>
      <c r="AF26" s="32">
        <v>3346</v>
      </c>
      <c r="AG26" s="32">
        <v>3184</v>
      </c>
      <c r="AH26" s="32">
        <f t="shared" si="5"/>
        <v>3069</v>
      </c>
      <c r="AI26" s="32">
        <f t="shared" si="5"/>
        <v>2987</v>
      </c>
    </row>
    <row r="27" spans="1:35" s="32" customFormat="1">
      <c r="A27" s="37" t="s">
        <v>17</v>
      </c>
      <c r="B27" s="39">
        <v>17</v>
      </c>
      <c r="C27" s="38">
        <v>42</v>
      </c>
      <c r="D27" s="38">
        <v>154</v>
      </c>
      <c r="E27" s="38">
        <v>40</v>
      </c>
      <c r="F27" s="41">
        <v>35</v>
      </c>
      <c r="G27" s="42">
        <v>21</v>
      </c>
      <c r="H27" s="1">
        <v>65</v>
      </c>
      <c r="I27" s="1">
        <v>149</v>
      </c>
      <c r="J27" s="1">
        <v>56</v>
      </c>
      <c r="K27" s="1">
        <v>30</v>
      </c>
      <c r="L27" s="42">
        <v>6</v>
      </c>
      <c r="M27" s="1">
        <v>53</v>
      </c>
      <c r="N27" s="1">
        <v>143</v>
      </c>
      <c r="O27" s="1">
        <v>49</v>
      </c>
      <c r="P27" s="76">
        <v>31</v>
      </c>
      <c r="Q27" s="46" t="s">
        <v>66</v>
      </c>
      <c r="U27" s="30"/>
      <c r="V27" s="30"/>
      <c r="W27" s="30"/>
      <c r="X27" s="30"/>
      <c r="Y27" s="30"/>
      <c r="Z27" s="30"/>
      <c r="AA27" s="30"/>
      <c r="AB27" s="30"/>
    </row>
    <row r="28" spans="1:35" s="32" customFormat="1">
      <c r="A28" s="37" t="s">
        <v>18</v>
      </c>
      <c r="B28" s="39">
        <v>17</v>
      </c>
      <c r="C28" s="38">
        <v>43</v>
      </c>
      <c r="D28" s="38">
        <v>156</v>
      </c>
      <c r="E28" s="38">
        <v>58</v>
      </c>
      <c r="F28" s="41">
        <v>41</v>
      </c>
      <c r="G28" s="42">
        <v>22</v>
      </c>
      <c r="H28" s="1">
        <v>41</v>
      </c>
      <c r="I28" s="1">
        <v>151</v>
      </c>
      <c r="J28" s="1">
        <v>56</v>
      </c>
      <c r="K28" s="1">
        <v>41</v>
      </c>
      <c r="L28" s="42">
        <v>18</v>
      </c>
      <c r="M28" s="1">
        <v>45</v>
      </c>
      <c r="N28" s="1">
        <v>126</v>
      </c>
      <c r="O28" s="1">
        <v>67</v>
      </c>
      <c r="P28" s="76">
        <v>34</v>
      </c>
      <c r="Q28" s="46" t="s">
        <v>67</v>
      </c>
      <c r="U28" s="30"/>
      <c r="V28" s="30"/>
      <c r="W28" s="30"/>
      <c r="X28" s="30"/>
      <c r="Y28" s="30"/>
      <c r="Z28" s="30"/>
      <c r="AA28" s="30"/>
      <c r="AB28" s="30"/>
      <c r="AF28" s="32" t="s">
        <v>37</v>
      </c>
    </row>
    <row r="29" spans="1:35" s="32" customFormat="1">
      <c r="A29" s="37" t="s">
        <v>19</v>
      </c>
      <c r="B29" s="39">
        <v>72</v>
      </c>
      <c r="C29" s="38">
        <v>98</v>
      </c>
      <c r="D29" s="38">
        <v>313</v>
      </c>
      <c r="E29" s="38">
        <v>139</v>
      </c>
      <c r="F29" s="41">
        <v>112</v>
      </c>
      <c r="G29" s="42">
        <v>75</v>
      </c>
      <c r="H29" s="1">
        <v>81</v>
      </c>
      <c r="I29" s="1">
        <v>306</v>
      </c>
      <c r="J29" s="1">
        <v>130</v>
      </c>
      <c r="K29" s="1">
        <v>82</v>
      </c>
      <c r="L29" s="42">
        <v>26</v>
      </c>
      <c r="M29" s="1">
        <v>80</v>
      </c>
      <c r="N29" s="1">
        <v>264</v>
      </c>
      <c r="O29" s="1">
        <v>109</v>
      </c>
      <c r="P29" s="76">
        <v>74</v>
      </c>
      <c r="Q29" s="46" t="s">
        <v>68</v>
      </c>
      <c r="U29" s="30"/>
      <c r="V29" s="30"/>
      <c r="W29" s="30"/>
      <c r="X29" s="30"/>
      <c r="Y29" s="30"/>
      <c r="Z29" s="30"/>
      <c r="AA29" s="30"/>
      <c r="AB29" s="30"/>
      <c r="AF29" s="32">
        <v>2015</v>
      </c>
      <c r="AG29" s="32">
        <v>2016</v>
      </c>
      <c r="AH29" s="32">
        <v>2017</v>
      </c>
      <c r="AI29" s="32">
        <v>2018</v>
      </c>
    </row>
    <row r="30" spans="1:35" s="32" customFormat="1">
      <c r="A30" s="37" t="s">
        <v>11</v>
      </c>
      <c r="B30" s="39">
        <v>244</v>
      </c>
      <c r="C30" s="38">
        <v>167</v>
      </c>
      <c r="D30" s="38">
        <v>614</v>
      </c>
      <c r="E30" s="38">
        <v>242</v>
      </c>
      <c r="F30" s="41">
        <v>165</v>
      </c>
      <c r="G30" s="42">
        <v>178</v>
      </c>
      <c r="H30" s="1">
        <v>131</v>
      </c>
      <c r="I30" s="1">
        <v>630</v>
      </c>
      <c r="J30" s="1">
        <v>232</v>
      </c>
      <c r="K30" s="1">
        <v>169</v>
      </c>
      <c r="L30" s="42">
        <v>124</v>
      </c>
      <c r="M30" s="1">
        <v>116</v>
      </c>
      <c r="N30" s="1">
        <v>482</v>
      </c>
      <c r="O30" s="1">
        <v>204</v>
      </c>
      <c r="P30" s="76">
        <v>135</v>
      </c>
      <c r="Q30" s="46" t="s">
        <v>69</v>
      </c>
      <c r="U30" s="30"/>
      <c r="V30" s="30"/>
      <c r="W30" s="30"/>
      <c r="X30" s="30"/>
      <c r="Y30" s="30"/>
      <c r="Z30" s="30"/>
      <c r="AA30" s="30"/>
      <c r="AB30" s="30"/>
      <c r="AE30" s="32" t="s">
        <v>1</v>
      </c>
      <c r="AF30" s="32">
        <v>3358</v>
      </c>
      <c r="AG30" s="32">
        <v>3417</v>
      </c>
      <c r="AH30" s="32">
        <f t="shared" ref="AH30:AI32" si="6">AK7</f>
        <v>3211</v>
      </c>
      <c r="AI30" s="32">
        <f t="shared" si="6"/>
        <v>3109</v>
      </c>
    </row>
    <row r="31" spans="1:35" s="32" customFormat="1">
      <c r="A31" s="37" t="s">
        <v>20</v>
      </c>
      <c r="B31" s="39">
        <v>143</v>
      </c>
      <c r="C31" s="38">
        <v>267</v>
      </c>
      <c r="D31" s="38">
        <v>408</v>
      </c>
      <c r="E31" s="38">
        <v>124</v>
      </c>
      <c r="F31" s="41">
        <v>95</v>
      </c>
      <c r="G31" s="42">
        <v>184</v>
      </c>
      <c r="H31" s="1">
        <v>284</v>
      </c>
      <c r="I31" s="1">
        <v>424</v>
      </c>
      <c r="J31" s="1">
        <v>141</v>
      </c>
      <c r="K31" s="1">
        <v>100</v>
      </c>
      <c r="L31" s="42">
        <v>113</v>
      </c>
      <c r="M31" s="1">
        <v>189</v>
      </c>
      <c r="N31" s="1">
        <v>430</v>
      </c>
      <c r="O31" s="1">
        <v>122</v>
      </c>
      <c r="P31" s="76">
        <v>82</v>
      </c>
      <c r="Q31" s="46" t="s">
        <v>70</v>
      </c>
      <c r="U31" s="30"/>
      <c r="V31" s="30"/>
      <c r="W31" s="30"/>
      <c r="X31" s="30"/>
      <c r="Y31" s="30"/>
      <c r="Z31" s="30"/>
      <c r="AA31" s="30"/>
      <c r="AB31" s="30"/>
      <c r="AE31" s="32" t="s">
        <v>46</v>
      </c>
      <c r="AF31" s="32">
        <v>1288</v>
      </c>
      <c r="AG31" s="32">
        <v>1341</v>
      </c>
      <c r="AH31" s="32">
        <f t="shared" si="6"/>
        <v>1248</v>
      </c>
      <c r="AI31" s="32">
        <f t="shared" si="6"/>
        <v>1156</v>
      </c>
    </row>
    <row r="32" spans="1:35" s="32" customFormat="1">
      <c r="A32" s="37" t="s">
        <v>21</v>
      </c>
      <c r="B32" s="39">
        <v>225</v>
      </c>
      <c r="C32" s="38">
        <v>156</v>
      </c>
      <c r="D32" s="38">
        <v>485</v>
      </c>
      <c r="E32" s="38">
        <v>175</v>
      </c>
      <c r="F32" s="41">
        <v>133</v>
      </c>
      <c r="G32" s="42">
        <v>256</v>
      </c>
      <c r="H32" s="1">
        <v>124</v>
      </c>
      <c r="I32" s="1">
        <v>423</v>
      </c>
      <c r="J32" s="1">
        <v>178</v>
      </c>
      <c r="K32" s="1">
        <v>104</v>
      </c>
      <c r="L32" s="42">
        <v>126</v>
      </c>
      <c r="M32" s="1">
        <v>147</v>
      </c>
      <c r="N32" s="1">
        <v>483</v>
      </c>
      <c r="O32" s="1">
        <v>186</v>
      </c>
      <c r="P32" s="76">
        <v>130</v>
      </c>
      <c r="Q32" s="46" t="s">
        <v>71</v>
      </c>
      <c r="U32" s="30"/>
      <c r="V32" s="30"/>
      <c r="W32" s="30"/>
      <c r="X32" s="30"/>
      <c r="Y32" s="30"/>
      <c r="Z32" s="30"/>
      <c r="AA32" s="30"/>
      <c r="AB32" s="30"/>
      <c r="AE32" s="32" t="s">
        <v>49</v>
      </c>
      <c r="AF32" s="32">
        <v>2070</v>
      </c>
      <c r="AG32" s="32">
        <v>2076</v>
      </c>
      <c r="AH32" s="32">
        <f t="shared" si="6"/>
        <v>1963</v>
      </c>
      <c r="AI32" s="32">
        <f t="shared" si="6"/>
        <v>1953</v>
      </c>
    </row>
    <row r="33" spans="1:38" s="32" customFormat="1">
      <c r="A33" s="37" t="s">
        <v>22</v>
      </c>
      <c r="B33" s="39">
        <v>156</v>
      </c>
      <c r="C33" s="38">
        <v>114</v>
      </c>
      <c r="D33" s="38">
        <v>377</v>
      </c>
      <c r="E33" s="38">
        <v>129</v>
      </c>
      <c r="F33" s="41">
        <v>105</v>
      </c>
      <c r="G33" s="42">
        <v>275</v>
      </c>
      <c r="H33" s="1">
        <v>105</v>
      </c>
      <c r="I33" s="1">
        <v>377</v>
      </c>
      <c r="J33" s="1">
        <v>129</v>
      </c>
      <c r="K33" s="1">
        <v>97</v>
      </c>
      <c r="L33" s="42">
        <v>164</v>
      </c>
      <c r="M33" s="1">
        <v>82</v>
      </c>
      <c r="N33" s="1">
        <v>385</v>
      </c>
      <c r="O33" s="1">
        <v>159</v>
      </c>
      <c r="P33" s="76">
        <v>104</v>
      </c>
      <c r="Q33" s="46" t="s">
        <v>72</v>
      </c>
      <c r="U33" s="30"/>
      <c r="V33" s="30"/>
      <c r="W33" s="30"/>
      <c r="X33" s="30"/>
      <c r="Y33" s="30"/>
      <c r="Z33" s="30"/>
      <c r="AA33" s="30"/>
      <c r="AB33" s="30"/>
    </row>
    <row r="34" spans="1:38" s="32" customFormat="1">
      <c r="A34" s="47" t="s">
        <v>6</v>
      </c>
      <c r="B34" s="49">
        <v>451</v>
      </c>
      <c r="C34" s="48">
        <v>342</v>
      </c>
      <c r="D34" s="48">
        <v>836</v>
      </c>
      <c r="E34" s="48">
        <v>299</v>
      </c>
      <c r="F34" s="50">
        <v>192</v>
      </c>
      <c r="G34" s="51">
        <v>333</v>
      </c>
      <c r="H34" s="52">
        <v>336</v>
      </c>
      <c r="I34" s="52">
        <v>783</v>
      </c>
      <c r="J34" s="52">
        <v>283</v>
      </c>
      <c r="K34" s="52">
        <v>179</v>
      </c>
      <c r="L34" s="51">
        <v>259</v>
      </c>
      <c r="M34" s="52">
        <v>338</v>
      </c>
      <c r="N34" s="52">
        <v>791</v>
      </c>
      <c r="O34" s="52">
        <v>266</v>
      </c>
      <c r="P34" s="77">
        <v>203</v>
      </c>
      <c r="Q34" s="53" t="s">
        <v>73</v>
      </c>
      <c r="U34" s="30"/>
      <c r="V34" s="30"/>
      <c r="W34" s="30"/>
      <c r="X34" s="30"/>
      <c r="Y34" s="30"/>
      <c r="Z34" s="30"/>
      <c r="AA34" s="30"/>
      <c r="AB34" s="30"/>
    </row>
    <row r="35" spans="1:38" ht="15">
      <c r="A35" s="54" t="s">
        <v>29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2" t="s">
        <v>30</v>
      </c>
    </row>
    <row r="37" spans="1:38">
      <c r="AD37" s="59"/>
      <c r="AE37" s="10"/>
      <c r="AF37" s="8"/>
      <c r="AG37" s="8"/>
    </row>
    <row r="38" spans="1:38">
      <c r="AD38" s="59"/>
      <c r="AE38" s="40"/>
      <c r="AF38" s="38"/>
      <c r="AG38" s="38"/>
    </row>
    <row r="39" spans="1:38">
      <c r="AD39" s="59"/>
      <c r="AE39" s="40"/>
      <c r="AF39" s="38"/>
      <c r="AG39" s="38"/>
    </row>
    <row r="40" spans="1:38">
      <c r="AD40" s="59"/>
      <c r="AE40" s="40"/>
      <c r="AF40" s="38"/>
      <c r="AG40" s="38"/>
    </row>
    <row r="41" spans="1:38">
      <c r="AD41" s="59"/>
      <c r="AE41" s="40"/>
      <c r="AF41" s="38"/>
      <c r="AG41" s="38"/>
    </row>
    <row r="42" spans="1:38">
      <c r="AD42" s="59"/>
      <c r="AE42" s="40"/>
      <c r="AF42" s="38"/>
      <c r="AG42" s="38"/>
    </row>
    <row r="43" spans="1:38">
      <c r="AD43" s="59"/>
      <c r="AE43" s="40"/>
      <c r="AF43" s="38"/>
      <c r="AG43" s="38"/>
    </row>
    <row r="44" spans="1:38">
      <c r="AD44" s="59"/>
      <c r="AE44" s="40"/>
      <c r="AF44" s="38"/>
      <c r="AG44" s="38"/>
    </row>
    <row r="45" spans="1:38">
      <c r="AD45" s="59"/>
      <c r="AE45" s="40"/>
      <c r="AF45" s="38"/>
      <c r="AG45" s="38"/>
    </row>
    <row r="46" spans="1:38">
      <c r="AD46" s="59"/>
      <c r="AE46" s="40"/>
      <c r="AF46" s="38"/>
      <c r="AG46" s="38"/>
    </row>
    <row r="47" spans="1:38">
      <c r="AC47" s="62"/>
      <c r="AD47" s="71"/>
      <c r="AE47" s="72"/>
      <c r="AF47" s="73"/>
      <c r="AG47" s="73"/>
      <c r="AH47" s="62"/>
      <c r="AI47" s="62"/>
      <c r="AJ47" s="62"/>
      <c r="AK47" s="62"/>
    </row>
    <row r="48" spans="1:38">
      <c r="AB48" s="69"/>
      <c r="AC48" s="5"/>
      <c r="AD48" s="74"/>
      <c r="AE48" s="1"/>
      <c r="AF48" s="1"/>
      <c r="AG48" s="1"/>
      <c r="AH48" s="5"/>
      <c r="AI48" s="5"/>
      <c r="AJ48" s="5"/>
      <c r="AK48" s="5"/>
      <c r="AL48" s="70"/>
    </row>
    <row r="49" spans="2:38">
      <c r="AB49" s="69"/>
      <c r="AC49" s="5"/>
      <c r="AD49" s="74"/>
      <c r="AE49" s="1"/>
      <c r="AF49" s="1"/>
      <c r="AG49" s="1"/>
      <c r="AH49" s="5"/>
      <c r="AI49" s="5"/>
      <c r="AJ49" s="5"/>
      <c r="AK49" s="5"/>
      <c r="AL49" s="70"/>
    </row>
    <row r="50" spans="2:38" ht="12.75"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AB50" s="69"/>
      <c r="AC50" s="5"/>
      <c r="AD50" s="74"/>
      <c r="AE50" s="1"/>
      <c r="AF50" s="1"/>
      <c r="AG50" s="1"/>
      <c r="AH50" s="5"/>
      <c r="AI50" s="5"/>
      <c r="AJ50" s="5"/>
      <c r="AK50" s="5"/>
      <c r="AL50" s="70"/>
    </row>
    <row r="51" spans="2:38" ht="12.75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AB51" s="69"/>
      <c r="AC51" s="5"/>
      <c r="AD51" s="74"/>
      <c r="AE51" s="1"/>
      <c r="AF51" s="1"/>
      <c r="AG51" s="1"/>
      <c r="AH51" s="5"/>
      <c r="AI51" s="5"/>
      <c r="AJ51" s="5"/>
      <c r="AK51" s="5"/>
      <c r="AL51" s="70"/>
    </row>
    <row r="52" spans="2:38" ht="12.75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AB52" s="69"/>
      <c r="AC52" s="5"/>
      <c r="AD52" s="74"/>
      <c r="AE52" s="1"/>
      <c r="AF52" s="1"/>
      <c r="AG52" s="1"/>
      <c r="AH52" s="5"/>
      <c r="AI52" s="5"/>
      <c r="AJ52" s="5"/>
      <c r="AK52" s="5"/>
      <c r="AL52" s="70"/>
    </row>
    <row r="53" spans="2:38" ht="12.75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AB53" s="69"/>
      <c r="AC53" s="5"/>
      <c r="AD53" s="74"/>
      <c r="AE53" s="1"/>
      <c r="AF53" s="1"/>
      <c r="AG53" s="1"/>
      <c r="AH53" s="5"/>
      <c r="AI53" s="5"/>
      <c r="AJ53" s="5"/>
      <c r="AK53" s="5"/>
      <c r="AL53" s="70"/>
    </row>
    <row r="54" spans="2:38" ht="12.75"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AB54" s="69"/>
      <c r="AC54" s="5"/>
      <c r="AD54" s="74"/>
      <c r="AE54" s="1"/>
      <c r="AF54" s="1"/>
      <c r="AG54" s="1"/>
      <c r="AH54" s="5"/>
      <c r="AI54" s="5"/>
      <c r="AJ54" s="5"/>
      <c r="AK54" s="5"/>
      <c r="AL54" s="70"/>
    </row>
    <row r="55" spans="2:38" ht="12.75"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AB55" s="69"/>
      <c r="AC55" s="5"/>
      <c r="AD55" s="74"/>
      <c r="AE55" s="1"/>
      <c r="AF55" s="1"/>
      <c r="AG55" s="1"/>
      <c r="AH55" s="5"/>
      <c r="AI55" s="5"/>
      <c r="AJ55" s="5"/>
      <c r="AK55" s="5"/>
      <c r="AL55" s="70"/>
    </row>
    <row r="56" spans="2:38" ht="12.75"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AB56" s="69"/>
      <c r="AC56" s="5"/>
      <c r="AD56" s="74"/>
      <c r="AE56" s="1"/>
      <c r="AF56" s="1"/>
      <c r="AG56" s="1"/>
      <c r="AH56" s="5"/>
      <c r="AI56" s="5"/>
      <c r="AJ56" s="5"/>
      <c r="AK56" s="5"/>
      <c r="AL56" s="70"/>
    </row>
    <row r="57" spans="2:38" ht="12.75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AB57" s="69"/>
      <c r="AC57" s="5"/>
      <c r="AD57" s="74"/>
      <c r="AE57" s="1"/>
      <c r="AF57" s="1"/>
      <c r="AG57" s="1"/>
      <c r="AH57" s="5"/>
      <c r="AI57" s="5"/>
      <c r="AJ57" s="5"/>
      <c r="AK57" s="5"/>
      <c r="AL57" s="70"/>
    </row>
    <row r="58" spans="2:38" ht="12.75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AB58" s="69"/>
      <c r="AC58" s="5"/>
      <c r="AD58" s="75"/>
      <c r="AE58" s="3"/>
      <c r="AF58" s="3"/>
      <c r="AG58" s="3"/>
      <c r="AH58" s="5"/>
      <c r="AI58" s="5"/>
      <c r="AJ58" s="5"/>
      <c r="AK58" s="5"/>
      <c r="AL58" s="70"/>
    </row>
    <row r="59" spans="2:38">
      <c r="AB59" s="69"/>
      <c r="AC59" s="5"/>
      <c r="AD59" s="5"/>
      <c r="AE59" s="5"/>
      <c r="AF59" s="5"/>
      <c r="AG59" s="5"/>
      <c r="AH59" s="5"/>
      <c r="AI59" s="5"/>
      <c r="AJ59" s="5"/>
      <c r="AK59" s="5"/>
      <c r="AL59" s="70"/>
    </row>
    <row r="60" spans="2:38">
      <c r="AB60" s="69"/>
      <c r="AC60" s="5"/>
      <c r="AD60" s="5"/>
      <c r="AE60" s="5"/>
      <c r="AF60" s="5"/>
      <c r="AG60" s="5"/>
      <c r="AH60" s="5"/>
      <c r="AI60" s="5"/>
      <c r="AJ60" s="5"/>
      <c r="AK60" s="5"/>
      <c r="AL60" s="70"/>
    </row>
    <row r="61" spans="2:38">
      <c r="AB61" s="69"/>
      <c r="AC61" s="5"/>
      <c r="AD61" s="5"/>
      <c r="AE61" s="5"/>
      <c r="AF61" s="5"/>
      <c r="AG61" s="5"/>
      <c r="AH61" s="5"/>
      <c r="AI61" s="5"/>
      <c r="AJ61" s="5"/>
      <c r="AK61" s="5"/>
      <c r="AL61" s="70"/>
    </row>
    <row r="62" spans="2:38" ht="24.75" customHeight="1">
      <c r="AB62" s="69"/>
      <c r="AC62" s="5"/>
      <c r="AD62" s="5"/>
      <c r="AE62" s="5"/>
      <c r="AF62" s="5"/>
      <c r="AG62" s="5"/>
      <c r="AH62" s="5"/>
      <c r="AI62" s="5"/>
      <c r="AJ62" s="5"/>
      <c r="AK62" s="5"/>
      <c r="AL62" s="70"/>
    </row>
    <row r="63" spans="2:38">
      <c r="AB63" s="69"/>
      <c r="AC63" s="5"/>
      <c r="AD63" s="5"/>
      <c r="AE63" s="5"/>
      <c r="AF63" s="5"/>
      <c r="AG63" s="5"/>
      <c r="AH63" s="5"/>
      <c r="AI63" s="5"/>
      <c r="AJ63" s="5"/>
      <c r="AK63" s="5"/>
      <c r="AL63" s="70"/>
    </row>
    <row r="64" spans="2:38">
      <c r="AB64" s="69"/>
      <c r="AC64" s="5"/>
      <c r="AD64" s="5"/>
      <c r="AE64" s="5"/>
      <c r="AF64" s="5"/>
      <c r="AG64" s="5"/>
      <c r="AH64" s="5"/>
      <c r="AI64" s="5"/>
      <c r="AJ64" s="5"/>
      <c r="AK64" s="5"/>
      <c r="AL64" s="70"/>
    </row>
    <row r="65" spans="2:38">
      <c r="AB65" s="69"/>
      <c r="AC65" s="5"/>
      <c r="AD65" s="5"/>
      <c r="AE65" s="5"/>
      <c r="AF65" s="5"/>
      <c r="AG65" s="5"/>
      <c r="AH65" s="5"/>
      <c r="AI65" s="5"/>
      <c r="AJ65" s="5"/>
      <c r="AK65" s="5"/>
      <c r="AL65" s="70"/>
    </row>
    <row r="66" spans="2:38">
      <c r="AB66" s="69"/>
      <c r="AC66" s="5"/>
      <c r="AD66" s="5"/>
      <c r="AE66" s="5"/>
      <c r="AF66" s="5"/>
      <c r="AG66" s="5"/>
      <c r="AH66" s="5"/>
      <c r="AI66" s="5"/>
      <c r="AJ66" s="5"/>
      <c r="AK66" s="5"/>
      <c r="AL66" s="70"/>
    </row>
    <row r="67" spans="2:38">
      <c r="AB67" s="69"/>
      <c r="AC67" s="5"/>
      <c r="AD67" s="5"/>
      <c r="AE67" s="5"/>
      <c r="AF67" s="5"/>
      <c r="AG67" s="5"/>
      <c r="AH67" s="5"/>
      <c r="AI67" s="5"/>
      <c r="AJ67" s="5"/>
      <c r="AK67" s="5"/>
      <c r="AL67" s="70"/>
    </row>
    <row r="68" spans="2:38">
      <c r="AC68" s="68"/>
      <c r="AD68" s="68"/>
      <c r="AE68" s="68"/>
      <c r="AF68" s="68"/>
      <c r="AG68" s="68"/>
      <c r="AH68" s="68"/>
      <c r="AI68" s="68"/>
      <c r="AJ68" s="68"/>
      <c r="AK68" s="68"/>
    </row>
    <row r="70" spans="2:38" ht="61.5"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1"/>
    </row>
    <row r="71" spans="2:38" s="62" customFormat="1" ht="36.75" customHeight="1"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4"/>
    </row>
    <row r="72" spans="2:38" s="5" customFormat="1" ht="61.5"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</row>
    <row r="73" spans="2:38" s="5" customFormat="1" ht="61.5"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</row>
    <row r="74" spans="2:38" s="5" customFormat="1" ht="61.5"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</row>
    <row r="75" spans="2:38" s="5" customFormat="1" ht="61.5"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</row>
    <row r="76" spans="2:38" s="5" customFormat="1" ht="61.5"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</row>
    <row r="77" spans="2:38" s="5" customFormat="1" ht="61.5"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</row>
    <row r="78" spans="2:38" s="5" customFormat="1"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6"/>
    </row>
    <row r="79" spans="2:38" s="5" customFormat="1"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6"/>
    </row>
    <row r="80" spans="2:38" s="5" customFormat="1"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6"/>
    </row>
    <row r="81" spans="2:17" s="5" customFormat="1"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6"/>
    </row>
    <row r="82" spans="2:17" s="5" customFormat="1"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6"/>
    </row>
    <row r="83" spans="2:17" s="5" customFormat="1"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6"/>
    </row>
    <row r="84" spans="2:17" s="5" customFormat="1"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6"/>
    </row>
    <row r="85" spans="2:17" s="5" customFormat="1"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6"/>
    </row>
    <row r="86" spans="2:17" s="68" customFormat="1"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67"/>
    </row>
  </sheetData>
  <mergeCells count="9">
    <mergeCell ref="L3:P3"/>
    <mergeCell ref="Q3:Q5"/>
    <mergeCell ref="AE5:AH5"/>
    <mergeCell ref="AI5:AL5"/>
    <mergeCell ref="A1:Q1"/>
    <mergeCell ref="A2:Q2"/>
    <mergeCell ref="A3:A5"/>
    <mergeCell ref="B3:F3"/>
    <mergeCell ref="G3:K3"/>
  </mergeCells>
  <pageMargins left="0.7" right="0.7" top="0.75" bottom="0.75" header="0.3" footer="0.3"/>
  <pageSetup paperSize="9" scale="3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8.24</vt:lpstr>
      <vt:lpstr>'8.24'!Print_Area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2019-11-20T03:44:42Z</cp:lastPrinted>
  <dcterms:created xsi:type="dcterms:W3CDTF">2019-06-30T04:22:49Z</dcterms:created>
  <dcterms:modified xsi:type="dcterms:W3CDTF">2019-11-20T03:44:53Z</dcterms:modified>
</cp:coreProperties>
</file>