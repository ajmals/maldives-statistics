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4.xml" ContentType="application/vnd.openxmlformats-officedocument.drawingml.chartshapes+xml"/>
  <Override PartName="/xl/charts/chart12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drawings/drawing17.xml" ContentType="application/vnd.openxmlformats-officedocument.drawingml.chartshape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8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omments2.xml" ContentType="application/vnd.openxmlformats-officedocument.spreadsheetml.comments+xml"/>
  <Override PartName="/xl/charts/chart24.xml" ContentType="application/vnd.openxmlformats-officedocument.drawingml.chart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5.xml" ContentType="application/vnd.openxmlformats-officedocument.drawingml.chart+xml"/>
  <Override PartName="/xl/comments3.xml" ContentType="application/vnd.openxmlformats-officedocument.spreadsheetml.comments+xml"/>
  <Override PartName="/xl/drawings/drawing27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29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30.xml" ContentType="application/vnd.openxmlformats-officedocument.drawing+xml"/>
  <Override PartName="/xl/charts/chart39.xml" ContentType="application/vnd.openxmlformats-officedocument.drawingml.chart+xml"/>
  <Override PartName="/xl/drawings/drawing31.xml" ContentType="application/vnd.openxmlformats-officedocument.drawingml.chartshapes+xml"/>
  <Override PartName="/xl/charts/chart40.xml" ContentType="application/vnd.openxmlformats-officedocument.drawingml.chart+xml"/>
  <Override PartName="/xl/drawings/drawing32.xml" ContentType="application/vnd.openxmlformats-officedocument.drawingml.chartshapes+xml"/>
  <Override PartName="/xl/charts/chart41.xml" ContentType="application/vnd.openxmlformats-officedocument.drawingml.chart+xml"/>
  <Override PartName="/xl/drawings/drawing33.xml" ContentType="application/vnd.openxmlformats-officedocument.drawingml.chartshapes+xml"/>
  <Override PartName="/xl/charts/chart42.xml" ContentType="application/vnd.openxmlformats-officedocument.drawingml.chart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36.xml" ContentType="application/vnd.openxmlformats-officedocument.drawing+xml"/>
  <Override PartName="/xl/charts/chart45.xml" ContentType="application/vnd.openxmlformats-officedocument.drawingml.chart+xml"/>
  <Override PartName="/xl/drawings/drawing37.xml" ContentType="application/vnd.openxmlformats-officedocument.drawingml.chartshapes+xml"/>
  <Override PartName="/xl/charts/chart4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8.xml" ContentType="application/vnd.openxmlformats-officedocument.drawing+xml"/>
  <Override PartName="/xl/charts/chart47.xml" ContentType="application/vnd.openxmlformats-officedocument.drawingml.chart+xml"/>
  <Override PartName="/xl/drawings/drawing39.xml" ContentType="application/vnd.openxmlformats-officedocument.drawing+xml"/>
  <Override PartName="/xl/charts/chart4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FINAL\"/>
    </mc:Choice>
  </mc:AlternateContent>
  <bookViews>
    <workbookView xWindow="0" yWindow="0" windowWidth="28800" windowHeight="12330" tabRatio="923" firstSheet="2" activeTab="14"/>
  </bookViews>
  <sheets>
    <sheet name="8.1" sheetId="1" r:id="rId1"/>
    <sheet name="8.2" sheetId="2" r:id="rId2"/>
    <sheet name="8.3" sheetId="3" r:id="rId3"/>
    <sheet name="8.4" sheetId="4" r:id="rId4"/>
    <sheet name="8.5" sheetId="5" r:id="rId5"/>
    <sheet name="8.6" sheetId="6" r:id="rId6"/>
    <sheet name="8.7" sheetId="7" r:id="rId7"/>
    <sheet name="8.8" sheetId="8" r:id="rId8"/>
    <sheet name="8.9" sheetId="9" r:id="rId9"/>
    <sheet name="8.10" sheetId="10" r:id="rId10"/>
    <sheet name="8.11" sheetId="11" r:id="rId11"/>
    <sheet name="8.12" sheetId="12" r:id="rId12"/>
    <sheet name="8.13" sheetId="13" r:id="rId13"/>
    <sheet name="8.14" sheetId="14" r:id="rId14"/>
    <sheet name="8.15" sheetId="15" r:id="rId15"/>
    <sheet name="8.16" sheetId="16" r:id="rId16"/>
    <sheet name="8.17" sheetId="17" r:id="rId17"/>
    <sheet name="8.18" sheetId="18" r:id="rId18"/>
    <sheet name="8.19" sheetId="19" r:id="rId19"/>
    <sheet name="8.20" sheetId="20" r:id="rId20"/>
    <sheet name="8.21" sheetId="24" r:id="rId21"/>
    <sheet name="8.22" sheetId="21" r:id="rId22"/>
    <sheet name="8.23" sheetId="23" r:id="rId23"/>
    <sheet name="8.24" sheetId="22" r:id="rId24"/>
    <sheet name="8.25" sheetId="25" r:id="rId25"/>
    <sheet name="8.29" sheetId="30" r:id="rId26"/>
    <sheet name="8.30" sheetId="26" r:id="rId27"/>
    <sheet name="8.31" sheetId="27" r:id="rId28"/>
    <sheet name="8.56" sheetId="28" r:id="rId29"/>
    <sheet name="8.57" sheetId="29" r:id="rId30"/>
    <sheet name="Sheet1" sheetId="31" r:id="rId31"/>
    <sheet name="Sheet2" sheetId="32" r:id="rId32"/>
    <sheet name="Sheet3" sheetId="33" r:id="rId33"/>
    <sheet name="Sheet4" sheetId="34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6" i="15" l="1"/>
  <c r="AB7" i="15"/>
  <c r="K7" i="7" l="1"/>
  <c r="K8" i="7"/>
  <c r="K9" i="7"/>
  <c r="K10" i="7"/>
  <c r="K11" i="7"/>
  <c r="K12" i="7"/>
  <c r="K13" i="7"/>
  <c r="K6" i="7"/>
  <c r="L13" i="7"/>
  <c r="L12" i="7"/>
  <c r="L11" i="7"/>
  <c r="L10" i="7"/>
  <c r="L9" i="7"/>
  <c r="L8" i="7"/>
  <c r="L7" i="7"/>
  <c r="L6" i="7"/>
  <c r="I6" i="7"/>
  <c r="L5" i="10" l="1"/>
  <c r="K5" i="10"/>
  <c r="L6" i="8"/>
  <c r="K6" i="8"/>
  <c r="K12" i="11" l="1"/>
  <c r="J12" i="11"/>
  <c r="K11" i="11"/>
  <c r="J11" i="11"/>
  <c r="J10" i="11"/>
  <c r="K9" i="11"/>
  <c r="J9" i="11"/>
  <c r="K8" i="11"/>
  <c r="J8" i="11"/>
  <c r="K7" i="11"/>
  <c r="J7" i="11"/>
  <c r="K6" i="11"/>
  <c r="J6" i="11"/>
  <c r="K5" i="11"/>
  <c r="J5" i="11"/>
  <c r="I5" i="11"/>
  <c r="H5" i="11"/>
  <c r="G5" i="11"/>
  <c r="F5" i="11"/>
  <c r="E5" i="11"/>
  <c r="D5" i="11"/>
  <c r="C5" i="11"/>
  <c r="B5" i="11"/>
  <c r="X7" i="27" l="1"/>
  <c r="Y7" i="27"/>
  <c r="X8" i="27"/>
  <c r="Y8" i="27"/>
  <c r="X9" i="27"/>
  <c r="Y9" i="27"/>
  <c r="X10" i="27"/>
  <c r="Y10" i="27"/>
  <c r="X11" i="27"/>
  <c r="Y11" i="27"/>
  <c r="X12" i="27"/>
  <c r="Y12" i="27"/>
  <c r="X13" i="27"/>
  <c r="Y13" i="27"/>
  <c r="X14" i="27"/>
  <c r="Y14" i="27"/>
  <c r="X15" i="27"/>
  <c r="Y15" i="27"/>
  <c r="X16" i="27"/>
  <c r="Y16" i="27"/>
  <c r="W8" i="27"/>
  <c r="W9" i="27"/>
  <c r="W10" i="27"/>
  <c r="W11" i="27"/>
  <c r="W12" i="27"/>
  <c r="W13" i="27"/>
  <c r="W14" i="27"/>
  <c r="W15" i="27"/>
  <c r="W16" i="27"/>
  <c r="W7" i="27"/>
  <c r="L7" i="27"/>
  <c r="K7" i="27" s="1"/>
  <c r="M7" i="27"/>
  <c r="O7" i="27"/>
  <c r="P7" i="27"/>
  <c r="N7" i="27" l="1"/>
  <c r="N16" i="27"/>
  <c r="K16" i="27"/>
  <c r="N15" i="27"/>
  <c r="K15" i="27"/>
  <c r="N14" i="27"/>
  <c r="K14" i="27"/>
  <c r="N13" i="27"/>
  <c r="K13" i="27"/>
  <c r="N12" i="27"/>
  <c r="K12" i="27"/>
  <c r="N11" i="27"/>
  <c r="K11" i="27"/>
  <c r="N10" i="27"/>
  <c r="K10" i="27"/>
  <c r="N9" i="27"/>
  <c r="K9" i="27"/>
  <c r="N8" i="27"/>
  <c r="K8" i="27"/>
  <c r="AH17" i="26" l="1"/>
  <c r="AH13" i="26"/>
  <c r="AH15" i="26"/>
  <c r="AH16" i="26"/>
  <c r="T16" i="27"/>
  <c r="T15" i="27"/>
  <c r="T14" i="27"/>
  <c r="T12" i="27"/>
  <c r="T11" i="27"/>
  <c r="T10" i="27"/>
  <c r="T9" i="27"/>
  <c r="T8" i="27"/>
  <c r="V112" i="30" l="1"/>
  <c r="H7" i="30" l="1"/>
  <c r="T130" i="30" s="1"/>
  <c r="U112" i="30"/>
  <c r="H215" i="30"/>
  <c r="G215" i="30"/>
  <c r="F215" i="30"/>
  <c r="E215" i="30"/>
  <c r="D215" i="30"/>
  <c r="C215" i="30"/>
  <c r="B215" i="30"/>
  <c r="H213" i="30"/>
  <c r="G213" i="30"/>
  <c r="F213" i="30"/>
  <c r="E213" i="30"/>
  <c r="D213" i="30"/>
  <c r="C213" i="30"/>
  <c r="B213" i="30"/>
  <c r="H203" i="30"/>
  <c r="G203" i="30"/>
  <c r="F203" i="30"/>
  <c r="E203" i="30"/>
  <c r="D203" i="30"/>
  <c r="C203" i="30"/>
  <c r="B203" i="30"/>
  <c r="H193" i="30"/>
  <c r="G193" i="30"/>
  <c r="F193" i="30"/>
  <c r="E193" i="30"/>
  <c r="D193" i="30"/>
  <c r="C193" i="30"/>
  <c r="B193" i="30"/>
  <c r="H181" i="30"/>
  <c r="G181" i="30"/>
  <c r="F181" i="30"/>
  <c r="E181" i="30"/>
  <c r="D181" i="30"/>
  <c r="C181" i="30"/>
  <c r="B181" i="30"/>
  <c r="H167" i="30"/>
  <c r="G167" i="30"/>
  <c r="F167" i="30"/>
  <c r="E167" i="30"/>
  <c r="D167" i="30"/>
  <c r="C167" i="30"/>
  <c r="B167" i="30"/>
  <c r="H160" i="30"/>
  <c r="G160" i="30"/>
  <c r="F160" i="30"/>
  <c r="E160" i="30"/>
  <c r="D160" i="30"/>
  <c r="C160" i="30"/>
  <c r="B160" i="30"/>
  <c r="H154" i="30"/>
  <c r="G154" i="30"/>
  <c r="F154" i="30"/>
  <c r="E154" i="30"/>
  <c r="D154" i="30"/>
  <c r="C154" i="30"/>
  <c r="B154" i="30"/>
  <c r="H145" i="30"/>
  <c r="G145" i="30"/>
  <c r="F145" i="30"/>
  <c r="E145" i="30"/>
  <c r="D145" i="30"/>
  <c r="C145" i="30"/>
  <c r="B145" i="30"/>
  <c r="H139" i="30"/>
  <c r="G139" i="30"/>
  <c r="F139" i="30"/>
  <c r="E139" i="30"/>
  <c r="D139" i="30"/>
  <c r="C139" i="30"/>
  <c r="B139" i="30"/>
  <c r="H128" i="30"/>
  <c r="G128" i="30"/>
  <c r="F128" i="30"/>
  <c r="E128" i="30"/>
  <c r="D128" i="30"/>
  <c r="C128" i="30"/>
  <c r="B128" i="30"/>
  <c r="H119" i="30"/>
  <c r="G119" i="30"/>
  <c r="F119" i="30"/>
  <c r="E119" i="30"/>
  <c r="D119" i="30"/>
  <c r="C119" i="30"/>
  <c r="B119" i="30"/>
  <c r="H109" i="30"/>
  <c r="G109" i="30"/>
  <c r="F109" i="30"/>
  <c r="E109" i="30"/>
  <c r="D109" i="30"/>
  <c r="C109" i="30"/>
  <c r="B109" i="30"/>
  <c r="H104" i="30"/>
  <c r="G104" i="30"/>
  <c r="F104" i="30"/>
  <c r="E104" i="30"/>
  <c r="D104" i="30"/>
  <c r="C104" i="30"/>
  <c r="B104" i="30"/>
  <c r="V90" i="30"/>
  <c r="U90" i="30"/>
  <c r="H90" i="30"/>
  <c r="G90" i="30"/>
  <c r="F90" i="30"/>
  <c r="E90" i="30"/>
  <c r="D90" i="30"/>
  <c r="C90" i="30"/>
  <c r="C16" i="30" s="1"/>
  <c r="C6" i="30" s="1"/>
  <c r="B90" i="30"/>
  <c r="H74" i="30"/>
  <c r="G74" i="30"/>
  <c r="F74" i="30"/>
  <c r="E74" i="30"/>
  <c r="D74" i="30"/>
  <c r="C74" i="30"/>
  <c r="B74" i="30"/>
  <c r="B16" i="30" s="1"/>
  <c r="B6" i="30" s="1"/>
  <c r="H60" i="30"/>
  <c r="G60" i="30"/>
  <c r="F60" i="30"/>
  <c r="E60" i="30"/>
  <c r="D60" i="30"/>
  <c r="C60" i="30"/>
  <c r="B60" i="30"/>
  <c r="H46" i="30"/>
  <c r="H16" i="30" s="1"/>
  <c r="G46" i="30"/>
  <c r="F46" i="30"/>
  <c r="E46" i="30"/>
  <c r="D46" i="30"/>
  <c r="C46" i="30"/>
  <c r="B46" i="30"/>
  <c r="H32" i="30"/>
  <c r="G32" i="30"/>
  <c r="F32" i="30"/>
  <c r="E32" i="30"/>
  <c r="D32" i="30"/>
  <c r="C32" i="30"/>
  <c r="B32" i="30"/>
  <c r="H17" i="30"/>
  <c r="G17" i="30"/>
  <c r="G16" i="30" s="1"/>
  <c r="G6" i="30" s="1"/>
  <c r="F17" i="30"/>
  <c r="F16" i="30" s="1"/>
  <c r="F6" i="30" s="1"/>
  <c r="E17" i="30"/>
  <c r="D17" i="30"/>
  <c r="D16" i="30" s="1"/>
  <c r="D6" i="30" s="1"/>
  <c r="C17" i="30"/>
  <c r="B17" i="30"/>
  <c r="E16" i="30"/>
  <c r="E6" i="30" s="1"/>
  <c r="G7" i="30"/>
  <c r="F7" i="30"/>
  <c r="E7" i="30"/>
  <c r="D7" i="30"/>
  <c r="C7" i="30"/>
  <c r="B7" i="30"/>
  <c r="T129" i="30" l="1"/>
  <c r="H6" i="30"/>
  <c r="R16" i="28"/>
  <c r="U129" i="30" l="1"/>
  <c r="T128" i="30"/>
  <c r="U130" i="30" s="1"/>
  <c r="BI31" i="23"/>
  <c r="BI32" i="23"/>
  <c r="BI30" i="23"/>
  <c r="BI26" i="23"/>
  <c r="BI25" i="23"/>
  <c r="BI24" i="23"/>
  <c r="BH19" i="23"/>
  <c r="BH18" i="23"/>
  <c r="BH17" i="23"/>
  <c r="BG19" i="23"/>
  <c r="BG18" i="23"/>
  <c r="BG17" i="23"/>
  <c r="BL9" i="23"/>
  <c r="BL8" i="23"/>
  <c r="BL7" i="23"/>
  <c r="BH9" i="23"/>
  <c r="BH8" i="23"/>
  <c r="BH7" i="23"/>
  <c r="BG7" i="23"/>
  <c r="D6" i="29"/>
  <c r="C6" i="29"/>
  <c r="B6" i="29"/>
  <c r="S17" i="28"/>
  <c r="R17" i="28"/>
  <c r="Q17" i="28"/>
  <c r="P17" i="28"/>
  <c r="O17" i="28"/>
  <c r="N17" i="28"/>
  <c r="S16" i="28"/>
  <c r="Q16" i="28"/>
  <c r="P16" i="28"/>
  <c r="O16" i="28"/>
  <c r="N16" i="28"/>
  <c r="D10" i="28"/>
  <c r="C10" i="28"/>
  <c r="C4" i="28" s="1"/>
  <c r="B10" i="28"/>
  <c r="B4" i="28" s="1"/>
  <c r="D7" i="28"/>
  <c r="D4" i="28" s="1"/>
  <c r="C7" i="28"/>
  <c r="B7" i="28"/>
  <c r="D6" i="28"/>
  <c r="C6" i="28"/>
  <c r="B6" i="28"/>
  <c r="D5" i="28"/>
  <c r="C5" i="28"/>
  <c r="B5" i="28"/>
  <c r="H16" i="27"/>
  <c r="E16" i="27"/>
  <c r="B16" i="27"/>
  <c r="H15" i="27"/>
  <c r="E15" i="27"/>
  <c r="B15" i="27"/>
  <c r="H14" i="27"/>
  <c r="E14" i="27"/>
  <c r="B14" i="27"/>
  <c r="H13" i="27"/>
  <c r="E13" i="27"/>
  <c r="B13" i="27"/>
  <c r="H12" i="27"/>
  <c r="E12" i="27"/>
  <c r="B12" i="27"/>
  <c r="H11" i="27"/>
  <c r="E11" i="27"/>
  <c r="B11" i="27"/>
  <c r="H10" i="27"/>
  <c r="E10" i="27"/>
  <c r="B10" i="27"/>
  <c r="H9" i="27"/>
  <c r="E9" i="27"/>
  <c r="B9" i="27"/>
  <c r="AM8" i="27"/>
  <c r="H8" i="27"/>
  <c r="E8" i="27"/>
  <c r="B8" i="27"/>
  <c r="AM7" i="27"/>
  <c r="V7" i="27"/>
  <c r="U7" i="27"/>
  <c r="S7" i="27"/>
  <c r="R7" i="27"/>
  <c r="Q7" i="27" s="1"/>
  <c r="J7" i="27"/>
  <c r="I7" i="27"/>
  <c r="H7" i="27" s="1"/>
  <c r="G7" i="27"/>
  <c r="F7" i="27"/>
  <c r="E7" i="27"/>
  <c r="D7" i="27"/>
  <c r="C7" i="27"/>
  <c r="B7" i="27" s="1"/>
  <c r="AG16" i="26"/>
  <c r="AG17" i="26" s="1"/>
  <c r="AF16" i="26"/>
  <c r="AE16" i="26"/>
  <c r="AE17" i="26" s="1"/>
  <c r="AD16" i="26"/>
  <c r="AC16" i="26"/>
  <c r="AG15" i="26"/>
  <c r="AF15" i="26"/>
  <c r="AF13" i="26" s="1"/>
  <c r="AE15" i="26"/>
  <c r="AE13" i="26" s="1"/>
  <c r="AD15" i="26"/>
  <c r="AC15" i="26"/>
  <c r="AD13" i="26"/>
  <c r="J6" i="26"/>
  <c r="I6" i="26"/>
  <c r="H6" i="26"/>
  <c r="AF17" i="26" s="1"/>
  <c r="G6" i="26"/>
  <c r="F6" i="26"/>
  <c r="E6" i="26"/>
  <c r="D6" i="26"/>
  <c r="AB17" i="26" s="1"/>
  <c r="C6" i="26"/>
  <c r="AA17" i="26" s="1"/>
  <c r="B6" i="26"/>
  <c r="Z17" i="26" s="1"/>
  <c r="AP13" i="23"/>
  <c r="AO13" i="23"/>
  <c r="AN13" i="23"/>
  <c r="AM13" i="23"/>
  <c r="AM6" i="23" s="1"/>
  <c r="AL13" i="23"/>
  <c r="AK13" i="23"/>
  <c r="AJ13" i="23"/>
  <c r="AI13" i="23"/>
  <c r="AH13" i="23"/>
  <c r="AG13" i="23"/>
  <c r="AF13" i="23"/>
  <c r="AE13" i="23"/>
  <c r="BF9" i="23" s="1"/>
  <c r="AD13" i="23"/>
  <c r="AC13" i="23"/>
  <c r="AB13" i="23"/>
  <c r="AA13" i="23"/>
  <c r="Z13" i="23"/>
  <c r="Y13" i="23"/>
  <c r="X13" i="23"/>
  <c r="W13" i="23"/>
  <c r="W6" i="23" s="1"/>
  <c r="V13" i="23"/>
  <c r="U13" i="23"/>
  <c r="T13" i="23"/>
  <c r="S13" i="23"/>
  <c r="R13" i="23"/>
  <c r="Q13" i="23"/>
  <c r="P13" i="23"/>
  <c r="O13" i="23"/>
  <c r="O6" i="23" s="1"/>
  <c r="N13" i="23"/>
  <c r="M13" i="23"/>
  <c r="L13" i="23"/>
  <c r="K13" i="23"/>
  <c r="J13" i="23"/>
  <c r="I13" i="23"/>
  <c r="H13" i="23"/>
  <c r="F13" i="23"/>
  <c r="F6" i="23" s="1"/>
  <c r="E13" i="23"/>
  <c r="D13" i="23"/>
  <c r="C13" i="23"/>
  <c r="B13" i="23"/>
  <c r="BK9" i="23"/>
  <c r="BH32" i="23" s="1"/>
  <c r="BJ9" i="23"/>
  <c r="BI9" i="23"/>
  <c r="BG9" i="23"/>
  <c r="BH26" i="23" s="1"/>
  <c r="BE9" i="23"/>
  <c r="BE8" i="23"/>
  <c r="AP7" i="23"/>
  <c r="AO7" i="23"/>
  <c r="AN7" i="23"/>
  <c r="AM7" i="23"/>
  <c r="AL7" i="23"/>
  <c r="AK7" i="23"/>
  <c r="BK8" i="23" s="1"/>
  <c r="AJ7" i="23"/>
  <c r="BG8" i="23" s="1"/>
  <c r="AI7" i="23"/>
  <c r="AH7" i="23"/>
  <c r="AG7" i="23"/>
  <c r="AF7" i="23"/>
  <c r="BJ8" i="23" s="1"/>
  <c r="AE7" i="23"/>
  <c r="BF8" i="23" s="1"/>
  <c r="AD7" i="23"/>
  <c r="AC7" i="23"/>
  <c r="AB7" i="23"/>
  <c r="AA7" i="23"/>
  <c r="BI8" i="23" s="1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F7" i="23"/>
  <c r="E7" i="23"/>
  <c r="D7" i="23"/>
  <c r="C7" i="23"/>
  <c r="B7" i="23"/>
  <c r="AP6" i="23"/>
  <c r="AO6" i="23"/>
  <c r="AN6" i="23"/>
  <c r="AL6" i="23"/>
  <c r="AK6" i="23"/>
  <c r="BK7" i="23" s="1"/>
  <c r="AJ6" i="23"/>
  <c r="AI6" i="23"/>
  <c r="AH6" i="23"/>
  <c r="AG6" i="23"/>
  <c r="AF6" i="23"/>
  <c r="BJ7" i="23" s="1"/>
  <c r="AD6" i="23"/>
  <c r="AC6" i="23"/>
  <c r="AB6" i="23"/>
  <c r="AA6" i="23"/>
  <c r="BI7" i="23" s="1"/>
  <c r="Z6" i="23"/>
  <c r="BE7" i="23" s="1"/>
  <c r="Y6" i="23"/>
  <c r="X6" i="23"/>
  <c r="V6" i="23"/>
  <c r="U6" i="23"/>
  <c r="T6" i="23"/>
  <c r="S6" i="23"/>
  <c r="R6" i="23"/>
  <c r="Q6" i="23"/>
  <c r="P6" i="23"/>
  <c r="N6" i="23"/>
  <c r="M6" i="23"/>
  <c r="L6" i="23"/>
  <c r="K6" i="23"/>
  <c r="J6" i="23"/>
  <c r="I6" i="23"/>
  <c r="H6" i="23"/>
  <c r="E6" i="23"/>
  <c r="D6" i="23"/>
  <c r="C6" i="23"/>
  <c r="B6" i="23"/>
  <c r="T7" i="27" l="1"/>
  <c r="AI15" i="26"/>
  <c r="AG13" i="26"/>
  <c r="AC17" i="26"/>
  <c r="AD17" i="26"/>
  <c r="AI16" i="26"/>
  <c r="BH25" i="23"/>
  <c r="BH31" i="23"/>
  <c r="BH30" i="23"/>
  <c r="BH24" i="23"/>
  <c r="AE6" i="23"/>
  <c r="BF7" i="23" s="1"/>
  <c r="AE269" i="21" l="1"/>
  <c r="AF293" i="21"/>
  <c r="AE259" i="21"/>
  <c r="AE228" i="21"/>
  <c r="AZ23" i="24" l="1"/>
  <c r="AZ22" i="24"/>
  <c r="AZ21" i="24"/>
  <c r="AE14" i="24" l="1"/>
  <c r="F14" i="24"/>
  <c r="AE13" i="24"/>
  <c r="AE12" i="24"/>
  <c r="AE11" i="24"/>
  <c r="F11" i="24"/>
  <c r="AE10" i="24"/>
  <c r="F10" i="24"/>
  <c r="AE9" i="24"/>
  <c r="F9" i="24"/>
  <c r="AE8" i="24"/>
  <c r="F8" i="24"/>
  <c r="AG7" i="24"/>
  <c r="AF7" i="24"/>
  <c r="Y7" i="24"/>
  <c r="X7" i="24"/>
  <c r="V7" i="24"/>
  <c r="U7" i="24"/>
  <c r="T7" i="24"/>
  <c r="S7" i="24"/>
  <c r="R7" i="24"/>
  <c r="P7" i="24"/>
  <c r="O7" i="24"/>
  <c r="N7" i="24"/>
  <c r="M7" i="24"/>
  <c r="L7" i="24"/>
  <c r="J7" i="24"/>
  <c r="I7" i="24"/>
  <c r="E7" i="24"/>
  <c r="C7" i="24"/>
  <c r="F7" i="24" s="1"/>
  <c r="B7" i="24"/>
  <c r="AF286" i="21" l="1"/>
  <c r="AE281" i="21"/>
  <c r="AF305" i="21" s="1"/>
  <c r="AF278" i="21"/>
  <c r="AF270" i="21"/>
  <c r="AG245" i="21"/>
  <c r="Y214" i="21"/>
  <c r="X214" i="21"/>
  <c r="W214" i="21"/>
  <c r="V214" i="21"/>
  <c r="U214" i="21"/>
  <c r="S214" i="21"/>
  <c r="R214" i="21"/>
  <c r="Q214" i="21"/>
  <c r="P214" i="21"/>
  <c r="O214" i="21"/>
  <c r="M214" i="21"/>
  <c r="L214" i="21"/>
  <c r="K214" i="21"/>
  <c r="J214" i="21"/>
  <c r="I214" i="21"/>
  <c r="G214" i="21"/>
  <c r="AF288" i="21" s="1"/>
  <c r="F214" i="21"/>
  <c r="AE288" i="21" s="1"/>
  <c r="AF312" i="21" s="1"/>
  <c r="E214" i="21"/>
  <c r="AG288" i="21" s="1"/>
  <c r="D214" i="21"/>
  <c r="C214" i="21"/>
  <c r="Y212" i="21"/>
  <c r="X212" i="21"/>
  <c r="W212" i="21"/>
  <c r="V212" i="21"/>
  <c r="U212" i="21"/>
  <c r="S212" i="21"/>
  <c r="R212" i="21"/>
  <c r="Q212" i="21"/>
  <c r="P212" i="21"/>
  <c r="O212" i="21"/>
  <c r="M212" i="21"/>
  <c r="L212" i="21"/>
  <c r="K212" i="21"/>
  <c r="J212" i="21"/>
  <c r="I212" i="21"/>
  <c r="G212" i="21"/>
  <c r="AF287" i="21" s="1"/>
  <c r="F212" i="21"/>
  <c r="AE287" i="21" s="1"/>
  <c r="AF311" i="21" s="1"/>
  <c r="E212" i="21"/>
  <c r="AG287" i="21" s="1"/>
  <c r="D212" i="21"/>
  <c r="C212" i="21"/>
  <c r="Y202" i="21"/>
  <c r="X202" i="21"/>
  <c r="W202" i="21"/>
  <c r="V202" i="21"/>
  <c r="U202" i="21"/>
  <c r="S202" i="21"/>
  <c r="R202" i="21"/>
  <c r="Q202" i="21"/>
  <c r="P202" i="21"/>
  <c r="O202" i="21"/>
  <c r="M202" i="21"/>
  <c r="L202" i="21"/>
  <c r="K202" i="21"/>
  <c r="J202" i="21"/>
  <c r="I202" i="21"/>
  <c r="G202" i="21"/>
  <c r="F202" i="21"/>
  <c r="AE286" i="21" s="1"/>
  <c r="AF310" i="21" s="1"/>
  <c r="E202" i="21"/>
  <c r="AG286" i="21" s="1"/>
  <c r="D202" i="21"/>
  <c r="C202" i="21"/>
  <c r="Y192" i="21"/>
  <c r="X192" i="21"/>
  <c r="W192" i="21"/>
  <c r="V192" i="21"/>
  <c r="U192" i="21"/>
  <c r="S192" i="21"/>
  <c r="R192" i="21"/>
  <c r="Q192" i="21"/>
  <c r="P192" i="21"/>
  <c r="O192" i="21"/>
  <c r="M192" i="21"/>
  <c r="L192" i="21"/>
  <c r="K192" i="21"/>
  <c r="J192" i="21"/>
  <c r="I192" i="21"/>
  <c r="G192" i="21"/>
  <c r="AF285" i="21" s="1"/>
  <c r="F192" i="21"/>
  <c r="AE285" i="21" s="1"/>
  <c r="AF309" i="21" s="1"/>
  <c r="E192" i="21"/>
  <c r="AG285" i="21" s="1"/>
  <c r="D192" i="21"/>
  <c r="C192" i="21"/>
  <c r="Y180" i="21"/>
  <c r="X180" i="21"/>
  <c r="W180" i="21"/>
  <c r="V180" i="21"/>
  <c r="U180" i="21"/>
  <c r="S180" i="21"/>
  <c r="R180" i="21"/>
  <c r="Q180" i="21"/>
  <c r="P180" i="21"/>
  <c r="O180" i="21"/>
  <c r="M180" i="21"/>
  <c r="L180" i="21"/>
  <c r="K180" i="21"/>
  <c r="J180" i="21"/>
  <c r="I180" i="21"/>
  <c r="G180" i="21"/>
  <c r="AF284" i="21" s="1"/>
  <c r="F180" i="21"/>
  <c r="AE284" i="21" s="1"/>
  <c r="AF308" i="21" s="1"/>
  <c r="E180" i="21"/>
  <c r="AG284" i="21" s="1"/>
  <c r="D180" i="21"/>
  <c r="C180" i="21"/>
  <c r="Y166" i="21"/>
  <c r="X166" i="21"/>
  <c r="W166" i="21"/>
  <c r="V166" i="21"/>
  <c r="U166" i="21"/>
  <c r="S166" i="21"/>
  <c r="R166" i="21"/>
  <c r="Q166" i="21"/>
  <c r="AG283" i="21" s="1"/>
  <c r="P166" i="21"/>
  <c r="O166" i="21"/>
  <c r="M166" i="21"/>
  <c r="L166" i="21"/>
  <c r="K166" i="21"/>
  <c r="J166" i="21"/>
  <c r="I166" i="21"/>
  <c r="G166" i="21"/>
  <c r="AF283" i="21" s="1"/>
  <c r="F166" i="21"/>
  <c r="AE283" i="21" s="1"/>
  <c r="E166" i="21"/>
  <c r="D166" i="21"/>
  <c r="C166" i="21"/>
  <c r="Y159" i="21"/>
  <c r="X159" i="21"/>
  <c r="W159" i="21"/>
  <c r="V159" i="21"/>
  <c r="U159" i="21"/>
  <c r="S159" i="21"/>
  <c r="R159" i="21"/>
  <c r="Q159" i="21"/>
  <c r="P159" i="21"/>
  <c r="O159" i="21"/>
  <c r="M159" i="21"/>
  <c r="L159" i="21"/>
  <c r="K159" i="21"/>
  <c r="J159" i="21"/>
  <c r="I159" i="21"/>
  <c r="G159" i="21"/>
  <c r="AF282" i="21" s="1"/>
  <c r="F159" i="21"/>
  <c r="AE282" i="21" s="1"/>
  <c r="AF306" i="21" s="1"/>
  <c r="E159" i="21"/>
  <c r="AG282" i="21" s="1"/>
  <c r="D159" i="21"/>
  <c r="C159" i="21"/>
  <c r="Y153" i="21"/>
  <c r="X153" i="21"/>
  <c r="W153" i="21"/>
  <c r="V153" i="21"/>
  <c r="U153" i="21"/>
  <c r="S153" i="21"/>
  <c r="R153" i="21"/>
  <c r="Q153" i="21"/>
  <c r="P153" i="21"/>
  <c r="O153" i="21"/>
  <c r="M153" i="21"/>
  <c r="L153" i="21"/>
  <c r="K153" i="21"/>
  <c r="J153" i="21"/>
  <c r="I153" i="21"/>
  <c r="G153" i="21"/>
  <c r="AF281" i="21" s="1"/>
  <c r="F153" i="21"/>
  <c r="E153" i="21"/>
  <c r="AG281" i="21" s="1"/>
  <c r="D153" i="21"/>
  <c r="C153" i="21"/>
  <c r="Y144" i="21"/>
  <c r="X144" i="21"/>
  <c r="W144" i="21"/>
  <c r="V144" i="21"/>
  <c r="U144" i="21"/>
  <c r="S144" i="21"/>
  <c r="R144" i="21"/>
  <c r="Q144" i="21"/>
  <c r="P144" i="21"/>
  <c r="O144" i="21"/>
  <c r="M144" i="21"/>
  <c r="L144" i="21"/>
  <c r="K144" i="21"/>
  <c r="J144" i="21"/>
  <c r="I144" i="21"/>
  <c r="G144" i="21"/>
  <c r="AF280" i="21" s="1"/>
  <c r="F144" i="21"/>
  <c r="AE280" i="21" s="1"/>
  <c r="AF304" i="21" s="1"/>
  <c r="E144" i="21"/>
  <c r="AG280" i="21" s="1"/>
  <c r="D144" i="21"/>
  <c r="C144" i="21"/>
  <c r="Y138" i="21"/>
  <c r="X138" i="21"/>
  <c r="W138" i="21"/>
  <c r="V138" i="21"/>
  <c r="U138" i="21"/>
  <c r="S138" i="21"/>
  <c r="R138" i="21"/>
  <c r="Q138" i="21"/>
  <c r="P138" i="21"/>
  <c r="O138" i="21"/>
  <c r="M138" i="21"/>
  <c r="L138" i="21"/>
  <c r="K138" i="21"/>
  <c r="J138" i="21"/>
  <c r="I138" i="21"/>
  <c r="G138" i="21"/>
  <c r="AF279" i="21" s="1"/>
  <c r="F138" i="21"/>
  <c r="AE279" i="21" s="1"/>
  <c r="AF303" i="21" s="1"/>
  <c r="E138" i="21"/>
  <c r="AG279" i="21" s="1"/>
  <c r="D138" i="21"/>
  <c r="C138" i="21"/>
  <c r="Y127" i="21"/>
  <c r="X127" i="21"/>
  <c r="W127" i="21"/>
  <c r="V127" i="21"/>
  <c r="U127" i="21"/>
  <c r="S127" i="21"/>
  <c r="R127" i="21"/>
  <c r="Q127" i="21"/>
  <c r="P127" i="21"/>
  <c r="O127" i="21"/>
  <c r="M127" i="21"/>
  <c r="L127" i="21"/>
  <c r="K127" i="21"/>
  <c r="J127" i="21"/>
  <c r="I127" i="21"/>
  <c r="G127" i="21"/>
  <c r="F127" i="21"/>
  <c r="AE278" i="21" s="1"/>
  <c r="AF302" i="21" s="1"/>
  <c r="E127" i="21"/>
  <c r="AG278" i="21" s="1"/>
  <c r="D127" i="21"/>
  <c r="C127" i="21"/>
  <c r="Y118" i="21"/>
  <c r="X118" i="21"/>
  <c r="W118" i="21"/>
  <c r="V118" i="21"/>
  <c r="U118" i="21"/>
  <c r="S118" i="21"/>
  <c r="R118" i="21"/>
  <c r="Q118" i="21"/>
  <c r="P118" i="21"/>
  <c r="O118" i="21"/>
  <c r="M118" i="21"/>
  <c r="L118" i="21"/>
  <c r="K118" i="21"/>
  <c r="J118" i="21"/>
  <c r="I118" i="21"/>
  <c r="G118" i="21"/>
  <c r="AF277" i="21" s="1"/>
  <c r="F118" i="21"/>
  <c r="AE277" i="21" s="1"/>
  <c r="AF301" i="21" s="1"/>
  <c r="E118" i="21"/>
  <c r="AG277" i="21" s="1"/>
  <c r="D118" i="21"/>
  <c r="C118" i="21"/>
  <c r="Y108" i="21"/>
  <c r="X108" i="21"/>
  <c r="W108" i="21"/>
  <c r="V108" i="21"/>
  <c r="U108" i="21"/>
  <c r="S108" i="21"/>
  <c r="R108" i="21"/>
  <c r="Q108" i="21"/>
  <c r="P108" i="21"/>
  <c r="O108" i="21"/>
  <c r="M108" i="21"/>
  <c r="L108" i="21"/>
  <c r="K108" i="21"/>
  <c r="J108" i="21"/>
  <c r="I108" i="21"/>
  <c r="G108" i="21"/>
  <c r="AF276" i="21" s="1"/>
  <c r="F108" i="21"/>
  <c r="AE276" i="21" s="1"/>
  <c r="AF300" i="21" s="1"/>
  <c r="E108" i="21"/>
  <c r="AG276" i="21" s="1"/>
  <c r="D108" i="21"/>
  <c r="C108" i="21"/>
  <c r="Y103" i="21"/>
  <c r="X103" i="21"/>
  <c r="W103" i="21"/>
  <c r="V103" i="21"/>
  <c r="U103" i="21"/>
  <c r="S103" i="21"/>
  <c r="R103" i="21"/>
  <c r="Q103" i="21"/>
  <c r="AG275" i="21" s="1"/>
  <c r="P103" i="21"/>
  <c r="O103" i="21"/>
  <c r="M103" i="21"/>
  <c r="L103" i="21"/>
  <c r="K103" i="21"/>
  <c r="J103" i="21"/>
  <c r="I103" i="21"/>
  <c r="G103" i="21"/>
  <c r="AF275" i="21" s="1"/>
  <c r="F103" i="21"/>
  <c r="AE275" i="21" s="1"/>
  <c r="E103" i="21"/>
  <c r="D103" i="21"/>
  <c r="C103" i="21"/>
  <c r="Y89" i="21"/>
  <c r="X89" i="21"/>
  <c r="W89" i="21"/>
  <c r="V89" i="21"/>
  <c r="U89" i="21"/>
  <c r="S89" i="21"/>
  <c r="R89" i="21"/>
  <c r="Q89" i="21"/>
  <c r="P89" i="21"/>
  <c r="O89" i="21"/>
  <c r="M89" i="21"/>
  <c r="L89" i="21"/>
  <c r="K89" i="21"/>
  <c r="J89" i="21"/>
  <c r="I89" i="21"/>
  <c r="G89" i="21"/>
  <c r="AF274" i="21" s="1"/>
  <c r="F89" i="21"/>
  <c r="AE274" i="21" s="1"/>
  <c r="AF298" i="21" s="1"/>
  <c r="E89" i="21"/>
  <c r="AG274" i="21" s="1"/>
  <c r="D89" i="21"/>
  <c r="C89" i="21"/>
  <c r="Y73" i="21"/>
  <c r="X73" i="21"/>
  <c r="W73" i="21"/>
  <c r="V73" i="21"/>
  <c r="U73" i="21"/>
  <c r="S73" i="21"/>
  <c r="R73" i="21"/>
  <c r="Q73" i="21"/>
  <c r="P73" i="21"/>
  <c r="O73" i="21"/>
  <c r="M73" i="21"/>
  <c r="L73" i="21"/>
  <c r="K73" i="21"/>
  <c r="J73" i="21"/>
  <c r="I73" i="21"/>
  <c r="G73" i="21"/>
  <c r="AF273" i="21" s="1"/>
  <c r="F73" i="21"/>
  <c r="AE273" i="21" s="1"/>
  <c r="AF297" i="21" s="1"/>
  <c r="E73" i="21"/>
  <c r="AG273" i="21" s="1"/>
  <c r="D73" i="21"/>
  <c r="C73" i="21"/>
  <c r="Y59" i="21"/>
  <c r="X59" i="21"/>
  <c r="W59" i="21"/>
  <c r="V59" i="21"/>
  <c r="U59" i="21"/>
  <c r="S59" i="21"/>
  <c r="R59" i="21"/>
  <c r="Q59" i="21"/>
  <c r="P59" i="21"/>
  <c r="O59" i="21"/>
  <c r="M59" i="21"/>
  <c r="L59" i="21"/>
  <c r="K59" i="21"/>
  <c r="J59" i="21"/>
  <c r="I59" i="21"/>
  <c r="G59" i="21"/>
  <c r="AF272" i="21" s="1"/>
  <c r="F59" i="21"/>
  <c r="AE272" i="21" s="1"/>
  <c r="AF296" i="21" s="1"/>
  <c r="E59" i="21"/>
  <c r="AG272" i="21" s="1"/>
  <c r="D59" i="21"/>
  <c r="C59" i="21"/>
  <c r="Y44" i="21"/>
  <c r="X44" i="21"/>
  <c r="W44" i="21"/>
  <c r="V44" i="21"/>
  <c r="U44" i="21"/>
  <c r="S44" i="21"/>
  <c r="R44" i="21"/>
  <c r="Q44" i="21"/>
  <c r="P44" i="21"/>
  <c r="O44" i="21"/>
  <c r="M44" i="21"/>
  <c r="L44" i="21"/>
  <c r="K44" i="21"/>
  <c r="J44" i="21"/>
  <c r="I44" i="21"/>
  <c r="G44" i="21"/>
  <c r="AF271" i="21" s="1"/>
  <c r="F44" i="21"/>
  <c r="AE271" i="21" s="1"/>
  <c r="AF295" i="21" s="1"/>
  <c r="E44" i="21"/>
  <c r="AG271" i="21" s="1"/>
  <c r="D44" i="21"/>
  <c r="C44" i="21"/>
  <c r="Y30" i="21"/>
  <c r="X30" i="21"/>
  <c r="W30" i="21"/>
  <c r="V30" i="21"/>
  <c r="U30" i="21"/>
  <c r="S30" i="21"/>
  <c r="R30" i="21"/>
  <c r="Q30" i="21"/>
  <c r="P30" i="21"/>
  <c r="O30" i="21"/>
  <c r="M30" i="21"/>
  <c r="L30" i="21"/>
  <c r="K30" i="21"/>
  <c r="J30" i="21"/>
  <c r="I30" i="21"/>
  <c r="G30" i="21"/>
  <c r="F30" i="21"/>
  <c r="AE270" i="21" s="1"/>
  <c r="AF294" i="21" s="1"/>
  <c r="E30" i="21"/>
  <c r="AG270" i="21" s="1"/>
  <c r="D30" i="21"/>
  <c r="C30" i="21"/>
  <c r="Y15" i="21"/>
  <c r="X15" i="21"/>
  <c r="W15" i="21"/>
  <c r="V15" i="21"/>
  <c r="U15" i="21"/>
  <c r="S15" i="21"/>
  <c r="R15" i="21"/>
  <c r="Q15" i="21"/>
  <c r="Q14" i="21" s="1"/>
  <c r="AF230" i="21" s="1"/>
  <c r="P15" i="21"/>
  <c r="O15" i="21"/>
  <c r="M15" i="21"/>
  <c r="L15" i="21"/>
  <c r="K15" i="21"/>
  <c r="J15" i="21"/>
  <c r="I15" i="21"/>
  <c r="G15" i="21"/>
  <c r="AF269" i="21" s="1"/>
  <c r="F15" i="21"/>
  <c r="E15" i="21"/>
  <c r="AG269" i="21" s="1"/>
  <c r="D15" i="21"/>
  <c r="C15" i="21"/>
  <c r="Y14" i="21"/>
  <c r="AG247" i="21" s="1"/>
  <c r="X14" i="21"/>
  <c r="AG255" i="21" s="1"/>
  <c r="W14" i="21"/>
  <c r="AG230" i="21" s="1"/>
  <c r="V14" i="21"/>
  <c r="V5" i="21" s="1"/>
  <c r="U14" i="21"/>
  <c r="S14" i="21"/>
  <c r="AF247" i="21" s="1"/>
  <c r="R14" i="21"/>
  <c r="AF255" i="21" s="1"/>
  <c r="P14" i="21"/>
  <c r="O14" i="21"/>
  <c r="M14" i="21"/>
  <c r="L14" i="21"/>
  <c r="AG261" i="21" s="1"/>
  <c r="K14" i="21"/>
  <c r="J14" i="21"/>
  <c r="I14" i="21"/>
  <c r="F14" i="21"/>
  <c r="AE255" i="21" s="1"/>
  <c r="AE241" i="21" s="1"/>
  <c r="E14" i="21"/>
  <c r="AE230" i="21" s="1"/>
  <c r="D14" i="21"/>
  <c r="AG260" i="21" s="1"/>
  <c r="C14" i="21"/>
  <c r="AG259" i="21" s="1"/>
  <c r="Y6" i="21"/>
  <c r="AG246" i="21" s="1"/>
  <c r="X6" i="21"/>
  <c r="AG254" i="21" s="1"/>
  <c r="AG240" i="21" s="1"/>
  <c r="W6" i="21"/>
  <c r="AG229" i="21" s="1"/>
  <c r="V6" i="21"/>
  <c r="U6" i="21"/>
  <c r="U5" i="21" s="1"/>
  <c r="S6" i="21"/>
  <c r="S5" i="21" s="1"/>
  <c r="AF245" i="21" s="1"/>
  <c r="R6" i="21"/>
  <c r="R5" i="21" s="1"/>
  <c r="AF253" i="21" s="1"/>
  <c r="Q6" i="21"/>
  <c r="AF229" i="21" s="1"/>
  <c r="P6" i="21"/>
  <c r="O6" i="21"/>
  <c r="M6" i="21"/>
  <c r="L6" i="21"/>
  <c r="K6" i="21"/>
  <c r="K5" i="21" s="1"/>
  <c r="J6" i="21"/>
  <c r="J5" i="21" s="1"/>
  <c r="I6" i="21"/>
  <c r="I5" i="21" s="1"/>
  <c r="G6" i="21"/>
  <c r="F6" i="21"/>
  <c r="AF261" i="21" s="1"/>
  <c r="E6" i="21"/>
  <c r="AE229" i="21" s="1"/>
  <c r="D6" i="21"/>
  <c r="AF260" i="21" s="1"/>
  <c r="C6" i="21"/>
  <c r="AF259" i="21" s="1"/>
  <c r="Y5" i="21"/>
  <c r="X5" i="21"/>
  <c r="AG253" i="21" s="1"/>
  <c r="W5" i="21"/>
  <c r="AG228" i="21" s="1"/>
  <c r="P5" i="21"/>
  <c r="O5" i="21"/>
  <c r="M5" i="21"/>
  <c r="F5" i="21"/>
  <c r="E5" i="21"/>
  <c r="D5" i="21"/>
  <c r="R25" i="20"/>
  <c r="Q25" i="20"/>
  <c r="P25" i="20"/>
  <c r="O25" i="20"/>
  <c r="N25" i="20"/>
  <c r="M25" i="20"/>
  <c r="L25" i="20"/>
  <c r="K25" i="20"/>
  <c r="J25" i="20"/>
  <c r="I25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R20" i="20"/>
  <c r="Q20" i="20"/>
  <c r="P20" i="20"/>
  <c r="O20" i="20"/>
  <c r="N20" i="20"/>
  <c r="M20" i="20"/>
  <c r="M19" i="20"/>
  <c r="E19" i="20"/>
  <c r="Q18" i="20"/>
  <c r="M18" i="20"/>
  <c r="K18" i="20"/>
  <c r="I18" i="20"/>
  <c r="E18" i="20"/>
  <c r="C18" i="20"/>
  <c r="R17" i="20"/>
  <c r="L17" i="20"/>
  <c r="D17" i="20"/>
  <c r="B17" i="20"/>
  <c r="O16" i="20"/>
  <c r="M16" i="20"/>
  <c r="L16" i="20"/>
  <c r="K16" i="20"/>
  <c r="G16" i="20"/>
  <c r="E16" i="20"/>
  <c r="D16" i="20"/>
  <c r="C16" i="20"/>
  <c r="Q15" i="20"/>
  <c r="M15" i="20"/>
  <c r="L15" i="20"/>
  <c r="I15" i="20"/>
  <c r="E15" i="20"/>
  <c r="D15" i="20"/>
  <c r="Q14" i="20"/>
  <c r="O14" i="20"/>
  <c r="M14" i="20"/>
  <c r="I14" i="20"/>
  <c r="G14" i="20"/>
  <c r="E14" i="20"/>
  <c r="E12" i="20" s="1"/>
  <c r="R5" i="20"/>
  <c r="R19" i="20" s="1"/>
  <c r="Q5" i="20"/>
  <c r="Q17" i="20" s="1"/>
  <c r="P5" i="20"/>
  <c r="Q19" i="20" s="1"/>
  <c r="O5" i="20"/>
  <c r="O13" i="20" s="1"/>
  <c r="N5" i="20"/>
  <c r="N14" i="20" s="1"/>
  <c r="M5" i="20"/>
  <c r="M13" i="20" s="1"/>
  <c r="L5" i="20"/>
  <c r="L14" i="20" s="1"/>
  <c r="K5" i="20"/>
  <c r="K17" i="20" s="1"/>
  <c r="J5" i="20"/>
  <c r="J19" i="20" s="1"/>
  <c r="I5" i="20"/>
  <c r="I17" i="20" s="1"/>
  <c r="H5" i="20"/>
  <c r="I19" i="20" s="1"/>
  <c r="G5" i="20"/>
  <c r="G19" i="20" s="1"/>
  <c r="F5" i="20"/>
  <c r="F14" i="20" s="1"/>
  <c r="E5" i="20"/>
  <c r="E17" i="20" s="1"/>
  <c r="D5" i="20"/>
  <c r="D14" i="20" s="1"/>
  <c r="C5" i="20"/>
  <c r="C17" i="20" s="1"/>
  <c r="B5" i="20"/>
  <c r="B18" i="20" s="1"/>
  <c r="AG239" i="21" l="1"/>
  <c r="AF241" i="21"/>
  <c r="AE260" i="21"/>
  <c r="AE253" i="21"/>
  <c r="AE239" i="21" s="1"/>
  <c r="AF299" i="21"/>
  <c r="AF307" i="21"/>
  <c r="G5" i="21"/>
  <c r="AG241" i="21"/>
  <c r="C5" i="21"/>
  <c r="AE246" i="21"/>
  <c r="L5" i="21"/>
  <c r="AF246" i="21"/>
  <c r="AE254" i="21"/>
  <c r="AE240" i="21" s="1"/>
  <c r="AF262" i="21"/>
  <c r="AF254" i="21"/>
  <c r="AF240" i="21" s="1"/>
  <c r="Q5" i="21"/>
  <c r="AF228" i="21" s="1"/>
  <c r="AF239" i="21" s="1"/>
  <c r="G14" i="21"/>
  <c r="AE261" i="21"/>
  <c r="N13" i="20"/>
  <c r="C19" i="20"/>
  <c r="K19" i="20"/>
  <c r="Q13" i="20"/>
  <c r="H14" i="20"/>
  <c r="P14" i="20"/>
  <c r="G15" i="20"/>
  <c r="O15" i="20"/>
  <c r="O12" i="20" s="1"/>
  <c r="F16" i="20"/>
  <c r="N16" i="20"/>
  <c r="M17" i="20"/>
  <c r="M12" i="20" s="1"/>
  <c r="D18" i="20"/>
  <c r="D12" i="20" s="1"/>
  <c r="L18" i="20"/>
  <c r="D19" i="20"/>
  <c r="L19" i="20"/>
  <c r="P13" i="20"/>
  <c r="F15" i="20"/>
  <c r="F12" i="20" s="1"/>
  <c r="P15" i="20"/>
  <c r="F17" i="20"/>
  <c r="P16" i="20"/>
  <c r="O17" i="20"/>
  <c r="F18" i="20"/>
  <c r="N18" i="20"/>
  <c r="F19" i="20"/>
  <c r="N19" i="20"/>
  <c r="R13" i="20"/>
  <c r="B14" i="20"/>
  <c r="G17" i="20"/>
  <c r="L13" i="20"/>
  <c r="L12" i="20" s="1"/>
  <c r="C14" i="20"/>
  <c r="K14" i="20"/>
  <c r="B15" i="20"/>
  <c r="J15" i="20"/>
  <c r="R15" i="20"/>
  <c r="I16" i="20"/>
  <c r="I12" i="20" s="1"/>
  <c r="Q16" i="20"/>
  <c r="H17" i="20"/>
  <c r="P17" i="20"/>
  <c r="G18" i="20"/>
  <c r="O18" i="20"/>
  <c r="O19" i="20"/>
  <c r="N15" i="20"/>
  <c r="H15" i="20"/>
  <c r="N17" i="20"/>
  <c r="J14" i="20"/>
  <c r="J12" i="20" s="1"/>
  <c r="R14" i="20"/>
  <c r="H16" i="20"/>
  <c r="C15" i="20"/>
  <c r="K15" i="20"/>
  <c r="B16" i="20"/>
  <c r="J16" i="20"/>
  <c r="R16" i="20"/>
  <c r="H18" i="20"/>
  <c r="P18" i="20"/>
  <c r="H19" i="20"/>
  <c r="P19" i="20"/>
  <c r="J17" i="20"/>
  <c r="J18" i="20"/>
  <c r="R18" i="20"/>
  <c r="L34" i="19"/>
  <c r="G34" i="19"/>
  <c r="B34" i="19" s="1"/>
  <c r="E34" i="19"/>
  <c r="D34" i="19"/>
  <c r="C34" i="19"/>
  <c r="L33" i="19"/>
  <c r="G33" i="19"/>
  <c r="B33" i="19" s="1"/>
  <c r="E33" i="19"/>
  <c r="D33" i="19"/>
  <c r="C33" i="19"/>
  <c r="L32" i="19"/>
  <c r="G32" i="19"/>
  <c r="E32" i="19"/>
  <c r="D32" i="19"/>
  <c r="C32" i="19"/>
  <c r="L31" i="19"/>
  <c r="G31" i="19"/>
  <c r="B31" i="19" s="1"/>
  <c r="E31" i="19"/>
  <c r="D31" i="19"/>
  <c r="C31" i="19"/>
  <c r="L30" i="19"/>
  <c r="G30" i="19"/>
  <c r="E30" i="19"/>
  <c r="D30" i="19"/>
  <c r="C30" i="19"/>
  <c r="L29" i="19"/>
  <c r="G29" i="19"/>
  <c r="E29" i="19"/>
  <c r="D29" i="19"/>
  <c r="C29" i="19"/>
  <c r="B29" i="19"/>
  <c r="L28" i="19"/>
  <c r="B28" i="19" s="1"/>
  <c r="G28" i="19"/>
  <c r="E28" i="19"/>
  <c r="D28" i="19"/>
  <c r="C28" i="19"/>
  <c r="L27" i="19"/>
  <c r="G27" i="19"/>
  <c r="E27" i="19"/>
  <c r="D27" i="19"/>
  <c r="C27" i="19"/>
  <c r="L26" i="19"/>
  <c r="G26" i="19"/>
  <c r="E26" i="19"/>
  <c r="D26" i="19"/>
  <c r="C26" i="19"/>
  <c r="L25" i="19"/>
  <c r="B25" i="19" s="1"/>
  <c r="G25" i="19"/>
  <c r="E25" i="19"/>
  <c r="D25" i="19"/>
  <c r="C25" i="19"/>
  <c r="L24" i="19"/>
  <c r="B24" i="19" s="1"/>
  <c r="G24" i="19"/>
  <c r="E24" i="19"/>
  <c r="D24" i="19"/>
  <c r="C24" i="19"/>
  <c r="L23" i="19"/>
  <c r="G23" i="19"/>
  <c r="E23" i="19"/>
  <c r="D23" i="19"/>
  <c r="C23" i="19"/>
  <c r="L22" i="19"/>
  <c r="G22" i="19"/>
  <c r="E22" i="19"/>
  <c r="D22" i="19"/>
  <c r="C22" i="19"/>
  <c r="L21" i="19"/>
  <c r="G21" i="19"/>
  <c r="B21" i="19" s="1"/>
  <c r="E21" i="19"/>
  <c r="D21" i="19"/>
  <c r="C21" i="19"/>
  <c r="L20" i="19"/>
  <c r="B20" i="19" s="1"/>
  <c r="G20" i="19"/>
  <c r="E20" i="19"/>
  <c r="D20" i="19"/>
  <c r="C20" i="19"/>
  <c r="L19" i="19"/>
  <c r="G19" i="19"/>
  <c r="E19" i="19"/>
  <c r="D19" i="19"/>
  <c r="C19" i="19"/>
  <c r="L18" i="19"/>
  <c r="G18" i="19"/>
  <c r="B18" i="19" s="1"/>
  <c r="E18" i="19"/>
  <c r="D18" i="19"/>
  <c r="C18" i="19"/>
  <c r="L17" i="19"/>
  <c r="G17" i="19"/>
  <c r="E17" i="19"/>
  <c r="D17" i="19"/>
  <c r="C17" i="19"/>
  <c r="B17" i="19"/>
  <c r="AB16" i="19"/>
  <c r="AA16" i="19"/>
  <c r="L16" i="19"/>
  <c r="G16" i="19"/>
  <c r="E16" i="19"/>
  <c r="D16" i="19"/>
  <c r="C16" i="19"/>
  <c r="B16" i="19"/>
  <c r="AB15" i="19"/>
  <c r="L15" i="19"/>
  <c r="G15" i="19"/>
  <c r="E15" i="19"/>
  <c r="D15" i="19"/>
  <c r="C15" i="19"/>
  <c r="B15" i="19"/>
  <c r="L14" i="19"/>
  <c r="G14" i="19"/>
  <c r="B14" i="19" s="1"/>
  <c r="E14" i="19"/>
  <c r="D14" i="19"/>
  <c r="C14" i="19"/>
  <c r="AB13" i="19"/>
  <c r="L13" i="19"/>
  <c r="G13" i="19"/>
  <c r="B13" i="19" s="1"/>
  <c r="E13" i="19"/>
  <c r="D13" i="19"/>
  <c r="C13" i="19"/>
  <c r="L12" i="19"/>
  <c r="B12" i="19" s="1"/>
  <c r="G12" i="19"/>
  <c r="E12" i="19"/>
  <c r="D12" i="19"/>
  <c r="C12" i="19"/>
  <c r="L11" i="19"/>
  <c r="G11" i="19"/>
  <c r="B11" i="19" s="1"/>
  <c r="E11" i="19"/>
  <c r="D11" i="19"/>
  <c r="C11" i="19"/>
  <c r="L10" i="19"/>
  <c r="G10" i="19"/>
  <c r="E10" i="19"/>
  <c r="D10" i="19"/>
  <c r="C10" i="19"/>
  <c r="O9" i="19"/>
  <c r="N9" i="19"/>
  <c r="AB14" i="19" s="1"/>
  <c r="M9" i="19"/>
  <c r="C9" i="19" s="1"/>
  <c r="Z4" i="19" s="1"/>
  <c r="L9" i="19"/>
  <c r="AA8" i="19" s="1"/>
  <c r="J9" i="19"/>
  <c r="AA15" i="19" s="1"/>
  <c r="I9" i="19"/>
  <c r="AA14" i="19" s="1"/>
  <c r="H9" i="19"/>
  <c r="AA13" i="19" s="1"/>
  <c r="AA6" i="19"/>
  <c r="Y33" i="18"/>
  <c r="T33" i="18"/>
  <c r="N33" i="18"/>
  <c r="Y32" i="18"/>
  <c r="T32" i="18"/>
  <c r="N32" i="18"/>
  <c r="Y31" i="18"/>
  <c r="T31" i="18"/>
  <c r="N31" i="18"/>
  <c r="Y30" i="18"/>
  <c r="T30" i="18"/>
  <c r="N30" i="18"/>
  <c r="Y29" i="18"/>
  <c r="T29" i="18"/>
  <c r="N29" i="18"/>
  <c r="Y28" i="18"/>
  <c r="T28" i="18"/>
  <c r="N28" i="18"/>
  <c r="Y27" i="18"/>
  <c r="T27" i="18"/>
  <c r="N27" i="18"/>
  <c r="Y26" i="18"/>
  <c r="T26" i="18"/>
  <c r="N26" i="18"/>
  <c r="Y25" i="18"/>
  <c r="T25" i="18"/>
  <c r="Y24" i="18"/>
  <c r="T24" i="18"/>
  <c r="N24" i="18"/>
  <c r="Y23" i="18"/>
  <c r="T23" i="18"/>
  <c r="N23" i="18"/>
  <c r="Y22" i="18"/>
  <c r="T22" i="18"/>
  <c r="N22" i="18"/>
  <c r="Y21" i="18"/>
  <c r="T21" i="18"/>
  <c r="N21" i="18"/>
  <c r="Y20" i="18"/>
  <c r="V20" i="18"/>
  <c r="U20" i="18"/>
  <c r="T20" i="18" s="1"/>
  <c r="P20" i="18"/>
  <c r="O20" i="18"/>
  <c r="N20" i="18" s="1"/>
  <c r="D20" i="18"/>
  <c r="Y19" i="18"/>
  <c r="T19" i="18"/>
  <c r="N19" i="18"/>
  <c r="D19" i="18"/>
  <c r="Y18" i="18"/>
  <c r="T18" i="18"/>
  <c r="N18" i="18"/>
  <c r="D18" i="18"/>
  <c r="Y17" i="18"/>
  <c r="T17" i="18"/>
  <c r="N17" i="18"/>
  <c r="D17" i="18"/>
  <c r="Y16" i="18"/>
  <c r="T16" i="18"/>
  <c r="D16" i="18"/>
  <c r="Y15" i="18"/>
  <c r="T15" i="18"/>
  <c r="N15" i="18"/>
  <c r="D15" i="18"/>
  <c r="Y14" i="18"/>
  <c r="T14" i="18"/>
  <c r="N14" i="18"/>
  <c r="D14" i="18"/>
  <c r="Y13" i="18"/>
  <c r="T13" i="18"/>
  <c r="N13" i="18"/>
  <c r="D13" i="18"/>
  <c r="Y12" i="18"/>
  <c r="T12" i="18"/>
  <c r="N12" i="18"/>
  <c r="D12" i="18"/>
  <c r="Y11" i="18"/>
  <c r="T11" i="18"/>
  <c r="N11" i="18"/>
  <c r="D11" i="18"/>
  <c r="Y10" i="18"/>
  <c r="T10" i="18"/>
  <c r="N10" i="18"/>
  <c r="D10" i="18"/>
  <c r="Y9" i="18"/>
  <c r="T9" i="18"/>
  <c r="N9" i="18"/>
  <c r="D9" i="18"/>
  <c r="AA8" i="18"/>
  <c r="Y8" i="18" s="1"/>
  <c r="Z8" i="18"/>
  <c r="W8" i="18"/>
  <c r="V8" i="18"/>
  <c r="R8" i="18"/>
  <c r="P8" i="18"/>
  <c r="N8" i="18" s="1"/>
  <c r="O8" i="18"/>
  <c r="L8" i="18"/>
  <c r="F8" i="18"/>
  <c r="E8" i="18"/>
  <c r="D8" i="18"/>
  <c r="B8" i="18"/>
  <c r="J6" i="17"/>
  <c r="I6" i="17"/>
  <c r="H6" i="17"/>
  <c r="G6" i="17"/>
  <c r="F6" i="17"/>
  <c r="E6" i="17"/>
  <c r="D6" i="17"/>
  <c r="C6" i="17"/>
  <c r="B6" i="17"/>
  <c r="Z32" i="16"/>
  <c r="W32" i="16"/>
  <c r="T32" i="16"/>
  <c r="Q32" i="16"/>
  <c r="N32" i="16"/>
  <c r="Z31" i="16"/>
  <c r="W31" i="16"/>
  <c r="T31" i="16"/>
  <c r="Q31" i="16"/>
  <c r="N31" i="16"/>
  <c r="Z30" i="16"/>
  <c r="W30" i="16"/>
  <c r="T30" i="16"/>
  <c r="Q30" i="16"/>
  <c r="N30" i="16"/>
  <c r="Z29" i="16"/>
  <c r="W29" i="16"/>
  <c r="T29" i="16"/>
  <c r="Q29" i="16"/>
  <c r="N29" i="16"/>
  <c r="Z28" i="16"/>
  <c r="W28" i="16"/>
  <c r="T28" i="16"/>
  <c r="Q28" i="16"/>
  <c r="N28" i="16"/>
  <c r="Z27" i="16"/>
  <c r="W27" i="16"/>
  <c r="T27" i="16"/>
  <c r="Q27" i="16"/>
  <c r="N27" i="16"/>
  <c r="Z26" i="16"/>
  <c r="W26" i="16"/>
  <c r="T26" i="16"/>
  <c r="Q26" i="16"/>
  <c r="N26" i="16"/>
  <c r="Z25" i="16"/>
  <c r="W25" i="16"/>
  <c r="T25" i="16"/>
  <c r="Q25" i="16"/>
  <c r="N25" i="16"/>
  <c r="Z24" i="16"/>
  <c r="W24" i="16"/>
  <c r="T24" i="16"/>
  <c r="Q24" i="16"/>
  <c r="N24" i="16"/>
  <c r="Z23" i="16"/>
  <c r="W23" i="16"/>
  <c r="T23" i="16"/>
  <c r="Q23" i="16"/>
  <c r="N23" i="16"/>
  <c r="Z22" i="16"/>
  <c r="W22" i="16"/>
  <c r="T22" i="16"/>
  <c r="Q22" i="16"/>
  <c r="N22" i="16"/>
  <c r="Z21" i="16"/>
  <c r="W21" i="16"/>
  <c r="T21" i="16"/>
  <c r="Q21" i="16"/>
  <c r="N21" i="16"/>
  <c r="Z20" i="16"/>
  <c r="W20" i="16"/>
  <c r="T20" i="16"/>
  <c r="Q20" i="16"/>
  <c r="N20" i="16"/>
  <c r="Z19" i="16"/>
  <c r="W19" i="16"/>
  <c r="T19" i="16"/>
  <c r="Q19" i="16"/>
  <c r="N19" i="16"/>
  <c r="K19" i="16"/>
  <c r="H19" i="16"/>
  <c r="Z18" i="16"/>
  <c r="W18" i="16"/>
  <c r="T18" i="16"/>
  <c r="Q18" i="16"/>
  <c r="N18" i="16"/>
  <c r="K18" i="16"/>
  <c r="H18" i="16"/>
  <c r="Z17" i="16"/>
  <c r="W17" i="16"/>
  <c r="T17" i="16"/>
  <c r="Q17" i="16"/>
  <c r="N17" i="16"/>
  <c r="K17" i="16"/>
  <c r="H17" i="16"/>
  <c r="Z16" i="16"/>
  <c r="W16" i="16"/>
  <c r="T16" i="16"/>
  <c r="Q16" i="16"/>
  <c r="N16" i="16"/>
  <c r="K16" i="16"/>
  <c r="H16" i="16"/>
  <c r="Z15" i="16"/>
  <c r="W15" i="16"/>
  <c r="T15" i="16"/>
  <c r="Q15" i="16"/>
  <c r="N15" i="16"/>
  <c r="K15" i="16"/>
  <c r="H15" i="16"/>
  <c r="Z14" i="16"/>
  <c r="W14" i="16"/>
  <c r="T14" i="16"/>
  <c r="Q14" i="16"/>
  <c r="N14" i="16"/>
  <c r="K14" i="16"/>
  <c r="H14" i="16"/>
  <c r="Z13" i="16"/>
  <c r="W13" i="16"/>
  <c r="T13" i="16"/>
  <c r="K13" i="16"/>
  <c r="H13" i="16"/>
  <c r="Z12" i="16"/>
  <c r="W12" i="16"/>
  <c r="T12" i="16"/>
  <c r="Q12" i="16"/>
  <c r="N12" i="16"/>
  <c r="K12" i="16"/>
  <c r="H12" i="16"/>
  <c r="Z11" i="16"/>
  <c r="W11" i="16"/>
  <c r="T11" i="16"/>
  <c r="Q11" i="16"/>
  <c r="N11" i="16"/>
  <c r="K11" i="16"/>
  <c r="H11" i="16"/>
  <c r="Z10" i="16"/>
  <c r="W10" i="16"/>
  <c r="T10" i="16"/>
  <c r="Q10" i="16"/>
  <c r="N10" i="16"/>
  <c r="K10" i="16"/>
  <c r="H10" i="16"/>
  <c r="Z9" i="16"/>
  <c r="W9" i="16"/>
  <c r="T9" i="16"/>
  <c r="Q9" i="16"/>
  <c r="N9" i="16"/>
  <c r="K9" i="16"/>
  <c r="H9" i="16"/>
  <c r="Z8" i="16"/>
  <c r="W8" i="16"/>
  <c r="T8" i="16"/>
  <c r="Q8" i="16"/>
  <c r="N8" i="16"/>
  <c r="K8" i="16"/>
  <c r="H8" i="16"/>
  <c r="AB7" i="16"/>
  <c r="AA7" i="16"/>
  <c r="Z7" i="16" s="1"/>
  <c r="Y7" i="16"/>
  <c r="X7" i="16"/>
  <c r="W7" i="16" s="1"/>
  <c r="V7" i="16"/>
  <c r="U7" i="16"/>
  <c r="T7" i="16" s="1"/>
  <c r="S7" i="16"/>
  <c r="R7" i="16"/>
  <c r="Q7" i="16" s="1"/>
  <c r="P7" i="16"/>
  <c r="O7" i="16"/>
  <c r="N7" i="16" s="1"/>
  <c r="M7" i="16"/>
  <c r="L7" i="16"/>
  <c r="K7" i="16" s="1"/>
  <c r="J7" i="16"/>
  <c r="I7" i="16"/>
  <c r="H7" i="16" s="1"/>
  <c r="G7" i="16"/>
  <c r="F7" i="16"/>
  <c r="E7" i="16"/>
  <c r="D7" i="16"/>
  <c r="AE245" i="21" l="1"/>
  <c r="AE262" i="21"/>
  <c r="AE247" i="21"/>
  <c r="AG262" i="21"/>
  <c r="Q12" i="20"/>
  <c r="B12" i="20"/>
  <c r="R12" i="20"/>
  <c r="N12" i="20"/>
  <c r="P12" i="20"/>
  <c r="K12" i="20"/>
  <c r="G12" i="20"/>
  <c r="C12" i="20"/>
  <c r="H12" i="20"/>
  <c r="AB8" i="19"/>
  <c r="B27" i="19"/>
  <c r="B30" i="19"/>
  <c r="D9" i="19"/>
  <c r="AA4" i="19" s="1"/>
  <c r="B23" i="19"/>
  <c r="B26" i="19"/>
  <c r="G9" i="19"/>
  <c r="B9" i="19" s="1"/>
  <c r="B10" i="19"/>
  <c r="B19" i="19"/>
  <c r="B22" i="19"/>
  <c r="B32" i="19"/>
  <c r="U8" i="18"/>
  <c r="T8" i="18" s="1"/>
  <c r="E9" i="19"/>
  <c r="AB4" i="19" s="1"/>
  <c r="AA7" i="19" l="1"/>
  <c r="AB7" i="19" l="1"/>
  <c r="AA9" i="19"/>
  <c r="AB9" i="19" l="1"/>
  <c r="AC4" i="19"/>
  <c r="AB16" i="15" l="1"/>
  <c r="AA13" i="15"/>
  <c r="AA9" i="15"/>
  <c r="AC4" i="15" s="1"/>
  <c r="AA4" i="15"/>
  <c r="Z4" i="15"/>
  <c r="AA7" i="15" l="1"/>
  <c r="L34" i="15"/>
  <c r="B34" i="15" s="1"/>
  <c r="G34" i="15"/>
  <c r="E34" i="15"/>
  <c r="D34" i="15"/>
  <c r="C34" i="15"/>
  <c r="L33" i="15"/>
  <c r="G33" i="15"/>
  <c r="B33" i="15" s="1"/>
  <c r="E33" i="15"/>
  <c r="D33" i="15"/>
  <c r="C33" i="15"/>
  <c r="L32" i="15"/>
  <c r="G32" i="15"/>
  <c r="B32" i="15" s="1"/>
  <c r="E32" i="15"/>
  <c r="D32" i="15"/>
  <c r="C32" i="15"/>
  <c r="L31" i="15"/>
  <c r="B31" i="15" s="1"/>
  <c r="G31" i="15"/>
  <c r="E31" i="15"/>
  <c r="D31" i="15"/>
  <c r="C31" i="15"/>
  <c r="L30" i="15"/>
  <c r="G30" i="15"/>
  <c r="B30" i="15" s="1"/>
  <c r="E30" i="15"/>
  <c r="D30" i="15"/>
  <c r="C30" i="15"/>
  <c r="L29" i="15"/>
  <c r="G29" i="15"/>
  <c r="E29" i="15"/>
  <c r="D29" i="15"/>
  <c r="C29" i="15"/>
  <c r="L28" i="15"/>
  <c r="G28" i="15"/>
  <c r="B28" i="15" s="1"/>
  <c r="E28" i="15"/>
  <c r="D28" i="15"/>
  <c r="C28" i="15"/>
  <c r="L27" i="15"/>
  <c r="G27" i="15"/>
  <c r="B27" i="15" s="1"/>
  <c r="E27" i="15"/>
  <c r="D27" i="15"/>
  <c r="C27" i="15"/>
  <c r="L26" i="15"/>
  <c r="G26" i="15"/>
  <c r="B26" i="15" s="1"/>
  <c r="E26" i="15"/>
  <c r="D26" i="15"/>
  <c r="C26" i="15"/>
  <c r="L25" i="15"/>
  <c r="G25" i="15"/>
  <c r="E25" i="15"/>
  <c r="D25" i="15"/>
  <c r="C25" i="15"/>
  <c r="B25" i="15"/>
  <c r="L24" i="15"/>
  <c r="G24" i="15"/>
  <c r="E24" i="15"/>
  <c r="D24" i="15"/>
  <c r="C24" i="15"/>
  <c r="L23" i="15"/>
  <c r="G23" i="15"/>
  <c r="B23" i="15" s="1"/>
  <c r="E23" i="15"/>
  <c r="D23" i="15"/>
  <c r="C23" i="15"/>
  <c r="L22" i="15"/>
  <c r="G22" i="15"/>
  <c r="E22" i="15"/>
  <c r="D22" i="15"/>
  <c r="C22" i="15"/>
  <c r="B22" i="15"/>
  <c r="L21" i="15"/>
  <c r="B21" i="15" s="1"/>
  <c r="G21" i="15"/>
  <c r="E21" i="15"/>
  <c r="D21" i="15"/>
  <c r="C21" i="15"/>
  <c r="L20" i="15"/>
  <c r="G20" i="15"/>
  <c r="E20" i="15"/>
  <c r="D20" i="15"/>
  <c r="C20" i="15"/>
  <c r="L19" i="15"/>
  <c r="G19" i="15"/>
  <c r="B19" i="15" s="1"/>
  <c r="E19" i="15"/>
  <c r="D19" i="15"/>
  <c r="C19" i="15"/>
  <c r="L18" i="15"/>
  <c r="B18" i="15" s="1"/>
  <c r="G18" i="15"/>
  <c r="E18" i="15"/>
  <c r="D18" i="15"/>
  <c r="C18" i="15"/>
  <c r="L17" i="15"/>
  <c r="G17" i="15"/>
  <c r="B17" i="15" s="1"/>
  <c r="E17" i="15"/>
  <c r="D17" i="15"/>
  <c r="C17" i="15"/>
  <c r="L16" i="15"/>
  <c r="G16" i="15"/>
  <c r="B16" i="15" s="1"/>
  <c r="E16" i="15"/>
  <c r="D16" i="15"/>
  <c r="C16" i="15"/>
  <c r="AB15" i="15"/>
  <c r="L15" i="15"/>
  <c r="G15" i="15"/>
  <c r="B15" i="15" s="1"/>
  <c r="E15" i="15"/>
  <c r="D15" i="15"/>
  <c r="C15" i="15"/>
  <c r="L14" i="15"/>
  <c r="G14" i="15"/>
  <c r="B14" i="15" s="1"/>
  <c r="E14" i="15"/>
  <c r="D14" i="15"/>
  <c r="C14" i="15"/>
  <c r="L13" i="15"/>
  <c r="G13" i="15"/>
  <c r="B13" i="15" s="1"/>
  <c r="E13" i="15"/>
  <c r="D13" i="15"/>
  <c r="C13" i="15"/>
  <c r="L12" i="15"/>
  <c r="G12" i="15"/>
  <c r="B12" i="15" s="1"/>
  <c r="E12" i="15"/>
  <c r="D12" i="15"/>
  <c r="C12" i="15"/>
  <c r="L11" i="15"/>
  <c r="G11" i="15"/>
  <c r="E11" i="15"/>
  <c r="D11" i="15"/>
  <c r="C11" i="15"/>
  <c r="L10" i="15"/>
  <c r="G10" i="15"/>
  <c r="B10" i="15" s="1"/>
  <c r="E10" i="15"/>
  <c r="D10" i="15"/>
  <c r="C10" i="15"/>
  <c r="O9" i="15"/>
  <c r="N9" i="15"/>
  <c r="AB14" i="15" s="1"/>
  <c r="M9" i="15"/>
  <c r="J9" i="15"/>
  <c r="E9" i="15" s="1"/>
  <c r="AB4" i="15" s="1"/>
  <c r="I9" i="15"/>
  <c r="D9" i="15" s="1"/>
  <c r="H9" i="15"/>
  <c r="AL34" i="14"/>
  <c r="AL33" i="14"/>
  <c r="AL32" i="14"/>
  <c r="AL31" i="14"/>
  <c r="AL30" i="14"/>
  <c r="AL35" i="14"/>
  <c r="K5" i="14"/>
  <c r="J5" i="14"/>
  <c r="I5" i="14"/>
  <c r="H5" i="14"/>
  <c r="G5" i="14"/>
  <c r="F5" i="14"/>
  <c r="E5" i="14"/>
  <c r="D5" i="14"/>
  <c r="C5" i="14"/>
  <c r="B5" i="14"/>
  <c r="AJ68" i="13"/>
  <c r="AI68" i="13"/>
  <c r="AH68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D19" i="13"/>
  <c r="I18" i="13"/>
  <c r="D18" i="13"/>
  <c r="I17" i="13"/>
  <c r="D17" i="13"/>
  <c r="I16" i="13"/>
  <c r="D16" i="13"/>
  <c r="I15" i="13"/>
  <c r="D15" i="13"/>
  <c r="I14" i="13"/>
  <c r="D14" i="13"/>
  <c r="I13" i="13"/>
  <c r="D13" i="13"/>
  <c r="I12" i="13"/>
  <c r="D12" i="13"/>
  <c r="I11" i="13"/>
  <c r="D11" i="13"/>
  <c r="I10" i="13"/>
  <c r="D10" i="13"/>
  <c r="I9" i="13"/>
  <c r="D9" i="13"/>
  <c r="K8" i="13"/>
  <c r="J8" i="13"/>
  <c r="G8" i="13"/>
  <c r="F8" i="13"/>
  <c r="E8" i="13"/>
  <c r="B8" i="13"/>
  <c r="I8" i="13" l="1"/>
  <c r="B20" i="15"/>
  <c r="L9" i="15"/>
  <c r="AA8" i="15" s="1"/>
  <c r="AB8" i="15" s="1"/>
  <c r="AA15" i="15"/>
  <c r="B29" i="15"/>
  <c r="B11" i="15"/>
  <c r="B24" i="15"/>
  <c r="AB13" i="15"/>
  <c r="AB25" i="15" s="1"/>
  <c r="G9" i="15"/>
  <c r="AA14" i="15"/>
  <c r="AA25" i="15" s="1"/>
  <c r="C9" i="15"/>
  <c r="D8" i="13"/>
  <c r="N5" i="12"/>
  <c r="M5" i="12"/>
  <c r="B9" i="15" l="1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N17" i="12"/>
  <c r="M17" i="12"/>
  <c r="M16" i="12"/>
  <c r="N15" i="12"/>
  <c r="M15" i="12"/>
  <c r="M14" i="12"/>
  <c r="M13" i="12"/>
  <c r="N12" i="12"/>
  <c r="M12" i="12"/>
  <c r="M11" i="12"/>
  <c r="N10" i="12"/>
  <c r="M10" i="12"/>
  <c r="M9" i="12"/>
  <c r="M8" i="12"/>
  <c r="N7" i="12"/>
  <c r="M7" i="12"/>
  <c r="M6" i="12"/>
  <c r="L5" i="12"/>
  <c r="N16" i="12" s="1"/>
  <c r="K5" i="12"/>
  <c r="J5" i="12"/>
  <c r="I5" i="12"/>
  <c r="H5" i="12"/>
  <c r="G5" i="12"/>
  <c r="AB9" i="15" l="1"/>
  <c r="N13" i="12"/>
  <c r="N9" i="12"/>
  <c r="N14" i="12"/>
  <c r="N11" i="12"/>
  <c r="N6" i="12"/>
  <c r="N8" i="12"/>
  <c r="V11" i="11" l="1"/>
  <c r="V10" i="11"/>
  <c r="V9" i="11"/>
  <c r="V8" i="11"/>
  <c r="V7" i="11"/>
  <c r="V6" i="11"/>
  <c r="L10" i="10"/>
  <c r="L9" i="10"/>
  <c r="L8" i="10"/>
  <c r="L7" i="10"/>
  <c r="I6" i="10"/>
  <c r="L6" i="10" s="1"/>
  <c r="H6" i="10"/>
  <c r="G6" i="10"/>
  <c r="G5" i="10" s="1"/>
  <c r="F6" i="10"/>
  <c r="F5" i="10" s="1"/>
  <c r="E6" i="10"/>
  <c r="E5" i="10" s="1"/>
  <c r="D6" i="10"/>
  <c r="D5" i="10" s="1"/>
  <c r="C6" i="10"/>
  <c r="C5" i="10" s="1"/>
  <c r="B6" i="10"/>
  <c r="B5" i="10" s="1"/>
  <c r="I5" i="10"/>
  <c r="K10" i="10" s="1"/>
  <c r="H5" i="10"/>
  <c r="K6" i="9"/>
  <c r="J6" i="9"/>
  <c r="I6" i="9"/>
  <c r="H6" i="9"/>
  <c r="G6" i="9"/>
  <c r="F6" i="9"/>
  <c r="E6" i="9"/>
  <c r="D6" i="9"/>
  <c r="C6" i="9"/>
  <c r="B6" i="9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8" i="8"/>
  <c r="L7" i="8"/>
  <c r="K21" i="8"/>
  <c r="K20" i="8"/>
  <c r="K19" i="8"/>
  <c r="K18" i="8"/>
  <c r="K17" i="8"/>
  <c r="K16" i="8"/>
  <c r="K15" i="8"/>
  <c r="K14" i="8"/>
  <c r="H14" i="8"/>
  <c r="H6" i="8" s="1"/>
  <c r="G14" i="8"/>
  <c r="F14" i="8"/>
  <c r="E14" i="8"/>
  <c r="D14" i="8"/>
  <c r="C14" i="8"/>
  <c r="B14" i="8"/>
  <c r="K13" i="8"/>
  <c r="K12" i="8"/>
  <c r="K11" i="8"/>
  <c r="K10" i="8"/>
  <c r="K9" i="8"/>
  <c r="K8" i="8"/>
  <c r="H7" i="8"/>
  <c r="K7" i="8" s="1"/>
  <c r="G7" i="8"/>
  <c r="F7" i="8"/>
  <c r="F6" i="8" s="1"/>
  <c r="E7" i="8"/>
  <c r="D7" i="8"/>
  <c r="D6" i="8" s="1"/>
  <c r="C7" i="8"/>
  <c r="B7" i="8"/>
  <c r="B6" i="8" s="1"/>
  <c r="I6" i="8"/>
  <c r="H6" i="7"/>
  <c r="G6" i="7"/>
  <c r="F6" i="7"/>
  <c r="E6" i="7"/>
  <c r="D6" i="7"/>
  <c r="C6" i="7"/>
  <c r="B6" i="7"/>
  <c r="B30" i="6"/>
  <c r="K5" i="5"/>
  <c r="J5" i="5"/>
  <c r="I5" i="5"/>
  <c r="H5" i="5"/>
  <c r="G5" i="5"/>
  <c r="F5" i="5"/>
  <c r="E5" i="5"/>
  <c r="D5" i="5"/>
  <c r="C5" i="5"/>
  <c r="B5" i="5"/>
  <c r="B17" i="4"/>
  <c r="B16" i="4"/>
  <c r="B15" i="4"/>
  <c r="B14" i="4"/>
  <c r="B13" i="4"/>
  <c r="B12" i="4"/>
  <c r="B11" i="4"/>
  <c r="B10" i="4"/>
  <c r="B9" i="4"/>
  <c r="B8" i="4"/>
  <c r="B7" i="4"/>
  <c r="B6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L9" i="3"/>
  <c r="L6" i="3"/>
  <c r="K6" i="10" l="1"/>
  <c r="K7" i="10"/>
  <c r="K8" i="10"/>
  <c r="K9" i="10"/>
  <c r="E6" i="8"/>
  <c r="G6" i="8"/>
  <c r="C6" i="8"/>
  <c r="B5" i="4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J8" i="3"/>
  <c r="I8" i="3"/>
  <c r="I6" i="3" s="1"/>
  <c r="H8" i="3"/>
  <c r="H6" i="3" s="1"/>
  <c r="G8" i="3"/>
  <c r="G6" i="3" s="1"/>
  <c r="F8" i="3"/>
  <c r="F6" i="3" s="1"/>
  <c r="E8" i="3"/>
  <c r="E6" i="3" s="1"/>
  <c r="D8" i="3"/>
  <c r="D6" i="3" s="1"/>
  <c r="C8" i="3"/>
  <c r="B8" i="3"/>
  <c r="B6" i="3" s="1"/>
  <c r="L7" i="3"/>
  <c r="J6" i="3"/>
  <c r="C6" i="3"/>
  <c r="R22" i="2"/>
  <c r="S30" i="2"/>
  <c r="R30" i="2"/>
  <c r="N30" i="2"/>
  <c r="K30" i="2"/>
  <c r="H30" i="2"/>
  <c r="B30" i="2"/>
  <c r="S29" i="2"/>
  <c r="R29" i="2"/>
  <c r="N29" i="2"/>
  <c r="K29" i="2"/>
  <c r="H29" i="2"/>
  <c r="B29" i="2"/>
  <c r="S28" i="2"/>
  <c r="R28" i="2"/>
  <c r="N28" i="2"/>
  <c r="K28" i="2"/>
  <c r="H28" i="2"/>
  <c r="B28" i="2"/>
  <c r="S27" i="2"/>
  <c r="N27" i="2"/>
  <c r="K27" i="2"/>
  <c r="H27" i="2"/>
  <c r="B27" i="2"/>
  <c r="S26" i="2"/>
  <c r="R26" i="2"/>
  <c r="N26" i="2"/>
  <c r="K26" i="2"/>
  <c r="H26" i="2"/>
  <c r="B26" i="2"/>
  <c r="S25" i="2"/>
  <c r="R25" i="2"/>
  <c r="N25" i="2"/>
  <c r="K25" i="2"/>
  <c r="H25" i="2"/>
  <c r="B25" i="2"/>
  <c r="S24" i="2"/>
  <c r="R24" i="2"/>
  <c r="N24" i="2"/>
  <c r="K24" i="2"/>
  <c r="Q24" i="2" s="1"/>
  <c r="H24" i="2"/>
  <c r="B24" i="2"/>
  <c r="S23" i="2"/>
  <c r="R23" i="2"/>
  <c r="N23" i="2"/>
  <c r="K23" i="2"/>
  <c r="H23" i="2"/>
  <c r="B23" i="2"/>
  <c r="S22" i="2"/>
  <c r="N22" i="2"/>
  <c r="K22" i="2"/>
  <c r="H22" i="2"/>
  <c r="B22" i="2"/>
  <c r="S21" i="2"/>
  <c r="R21" i="2"/>
  <c r="N21" i="2"/>
  <c r="K21" i="2"/>
  <c r="H21" i="2"/>
  <c r="B21" i="2"/>
  <c r="S20" i="2"/>
  <c r="R20" i="2"/>
  <c r="N20" i="2"/>
  <c r="K20" i="2"/>
  <c r="H20" i="2"/>
  <c r="B20" i="2"/>
  <c r="S19" i="2"/>
  <c r="R19" i="2"/>
  <c r="N19" i="2"/>
  <c r="K19" i="2"/>
  <c r="H19" i="2"/>
  <c r="D19" i="2"/>
  <c r="D7" i="2" s="1"/>
  <c r="C19" i="2"/>
  <c r="S18" i="2"/>
  <c r="R18" i="2"/>
  <c r="N18" i="2"/>
  <c r="K18" i="2"/>
  <c r="H18" i="2"/>
  <c r="B18" i="2"/>
  <c r="S17" i="2"/>
  <c r="R17" i="2"/>
  <c r="N17" i="2"/>
  <c r="K17" i="2"/>
  <c r="H17" i="2"/>
  <c r="B17" i="2"/>
  <c r="S16" i="2"/>
  <c r="R16" i="2"/>
  <c r="N16" i="2"/>
  <c r="K16" i="2"/>
  <c r="H16" i="2"/>
  <c r="B16" i="2"/>
  <c r="S15" i="2"/>
  <c r="R15" i="2"/>
  <c r="N15" i="2"/>
  <c r="K15" i="2"/>
  <c r="H15" i="2"/>
  <c r="B15" i="2"/>
  <c r="S14" i="2"/>
  <c r="R14" i="2"/>
  <c r="N14" i="2"/>
  <c r="K14" i="2"/>
  <c r="H14" i="2"/>
  <c r="B14" i="2"/>
  <c r="S13" i="2"/>
  <c r="R13" i="2"/>
  <c r="N13" i="2"/>
  <c r="K13" i="2"/>
  <c r="Q13" i="2" s="1"/>
  <c r="H13" i="2"/>
  <c r="B13" i="2"/>
  <c r="S12" i="2"/>
  <c r="R12" i="2"/>
  <c r="N12" i="2"/>
  <c r="K12" i="2"/>
  <c r="H12" i="2"/>
  <c r="B12" i="2"/>
  <c r="S11" i="2"/>
  <c r="R11" i="2"/>
  <c r="N11" i="2"/>
  <c r="K11" i="2"/>
  <c r="H11" i="2"/>
  <c r="B11" i="2"/>
  <c r="S10" i="2"/>
  <c r="R10" i="2"/>
  <c r="N10" i="2"/>
  <c r="K10" i="2"/>
  <c r="H10" i="2"/>
  <c r="B10" i="2"/>
  <c r="S9" i="2"/>
  <c r="R9" i="2"/>
  <c r="N9" i="2"/>
  <c r="K9" i="2"/>
  <c r="H9" i="2"/>
  <c r="B9" i="2"/>
  <c r="S8" i="2"/>
  <c r="R8" i="2"/>
  <c r="N8" i="2"/>
  <c r="K8" i="2"/>
  <c r="H8" i="2"/>
  <c r="B8" i="2"/>
  <c r="P7" i="2"/>
  <c r="O7" i="2"/>
  <c r="M7" i="2"/>
  <c r="L7" i="2"/>
  <c r="J7" i="2"/>
  <c r="I7" i="2"/>
  <c r="G7" i="2"/>
  <c r="F7" i="2"/>
  <c r="E7" i="2"/>
  <c r="AK44" i="1"/>
  <c r="AK45" i="1"/>
  <c r="AK46" i="1"/>
  <c r="AK47" i="1"/>
  <c r="AK48" i="1"/>
  <c r="AJ48" i="1"/>
  <c r="AI48" i="1"/>
  <c r="AH48" i="1"/>
  <c r="AJ47" i="1"/>
  <c r="AI47" i="1"/>
  <c r="AH47" i="1"/>
  <c r="AJ46" i="1"/>
  <c r="AI46" i="1"/>
  <c r="AH46" i="1"/>
  <c r="AJ45" i="1"/>
  <c r="AI45" i="1"/>
  <c r="AH45" i="1"/>
  <c r="AJ44" i="1"/>
  <c r="AI44" i="1"/>
  <c r="AH44" i="1"/>
  <c r="M30" i="1"/>
  <c r="AE29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L14" i="1"/>
  <c r="M13" i="1"/>
  <c r="M12" i="1"/>
  <c r="M11" i="1"/>
  <c r="M10" i="1"/>
  <c r="M9" i="1"/>
  <c r="M8" i="1"/>
  <c r="M7" i="1"/>
  <c r="L7" i="1"/>
  <c r="M6" i="1"/>
  <c r="K5" i="1"/>
  <c r="L30" i="1" s="1"/>
  <c r="J5" i="1"/>
  <c r="I5" i="1"/>
  <c r="H5" i="1"/>
  <c r="G5" i="1"/>
  <c r="F5" i="1"/>
  <c r="E5" i="1"/>
  <c r="D5" i="1"/>
  <c r="Q8" i="2" l="1"/>
  <c r="Q12" i="2"/>
  <c r="Q16" i="2"/>
  <c r="R7" i="2"/>
  <c r="Q11" i="2"/>
  <c r="Q19" i="2"/>
  <c r="Q27" i="2"/>
  <c r="Q14" i="2"/>
  <c r="Q18" i="2"/>
  <c r="Q26" i="2"/>
  <c r="Q29" i="2"/>
  <c r="Q9" i="2"/>
  <c r="Q25" i="2"/>
  <c r="L8" i="3"/>
  <c r="Q28" i="2"/>
  <c r="S7" i="2"/>
  <c r="Q10" i="2"/>
  <c r="Q15" i="2"/>
  <c r="K7" i="2"/>
  <c r="Q17" i="2"/>
  <c r="Q30" i="2"/>
  <c r="B19" i="2"/>
  <c r="C7" i="2"/>
  <c r="B7" i="2" s="1"/>
  <c r="Q23" i="2"/>
  <c r="Q20" i="2"/>
  <c r="H7" i="2"/>
  <c r="Q21" i="2"/>
  <c r="Q22" i="2"/>
  <c r="N7" i="2"/>
  <c r="Q7" i="2" s="1"/>
  <c r="L5" i="1"/>
  <c r="L6" i="1"/>
  <c r="L10" i="1"/>
  <c r="L11" i="1"/>
  <c r="L19" i="1"/>
  <c r="L8" i="1"/>
  <c r="L16" i="1"/>
  <c r="L21" i="1"/>
  <c r="L23" i="1"/>
  <c r="L25" i="1"/>
  <c r="L27" i="1"/>
  <c r="L29" i="1"/>
  <c r="L13" i="1"/>
  <c r="L18" i="1"/>
  <c r="L15" i="1"/>
  <c r="M5" i="1"/>
  <c r="L12" i="1"/>
  <c r="L20" i="1"/>
  <c r="L22" i="1"/>
  <c r="L24" i="1"/>
  <c r="L26" i="1"/>
  <c r="L28" i="1"/>
  <c r="L9" i="1"/>
  <c r="L17" i="1"/>
</calcChain>
</file>

<file path=xl/comments1.xml><?xml version="1.0" encoding="utf-8"?>
<comments xmlns="http://schemas.openxmlformats.org/spreadsheetml/2006/main">
  <authors>
    <author>Fathimath Shifaza</author>
  </authors>
  <commentList>
    <comment ref="E8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in table 8.1: 4008, 
pls correct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in table 8.1: 944</t>
        </r>
      </text>
    </comment>
  </commentList>
</comments>
</file>

<file path=xl/comments2.xml><?xml version="1.0" encoding="utf-8"?>
<comments xmlns="http://schemas.openxmlformats.org/spreadsheetml/2006/main">
  <authors>
    <author>Fathimath Shifaza</author>
  </authors>
  <commentList>
    <comment ref="N9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should tally with table 8.13. pls recheck</t>
        </r>
      </text>
    </comment>
  </commentList>
</comments>
</file>

<file path=xl/comments3.xml><?xml version="1.0" encoding="utf-8"?>
<comments xmlns="http://schemas.openxmlformats.org/spreadsheetml/2006/main">
  <authors>
    <author>Ahmed Niushad</author>
  </authors>
  <commentList>
    <comment ref="B8" authorId="0" shapeId="0">
      <text>
        <r>
          <rPr>
            <b/>
            <sz val="9"/>
            <color indexed="41"/>
            <rFont val="Tahoma"/>
            <family val="2"/>
          </rPr>
          <t>Foreigners without ages are not included in this total</t>
        </r>
      </text>
    </comment>
  </commentList>
</comments>
</file>

<file path=xl/sharedStrings.xml><?xml version="1.0" encoding="utf-8"?>
<sst xmlns="http://schemas.openxmlformats.org/spreadsheetml/2006/main" count="2660" uniqueCount="1234">
  <si>
    <t>Logged Cases</t>
  </si>
  <si>
    <t>ބެހިފައިވާ ގޮތް އިންސައްތައިން</t>
  </si>
  <si>
    <t>2017އާއި އަޅާބަލާއިރު 2018ގައި އިތުރުވި މިންވަރު (%)</t>
  </si>
  <si>
    <t>ހުށަހެޅިފައިވާ މައްސަލަތައް</t>
  </si>
  <si>
    <t>% change over 2016</t>
  </si>
  <si>
    <t>% share 2018</t>
  </si>
  <si>
    <t>% change over 2017</t>
  </si>
  <si>
    <t>Theft</t>
  </si>
  <si>
    <t>Total</t>
  </si>
  <si>
    <t>wlcmuj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</si>
  <si>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</si>
  <si>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</si>
  <si>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</si>
  <si>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</si>
  <si>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</si>
  <si>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</si>
  <si>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</si>
  <si>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</si>
  <si>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</si>
  <si>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</si>
  <si>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</si>
  <si>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</si>
  <si>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</si>
  <si>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</si>
  <si>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</si>
  <si>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</si>
  <si>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</si>
  <si>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</si>
  <si>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</si>
  <si>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</si>
  <si>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</si>
  <si>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</si>
  <si>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</si>
  <si>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</si>
  <si>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Disorderly Conduct</t>
  </si>
  <si>
    <t>ވަގުފައިސާ އަދި ފޯރޖްކުރުން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</si>
  <si>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</si>
  <si>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</si>
  <si>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</si>
  <si>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</si>
  <si>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</si>
  <si>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</si>
  <si>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</si>
  <si>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</si>
  <si>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</si>
  <si>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</si>
  <si>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</si>
  <si>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</si>
  <si>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</si>
  <si>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</si>
  <si>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</si>
  <si>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</si>
  <si>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</si>
  <si>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</si>
  <si>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</si>
  <si>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</si>
  <si>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</si>
  <si>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</si>
  <si>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</si>
  <si>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</si>
  <si>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</si>
  <si>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</si>
  <si>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ތާވަލު 8.1: ހުށަހެޅިފައިވާ މައްސަލަތައް، 2016- 2018</t>
  </si>
  <si>
    <t>Table 8.1: LOGGED CASES FROM THE YEAR, 2016 - 2018</t>
  </si>
  <si>
    <t>GO BACK TO CONTENTS</t>
  </si>
  <si>
    <t>Type of case</t>
  </si>
  <si>
    <t>ކުރީ އަހަރާއި  އަޅާ ބަލާއިރު އިތުރުވި މިންވަރު</t>
  </si>
  <si>
    <t>ރާއްޖެ</t>
  </si>
  <si>
    <t>މާލެ</t>
  </si>
  <si>
    <t>އަތޮޅުތައް</t>
  </si>
  <si>
    <t>Republic</t>
  </si>
  <si>
    <t>Male'</t>
  </si>
  <si>
    <t>Atolls</t>
  </si>
  <si>
    <t>ޓްރެފިކް އެކްސިޑެންޓްސް</t>
  </si>
  <si>
    <t>Threatening</t>
  </si>
  <si>
    <t xml:space="preserve">  ބިރުދެއްކުން</t>
  </si>
  <si>
    <t>Fire incidents</t>
  </si>
  <si>
    <t xml:space="preserve">  އަލިފާނުގެ ހާދިސާ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</si>
  <si>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</si>
  <si>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</si>
  <si>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</si>
  <si>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</si>
  <si>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</si>
  <si>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</si>
  <si>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</si>
  <si>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</si>
  <si>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</si>
  <si>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</si>
  <si>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</si>
  <si>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Unlawful posession of weapons</t>
  </si>
  <si>
    <t>ހަތިޔާރު ގެންގުޅުން</t>
  </si>
  <si>
    <t>Locality</t>
  </si>
  <si>
    <t>ކުރީ އަހަރާއި  އަޅާ</t>
  </si>
  <si>
    <t>ތަން</t>
  </si>
  <si>
    <t>ބަލާއިރު އިތުރުވި މިންވަރު</t>
  </si>
  <si>
    <t>ejcaWriLum</t>
  </si>
  <si>
    <t>elWm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</si>
  <si>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</si>
  <si>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</si>
  <si>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</si>
  <si>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</si>
  <si>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</si>
  <si>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</si>
  <si>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</si>
  <si>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</si>
  <si>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</si>
  <si>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</si>
  <si>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</si>
  <si>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</si>
  <si>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</si>
  <si>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</si>
  <si>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</si>
  <si>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</si>
  <si>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</si>
  <si>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</si>
  <si>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</si>
  <si>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</si>
  <si>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</si>
  <si>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</si>
  <si>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</si>
  <si>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</si>
  <si>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</si>
  <si>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</si>
  <si>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</si>
  <si>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</si>
  <si>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</si>
  <si>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</si>
  <si>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</si>
  <si>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</si>
  <si>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</si>
  <si>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</si>
  <si>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</si>
  <si>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</si>
  <si>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</si>
  <si>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-</t>
  </si>
  <si>
    <t>ތާވަލު 8.2: މާލެ އަދި އަތޮޅުތަކުން ހުށަހެޅިފައިވާ މައްސަލަތަކުގެ ޢަދަދު އަދި ބާވަތް، 2016- 2018</t>
  </si>
  <si>
    <t>TABLE 8.2  : NUMBER OF  LOGGED CASES BY  LOCALITY &amp; TYPE OF CASES, 2016 - 2018</t>
  </si>
  <si>
    <t>ތާވަލު 8.3: އެކި އަތޮޅުތަކުން ހުށަހެޅިފައިވާ މައްސަލަތަކުގެ އަދަދު، 2016- 2018</t>
  </si>
  <si>
    <t>TABLE: 8.3: NUMBER OF  LOGGED CASES BY ATOLL, 2016 - 2018</t>
  </si>
  <si>
    <t>ތާވަލު 8.4: އަތޮޅުތަކުން ހުށަހެޅިފައިވާ މައްސަލަތައް، 2018</t>
  </si>
  <si>
    <t>Table 8.4 : LOGGED CASES BY TYPE AND ATOLL,  2018</t>
  </si>
  <si>
    <t>ޖުމްލަ</t>
  </si>
  <si>
    <t>Counterfeit</t>
  </si>
  <si>
    <t>ވަގުފައިސާ</t>
  </si>
  <si>
    <t>Number of cases logged</t>
  </si>
  <si>
    <t>cawtwlwscawm WviwފiLehwSuh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</si>
  <si>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</si>
  <si>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</si>
  <si>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</si>
  <si>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</si>
  <si>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</si>
  <si>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</si>
  <si>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</si>
  <si>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</si>
  <si>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</si>
  <si>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</si>
  <si>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</si>
  <si>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</si>
  <si>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</si>
  <si>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</si>
  <si>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</si>
  <si>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</si>
  <si>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</si>
  <si>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</si>
  <si>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</si>
  <si>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</si>
  <si>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</si>
  <si>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</si>
  <si>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</si>
  <si>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</si>
  <si>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2018 - 2016 ,cawtwlwscawm WviawfiLehwSuh : 8.5 ulwvWt</t>
  </si>
  <si>
    <t>Table 8.5: LOGGED CASES  2016 - 2018</t>
  </si>
  <si>
    <t>ތާވަލު 8.6: 1992 އިން 2018 ށް މައްސަލަ ހުށަހެޅުމުން އައިގޮތް</t>
  </si>
  <si>
    <t>Table 8.6: TREND SHOWING LOGGED CASES, 1992 - 2018</t>
  </si>
  <si>
    <t>Year</t>
  </si>
  <si>
    <t>No. of Cases Logged</t>
  </si>
  <si>
    <t>އަހަރު</t>
  </si>
  <si>
    <t>ހުށަހެޅުނު އަދަދު</t>
  </si>
  <si>
    <t>މަޢުލޫމާތު ދެއްވީ: މޯލްޑިވްސް ޕޮލިސް ސަރވިސް</t>
  </si>
  <si>
    <t xml:space="preserve">Type </t>
  </si>
  <si>
    <t>އިންސައްތަ</t>
  </si>
  <si>
    <t xml:space="preserve"> މައްސަލައިގެ ބާވަތް</t>
  </si>
  <si>
    <t>Percentage share</t>
  </si>
  <si>
    <t>%change over 2017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</si>
  <si>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</si>
  <si>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</si>
  <si>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</si>
  <si>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</si>
  <si>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</si>
  <si>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</si>
  <si>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</si>
  <si>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</si>
  <si>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</si>
  <si>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</si>
  <si>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Theft from  places (by forced  entry)</t>
  </si>
  <si>
    <t>ފަޅާލައިގެންވަދެ ތަންތަނުން ކޮށްފައިވާ ވައްކަން</t>
  </si>
  <si>
    <t>Other theft</t>
  </si>
  <si>
    <t>އެހެނިހެން ވައްކަން</t>
  </si>
  <si>
    <t>Table 8.7:  THEFT CASES LOGGED BY TYPE, 2016 - 2018</t>
  </si>
  <si>
    <t>ތާވަލު 8.7: ހުށަހެޅިފައިވާ ވައްކަމުގެ މައްސަލަތަކުގެ ބާވަތް، 2016- 2018</t>
  </si>
  <si>
    <t>މައްސަލައިގެ ބާވަތް</t>
  </si>
  <si>
    <t>Percenatge share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</si>
  <si>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</si>
  <si>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</si>
  <si>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</si>
  <si>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</si>
  <si>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</si>
  <si>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>Production</t>
  </si>
  <si>
    <t xml:space="preserve">   އުފެއްދުން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</si>
  <si>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</si>
  <si>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</si>
  <si>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</si>
  <si>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</si>
  <si>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others</t>
  </si>
  <si>
    <t>Alcohol</t>
  </si>
  <si>
    <t>ރަލުގެ މައްސަލަތައް</t>
  </si>
  <si>
    <t>Other cases related to drug offences</t>
  </si>
  <si>
    <t>ޑްރަގްސް އާއި ގުޅުން ހުރި އެހެނިހެން މައްސަލަތައް</t>
  </si>
  <si>
    <t>ތާވަލު 8.8: ހުށަހެޅިފައިވާ މަސްތުވާތަކެތީގެ މައްސަލަތަކާއި އަދި ބާވަތް، 2016- 2018</t>
  </si>
  <si>
    <t>Table 8.8:  DRUG CASES LOGGED BY TYPE, 2016 - 2018</t>
  </si>
  <si>
    <t>ތާވަލު 8.9: މޯލްޑިވްސް ޕޮލިސް ސަރވިސްގެ ފަރާތުން އަތުލައިގަތް މަސްތުވާތަކެތީގެ އަދަދު، 2014 - 2018</t>
  </si>
  <si>
    <t>Table 8.9: DRUG CEASED BY MALDIVES POLICE SERVICE, 2014 - 2018</t>
  </si>
  <si>
    <t>Type of Drug</t>
  </si>
  <si>
    <t xml:space="preserve">                  Quantity ( grams )                                                                              </t>
  </si>
  <si>
    <t>އަދަދު (ގްރާމްއިން)</t>
  </si>
  <si>
    <t>ބާވަތް</t>
  </si>
  <si>
    <t>Opiates</t>
  </si>
  <si>
    <t>އޯޕިއޭޓްސް</t>
  </si>
  <si>
    <t>Heroin</t>
  </si>
  <si>
    <t>ހެރޮއިން</t>
  </si>
  <si>
    <t>Cannabis</t>
  </si>
  <si>
    <t>ކެނަބިސް</t>
  </si>
  <si>
    <t>Benzodyziphine</t>
  </si>
  <si>
    <t>ބެންޒޮޑީޒިފައިން</t>
  </si>
  <si>
    <t xml:space="preserve">  ކުރީ އަހަރާއި  އަޅާބަލާއިރު  އިތުރުވި މިންވަރު</t>
  </si>
  <si>
    <t>އިންސައްތަ 2018</t>
  </si>
  <si>
    <t xml:space="preserve">Percentage share 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</si>
  <si>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</si>
  <si>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</si>
  <si>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</si>
  <si>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</si>
  <si>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</si>
  <si>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 xml:space="preserve">   ތޫނު ހަތިޔާރު ބޭނުންކޮށްގެން</t>
  </si>
  <si>
    <t>Without use of weapons</t>
  </si>
  <si>
    <t xml:space="preserve">   ހަތިޔާރު ބޭނުންނުކޮށް</t>
  </si>
  <si>
    <t>Other Assault</t>
  </si>
  <si>
    <t>އެހެނިހެން މާރާމާރީ</t>
  </si>
  <si>
    <t>Table 8.10:  ASSAULT CASES LOGGED BY TYPE, 2016 - 2018</t>
  </si>
  <si>
    <t>ތާވަލު 8.10: ހުށަހެޅިފައިވާ މާރާމާރީގެ މައްސަލަތައް، 2016- 2018</t>
  </si>
  <si>
    <t>Homicides</t>
  </si>
  <si>
    <t>ގަސްތުގައި މީހުން މެރުން</t>
  </si>
  <si>
    <t>Homicide</t>
  </si>
  <si>
    <t>Suicides</t>
  </si>
  <si>
    <t>އަމިއްލައަށް މަރުވުން</t>
  </si>
  <si>
    <t>Suicide</t>
  </si>
  <si>
    <t>Diving/snorkeling  accidents</t>
  </si>
  <si>
    <t>ޑައިވިންގ / ސްނޯކްލިންގ އެކްސިޑެންޓް</t>
  </si>
  <si>
    <t>ޓްރެފިކް އެކްސިޑެންޓް</t>
  </si>
  <si>
    <t>Drowning</t>
  </si>
  <si>
    <t>ގެނބިގެން</t>
  </si>
  <si>
    <t>Other death cases logged</t>
  </si>
  <si>
    <t xml:space="preserve">އެހެނިހެން </t>
  </si>
  <si>
    <t>Table 8.11 : LOGGED CASES OF DEATH , 2016 - 2018</t>
  </si>
  <si>
    <t>ތާވަލު 8.11: ހުށަހެޅިފައިވާ މަރުގެ މައްސަލަތައް، 2016- 2018</t>
  </si>
  <si>
    <t>Percentage share 2018</t>
  </si>
  <si>
    <t>Logged cases</t>
  </si>
  <si>
    <t>Completed cases</t>
  </si>
  <si>
    <t>ތާވަލު 8.12: ނިންމުނު މައްސަލަތައް، 2016- 2018</t>
  </si>
  <si>
    <t>Table  8.12: COMPLETED CASES BY TYPE, 2016 - 2018</t>
  </si>
  <si>
    <t>Type of offence</t>
  </si>
  <si>
    <t>ކުށުގެ ބާވަތް</t>
  </si>
  <si>
    <t>Number of Logged cases</t>
  </si>
  <si>
    <r>
      <rPr>
        <b/>
        <sz val="9"/>
        <color theme="1"/>
        <rFont val="Calibri"/>
        <family val="2"/>
        <scheme val="minor"/>
      </rPr>
      <t>Number of Detainees</t>
    </r>
    <r>
      <rPr>
        <b/>
        <sz val="9"/>
        <color theme="1"/>
        <rFont val="Faruma"/>
        <family val="3"/>
      </rPr>
      <t xml:space="preserve">  ހައްޔަރުކުރެވުނު މީހުންގެ އަދަދު</t>
    </r>
  </si>
  <si>
    <t>Both Sexes</t>
  </si>
  <si>
    <t>Male</t>
  </si>
  <si>
    <t>Female</t>
  </si>
  <si>
    <t xml:space="preserve">ހުށަހެޅިފައިވާ މައްސަލަތަކުގެ އަދަދު </t>
  </si>
  <si>
    <t>ދެޖިންސް</t>
  </si>
  <si>
    <t xml:space="preserve">ފިރިހެން </t>
  </si>
  <si>
    <t xml:space="preserve">އަންހެން </t>
  </si>
  <si>
    <t>ޖިންސީ މައްސަލަ</t>
  </si>
  <si>
    <t>Table 8.13: NUMBER OF DETAINEES REPORTED BY TYPE OF OFFENCE AND SEX, 2017 - 2018</t>
  </si>
  <si>
    <t xml:space="preserve">2018 - 2017  ،ތާވަލު 8.13: ހުށަހެޅިފައިވާ މައްސަލަތަކުގެ ތެރެއިން ހައްޔަރުކުރެވުނު މީހުންގެ އަދަދު އަދި ޖިންސް  </t>
  </si>
  <si>
    <t>No. of times arrested</t>
  </si>
  <si>
    <t>ހައްޔަރު ކުރެވުނު އަދަދު</t>
  </si>
  <si>
    <t>more than 6</t>
  </si>
  <si>
    <t xml:space="preserve"> Table 8.14: NUMBER OF  DETAINEES BY NUMBER OF TIMES ARRESTED, 2016 - 2018</t>
  </si>
  <si>
    <t xml:space="preserve">2018 - 2016 ތާވަލު 8.14:  އެކިއެކި މައްސަލަތަކުގައި ހައްޔަރުކުރެވުނު މީހުންގެ ތެރޭން ތަކުރާރުކޮށް ހައްޔަރުކުރެވުނު މީހުންގެ އަދަދު، </t>
  </si>
  <si>
    <t>ތާވަލު 8.15: ހުށަހެޅިފައިވާ މައްސަލަތަކުގެ ތެރެއިން ހައްޔަރުކުރެވުނު މީހުންގެ އަދަދު ޖިންސް އަދި އުމުރުފުރާއިން، 2018</t>
  </si>
  <si>
    <t>Table 8.15: NUMBER OF DETAINEES REPORTED BY TYPE OF OFFENCES, GENDER AND AGE GROUP, 2018</t>
  </si>
  <si>
    <t>&lt; 18 yrs</t>
  </si>
  <si>
    <t>18 - 34 yrs</t>
  </si>
  <si>
    <t>35 yrs  and above</t>
  </si>
  <si>
    <t>Age Unknown</t>
  </si>
  <si>
    <t>Both sexes</t>
  </si>
  <si>
    <t>&lt; 18</t>
  </si>
  <si>
    <t>18-34</t>
  </si>
  <si>
    <t>35 +</t>
  </si>
  <si>
    <t>35+</t>
  </si>
  <si>
    <t>18 އަހަރުންދަށް</t>
  </si>
  <si>
    <t>18-34 އަހަރާއި ދެމެދު</t>
  </si>
  <si>
    <t>35 އަހަރުން މަތި</t>
  </si>
  <si>
    <t>Note: Foreigners without ages are not included in this total. There are 34 person that age is not defined.</t>
  </si>
  <si>
    <t>ނޯޓް: އުމުރު ނޭނގޭ ބިދޭސީން މިތާވަލުގައި ނުހިމެނޭ</t>
  </si>
  <si>
    <t>%</t>
  </si>
  <si>
    <t>Type of Offence</t>
  </si>
  <si>
    <t>ދިވެހިން</t>
  </si>
  <si>
    <t>ބިދޭސީ</t>
  </si>
  <si>
    <t xml:space="preserve">Total </t>
  </si>
  <si>
    <t xml:space="preserve">Locals </t>
  </si>
  <si>
    <t>Foreign</t>
  </si>
  <si>
    <t>Locals</t>
  </si>
  <si>
    <t>Table: 8.16  NUMBER OF LOCAL AND FOREIGN DETAINEES BY TYPE OF OFFENCES, 2016 - 2018</t>
  </si>
  <si>
    <t xml:space="preserve">ތާވަލް 8.16: ހައްޔަރު ކުރެވުނު ދިވެހިންނާއި ބިދޭސީންގެ އަދަދު، 2016 - 2018 </t>
  </si>
  <si>
    <t>ތާވަލު 8.17: ފުލުހުންގެ ޚިދުމަތުގައި ތިބީ މީހުންގެ އަދަދު އަދި ހިނގި ޚަރަދު، 2013 - 2018</t>
  </si>
  <si>
    <t>TABLE 8.17: POLICE PERSONNEL BY SEX AND FINANCIAL RESOURCES, 2013 - 2018</t>
  </si>
  <si>
    <t>Details</t>
  </si>
  <si>
    <r>
      <t xml:space="preserve">Year       </t>
    </r>
    <r>
      <rPr>
        <b/>
        <sz val="11"/>
        <rFont val="Faruma"/>
        <family val="3"/>
      </rPr>
      <t xml:space="preserve">  އަހަރު</t>
    </r>
  </si>
  <si>
    <t>ތަފްސީލް</t>
  </si>
  <si>
    <t>Total police personnel</t>
  </si>
  <si>
    <t xml:space="preserve">ޖުމްލަ ފުލުހުންގެ އަދަދު </t>
  </si>
  <si>
    <t>ފިރިހެން</t>
  </si>
  <si>
    <t>އަންހެން</t>
  </si>
  <si>
    <t xml:space="preserve">Total police expenditure (million  MVR) </t>
  </si>
  <si>
    <t>ފުލުހުންނަށް ހިނގި ޚަރަދު (މިލިއަން ރުފިޔާ)</t>
  </si>
  <si>
    <t xml:space="preserve">2018 - 2016  ،ތާވަލު 8.18: ހުށަހެޅިފައިވާ މައްސަލަތަކުގައި އަނިޔާލިބިފައިވާ މީހުން  </t>
  </si>
  <si>
    <t>Table 8.18: NUMBER OF VICTIMS BY TYPE OF OFFENCE AND SEX, 2016 - 2018</t>
  </si>
  <si>
    <r>
      <rPr>
        <b/>
        <sz val="9"/>
        <color theme="1"/>
        <rFont val="Calibri"/>
        <family val="2"/>
        <scheme val="minor"/>
      </rPr>
      <t>Number of Victims</t>
    </r>
    <r>
      <rPr>
        <b/>
        <sz val="9"/>
        <color theme="1"/>
        <rFont val="Faruma"/>
        <family val="3"/>
      </rPr>
      <t xml:space="preserve">  އަނިޔާ ލިބުނު މީހުންގެ އަދަދު</t>
    </r>
  </si>
  <si>
    <t>From the table, Some persons may have repeatedly involved in same offence (even if a person is involved more than once in same offence, it is the same person and we count that as a single person). It applies for the overall total too i.e, a person may have involved in more than once offence in a period of time and it means that overall total are calculated as a single person for that involvement.</t>
  </si>
  <si>
    <t>ތާވަލު 8.19: ހުށަހެޅިފައިވާ މައްސަލަތަކުގައި އަނިޔާލިބިފައިވާ މީހުންގެ އަދަދު ޖިންސް އަދި އުމުރުފުރާއިން، 2018</t>
  </si>
  <si>
    <t>Table 8.19: NUMBER OF VICTIMS BY TYPE OF OFFENCES, GENDER AND AGE GROUP, 2018</t>
  </si>
  <si>
    <t>N/A</t>
  </si>
  <si>
    <t>2018 - 2010 ,udwdwAeg WycaiFwq unumcnin iawgukwtuTOkuSwr iaWaelWm : 8.20 ulwvWt</t>
  </si>
  <si>
    <t>Table 8.20 : CASES DEALT BY JUDICIAL COURTS IN MALE' AND ISLANDS, 2010 - 2018</t>
  </si>
  <si>
    <t>Court</t>
  </si>
  <si>
    <t>ކޯޓުތައް</t>
  </si>
  <si>
    <t>Drug court</t>
  </si>
  <si>
    <t>ޑްރަގް ކޯޓު</t>
  </si>
  <si>
    <t>Juvenile court</t>
  </si>
  <si>
    <t>ޖުވެނައިލް ކޯޓު</t>
  </si>
  <si>
    <t>Family court</t>
  </si>
  <si>
    <t>ފެމިލީ ކޯޓު</t>
  </si>
  <si>
    <t>Criminal court</t>
  </si>
  <si>
    <t>ކްރިމިނަލް ކޯޓު</t>
  </si>
  <si>
    <t>Civil court</t>
  </si>
  <si>
    <t>ސިވިލް ކޯޓު</t>
  </si>
  <si>
    <t>Magistrate Courts</t>
  </si>
  <si>
    <t>މެޖިސްޓްރޭޓް ކޯޓުތައް</t>
  </si>
  <si>
    <t>cniawtcaws ctogWviawfiheb</t>
  </si>
  <si>
    <t>_</t>
  </si>
  <si>
    <t>އަތޮޅުތަކުގައި ހުރިމެޖިސްޓްރޭޓް ކޯޓުތައް</t>
  </si>
  <si>
    <t>% Change over previous year</t>
  </si>
  <si>
    <t>urwvcnim ivurutia eruvcSwrwhwa Iruk</t>
  </si>
  <si>
    <t>Source: Department of Judicial Administration</t>
  </si>
  <si>
    <t>cnwxErcTcsinimcDea clwxiDuj cfoa cTcnwmcTWpiD : utWmUluAwm</t>
  </si>
  <si>
    <t>ތާވަލު 8.22: ހުށަހެޅުނު، ނިމުނު އަދި ނުނިމި ހުރި މައްސަލަތައް، 2018</t>
  </si>
  <si>
    <t>Table 8.22: CASES FILED, CONCLUDED AND PENDING BY CASE TYPE, 2018</t>
  </si>
  <si>
    <t>Atoll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</si>
  <si>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</si>
  <si>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</si>
  <si>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</si>
  <si>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</si>
  <si>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</si>
  <si>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</si>
  <si>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</si>
  <si>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</si>
  <si>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Grand Total</t>
  </si>
  <si>
    <t>Male' Total</t>
  </si>
  <si>
    <t>Civil Court</t>
  </si>
  <si>
    <t>Criminal Court</t>
  </si>
  <si>
    <t>Family Court</t>
  </si>
  <si>
    <t>Juvenile Court</t>
  </si>
  <si>
    <t>`</t>
  </si>
  <si>
    <t>HulhuMale' Court</t>
  </si>
  <si>
    <t>Atoll Total</t>
  </si>
  <si>
    <t>Thuraakunu</t>
  </si>
  <si>
    <t>Uligamu</t>
  </si>
  <si>
    <t xml:space="preserve">Molhadhoo </t>
  </si>
  <si>
    <t xml:space="preserve">Hoarafushi </t>
  </si>
  <si>
    <t xml:space="preserve">Ihavandhoo </t>
  </si>
  <si>
    <t xml:space="preserve">Kela </t>
  </si>
  <si>
    <t xml:space="preserve">Vashafaru </t>
  </si>
  <si>
    <t>Dhidhdhoo</t>
  </si>
  <si>
    <t>Filladhoo</t>
  </si>
  <si>
    <t xml:space="preserve">Maarandhoo </t>
  </si>
  <si>
    <t xml:space="preserve">Thakandhoo </t>
  </si>
  <si>
    <t xml:space="preserve">Utheemu </t>
  </si>
  <si>
    <t>Muraidhoo</t>
  </si>
  <si>
    <t xml:space="preserve">Baarashu </t>
  </si>
  <si>
    <t>Finey</t>
  </si>
  <si>
    <t xml:space="preserve">Makunudhoo </t>
  </si>
  <si>
    <t>Naavaidhoo</t>
  </si>
  <si>
    <t xml:space="preserve">Kumundhoo </t>
  </si>
  <si>
    <t>Kulhudhuffushi</t>
  </si>
  <si>
    <t xml:space="preserve">Hirimaradhoo </t>
  </si>
  <si>
    <t>Nolhivaramfaru</t>
  </si>
  <si>
    <t>Vaikaradhoo</t>
  </si>
  <si>
    <t>Hanimaadhoo</t>
  </si>
  <si>
    <t xml:space="preserve">Kurinbee </t>
  </si>
  <si>
    <t>Nolhivaram</t>
  </si>
  <si>
    <t xml:space="preserve">Neykurendhoo </t>
  </si>
  <si>
    <t>Nehlaidhoo</t>
  </si>
  <si>
    <t xml:space="preserve">Kanditheemu </t>
  </si>
  <si>
    <t xml:space="preserve">Goidhoo </t>
  </si>
  <si>
    <t xml:space="preserve">Feevaku </t>
  </si>
  <si>
    <t>Foakaidhoo</t>
  </si>
  <si>
    <t xml:space="preserve">Lhaimagu </t>
  </si>
  <si>
    <t xml:space="preserve">Komandoo </t>
  </si>
  <si>
    <t>Funadhoo</t>
  </si>
  <si>
    <t xml:space="preserve">Noomaraa </t>
  </si>
  <si>
    <t>Feydhoo</t>
  </si>
  <si>
    <t xml:space="preserve">Bileffahi </t>
  </si>
  <si>
    <t xml:space="preserve">Narudhoo </t>
  </si>
  <si>
    <t xml:space="preserve">Maroshi </t>
  </si>
  <si>
    <t xml:space="preserve">Maaungoodhoo </t>
  </si>
  <si>
    <t>Milandhoo</t>
  </si>
  <si>
    <t xml:space="preserve">Henbadhoo </t>
  </si>
  <si>
    <t>Kendhikulhudhoo</t>
  </si>
  <si>
    <t xml:space="preserve">Maalhendhoo </t>
  </si>
  <si>
    <t xml:space="preserve">Kudafari </t>
  </si>
  <si>
    <t xml:space="preserve">Landhoo </t>
  </si>
  <si>
    <t xml:space="preserve">Maafaru </t>
  </si>
  <si>
    <t xml:space="preserve">Lhohi </t>
  </si>
  <si>
    <t>Miladhoo</t>
  </si>
  <si>
    <t xml:space="preserve">Magoodhoo </t>
  </si>
  <si>
    <t xml:space="preserve">Manadhoo </t>
  </si>
  <si>
    <t xml:space="preserve">Holhudhoo </t>
  </si>
  <si>
    <t>Fohdhdhoo</t>
  </si>
  <si>
    <t xml:space="preserve">Velidhoo </t>
  </si>
  <si>
    <t>Alifushee</t>
  </si>
  <si>
    <t>Vaadhoo</t>
  </si>
  <si>
    <t xml:space="preserve">Rasgetheemu </t>
  </si>
  <si>
    <t>Angolhitheemu</t>
  </si>
  <si>
    <t xml:space="preserve">Hulhduffaaru </t>
  </si>
  <si>
    <t>Ungoofaaru</t>
  </si>
  <si>
    <t xml:space="preserve">Dhuvaafaru </t>
  </si>
  <si>
    <t xml:space="preserve">Maakurathu </t>
  </si>
  <si>
    <t xml:space="preserve">Rasmaadhoo </t>
  </si>
  <si>
    <t xml:space="preserve">Innamaadhoo </t>
  </si>
  <si>
    <t xml:space="preserve">Maduvvaree </t>
  </si>
  <si>
    <t xml:space="preserve">Inguraidhoo </t>
  </si>
  <si>
    <t xml:space="preserve">Fainu </t>
  </si>
  <si>
    <t xml:space="preserve">Meedhoo </t>
  </si>
  <si>
    <t xml:space="preserve">Kinolhas </t>
  </si>
  <si>
    <t>Kudarikilu</t>
  </si>
  <si>
    <t xml:space="preserve">Kamadhoo </t>
  </si>
  <si>
    <t xml:space="preserve">Kendhoo </t>
  </si>
  <si>
    <t xml:space="preserve">Kihaadhoo </t>
  </si>
  <si>
    <t xml:space="preserve">Dhonfanu </t>
  </si>
  <si>
    <t xml:space="preserve">Dharavandhoo </t>
  </si>
  <si>
    <t>Maalhohu</t>
  </si>
  <si>
    <t>Eydhafushi</t>
  </si>
  <si>
    <t xml:space="preserve">Thulhaadhoo </t>
  </si>
  <si>
    <t xml:space="preserve">Hithaadhoo </t>
  </si>
  <si>
    <t>Fulhadhoo</t>
  </si>
  <si>
    <t>Fehendhoo</t>
  </si>
  <si>
    <t>Goidhoo</t>
  </si>
  <si>
    <t>Olhuvelifushi</t>
  </si>
  <si>
    <t xml:space="preserve">Hinnavaru </t>
  </si>
  <si>
    <t xml:space="preserve">Kurendhoo </t>
  </si>
  <si>
    <t xml:space="preserve">Naifaru </t>
  </si>
  <si>
    <t xml:space="preserve">Kaashidhoo </t>
  </si>
  <si>
    <t xml:space="preserve">Gaafaru </t>
  </si>
  <si>
    <t xml:space="preserve">Dhiffushi </t>
  </si>
  <si>
    <t xml:space="preserve">Thulusdhoo </t>
  </si>
  <si>
    <t xml:space="preserve">Huraa </t>
  </si>
  <si>
    <t xml:space="preserve">Hinmafushi </t>
  </si>
  <si>
    <t xml:space="preserve">Maafushi </t>
  </si>
  <si>
    <t xml:space="preserve">Guraidhoo </t>
  </si>
  <si>
    <t xml:space="preserve">Gulhi </t>
  </si>
  <si>
    <t xml:space="preserve">Thoddoo </t>
  </si>
  <si>
    <t xml:space="preserve">Rasdhoo </t>
  </si>
  <si>
    <t xml:space="preserve">Ukulhahu </t>
  </si>
  <si>
    <t xml:space="preserve">Mathiveri </t>
  </si>
  <si>
    <t xml:space="preserve">Bodufulhadho </t>
  </si>
  <si>
    <t xml:space="preserve">Feridhoo </t>
  </si>
  <si>
    <t xml:space="preserve">Maalhohu </t>
  </si>
  <si>
    <t xml:space="preserve">Himandhoo </t>
  </si>
  <si>
    <t xml:space="preserve">Hanyaameedhoo </t>
  </si>
  <si>
    <t xml:space="preserve">Omadhoo </t>
  </si>
  <si>
    <t xml:space="preserve">Kunburudhoo </t>
  </si>
  <si>
    <t xml:space="preserve">Mahibadhoo </t>
  </si>
  <si>
    <t xml:space="preserve">Mandhoo </t>
  </si>
  <si>
    <t xml:space="preserve">Dhangethi </t>
  </si>
  <si>
    <t xml:space="preserve">Dhigurashu </t>
  </si>
  <si>
    <t xml:space="preserve">Fenfushi </t>
  </si>
  <si>
    <t xml:space="preserve">Dhidhdhoo </t>
  </si>
  <si>
    <t xml:space="preserve">Maamigili </t>
  </si>
  <si>
    <t xml:space="preserve">Fulidhoo </t>
  </si>
  <si>
    <t xml:space="preserve">Thinadhoo </t>
  </si>
  <si>
    <t xml:space="preserve">Felidhoo </t>
  </si>
  <si>
    <t xml:space="preserve">Keyodhoo </t>
  </si>
  <si>
    <t xml:space="preserve">Rakeedhoo </t>
  </si>
  <si>
    <t xml:space="preserve">Raimandhoo </t>
  </si>
  <si>
    <t xml:space="preserve">Veyvashu </t>
  </si>
  <si>
    <t xml:space="preserve">Mulaku </t>
  </si>
  <si>
    <t xml:space="preserve">Naalaafushi </t>
  </si>
  <si>
    <t xml:space="preserve">Kolhufushi </t>
  </si>
  <si>
    <t xml:space="preserve">Dhiggaru </t>
  </si>
  <si>
    <t xml:space="preserve">Muli </t>
  </si>
  <si>
    <t xml:space="preserve">Feeali </t>
  </si>
  <si>
    <t xml:space="preserve">Bilehdhoo </t>
  </si>
  <si>
    <t xml:space="preserve">Dharanboodhoo </t>
  </si>
  <si>
    <t xml:space="preserve">Nilandhoo </t>
  </si>
  <si>
    <t xml:space="preserve">Kudahuvadhoo </t>
  </si>
  <si>
    <t xml:space="preserve">Bandidhoo </t>
  </si>
  <si>
    <t xml:space="preserve">Rinbudhoo </t>
  </si>
  <si>
    <t xml:space="preserve">Hulhudheli </t>
  </si>
  <si>
    <t xml:space="preserve">Maaenboodhoo </t>
  </si>
  <si>
    <t>Veymandoo Court</t>
  </si>
  <si>
    <t xml:space="preserve">Burnee </t>
  </si>
  <si>
    <t xml:space="preserve">Vilufushi </t>
  </si>
  <si>
    <t xml:space="preserve">Madifushi </t>
  </si>
  <si>
    <t xml:space="preserve">Dhiyamigili </t>
  </si>
  <si>
    <t xml:space="preserve">Kandoodhoo </t>
  </si>
  <si>
    <t xml:space="preserve">Vandhoo </t>
  </si>
  <si>
    <t xml:space="preserve">Hirilandhoo </t>
  </si>
  <si>
    <t xml:space="preserve">Gaadhiffushi </t>
  </si>
  <si>
    <t xml:space="preserve">Thimarafushi </t>
  </si>
  <si>
    <t xml:space="preserve">Kinbidhoo </t>
  </si>
  <si>
    <t xml:space="preserve">Hithadhoo </t>
  </si>
  <si>
    <t xml:space="preserve">Fonadhoo </t>
  </si>
  <si>
    <t xml:space="preserve">Kunahandhoo </t>
  </si>
  <si>
    <t xml:space="preserve">Maamendhoo </t>
  </si>
  <si>
    <t xml:space="preserve">Maavashu </t>
  </si>
  <si>
    <t xml:space="preserve">Dhanbidhoo </t>
  </si>
  <si>
    <t xml:space="preserve">Maabaidhoo </t>
  </si>
  <si>
    <t xml:space="preserve">Mundoo </t>
  </si>
  <si>
    <t xml:space="preserve">Isdhoo </t>
  </si>
  <si>
    <t xml:space="preserve">Kalaidhoo </t>
  </si>
  <si>
    <t xml:space="preserve">Gan </t>
  </si>
  <si>
    <t xml:space="preserve">Vilingili </t>
  </si>
  <si>
    <t xml:space="preserve">Dhaandhoo </t>
  </si>
  <si>
    <t xml:space="preserve">Dhevvadhoo </t>
  </si>
  <si>
    <t xml:space="preserve">Kondey </t>
  </si>
  <si>
    <t xml:space="preserve">Gemanafushi </t>
  </si>
  <si>
    <t xml:space="preserve">Kanduhulhudhoo </t>
  </si>
  <si>
    <t xml:space="preserve">Kolamaafushi </t>
  </si>
  <si>
    <t xml:space="preserve">Madaveli </t>
  </si>
  <si>
    <t xml:space="preserve">Hoadehdhoo </t>
  </si>
  <si>
    <t xml:space="preserve">Nadehllaa </t>
  </si>
  <si>
    <t xml:space="preserve">Rathafandhoo </t>
  </si>
  <si>
    <t xml:space="preserve">Fiyoaree </t>
  </si>
  <si>
    <t xml:space="preserve">FaresMaathoda </t>
  </si>
  <si>
    <t xml:space="preserve">Vaadhoo </t>
  </si>
  <si>
    <t xml:space="preserve">Gadhdhoo </t>
  </si>
  <si>
    <t xml:space="preserve">Fuah Mulaku </t>
  </si>
  <si>
    <t xml:space="preserve">Maradhoo </t>
  </si>
  <si>
    <t xml:space="preserve">Maradhoo Feydhoo </t>
  </si>
  <si>
    <t xml:space="preserve">Feydhoo </t>
  </si>
  <si>
    <t xml:space="preserve">Hulhudhoo </t>
  </si>
  <si>
    <t xml:space="preserve">ޖިނާއީ މަޢުލޫމާތު (18 އަހަރުން މަތި އަދި 18 އަހަރުން ދަށް) </t>
  </si>
  <si>
    <t>ޑްރަގް ކޯޓް:</t>
  </si>
  <si>
    <t xml:space="preserve">Criminal Cases </t>
  </si>
  <si>
    <t>Civil cases</t>
  </si>
  <si>
    <t>Family Cases</t>
  </si>
  <si>
    <t xml:space="preserve">Republic </t>
  </si>
  <si>
    <t xml:space="preserve">Male' </t>
  </si>
  <si>
    <t xml:space="preserve">Atoll </t>
  </si>
  <si>
    <t>% share completed</t>
  </si>
  <si>
    <t>ending balance</t>
  </si>
  <si>
    <t>concluded</t>
  </si>
  <si>
    <t>Starting balance</t>
  </si>
  <si>
    <t>new cases filed</t>
  </si>
  <si>
    <t>Pending</t>
  </si>
  <si>
    <t>total</t>
  </si>
  <si>
    <t>Type of Cases</t>
  </si>
  <si>
    <t>ހުށައެޅުނު މައްސަލަތައް</t>
  </si>
  <si>
    <r>
      <t xml:space="preserve"> Cases logged</t>
    </r>
    <r>
      <rPr>
        <sz val="11"/>
        <rFont val="A_Randhoo"/>
      </rPr>
      <t xml:space="preserve">  wlwscawm unuLehwSuh</t>
    </r>
  </si>
  <si>
    <t xml:space="preserve"> wlwscawmunuLehwSuh ukeaWaIkWb eg 2007</t>
  </si>
  <si>
    <t>Cases logged trial including 2007</t>
  </si>
  <si>
    <r>
      <t xml:space="preserve"> Cases dealt </t>
    </r>
    <r>
      <rPr>
        <sz val="11"/>
        <rFont val="A_Randhoo"/>
      </rPr>
      <t>wlwscawm unumin</t>
    </r>
  </si>
  <si>
    <t xml:space="preserve"> wlwscawmiruhiminun ukeaWaIkWb eg 2007</t>
  </si>
  <si>
    <t>Cases awaiting trial including 2007</t>
  </si>
  <si>
    <t>2008 ނިމުނު އިރު ހުރި ބާކީ Cases awaiting trial 2008</t>
  </si>
  <si>
    <t xml:space="preserve">2009 ގައި ހުށަހެޅުނު  Cases logged </t>
  </si>
  <si>
    <t>Cases logged trial including 2008</t>
  </si>
  <si>
    <t xml:space="preserve">2008 ވަނަ އަހަރުގެ ބާކީއާއެކު ޖުމުލަ ހުށަހެޅުނު </t>
  </si>
  <si>
    <t>2009 ގައި ނިމުނު  Cases dealt</t>
  </si>
  <si>
    <t>2008 ވަނަ އަހަރުގެ ބާކީ އާއެކު 2009 ގައި ނުނިމިހުރި ޖުމުލަ Cases awaiting trial including 2008</t>
  </si>
  <si>
    <t>2009 ނިމުނު އިރު ހުރި ބާކީ Cases awaiting trial 2009</t>
  </si>
  <si>
    <t xml:space="preserve">2010 ގައި ހުށަހެޅުނު  Cases logged </t>
  </si>
  <si>
    <t>Cases logged trial including 2009</t>
  </si>
  <si>
    <t xml:space="preserve">2009 ވަނަ އަހަރުގެ ބާކީއާއެކު ޖުމުލަ ހުށަހެޅުނު </t>
  </si>
  <si>
    <t>2010 ގައި ނިމުނު  Cases dealt</t>
  </si>
  <si>
    <t>2009 ވަނަ އަހަރުގެ ބާކީ އާއެކު 2010 ގައި ނުނިމިހުރި ޖުމުލަ Cases awaiting trial including 2009</t>
  </si>
  <si>
    <t>2010 ނިމުނު އިރު ހުރި ބާކީ Cases awaiting trial 2010</t>
  </si>
  <si>
    <t xml:space="preserve">2011 ގައި ހުށަހެޅުނު  Cases logged </t>
  </si>
  <si>
    <t>Cases logged trial including 2010</t>
  </si>
  <si>
    <t xml:space="preserve">2010 ވަނަ އަހަރުގެ ބާކީއާއެކު ޖުމުލަ ހުށަހެޅުނު </t>
  </si>
  <si>
    <t>2011 ގައި ނިމުނު  Cases dealt</t>
  </si>
  <si>
    <t>2010 ވަނަ އަހަރުގެ ބާކީ އާއެކު 2011 ގައި ނުނިމިހުރި ޖުމުލަ Cases awaiting trial including 2010</t>
  </si>
  <si>
    <t>2012 ނިމުނު އިރު ހުރި ބާކީ Cases awaiting trial 2012</t>
  </si>
  <si>
    <t xml:space="preserve">2013 ގައި ހުށަހެޅުނު  Cases logged </t>
  </si>
  <si>
    <t>Cases logged trial including 2012</t>
  </si>
  <si>
    <t xml:space="preserve">2012 ވަނަ އަހަރުގެ ބާކީއާއެކު ޖުމުލަ ހުށަހެޅުނު </t>
  </si>
  <si>
    <t>2013 ގައި ނިމުނު  Cases dealt</t>
  </si>
  <si>
    <t>2012 ވަނަ އަހަރުގެ ބާކީ އާއެކު 2013 ގައި ނުނިމިހުރި ޖުމުލަ Cases awaiting trial including 2012</t>
  </si>
  <si>
    <t>2013 ނިމުނު އިރު ހުރި ބާކީ، Cases awaiting trial 2013</t>
  </si>
  <si>
    <t xml:space="preserve">2014 ގައި ހުށަހެޅުނު  Cases logged </t>
  </si>
  <si>
    <t>Cases logged trial including 2013</t>
  </si>
  <si>
    <t xml:space="preserve">2013 ވަނަ އަހަރުގެ ބާކީއާއެކު ޖުމުލަ ހުށަހެޅުނު </t>
  </si>
  <si>
    <t>2014 ގައި ނިމުނު  Cases dealt</t>
  </si>
  <si>
    <t>2013 ވަނަ އަހަރުގެ ބާކީ އާއެކު 2014 ގައި ނުނިމިހުރި ޖުމުލަ Cases awaiting trial including 2013</t>
  </si>
  <si>
    <t>2014 ނިމުނު އިރު ހުރި ބާކީ، Cases awaiting trial 2014</t>
  </si>
  <si>
    <t xml:space="preserve">2015 ގައި ހުށަހެޅުނު  Cases logged </t>
  </si>
  <si>
    <t>Cases logged trial including 2014</t>
  </si>
  <si>
    <t xml:space="preserve">2014 ވަނަ އަހަރުގެ ބާކީއާއެކު ޖުމުލަ ހުށަހެޅުނު </t>
  </si>
  <si>
    <t>2015 ގައި ނިމުނު  Cases dealt</t>
  </si>
  <si>
    <t>2014 ވަނަ އަހަރުގެ ބާކީ އާއެކު 2015 ގައި ނުނިމިހުރި ޖުމުލަ Cases awaiting trial including 2014</t>
  </si>
  <si>
    <t>2015 ނިމުނު އިރު ހުރި ބާކީ، Cases awaiting trial 2015</t>
  </si>
  <si>
    <t xml:space="preserve">2016 ގައި ހުށަހެޅުނު  Cases logged </t>
  </si>
  <si>
    <t>Cases logged trial including 2015</t>
  </si>
  <si>
    <t xml:space="preserve">2015 ވަނަ އަހަރުގެ ބާކީއާއެކު ޖުމުލަ ހުށަހެޅުނު </t>
  </si>
  <si>
    <t>2016 ގައި ނިމުނު  Cases dealt</t>
  </si>
  <si>
    <t xml:space="preserve">2015 ވަނަ އަހަރުގެ ބާކީ އާއެކު 2016 ގައި ނުނިމިހުރި ޖުމުލަ, 2015  Cases awaiting trial including  </t>
  </si>
  <si>
    <t>2016 ނިމުނު އިރު ހުރި ބާކީ، Cases awaiting trial 2016</t>
  </si>
  <si>
    <t xml:space="preserve">2017 ގައި ހުށަހެޅުނު  Cases logged 2017 </t>
  </si>
  <si>
    <t>Cases logged trial including 2016</t>
  </si>
  <si>
    <t xml:space="preserve">2016 ވަނަ އަހަރުގެ ބާކީއާއެކު ޖުމުލަ ހުށަހެޅުނު </t>
  </si>
  <si>
    <t>2017 ގައި ނިމުނު  Cases dealt</t>
  </si>
  <si>
    <t xml:space="preserve">2016 ވަނަ އަހަރުގެ ބާކީ އާއެކު 2017 ގައި ނުނިމިހުރި ޖުމުލަ, 2016  Cases awaiting trial including  </t>
  </si>
  <si>
    <t>2017 ނިމުނު އިރު ހުރި ބާކީ، Cases awaiting trial 2017</t>
  </si>
  <si>
    <t xml:space="preserve">2018 ގައި ހުށަހެޅުނު  Cases logged 2018 </t>
  </si>
  <si>
    <t>Cases logged trial including 2017</t>
  </si>
  <si>
    <t xml:space="preserve">2017 ވަނަ އަހަރުގެ ބާކީއާއެކު ޖުމުލަ ހުށަހެޅުނު </t>
  </si>
  <si>
    <t>2018 ގައި ނިމުނު  Cases dealt</t>
  </si>
  <si>
    <t xml:space="preserve">2017 ވަނަ އަހަރުގެ ބާކީ އާއެކު 2018 ގައި ނުނިމިހުރި ޖުމުލަ, 2017  Cases awaiting trial including  </t>
  </si>
  <si>
    <t>No of cases appealed  by private individuals</t>
  </si>
  <si>
    <t>އިސްތިއުނާފްކުރުމަށް އަމިއްލަ ފަރާތްތަކުން ހުށަހެޅި މައްސަލަތަކުގެ އަދަދު  (ވަކިވަކި ފަރުދުން/ކުންފުނި/ކޮމިޝަން/ކައުންސިލްތައް)</t>
  </si>
  <si>
    <t>No of cases appealed by the state</t>
  </si>
  <si>
    <t xml:space="preserve"> udwdwa egukwtwlwscawmi LehwSuh cnutwluawd cSwmurukufWnuaitcsia</t>
  </si>
  <si>
    <t>No of cases re heare or reviewed by the high court</t>
  </si>
  <si>
    <t>udwdwa egukwtwlwscawm unuLehwSuh cSwrwhwfwnwved cSwTOkiawh</t>
  </si>
  <si>
    <t>No of cases filed on election offences</t>
  </si>
  <si>
    <t>udwdwa egukwtwlwscawm unuLehwSuh WvuawdeguSuk EhebWbWhitcnia</t>
  </si>
  <si>
    <t>No. of cases on Complains on elections</t>
  </si>
  <si>
    <t>އިންތިޚާބާއިބެހޭ ޝަކުވާގެ ދަޢުވާ ހުށަހެޅުނު މައްސަލަތަކުގެ އަދަދު</t>
  </si>
  <si>
    <t>No. of cases on Political parties</t>
  </si>
  <si>
    <t>ސިޔާސީ ޕާޓީތަކާބެހޭ ގޮތުން ހުށަހެޅުނު މައްސަލަތަކުގެ އަދަދު</t>
  </si>
  <si>
    <t>No of cases filed on constitutional issues</t>
  </si>
  <si>
    <r>
      <t>udwd</t>
    </r>
    <r>
      <rPr>
        <sz val="11"/>
        <rFont val="A_Reethi"/>
      </rPr>
      <t xml:space="preserve">އަ </t>
    </r>
    <r>
      <rPr>
        <sz val="11"/>
        <rFont val="A_Randhoo"/>
      </rPr>
      <t>egukwtwlwscawm IrUtcsud</t>
    </r>
  </si>
  <si>
    <t>Monicom Order</t>
  </si>
  <si>
    <t>މޮނިކޮމް އަމުރު</t>
  </si>
  <si>
    <t>Review of Monicom Order</t>
  </si>
  <si>
    <t>މޮނިކޮމް އަމުރު މުރާޖާކުރުން</t>
  </si>
  <si>
    <t>Source: The High Court of the Republic of Maldives</t>
  </si>
  <si>
    <t>cTOkiawh egEjcaWrihevid :Ivcaed utWmUluAwm</t>
  </si>
  <si>
    <t xml:space="preserve">  </t>
  </si>
  <si>
    <t>2018 - 2016 ,wlwscawm unuLehwSuh cSwTOkiawh : 8.21 ulwvWt</t>
  </si>
  <si>
    <t>Table  8.21:  CASES HANDLED BY THE HIGH COURT, 2016 -2018</t>
  </si>
  <si>
    <t xml:space="preserve">ތާވަލް 8.23: މާލެއާއި ރަށްރަށުގެ ކޯޓުތަކަށް ހުށައެޅިފައިވާ މައްސަލަތައް، 2016 -2018 </t>
  </si>
  <si>
    <t>Table 8.23: SUMMARY OF ALL NEW CASES FILED IN COURTS IN MALE' AND ATOLLS, 2016 - 2018</t>
  </si>
  <si>
    <t>އަތޮޅޮތައް</t>
  </si>
  <si>
    <t>Marriage</t>
  </si>
  <si>
    <t>Divorce</t>
  </si>
  <si>
    <t>ކްރިމިނަލް މައްސަލަ</t>
  </si>
  <si>
    <t>ސިވިލް މައްސަލަ</t>
  </si>
  <si>
    <t>އާއިލީ މައްސަލަ</t>
  </si>
  <si>
    <t>ކައިވެނި</t>
  </si>
  <si>
    <t>ވަރި</t>
  </si>
  <si>
    <t>ޖިނާއީ މައްސަލަ</t>
  </si>
  <si>
    <t>މަދަނީ މައްސަލަ</t>
  </si>
  <si>
    <t xml:space="preserve">Marriage       </t>
  </si>
  <si>
    <t xml:space="preserve"> Divorce              </t>
  </si>
  <si>
    <t xml:space="preserve"> Republic</t>
  </si>
  <si>
    <t xml:space="preserve"> Male'</t>
  </si>
  <si>
    <t>ޖުވެނައިލް ކޯޓް</t>
  </si>
  <si>
    <t>ފެމިލީކޯޓް</t>
  </si>
  <si>
    <t xml:space="preserve"> Atolls</t>
  </si>
  <si>
    <t>ކްރިމިނަލްކޯޓް</t>
  </si>
  <si>
    <t>ސިވިލް ކޯޓް</t>
  </si>
  <si>
    <t>ޑްރަގް ކޯޓް</t>
  </si>
  <si>
    <t>ހުޅުމާލޭ ކޯޓް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</si>
  <si>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</si>
  <si>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</si>
  <si>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</si>
  <si>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</si>
  <si>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</si>
  <si>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</si>
  <si>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</si>
  <si>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</si>
  <si>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</si>
  <si>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</si>
  <si>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</si>
  <si>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</si>
  <si>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</si>
  <si>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</si>
  <si>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</si>
  <si>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</si>
  <si>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</si>
  <si>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</si>
  <si>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</si>
  <si>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</si>
  <si>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Type of cases</t>
  </si>
  <si>
    <t>Theft by Taking or Disposition</t>
  </si>
  <si>
    <t>Drug Cases</t>
  </si>
  <si>
    <t>Criminal Trespass</t>
  </si>
  <si>
    <t>ހުއްދަނޫން ތަނަކަށްވަނުން</t>
  </si>
  <si>
    <t>މަކަރާއި ހީލަތް/ ޓެކުމުން އެހެން މީހެއްގެ މުދަލެއް ނިގުޅައިގަތުން</t>
  </si>
  <si>
    <t>Child Sexual abuse/abetting</t>
  </si>
  <si>
    <t>ކުޑަކުއްޖަކާއެކު ޖިންސީ އަމަލެއް ހިންގުން</t>
  </si>
  <si>
    <t>criminal Property Damage</t>
  </si>
  <si>
    <t>މުދަލަށް ގެއްލުން ދިނުން</t>
  </si>
  <si>
    <t>Possession of Instruments of Crime</t>
  </si>
  <si>
    <t>ކުށެއް ކުރުމަށް ބޭނުން ކުރުމުގެ މަޤްސަދުގައި އެކުށް ކުރުމުގައި ބޭނުންކުރާނެ އާލާތް އަތުގައި ބެހެއްޓުން</t>
  </si>
  <si>
    <t>Creating fear or Terror</t>
  </si>
  <si>
    <t>ބިރުދެއްކުން</t>
  </si>
  <si>
    <t>Failing to fast during Ramadan; Consuming pork or Alcohol</t>
  </si>
  <si>
    <t>ރަމަޝާންމަހު ރޯދަނުހިފުމާއި ބަނގުރާބުއިމާއި އޫރުމަސް ކެއުން</t>
  </si>
  <si>
    <t>Breech of Agreement</t>
  </si>
  <si>
    <t>އެއްބަސްވުމާ ޚިލާފުވުން</t>
  </si>
  <si>
    <t>Enforment of judgement</t>
  </si>
  <si>
    <t>ޙުކުމް ތަންފީޛްކުރުން</t>
  </si>
  <si>
    <t>collection of remuneration</t>
  </si>
  <si>
    <t>މުދަލާއި ހިދުމަތުގެ މަސައްކަތުގެ އަގުހޯދުން</t>
  </si>
  <si>
    <t>Debt enforcement</t>
  </si>
  <si>
    <t>ދަރަނި/ފައިސާ ހޯދުން</t>
  </si>
  <si>
    <t>Loan without security</t>
  </si>
  <si>
    <t>ރަހުނު ނުހިމެނޭ ލޯނުގެ މައްސަލަތައް</t>
  </si>
  <si>
    <t>Claims of administrative nature in state institutions</t>
  </si>
  <si>
    <t>ދައުލަތުގެ އިދާރާއެއްގައި ހިމެނޭ އިދާރީ ތަބީއަތުގެ ދައުވާ</t>
  </si>
  <si>
    <t>claims of hire-purchase/leasing</t>
  </si>
  <si>
    <t>ހަޔަރޕަޗޭސް/ފައިނޭންސް ލީސިން މައްސަލަ</t>
  </si>
  <si>
    <t>Division of real estate(land)</t>
  </si>
  <si>
    <t>ބިން ބައިކުރުން</t>
  </si>
  <si>
    <t>Rental of real estate</t>
  </si>
  <si>
    <t>ބިމާ އިމާރާތް ކުއްޔަށް ދިނުން</t>
  </si>
  <si>
    <t>Establishing/changing ownership</t>
  </si>
  <si>
    <t>މިލްވެރިކަން ސާބިތުކުރުން/ ބަދަލުކުރުން</t>
  </si>
  <si>
    <t>Claims of credit card</t>
  </si>
  <si>
    <t>ކްރެޑިޓް ކާޑާއި ބެހޭ މައްސަލަތައް</t>
  </si>
  <si>
    <t>ތާވަލު 8.30: ކޯޓުތަކުގައި ތިބި ފަނޑިޔާރުންގެ އަދަދު އަދި ކޯޓުތަކަށް ހިނގި ޚަރަދު، 2013 - 2018</t>
  </si>
  <si>
    <t>TABLE 8.30: JUDGES BY SEX AND FINANCIAL RESOURCES FOR COURTS , 2013 - 2018</t>
  </si>
  <si>
    <t>Category</t>
  </si>
  <si>
    <t>end year</t>
  </si>
  <si>
    <t>Total judges / Majistrates</t>
  </si>
  <si>
    <t xml:space="preserve">ފަނޑިޔާރުންގެ ޖުމްލަ އަދަދު </t>
  </si>
  <si>
    <t>Total  Expenditure for Courts (million MVR)</t>
  </si>
  <si>
    <t>ކޯޓުތަކަށް ޖުމްލަ ޚަރަދުވި ވަރު (މިލިއަން ރުފިޔާ)</t>
  </si>
  <si>
    <t>Source:  Judicial Service Commission</t>
  </si>
  <si>
    <t>މަޢުލޫމާތު ދެއްވި ފަރާތް: ޖުޑީޝަލް ސަރވިސް ކޮމިޝަން</t>
  </si>
  <si>
    <t xml:space="preserve"> Department of Judicial Administration</t>
  </si>
  <si>
    <t xml:space="preserve">                 ޑިޕާޓްމަންޓް އޮފް ޖުޑިޝަލް އެޑްމިނިސްޓްރޭޝަން</t>
  </si>
  <si>
    <t>% share 2016</t>
  </si>
  <si>
    <t>% share of females</t>
  </si>
  <si>
    <t>ތާވަލު 8.31: ރަޖިސްޓްރީކުރެވިފައިވާ ޤާނޫނީ ވަކީލުންގެ އަދަދު އަދި ތަޢުލީމީ ފެންވަރު، 2014 - 2018</t>
  </si>
  <si>
    <t>TABLE 8.31: REGISTERED LAWYERS IN SERVICE, BY QUALIFICATION AND SEX, 2014 - 2018</t>
  </si>
  <si>
    <t>Qualification</t>
  </si>
  <si>
    <t xml:space="preserve">Male </t>
  </si>
  <si>
    <t xml:space="preserve">ތަޢުލީމީ ފެންވަރު </t>
  </si>
  <si>
    <t>total registered lawyers as of Dec 2017</t>
  </si>
  <si>
    <t>Certificate 3</t>
  </si>
  <si>
    <t>ސެޓްފިކެޓް 3</t>
  </si>
  <si>
    <t>Advanced Certificate</t>
  </si>
  <si>
    <t>އެޑްވާންސްޑް ސެޓްފިކެޓް</t>
  </si>
  <si>
    <t>Gaanoonee vakeelukamuge sanadhu</t>
  </si>
  <si>
    <t xml:space="preserve">ޤާނޫނޫ ވަކީލުކަމުގެ ސަނަދު </t>
  </si>
  <si>
    <t>Diploma</t>
  </si>
  <si>
    <t>ޑިޕްލޮމާ</t>
  </si>
  <si>
    <t>Advanced Diploma</t>
  </si>
  <si>
    <t>އެޑްވާންސްޑް ޑިޕްލޮމާ</t>
  </si>
  <si>
    <t>Bachelors degree</t>
  </si>
  <si>
    <t>ބެޗެލަރސް ޑިގްރީ</t>
  </si>
  <si>
    <t xml:space="preserve">Masters degree </t>
  </si>
  <si>
    <t>މާސްޓަރސް ޑިގްރީ</t>
  </si>
  <si>
    <t>Doctoral degree</t>
  </si>
  <si>
    <t>ޑޮކްޓޯރަލް ޑިގްރީ</t>
  </si>
  <si>
    <t>Other</t>
  </si>
  <si>
    <r>
      <t xml:space="preserve">ތާވަލް </t>
    </r>
    <r>
      <rPr>
        <b/>
        <sz val="11"/>
        <color theme="1"/>
        <rFont val="Calibri"/>
        <family val="2"/>
        <scheme val="minor"/>
      </rPr>
      <t>8.56:</t>
    </r>
    <r>
      <rPr>
        <b/>
        <sz val="11"/>
        <color theme="1"/>
        <rFont val="Faruma"/>
      </rPr>
      <t xml:space="preserve"> ޑްރަގް ކޯޓަށް ހުށަހެޅުނު މައްސަލަތަކުގައި ދަޢުވާ ލިބޭ މީހުންގެ އަދަދު- </t>
    </r>
    <r>
      <rPr>
        <b/>
        <sz val="11"/>
        <color theme="1"/>
        <rFont val="Calibri"/>
        <family val="2"/>
        <scheme val="minor"/>
      </rPr>
      <t>2016-2018</t>
    </r>
  </si>
  <si>
    <t>Table 8.56: Gender distribution of cases filed in the Drug Court 2016 - 2018</t>
  </si>
  <si>
    <t>Age and sex</t>
  </si>
  <si>
    <t>ޢުމުރު އަދި ޖިންސު</t>
  </si>
  <si>
    <t xml:space="preserve"> Total</t>
  </si>
  <si>
    <t>މުޅި ޖުމުލަ</t>
  </si>
  <si>
    <t>Above 18 - Total</t>
  </si>
  <si>
    <r>
      <rPr>
        <b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Faruma"/>
      </rPr>
      <t xml:space="preserve"> އަހަރުން މަތި- ޖުމުލަ</t>
    </r>
  </si>
  <si>
    <t>Below 18- Total</t>
  </si>
  <si>
    <r>
      <rPr>
        <b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Faruma"/>
      </rPr>
      <t xml:space="preserve"> އަހަރުން ދަށް- ޖުމުލަ</t>
    </r>
  </si>
  <si>
    <t xml:space="preserve">Above 18 </t>
  </si>
  <si>
    <t xml:space="preserve">Below 18 </t>
  </si>
  <si>
    <r>
      <t xml:space="preserve">ތާވަލް </t>
    </r>
    <r>
      <rPr>
        <b/>
        <sz val="10"/>
        <color theme="1"/>
        <rFont val="Calibri"/>
        <family val="2"/>
        <scheme val="minor"/>
      </rPr>
      <t>8.57</t>
    </r>
    <r>
      <rPr>
        <b/>
        <sz val="10"/>
        <color theme="1"/>
        <rFont val="Arial"/>
        <family val="2"/>
      </rPr>
      <t xml:space="preserve"> :</t>
    </r>
    <r>
      <rPr>
        <b/>
        <sz val="10"/>
        <color theme="1"/>
        <rFont val="Faruma"/>
      </rPr>
      <t xml:space="preserve"> ޑްރަގް ކޯޓަށް ހުށަހެޅުނު މައްސަލަތަކުގައި ދަޢުވާ ލިބޭ މީހުންގެ އުމުރުފުރާ ތަކާބެހޭ މަޢުލޫމާތު -</t>
    </r>
    <r>
      <rPr>
        <b/>
        <sz val="10"/>
        <color theme="1"/>
        <rFont val="Calibri"/>
        <family val="2"/>
        <scheme val="minor"/>
      </rPr>
      <t xml:space="preserve"> 2016-2018</t>
    </r>
  </si>
  <si>
    <t>Table 8.57: Age distribution of cases filed in the Drug Court  2016-2018</t>
  </si>
  <si>
    <t>Age Group</t>
  </si>
  <si>
    <t xml:space="preserve"> އުމުރުފުރާ</t>
  </si>
  <si>
    <t>Below 18</t>
  </si>
  <si>
    <r>
      <rPr>
        <sz val="11"/>
        <color theme="1"/>
        <rFont val="Calibri"/>
        <family val="2"/>
        <scheme val="minor"/>
      </rPr>
      <t>18</t>
    </r>
    <r>
      <rPr>
        <sz val="11"/>
        <color theme="1"/>
        <rFont val="Faruma"/>
      </rPr>
      <t xml:space="preserve"> އަހަރުން ދަށް</t>
    </r>
  </si>
  <si>
    <t>18-25</t>
  </si>
  <si>
    <t>26-35</t>
  </si>
  <si>
    <t>36-45</t>
  </si>
  <si>
    <t>46-55</t>
  </si>
  <si>
    <t>Above 55</t>
  </si>
  <si>
    <r>
      <rPr>
        <sz val="11"/>
        <color theme="1"/>
        <rFont val="Calibri"/>
        <family val="2"/>
        <scheme val="minor"/>
      </rPr>
      <t>55</t>
    </r>
    <r>
      <rPr>
        <sz val="11"/>
        <color theme="1"/>
        <rFont val="Faruma"/>
      </rPr>
      <t xml:space="preserve"> އަހަރުން މަތި</t>
    </r>
  </si>
  <si>
    <t>ތާވަލު 8.24: އެންމެ ގިނައިން ހުށަހެޅޭ ޖިނާއީ މައްސަލަތައް 2017 - 2018</t>
  </si>
  <si>
    <t>Table 8.24: Categories where most number of cirminal cases are filed,  2017 - 2018</t>
  </si>
  <si>
    <t>Table 8.25: Categories where most number of civil cases are filed, 2017 -  2018</t>
  </si>
  <si>
    <t>ތާވަލު 8.25: އެންމެ ގިނައިން ހުށަހެޅޭ މަދަނީ މައްސަލަތައް، 2017 - 2018</t>
  </si>
  <si>
    <t>ތާވަލު 8.29: ކޯޓުތަކަށް ޢައްޔަނުކުރެވިފައިވާ ފަނޑިޔާރުންގެ އަދަދު، 2014 - 2018</t>
  </si>
  <si>
    <t>TABLE 8.29:  NUMBER OF ASSIGNED MAGISTRATES , 2014 - 2018</t>
  </si>
  <si>
    <t xml:space="preserve"> Court</t>
  </si>
  <si>
    <t>ފަނޑިޔާރުންގެ އަދަދު</t>
  </si>
  <si>
    <t>ކޯޓް</t>
  </si>
  <si>
    <t>Assigned number of Majistrates</t>
  </si>
  <si>
    <t>Courts in Male'</t>
  </si>
  <si>
    <t xml:space="preserve">މާލޭ ކޯޓުތައް </t>
  </si>
  <si>
    <t>Supreme court</t>
  </si>
  <si>
    <t>ދިވެހިރާއްޖޭގެ ސުޕްރީމް ކޯޓް</t>
  </si>
  <si>
    <t>High court</t>
  </si>
  <si>
    <t>ދިވެހިރާއްޖޭގެ ހައި ކޯޓް</t>
  </si>
  <si>
    <t>ކްރިމިނަލް ކޯޓް</t>
  </si>
  <si>
    <t>ފެމިލީ ކޯޓް</t>
  </si>
  <si>
    <t>ޑްރަގްކޯޓް</t>
  </si>
  <si>
    <t>Hulhumale' majistrate court</t>
  </si>
  <si>
    <t>ހުޅުމާލެ މެޖިސްޓްރޭޓް ކޯޓް</t>
  </si>
  <si>
    <t>Majistrate Courts in Atolls</t>
  </si>
  <si>
    <t>މެޖިސްޓްރޭޓް ކޯޓް (އަތޮޅު)</t>
  </si>
  <si>
    <t>HA. Atoll</t>
  </si>
  <si>
    <t>ހއ. އަތޮޅު</t>
  </si>
  <si>
    <t>HA.Dhidhoo majistrate Court</t>
  </si>
  <si>
    <t>ހއ. ދިއްދޫ މެޖިސްޓްރޭޓް ކޯޓް</t>
  </si>
  <si>
    <t>HA.Thuraakunu majistrate court</t>
  </si>
  <si>
    <t>ހއ. ތުރާކުނު މެޖިސްޓްރޭޓް ކޯޓް</t>
  </si>
  <si>
    <t>HA.Hoarafushi majistarte court</t>
  </si>
  <si>
    <t>ހއ. ހޯރަފުށީ މެޖިސްޓްރޭޓް ކޯޓް</t>
  </si>
  <si>
    <t>HA.Ihavandhoo majistarte court</t>
  </si>
  <si>
    <t>ހއ. އިހަވަންދޫ މެޖިސްޓްރޭޓް ކޯޓް</t>
  </si>
  <si>
    <t>HA.Filladhoo majistarte court</t>
  </si>
  <si>
    <t>ހއ. ފިއްލަދޫ މެޖިސްޓްރޭޓް ކޯޓް</t>
  </si>
  <si>
    <t>HA.Vashafaru majistarte court</t>
  </si>
  <si>
    <t>ހއ. ވަށަފަރު މެޖިސްޓްރޭޓް ކޯޓް</t>
  </si>
  <si>
    <t>HA.Muraidhoo majistarte court</t>
  </si>
  <si>
    <t>ހއ. މުރައިދޫ މެޖިސްޓްރޭޓް ކޯޓް</t>
  </si>
  <si>
    <t>HA.Baarah majistrate court</t>
  </si>
  <si>
    <t>ހއ. ބާރަށް މެޖިސްޓްރޭޓް ކޯޓް</t>
  </si>
  <si>
    <t>HA.Molhadhoo majistrate court</t>
  </si>
  <si>
    <t>ހއ. މޮޅަދޫ މެޖިސްޓްރޭޓް ކޯޓް</t>
  </si>
  <si>
    <t>HA.Marandhoo majistrate court</t>
  </si>
  <si>
    <t>ހއ. މާރަންދޫ މެޖިސްޓްރޭޓް ކޯޓް</t>
  </si>
  <si>
    <t>HA.Thakandhoo majistrate court</t>
  </si>
  <si>
    <t>ހއ. ތަކަންދޫ މެޖިސްޓްރޭޓް ކޯޓް</t>
  </si>
  <si>
    <t>HA.Kelaa majistrate court</t>
  </si>
  <si>
    <t>ހއ. ކެލާ މެޖިސްޓްރޭޓް ކޯޓް</t>
  </si>
  <si>
    <t>HA.Uligamu majistrate court</t>
  </si>
  <si>
    <t>ހއ. އުލިގަމު މެޖިސްޓްރޭޓް ކޯޓް</t>
  </si>
  <si>
    <t>HA.Utheemu majistrate court</t>
  </si>
  <si>
    <t>ހއ. އުތީމު މެޖިސްޓްރޭޓް ކޯޓް</t>
  </si>
  <si>
    <t>HDh. Atoll</t>
  </si>
  <si>
    <t>ހދ. އަތޮޅު</t>
  </si>
  <si>
    <t>HDh.Kulhudhufushi majistrate court</t>
  </si>
  <si>
    <t>ހދ. ކުޅުދުއްފުށީ މެޖިސްޓްރޭޓް ކޯޓް</t>
  </si>
  <si>
    <t>HDh.Vaikaradhoo majistrate court</t>
  </si>
  <si>
    <t>ހދ. ވައިކަރަދޫ މެޖިސްޓްރޭޓް ކޯޓް</t>
  </si>
  <si>
    <t>HDh.Hanimaadhoo majistrate court</t>
  </si>
  <si>
    <t>ހދ. ހަނިމާދޫ މެޖިސްޓްރޭޓް ކޯޓް</t>
  </si>
  <si>
    <t>HDh.Neillaadhoo majistrate court</t>
  </si>
  <si>
    <t>ހދ. ނެއްލައިދޫ މެޖިސްޓްރޭޓް ކޯޓް</t>
  </si>
  <si>
    <t>HDh.Hirimaradhoo majistrate court</t>
  </si>
  <si>
    <t>ހދ. ހިރިމަރަދޫ މެޖިސްޓްރޭޓް ކޯޓް</t>
  </si>
  <si>
    <t>HDh.Finey majistrate court</t>
  </si>
  <si>
    <t>ހދ. ފިނޭ މެޖިސްޓްރޭޓް ކޯޓް</t>
  </si>
  <si>
    <t>HDh.Kuribey majistrate court</t>
  </si>
  <si>
    <t>ހދ. ކުރިބީ މެޖިސްޓްރޭޓް ކޯޓް</t>
  </si>
  <si>
    <t>HDh.Naivadhoo majistrate court</t>
  </si>
  <si>
    <t>ހދ. ނައިވާދޫ މެޖިސްޓްރޭޓް ކޯޓް</t>
  </si>
  <si>
    <t>HDh.Neykurendhoo majistrate court</t>
  </si>
  <si>
    <t>ހދ. ނޭކުރެންދޫ މެޖިސްޓްރޭޓް ކޯޓް</t>
  </si>
  <si>
    <t>HDh.Nolhivaranfaru majistrate court</t>
  </si>
  <si>
    <t>ހދ. ނޮޅިވަރަންފަރު މެޖިސްޓްރޭޓް ކޯޓް</t>
  </si>
  <si>
    <t>HDh.Nolhivaran majistrate court</t>
  </si>
  <si>
    <t>ހދ. ނޮޅިވަރަން މެޖިސްޓްރޭޓް ކޯޓް</t>
  </si>
  <si>
    <t>HDh.Makunudhoo majistrate court</t>
  </si>
  <si>
    <t>ހދ. މަކުނުދޫ މެޖިސްޓްރޭޓް ކޯޓް</t>
  </si>
  <si>
    <t>HDh.kumundhoo majistrate court</t>
  </si>
  <si>
    <t>ހދ. ކުމުންދޫ މެޖިސްޓްރޭޓް ކޯޓް</t>
  </si>
  <si>
    <t>Sh. Atoll</t>
  </si>
  <si>
    <t>ށ. އަތޮޅު</t>
  </si>
  <si>
    <t>Sh.Funadhoo majistrate court</t>
  </si>
  <si>
    <t>ށ. ފުނަދޫ މެޖިސްޓްރޭޓް ކޯޓް</t>
  </si>
  <si>
    <t>Sh.Foakaidhoo majistrate court</t>
  </si>
  <si>
    <t>ށ. ފޯކައިދޫ މެޖިސްޓްރޭޓް ކޯޓް</t>
  </si>
  <si>
    <t>Sh.Goidhoo majistrate court</t>
  </si>
  <si>
    <t>ށ. ގޮއިދޫ މެޖިސްޓްރޭޓް ކޯޓް</t>
  </si>
  <si>
    <t>Sh.Feevaku majistrate court</t>
  </si>
  <si>
    <t>ށ. ފީވަކު މެޖިސްޓްރޭޓް ކޯޓް</t>
  </si>
  <si>
    <t>Sh.Kaditheemu majistrate court</t>
  </si>
  <si>
    <t>ށ. ކަނޑިތީމު މެޖިސްޓްރޭޓް ކޯޓް</t>
  </si>
  <si>
    <t>Sh.Bileifahi majistrate court</t>
  </si>
  <si>
    <t>ށ. ބިލެތްފަހި މެޖިސްޓްރޭޓް ކޯޓް</t>
  </si>
  <si>
    <t>Sh.Narudhoo majistrate court</t>
  </si>
  <si>
    <t>ށ. ނަރުދޫ މެޖިސްޓްރޭޓް ކޯޓް</t>
  </si>
  <si>
    <t>Sh.Maroshi majistrate court</t>
  </si>
  <si>
    <t>ށ. މަރޮށި މެޖިސްޓްރޭޓް ކޯޓް</t>
  </si>
  <si>
    <t>Sh.Lhaimagu majistrate court</t>
  </si>
  <si>
    <t>ށ. ޅައިމަގު މެޖިސްޓްރޭޓް ކޯޓް</t>
  </si>
  <si>
    <t>Sh.Komandoo majistrate court</t>
  </si>
  <si>
    <t>ށ. ކޮމަންޑޫ މެޖިސްޓްރޭޓް ކޯޓް</t>
  </si>
  <si>
    <t>Sh.Maaungoodhoo majistrate court</t>
  </si>
  <si>
    <t>ށ. މާއުގޫދޫ މެޖިސްޓްރޭޓް ކޯޓް</t>
  </si>
  <si>
    <t>Sh.Milandhoo majistrate court</t>
  </si>
  <si>
    <t>ށ. މިލަންދޫ މެޖިސްޓްރޭޓް ކޯޓު</t>
  </si>
  <si>
    <t>Sh.Feydhoo majistrate court</t>
  </si>
  <si>
    <t>ށ. ފޭދޫ މެޖިސްޓްރޭޓް ކޯޓު</t>
  </si>
  <si>
    <t>N. Atoll</t>
  </si>
  <si>
    <t>ނ. އަތޮޅު</t>
  </si>
  <si>
    <t>N.Manadhoo majistrate court</t>
  </si>
  <si>
    <t>ނ. މަނަދޫ މެޖިސްޓްރޭޓް ކޯޓް</t>
  </si>
  <si>
    <t>N.Henbadhoo majistrate court</t>
  </si>
  <si>
    <t>ނ. ހެބަނދޫ މެޖިސްޓްރޭޓް ކޯޓް</t>
  </si>
  <si>
    <t>N.Kendhikulhudhoo majistrate court</t>
  </si>
  <si>
    <t>ނ. ކެނދިކުޅަދޫ މެޖިސްޓްރޭޓް ކޯޓް</t>
  </si>
  <si>
    <t>N.Maalhendhoo majistrate court</t>
  </si>
  <si>
    <t>ނ. މާޅެންދޫ މެޖިސްޓްރޭޓް ކޯޓް</t>
  </si>
  <si>
    <t>N.Kudafari majistrate court</t>
  </si>
  <si>
    <t>ނ. ކުޑަފަރީ މެޖިސްޓްރޭޓް ކޯޓް</t>
  </si>
  <si>
    <t>N.Landhoo majistrate court</t>
  </si>
  <si>
    <t>ނ. ލަންދޫ މެޖިސްޓްރޭޓް  ކޯޓް</t>
  </si>
  <si>
    <t>N.Maafaru majistrate court</t>
  </si>
  <si>
    <t>ނ. މާފަރު މެޖިސްޓްރޭޓް ކޯޓް</t>
  </si>
  <si>
    <t>N.Magoodhoo majistrate court</t>
  </si>
  <si>
    <t>ނ. މަގޫދޫ މެޖިސްޓްރޭޓް ކޯޓް</t>
  </si>
  <si>
    <t>N.Fohdhoo majistrate court</t>
  </si>
  <si>
    <t>ނ. ފޮއްދޫ މެޖިސްޓްރޭޓް ކޯޓް</t>
  </si>
  <si>
    <t>N.Lhohee majistrate court</t>
  </si>
  <si>
    <t>ނ. ޅޮހީ މެޖިސްޓްރޭޓް ކޯޓް</t>
  </si>
  <si>
    <t>N.Holhudhoo majistrate court</t>
  </si>
  <si>
    <t>ނ. ހޮޅުދޫ މެޖިސްޓްރޭޓް ކޯޓު</t>
  </si>
  <si>
    <t>N.Velidhoo majistrate court</t>
  </si>
  <si>
    <t>ނ. ވެލިދޫ މެޖިސްޓްރޭޓް ކޯޓް</t>
  </si>
  <si>
    <t>N.Miladhoo majistrate court</t>
  </si>
  <si>
    <t>ނ. މިލަދޫ މެޖިސްޓްރޭޓް ކޯޓު</t>
  </si>
  <si>
    <t>R.Atoll</t>
  </si>
  <si>
    <t>ރ. އަތޮޅު</t>
  </si>
  <si>
    <t>R.Hulhudhufaaru magistrate court</t>
  </si>
  <si>
    <t>ރ. ހުޅުދުއްފާރު މެޖިސްޓްރޭޓް ކޯޓް</t>
  </si>
  <si>
    <t>R.Alifushi magistrate court</t>
  </si>
  <si>
    <t>ރ. އަލިފުށީ މެޖިސްޓްރޭޓް ކޯޓް</t>
  </si>
  <si>
    <t>R.Angolhitheemu magistrate court</t>
  </si>
  <si>
    <t>ރ. އަނގޮޅިތީމު މެޖިސްޓްރޭޓް ކޯޓް</t>
  </si>
  <si>
    <t>R.Inguraidhoo magistrate court</t>
  </si>
  <si>
    <t>ރ. އިނގުރައިދޫ މެޖިސްޓްރޭޓް ކޯޓް</t>
  </si>
  <si>
    <t>R.Meedhoo magistrate court</t>
  </si>
  <si>
    <t>ރ. މީދޫ މެޖިސްޓްރޭޓް ކޯޓް</t>
  </si>
  <si>
    <t>R.Dhuvaafaru magistrate court</t>
  </si>
  <si>
    <t>ރ. ދުވާފަރު މެޖިސްޓްރޭޓް ކޯޓް</t>
  </si>
  <si>
    <t>R.Innamaadhoo magistrate court</t>
  </si>
  <si>
    <t>ރ. އިންނަމާދޫ މެޖިސްޓްރޭޓް ކޯޓް</t>
  </si>
  <si>
    <t>R.Ungoofaaru magistrate court</t>
  </si>
  <si>
    <t>ރ. އުނގޫފާރު މެޖިސްޓްރޭޓް ކޯޓް</t>
  </si>
  <si>
    <t>R.Maakurathu magistrate court</t>
  </si>
  <si>
    <t>ރ. މާކުރަތު މެޖިސްޓްރޭޓް ކޯޓް</t>
  </si>
  <si>
    <t>R.Vaadhoo magistrate court</t>
  </si>
  <si>
    <t>ރ. ވާދޫ މެޖިސްޓްރޭޓް ކޯޓް</t>
  </si>
  <si>
    <t>R.Khinolhas magistrate court</t>
  </si>
  <si>
    <t>ރ. ކިނޮޅަސް މެޖިސްޓްރޭޓް ކޯޓް</t>
  </si>
  <si>
    <t>R.Fainu magistrate court</t>
  </si>
  <si>
    <t>ރ. ފައިނު މެޖިސްޓްރޭޓް  ކޯޓް</t>
  </si>
  <si>
    <t>R.Rasmadhoo magistrate court</t>
  </si>
  <si>
    <t>ރ. ރަސްމާދޫ މެޖިސްޓްރޭޓް  ކޯޓް</t>
  </si>
  <si>
    <t>R.Maduvvari magistrate court</t>
  </si>
  <si>
    <t>ރ. މަޑުއްވަރީ މެޖިސްޓްރޭޓް  ކޯޓް</t>
  </si>
  <si>
    <t>R.Rasgetheemu magistrate court</t>
  </si>
  <si>
    <t>ރ. ރަސްގެތީމު މެޖިސްޓްރޭޓް ކޯޓް</t>
  </si>
  <si>
    <t>B.Atoll</t>
  </si>
  <si>
    <t>ބ. އަތޮޅު</t>
  </si>
  <si>
    <t>B.Eydhafushi magistrate court</t>
  </si>
  <si>
    <t>ބ. އޭދަފުށީ މެޖިސްޓްރޭޓް ކޯޓް</t>
  </si>
  <si>
    <t>Number  of majistrates</t>
  </si>
  <si>
    <t>Number of islands with majistrate courts</t>
  </si>
  <si>
    <t>B.Kamadhoo magistrate court</t>
  </si>
  <si>
    <t>ބ. ކަމަދޫ މެޖިސްޓްރޭޓް ކޯޓް</t>
  </si>
  <si>
    <t>B.Dhonfanu magistrate court</t>
  </si>
  <si>
    <t>ބ. ދޮންފަނު މެޖިސްޓްރޭޓް ކޯޓް</t>
  </si>
  <si>
    <t>B.Kendhoo magistrate court</t>
  </si>
  <si>
    <t>ބ. ކެންދޫ މެޖިސްޓްރޭޓް ކޯޓް</t>
  </si>
  <si>
    <t>B.Goidhoo magistrate court</t>
  </si>
  <si>
    <t>ބ. ގޮއިދޫ މެޖިސްޓްރޭޓް ކޯޓް</t>
  </si>
  <si>
    <t>B.Dharavandhoo magistrate court</t>
  </si>
  <si>
    <t>ބ. ދަރަވަންދޫ މެޖިސްޓްރޭޓް ކޯޓް</t>
  </si>
  <si>
    <t>B.Hithaadhoo magistrate court</t>
  </si>
  <si>
    <t>ބ. ހިތާދޫ މެޖިސްޓްރޭޓް ކޯޓް</t>
  </si>
  <si>
    <t>B.Maalhos magistrate court</t>
  </si>
  <si>
    <t>ބ. މާޅޮހު މެޖިސްޓްރޭޓް ކޯޓް</t>
  </si>
  <si>
    <t>B.Kudarikhilu magistrate court</t>
  </si>
  <si>
    <t>ބ. ކުޑަރިކިލު މެޖިސްޓްރޭޓް ކޯޓް</t>
  </si>
  <si>
    <t>B.Kihadhoo magistrate court</t>
  </si>
  <si>
    <t>ބ. ކިހާދޫ މެޖިސްޓްރޭޓް ކޯޓް</t>
  </si>
  <si>
    <t>B.Fulhadhoo magistrate court</t>
  </si>
  <si>
    <t>ބ. ފުޅަދޫ މެޖިސްޓްރޭޓް  ކޯޓް</t>
  </si>
  <si>
    <t>B.Fehendhoo  magistrate court</t>
  </si>
  <si>
    <t>ބ. ފެހެންދޫ މެޖިސްޓްރޭޓް  ކޯޓް</t>
  </si>
  <si>
    <t>B.Thulhaadhoo magistrate court</t>
  </si>
  <si>
    <t>ބ. ތުޅާދޫ މެޖިސްޓްރޭޓް ކޯޓް</t>
  </si>
  <si>
    <t>Lh.Atoll</t>
  </si>
  <si>
    <t>ޅ. އަތޮޅު</t>
  </si>
  <si>
    <t>Lh.Naifaru magistrate court</t>
  </si>
  <si>
    <t>ޅ. ނައިފަރު މެޖިސްޓްރޭޓް ކޯޓް</t>
  </si>
  <si>
    <t>Lh.Hinnavaru magistrate court</t>
  </si>
  <si>
    <t>ޅ. ހިންނަވަރު މެޖިސްޓްރޭޓް ކޯޓް</t>
  </si>
  <si>
    <t>Lh.Olhuvelifushi magistrate court</t>
  </si>
  <si>
    <t>ޅ. އޮޅިވެލިފުށީ މެޖިސްޓްރޭޓް ކޯޓް</t>
  </si>
  <si>
    <t>Lh.Kurendhoo magistrate court</t>
  </si>
  <si>
    <t>ޅ. ކުރެންދޫ މެޖިސްޓްރޭޓް ކޯޓް</t>
  </si>
  <si>
    <t>K.Atoll</t>
  </si>
  <si>
    <t>ކ. އަތޮޅު</t>
  </si>
  <si>
    <t>K.Thulusdhoo magistrate court</t>
  </si>
  <si>
    <t>ކ. ތުލުސްދޫ މެޖިސްޓްރޭޓް ކޯޓް</t>
  </si>
  <si>
    <t>K.Kaashidhoo magistrate court</t>
  </si>
  <si>
    <t>ކ. ކާށިދޫ މެޖިސްޓްރޭޓް ކޯޓް</t>
  </si>
  <si>
    <t>K.Dhifushi magistrate court</t>
  </si>
  <si>
    <t>ކ. ދިއްފުށީ މެޖިސްޓްރޭޓް ކޯޓް</t>
  </si>
  <si>
    <t>K.Huraa magistrate court</t>
  </si>
  <si>
    <t>ކ. ހުރާ މެޖިސްޓްރޭޓް ކޯޓް</t>
  </si>
  <si>
    <t>K.Hinmafushi magistrate court</t>
  </si>
  <si>
    <t>ކ. ހިއްމަފުށީ މެޖިސްޓްރޭޓް ކޯޓް</t>
  </si>
  <si>
    <t>K.Maafushi magistrate court</t>
  </si>
  <si>
    <t>ކ. މާފުށީ މެޖިސްޓްރޭޓް ކޯޓް</t>
  </si>
  <si>
    <t>K.Guraidhoo magistrate court</t>
  </si>
  <si>
    <t>ކ. ގުރައިދޫ މެޖިސްޓްރޭޓް ކޯޓް</t>
  </si>
  <si>
    <t>K.Gulhi magistrate court</t>
  </si>
  <si>
    <t>ކ. ގުޅި މެޖިސްޓްރޭޓް ކޯޓް</t>
  </si>
  <si>
    <t>K.Gaafaru magistrate court</t>
  </si>
  <si>
    <t>ކ. ގާފަރު މެޖިސްޓްރޭޓް ކޯޓް</t>
  </si>
  <si>
    <t>AA.Atoll</t>
  </si>
  <si>
    <t>އއ. އަތޮޅު</t>
  </si>
  <si>
    <t>AA.Rasdhoo magistrate court</t>
  </si>
  <si>
    <t>އއ. ރަސްދޫ މެޖިސްޓްރޭޓް ކޯޓް</t>
  </si>
  <si>
    <t>AA.Thodoo magistrate court</t>
  </si>
  <si>
    <t>އއ. ތޮއްޑޫ މެޖިސްޓްރޭޓް ކޯޓް</t>
  </si>
  <si>
    <t>AA.Mathiveri magistrate court</t>
  </si>
  <si>
    <t>އއ. މަތިވެރި މެޖިސްޓްރޭޓް ކޯޓް</t>
  </si>
  <si>
    <t>AA.Maalhohu magistrate court</t>
  </si>
  <si>
    <t>އއ. މާޅޮހު މެޖިސްޓްރޭޓް ކޯޓް</t>
  </si>
  <si>
    <t>AA.Himandhoo magistrate court</t>
  </si>
  <si>
    <t>އއ. ހިމަންދޫ މެޖިސްޓްރޭޓް ކޯޓް</t>
  </si>
  <si>
    <t>AA.Ukulhahu magistrate court</t>
  </si>
  <si>
    <t>އއ. އުކުޅަހު މެޖިސްޓްރޭޓް ކޯޓް</t>
  </si>
  <si>
    <t>AA.Bodufolhudhoo magistrate court</t>
  </si>
  <si>
    <t>އއ. ބޮޑުފޮޅުދޫ މެޖިސްޓްރޭޓް ކޯޓް</t>
  </si>
  <si>
    <t>AA.Feridhoo magistrate court</t>
  </si>
  <si>
    <t>އއ. ފެރިދޫ މެޖިސްޓްރޭޓް ކޯޓް</t>
  </si>
  <si>
    <t>ADh.Atoll</t>
  </si>
  <si>
    <t>އދ. އަތޮޅު</t>
  </si>
  <si>
    <t>ADh.Mahibadhoo magistrate court</t>
  </si>
  <si>
    <t>އދ. މަހިބަދޫ މެޖިސްޓްރޭޓް ކޯޓް</t>
  </si>
  <si>
    <t>ADh.Omadhoo magistrate court</t>
  </si>
  <si>
    <t>އދ. އޮމަދޫ މެޖިސްޓްރޭޓް ކޯޓް</t>
  </si>
  <si>
    <t>ADh.Mandhoo magistrate court</t>
  </si>
  <si>
    <t>އދ. މަންދޫ މެޖިސްޓްރޭޓް ކޯޓް</t>
  </si>
  <si>
    <t>ADh.Maamigili magistrate court</t>
  </si>
  <si>
    <t>އދ. މާމިގިލި މެޖިސްޓްރޭޓް ކޯޓް</t>
  </si>
  <si>
    <t>ADh.Hannameedhoo magistrate court</t>
  </si>
  <si>
    <t>އދ. ހަންޏާމީދޫ މެޖިސްޓްރޭޓް ކޯޓް</t>
  </si>
  <si>
    <t>ADh.Fenfushi magistrate court</t>
  </si>
  <si>
    <t>އދ. ފެންފުށި މެޖިސްޓްރޭޓް ކޯޓް</t>
  </si>
  <si>
    <t>ADh.Kuburudhoo magistrate court</t>
  </si>
  <si>
    <t>އދ. ކުނބުރުދޫ މެޖިސްޓްރޭޓް ކޯޓް</t>
  </si>
  <si>
    <t>ADh.Dhidhoo magistrate court</t>
  </si>
  <si>
    <t>އދ. ދިއްދޫ މެޖިސްޓްރޭޓް ކޯޓް</t>
  </si>
  <si>
    <t>ADh.Dhigurah magistrate court</t>
  </si>
  <si>
    <t>އދ. ދިގުރަށު މެޖިސްޓްރޭޓް ކޯޓް</t>
  </si>
  <si>
    <t>ADh.Dhangethi magistrate court</t>
  </si>
  <si>
    <t>އދ. ދަނގެތި މެޖިސްޓްރޭޓް ކޯޓް</t>
  </si>
  <si>
    <t>V.Atoll</t>
  </si>
  <si>
    <t>ވ. އަތޮޅު</t>
  </si>
  <si>
    <t>V.Felidhoo magistrate court</t>
  </si>
  <si>
    <t>ވ. ފެލިދޫ މެޖިސްޓްރޭޓް ކޯޓް</t>
  </si>
  <si>
    <t>V.Thinadhoo magistrate court</t>
  </si>
  <si>
    <t>ވ. ތިނަދޫ މެޖިސްޓްރޭޓް ކޯޓް</t>
  </si>
  <si>
    <t>V.Fulidhoo magistrate court</t>
  </si>
  <si>
    <t>ވ. ފުލިދޫ މެޖިސްޓްރޭޓް ކޯޓް</t>
  </si>
  <si>
    <t>V.Rakeedhoo magistrate court</t>
  </si>
  <si>
    <t>ވ. ރަކީދޫ މެޖިސްޓްރޭޓް ކޯޓް</t>
  </si>
  <si>
    <t>V.Keyodhoo magistrate court</t>
  </si>
  <si>
    <t>ވ. ކެޔޮދޫ މެޖިސްޓްރޭޓް ކޯޓް</t>
  </si>
  <si>
    <t>M.Atoll</t>
  </si>
  <si>
    <t>މ. އަތޮޅު</t>
  </si>
  <si>
    <t>M.Muli magistrate court</t>
  </si>
  <si>
    <t>މ. މުލީ މެޖިސްޓްރޭޓް ކޯޓް</t>
  </si>
  <si>
    <t>M.Mulaku magistrate court</t>
  </si>
  <si>
    <t>މ. މުލަކު މެޖިސްޓްރޭޓް ކޯޓް</t>
  </si>
  <si>
    <t>M.Rahmandhoo magistrate court</t>
  </si>
  <si>
    <t>މ. ރަތްމަންދޫ މެޖިސްޓްރޭޓް ކޯޓް</t>
  </si>
  <si>
    <t>M.Kolhufushi magistrate court</t>
  </si>
  <si>
    <t>މ. ކޮޅުފުށީ މެޖިސްޓްރޭޓް ކޯޓް</t>
  </si>
  <si>
    <t>M.Naalaafushi magistrate court</t>
  </si>
  <si>
    <t>މ. ނާލާފުށީ މެޖިސްޓްރޭޓް ކޯޓް</t>
  </si>
  <si>
    <t>M.Veyvashu magistrate court</t>
  </si>
  <si>
    <t>މ. ވޭވަށު މެޖިސްޓްރޭޓް  ކޯޓް</t>
  </si>
  <si>
    <t>M.Maduvvari magistrate court</t>
  </si>
  <si>
    <t>މ. މަޑުއްވަރީ މެޖިސްޓްރޭޓް ކޯޓް</t>
  </si>
  <si>
    <t>M.Dhigaru magistrate court</t>
  </si>
  <si>
    <t>މ. ދިއްގަރު މެޖިސްޓްރޭޓް ކޯޓް</t>
  </si>
  <si>
    <t>F.Atoll</t>
  </si>
  <si>
    <t>ފ. އަތޮޅު</t>
  </si>
  <si>
    <t>F.Nilandhoo magistrate court</t>
  </si>
  <si>
    <t>ފ. ނިލަންދޫ މެޖިސްޓްރޭޓް ކޯޓް</t>
  </si>
  <si>
    <t>F.Magoodhoo magistrate court</t>
  </si>
  <si>
    <t>ފ. މަގޫދޫ މެޖިސްޓްރޭޓް ކޯޓް</t>
  </si>
  <si>
    <t>F.Bileidhoo magistrate court</t>
  </si>
  <si>
    <t>ފ. ބިލެތްދޫ މެޖިސްޓްރޭޓް  ކޯޓް</t>
  </si>
  <si>
    <t>F.Daraboodhoo magistrate court</t>
  </si>
  <si>
    <t>ފ. ދަނރަބޫދޫ މެޖިސްޓްރޭޓް  ކޯޓް</t>
  </si>
  <si>
    <t>F.Feeali magistrate court</t>
  </si>
  <si>
    <t>ފ. ފީއަލީ މެޖިސްޓްރޭޓް ކޯޓް</t>
  </si>
  <si>
    <t>Dh.Atoll</t>
  </si>
  <si>
    <t>ދ. އަތޮޅު</t>
  </si>
  <si>
    <t>Dh.Kudahuvadhoo magistrate court</t>
  </si>
  <si>
    <t>ދ. ކުޑަހުވަދޫ މެޖިސްޓްރޭޓް ކޯޓް</t>
  </si>
  <si>
    <t>Dh.Bandidhoo magistrate court</t>
  </si>
  <si>
    <t>ދ. ބަނޑިދޫ މެޖިސްޓްރޭޓް ކޯޓް</t>
  </si>
  <si>
    <t>Dh.Ribudhoo magistrate court</t>
  </si>
  <si>
    <t>ދ. ރިނބުދޫ މެޖިސްޓްރޭޓް ކޯޓް</t>
  </si>
  <si>
    <t>Dh.Hulhudheli magistrate court</t>
  </si>
  <si>
    <t>ދ. ހުޅުދެލީ މެޖިސްޓްރޭޓް  ކޯޓް</t>
  </si>
  <si>
    <t>Dh.Maaembudhoo magistrate court</t>
  </si>
  <si>
    <t>ދ. މާއެނބޫދޫ މެޖިސްޓްރޭޓް ކޯޓް</t>
  </si>
  <si>
    <t>Dh.Meedhoo magistrate court</t>
  </si>
  <si>
    <t>ދ. މީދޫ މެޖިސްޓްރޭޓް ކޯޓް</t>
  </si>
  <si>
    <t>Th.Atoll</t>
  </si>
  <si>
    <t>ތ. އަތޮޅު</t>
  </si>
  <si>
    <t>Th.Buruni magistrate court</t>
  </si>
  <si>
    <t>ތ. ބުރުނީ މެޖިސްޓްރޭޓް ކޯޓް</t>
  </si>
  <si>
    <t>Th.Gaadhifushi magistrate court</t>
  </si>
  <si>
    <t>ތ. ގާދިއްފުށީ މެޖިސްޓްރޭޓް ކޯޓް</t>
  </si>
  <si>
    <t>Th.Vilufushi magistrate court</t>
  </si>
  <si>
    <t>ތ. ވިލުފުށީ މެޖިސްޓްރޭޓް ކޯޓް</t>
  </si>
  <si>
    <t>Th.Guraidhoo magistrate court</t>
  </si>
  <si>
    <t>ތ. ގުރައިދޫ މެޖިސްޓްރޭޓް ކޯޓް</t>
  </si>
  <si>
    <t>Th.Veymandoo magistrate court</t>
  </si>
  <si>
    <t>ތ. ވޭމަންޑޫ މެޖިސްޓްރޭޓް ކޯޓް</t>
  </si>
  <si>
    <t>Th.Kandoodhoo magistrate court</t>
  </si>
  <si>
    <t>ތ. ކަނޑޫދޫ މެޖިސްޓްރޭޓް ކޯޓް</t>
  </si>
  <si>
    <t>Th.Vandhoo magistrate court</t>
  </si>
  <si>
    <t>ތ. ވަންދޫ މެޖިސްޓްރޭޓް ކޯޓް</t>
  </si>
  <si>
    <t>Th.Thimarafushi magistrate court</t>
  </si>
  <si>
    <t>ތ. ތިމަރަފުށީ މެޖިސްޓްރޭޓް ކޯޓް</t>
  </si>
  <si>
    <t>Th.Omadhoo magistrate court</t>
  </si>
  <si>
    <t>ތ. އޮމަދޫ މެޖިސްޓްރޭޓް ކޯޓް</t>
  </si>
  <si>
    <t>Th.Hirilandhoo magistrate court</t>
  </si>
  <si>
    <t>ތ. ހިރިލަންދޫ މެޖިސްޓްރޭޓް ކޯޓް</t>
  </si>
  <si>
    <t>Th.Dhiyamigili magistrate court</t>
  </si>
  <si>
    <t>ތ. ދިޔަމިގިލީ މެޖިސްޓްރޭޓް ކޯޓް</t>
  </si>
  <si>
    <t>Th.Madifushi magistrate court</t>
  </si>
  <si>
    <t>ތ. މަޑިފުށި މެޖިސްޓްރޭޓް ކޯޓް</t>
  </si>
  <si>
    <t>Th.Kinbidhoo magistrate court</t>
  </si>
  <si>
    <t>ތ. ކިނބިދޫ މެޖިސްޓްރޭޓް ކޯޓް</t>
  </si>
  <si>
    <t>L.Atoll</t>
  </si>
  <si>
    <t>ލ. އަތޮޅު</t>
  </si>
  <si>
    <t>L.Fonadhoo magistrate court</t>
  </si>
  <si>
    <t>ލ. ފޮނަދޫ މެޖިސްޓްރޭޓް ކޯޓް</t>
  </si>
  <si>
    <t>L.Maabaidhoo magistrate court</t>
  </si>
  <si>
    <t>ލ. މާބައިދޫ މެޖިސްޓްރޭޓް ކޯޓް</t>
  </si>
  <si>
    <t>L.Gamu magistrate court</t>
  </si>
  <si>
    <t>ލ. ގަމު މެޖިސްޓްރޭޓް ކޯޓް</t>
  </si>
  <si>
    <t>L.Maamendhoo magistrate court</t>
  </si>
  <si>
    <t>ލ. މާމެންދޫ މެޖިސްޓްރޭޓް ކޯޓް</t>
  </si>
  <si>
    <t>L.Hithadhoo magistrate court</t>
  </si>
  <si>
    <t>ލ. ހިތަދޫ މެޖިސްޓްރޭޓް ކޯޓް</t>
  </si>
  <si>
    <t>L.Kunahandhoo magistrate court</t>
  </si>
  <si>
    <t>ލ. ކުނަހަންދޫ މެޖިސްޓްރޭޓް ކޯޓް</t>
  </si>
  <si>
    <t>L.Isdhoo magistrate court</t>
  </si>
  <si>
    <t>ލ. އިސްދޫ މެޖިސްޓްރޭޓް ކޯޓް</t>
  </si>
  <si>
    <t>L.DMunhoo magistrate court</t>
  </si>
  <si>
    <t>ލ. މުންޑޫ މެޖިސްޓްރޭޓް ކޯޓް</t>
  </si>
  <si>
    <t>L.Dhabidhoo magistrate court</t>
  </si>
  <si>
    <t>ލ. ދަނބިދޫ މެޖިސްޓްރޭޓް ކޯޓް</t>
  </si>
  <si>
    <t>L. Kalaidhoo magistrate court</t>
  </si>
  <si>
    <t>ލ. ކަލައިދޫ މެޖިސްޓްރޭޓް ކޯޓް</t>
  </si>
  <si>
    <t>L.Maavashu magistrate court</t>
  </si>
  <si>
    <t>ލ. މާވަށު މެޖިސްޓްރޭޓް ކޯޓް</t>
  </si>
  <si>
    <t>GA.Atoll</t>
  </si>
  <si>
    <t>ގއ. އަތޮޅު</t>
  </si>
  <si>
    <t>GA.Viligili magistrate court</t>
  </si>
  <si>
    <t>ގއ. ވިލިނގިލީ މެޖިސްޓްރޭޓް ކޯޓް</t>
  </si>
  <si>
    <t>GA.Kolamaafushi magistrate court</t>
  </si>
  <si>
    <t>ގއ. ކޮލަމާފުށީ މެޖިސްޓްރޭޓް ކޯޓް</t>
  </si>
  <si>
    <t>GA.Nilandhoo magistrate court</t>
  </si>
  <si>
    <t>ގއ. ނިލަންދޫ މެޖިސްޓްރޭޓް ކޯޓް</t>
  </si>
  <si>
    <t>GA.Maamendhoo magistrate court</t>
  </si>
  <si>
    <t>ގއ. މާމެންދޫ މެޖިސްޓްރޭޓް ކޯޓު</t>
  </si>
  <si>
    <t>GA.Dhaandhoo magistrate court</t>
  </si>
  <si>
    <t>ގއ. ދާންދޫ މެޖިސްޓްރޭޓް ކޯޓް</t>
  </si>
  <si>
    <t>GA.Dhevadhoo magistrate court</t>
  </si>
  <si>
    <t>ގއ. ދެއްވަދޫ މެޖިސްޓްރޭޓް ކޯޓް</t>
  </si>
  <si>
    <t>GA.Kondey magistrate court</t>
  </si>
  <si>
    <t>ގއ. ކޮނޑޭ މެޖިސްޓްރޭޓް ކޯޓް</t>
  </si>
  <si>
    <t>GA.Gemanafushi magistrate court</t>
  </si>
  <si>
    <t>ގއ. ގެމަނަފުށި މެޖިސްޓްރޭޓް ކޯޓް</t>
  </si>
  <si>
    <t>GA.Kanduhulhudhoo magistrate court</t>
  </si>
  <si>
    <t>ގއ. ކަނޑުހުޅުދޫ މެޖިސްޓްރޭޓް ކޯޓް</t>
  </si>
  <si>
    <t>GDh.Atoll</t>
  </si>
  <si>
    <t>ގދ. އަތޮޅު</t>
  </si>
  <si>
    <t>GDh.Thinadhoo magistrate court</t>
  </si>
  <si>
    <t>ގދ. ތިނަދޫ މެޖިސްޓްރޭޓް ކޯޓް</t>
  </si>
  <si>
    <t>GDh.Madaveli magistrate court</t>
  </si>
  <si>
    <t>ގދ. މަޑަވެލި މެޖިސްޓްރޭޓް ކޯޓް</t>
  </si>
  <si>
    <t>GDh.Hoandedhoo magistrate court</t>
  </si>
  <si>
    <t>ގދ. ހޯނޑެއްދޫ މެޖިސްޓްރޭޓް ކޯޓް</t>
  </si>
  <si>
    <t>GDh.Rathafandhoo magistrate court</t>
  </si>
  <si>
    <t>ގދ. ރަތަފަންދޫ މެޖިސްޓްރޭޓް ކޯޓް</t>
  </si>
  <si>
    <t>GDh.Faresmaathodaa magistrate court</t>
  </si>
  <si>
    <t>ގދ. ފަރެސް މާތޮޑާ މެޖިސްޓްރޭޓް ކޯޓް</t>
  </si>
  <si>
    <t>GDh.Nadella magistrate court</t>
  </si>
  <si>
    <t>ގދ. ނަޑެއްލާ މެޖިސްޓްރޭޓް ކޯޓް</t>
  </si>
  <si>
    <t>GDh.Vaadhoo magistrate court</t>
  </si>
  <si>
    <t>ގދ. ވާދޫ މެޖިސްޓްރޭޓް  ކޯޓް</t>
  </si>
  <si>
    <t>GDh.Gadhoo magistrate court</t>
  </si>
  <si>
    <t>ގދ. ގައްދޫ މެޖިސްޓްރޭޓް ކޯޓް</t>
  </si>
  <si>
    <t>GDh.Fiyoree magistrate court</t>
  </si>
  <si>
    <t>ގދ. ފިޔޯރީ މެޖިސްޓްރޭޓް ކޯޓް</t>
  </si>
  <si>
    <t>Gn.Atoll</t>
  </si>
  <si>
    <t>ޏ. އަތޮޅު</t>
  </si>
  <si>
    <t>Gn.Fuvahmulaku magistrate court</t>
  </si>
  <si>
    <t>ޏ. ފުވައްމުލަކު މެޖިސްޓްރޭޓް ކޯޓް</t>
  </si>
  <si>
    <t>S.Atoll</t>
  </si>
  <si>
    <t>ސ. އަތޮޅު</t>
  </si>
  <si>
    <t>S.Hithadhoo magistrate court</t>
  </si>
  <si>
    <t>ސ. ހިތަދޫ މެޖިސްޓްރޭޓް ކޯޓް</t>
  </si>
  <si>
    <t>S.Hulhudhoo magistrate court</t>
  </si>
  <si>
    <t>ސ. ހުޅުދޫ މެޖިސްޓްރޭޓް ކޯޓް</t>
  </si>
  <si>
    <t>S.Maradhoo magistrate court</t>
  </si>
  <si>
    <t>ސ. މަރަދޫ މެޖިސްޓްރޭޓް ކޯޓް</t>
  </si>
  <si>
    <t>S.Feydhoo magistrate court</t>
  </si>
  <si>
    <t>ސ. ފޭދޫ މެޖިސްޓްރޭޓް ކޯޓް</t>
  </si>
  <si>
    <t>S.Meedhoo magistrate court</t>
  </si>
  <si>
    <t>ސ. މީދޫ މެޖިސްޓްރޭޓް ކޯޓް</t>
  </si>
  <si>
    <t>S.Maradhoofeydhoo magistrate court</t>
  </si>
  <si>
    <t>ސ، މަރަދޫފޭދޫ މެޖިސްޓްރޭޓް ކޯޓް</t>
  </si>
  <si>
    <t>Source: Judicial Service Commission</t>
  </si>
  <si>
    <t>Total Number of lawyers</t>
  </si>
  <si>
    <t xml:space="preserve">     2017 ވަނަ އަހަރުގައި އެއްވެސް ވަކީލަކު ހުވާ ކުރައްވާފައި ނުވޭ</t>
  </si>
  <si>
    <t xml:space="preserve">ނޯޓް: 2014 ވަނަ އަހަރު އެވަނީ 2014 ވަނަ އަހަރުގެ ނިޔަލަށް ޤާނޫނީ ވަކީލުންގެ ދަފްތަރުގައި ރަޖިސްޓްރީ ކޮށްފައިވާ ޤާނޫނީ ވަކީލުންގެ މަޢުލޫމާތެވެ. އަދި 2015 , 2016 އަދި 2018 ގައި އެވަނީ އެއަހަރަކު އަލަށް ރަޖިސްޓްރީކުރެވުނު ޤާނޫނީ ވަކީލުންގެ އަދަދެވެ. </t>
  </si>
  <si>
    <t>Marine Accidents</t>
  </si>
  <si>
    <t>ކަނޑުމަތީގެ އެކްސިޑެންޓް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</si>
</sst>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68" formatCode="0.000"/>
    <numFmt numFmtId="169" formatCode="_(* #,##0.0_);_(* \(#,##0.0\);_(* &quot;-&quot;??_);_(@_)"/>
    <numFmt numFmtId="170" formatCode="_(* #,##0_);_(* \(#,##0\);_(* &quot;-&quot;??_);_(@_)"/>
    <numFmt numFmtId="171" formatCode="#,##0;[Red]#,##0"/>
  </numFmts>
  <fonts count="1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b/>
      <sz val="9.5"/>
      <color rgb="FF000000"/>
      <name val="Calibri"/>
      <family val="2"/>
      <scheme val="minor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b/>
      <sz val="10"/>
      <name val="A_Randhoo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Courier"/>
      <family val="3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Faruma"/>
      <family val="3"/>
    </font>
    <font>
      <b/>
      <sz val="10"/>
      <color rgb="FF000000"/>
      <name val="Faruma"/>
      <family val="3"/>
    </font>
    <font>
      <b/>
      <sz val="10"/>
      <color theme="1" tint="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Faruma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Faruma"/>
      <family val="3"/>
    </font>
    <font>
      <b/>
      <sz val="10"/>
      <name val="A_Ilham"/>
    </font>
    <font>
      <sz val="10"/>
      <color theme="2" tint="-0.499984740745262"/>
      <name val="Times New Roman"/>
      <family val="1"/>
    </font>
    <font>
      <b/>
      <sz val="10"/>
      <color rgb="FFFF0000"/>
      <name val="Courier"/>
      <family val="3"/>
    </font>
    <font>
      <sz val="10"/>
      <name val="A_Ilham"/>
    </font>
    <font>
      <i/>
      <sz val="9"/>
      <color theme="1"/>
      <name val="Calibri"/>
      <family val="2"/>
      <scheme val="minor"/>
    </font>
    <font>
      <sz val="9"/>
      <color rgb="FFFF0000"/>
      <name val="Courier"/>
      <family val="3"/>
    </font>
    <font>
      <i/>
      <sz val="10"/>
      <name val="Courier"/>
      <family val="3"/>
    </font>
    <font>
      <sz val="9"/>
      <color theme="1"/>
      <name val="A_Randhoo"/>
    </font>
    <font>
      <sz val="9"/>
      <color theme="1"/>
      <name val="Courier"/>
      <family val="3"/>
    </font>
    <font>
      <sz val="8"/>
      <color theme="1"/>
      <name val="A_Randhoo"/>
    </font>
    <font>
      <b/>
      <sz val="12"/>
      <name val="A_Randhoo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indexed="8"/>
      <name val="Faruma"/>
      <family val="3"/>
    </font>
    <font>
      <i/>
      <sz val="8"/>
      <name val="Arial"/>
      <family val="2"/>
    </font>
    <font>
      <sz val="11"/>
      <color theme="1"/>
      <name val="Arial"/>
      <family val="2"/>
    </font>
    <font>
      <sz val="9"/>
      <color rgb="FF000000"/>
      <name val="Faruma"/>
      <family val="3"/>
    </font>
    <font>
      <b/>
      <sz val="9"/>
      <name val="Faruma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0"/>
      <color theme="1"/>
      <name val="Courier"/>
      <family val="3"/>
    </font>
    <font>
      <sz val="8"/>
      <name val="A_Randhoo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b/>
      <sz val="9"/>
      <color theme="1"/>
      <name val="Arial"/>
      <family val="2"/>
    </font>
    <font>
      <sz val="11"/>
      <color rgb="FF000000"/>
      <name val="Faruma"/>
      <family val="3"/>
    </font>
    <font>
      <sz val="11"/>
      <color rgb="FFFF0000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10"/>
      <name val="A_Reethi"/>
    </font>
    <font>
      <b/>
      <sz val="10"/>
      <name val="A_Utheem"/>
    </font>
    <font>
      <b/>
      <sz val="9"/>
      <name val="P_Faruma"/>
    </font>
    <font>
      <sz val="8"/>
      <color rgb="FF000000"/>
      <name val="Faruma"/>
      <family val="3"/>
    </font>
    <font>
      <i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Faruma"/>
      <family val="3"/>
    </font>
    <font>
      <i/>
      <sz val="9"/>
      <name val="Arial"/>
      <family val="2"/>
    </font>
    <font>
      <i/>
      <sz val="11"/>
      <name val="Calibri"/>
      <family val="2"/>
      <scheme val="minor"/>
    </font>
    <font>
      <b/>
      <sz val="12"/>
      <color rgb="FF333333"/>
      <name val="Times New Roman"/>
      <family val="1"/>
    </font>
    <font>
      <sz val="11"/>
      <name val="Faruma"/>
      <family val="3"/>
    </font>
    <font>
      <i/>
      <sz val="9"/>
      <color rgb="FF000000"/>
      <name val="Calibri"/>
      <family val="2"/>
      <scheme val="minor"/>
    </font>
    <font>
      <b/>
      <sz val="10"/>
      <color rgb="FF000000"/>
      <name val="Consolas"/>
      <family val="3"/>
    </font>
    <font>
      <b/>
      <sz val="9"/>
      <color indexed="41"/>
      <name val="Tahoma"/>
      <family val="2"/>
    </font>
    <font>
      <b/>
      <sz val="11"/>
      <name val="A_Randhoo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9"/>
      <name val="A_Randhoo"/>
    </font>
    <font>
      <sz val="9"/>
      <name val="Faruma"/>
    </font>
    <font>
      <b/>
      <sz val="9"/>
      <name val="Courier"/>
      <family val="3"/>
    </font>
    <font>
      <b/>
      <sz val="9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sz val="10"/>
      <color theme="1"/>
      <name val="Faruma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name val="Courier"/>
      <family val="3"/>
    </font>
    <font>
      <b/>
      <sz val="11"/>
      <color theme="1"/>
      <name val="Courier"/>
      <family val="3"/>
    </font>
    <font>
      <b/>
      <sz val="11"/>
      <name val="Faruma"/>
    </font>
    <font>
      <sz val="11"/>
      <name val="Courier"/>
      <family val="3"/>
    </font>
    <font>
      <sz val="11"/>
      <name val="Arial"/>
      <family val="2"/>
    </font>
    <font>
      <sz val="11"/>
      <name val="A_Randhoo"/>
    </font>
    <font>
      <sz val="11"/>
      <name val="Faruma"/>
    </font>
    <font>
      <sz val="11"/>
      <name val="A_Reethi"/>
    </font>
    <font>
      <sz val="11"/>
      <color theme="1"/>
      <name val="Courier"/>
      <family val="3"/>
    </font>
    <font>
      <b/>
      <sz val="10"/>
      <name val="Arial"/>
      <family val="2"/>
    </font>
    <font>
      <sz val="10"/>
      <name val="A_Randhoo"/>
    </font>
    <font>
      <b/>
      <sz val="10"/>
      <name val="Faruma"/>
    </font>
    <font>
      <sz val="10"/>
      <name val="Faruma"/>
    </font>
    <font>
      <sz val="48"/>
      <color rgb="FFFF0000"/>
      <name val="Calibri"/>
      <family val="2"/>
      <scheme val="minor"/>
    </font>
    <font>
      <b/>
      <sz val="10"/>
      <color rgb="FF000000"/>
      <name val="Faruma"/>
    </font>
    <font>
      <sz val="10"/>
      <color rgb="FF000000"/>
      <name val="Faruma"/>
    </font>
    <font>
      <sz val="9"/>
      <color theme="1"/>
      <name val="Faruma"/>
    </font>
    <font>
      <b/>
      <sz val="10"/>
      <color theme="1"/>
      <name val="Faruma"/>
    </font>
    <font>
      <b/>
      <sz val="10"/>
      <color theme="1"/>
      <name val="Arial"/>
      <family val="2"/>
    </font>
    <font>
      <b/>
      <sz val="10.5"/>
      <color theme="1"/>
      <name val="Faruma"/>
    </font>
    <font>
      <sz val="10.5"/>
      <color theme="1"/>
      <name val="Faruma"/>
    </font>
    <font>
      <i/>
      <sz val="11"/>
      <color theme="1"/>
      <name val="Calibri"/>
      <family val="2"/>
      <scheme val="minor"/>
    </font>
    <font>
      <sz val="9"/>
      <color indexed="6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8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indexed="64"/>
      </left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hair">
        <color theme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theme="1"/>
      </bottom>
      <diagonal/>
    </border>
    <border>
      <left style="thin">
        <color indexed="9"/>
      </left>
      <right/>
      <top style="thin">
        <color indexed="9"/>
      </top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thin">
        <color indexed="9"/>
      </right>
      <top style="thin">
        <color indexed="9"/>
      </top>
      <bottom style="hair">
        <color theme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hair">
        <color indexed="64"/>
      </right>
      <top style="thin">
        <color indexed="64"/>
      </top>
      <bottom style="hair">
        <color theme="1" tint="4.9989318521683403E-2"/>
      </bottom>
      <diagonal/>
    </border>
    <border>
      <left style="hair">
        <color indexed="64"/>
      </left>
      <right/>
      <top style="thin">
        <color indexed="64"/>
      </top>
      <bottom style="hair">
        <color theme="1" tint="4.9989318521683403E-2"/>
      </bottom>
      <diagonal/>
    </border>
    <border>
      <left/>
      <right style="thin">
        <color theme="0"/>
      </right>
      <top/>
      <bottom/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9"/>
      </bottom>
      <diagonal/>
    </border>
    <border>
      <left style="hair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 style="hair">
        <color indexed="64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hair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hair">
        <color indexed="64"/>
      </right>
      <top style="thin">
        <color indexed="9"/>
      </top>
      <bottom style="thin">
        <color indexed="64"/>
      </bottom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dotted">
        <color theme="1"/>
      </bottom>
      <diagonal/>
    </border>
    <border>
      <left/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/>
      <top style="thin">
        <color theme="0"/>
      </top>
      <bottom style="dotted">
        <color theme="1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dotted">
        <color theme="1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hair">
        <color theme="1"/>
      </left>
      <right/>
      <top style="dotted">
        <color theme="1"/>
      </top>
      <bottom style="thin">
        <color indexed="64"/>
      </bottom>
      <diagonal/>
    </border>
    <border>
      <left/>
      <right/>
      <top style="dotted">
        <color theme="1"/>
      </top>
      <bottom style="thin">
        <color indexed="64"/>
      </bottom>
      <diagonal/>
    </border>
    <border>
      <left style="hair">
        <color indexed="64"/>
      </left>
      <right/>
      <top style="dotted">
        <color theme="1"/>
      </top>
      <bottom style="thin">
        <color indexed="64"/>
      </bottom>
      <diagonal/>
    </border>
    <border>
      <left/>
      <right style="hair">
        <color theme="1"/>
      </right>
      <top style="dotted">
        <color theme="1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9"/>
      </bottom>
      <diagonal/>
    </border>
    <border>
      <left/>
      <right/>
      <top style="thin">
        <color theme="0"/>
      </top>
      <bottom style="thin">
        <color indexed="9"/>
      </bottom>
      <diagonal/>
    </border>
    <border>
      <left/>
      <right style="thin">
        <color theme="0"/>
      </right>
      <top style="thin">
        <color theme="0"/>
      </top>
      <bottom style="thin">
        <color indexed="9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6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167" fontId="36" fillId="0" borderId="0"/>
    <xf numFmtId="0" fontId="77" fillId="0" borderId="0"/>
    <xf numFmtId="0" fontId="77" fillId="0" borderId="0"/>
  </cellStyleXfs>
  <cellXfs count="1350">
    <xf numFmtId="0" fontId="0" fillId="0" borderId="0" xfId="0"/>
    <xf numFmtId="164" fontId="0" fillId="2" borderId="0" xfId="0" applyNumberFormat="1" applyFill="1"/>
    <xf numFmtId="164" fontId="2" fillId="2" borderId="0" xfId="3" applyNumberFormat="1" applyFont="1" applyFill="1" applyAlignment="1">
      <alignment vertical="center"/>
    </xf>
    <xf numFmtId="164" fontId="8" fillId="2" borderId="3" xfId="0" applyNumberFormat="1" applyFont="1" applyFill="1" applyBorder="1" applyAlignment="1">
      <alignment vertical="center"/>
    </xf>
    <xf numFmtId="164" fontId="10" fillId="2" borderId="3" xfId="0" applyNumberFormat="1" applyFont="1" applyFill="1" applyBorder="1" applyAlignment="1">
      <alignment horizontal="center" vertical="center" wrapText="1"/>
    </xf>
    <xf numFmtId="164" fontId="12" fillId="2" borderId="0" xfId="0" applyNumberFormat="1" applyFont="1" applyFill="1"/>
    <xf numFmtId="164" fontId="8" fillId="2" borderId="4" xfId="0" applyNumberFormat="1" applyFont="1" applyFill="1" applyBorder="1" applyAlignment="1">
      <alignment vertical="center"/>
    </xf>
    <xf numFmtId="164" fontId="13" fillId="2" borderId="4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 applyAlignment="1">
      <alignment horizontal="left" vertical="center"/>
    </xf>
    <xf numFmtId="165" fontId="16" fillId="2" borderId="0" xfId="0" applyNumberFormat="1" applyFont="1" applyFill="1" applyBorder="1"/>
    <xf numFmtId="164" fontId="8" fillId="2" borderId="0" xfId="0" applyNumberFormat="1" applyFont="1" applyFill="1" applyBorder="1" applyAlignment="1">
      <alignment vertical="center"/>
    </xf>
    <xf numFmtId="166" fontId="9" fillId="2" borderId="0" xfId="1" applyNumberFormat="1" applyFont="1" applyFill="1" applyBorder="1" applyAlignment="1">
      <alignment horizontal="center"/>
    </xf>
    <xf numFmtId="166" fontId="6" fillId="2" borderId="0" xfId="1" applyNumberFormat="1" applyFont="1" applyFill="1" applyBorder="1" applyAlignment="1">
      <alignment horizontal="center"/>
    </xf>
    <xf numFmtId="3" fontId="8" fillId="2" borderId="0" xfId="1" applyNumberFormat="1" applyFont="1" applyFill="1" applyBorder="1" applyAlignment="1">
      <alignment horizontal="right" vertical="center"/>
    </xf>
    <xf numFmtId="167" fontId="17" fillId="2" borderId="0" xfId="1" applyNumberFormat="1" applyFont="1" applyFill="1" applyBorder="1" applyAlignment="1">
      <alignment horizontal="right" vertical="center" indent="3"/>
    </xf>
    <xf numFmtId="167" fontId="17" fillId="2" borderId="0" xfId="1" applyNumberFormat="1" applyFont="1" applyFill="1" applyBorder="1" applyAlignment="1" applyProtection="1">
      <alignment horizontal="right" vertical="center" indent="3"/>
      <protection locked="0"/>
    </xf>
    <xf numFmtId="164" fontId="18" fillId="2" borderId="5" xfId="0" applyNumberFormat="1" applyFont="1" applyFill="1" applyBorder="1" applyAlignment="1" applyProtection="1">
      <alignment horizontal="right" vertical="center"/>
    </xf>
    <xf numFmtId="2" fontId="12" fillId="2" borderId="0" xfId="0" applyNumberFormat="1" applyFont="1" applyFill="1"/>
    <xf numFmtId="165" fontId="12" fillId="2" borderId="0" xfId="0" applyNumberFormat="1" applyFont="1" applyFill="1"/>
    <xf numFmtId="165" fontId="15" fillId="2" borderId="0" xfId="0" applyNumberFormat="1" applyFont="1" applyFill="1" applyAlignment="1">
      <alignment horizontal="right" vertical="top"/>
    </xf>
    <xf numFmtId="164" fontId="19" fillId="2" borderId="0" xfId="0" applyNumberFormat="1" applyFont="1" applyFill="1" applyBorder="1" applyAlignment="1">
      <alignment vertical="center"/>
    </xf>
    <xf numFmtId="166" fontId="20" fillId="2" borderId="0" xfId="1" applyNumberFormat="1" applyFont="1" applyFill="1" applyBorder="1" applyAlignment="1">
      <alignment horizontal="center"/>
    </xf>
    <xf numFmtId="166" fontId="21" fillId="2" borderId="0" xfId="1" applyNumberFormat="1" applyFont="1" applyFill="1" applyBorder="1" applyAlignment="1">
      <alignment horizontal="center"/>
    </xf>
    <xf numFmtId="3" fontId="19" fillId="2" borderId="0" xfId="1" applyNumberFormat="1" applyFont="1" applyFill="1" applyBorder="1" applyAlignment="1">
      <alignment horizontal="right" vertical="center"/>
    </xf>
    <xf numFmtId="3" fontId="22" fillId="2" borderId="0" xfId="0" applyNumberFormat="1" applyFont="1" applyFill="1" applyAlignment="1">
      <alignment horizontal="right" vertical="top"/>
    </xf>
    <xf numFmtId="167" fontId="22" fillId="2" borderId="0" xfId="1" applyNumberFormat="1" applyFont="1" applyFill="1" applyBorder="1" applyAlignment="1">
      <alignment horizontal="right" vertical="center" indent="3"/>
    </xf>
    <xf numFmtId="164" fontId="14" fillId="2" borderId="0" xfId="0" applyNumberFormat="1" applyFont="1" applyFill="1" applyBorder="1" applyAlignment="1" applyProtection="1">
      <alignment horizontal="right" vertical="center"/>
    </xf>
    <xf numFmtId="164" fontId="12" fillId="2" borderId="0" xfId="0" applyNumberFormat="1" applyFont="1" applyFill="1" applyAlignment="1">
      <alignment horizontal="center" vertical="top"/>
    </xf>
    <xf numFmtId="165" fontId="12" fillId="2" borderId="0" xfId="0" applyNumberFormat="1" applyFont="1" applyFill="1" applyAlignment="1">
      <alignment horizontal="center" vertical="top"/>
    </xf>
    <xf numFmtId="165" fontId="16" fillId="2" borderId="0" xfId="0" applyNumberFormat="1" applyFont="1" applyFill="1"/>
    <xf numFmtId="164" fontId="16" fillId="2" borderId="0" xfId="0" applyNumberFormat="1" applyFont="1" applyFill="1"/>
    <xf numFmtId="3" fontId="22" fillId="2" borderId="0" xfId="1" applyNumberFormat="1" applyFont="1" applyFill="1" applyAlignment="1">
      <alignment horizontal="right" vertical="center"/>
    </xf>
    <xf numFmtId="165" fontId="0" fillId="2" borderId="0" xfId="0" applyNumberFormat="1" applyFont="1" applyFill="1"/>
    <xf numFmtId="164" fontId="23" fillId="2" borderId="0" xfId="0" applyNumberFormat="1" applyFont="1" applyFill="1" applyBorder="1" applyAlignment="1">
      <alignment horizontal="left" vertical="center" indent="2"/>
    </xf>
    <xf numFmtId="3" fontId="22" fillId="2" borderId="0" xfId="1" applyNumberFormat="1" applyFont="1" applyFill="1" applyBorder="1" applyAlignment="1">
      <alignment horizontal="right" vertical="center"/>
    </xf>
    <xf numFmtId="164" fontId="24" fillId="2" borderId="0" xfId="0" applyNumberFormat="1" applyFont="1" applyFill="1" applyBorder="1" applyAlignment="1">
      <alignment horizontal="left" vertical="center" indent="2"/>
    </xf>
    <xf numFmtId="164" fontId="25" fillId="2" borderId="0" xfId="0" applyNumberFormat="1" applyFont="1" applyFill="1" applyAlignment="1">
      <alignment horizontal="center" vertical="top"/>
    </xf>
    <xf numFmtId="164" fontId="14" fillId="2" borderId="0" xfId="0" applyNumberFormat="1" applyFont="1" applyFill="1" applyBorder="1" applyAlignment="1" applyProtection="1">
      <alignment horizontal="right" vertical="center" indent="2"/>
    </xf>
    <xf numFmtId="164" fontId="26" fillId="2" borderId="0" xfId="0" applyNumberFormat="1" applyFont="1" applyFill="1" applyBorder="1" applyAlignment="1">
      <alignment horizontal="left" vertical="center" indent="2"/>
    </xf>
    <xf numFmtId="165" fontId="27" fillId="2" borderId="0" xfId="0" applyNumberFormat="1" applyFont="1" applyFill="1" applyAlignment="1">
      <alignment horizontal="right" vertical="top"/>
    </xf>
    <xf numFmtId="164" fontId="27" fillId="2" borderId="0" xfId="0" applyNumberFormat="1" applyFont="1" applyFill="1" applyBorder="1" applyAlignment="1">
      <alignment horizontal="left" vertical="center"/>
    </xf>
    <xf numFmtId="165" fontId="3" fillId="2" borderId="0" xfId="0" applyNumberFormat="1" applyFont="1" applyFill="1"/>
    <xf numFmtId="167" fontId="28" fillId="2" borderId="0" xfId="1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center" vertical="top"/>
    </xf>
    <xf numFmtId="164" fontId="0" fillId="2" borderId="0" xfId="0" applyNumberFormat="1" applyFill="1" applyBorder="1" applyAlignment="1">
      <alignment horizontal="center" vertical="top"/>
    </xf>
    <xf numFmtId="164" fontId="0" fillId="2" borderId="0" xfId="0" applyNumberFormat="1" applyFill="1" applyBorder="1"/>
    <xf numFmtId="164" fontId="26" fillId="2" borderId="4" xfId="0" applyNumberFormat="1" applyFont="1" applyFill="1" applyBorder="1" applyAlignment="1">
      <alignment horizontal="left" vertical="center" indent="2"/>
    </xf>
    <xf numFmtId="165" fontId="12" fillId="2" borderId="0" xfId="0" applyNumberFormat="1" applyFont="1" applyFill="1" applyBorder="1"/>
    <xf numFmtId="164" fontId="20" fillId="2" borderId="0" xfId="0" applyNumberFormat="1" applyFont="1" applyFill="1" applyBorder="1" applyAlignment="1">
      <alignment vertical="center"/>
    </xf>
    <xf numFmtId="165" fontId="0" fillId="2" borderId="0" xfId="0" applyNumberFormat="1" applyFill="1"/>
    <xf numFmtId="164" fontId="24" fillId="2" borderId="4" xfId="0" applyNumberFormat="1" applyFont="1" applyFill="1" applyBorder="1" applyAlignment="1">
      <alignment horizontal="left" vertical="center" indent="2"/>
    </xf>
    <xf numFmtId="164" fontId="0" fillId="2" borderId="4" xfId="0" applyNumberFormat="1" applyFill="1" applyBorder="1"/>
    <xf numFmtId="3" fontId="22" fillId="2" borderId="4" xfId="0" applyNumberFormat="1" applyFont="1" applyFill="1" applyBorder="1" applyAlignment="1">
      <alignment horizontal="right" vertical="top"/>
    </xf>
    <xf numFmtId="164" fontId="14" fillId="2" borderId="4" xfId="0" applyNumberFormat="1" applyFont="1" applyFill="1" applyBorder="1" applyAlignment="1" applyProtection="1">
      <alignment horizontal="right" vertical="center" indent="2"/>
    </xf>
    <xf numFmtId="164" fontId="3" fillId="2" borderId="0" xfId="0" applyNumberFormat="1" applyFont="1" applyFill="1"/>
    <xf numFmtId="164" fontId="27" fillId="2" borderId="0" xfId="0" applyNumberFormat="1" applyFont="1" applyFill="1" applyBorder="1" applyAlignment="1">
      <alignment vertical="center"/>
    </xf>
    <xf numFmtId="164" fontId="29" fillId="2" borderId="6" xfId="0" applyNumberFormat="1" applyFont="1" applyFill="1" applyBorder="1" applyAlignment="1" applyProtection="1">
      <alignment horizontal="left" vertical="center"/>
    </xf>
    <xf numFmtId="164" fontId="30" fillId="2" borderId="6" xfId="0" applyNumberFormat="1" applyFont="1" applyFill="1" applyBorder="1" applyAlignment="1">
      <alignment horizontal="right"/>
    </xf>
    <xf numFmtId="167" fontId="22" fillId="2" borderId="0" xfId="1" applyNumberFormat="1" applyFont="1" applyFill="1" applyBorder="1" applyAlignment="1" applyProtection="1">
      <alignment vertical="center"/>
      <protection locked="0"/>
    </xf>
    <xf numFmtId="164" fontId="10" fillId="2" borderId="3" xfId="0" applyNumberFormat="1" applyFont="1" applyFill="1" applyBorder="1" applyAlignment="1">
      <alignment horizontal="center" vertical="center" wrapText="1"/>
    </xf>
    <xf numFmtId="164" fontId="12" fillId="2" borderId="0" xfId="0" applyNumberFormat="1" applyFont="1" applyFill="1" applyBorder="1"/>
    <xf numFmtId="164" fontId="32" fillId="2" borderId="3" xfId="0" applyNumberFormat="1" applyFont="1" applyFill="1" applyBorder="1" applyAlignment="1">
      <alignment horizontal="right" vertical="center" wrapText="1"/>
    </xf>
    <xf numFmtId="164" fontId="32" fillId="2" borderId="7" xfId="0" applyNumberFormat="1" applyFont="1" applyFill="1" applyBorder="1" applyAlignment="1">
      <alignment horizontal="right" vertical="center" wrapText="1"/>
    </xf>
    <xf numFmtId="164" fontId="32" fillId="2" borderId="8" xfId="0" applyNumberFormat="1" applyFont="1" applyFill="1" applyBorder="1" applyAlignment="1">
      <alignment horizontal="righ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  <xf numFmtId="164" fontId="8" fillId="2" borderId="9" xfId="0" applyNumberFormat="1" applyFont="1" applyFill="1" applyBorder="1" applyAlignment="1">
      <alignment horizontal="right" vertical="center" wrapText="1"/>
    </xf>
    <xf numFmtId="164" fontId="8" fillId="2" borderId="10" xfId="0" applyNumberFormat="1" applyFont="1" applyFill="1" applyBorder="1" applyAlignment="1">
      <alignment horizontal="right" vertical="center" wrapText="1"/>
    </xf>
    <xf numFmtId="164" fontId="8" fillId="2" borderId="0" xfId="0" applyNumberFormat="1" applyFont="1" applyFill="1" applyBorder="1" applyAlignment="1">
      <alignment horizontal="right" vertical="center" wrapText="1"/>
    </xf>
    <xf numFmtId="166" fontId="8" fillId="2" borderId="3" xfId="4" applyNumberFormat="1" applyFont="1" applyFill="1" applyBorder="1" applyAlignment="1">
      <alignment horizontal="center" vertical="center"/>
    </xf>
    <xf numFmtId="166" fontId="8" fillId="2" borderId="0" xfId="4" applyNumberFormat="1" applyFont="1" applyFill="1" applyBorder="1" applyAlignment="1">
      <alignment horizontal="center" vertical="center"/>
    </xf>
    <xf numFmtId="166" fontId="8" fillId="2" borderId="7" xfId="4" applyNumberFormat="1" applyFont="1" applyFill="1" applyBorder="1" applyAlignment="1">
      <alignment horizontal="center" vertical="center"/>
    </xf>
    <xf numFmtId="166" fontId="8" fillId="2" borderId="8" xfId="4" applyNumberFormat="1" applyFont="1" applyFill="1" applyBorder="1" applyAlignment="1">
      <alignment horizontal="center" vertical="center"/>
    </xf>
    <xf numFmtId="165" fontId="17" fillId="2" borderId="8" xfId="5" applyNumberFormat="1" applyFont="1" applyFill="1" applyBorder="1" applyAlignment="1" applyProtection="1">
      <alignment horizontal="right" vertical="center"/>
      <protection locked="0"/>
    </xf>
    <xf numFmtId="165" fontId="17" fillId="2" borderId="3" xfId="5" applyNumberFormat="1" applyFont="1" applyFill="1" applyBorder="1" applyAlignment="1" applyProtection="1">
      <alignment horizontal="right" vertical="center"/>
      <protection locked="0"/>
    </xf>
    <xf numFmtId="164" fontId="18" fillId="2" borderId="11" xfId="0" applyNumberFormat="1" applyFont="1" applyFill="1" applyBorder="1" applyAlignment="1" applyProtection="1">
      <alignment horizontal="right" vertical="center"/>
    </xf>
    <xf numFmtId="164" fontId="37" fillId="2" borderId="0" xfId="0" applyNumberFormat="1" applyFont="1" applyFill="1" applyBorder="1"/>
    <xf numFmtId="166" fontId="9" fillId="2" borderId="0" xfId="4" applyNumberFormat="1" applyFont="1" applyFill="1" applyBorder="1" applyAlignment="1">
      <alignment horizontal="center" vertical="center"/>
    </xf>
    <xf numFmtId="166" fontId="20" fillId="2" borderId="0" xfId="4" applyNumberFormat="1" applyFont="1" applyFill="1" applyBorder="1" applyAlignment="1">
      <alignment horizontal="center" vertical="center"/>
    </xf>
    <xf numFmtId="164" fontId="37" fillId="2" borderId="0" xfId="0" applyNumberFormat="1" applyFont="1" applyFill="1"/>
    <xf numFmtId="166" fontId="19" fillId="2" borderId="0" xfId="4" applyNumberFormat="1" applyFont="1" applyFill="1" applyBorder="1" applyAlignment="1">
      <alignment horizontal="center" vertical="center"/>
    </xf>
    <xf numFmtId="166" fontId="19" fillId="2" borderId="12" xfId="4" applyNumberFormat="1" applyFont="1" applyFill="1" applyBorder="1" applyAlignment="1">
      <alignment horizontal="center" vertical="center"/>
    </xf>
    <xf numFmtId="166" fontId="8" fillId="2" borderId="13" xfId="4" applyNumberFormat="1" applyFont="1" applyFill="1" applyBorder="1" applyAlignment="1">
      <alignment horizontal="center" vertical="center"/>
    </xf>
    <xf numFmtId="165" fontId="22" fillId="2" borderId="13" xfId="5" applyNumberFormat="1" applyFont="1" applyFill="1" applyBorder="1" applyAlignment="1" applyProtection="1">
      <alignment horizontal="right" vertical="center"/>
      <protection locked="0"/>
    </xf>
    <xf numFmtId="165" fontId="22" fillId="2" borderId="0" xfId="5" applyNumberFormat="1" applyFont="1" applyFill="1" applyBorder="1" applyAlignment="1" applyProtection="1">
      <alignment horizontal="right" vertical="center"/>
      <protection locked="0"/>
    </xf>
    <xf numFmtId="164" fontId="24" fillId="2" borderId="0" xfId="0" applyNumberFormat="1" applyFont="1" applyFill="1" applyBorder="1" applyAlignment="1">
      <alignment horizontal="left" vertical="center" indent="1"/>
    </xf>
    <xf numFmtId="164" fontId="14" fillId="2" borderId="0" xfId="0" applyNumberFormat="1" applyFont="1" applyFill="1" applyBorder="1" applyAlignment="1" applyProtection="1">
      <alignment horizontal="right" vertical="center" indent="1"/>
    </xf>
    <xf numFmtId="166" fontId="15" fillId="2" borderId="0" xfId="4" applyNumberFormat="1" applyFont="1" applyFill="1" applyBorder="1" applyAlignment="1">
      <alignment horizontal="center" vertical="center"/>
    </xf>
    <xf numFmtId="166" fontId="15" fillId="2" borderId="12" xfId="4" applyNumberFormat="1" applyFont="1" applyFill="1" applyBorder="1" applyAlignment="1">
      <alignment horizontal="center" vertical="center"/>
    </xf>
    <xf numFmtId="164" fontId="14" fillId="2" borderId="0" xfId="0" applyNumberFormat="1" applyFont="1" applyFill="1" applyBorder="1" applyAlignment="1" applyProtection="1">
      <alignment horizontal="right" vertical="center" wrapText="1"/>
    </xf>
    <xf numFmtId="3" fontId="15" fillId="2" borderId="0" xfId="4" applyNumberFormat="1" applyFont="1" applyFill="1" applyBorder="1" applyAlignment="1">
      <alignment horizontal="right" vertical="center"/>
    </xf>
    <xf numFmtId="164" fontId="39" fillId="2" borderId="4" xfId="0" applyNumberFormat="1" applyFont="1" applyFill="1" applyBorder="1" applyAlignment="1">
      <alignment horizontal="left" vertical="center" indent="1"/>
    </xf>
    <xf numFmtId="166" fontId="8" fillId="2" borderId="4" xfId="4" applyNumberFormat="1" applyFont="1" applyFill="1" applyBorder="1" applyAlignment="1">
      <alignment horizontal="center" vertical="center"/>
    </xf>
    <xf numFmtId="166" fontId="19" fillId="2" borderId="4" xfId="4" applyNumberFormat="1" applyFont="1" applyFill="1" applyBorder="1" applyAlignment="1">
      <alignment horizontal="center" vertical="center"/>
    </xf>
    <xf numFmtId="166" fontId="19" fillId="2" borderId="9" xfId="4" applyNumberFormat="1" applyFont="1" applyFill="1" applyBorder="1" applyAlignment="1">
      <alignment horizontal="center" vertical="center"/>
    </xf>
    <xf numFmtId="166" fontId="8" fillId="2" borderId="10" xfId="4" applyNumberFormat="1" applyFont="1" applyFill="1" applyBorder="1" applyAlignment="1">
      <alignment horizontal="center" vertical="center"/>
    </xf>
    <xf numFmtId="165" fontId="22" fillId="2" borderId="10" xfId="5" applyNumberFormat="1" applyFont="1" applyFill="1" applyBorder="1" applyAlignment="1" applyProtection="1">
      <alignment horizontal="right" vertical="center"/>
      <protection locked="0"/>
    </xf>
    <xf numFmtId="165" fontId="22" fillId="2" borderId="4" xfId="5" applyNumberFormat="1" applyFont="1" applyFill="1" applyBorder="1" applyAlignment="1" applyProtection="1">
      <alignment horizontal="right" vertical="center"/>
      <protection locked="0"/>
    </xf>
    <xf numFmtId="164" fontId="14" fillId="2" borderId="4" xfId="0" applyNumberFormat="1" applyFont="1" applyFill="1" applyBorder="1" applyAlignment="1" applyProtection="1">
      <alignment horizontal="right" vertical="center" indent="1"/>
    </xf>
    <xf numFmtId="166" fontId="38" fillId="2" borderId="0" xfId="4" applyNumberFormat="1" applyFont="1" applyFill="1" applyBorder="1" applyAlignment="1">
      <alignment horizontal="center" vertical="center"/>
    </xf>
    <xf numFmtId="166" fontId="27" fillId="2" borderId="0" xfId="4" applyNumberFormat="1" applyFont="1" applyFill="1" applyBorder="1" applyAlignment="1">
      <alignment horizontal="center" vertical="center"/>
    </xf>
    <xf numFmtId="164" fontId="25" fillId="2" borderId="0" xfId="0" applyNumberFormat="1" applyFont="1" applyFill="1"/>
    <xf numFmtId="164" fontId="29" fillId="2" borderId="6" xfId="0" applyNumberFormat="1" applyFont="1" applyFill="1" applyBorder="1" applyAlignment="1" applyProtection="1">
      <alignment vertical="center"/>
    </xf>
    <xf numFmtId="164" fontId="30" fillId="2" borderId="14" xfId="0" applyNumberFormat="1" applyFont="1" applyFill="1" applyBorder="1" applyAlignment="1">
      <alignment horizontal="right"/>
    </xf>
    <xf numFmtId="164" fontId="19" fillId="2" borderId="0" xfId="0" applyNumberFormat="1" applyFont="1" applyFill="1" applyBorder="1"/>
    <xf numFmtId="164" fontId="20" fillId="2" borderId="0" xfId="0" applyNumberFormat="1" applyFont="1" applyFill="1" applyBorder="1"/>
    <xf numFmtId="164" fontId="40" fillId="2" borderId="0" xfId="0" applyNumberFormat="1" applyFont="1" applyFill="1" applyBorder="1" applyAlignment="1" applyProtection="1">
      <alignment horizontal="right" vertical="center"/>
    </xf>
    <xf numFmtId="164" fontId="15" fillId="2" borderId="0" xfId="0" applyNumberFormat="1" applyFont="1" applyFill="1" applyBorder="1" applyAlignment="1">
      <alignment vertical="center"/>
    </xf>
    <xf numFmtId="166" fontId="27" fillId="2" borderId="12" xfId="4" applyNumberFormat="1" applyFont="1" applyFill="1" applyBorder="1" applyAlignment="1">
      <alignment horizontal="center" vertical="center"/>
    </xf>
    <xf numFmtId="166" fontId="38" fillId="2" borderId="13" xfId="4" applyNumberFormat="1" applyFont="1" applyFill="1" applyBorder="1" applyAlignment="1">
      <alignment horizontal="center" vertical="center"/>
    </xf>
    <xf numFmtId="3" fontId="8" fillId="2" borderId="13" xfId="4" applyNumberFormat="1" applyFont="1" applyFill="1" applyBorder="1" applyAlignment="1">
      <alignment horizontal="right" vertical="center"/>
    </xf>
    <xf numFmtId="3" fontId="19" fillId="2" borderId="0" xfId="4" applyNumberFormat="1" applyFont="1" applyFill="1" applyBorder="1" applyAlignment="1">
      <alignment horizontal="right" vertical="center"/>
    </xf>
    <xf numFmtId="3" fontId="19" fillId="2" borderId="12" xfId="4" applyNumberFormat="1" applyFont="1" applyFill="1" applyBorder="1" applyAlignment="1">
      <alignment horizontal="right" vertical="center"/>
    </xf>
    <xf numFmtId="3" fontId="8" fillId="2" borderId="10" xfId="4" applyNumberFormat="1" applyFont="1" applyFill="1" applyBorder="1" applyAlignment="1">
      <alignment horizontal="right" vertical="center"/>
    </xf>
    <xf numFmtId="3" fontId="19" fillId="2" borderId="4" xfId="4" applyNumberFormat="1" applyFont="1" applyFill="1" applyBorder="1" applyAlignment="1">
      <alignment horizontal="right" vertical="center"/>
    </xf>
    <xf numFmtId="3" fontId="19" fillId="2" borderId="9" xfId="4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>
      <alignment horizontal="right" vertical="center" wrapText="1"/>
    </xf>
    <xf numFmtId="164" fontId="9" fillId="2" borderId="4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 wrapText="1"/>
    </xf>
    <xf numFmtId="166" fontId="34" fillId="2" borderId="0" xfId="4" applyNumberFormat="1" applyFont="1" applyFill="1" applyBorder="1" applyAlignment="1">
      <alignment horizontal="center" vertical="center"/>
    </xf>
    <xf numFmtId="9" fontId="17" fillId="2" borderId="0" xfId="2" applyFont="1" applyFill="1" applyBorder="1" applyAlignment="1" applyProtection="1">
      <alignment horizontal="center" vertical="center"/>
      <protection locked="0"/>
    </xf>
    <xf numFmtId="165" fontId="17" fillId="2" borderId="0" xfId="0" applyNumberFormat="1" applyFont="1" applyFill="1" applyBorder="1" applyAlignment="1">
      <alignment horizontal="right" vertical="center" indent="5"/>
    </xf>
    <xf numFmtId="3" fontId="44" fillId="2" borderId="0" xfId="0" applyNumberFormat="1" applyFont="1" applyFill="1" applyAlignment="1">
      <alignment horizontal="right" vertical="center" indent="1"/>
    </xf>
    <xf numFmtId="164" fontId="37" fillId="2" borderId="0" xfId="0" applyNumberFormat="1" applyFont="1" applyFill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45" fillId="2" borderId="0" xfId="0" applyFont="1" applyFill="1" applyBorder="1"/>
    <xf numFmtId="164" fontId="46" fillId="2" borderId="0" xfId="0" applyNumberFormat="1" applyFont="1" applyFill="1" applyAlignment="1">
      <alignment vertical="center"/>
    </xf>
    <xf numFmtId="3" fontId="11" fillId="2" borderId="0" xfId="0" applyNumberFormat="1" applyFont="1" applyFill="1" applyAlignment="1">
      <alignment horizontal="right" vertical="center" indent="1"/>
    </xf>
    <xf numFmtId="164" fontId="19" fillId="2" borderId="0" xfId="0" applyNumberFormat="1" applyFont="1" applyFill="1" applyBorder="1" applyAlignment="1">
      <alignment horizontal="left" vertical="center" indent="1"/>
    </xf>
    <xf numFmtId="165" fontId="22" fillId="2" borderId="0" xfId="0" applyNumberFormat="1" applyFont="1" applyFill="1" applyBorder="1" applyAlignment="1">
      <alignment horizontal="right" vertical="center" indent="5"/>
    </xf>
    <xf numFmtId="164" fontId="47" fillId="2" borderId="0" xfId="0" applyNumberFormat="1" applyFont="1" applyFill="1" applyAlignment="1">
      <alignment horizontal="right" vertical="center" indent="1"/>
    </xf>
    <xf numFmtId="164" fontId="36" fillId="2" borderId="0" xfId="0" applyNumberFormat="1" applyFont="1" applyFill="1" applyAlignment="1">
      <alignment vertical="center"/>
    </xf>
    <xf numFmtId="164" fontId="12" fillId="2" borderId="0" xfId="0" applyNumberFormat="1" applyFont="1" applyFill="1" applyAlignment="1">
      <alignment vertical="center"/>
    </xf>
    <xf numFmtId="164" fontId="12" fillId="2" borderId="0" xfId="0" applyNumberFormat="1" applyFont="1" applyFill="1" applyBorder="1" applyAlignment="1">
      <alignment vertical="center"/>
    </xf>
    <xf numFmtId="164" fontId="36" fillId="2" borderId="0" xfId="0" applyNumberFormat="1" applyFont="1" applyFill="1" applyBorder="1" applyAlignment="1">
      <alignment vertical="center"/>
    </xf>
    <xf numFmtId="164" fontId="19" fillId="2" borderId="4" xfId="0" applyNumberFormat="1" applyFont="1" applyFill="1" applyBorder="1" applyAlignment="1">
      <alignment horizontal="left" vertical="center" indent="1"/>
    </xf>
    <xf numFmtId="165" fontId="22" fillId="2" borderId="4" xfId="0" applyNumberFormat="1" applyFont="1" applyFill="1" applyBorder="1" applyAlignment="1">
      <alignment horizontal="right" vertical="center" indent="5"/>
    </xf>
    <xf numFmtId="164" fontId="49" fillId="2" borderId="0" xfId="0" applyNumberFormat="1" applyFont="1" applyFill="1" applyAlignment="1">
      <alignment horizontal="center" vertical="top"/>
    </xf>
    <xf numFmtId="164" fontId="3" fillId="2" borderId="0" xfId="0" applyNumberFormat="1" applyFont="1" applyFill="1" applyAlignment="1">
      <alignment horizontal="center" vertical="top"/>
    </xf>
    <xf numFmtId="164" fontId="50" fillId="2" borderId="0" xfId="0" applyNumberFormat="1" applyFont="1" applyFill="1"/>
    <xf numFmtId="9" fontId="17" fillId="2" borderId="4" xfId="2" applyFont="1" applyFill="1" applyBorder="1" applyAlignment="1" applyProtection="1">
      <alignment horizontal="center" vertical="center"/>
      <protection locked="0"/>
    </xf>
    <xf numFmtId="164" fontId="47" fillId="2" borderId="4" xfId="0" applyNumberFormat="1" applyFont="1" applyFill="1" applyBorder="1" applyAlignment="1">
      <alignment horizontal="right" vertical="center" indent="1"/>
    </xf>
    <xf numFmtId="164" fontId="51" fillId="2" borderId="6" xfId="0" applyNumberFormat="1" applyFont="1" applyFill="1" applyBorder="1" applyAlignment="1">
      <alignment horizontal="right"/>
    </xf>
    <xf numFmtId="166" fontId="8" fillId="2" borderId="0" xfId="4" applyNumberFormat="1" applyFont="1" applyFill="1" applyBorder="1" applyAlignment="1">
      <alignment vertical="center"/>
    </xf>
    <xf numFmtId="164" fontId="32" fillId="2" borderId="15" xfId="0" applyNumberFormat="1" applyFont="1" applyFill="1" applyBorder="1" applyAlignment="1">
      <alignment horizontal="right" vertical="center" wrapText="1"/>
    </xf>
    <xf numFmtId="164" fontId="44" fillId="2" borderId="15" xfId="0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center" vertical="center"/>
    </xf>
    <xf numFmtId="3" fontId="17" fillId="2" borderId="3" xfId="0" applyNumberFormat="1" applyFont="1" applyFill="1" applyBorder="1" applyAlignment="1">
      <alignment vertical="center"/>
    </xf>
    <xf numFmtId="164" fontId="11" fillId="2" borderId="3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vertical="center"/>
    </xf>
    <xf numFmtId="164" fontId="19" fillId="2" borderId="4" xfId="0" applyNumberFormat="1" applyFont="1" applyFill="1" applyBorder="1" applyAlignment="1">
      <alignment vertical="center"/>
    </xf>
    <xf numFmtId="164" fontId="0" fillId="2" borderId="0" xfId="0" applyNumberFormat="1" applyFill="1" applyBorder="1" applyAlignment="1">
      <alignment vertical="center"/>
    </xf>
    <xf numFmtId="166" fontId="8" fillId="2" borderId="4" xfId="4" applyNumberFormat="1" applyFont="1" applyFill="1" applyBorder="1" applyAlignment="1">
      <alignment vertical="center"/>
    </xf>
    <xf numFmtId="164" fontId="14" fillId="2" borderId="4" xfId="0" applyNumberFormat="1" applyFont="1" applyFill="1" applyBorder="1" applyAlignment="1" applyProtection="1">
      <alignment horizontal="right" vertical="center"/>
    </xf>
    <xf numFmtId="164" fontId="48" fillId="2" borderId="6" xfId="0" applyNumberFormat="1" applyFont="1" applyFill="1" applyBorder="1" applyAlignment="1" applyProtection="1">
      <alignment vertical="center"/>
    </xf>
    <xf numFmtId="164" fontId="48" fillId="2" borderId="0" xfId="0" applyNumberFormat="1" applyFont="1" applyFill="1" applyBorder="1" applyAlignment="1" applyProtection="1">
      <alignment vertical="center"/>
    </xf>
    <xf numFmtId="164" fontId="52" fillId="2" borderId="0" xfId="0" applyNumberFormat="1" applyFont="1" applyFill="1"/>
    <xf numFmtId="164" fontId="53" fillId="2" borderId="6" xfId="0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164" fontId="0" fillId="2" borderId="0" xfId="0" applyNumberFormat="1" applyFont="1" applyFill="1" applyBorder="1"/>
    <xf numFmtId="164" fontId="48" fillId="2" borderId="1" xfId="0" applyNumberFormat="1" applyFont="1" applyFill="1" applyBorder="1" applyAlignment="1" applyProtection="1">
      <alignment vertical="center"/>
    </xf>
    <xf numFmtId="164" fontId="53" fillId="2" borderId="1" xfId="0" applyNumberFormat="1" applyFont="1" applyFill="1" applyBorder="1" applyAlignment="1">
      <alignment horizontal="right" vertical="center"/>
    </xf>
    <xf numFmtId="0" fontId="28" fillId="2" borderId="0" xfId="0" applyFont="1" applyFill="1"/>
    <xf numFmtId="0" fontId="28" fillId="2" borderId="4" xfId="0" applyFont="1" applyFill="1" applyBorder="1"/>
    <xf numFmtId="164" fontId="11" fillId="2" borderId="4" xfId="0" applyNumberFormat="1" applyFont="1" applyFill="1" applyBorder="1" applyAlignment="1" applyProtection="1">
      <alignment horizontal="right" vertical="center" wrapText="1"/>
    </xf>
    <xf numFmtId="167" fontId="22" fillId="2" borderId="4" xfId="1" applyNumberFormat="1" applyFont="1" applyFill="1" applyBorder="1" applyAlignment="1">
      <alignment horizontal="right" vertical="center" indent="3"/>
    </xf>
    <xf numFmtId="167" fontId="17" fillId="2" borderId="4" xfId="1" applyNumberFormat="1" applyFont="1" applyFill="1" applyBorder="1" applyAlignment="1" applyProtection="1">
      <alignment horizontal="right" vertical="center" indent="3"/>
      <protection locked="0"/>
    </xf>
    <xf numFmtId="164" fontId="2" fillId="0" borderId="0" xfId="3" applyNumberFormat="1" applyFont="1" applyFill="1" applyAlignment="1">
      <alignment vertical="center"/>
    </xf>
    <xf numFmtId="164" fontId="0" fillId="2" borderId="16" xfId="0" applyNumberFormat="1" applyFill="1" applyBorder="1"/>
    <xf numFmtId="164" fontId="56" fillId="2" borderId="17" xfId="0" applyNumberFormat="1" applyFont="1" applyFill="1" applyBorder="1" applyAlignment="1">
      <alignment horizontal="center"/>
    </xf>
    <xf numFmtId="164" fontId="6" fillId="2" borderId="18" xfId="0" applyNumberFormat="1" applyFont="1" applyFill="1" applyBorder="1" applyAlignment="1">
      <alignment vertical="center"/>
    </xf>
    <xf numFmtId="164" fontId="6" fillId="2" borderId="18" xfId="0" applyNumberFormat="1" applyFont="1" applyFill="1" applyBorder="1" applyAlignment="1">
      <alignment horizontal="right" vertical="center"/>
    </xf>
    <xf numFmtId="164" fontId="18" fillId="2" borderId="18" xfId="0" applyNumberFormat="1" applyFont="1" applyFill="1" applyBorder="1" applyAlignment="1" applyProtection="1">
      <alignment horizontal="right" vertical="center"/>
    </xf>
    <xf numFmtId="164" fontId="15" fillId="2" borderId="16" xfId="0" applyNumberFormat="1" applyFont="1" applyFill="1" applyBorder="1"/>
    <xf numFmtId="164" fontId="8" fillId="2" borderId="5" xfId="0" applyNumberFormat="1" applyFont="1" applyFill="1" applyBorder="1"/>
    <xf numFmtId="166" fontId="8" fillId="2" borderId="5" xfId="1" applyNumberFormat="1" applyFont="1" applyFill="1" applyBorder="1" applyAlignment="1">
      <alignment horizontal="right" vertical="center"/>
    </xf>
    <xf numFmtId="166" fontId="34" fillId="2" borderId="5" xfId="1" applyNumberFormat="1" applyFont="1" applyFill="1" applyBorder="1" applyAlignment="1">
      <alignment horizontal="right" vertical="center"/>
    </xf>
    <xf numFmtId="0" fontId="22" fillId="2" borderId="16" xfId="6" applyNumberFormat="1" applyFont="1" applyFill="1" applyBorder="1" applyAlignment="1">
      <alignment horizontal="left" vertical="center"/>
    </xf>
    <xf numFmtId="166" fontId="19" fillId="2" borderId="16" xfId="1" applyNumberFormat="1" applyFont="1" applyFill="1" applyBorder="1" applyAlignment="1">
      <alignment horizontal="right" vertical="center"/>
    </xf>
    <xf numFmtId="166" fontId="19" fillId="2" borderId="16" xfId="1" applyNumberFormat="1" applyFont="1" applyFill="1" applyBorder="1" applyAlignment="1" applyProtection="1">
      <alignment horizontal="right" vertical="center"/>
      <protection locked="0"/>
    </xf>
    <xf numFmtId="0" fontId="57" fillId="2" borderId="16" xfId="6" applyNumberFormat="1" applyFont="1" applyFill="1" applyBorder="1" applyAlignment="1">
      <alignment vertical="center"/>
    </xf>
    <xf numFmtId="0" fontId="22" fillId="2" borderId="19" xfId="6" applyNumberFormat="1" applyFont="1" applyFill="1" applyBorder="1" applyAlignment="1">
      <alignment horizontal="left" vertical="center"/>
    </xf>
    <xf numFmtId="166" fontId="19" fillId="2" borderId="19" xfId="1" applyNumberFormat="1" applyFont="1" applyFill="1" applyBorder="1" applyAlignment="1">
      <alignment horizontal="right" vertical="center"/>
    </xf>
    <xf numFmtId="166" fontId="19" fillId="2" borderId="19" xfId="1" applyNumberFormat="1" applyFont="1" applyFill="1" applyBorder="1" applyAlignment="1" applyProtection="1">
      <alignment horizontal="right" vertical="center"/>
      <protection locked="0"/>
    </xf>
    <xf numFmtId="0" fontId="57" fillId="2" borderId="19" xfId="6" applyNumberFormat="1" applyFont="1" applyFill="1" applyBorder="1" applyAlignment="1">
      <alignment vertical="center"/>
    </xf>
    <xf numFmtId="164" fontId="58" fillId="2" borderId="5" xfId="0" applyNumberFormat="1" applyFont="1" applyFill="1" applyBorder="1" applyAlignment="1" applyProtection="1">
      <alignment vertical="top"/>
    </xf>
    <xf numFmtId="164" fontId="0" fillId="2" borderId="16" xfId="0" applyNumberFormat="1" applyFill="1" applyBorder="1" applyAlignment="1">
      <alignment vertical="top"/>
    </xf>
    <xf numFmtId="164" fontId="30" fillId="2" borderId="6" xfId="0" applyNumberFormat="1" applyFont="1" applyFill="1" applyBorder="1" applyAlignment="1">
      <alignment horizontal="right" vertical="top"/>
    </xf>
    <xf numFmtId="164" fontId="30" fillId="2" borderId="0" xfId="0" applyNumberFormat="1" applyFont="1" applyFill="1" applyBorder="1" applyAlignment="1">
      <alignment horizontal="right" vertical="top"/>
    </xf>
    <xf numFmtId="0" fontId="0" fillId="2" borderId="0" xfId="0" applyNumberFormat="1" applyFill="1" applyBorder="1"/>
    <xf numFmtId="164" fontId="8" fillId="2" borderId="0" xfId="0" applyNumberFormat="1" applyFont="1" applyFill="1" applyBorder="1" applyAlignment="1"/>
    <xf numFmtId="164" fontId="56" fillId="2" borderId="0" xfId="0" applyNumberFormat="1" applyFont="1" applyFill="1" applyBorder="1" applyAlignment="1"/>
    <xf numFmtId="164" fontId="59" fillId="2" borderId="0" xfId="0" applyNumberFormat="1" applyFont="1" applyFill="1"/>
    <xf numFmtId="164" fontId="59" fillId="2" borderId="4" xfId="0" applyNumberFormat="1" applyFont="1" applyFill="1" applyBorder="1" applyAlignment="1">
      <alignment vertical="center"/>
    </xf>
    <xf numFmtId="164" fontId="59" fillId="2" borderId="4" xfId="0" applyNumberFormat="1" applyFont="1" applyFill="1" applyBorder="1"/>
    <xf numFmtId="164" fontId="59" fillId="2" borderId="0" xfId="0" applyNumberFormat="1" applyFont="1" applyFill="1" applyBorder="1"/>
    <xf numFmtId="0" fontId="4" fillId="2" borderId="0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5" fillId="2" borderId="0" xfId="0" applyNumberFormat="1" applyFont="1" applyFill="1" applyBorder="1" applyAlignment="1">
      <alignment horizontal="center"/>
    </xf>
    <xf numFmtId="37" fontId="15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/>
    <xf numFmtId="37" fontId="22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/>
    <xf numFmtId="0" fontId="55" fillId="2" borderId="0" xfId="0" applyFont="1" applyFill="1" applyBorder="1" applyAlignment="1">
      <alignment horizontal="center" readingOrder="1"/>
    </xf>
    <xf numFmtId="0" fontId="15" fillId="2" borderId="0" xfId="0" applyNumberFormat="1" applyFont="1" applyFill="1" applyBorder="1" applyAlignment="1">
      <alignment horizontal="center" vertical="center"/>
    </xf>
    <xf numFmtId="0" fontId="55" fillId="2" borderId="0" xfId="0" applyFont="1" applyFill="1" applyAlignment="1">
      <alignment horizontal="center" readingOrder="1"/>
    </xf>
    <xf numFmtId="0" fontId="15" fillId="2" borderId="4" xfId="0" applyNumberFormat="1" applyFont="1" applyFill="1" applyBorder="1" applyAlignment="1">
      <alignment horizontal="center" vertical="center"/>
    </xf>
    <xf numFmtId="0" fontId="48" fillId="2" borderId="0" xfId="0" applyNumberFormat="1" applyFont="1" applyFill="1" applyBorder="1" applyAlignment="1">
      <alignment vertical="top"/>
    </xf>
    <xf numFmtId="0" fontId="60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right" vertical="center"/>
    </xf>
    <xf numFmtId="0" fontId="4" fillId="2" borderId="0" xfId="0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37" fontId="15" fillId="2" borderId="4" xfId="1" applyNumberFormat="1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right" vertical="center" wrapText="1"/>
    </xf>
    <xf numFmtId="164" fontId="10" fillId="2" borderId="0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Border="1" applyAlignment="1">
      <alignment horizontal="center" vertical="top" wrapText="1"/>
    </xf>
    <xf numFmtId="164" fontId="9" fillId="2" borderId="0" xfId="0" applyNumberFormat="1" applyFont="1" applyFill="1" applyBorder="1" applyAlignment="1">
      <alignment horizontal="center" vertical="center" wrapText="1"/>
    </xf>
    <xf numFmtId="164" fontId="10" fillId="2" borderId="4" xfId="0" applyNumberFormat="1" applyFont="1" applyFill="1" applyBorder="1" applyAlignment="1">
      <alignment horizontal="right" vertical="center" wrapText="1"/>
    </xf>
    <xf numFmtId="164" fontId="9" fillId="2" borderId="4" xfId="0" applyNumberFormat="1" applyFont="1" applyFill="1" applyBorder="1" applyAlignment="1">
      <alignment horizontal="center" vertical="center" wrapText="1"/>
    </xf>
    <xf numFmtId="3" fontId="17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3" fontId="22" fillId="2" borderId="4" xfId="0" applyNumberFormat="1" applyFont="1" applyFill="1" applyBorder="1" applyAlignment="1">
      <alignment horizontal="right" vertical="center"/>
    </xf>
    <xf numFmtId="164" fontId="30" fillId="2" borderId="6" xfId="0" applyNumberFormat="1" applyFont="1" applyFill="1" applyBorder="1" applyAlignment="1">
      <alignment horizontal="right" vertical="center"/>
    </xf>
    <xf numFmtId="164" fontId="61" fillId="2" borderId="5" xfId="0" applyNumberFormat="1" applyFont="1" applyFill="1" applyBorder="1" applyAlignment="1" applyProtection="1">
      <alignment horizontal="right" vertical="center"/>
    </xf>
    <xf numFmtId="164" fontId="8" fillId="2" borderId="3" xfId="0" applyNumberFormat="1" applyFont="1" applyFill="1" applyBorder="1" applyAlignment="1">
      <alignment horizontal="center" vertical="top"/>
    </xf>
    <xf numFmtId="164" fontId="34" fillId="2" borderId="3" xfId="0" applyNumberFormat="1" applyFont="1" applyFill="1" applyBorder="1" applyAlignment="1">
      <alignment horizontal="center" vertical="center"/>
    </xf>
    <xf numFmtId="166" fontId="34" fillId="2" borderId="0" xfId="1" applyNumberFormat="1" applyFont="1" applyFill="1" applyBorder="1" applyAlignment="1">
      <alignment horizontal="right" vertical="center"/>
    </xf>
    <xf numFmtId="166" fontId="17" fillId="2" borderId="0" xfId="1" applyNumberFormat="1" applyFont="1" applyFill="1" applyBorder="1" applyAlignment="1">
      <alignment horizontal="right" vertical="center"/>
    </xf>
    <xf numFmtId="166" fontId="8" fillId="2" borderId="0" xfId="1" applyNumberFormat="1" applyFont="1" applyFill="1" applyBorder="1" applyAlignment="1">
      <alignment horizontal="right" vertical="center"/>
    </xf>
    <xf numFmtId="1" fontId="17" fillId="2" borderId="0" xfId="2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right" vertical="center" indent="5"/>
    </xf>
    <xf numFmtId="164" fontId="11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/>
    <xf numFmtId="164" fontId="46" fillId="2" borderId="0" xfId="0" applyNumberFormat="1" applyFont="1" applyFill="1"/>
    <xf numFmtId="166" fontId="19" fillId="2" borderId="0" xfId="1" applyNumberFormat="1" applyFont="1" applyFill="1" applyBorder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 indent="5"/>
    </xf>
    <xf numFmtId="164" fontId="8" fillId="2" borderId="4" xfId="0" applyNumberFormat="1" applyFont="1" applyFill="1" applyBorder="1" applyAlignment="1">
      <alignment vertical="center" wrapText="1"/>
    </xf>
    <xf numFmtId="166" fontId="8" fillId="2" borderId="4" xfId="1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/>
    <xf numFmtId="1" fontId="17" fillId="2" borderId="4" xfId="2" applyNumberFormat="1" applyFont="1" applyFill="1" applyBorder="1" applyAlignment="1">
      <alignment horizontal="center" vertical="center"/>
    </xf>
    <xf numFmtId="3" fontId="17" fillId="2" borderId="4" xfId="0" applyNumberFormat="1" applyFont="1" applyFill="1" applyBorder="1" applyAlignment="1">
      <alignment horizontal="right" vertical="center" indent="5"/>
    </xf>
    <xf numFmtId="1" fontId="0" fillId="2" borderId="0" xfId="0" applyNumberFormat="1" applyFill="1"/>
    <xf numFmtId="1" fontId="12" fillId="2" borderId="0" xfId="0" applyNumberFormat="1" applyFont="1" applyFill="1"/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center" vertical="top"/>
    </xf>
    <xf numFmtId="164" fontId="0" fillId="2" borderId="15" xfId="0" applyNumberFormat="1" applyFill="1" applyBorder="1"/>
    <xf numFmtId="0" fontId="34" fillId="2" borderId="15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/>
    <xf numFmtId="0" fontId="4" fillId="2" borderId="4" xfId="0" applyNumberFormat="1" applyFont="1" applyFill="1" applyBorder="1" applyAlignment="1">
      <alignment horizontal="right" vertical="center"/>
    </xf>
    <xf numFmtId="0" fontId="34" fillId="2" borderId="0" xfId="0" applyNumberFormat="1" applyFont="1" applyFill="1" applyBorder="1" applyAlignment="1">
      <alignment horizontal="left" vertical="center"/>
    </xf>
    <xf numFmtId="3" fontId="34" fillId="2" borderId="0" xfId="0" applyNumberFormat="1" applyFont="1" applyFill="1" applyBorder="1" applyAlignment="1">
      <alignment horizontal="right" vertical="center"/>
    </xf>
    <xf numFmtId="3" fontId="34" fillId="2" borderId="0" xfId="1" applyNumberFormat="1" applyFont="1" applyFill="1" applyBorder="1" applyAlignment="1">
      <alignment horizontal="right" vertical="center"/>
    </xf>
    <xf numFmtId="0" fontId="63" fillId="2" borderId="0" xfId="0" applyNumberFormat="1" applyFont="1" applyFill="1" applyBorder="1" applyAlignment="1">
      <alignment horizontal="right" vertical="center"/>
    </xf>
    <xf numFmtId="0" fontId="15" fillId="2" borderId="0" xfId="0" applyNumberFormat="1" applyFont="1" applyFill="1" applyBorder="1" applyAlignment="1">
      <alignment horizontal="left" vertical="center" indent="1"/>
    </xf>
    <xf numFmtId="3" fontId="15" fillId="2" borderId="0" xfId="0" applyNumberFormat="1" applyFont="1" applyFill="1" applyBorder="1" applyAlignment="1">
      <alignment horizontal="right" vertical="center"/>
    </xf>
    <xf numFmtId="3" fontId="15" fillId="2" borderId="0" xfId="1" applyNumberFormat="1" applyFont="1" applyFill="1" applyBorder="1" applyAlignment="1">
      <alignment horizontal="right" vertical="center"/>
    </xf>
    <xf numFmtId="164" fontId="64" fillId="2" borderId="0" xfId="0" applyNumberFormat="1" applyFont="1" applyFill="1" applyBorder="1" applyAlignment="1">
      <alignment horizontal="right" vertical="center" indent="1"/>
    </xf>
    <xf numFmtId="0" fontId="22" fillId="2" borderId="0" xfId="0" applyNumberFormat="1" applyFont="1" applyFill="1" applyBorder="1" applyAlignment="1">
      <alignment horizontal="left" vertical="center" indent="1"/>
    </xf>
    <xf numFmtId="0" fontId="22" fillId="2" borderId="4" xfId="0" applyNumberFormat="1" applyFont="1" applyFill="1" applyBorder="1" applyAlignment="1">
      <alignment horizontal="left" vertical="center" indent="1"/>
    </xf>
    <xf numFmtId="3" fontId="15" fillId="2" borderId="4" xfId="1" applyNumberFormat="1" applyFont="1" applyFill="1" applyBorder="1" applyAlignment="1">
      <alignment horizontal="right" vertical="center"/>
    </xf>
    <xf numFmtId="3" fontId="15" fillId="2" borderId="4" xfId="0" applyNumberFormat="1" applyFont="1" applyFill="1" applyBorder="1" applyAlignment="1">
      <alignment horizontal="right" vertical="center"/>
    </xf>
    <xf numFmtId="164" fontId="64" fillId="2" borderId="4" xfId="0" applyNumberFormat="1" applyFont="1" applyFill="1" applyBorder="1" applyAlignment="1">
      <alignment horizontal="right" vertical="center" indent="1"/>
    </xf>
    <xf numFmtId="0" fontId="25" fillId="2" borderId="0" xfId="0" applyNumberFormat="1" applyFont="1" applyFill="1" applyBorder="1" applyAlignment="1">
      <alignment vertical="top"/>
    </xf>
    <xf numFmtId="0" fontId="65" fillId="2" borderId="0" xfId="0" applyNumberFormat="1" applyFont="1" applyFill="1" applyBorder="1" applyAlignment="1">
      <alignment vertical="top"/>
    </xf>
    <xf numFmtId="164" fontId="65" fillId="2" borderId="0" xfId="0" applyNumberFormat="1" applyFont="1" applyFill="1" applyBorder="1" applyAlignment="1">
      <alignment vertical="top"/>
    </xf>
    <xf numFmtId="164" fontId="65" fillId="2" borderId="0" xfId="0" applyNumberFormat="1" applyFont="1" applyFill="1" applyBorder="1"/>
    <xf numFmtId="0" fontId="23" fillId="2" borderId="0" xfId="0" applyNumberFormat="1" applyFont="1" applyFill="1" applyBorder="1"/>
    <xf numFmtId="0" fontId="0" fillId="2" borderId="0" xfId="0" applyFill="1"/>
    <xf numFmtId="0" fontId="48" fillId="2" borderId="0" xfId="0" applyNumberFormat="1" applyFont="1" applyFill="1" applyBorder="1" applyAlignment="1">
      <alignment vertical="center"/>
    </xf>
    <xf numFmtId="0" fontId="60" fillId="2" borderId="21" xfId="0" applyNumberFormat="1" applyFont="1" applyFill="1" applyBorder="1" applyAlignment="1">
      <alignment vertical="center"/>
    </xf>
    <xf numFmtId="3" fontId="17" fillId="2" borderId="0" xfId="0" applyNumberFormat="1" applyFont="1" applyFill="1" applyBorder="1" applyAlignment="1">
      <alignment horizontal="right" vertical="center" indent="4"/>
    </xf>
    <xf numFmtId="3" fontId="17" fillId="2" borderId="0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3" fontId="22" fillId="2" borderId="0" xfId="0" applyNumberFormat="1" applyFont="1" applyFill="1" applyBorder="1" applyAlignment="1">
      <alignment horizontal="right" vertical="center" indent="4"/>
    </xf>
    <xf numFmtId="3" fontId="22" fillId="2" borderId="0" xfId="0" applyNumberFormat="1" applyFont="1" applyFill="1" applyBorder="1" applyAlignment="1">
      <alignment horizontal="right" vertical="center"/>
    </xf>
    <xf numFmtId="3" fontId="8" fillId="2" borderId="4" xfId="1" applyNumberFormat="1" applyFont="1" applyFill="1" applyBorder="1" applyAlignment="1">
      <alignment horizontal="right" vertical="center"/>
    </xf>
    <xf numFmtId="3" fontId="17" fillId="2" borderId="4" xfId="0" applyNumberFormat="1" applyFont="1" applyFill="1" applyBorder="1" applyAlignment="1">
      <alignment horizontal="right" vertical="center" indent="4"/>
    </xf>
    <xf numFmtId="164" fontId="11" fillId="2" borderId="4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Alignment="1">
      <alignment vertical="center"/>
    </xf>
    <xf numFmtId="164" fontId="66" fillId="2" borderId="0" xfId="0" applyNumberFormat="1" applyFont="1" applyFill="1"/>
    <xf numFmtId="164" fontId="17" fillId="2" borderId="0" xfId="0" applyNumberFormat="1" applyFont="1" applyFill="1" applyBorder="1" applyAlignment="1">
      <alignment vertical="center"/>
    </xf>
    <xf numFmtId="3" fontId="17" fillId="2" borderId="0" xfId="1" applyNumberFormat="1" applyFont="1" applyFill="1" applyBorder="1" applyAlignment="1">
      <alignment horizontal="right" vertical="center"/>
    </xf>
    <xf numFmtId="164" fontId="66" fillId="2" borderId="0" xfId="0" applyNumberFormat="1" applyFont="1" applyFill="1" applyBorder="1"/>
    <xf numFmtId="164" fontId="9" fillId="2" borderId="10" xfId="0" applyNumberFormat="1" applyFont="1" applyFill="1" applyBorder="1" applyAlignment="1">
      <alignment horizontal="right" vertical="center" wrapText="1"/>
    </xf>
    <xf numFmtId="164" fontId="10" fillId="2" borderId="8" xfId="0" applyNumberFormat="1" applyFont="1" applyFill="1" applyBorder="1" applyAlignment="1">
      <alignment horizontal="right" vertical="center" wrapText="1"/>
    </xf>
    <xf numFmtId="3" fontId="17" fillId="2" borderId="13" xfId="0" applyNumberFormat="1" applyFont="1" applyFill="1" applyBorder="1" applyAlignment="1">
      <alignment vertical="center"/>
    </xf>
    <xf numFmtId="3" fontId="17" fillId="2" borderId="10" xfId="0" applyNumberFormat="1" applyFont="1" applyFill="1" applyBorder="1" applyAlignment="1">
      <alignment vertical="center"/>
    </xf>
    <xf numFmtId="164" fontId="62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  <xf numFmtId="164" fontId="68" fillId="2" borderId="3" xfId="0" applyNumberFormat="1" applyFont="1" applyFill="1" applyBorder="1" applyAlignment="1">
      <alignment horizontal="center" vertical="center" wrapText="1"/>
    </xf>
    <xf numFmtId="164" fontId="68" fillId="2" borderId="0" xfId="0" applyNumberFormat="1" applyFont="1" applyFill="1" applyBorder="1" applyAlignment="1" applyProtection="1">
      <alignment horizontal="right" vertical="center" wrapText="1"/>
    </xf>
    <xf numFmtId="164" fontId="67" fillId="2" borderId="4" xfId="0" applyNumberFormat="1" applyFont="1" applyFill="1" applyBorder="1" applyAlignment="1">
      <alignment horizontal="center" vertical="center" wrapText="1"/>
    </xf>
    <xf numFmtId="164" fontId="64" fillId="2" borderId="0" xfId="0" applyNumberFormat="1" applyFont="1" applyFill="1" applyBorder="1" applyAlignment="1">
      <alignment horizontal="right" vertical="center" wrapText="1"/>
    </xf>
    <xf numFmtId="164" fontId="34" fillId="2" borderId="0" xfId="0" applyNumberFormat="1" applyFont="1" applyFill="1" applyBorder="1" applyAlignment="1">
      <alignment vertical="center"/>
    </xf>
    <xf numFmtId="166" fontId="34" fillId="2" borderId="3" xfId="1" applyNumberFormat="1" applyFont="1" applyFill="1" applyBorder="1" applyAlignment="1">
      <alignment horizontal="center" vertical="center"/>
    </xf>
    <xf numFmtId="3" fontId="34" fillId="2" borderId="3" xfId="0" applyNumberFormat="1" applyFont="1" applyFill="1" applyBorder="1" applyAlignment="1">
      <alignment horizontal="right" vertical="center" indent="7"/>
    </xf>
    <xf numFmtId="164" fontId="63" fillId="2" borderId="0" xfId="0" applyNumberFormat="1" applyFont="1" applyFill="1" applyBorder="1" applyAlignment="1" applyProtection="1">
      <alignment horizontal="right" vertical="center"/>
    </xf>
    <xf numFmtId="164" fontId="69" fillId="2" borderId="0" xfId="0" applyNumberFormat="1" applyFont="1" applyFill="1"/>
    <xf numFmtId="164" fontId="15" fillId="2" borderId="0" xfId="0" applyNumberFormat="1" applyFont="1" applyFill="1" applyBorder="1" applyAlignment="1">
      <alignment horizontal="left" vertical="center" indent="1"/>
    </xf>
    <xf numFmtId="166" fontId="15" fillId="2" borderId="0" xfId="1" applyNumberFormat="1" applyFont="1" applyFill="1" applyBorder="1" applyAlignment="1">
      <alignment horizontal="center" vertical="center"/>
    </xf>
    <xf numFmtId="3" fontId="15" fillId="2" borderId="0" xfId="0" applyNumberFormat="1" applyFont="1" applyFill="1" applyBorder="1" applyAlignment="1">
      <alignment horizontal="right" vertical="center" indent="7"/>
    </xf>
    <xf numFmtId="164" fontId="64" fillId="2" borderId="0" xfId="0" applyNumberFormat="1" applyFont="1" applyFill="1" applyBorder="1" applyAlignment="1" applyProtection="1">
      <alignment horizontal="right" vertical="center" indent="1"/>
    </xf>
    <xf numFmtId="164" fontId="64" fillId="2" borderId="0" xfId="0" applyNumberFormat="1" applyFont="1" applyFill="1" applyBorder="1" applyAlignment="1" applyProtection="1">
      <alignment horizontal="right" vertical="center"/>
    </xf>
    <xf numFmtId="164" fontId="15" fillId="2" borderId="4" xfId="0" applyNumberFormat="1" applyFont="1" applyFill="1" applyBorder="1" applyAlignment="1">
      <alignment horizontal="left" vertical="center" indent="1"/>
    </xf>
    <xf numFmtId="166" fontId="15" fillId="2" borderId="4" xfId="1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vertical="center"/>
    </xf>
    <xf numFmtId="3" fontId="15" fillId="2" borderId="4" xfId="0" applyNumberFormat="1" applyFont="1" applyFill="1" applyBorder="1" applyAlignment="1">
      <alignment horizontal="right" vertical="center" indent="7"/>
    </xf>
    <xf numFmtId="164" fontId="64" fillId="2" borderId="4" xfId="0" applyNumberFormat="1" applyFont="1" applyFill="1" applyBorder="1" applyAlignment="1" applyProtection="1">
      <alignment horizontal="right" vertical="center" indent="1"/>
    </xf>
    <xf numFmtId="164" fontId="16" fillId="2" borderId="0" xfId="0" applyNumberFormat="1" applyFont="1" applyFill="1" applyBorder="1"/>
    <xf numFmtId="164" fontId="0" fillId="2" borderId="0" xfId="0" applyNumberFormat="1" applyFont="1" applyFill="1" applyBorder="1" applyAlignment="1">
      <alignment vertical="center"/>
    </xf>
    <xf numFmtId="164" fontId="51" fillId="2" borderId="0" xfId="0" applyNumberFormat="1" applyFont="1" applyFill="1" applyBorder="1" applyAlignment="1">
      <alignment horizontal="right" vertical="center"/>
    </xf>
    <xf numFmtId="166" fontId="67" fillId="2" borderId="0" xfId="1" applyNumberFormat="1" applyFont="1" applyFill="1" applyBorder="1" applyAlignment="1">
      <alignment horizontal="center"/>
    </xf>
    <xf numFmtId="164" fontId="15" fillId="2" borderId="0" xfId="0" applyNumberFormat="1" applyFont="1" applyFill="1" applyBorder="1" applyAlignment="1">
      <alignment horizontal="right" vertical="center" indent="1"/>
    </xf>
    <xf numFmtId="164" fontId="8" fillId="2" borderId="3" xfId="0" applyNumberFormat="1" applyFont="1" applyFill="1" applyBorder="1"/>
    <xf numFmtId="166" fontId="8" fillId="2" borderId="3" xfId="1" applyNumberFormat="1" applyFont="1" applyFill="1" applyBorder="1" applyAlignment="1">
      <alignment horizontal="center" vertical="center"/>
    </xf>
    <xf numFmtId="3" fontId="17" fillId="2" borderId="3" xfId="0" applyNumberFormat="1" applyFont="1" applyFill="1" applyBorder="1" applyAlignment="1">
      <alignment horizontal="center" vertical="center"/>
    </xf>
    <xf numFmtId="3" fontId="17" fillId="2" borderId="0" xfId="0" applyNumberFormat="1" applyFont="1" applyFill="1" applyBorder="1" applyAlignment="1">
      <alignment horizontal="center" vertical="center"/>
    </xf>
    <xf numFmtId="164" fontId="18" fillId="2" borderId="22" xfId="0" applyNumberFormat="1" applyFont="1" applyFill="1" applyBorder="1" applyAlignment="1" applyProtection="1">
      <alignment horizontal="right" vertical="center"/>
    </xf>
    <xf numFmtId="166" fontId="19" fillId="2" borderId="0" xfId="1" applyNumberFormat="1" applyFont="1" applyFill="1" applyBorder="1" applyAlignment="1">
      <alignment horizontal="center" vertical="center"/>
    </xf>
    <xf numFmtId="164" fontId="19" fillId="2" borderId="4" xfId="0" applyNumberFormat="1" applyFont="1" applyFill="1" applyBorder="1"/>
    <xf numFmtId="166" fontId="19" fillId="2" borderId="4" xfId="1" applyNumberFormat="1" applyFont="1" applyFill="1" applyBorder="1" applyAlignment="1">
      <alignment horizontal="center" vertical="center"/>
    </xf>
    <xf numFmtId="3" fontId="28" fillId="2" borderId="0" xfId="0" applyNumberFormat="1" applyFont="1" applyFill="1" applyAlignment="1">
      <alignment horizontal="right" vertical="center" indent="2"/>
    </xf>
    <xf numFmtId="164" fontId="70" fillId="2" borderId="6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Alignment="1">
      <alignment horizontal="right"/>
    </xf>
    <xf numFmtId="166" fontId="6" fillId="2" borderId="0" xfId="1" applyNumberFormat="1" applyFont="1" applyFill="1" applyBorder="1" applyAlignment="1" applyProtection="1">
      <alignment horizontal="right" vertical="center"/>
      <protection locked="0"/>
    </xf>
    <xf numFmtId="3" fontId="17" fillId="2" borderId="4" xfId="0" applyNumberFormat="1" applyFont="1" applyFill="1" applyBorder="1" applyAlignment="1">
      <alignment horizontal="center" vertical="center"/>
    </xf>
    <xf numFmtId="0" fontId="72" fillId="2" borderId="0" xfId="0" applyNumberFormat="1" applyFont="1" applyFill="1" applyBorder="1"/>
    <xf numFmtId="0" fontId="72" fillId="2" borderId="0" xfId="0" applyNumberFormat="1" applyFont="1" applyFill="1"/>
    <xf numFmtId="0" fontId="22" fillId="2" borderId="0" xfId="0" applyNumberFormat="1" applyFont="1" applyFill="1" applyBorder="1"/>
    <xf numFmtId="0" fontId="22" fillId="2" borderId="0" xfId="0" applyNumberFormat="1" applyFont="1" applyFill="1"/>
    <xf numFmtId="0" fontId="15" fillId="2" borderId="17" xfId="0" applyNumberFormat="1" applyFont="1" applyFill="1" applyBorder="1"/>
    <xf numFmtId="0" fontId="15" fillId="2" borderId="25" xfId="0" applyNumberFormat="1" applyFont="1" applyFill="1" applyBorder="1" applyAlignment="1">
      <alignment horizontal="center" vertical="center"/>
    </xf>
    <xf numFmtId="0" fontId="15" fillId="2" borderId="0" xfId="0" applyNumberFormat="1" applyFont="1" applyFill="1" applyBorder="1"/>
    <xf numFmtId="0" fontId="15" fillId="2" borderId="0" xfId="0" applyNumberFormat="1" applyFont="1" applyFill="1"/>
    <xf numFmtId="0" fontId="15" fillId="2" borderId="0" xfId="0" applyNumberFormat="1" applyFont="1" applyFill="1" applyBorder="1" applyAlignment="1">
      <alignment horizontal="center" vertical="center"/>
    </xf>
    <xf numFmtId="0" fontId="34" fillId="2" borderId="0" xfId="0" applyNumberFormat="1" applyFont="1" applyFill="1" applyBorder="1" applyAlignment="1">
      <alignment horizontal="center" vertical="center"/>
    </xf>
    <xf numFmtId="0" fontId="34" fillId="2" borderId="0" xfId="0" applyNumberFormat="1" applyFont="1" applyFill="1" applyAlignment="1">
      <alignment horizontal="center" vertical="center"/>
    </xf>
    <xf numFmtId="0" fontId="34" fillId="2" borderId="30" xfId="0" applyNumberFormat="1" applyFont="1" applyFill="1" applyBorder="1" applyAlignment="1">
      <alignment horizontal="right" vertical="center" wrapText="1"/>
    </xf>
    <xf numFmtId="0" fontId="34" fillId="2" borderId="12" xfId="0" applyNumberFormat="1" applyFont="1" applyFill="1" applyBorder="1" applyAlignment="1">
      <alignment horizontal="right" vertical="center" wrapText="1"/>
    </xf>
    <xf numFmtId="0" fontId="34" fillId="2" borderId="0" xfId="0" applyNumberFormat="1" applyFont="1" applyFill="1" applyBorder="1" applyAlignment="1">
      <alignment horizontal="right" vertical="center" wrapText="1"/>
    </xf>
    <xf numFmtId="0" fontId="34" fillId="2" borderId="0" xfId="0" applyNumberFormat="1" applyFont="1" applyFill="1" applyBorder="1"/>
    <xf numFmtId="0" fontId="34" fillId="2" borderId="0" xfId="0" applyNumberFormat="1" applyFont="1" applyFill="1"/>
    <xf numFmtId="0" fontId="63" fillId="2" borderId="10" xfId="0" applyNumberFormat="1" applyFont="1" applyFill="1" applyBorder="1" applyAlignment="1">
      <alignment vertical="center" wrapText="1"/>
    </xf>
    <xf numFmtId="0" fontId="63" fillId="2" borderId="4" xfId="0" applyNumberFormat="1" applyFont="1" applyFill="1" applyBorder="1" applyAlignment="1">
      <alignment vertical="center" wrapText="1"/>
    </xf>
    <xf numFmtId="0" fontId="63" fillId="2" borderId="4" xfId="0" applyNumberFormat="1" applyFont="1" applyFill="1" applyBorder="1" applyAlignment="1">
      <alignment horizontal="right" vertical="center" wrapText="1"/>
    </xf>
    <xf numFmtId="166" fontId="6" fillId="2" borderId="13" xfId="1" applyNumberFormat="1" applyFont="1" applyFill="1" applyBorder="1" applyAlignment="1">
      <alignment horizontal="right" vertical="center"/>
    </xf>
    <xf numFmtId="166" fontId="6" fillId="2" borderId="0" xfId="1" applyNumberFormat="1" applyFont="1" applyFill="1" applyBorder="1" applyAlignment="1">
      <alignment horizontal="right" vertical="center"/>
    </xf>
    <xf numFmtId="3" fontId="4" fillId="2" borderId="0" xfId="1" applyNumberFormat="1" applyFont="1" applyFill="1" applyBorder="1" applyAlignment="1">
      <alignment horizontal="right" vertical="center"/>
    </xf>
    <xf numFmtId="0" fontId="62" fillId="2" borderId="11" xfId="0" applyNumberFormat="1" applyFont="1" applyFill="1" applyBorder="1" applyAlignment="1">
      <alignment vertical="center"/>
    </xf>
    <xf numFmtId="168" fontId="34" fillId="2" borderId="0" xfId="0" applyNumberFormat="1" applyFont="1" applyFill="1" applyBorder="1" applyAlignment="1">
      <alignment vertical="center"/>
    </xf>
    <xf numFmtId="3" fontId="15" fillId="2" borderId="0" xfId="0" applyNumberFormat="1" applyFont="1" applyFill="1" applyBorder="1" applyAlignment="1">
      <alignment vertical="center"/>
    </xf>
    <xf numFmtId="0" fontId="15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Alignment="1">
      <alignment vertical="center"/>
    </xf>
    <xf numFmtId="0" fontId="15" fillId="2" borderId="16" xfId="0" applyNumberFormat="1" applyFont="1" applyFill="1" applyBorder="1" applyAlignment="1">
      <alignment horizontal="left" vertical="center"/>
    </xf>
    <xf numFmtId="166" fontId="21" fillId="2" borderId="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166" fontId="21" fillId="2" borderId="13" xfId="1" applyNumberFormat="1" applyFont="1" applyFill="1" applyBorder="1" applyAlignment="1">
      <alignment horizontal="right" vertical="center"/>
    </xf>
    <xf numFmtId="0" fontId="74" fillId="2" borderId="0" xfId="0" applyNumberFormat="1" applyFont="1" applyFill="1" applyBorder="1" applyAlignment="1">
      <alignment horizontal="right" vertical="center" wrapText="1"/>
    </xf>
    <xf numFmtId="168" fontId="15" fillId="2" borderId="0" xfId="0" applyNumberFormat="1" applyFont="1" applyFill="1" applyBorder="1" applyAlignment="1">
      <alignment vertical="center"/>
    </xf>
    <xf numFmtId="0" fontId="15" fillId="2" borderId="0" xfId="0" applyNumberFormat="1" applyFont="1" applyFill="1" applyAlignment="1">
      <alignment vertical="center"/>
    </xf>
    <xf numFmtId="166" fontId="66" fillId="2" borderId="0" xfId="1" applyNumberFormat="1" applyFont="1" applyFill="1" applyBorder="1" applyAlignment="1">
      <alignment horizontal="right" vertical="center"/>
    </xf>
    <xf numFmtId="0" fontId="15" fillId="2" borderId="0" xfId="0" applyNumberFormat="1" applyFont="1" applyFill="1" applyBorder="1" applyAlignment="1">
      <alignment horizontal="left" vertical="center"/>
    </xf>
    <xf numFmtId="3" fontId="21" fillId="2" borderId="0" xfId="1" applyNumberFormat="1" applyFont="1" applyFill="1" applyBorder="1" applyAlignment="1">
      <alignment horizontal="right" vertical="center"/>
    </xf>
    <xf numFmtId="3" fontId="21" fillId="2" borderId="13" xfId="1" applyNumberFormat="1" applyFont="1" applyFill="1" applyBorder="1" applyAlignment="1">
      <alignment horizontal="right" vertical="center"/>
    </xf>
    <xf numFmtId="0" fontId="15" fillId="2" borderId="0" xfId="0" applyNumberFormat="1" applyFont="1" applyFill="1" applyAlignment="1">
      <alignment vertical="top"/>
    </xf>
    <xf numFmtId="0" fontId="1" fillId="2" borderId="0" xfId="0" applyNumberFormat="1" applyFont="1" applyFill="1" applyBorder="1" applyAlignment="1">
      <alignment vertical="top"/>
    </xf>
    <xf numFmtId="0" fontId="15" fillId="2" borderId="0" xfId="0" applyNumberFormat="1" applyFont="1" applyFill="1" applyBorder="1" applyAlignment="1">
      <alignment vertical="top"/>
    </xf>
    <xf numFmtId="0" fontId="15" fillId="2" borderId="16" xfId="0" applyNumberFormat="1" applyFont="1" applyFill="1" applyBorder="1"/>
    <xf numFmtId="0" fontId="1" fillId="2" borderId="16" xfId="0" applyNumberFormat="1" applyFont="1" applyFill="1" applyBorder="1"/>
    <xf numFmtId="164" fontId="24" fillId="2" borderId="0" xfId="0" applyNumberFormat="1" applyFont="1" applyFill="1" applyBorder="1" applyAlignment="1">
      <alignment horizontal="left" vertical="center" wrapText="1" indent="2"/>
    </xf>
    <xf numFmtId="0" fontId="0" fillId="2" borderId="0" xfId="0" applyFill="1" applyBorder="1"/>
    <xf numFmtId="3" fontId="66" fillId="2" borderId="4" xfId="0" applyNumberFormat="1" applyFont="1" applyFill="1" applyBorder="1" applyAlignment="1">
      <alignment horizontal="right" vertical="top"/>
    </xf>
    <xf numFmtId="0" fontId="1" fillId="2" borderId="19" xfId="0" applyNumberFormat="1" applyFont="1" applyFill="1" applyBorder="1"/>
    <xf numFmtId="0" fontId="1" fillId="2" borderId="4" xfId="0" applyNumberFormat="1" applyFont="1" applyFill="1" applyBorder="1" applyAlignment="1">
      <alignment vertical="top"/>
    </xf>
    <xf numFmtId="3" fontId="21" fillId="2" borderId="35" xfId="1" applyNumberFormat="1" applyFont="1" applyFill="1" applyBorder="1" applyAlignment="1">
      <alignment horizontal="right" vertical="center"/>
    </xf>
    <xf numFmtId="165" fontId="0" fillId="2" borderId="0" xfId="0" applyNumberFormat="1" applyFill="1" applyBorder="1"/>
    <xf numFmtId="164" fontId="30" fillId="2" borderId="14" xfId="0" applyNumberFormat="1" applyFont="1" applyFill="1" applyBorder="1" applyAlignment="1">
      <alignment horizontal="right" vertical="center"/>
    </xf>
    <xf numFmtId="0" fontId="15" fillId="2" borderId="24" xfId="0" applyNumberFormat="1" applyFont="1" applyFill="1" applyBorder="1" applyAlignment="1">
      <alignment horizontal="center" vertical="center"/>
    </xf>
    <xf numFmtId="0" fontId="15" fillId="2" borderId="36" xfId="0" applyNumberFormat="1" applyFont="1" applyFill="1" applyBorder="1"/>
    <xf numFmtId="0" fontId="15" fillId="2" borderId="0" xfId="0" applyNumberFormat="1" applyFont="1" applyFill="1" applyBorder="1" applyAlignment="1">
      <alignment horizontal="left" vertical="center" wrapText="1"/>
    </xf>
    <xf numFmtId="0" fontId="60" fillId="2" borderId="11" xfId="0" applyNumberFormat="1" applyFont="1" applyFill="1" applyBorder="1" applyAlignment="1">
      <alignment vertical="top"/>
    </xf>
    <xf numFmtId="164" fontId="24" fillId="2" borderId="16" xfId="0" applyNumberFormat="1" applyFont="1" applyFill="1" applyBorder="1" applyAlignment="1">
      <alignment horizontal="left" vertical="center" indent="2"/>
    </xf>
    <xf numFmtId="164" fontId="24" fillId="2" borderId="17" xfId="0" applyNumberFormat="1" applyFont="1" applyFill="1" applyBorder="1" applyAlignment="1">
      <alignment horizontal="left" vertical="center" wrapText="1" indent="2"/>
    </xf>
    <xf numFmtId="0" fontId="15" fillId="2" borderId="24" xfId="0" applyNumberFormat="1" applyFont="1" applyFill="1" applyBorder="1"/>
    <xf numFmtId="0" fontId="15" fillId="2" borderId="25" xfId="0" applyNumberFormat="1" applyFont="1" applyFill="1" applyBorder="1"/>
    <xf numFmtId="0" fontId="34" fillId="2" borderId="38" xfId="0" applyNumberFormat="1" applyFont="1" applyFill="1" applyBorder="1" applyAlignment="1">
      <alignment horizontal="left" vertical="center"/>
    </xf>
    <xf numFmtId="0" fontId="15" fillId="2" borderId="24" xfId="0" applyNumberFormat="1" applyFont="1" applyFill="1" applyBorder="1" applyAlignment="1">
      <alignment horizontal="left" vertical="center"/>
    </xf>
    <xf numFmtId="0" fontId="15" fillId="2" borderId="24" xfId="0" applyNumberFormat="1" applyFont="1" applyFill="1" applyBorder="1" applyAlignment="1">
      <alignment horizontal="left" vertical="center" wrapText="1"/>
    </xf>
    <xf numFmtId="0" fontId="15" fillId="2" borderId="25" xfId="0" applyNumberFormat="1" applyFont="1" applyFill="1" applyBorder="1" applyAlignment="1">
      <alignment horizontal="left" vertical="center"/>
    </xf>
    <xf numFmtId="0" fontId="48" fillId="2" borderId="38" xfId="0" applyNumberFormat="1" applyFont="1" applyFill="1" applyBorder="1" applyAlignment="1">
      <alignment vertical="top"/>
    </xf>
    <xf numFmtId="0" fontId="15" fillId="2" borderId="39" xfId="0" applyNumberFormat="1" applyFont="1" applyFill="1" applyBorder="1"/>
    <xf numFmtId="3" fontId="66" fillId="2" borderId="0" xfId="0" applyNumberFormat="1" applyFont="1" applyFill="1" applyBorder="1" applyAlignment="1">
      <alignment horizontal="right" vertical="top"/>
    </xf>
    <xf numFmtId="0" fontId="63" fillId="2" borderId="9" xfId="0" applyNumberFormat="1" applyFont="1" applyFill="1" applyBorder="1" applyAlignment="1">
      <alignment horizontal="right" vertical="center" wrapText="1"/>
    </xf>
    <xf numFmtId="166" fontId="21" fillId="2" borderId="37" xfId="1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0" fontId="0" fillId="2" borderId="0" xfId="0" applyNumberFormat="1" applyFont="1" applyFill="1"/>
    <xf numFmtId="0" fontId="72" fillId="2" borderId="0" xfId="0" applyNumberFormat="1" applyFont="1" applyFill="1" applyBorder="1" applyAlignment="1"/>
    <xf numFmtId="0" fontId="0" fillId="2" borderId="0" xfId="0" applyNumberFormat="1" applyFont="1" applyFill="1" applyBorder="1"/>
    <xf numFmtId="164" fontId="8" fillId="2" borderId="18" xfId="0" applyNumberFormat="1" applyFont="1" applyFill="1" applyBorder="1" applyAlignment="1">
      <alignment horizontal="center" vertical="center" wrapText="1"/>
    </xf>
    <xf numFmtId="164" fontId="8" fillId="2" borderId="18" xfId="0" applyNumberFormat="1" applyFont="1" applyFill="1" applyBorder="1" applyAlignment="1">
      <alignment horizontal="right" vertical="center" wrapText="1"/>
    </xf>
    <xf numFmtId="164" fontId="10" fillId="2" borderId="42" xfId="0" applyNumberFormat="1" applyFont="1" applyFill="1" applyBorder="1" applyAlignment="1">
      <alignment horizontal="center" vertical="center" wrapText="1"/>
    </xf>
    <xf numFmtId="0" fontId="62" fillId="2" borderId="0" xfId="0" applyNumberFormat="1" applyFont="1" applyFill="1" applyBorder="1" applyAlignment="1">
      <alignment horizontal="center" vertical="center" wrapText="1"/>
    </xf>
    <xf numFmtId="0" fontId="17" fillId="2" borderId="0" xfId="0" applyNumberFormat="1" applyFont="1" applyFill="1" applyBorder="1" applyAlignment="1">
      <alignment horizontal="center" vertical="center"/>
    </xf>
    <xf numFmtId="3" fontId="72" fillId="2" borderId="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0" fontId="22" fillId="2" borderId="0" xfId="0" applyNumberFormat="1" applyFont="1" applyFill="1" applyBorder="1" applyAlignment="1">
      <alignment horizontal="center"/>
    </xf>
    <xf numFmtId="3" fontId="22" fillId="2" borderId="0" xfId="0" applyNumberFormat="1" applyFont="1" applyFill="1" applyBorder="1" applyAlignment="1">
      <alignment horizontal="right"/>
    </xf>
    <xf numFmtId="0" fontId="22" fillId="2" borderId="0" xfId="0" applyNumberFormat="1" applyFont="1" applyFill="1" applyBorder="1" applyAlignment="1">
      <alignment horizontal="center" vertical="center"/>
    </xf>
    <xf numFmtId="0" fontId="22" fillId="2" borderId="0" xfId="0" applyNumberFormat="1" applyFont="1" applyFill="1" applyBorder="1" applyAlignment="1">
      <alignment horizontal="right"/>
    </xf>
    <xf numFmtId="3" fontId="0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horizontal="right"/>
    </xf>
    <xf numFmtId="0" fontId="76" fillId="2" borderId="0" xfId="0" applyNumberFormat="1" applyFont="1" applyFill="1" applyBorder="1" applyAlignment="1">
      <alignment vertical="center" wrapText="1"/>
    </xf>
    <xf numFmtId="0" fontId="22" fillId="2" borderId="4" xfId="0" applyNumberFormat="1" applyFont="1" applyFill="1" applyBorder="1" applyAlignment="1">
      <alignment horizontal="center"/>
    </xf>
    <xf numFmtId="0" fontId="0" fillId="2" borderId="4" xfId="0" applyNumberFormat="1" applyFont="1" applyFill="1" applyBorder="1"/>
    <xf numFmtId="0" fontId="22" fillId="2" borderId="4" xfId="0" applyNumberFormat="1" applyFont="1" applyFill="1" applyBorder="1" applyAlignment="1">
      <alignment horizontal="right"/>
    </xf>
    <xf numFmtId="0" fontId="22" fillId="2" borderId="4" xfId="0" applyNumberFormat="1" applyFont="1" applyFill="1" applyBorder="1" applyAlignment="1">
      <alignment horizontal="center" vertical="center"/>
    </xf>
    <xf numFmtId="0" fontId="23" fillId="2" borderId="0" xfId="0" applyNumberFormat="1" applyFont="1" applyFill="1" applyBorder="1" applyAlignment="1">
      <alignment vertical="top"/>
    </xf>
    <xf numFmtId="0" fontId="76" fillId="2" borderId="11" xfId="0" applyNumberFormat="1" applyFont="1" applyFill="1" applyBorder="1" applyAlignment="1">
      <alignment vertical="center"/>
    </xf>
    <xf numFmtId="1" fontId="0" fillId="2" borderId="0" xfId="0" applyNumberFormat="1" applyFont="1" applyFill="1"/>
    <xf numFmtId="1" fontId="0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ill="1"/>
    <xf numFmtId="3" fontId="22" fillId="2" borderId="4" xfId="0" applyNumberFormat="1" applyFont="1" applyFill="1" applyBorder="1" applyAlignment="1">
      <alignment horizontal="right"/>
    </xf>
    <xf numFmtId="3" fontId="0" fillId="2" borderId="0" xfId="0" applyNumberFormat="1" applyFont="1" applyFill="1"/>
    <xf numFmtId="0" fontId="4" fillId="2" borderId="0" xfId="0" applyNumberFormat="1" applyFont="1" applyFill="1"/>
    <xf numFmtId="0" fontId="34" fillId="2" borderId="0" xfId="0" applyNumberFormat="1" applyFont="1" applyFill="1" applyBorder="1" applyAlignment="1">
      <alignment horizontal="center" vertical="center" wrapText="1"/>
    </xf>
    <xf numFmtId="0" fontId="0" fillId="2" borderId="0" xfId="0" applyNumberFormat="1" applyFont="1" applyFill="1" applyAlignment="1">
      <alignment vertical="center"/>
    </xf>
    <xf numFmtId="0" fontId="22" fillId="2" borderId="4" xfId="0" applyNumberFormat="1" applyFont="1" applyFill="1" applyBorder="1"/>
    <xf numFmtId="3" fontId="4" fillId="2" borderId="3" xfId="0" applyNumberFormat="1" applyFont="1" applyFill="1" applyBorder="1" applyAlignment="1">
      <alignment horizontal="right" vertical="center" indent="3"/>
    </xf>
    <xf numFmtId="0" fontId="34" fillId="2" borderId="3" xfId="0" applyNumberFormat="1" applyFont="1" applyFill="1" applyBorder="1" applyAlignment="1">
      <alignment horizontal="center" vertical="center"/>
    </xf>
    <xf numFmtId="0" fontId="37" fillId="2" borderId="0" xfId="0" applyNumberFormat="1" applyFont="1" applyFill="1"/>
    <xf numFmtId="0" fontId="63" fillId="2" borderId="0" xfId="0" applyNumberFormat="1" applyFont="1" applyFill="1" applyBorder="1" applyAlignment="1">
      <alignment horizontal="center" vertical="center"/>
    </xf>
    <xf numFmtId="3" fontId="0" fillId="2" borderId="0" xfId="0" applyNumberFormat="1" applyFont="1" applyFill="1" applyAlignment="1">
      <alignment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0" fontId="4" fillId="2" borderId="13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 wrapText="1"/>
    </xf>
    <xf numFmtId="0" fontId="66" fillId="2" borderId="0" xfId="0" applyNumberFormat="1" applyFont="1" applyFill="1"/>
    <xf numFmtId="0" fontId="37" fillId="2" borderId="0" xfId="0" applyNumberFormat="1" applyFont="1" applyFill="1" applyAlignment="1">
      <alignment vertical="center"/>
    </xf>
    <xf numFmtId="3" fontId="37" fillId="2" borderId="0" xfId="0" applyNumberFormat="1" applyFont="1" applyFill="1" applyAlignment="1">
      <alignment vertical="center"/>
    </xf>
    <xf numFmtId="1" fontId="0" fillId="2" borderId="0" xfId="0" applyNumberFormat="1" applyFont="1" applyFill="1" applyAlignment="1">
      <alignment vertical="center"/>
    </xf>
    <xf numFmtId="0" fontId="78" fillId="2" borderId="4" xfId="7" applyFont="1" applyFill="1" applyBorder="1" applyAlignment="1">
      <alignment horizontal="center" vertical="center" wrapText="1" readingOrder="2"/>
    </xf>
    <xf numFmtId="0" fontId="79" fillId="2" borderId="4" xfId="7" applyFont="1" applyFill="1" applyBorder="1" applyAlignment="1">
      <alignment horizontal="center" vertical="center" wrapText="1"/>
    </xf>
    <xf numFmtId="0" fontId="78" fillId="2" borderId="10" xfId="7" applyFont="1" applyFill="1" applyBorder="1" applyAlignment="1">
      <alignment horizontal="center" vertical="center" wrapText="1" readingOrder="2"/>
    </xf>
    <xf numFmtId="0" fontId="36" fillId="2" borderId="0" xfId="0" applyNumberFormat="1" applyFont="1" applyFill="1" applyAlignment="1">
      <alignment vertical="center"/>
    </xf>
    <xf numFmtId="3" fontId="4" fillId="2" borderId="0" xfId="0" applyNumberFormat="1" applyFont="1" applyFill="1" applyBorder="1" applyAlignment="1">
      <alignment horizontal="right" vertical="center" indent="3"/>
    </xf>
    <xf numFmtId="3" fontId="4" fillId="2" borderId="8" xfId="0" applyNumberFormat="1" applyFont="1" applyFill="1" applyBorder="1" applyAlignment="1">
      <alignment horizontal="right" vertical="center" indent="3"/>
    </xf>
    <xf numFmtId="0" fontId="62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horizontal="right" vertical="center" indent="3"/>
    </xf>
    <xf numFmtId="3" fontId="0" fillId="2" borderId="13" xfId="0" applyNumberFormat="1" applyFont="1" applyFill="1" applyBorder="1" applyAlignment="1">
      <alignment horizontal="right" vertical="center" indent="3"/>
    </xf>
    <xf numFmtId="0" fontId="80" fillId="2" borderId="0" xfId="7" applyFont="1" applyFill="1" applyBorder="1" applyAlignment="1">
      <alignment horizontal="right" vertical="center" wrapText="1"/>
    </xf>
    <xf numFmtId="0" fontId="81" fillId="2" borderId="0" xfId="0" applyNumberFormat="1" applyFont="1" applyFill="1" applyBorder="1" applyAlignment="1">
      <alignment horizontal="right" vertical="center" wrapText="1"/>
    </xf>
    <xf numFmtId="3" fontId="34" fillId="2" borderId="3" xfId="0" applyNumberFormat="1" applyFont="1" applyFill="1" applyBorder="1" applyAlignment="1">
      <alignment horizontal="right" vertical="center"/>
    </xf>
    <xf numFmtId="0" fontId="76" fillId="2" borderId="0" xfId="0" applyNumberFormat="1" applyFont="1" applyFill="1" applyBorder="1" applyAlignment="1">
      <alignment horizontal="right" vertical="center" wrapText="1"/>
    </xf>
    <xf numFmtId="3" fontId="0" fillId="2" borderId="12" xfId="0" applyNumberFormat="1" applyFont="1" applyFill="1" applyBorder="1" applyAlignment="1">
      <alignment horizontal="right" vertical="center" indent="3"/>
    </xf>
    <xf numFmtId="164" fontId="82" fillId="2" borderId="0" xfId="0" applyNumberFormat="1" applyFont="1" applyFill="1" applyBorder="1" applyAlignment="1">
      <alignment horizontal="left" vertical="center" indent="2"/>
    </xf>
    <xf numFmtId="164" fontId="82" fillId="2" borderId="0" xfId="0" applyNumberFormat="1" applyFont="1" applyFill="1" applyBorder="1" applyAlignment="1">
      <alignment horizontal="left" vertical="center" wrapText="1" indent="2"/>
    </xf>
    <xf numFmtId="164" fontId="82" fillId="2" borderId="4" xfId="0" applyNumberFormat="1" applyFont="1" applyFill="1" applyBorder="1" applyAlignment="1">
      <alignment horizontal="left" vertical="center" indent="2"/>
    </xf>
    <xf numFmtId="3" fontId="0" fillId="2" borderId="4" xfId="0" applyNumberFormat="1" applyFont="1" applyFill="1" applyBorder="1" applyAlignment="1">
      <alignment horizontal="right" vertical="center" indent="3"/>
    </xf>
    <xf numFmtId="3" fontId="0" fillId="2" borderId="10" xfId="0" applyNumberFormat="1" applyFont="1" applyFill="1" applyBorder="1" applyAlignment="1">
      <alignment horizontal="right" vertical="center" indent="3"/>
    </xf>
    <xf numFmtId="0" fontId="23" fillId="2" borderId="0" xfId="0" applyNumberFormat="1" applyFont="1" applyFill="1" applyBorder="1" applyAlignment="1">
      <alignment vertical="center"/>
    </xf>
    <xf numFmtId="0" fontId="76" fillId="2" borderId="0" xfId="0" applyNumberFormat="1" applyFont="1" applyFill="1" applyBorder="1" applyAlignment="1">
      <alignment vertical="center"/>
    </xf>
    <xf numFmtId="3" fontId="0" fillId="2" borderId="9" xfId="0" applyNumberFormat="1" applyFont="1" applyFill="1" applyBorder="1" applyAlignment="1">
      <alignment horizontal="right" vertical="center" indent="3"/>
    </xf>
    <xf numFmtId="0" fontId="34" fillId="2" borderId="7" xfId="0" applyNumberFormat="1" applyFont="1" applyFill="1" applyBorder="1" applyAlignment="1">
      <alignment horizontal="center" vertical="center"/>
    </xf>
    <xf numFmtId="0" fontId="63" fillId="2" borderId="12" xfId="0" applyNumberFormat="1" applyFont="1" applyFill="1" applyBorder="1" applyAlignment="1">
      <alignment horizontal="center" vertical="center"/>
    </xf>
    <xf numFmtId="0" fontId="79" fillId="2" borderId="9" xfId="7" applyFont="1" applyFill="1" applyBorder="1" applyAlignment="1">
      <alignment horizontal="center" vertical="center" wrapText="1"/>
    </xf>
    <xf numFmtId="3" fontId="4" fillId="2" borderId="12" xfId="0" applyNumberFormat="1" applyFont="1" applyFill="1" applyBorder="1" applyAlignment="1">
      <alignment horizontal="right" vertical="center" indent="3"/>
    </xf>
    <xf numFmtId="0" fontId="15" fillId="2" borderId="0" xfId="0" applyNumberFormat="1" applyFont="1" applyFill="1" applyBorder="1" applyAlignment="1">
      <alignment horizontal="center" vertical="center"/>
    </xf>
    <xf numFmtId="0" fontId="34" fillId="2" borderId="30" xfId="0" applyNumberFormat="1" applyFont="1" applyFill="1" applyBorder="1" applyAlignment="1">
      <alignment horizontal="right" vertical="center" wrapText="1"/>
    </xf>
    <xf numFmtId="0" fontId="34" fillId="2" borderId="0" xfId="0" applyNumberFormat="1" applyFont="1" applyFill="1" applyBorder="1" applyAlignment="1">
      <alignment horizontal="right" vertical="center" wrapText="1"/>
    </xf>
    <xf numFmtId="0" fontId="34" fillId="2" borderId="26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0" fontId="34" fillId="2" borderId="3" xfId="0" applyNumberFormat="1" applyFont="1" applyFill="1" applyBorder="1" applyAlignment="1">
      <alignment horizontal="center" vertical="center"/>
    </xf>
    <xf numFmtId="164" fontId="56" fillId="2" borderId="25" xfId="0" applyNumberFormat="1" applyFont="1" applyFill="1" applyBorder="1" applyAlignment="1">
      <alignment horizontal="center"/>
    </xf>
    <xf numFmtId="164" fontId="32" fillId="2" borderId="3" xfId="0" applyNumberFormat="1" applyFont="1" applyFill="1" applyBorder="1" applyAlignment="1">
      <alignment horizontal="right" vertical="center"/>
    </xf>
    <xf numFmtId="164" fontId="32" fillId="2" borderId="7" xfId="0" applyNumberFormat="1" applyFont="1" applyFill="1" applyBorder="1" applyAlignment="1">
      <alignment horizontal="right" vertical="center"/>
    </xf>
    <xf numFmtId="164" fontId="32" fillId="2" borderId="8" xfId="0" applyNumberFormat="1" applyFont="1" applyFill="1" applyBorder="1" applyAlignment="1">
      <alignment horizontal="right" vertical="center"/>
    </xf>
    <xf numFmtId="164" fontId="6" fillId="2" borderId="45" xfId="0" applyNumberFormat="1" applyFont="1" applyFill="1" applyBorder="1" applyAlignment="1">
      <alignment horizontal="right" vertical="center"/>
    </xf>
    <xf numFmtId="164" fontId="6" fillId="2" borderId="46" xfId="0" applyNumberFormat="1" applyFont="1" applyFill="1" applyBorder="1" applyAlignment="1">
      <alignment horizontal="right" vertical="center"/>
    </xf>
    <xf numFmtId="164" fontId="6" fillId="2" borderId="47" xfId="0" applyNumberFormat="1" applyFont="1" applyFill="1" applyBorder="1" applyAlignment="1">
      <alignment horizontal="right" vertical="center"/>
    </xf>
    <xf numFmtId="0" fontId="4" fillId="2" borderId="0" xfId="0" applyNumberFormat="1" applyFont="1" applyFill="1" applyBorder="1" applyAlignment="1">
      <alignment horizontal="left" vertical="center"/>
    </xf>
    <xf numFmtId="166" fontId="4" fillId="2" borderId="0" xfId="1" applyNumberFormat="1" applyFont="1" applyFill="1" applyBorder="1" applyAlignment="1">
      <alignment horizontal="right" vertical="center"/>
    </xf>
    <xf numFmtId="166" fontId="83" fillId="2" borderId="12" xfId="1" applyNumberFormat="1" applyFont="1" applyFill="1" applyBorder="1" applyAlignment="1">
      <alignment horizontal="right" vertical="center"/>
    </xf>
    <xf numFmtId="3" fontId="83" fillId="2" borderId="0" xfId="1" applyNumberFormat="1" applyFont="1" applyFill="1" applyBorder="1" applyAlignment="1">
      <alignment horizontal="right" vertical="center"/>
    </xf>
    <xf numFmtId="3" fontId="83" fillId="2" borderId="12" xfId="1" applyNumberFormat="1" applyFont="1" applyFill="1" applyBorder="1" applyAlignment="1">
      <alignment horizontal="right" vertical="center"/>
    </xf>
    <xf numFmtId="3" fontId="83" fillId="2" borderId="13" xfId="1" applyNumberFormat="1" applyFont="1" applyFill="1" applyBorder="1" applyAlignment="1">
      <alignment horizontal="right" vertical="center"/>
    </xf>
    <xf numFmtId="3" fontId="83" fillId="2" borderId="0" xfId="1" applyNumberFormat="1" applyFont="1" applyFill="1" applyAlignment="1">
      <alignment horizontal="right" vertical="center"/>
    </xf>
    <xf numFmtId="3" fontId="83" fillId="2" borderId="3" xfId="1" applyNumberFormat="1" applyFont="1" applyFill="1" applyBorder="1" applyAlignment="1">
      <alignment horizontal="right" vertical="center"/>
    </xf>
    <xf numFmtId="3" fontId="83" fillId="2" borderId="7" xfId="1" applyNumberFormat="1" applyFont="1" applyFill="1" applyBorder="1" applyAlignment="1">
      <alignment horizontal="right" vertical="center"/>
    </xf>
    <xf numFmtId="0" fontId="63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horizontal="left" vertical="center"/>
    </xf>
    <xf numFmtId="166" fontId="0" fillId="2" borderId="0" xfId="1" applyNumberFormat="1" applyFont="1" applyFill="1" applyBorder="1" applyAlignment="1">
      <alignment horizontal="right" vertical="center"/>
    </xf>
    <xf numFmtId="166" fontId="66" fillId="2" borderId="12" xfId="1" applyNumberFormat="1" applyFont="1" applyFill="1" applyBorder="1" applyAlignment="1">
      <alignment horizontal="right" vertical="center"/>
    </xf>
    <xf numFmtId="3" fontId="0" fillId="2" borderId="0" xfId="1" applyNumberFormat="1" applyFont="1" applyFill="1" applyBorder="1" applyAlignment="1">
      <alignment horizontal="right" vertical="center"/>
    </xf>
    <xf numFmtId="3" fontId="66" fillId="2" borderId="12" xfId="1" applyNumberFormat="1" applyFont="1" applyFill="1" applyBorder="1" applyAlignment="1">
      <alignment horizontal="right" vertical="center"/>
    </xf>
    <xf numFmtId="3" fontId="66" fillId="2" borderId="13" xfId="1" applyNumberFormat="1" applyFont="1" applyFill="1" applyBorder="1" applyAlignment="1">
      <alignment horizontal="right" vertical="center"/>
    </xf>
    <xf numFmtId="3" fontId="66" fillId="2" borderId="0" xfId="1" applyNumberFormat="1" applyFont="1" applyFill="1" applyBorder="1" applyAlignment="1">
      <alignment horizontal="right" vertical="center"/>
    </xf>
    <xf numFmtId="3" fontId="0" fillId="2" borderId="12" xfId="1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center"/>
    </xf>
    <xf numFmtId="164" fontId="0" fillId="2" borderId="39" xfId="0" applyNumberFormat="1" applyFill="1" applyBorder="1"/>
    <xf numFmtId="164" fontId="0" fillId="2" borderId="17" xfId="0" applyNumberFormat="1" applyFill="1" applyBorder="1"/>
    <xf numFmtId="0" fontId="65" fillId="2" borderId="0" xfId="0" applyNumberFormat="1" applyFont="1" applyFill="1" applyBorder="1" applyAlignment="1"/>
    <xf numFmtId="3" fontId="65" fillId="2" borderId="0" xfId="0" applyNumberFormat="1" applyFont="1" applyFill="1" applyBorder="1" applyAlignment="1"/>
    <xf numFmtId="0" fontId="84" fillId="2" borderId="0" xfId="0" applyNumberFormat="1" applyFont="1" applyFill="1" applyBorder="1" applyAlignment="1">
      <alignment wrapText="1"/>
    </xf>
    <xf numFmtId="164" fontId="0" fillId="2" borderId="0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3" fontId="66" fillId="2" borderId="10" xfId="1" applyNumberFormat="1" applyFont="1" applyFill="1" applyBorder="1" applyAlignment="1">
      <alignment horizontal="right" vertical="center"/>
    </xf>
    <xf numFmtId="3" fontId="0" fillId="2" borderId="4" xfId="1" applyNumberFormat="1" applyFont="1" applyFill="1" applyBorder="1" applyAlignment="1">
      <alignment horizontal="right" vertical="center"/>
    </xf>
    <xf numFmtId="3" fontId="0" fillId="2" borderId="9" xfId="1" applyNumberFormat="1" applyFont="1" applyFill="1" applyBorder="1" applyAlignment="1">
      <alignment horizontal="right" vertical="center"/>
    </xf>
    <xf numFmtId="3" fontId="66" fillId="2" borderId="4" xfId="1" applyNumberFormat="1" applyFont="1" applyFill="1" applyBorder="1" applyAlignment="1">
      <alignment horizontal="right" vertical="center"/>
    </xf>
    <xf numFmtId="164" fontId="29" fillId="2" borderId="5" xfId="0" applyNumberFormat="1" applyFont="1" applyFill="1" applyBorder="1" applyAlignment="1" applyProtection="1">
      <alignment vertical="center"/>
    </xf>
    <xf numFmtId="164" fontId="85" fillId="2" borderId="5" xfId="0" applyNumberFormat="1" applyFont="1" applyFill="1" applyBorder="1" applyAlignment="1" applyProtection="1">
      <alignment horizontal="center" vertical="center"/>
    </xf>
    <xf numFmtId="164" fontId="25" fillId="2" borderId="5" xfId="0" applyNumberFormat="1" applyFont="1" applyFill="1" applyBorder="1" applyAlignment="1">
      <alignment horizontal="center"/>
    </xf>
    <xf numFmtId="164" fontId="25" fillId="2" borderId="38" xfId="0" applyNumberFormat="1" applyFont="1" applyFill="1" applyBorder="1" applyAlignment="1">
      <alignment horizontal="center"/>
    </xf>
    <xf numFmtId="164" fontId="0" fillId="2" borderId="36" xfId="0" applyNumberFormat="1" applyFill="1" applyBorder="1"/>
    <xf numFmtId="3" fontId="3" fillId="2" borderId="13" xfId="1" applyNumberFormat="1" applyFont="1" applyFill="1" applyBorder="1" applyAlignment="1">
      <alignment horizontal="right" vertical="center"/>
    </xf>
    <xf numFmtId="164" fontId="72" fillId="2" borderId="0" xfId="0" applyNumberFormat="1" applyFont="1" applyFill="1" applyBorder="1" applyAlignment="1"/>
    <xf numFmtId="0" fontId="4" fillId="2" borderId="0" xfId="0" applyNumberFormat="1" applyFont="1" applyFill="1" applyAlignment="1">
      <alignment horizontal="center"/>
    </xf>
    <xf numFmtId="0" fontId="83" fillId="2" borderId="3" xfId="0" applyNumberFormat="1" applyFont="1" applyFill="1" applyBorder="1" applyAlignment="1">
      <alignment horizontal="center" vertical="center"/>
    </xf>
    <xf numFmtId="0" fontId="83" fillId="2" borderId="0" xfId="0" applyNumberFormat="1" applyFont="1" applyFill="1" applyBorder="1" applyAlignment="1">
      <alignment horizontal="left" vertical="center"/>
    </xf>
    <xf numFmtId="170" fontId="83" fillId="2" borderId="0" xfId="1" applyNumberFormat="1" applyFont="1" applyFill="1" applyBorder="1" applyAlignment="1">
      <alignment horizontal="right" vertical="center"/>
    </xf>
    <xf numFmtId="0" fontId="32" fillId="2" borderId="11" xfId="0" applyNumberFormat="1" applyFont="1" applyFill="1" applyBorder="1" applyAlignment="1">
      <alignment vertical="top"/>
    </xf>
    <xf numFmtId="164" fontId="83" fillId="2" borderId="0" xfId="0" applyNumberFormat="1" applyFont="1" applyFill="1"/>
    <xf numFmtId="0" fontId="86" fillId="2" borderId="0" xfId="0" applyNumberFormat="1" applyFont="1" applyFill="1" applyBorder="1" applyAlignment="1">
      <alignment horizontal="left" vertical="center" indent="2"/>
    </xf>
    <xf numFmtId="170" fontId="66" fillId="2" borderId="0" xfId="1" applyNumberFormat="1" applyFont="1" applyFill="1" applyBorder="1" applyAlignment="1">
      <alignment horizontal="right" vertical="center"/>
    </xf>
    <xf numFmtId="0" fontId="76" fillId="2" borderId="11" xfId="0" applyNumberFormat="1" applyFont="1" applyFill="1" applyBorder="1" applyAlignment="1">
      <alignment vertical="top"/>
    </xf>
    <xf numFmtId="0" fontId="66" fillId="2" borderId="4" xfId="0" applyNumberFormat="1" applyFont="1" applyFill="1" applyBorder="1" applyAlignment="1">
      <alignment horizontal="left" vertical="center"/>
    </xf>
    <xf numFmtId="169" fontId="66" fillId="2" borderId="4" xfId="1" applyNumberFormat="1" applyFont="1" applyFill="1" applyBorder="1" applyAlignment="1">
      <alignment horizontal="right" vertical="center"/>
    </xf>
    <xf numFmtId="170" fontId="66" fillId="2" borderId="4" xfId="1" applyNumberFormat="1" applyFont="1" applyFill="1" applyBorder="1" applyAlignment="1">
      <alignment horizontal="right" vertical="center"/>
    </xf>
    <xf numFmtId="0" fontId="76" fillId="2" borderId="4" xfId="0" applyNumberFormat="1" applyFont="1" applyFill="1" applyBorder="1" applyAlignment="1">
      <alignment vertical="top"/>
    </xf>
    <xf numFmtId="0" fontId="48" fillId="2" borderId="0" xfId="0" applyNumberFormat="1" applyFont="1" applyFill="1" applyAlignment="1">
      <alignment vertical="center"/>
    </xf>
    <xf numFmtId="0" fontId="28" fillId="2" borderId="0" xfId="0" applyNumberFormat="1" applyFont="1" applyFill="1" applyBorder="1" applyAlignment="1">
      <alignment vertical="center"/>
    </xf>
    <xf numFmtId="164" fontId="28" fillId="2" borderId="0" xfId="0" applyNumberFormat="1" applyFont="1" applyFill="1" applyAlignment="1">
      <alignment vertical="center"/>
    </xf>
    <xf numFmtId="0" fontId="60" fillId="2" borderId="11" xfId="0" applyNumberFormat="1" applyFont="1" applyFill="1" applyBorder="1" applyAlignment="1">
      <alignment vertical="center"/>
    </xf>
    <xf numFmtId="167" fontId="66" fillId="2" borderId="0" xfId="0" applyNumberFormat="1" applyFont="1" applyFill="1"/>
    <xf numFmtId="3" fontId="66" fillId="2" borderId="0" xfId="0" applyNumberFormat="1" applyFont="1" applyFill="1"/>
    <xf numFmtId="4" fontId="87" fillId="2" borderId="0" xfId="0" applyNumberFormat="1" applyFont="1" applyFill="1"/>
    <xf numFmtId="0" fontId="73" fillId="2" borderId="30" xfId="0" applyNumberFormat="1" applyFont="1" applyFill="1" applyBorder="1" applyAlignment="1">
      <alignment horizontal="center" vertical="center"/>
    </xf>
    <xf numFmtId="0" fontId="34" fillId="2" borderId="5" xfId="0" applyNumberFormat="1" applyFont="1" applyFill="1" applyBorder="1" applyAlignment="1">
      <alignment horizontal="left" vertical="center"/>
    </xf>
    <xf numFmtId="171" fontId="6" fillId="2" borderId="13" xfId="1" applyNumberFormat="1" applyFont="1" applyFill="1" applyBorder="1" applyAlignment="1">
      <alignment horizontal="right" vertical="center"/>
    </xf>
    <xf numFmtId="171" fontId="6" fillId="2" borderId="0" xfId="1" applyNumberFormat="1" applyFont="1" applyFill="1" applyBorder="1" applyAlignment="1">
      <alignment horizontal="right" vertical="center"/>
    </xf>
    <xf numFmtId="171" fontId="4" fillId="2" borderId="0" xfId="1" applyNumberFormat="1" applyFont="1" applyFill="1" applyBorder="1" applyAlignment="1">
      <alignment horizontal="right" vertical="center"/>
    </xf>
    <xf numFmtId="166" fontId="21" fillId="2" borderId="53" xfId="1" applyNumberFormat="1" applyFont="1" applyFill="1" applyBorder="1" applyAlignment="1">
      <alignment horizontal="right" vertical="center"/>
    </xf>
    <xf numFmtId="171" fontId="21" fillId="2" borderId="53" xfId="1" applyNumberFormat="1" applyFont="1" applyFill="1" applyBorder="1" applyAlignment="1">
      <alignment horizontal="right" vertical="center"/>
    </xf>
    <xf numFmtId="171" fontId="21" fillId="2" borderId="0" xfId="1" applyNumberFormat="1" applyFont="1" applyFill="1" applyBorder="1" applyAlignment="1">
      <alignment horizontal="right" vertical="center"/>
    </xf>
    <xf numFmtId="171" fontId="1" fillId="2" borderId="0" xfId="1" applyNumberFormat="1" applyFont="1" applyFill="1" applyBorder="1" applyAlignment="1">
      <alignment horizontal="right" vertical="center"/>
    </xf>
    <xf numFmtId="171" fontId="1" fillId="2" borderId="0" xfId="0" applyNumberFormat="1" applyFont="1" applyFill="1" applyBorder="1" applyAlignment="1">
      <alignment horizontal="right" vertical="center"/>
    </xf>
    <xf numFmtId="0" fontId="15" fillId="2" borderId="16" xfId="0" applyNumberFormat="1" applyFont="1" applyFill="1" applyBorder="1" applyAlignment="1">
      <alignment horizontal="left" vertical="center" wrapText="1"/>
    </xf>
    <xf numFmtId="0" fontId="15" fillId="2" borderId="17" xfId="0" applyNumberFormat="1" applyFont="1" applyFill="1" applyBorder="1" applyAlignment="1">
      <alignment horizontal="left" vertical="center"/>
    </xf>
    <xf numFmtId="166" fontId="66" fillId="2" borderId="53" xfId="1" applyNumberFormat="1" applyFont="1" applyFill="1" applyBorder="1" applyAlignment="1">
      <alignment horizontal="right" vertical="center"/>
    </xf>
    <xf numFmtId="171" fontId="66" fillId="2" borderId="0" xfId="1" applyNumberFormat="1" applyFont="1" applyFill="1" applyBorder="1" applyAlignment="1">
      <alignment horizontal="right" vertical="center"/>
    </xf>
    <xf numFmtId="171" fontId="1" fillId="2" borderId="12" xfId="0" applyNumberFormat="1" applyFont="1" applyFill="1" applyBorder="1" applyAlignment="1">
      <alignment horizontal="right" vertical="center"/>
    </xf>
    <xf numFmtId="171" fontId="0" fillId="2" borderId="0" xfId="0" applyNumberFormat="1" applyFont="1" applyFill="1" applyAlignment="1">
      <alignment horizontal="right" vertical="center"/>
    </xf>
    <xf numFmtId="171" fontId="0" fillId="2" borderId="0" xfId="0" applyNumberFormat="1" applyFont="1" applyFill="1" applyBorder="1" applyAlignment="1">
      <alignment horizontal="right" vertical="center"/>
    </xf>
    <xf numFmtId="171" fontId="0" fillId="2" borderId="0" xfId="0" applyNumberFormat="1" applyFont="1" applyFill="1" applyBorder="1" applyAlignment="1">
      <alignment horizontal="right" vertical="top"/>
    </xf>
    <xf numFmtId="164" fontId="88" fillId="2" borderId="0" xfId="0" applyNumberFormat="1" applyFont="1" applyFill="1" applyBorder="1" applyAlignment="1" applyProtection="1">
      <alignment horizontal="right" vertical="center" indent="2"/>
    </xf>
    <xf numFmtId="171" fontId="0" fillId="2" borderId="16" xfId="0" applyNumberFormat="1" applyFont="1" applyFill="1" applyBorder="1" applyAlignment="1">
      <alignment horizontal="right" vertical="center"/>
    </xf>
    <xf numFmtId="0" fontId="15" fillId="2" borderId="19" xfId="0" applyNumberFormat="1" applyFont="1" applyFill="1" applyBorder="1"/>
    <xf numFmtId="0" fontId="15" fillId="2" borderId="40" xfId="0" applyNumberFormat="1" applyFont="1" applyFill="1" applyBorder="1"/>
    <xf numFmtId="171" fontId="21" fillId="2" borderId="4" xfId="1" applyNumberFormat="1" applyFont="1" applyFill="1" applyBorder="1" applyAlignment="1">
      <alignment horizontal="right" vertical="center"/>
    </xf>
    <xf numFmtId="171" fontId="0" fillId="2" borderId="19" xfId="0" applyNumberFormat="1" applyFont="1" applyFill="1" applyBorder="1" applyAlignment="1">
      <alignment horizontal="right" vertical="center"/>
    </xf>
    <xf numFmtId="171" fontId="1" fillId="2" borderId="35" xfId="1" applyNumberFormat="1" applyFont="1" applyFill="1" applyBorder="1" applyAlignment="1">
      <alignment horizontal="right" vertical="center"/>
    </xf>
    <xf numFmtId="171" fontId="0" fillId="2" borderId="4" xfId="0" applyNumberFormat="1" applyFont="1" applyFill="1" applyBorder="1" applyAlignment="1">
      <alignment horizontal="right" vertical="center"/>
    </xf>
    <xf numFmtId="171" fontId="0" fillId="2" borderId="4" xfId="0" applyNumberFormat="1" applyFont="1" applyFill="1" applyBorder="1" applyAlignment="1">
      <alignment horizontal="right" vertical="top"/>
    </xf>
    <xf numFmtId="164" fontId="88" fillId="2" borderId="4" xfId="0" applyNumberFormat="1" applyFont="1" applyFill="1" applyBorder="1" applyAlignment="1" applyProtection="1">
      <alignment horizontal="right" vertical="center" indent="2"/>
    </xf>
    <xf numFmtId="0" fontId="48" fillId="2" borderId="5" xfId="0" applyNumberFormat="1" applyFont="1" applyFill="1" applyBorder="1" applyAlignment="1">
      <alignment vertical="top"/>
    </xf>
    <xf numFmtId="0" fontId="60" fillId="2" borderId="21" xfId="0" applyNumberFormat="1" applyFont="1" applyFill="1" applyBorder="1" applyAlignment="1">
      <alignment vertical="top"/>
    </xf>
    <xf numFmtId="0" fontId="90" fillId="2" borderId="0" xfId="0" applyFont="1" applyFill="1" applyAlignment="1">
      <alignment vertical="center" readingOrder="1"/>
    </xf>
    <xf numFmtId="0" fontId="0" fillId="2" borderId="0" xfId="0" applyNumberFormat="1" applyFont="1" applyFill="1" applyBorder="1" applyAlignment="1">
      <alignment wrapText="1"/>
    </xf>
    <xf numFmtId="0" fontId="0" fillId="2" borderId="0" xfId="0" applyNumberFormat="1" applyFont="1" applyFill="1" applyAlignment="1">
      <alignment wrapText="1"/>
    </xf>
    <xf numFmtId="164" fontId="19" fillId="2" borderId="0" xfId="0" applyNumberFormat="1" applyFont="1" applyFill="1" applyBorder="1" applyAlignment="1">
      <alignment horizontal="left" vertical="center" wrapText="1" indent="1"/>
    </xf>
    <xf numFmtId="164" fontId="14" fillId="2" borderId="0" xfId="0" applyNumberFormat="1" applyFont="1" applyFill="1" applyBorder="1" applyAlignment="1" applyProtection="1">
      <alignment horizontal="right" vertical="center" wrapText="1" indent="1"/>
    </xf>
    <xf numFmtId="164" fontId="0" fillId="2" borderId="55" xfId="0" applyNumberFormat="1" applyFont="1" applyFill="1" applyBorder="1" applyAlignment="1">
      <alignment vertical="center"/>
    </xf>
    <xf numFmtId="164" fontId="0" fillId="2" borderId="54" xfId="0" applyNumberFormat="1" applyFont="1" applyFill="1" applyBorder="1" applyAlignment="1">
      <alignment vertical="center"/>
    </xf>
    <xf numFmtId="164" fontId="28" fillId="2" borderId="0" xfId="0" applyNumberFormat="1" applyFont="1" applyFill="1" applyBorder="1" applyAlignment="1">
      <alignment vertical="top"/>
    </xf>
    <xf numFmtId="164" fontId="22" fillId="2" borderId="0" xfId="0" applyNumberFormat="1" applyFont="1" applyFill="1" applyBorder="1" applyAlignment="1">
      <alignment vertical="top"/>
    </xf>
    <xf numFmtId="164" fontId="83" fillId="2" borderId="56" xfId="0" applyNumberFormat="1" applyFont="1" applyFill="1" applyBorder="1" applyAlignment="1" applyProtection="1">
      <alignment horizontal="center" vertical="center"/>
    </xf>
    <xf numFmtId="164" fontId="83" fillId="2" borderId="4" xfId="0" applyNumberFormat="1" applyFont="1" applyFill="1" applyBorder="1" applyAlignment="1" applyProtection="1">
      <alignment horizontal="center" vertical="center"/>
    </xf>
    <xf numFmtId="164" fontId="83" fillId="2" borderId="57" xfId="0" applyNumberFormat="1" applyFont="1" applyFill="1" applyBorder="1" applyAlignment="1" applyProtection="1">
      <alignment horizontal="center" vertical="center"/>
    </xf>
    <xf numFmtId="164" fontId="28" fillId="2" borderId="14" xfId="0" applyNumberFormat="1" applyFont="1" applyFill="1" applyBorder="1" applyAlignment="1">
      <alignment vertical="top"/>
    </xf>
    <xf numFmtId="164" fontId="22" fillId="2" borderId="6" xfId="0" applyNumberFormat="1" applyFont="1" applyFill="1" applyBorder="1" applyAlignment="1">
      <alignment vertical="top"/>
    </xf>
    <xf numFmtId="164" fontId="93" fillId="2" borderId="58" xfId="0" applyNumberFormat="1" applyFont="1" applyFill="1" applyBorder="1" applyAlignment="1" applyProtection="1">
      <alignment horizontal="left" vertical="center"/>
    </xf>
    <xf numFmtId="164" fontId="93" fillId="2" borderId="58" xfId="0" applyNumberFormat="1" applyFont="1" applyFill="1" applyBorder="1" applyAlignment="1">
      <alignment horizontal="right" vertical="center"/>
    </xf>
    <xf numFmtId="164" fontId="61" fillId="2" borderId="58" xfId="0" applyNumberFormat="1" applyFont="1" applyFill="1" applyBorder="1" applyAlignment="1">
      <alignment horizontal="right" vertical="center"/>
    </xf>
    <xf numFmtId="164" fontId="94" fillId="2" borderId="59" xfId="0" applyNumberFormat="1" applyFont="1" applyFill="1" applyBorder="1" applyAlignment="1">
      <alignment vertical="center"/>
    </xf>
    <xf numFmtId="164" fontId="94" fillId="2" borderId="0" xfId="0" applyNumberFormat="1" applyFont="1" applyFill="1" applyBorder="1" applyAlignment="1">
      <alignment vertical="center"/>
    </xf>
    <xf numFmtId="164" fontId="25" fillId="2" borderId="0" xfId="0" applyNumberFormat="1" applyFont="1" applyFill="1" applyBorder="1" applyAlignment="1">
      <alignment vertical="center"/>
    </xf>
    <xf numFmtId="164" fontId="25" fillId="2" borderId="60" xfId="0" applyNumberFormat="1" applyFont="1" applyFill="1" applyBorder="1" applyAlignment="1">
      <alignment vertical="center"/>
    </xf>
    <xf numFmtId="164" fontId="93" fillId="2" borderId="6" xfId="0" applyNumberFormat="1" applyFont="1" applyFill="1" applyBorder="1" applyAlignment="1" applyProtection="1">
      <alignment horizontal="left" vertical="center"/>
    </xf>
    <xf numFmtId="3" fontId="93" fillId="2" borderId="6" xfId="0" applyNumberFormat="1" applyFont="1" applyFill="1" applyBorder="1" applyAlignment="1">
      <alignment vertical="center"/>
    </xf>
    <xf numFmtId="164" fontId="95" fillId="2" borderId="61" xfId="0" applyNumberFormat="1" applyFont="1" applyFill="1" applyBorder="1" applyAlignment="1">
      <alignment horizontal="right" vertical="center"/>
    </xf>
    <xf numFmtId="164" fontId="25" fillId="2" borderId="59" xfId="0" applyNumberFormat="1" applyFont="1" applyFill="1" applyBorder="1"/>
    <xf numFmtId="164" fontId="28" fillId="2" borderId="60" xfId="0" applyNumberFormat="1" applyFont="1" applyFill="1" applyBorder="1" applyAlignment="1" applyProtection="1">
      <alignment horizontal="left" vertical="center"/>
    </xf>
    <xf numFmtId="3" fontId="93" fillId="2" borderId="14" xfId="0" applyNumberFormat="1" applyFont="1" applyFill="1" applyBorder="1" applyAlignment="1">
      <alignment vertical="center"/>
    </xf>
    <xf numFmtId="3" fontId="93" fillId="2" borderId="0" xfId="0" applyNumberFormat="1" applyFont="1" applyFill="1" applyBorder="1" applyAlignment="1">
      <alignment vertical="center"/>
    </xf>
    <xf numFmtId="3" fontId="28" fillId="2" borderId="0" xfId="0" applyNumberFormat="1" applyFont="1" applyFill="1" applyBorder="1" applyAlignment="1">
      <alignment vertical="center"/>
    </xf>
    <xf numFmtId="164" fontId="96" fillId="2" borderId="62" xfId="0" applyNumberFormat="1" applyFont="1" applyFill="1" applyBorder="1" applyAlignment="1">
      <alignment horizontal="right" vertical="center"/>
    </xf>
    <xf numFmtId="3" fontId="28" fillId="2" borderId="60" xfId="0" applyNumberFormat="1" applyFont="1" applyFill="1" applyBorder="1" applyAlignment="1">
      <alignment vertical="center"/>
    </xf>
    <xf numFmtId="3" fontId="28" fillId="2" borderId="59" xfId="0" applyNumberFormat="1" applyFont="1" applyFill="1" applyBorder="1" applyAlignment="1">
      <alignment vertical="center"/>
    </xf>
    <xf numFmtId="3" fontId="28" fillId="2" borderId="60" xfId="0" applyNumberFormat="1" applyFont="1" applyFill="1" applyBorder="1" applyAlignment="1" applyProtection="1">
      <alignment horizontal="right" vertical="center"/>
    </xf>
    <xf numFmtId="164" fontId="7" fillId="2" borderId="59" xfId="3" applyNumberFormat="1" applyFill="1" applyBorder="1" applyAlignment="1" applyProtection="1"/>
    <xf numFmtId="164" fontId="25" fillId="2" borderId="59" xfId="0" applyNumberFormat="1" applyFont="1" applyFill="1" applyBorder="1" applyAlignment="1">
      <alignment vertical="center"/>
    </xf>
    <xf numFmtId="164" fontId="28" fillId="2" borderId="63" xfId="0" applyNumberFormat="1" applyFont="1" applyFill="1" applyBorder="1" applyAlignment="1" applyProtection="1">
      <alignment horizontal="left" vertical="center"/>
    </xf>
    <xf numFmtId="3" fontId="28" fillId="2" borderId="63" xfId="0" applyNumberFormat="1" applyFont="1" applyFill="1" applyBorder="1" applyAlignment="1">
      <alignment vertical="center"/>
    </xf>
    <xf numFmtId="3" fontId="28" fillId="2" borderId="64" xfId="0" applyNumberFormat="1" applyFont="1" applyFill="1" applyBorder="1" applyAlignment="1">
      <alignment vertical="center"/>
    </xf>
    <xf numFmtId="3" fontId="28" fillId="2" borderId="65" xfId="0" applyNumberFormat="1" applyFont="1" applyFill="1" applyBorder="1" applyAlignment="1">
      <alignment vertical="center"/>
    </xf>
    <xf numFmtId="164" fontId="96" fillId="2" borderId="66" xfId="0" applyNumberFormat="1" applyFont="1" applyFill="1" applyBorder="1" applyAlignment="1">
      <alignment horizontal="right" vertical="center"/>
    </xf>
    <xf numFmtId="3" fontId="93" fillId="2" borderId="6" xfId="0" applyNumberFormat="1" applyFont="1" applyFill="1" applyBorder="1" applyAlignment="1" applyProtection="1">
      <alignment horizontal="right" vertical="center"/>
    </xf>
    <xf numFmtId="164" fontId="28" fillId="2" borderId="6" xfId="0" applyNumberFormat="1" applyFont="1" applyFill="1" applyBorder="1" applyAlignment="1" applyProtection="1">
      <alignment horizontal="left" vertical="center"/>
    </xf>
    <xf numFmtId="167" fontId="28" fillId="2" borderId="6" xfId="0" applyNumberFormat="1" applyFont="1" applyFill="1" applyBorder="1" applyAlignment="1" applyProtection="1">
      <alignment horizontal="right" vertical="center"/>
    </xf>
    <xf numFmtId="167" fontId="28" fillId="2" borderId="60" xfId="0" applyNumberFormat="1" applyFont="1" applyFill="1" applyBorder="1" applyAlignment="1" applyProtection="1">
      <alignment horizontal="right" vertical="center"/>
    </xf>
    <xf numFmtId="165" fontId="28" fillId="2" borderId="60" xfId="0" applyNumberFormat="1" applyFont="1" applyFill="1" applyBorder="1" applyAlignment="1" applyProtection="1">
      <alignment horizontal="right" vertical="center"/>
    </xf>
    <xf numFmtId="164" fontId="28" fillId="2" borderId="54" xfId="0" applyNumberFormat="1" applyFont="1" applyFill="1" applyBorder="1" applyAlignment="1" applyProtection="1">
      <alignment horizontal="left" vertical="center"/>
    </xf>
    <xf numFmtId="165" fontId="28" fillId="2" borderId="54" xfId="0" applyNumberFormat="1" applyFont="1" applyFill="1" applyBorder="1" applyAlignment="1" applyProtection="1">
      <alignment horizontal="right" vertical="center"/>
    </xf>
    <xf numFmtId="164" fontId="96" fillId="2" borderId="67" xfId="0" applyNumberFormat="1" applyFont="1" applyFill="1" applyBorder="1" applyAlignment="1">
      <alignment horizontal="right" vertical="center"/>
    </xf>
    <xf numFmtId="164" fontId="25" fillId="2" borderId="55" xfId="0" applyNumberFormat="1" applyFont="1" applyFill="1" applyBorder="1"/>
    <xf numFmtId="164" fontId="25" fillId="2" borderId="54" xfId="0" applyNumberFormat="1" applyFont="1" applyFill="1" applyBorder="1" applyAlignment="1">
      <alignment vertical="center"/>
    </xf>
    <xf numFmtId="164" fontId="28" fillId="2" borderId="45" xfId="0" applyNumberFormat="1" applyFont="1" applyFill="1" applyBorder="1" applyAlignment="1" applyProtection="1">
      <alignment horizontal="left" vertical="center"/>
    </xf>
    <xf numFmtId="165" fontId="28" fillId="2" borderId="63" xfId="0" applyNumberFormat="1" applyFont="1" applyFill="1" applyBorder="1" applyAlignment="1" applyProtection="1">
      <alignment horizontal="right" vertical="center"/>
    </xf>
    <xf numFmtId="164" fontId="96" fillId="2" borderId="45" xfId="0" applyNumberFormat="1" applyFont="1" applyFill="1" applyBorder="1" applyAlignment="1">
      <alignment horizontal="right" vertical="center"/>
    </xf>
    <xf numFmtId="164" fontId="25" fillId="2" borderId="0" xfId="0" applyNumberFormat="1" applyFont="1" applyFill="1" applyBorder="1"/>
    <xf numFmtId="165" fontId="93" fillId="2" borderId="6" xfId="0" applyNumberFormat="1" applyFont="1" applyFill="1" applyBorder="1" applyAlignment="1" applyProtection="1">
      <alignment horizontal="right" vertical="center"/>
    </xf>
    <xf numFmtId="164" fontId="97" fillId="2" borderId="59" xfId="0" applyNumberFormat="1" applyFont="1" applyFill="1" applyBorder="1"/>
    <xf numFmtId="164" fontId="98" fillId="2" borderId="0" xfId="0" applyNumberFormat="1" applyFont="1" applyFill="1" applyBorder="1" applyAlignment="1">
      <alignment vertical="center"/>
    </xf>
    <xf numFmtId="167" fontId="93" fillId="2" borderId="0" xfId="0" applyNumberFormat="1" applyFont="1" applyFill="1" applyBorder="1" applyAlignment="1" applyProtection="1">
      <alignment horizontal="right" vertical="center"/>
    </xf>
    <xf numFmtId="164" fontId="97" fillId="2" borderId="0" xfId="0" applyNumberFormat="1" applyFont="1" applyFill="1" applyBorder="1" applyAlignment="1">
      <alignment vertical="center"/>
    </xf>
    <xf numFmtId="164" fontId="97" fillId="2" borderId="60" xfId="0" applyNumberFormat="1" applyFont="1" applyFill="1" applyBorder="1" applyAlignment="1">
      <alignment vertical="center"/>
    </xf>
    <xf numFmtId="165" fontId="28" fillId="2" borderId="6" xfId="0" applyNumberFormat="1" applyFont="1" applyFill="1" applyBorder="1" applyAlignment="1" applyProtection="1">
      <alignment horizontal="right" vertical="center"/>
    </xf>
    <xf numFmtId="167" fontId="28" fillId="2" borderId="0" xfId="0" applyNumberFormat="1" applyFont="1" applyFill="1" applyBorder="1" applyAlignment="1" applyProtection="1">
      <alignment horizontal="right" vertical="center"/>
    </xf>
    <xf numFmtId="164" fontId="28" fillId="2" borderId="68" xfId="0" applyNumberFormat="1" applyFont="1" applyFill="1" applyBorder="1" applyAlignment="1" applyProtection="1">
      <alignment horizontal="left" vertical="center"/>
    </xf>
    <xf numFmtId="165" fontId="28" fillId="2" borderId="4" xfId="0" applyNumberFormat="1" applyFont="1" applyFill="1" applyBorder="1" applyAlignment="1" applyProtection="1">
      <alignment horizontal="right" vertical="center"/>
    </xf>
    <xf numFmtId="165" fontId="28" fillId="2" borderId="68" xfId="0" applyNumberFormat="1" applyFont="1" applyFill="1" applyBorder="1" applyAlignment="1" applyProtection="1">
      <alignment horizontal="right" vertical="center"/>
    </xf>
    <xf numFmtId="164" fontId="96" fillId="2" borderId="4" xfId="0" applyNumberFormat="1" applyFont="1" applyFill="1" applyBorder="1" applyAlignment="1">
      <alignment horizontal="right" vertical="center"/>
    </xf>
    <xf numFmtId="164" fontId="28" fillId="2" borderId="6" xfId="0" applyNumberFormat="1" applyFont="1" applyFill="1" applyBorder="1" applyAlignment="1" applyProtection="1">
      <alignment horizontal="fill" vertical="center"/>
    </xf>
    <xf numFmtId="164" fontId="94" fillId="2" borderId="60" xfId="0" applyNumberFormat="1" applyFont="1" applyFill="1" applyBorder="1" applyAlignment="1">
      <alignment vertical="center"/>
    </xf>
    <xf numFmtId="164" fontId="0" fillId="2" borderId="60" xfId="0" applyNumberFormat="1" applyFont="1" applyFill="1" applyBorder="1" applyAlignment="1">
      <alignment vertical="center"/>
    </xf>
    <xf numFmtId="3" fontId="98" fillId="2" borderId="60" xfId="0" applyNumberFormat="1" applyFont="1" applyFill="1" applyBorder="1" applyAlignment="1" applyProtection="1">
      <alignment horizontal="right" vertical="center"/>
    </xf>
    <xf numFmtId="164" fontId="98" fillId="2" borderId="0" xfId="0" applyNumberFormat="1" applyFont="1" applyFill="1" applyBorder="1" applyAlignment="1" applyProtection="1">
      <alignment horizontal="left" vertical="center"/>
    </xf>
    <xf numFmtId="164" fontId="98" fillId="2" borderId="0" xfId="0" applyNumberFormat="1" applyFont="1" applyFill="1" applyBorder="1" applyAlignment="1">
      <alignment horizontal="right" vertical="center"/>
    </xf>
    <xf numFmtId="3" fontId="94" fillId="2" borderId="60" xfId="0" applyNumberFormat="1" applyFont="1" applyFill="1" applyBorder="1" applyAlignment="1" applyProtection="1">
      <alignment horizontal="right" vertical="center"/>
    </xf>
    <xf numFmtId="3" fontId="98" fillId="2" borderId="0" xfId="0" applyNumberFormat="1" applyFont="1" applyFill="1" applyBorder="1" applyAlignment="1">
      <alignment vertical="center"/>
    </xf>
    <xf numFmtId="164" fontId="94" fillId="2" borderId="0" xfId="0" applyNumberFormat="1" applyFont="1" applyFill="1" applyBorder="1" applyAlignment="1" applyProtection="1">
      <alignment horizontal="left" vertical="center"/>
    </xf>
    <xf numFmtId="3" fontId="94" fillId="2" borderId="0" xfId="0" applyNumberFormat="1" applyFont="1" applyFill="1" applyBorder="1" applyAlignment="1">
      <alignment vertical="center"/>
    </xf>
    <xf numFmtId="164" fontId="94" fillId="2" borderId="55" xfId="0" applyNumberFormat="1" applyFont="1" applyFill="1" applyBorder="1" applyAlignment="1">
      <alignment vertical="center"/>
    </xf>
    <xf numFmtId="164" fontId="94" fillId="2" borderId="54" xfId="0" applyNumberFormat="1" applyFont="1" applyFill="1" applyBorder="1" applyAlignment="1">
      <alignment vertical="center"/>
    </xf>
    <xf numFmtId="164" fontId="28" fillId="2" borderId="0" xfId="0" applyNumberFormat="1" applyFont="1" applyFill="1" applyBorder="1" applyAlignment="1" applyProtection="1">
      <alignment horizontal="right" vertical="center"/>
    </xf>
    <xf numFmtId="164" fontId="93" fillId="2" borderId="0" xfId="0" applyNumberFormat="1" applyFont="1" applyFill="1" applyBorder="1" applyAlignment="1">
      <alignment horizontal="right" vertical="center"/>
    </xf>
    <xf numFmtId="164" fontId="28" fillId="2" borderId="0" xfId="0" applyNumberFormat="1" applyFont="1" applyFill="1" applyBorder="1" applyAlignment="1" applyProtection="1">
      <alignment horizontal="left" vertical="center"/>
    </xf>
    <xf numFmtId="3" fontId="28" fillId="2" borderId="0" xfId="0" applyNumberFormat="1" applyFont="1" applyFill="1" applyBorder="1" applyAlignment="1">
      <alignment horizontal="right" vertical="center"/>
    </xf>
    <xf numFmtId="164" fontId="0" fillId="2" borderId="59" xfId="0" applyNumberFormat="1" applyFont="1" applyFill="1" applyBorder="1" applyAlignment="1">
      <alignment vertical="center"/>
    </xf>
    <xf numFmtId="166" fontId="17" fillId="2" borderId="15" xfId="1" applyNumberFormat="1" applyFont="1" applyFill="1" applyBorder="1" applyAlignment="1">
      <alignment horizontal="center" vertical="center" wrapText="1"/>
    </xf>
    <xf numFmtId="166" fontId="17" fillId="2" borderId="70" xfId="1" applyNumberFormat="1" applyFont="1" applyFill="1" applyBorder="1" applyAlignment="1">
      <alignment horizontal="center" vertical="center" wrapText="1"/>
    </xf>
    <xf numFmtId="166" fontId="17" fillId="2" borderId="4" xfId="1" applyNumberFormat="1" applyFont="1" applyFill="1" applyBorder="1" applyAlignment="1">
      <alignment horizontal="right" vertical="center" wrapText="1"/>
    </xf>
    <xf numFmtId="166" fontId="17" fillId="2" borderId="10" xfId="1" applyNumberFormat="1" applyFont="1" applyFill="1" applyBorder="1" applyAlignment="1">
      <alignment horizontal="right" vertical="center" wrapText="1"/>
    </xf>
    <xf numFmtId="166" fontId="17" fillId="2" borderId="4" xfId="1" applyNumberFormat="1" applyFont="1" applyFill="1" applyBorder="1" applyAlignment="1">
      <alignment horizontal="center" vertical="center" wrapText="1"/>
    </xf>
    <xf numFmtId="166" fontId="17" fillId="2" borderId="9" xfId="1" applyNumberFormat="1" applyFont="1" applyFill="1" applyBorder="1" applyAlignment="1">
      <alignment horizontal="right" vertical="center" wrapText="1"/>
    </xf>
    <xf numFmtId="0" fontId="17" fillId="2" borderId="0" xfId="0" applyNumberFormat="1" applyFont="1" applyFill="1" applyBorder="1" applyAlignment="1">
      <alignment horizontal="left" vertical="center" wrapText="1"/>
    </xf>
    <xf numFmtId="3" fontId="17" fillId="2" borderId="0" xfId="1" applyNumberFormat="1" applyFont="1" applyFill="1" applyBorder="1" applyAlignment="1" applyProtection="1"/>
    <xf numFmtId="3" fontId="17" fillId="2" borderId="13" xfId="1" applyNumberFormat="1" applyFont="1" applyFill="1" applyBorder="1" applyAlignment="1" applyProtection="1"/>
    <xf numFmtId="3" fontId="17" fillId="2" borderId="12" xfId="1" applyNumberFormat="1" applyFont="1" applyFill="1" applyBorder="1" applyAlignment="1" applyProtection="1"/>
    <xf numFmtId="3" fontId="17" fillId="2" borderId="0" xfId="1" applyNumberFormat="1" applyFont="1" applyFill="1" applyBorder="1" applyAlignment="1"/>
    <xf numFmtId="3" fontId="17" fillId="2" borderId="13" xfId="1" applyNumberFormat="1" applyFont="1" applyFill="1" applyBorder="1" applyAlignment="1"/>
    <xf numFmtId="3" fontId="17" fillId="2" borderId="12" xfId="1" applyNumberFormat="1" applyFont="1" applyFill="1" applyBorder="1" applyAlignment="1"/>
    <xf numFmtId="170" fontId="0" fillId="2" borderId="0" xfId="1" applyNumberFormat="1" applyFont="1" applyFill="1"/>
    <xf numFmtId="0" fontId="22" fillId="2" borderId="0" xfId="0" applyNumberFormat="1" applyFont="1" applyFill="1" applyBorder="1" applyAlignment="1">
      <alignment horizontal="left" vertical="center" wrapText="1"/>
    </xf>
    <xf numFmtId="0" fontId="22" fillId="2" borderId="65" xfId="0" applyNumberFormat="1" applyFont="1" applyFill="1" applyBorder="1" applyAlignment="1">
      <alignment horizontal="center" vertical="center"/>
    </xf>
    <xf numFmtId="0" fontId="22" fillId="2" borderId="65" xfId="0" applyNumberFormat="1" applyFont="1" applyFill="1" applyBorder="1" applyAlignment="1">
      <alignment horizontal="left" vertical="center" wrapText="1"/>
    </xf>
    <xf numFmtId="166" fontId="17" fillId="2" borderId="0" xfId="1" applyNumberFormat="1" applyFont="1" applyFill="1" applyBorder="1" applyAlignment="1">
      <alignment horizontal="center" vertical="center" wrapText="1"/>
    </xf>
    <xf numFmtId="0" fontId="17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/>
    <xf numFmtId="166" fontId="17" fillId="2" borderId="0" xfId="1" applyNumberFormat="1" applyFont="1" applyFill="1" applyBorder="1" applyAlignment="1">
      <alignment horizontal="right" vertical="center" wrapText="1"/>
    </xf>
    <xf numFmtId="166" fontId="38" fillId="2" borderId="0" xfId="1" applyNumberFormat="1" applyFont="1" applyFill="1" applyBorder="1" applyAlignment="1">
      <alignment horizontal="right" vertical="center" wrapText="1"/>
    </xf>
    <xf numFmtId="3" fontId="22" fillId="2" borderId="0" xfId="1" applyNumberFormat="1" applyFont="1" applyFill="1" applyBorder="1" applyAlignment="1"/>
    <xf numFmtId="0" fontId="22" fillId="2" borderId="0" xfId="0" applyNumberFormat="1" applyFont="1" applyFill="1" applyBorder="1" applyAlignment="1">
      <alignment vertical="center"/>
    </xf>
    <xf numFmtId="49" fontId="22" fillId="2" borderId="0" xfId="0" applyNumberFormat="1" applyFont="1" applyFill="1" applyBorder="1" applyAlignment="1">
      <alignment horizontal="center" vertical="center"/>
    </xf>
    <xf numFmtId="49" fontId="22" fillId="2" borderId="65" xfId="0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left" vertical="center" wrapText="1"/>
    </xf>
    <xf numFmtId="0" fontId="22" fillId="2" borderId="45" xfId="0" applyNumberFormat="1" applyFont="1" applyFill="1" applyBorder="1" applyAlignment="1">
      <alignment horizontal="center" vertical="center"/>
    </xf>
    <xf numFmtId="0" fontId="22" fillId="2" borderId="45" xfId="0" applyFont="1" applyFill="1" applyBorder="1" applyAlignment="1">
      <alignment horizontal="left" vertical="center" wrapText="1"/>
    </xf>
    <xf numFmtId="0" fontId="22" fillId="2" borderId="4" xfId="0" applyNumberFormat="1" applyFont="1" applyFill="1" applyBorder="1" applyAlignment="1">
      <alignment horizontal="left" vertical="center" wrapText="1"/>
    </xf>
    <xf numFmtId="164" fontId="39" fillId="2" borderId="5" xfId="0" applyNumberFormat="1" applyFont="1" applyFill="1" applyBorder="1" applyAlignment="1" applyProtection="1">
      <alignment vertical="center"/>
    </xf>
    <xf numFmtId="164" fontId="100" fillId="2" borderId="0" xfId="0" applyNumberFormat="1" applyFont="1" applyFill="1"/>
    <xf numFmtId="164" fontId="99" fillId="2" borderId="0" xfId="0" applyNumberFormat="1" applyFont="1" applyFill="1"/>
    <xf numFmtId="164" fontId="101" fillId="2" borderId="0" xfId="0" applyNumberFormat="1" applyFont="1" applyFill="1"/>
    <xf numFmtId="3" fontId="22" fillId="2" borderId="13" xfId="1" applyNumberFormat="1" applyFont="1" applyFill="1" applyBorder="1" applyAlignment="1"/>
    <xf numFmtId="3" fontId="22" fillId="2" borderId="65" xfId="1" applyNumberFormat="1" applyFont="1" applyFill="1" applyBorder="1" applyAlignment="1"/>
    <xf numFmtId="3" fontId="17" fillId="2" borderId="65" xfId="1" applyNumberFormat="1" applyFont="1" applyFill="1" applyBorder="1" applyAlignment="1"/>
    <xf numFmtId="3" fontId="22" fillId="2" borderId="71" xfId="1" applyNumberFormat="1" applyFont="1" applyFill="1" applyBorder="1" applyAlignment="1"/>
    <xf numFmtId="3" fontId="17" fillId="2" borderId="72" xfId="1" applyNumberFormat="1" applyFont="1" applyFill="1" applyBorder="1" applyAlignment="1"/>
    <xf numFmtId="3" fontId="22" fillId="2" borderId="12" xfId="1" applyNumberFormat="1" applyFont="1" applyFill="1" applyBorder="1" applyAlignment="1"/>
    <xf numFmtId="3" fontId="22" fillId="2" borderId="72" xfId="1" applyNumberFormat="1" applyFont="1" applyFill="1" applyBorder="1" applyAlignment="1"/>
    <xf numFmtId="3" fontId="22" fillId="2" borderId="4" xfId="1" applyNumberFormat="1" applyFont="1" applyFill="1" applyBorder="1" applyAlignment="1"/>
    <xf numFmtId="3" fontId="22" fillId="2" borderId="10" xfId="1" applyNumberFormat="1" applyFont="1" applyFill="1" applyBorder="1" applyAlignment="1"/>
    <xf numFmtId="3" fontId="22" fillId="2" borderId="9" xfId="1" applyNumberFormat="1" applyFont="1" applyFill="1" applyBorder="1" applyAlignment="1"/>
    <xf numFmtId="164" fontId="102" fillId="2" borderId="0" xfId="0" applyNumberFormat="1" applyFont="1" applyFill="1" applyBorder="1" applyAlignment="1" applyProtection="1">
      <alignment horizontal="center" vertical="center"/>
    </xf>
    <xf numFmtId="164" fontId="0" fillId="2" borderId="0" xfId="0" applyNumberFormat="1" applyFont="1" applyFill="1" applyAlignment="1">
      <alignment horizontal="center"/>
    </xf>
    <xf numFmtId="164" fontId="0" fillId="2" borderId="0" xfId="0" applyNumberFormat="1" applyFont="1" applyFill="1" applyAlignment="1"/>
    <xf numFmtId="164" fontId="103" fillId="2" borderId="0" xfId="0" applyNumberFormat="1" applyFont="1" applyFill="1" applyBorder="1" applyAlignment="1" applyProtection="1">
      <alignment horizontal="center" vertical="center"/>
    </xf>
    <xf numFmtId="164" fontId="104" fillId="2" borderId="0" xfId="0" applyNumberFormat="1" applyFont="1" applyFill="1" applyBorder="1" applyAlignment="1">
      <alignment vertical="center"/>
    </xf>
    <xf numFmtId="164" fontId="107" fillId="2" borderId="0" xfId="0" applyNumberFormat="1" applyFont="1" applyFill="1" applyAlignment="1">
      <alignment horizontal="center" vertical="center"/>
    </xf>
    <xf numFmtId="164" fontId="108" fillId="2" borderId="10" xfId="0" applyNumberFormat="1" applyFont="1" applyFill="1" applyBorder="1" applyAlignment="1" applyProtection="1">
      <alignment horizontal="center" textRotation="90" wrapText="1"/>
    </xf>
    <xf numFmtId="164" fontId="109" fillId="2" borderId="4" xfId="0" applyNumberFormat="1" applyFont="1" applyFill="1" applyBorder="1" applyAlignment="1" applyProtection="1">
      <alignment horizontal="right" textRotation="90"/>
    </xf>
    <xf numFmtId="164" fontId="108" fillId="2" borderId="4" xfId="0" applyNumberFormat="1" applyFont="1" applyFill="1" applyBorder="1" applyAlignment="1" applyProtection="1">
      <alignment horizontal="left" textRotation="90" wrapText="1"/>
    </xf>
    <xf numFmtId="164" fontId="108" fillId="2" borderId="4" xfId="0" applyNumberFormat="1" applyFont="1" applyFill="1" applyBorder="1" applyAlignment="1" applyProtection="1">
      <alignment horizontal="center" textRotation="90" wrapText="1"/>
    </xf>
    <xf numFmtId="164" fontId="109" fillId="2" borderId="4" xfId="0" applyNumberFormat="1" applyFont="1" applyFill="1" applyBorder="1" applyAlignment="1" applyProtection="1">
      <alignment horizontal="center" textRotation="90"/>
    </xf>
    <xf numFmtId="164" fontId="108" fillId="2" borderId="9" xfId="0" applyNumberFormat="1" applyFont="1" applyFill="1" applyBorder="1" applyAlignment="1" applyProtection="1">
      <alignment horizontal="center" textRotation="90" wrapText="1"/>
    </xf>
    <xf numFmtId="0" fontId="100" fillId="2" borderId="75" xfId="0" applyNumberFormat="1" applyFont="1" applyFill="1" applyBorder="1" applyAlignment="1">
      <alignment horizontal="center" textRotation="90" readingOrder="2"/>
    </xf>
    <xf numFmtId="0" fontId="100" fillId="2" borderId="76" xfId="0" applyNumberFormat="1" applyFont="1" applyFill="1" applyBorder="1" applyAlignment="1">
      <alignment horizontal="left" textRotation="90" readingOrder="2"/>
    </xf>
    <xf numFmtId="0" fontId="59" fillId="2" borderId="76" xfId="0" applyNumberFormat="1" applyFont="1" applyFill="1" applyBorder="1" applyAlignment="1">
      <alignment horizontal="left" textRotation="90" readingOrder="2"/>
    </xf>
    <xf numFmtId="0" fontId="100" fillId="2" borderId="76" xfId="0" applyNumberFormat="1" applyFont="1" applyFill="1" applyBorder="1" applyAlignment="1">
      <alignment textRotation="90" readingOrder="2"/>
    </xf>
    <xf numFmtId="0" fontId="100" fillId="2" borderId="76" xfId="0" applyNumberFormat="1" applyFont="1" applyFill="1" applyBorder="1" applyAlignment="1">
      <alignment horizontal="center" textRotation="90" readingOrder="2"/>
    </xf>
    <xf numFmtId="0" fontId="100" fillId="2" borderId="77" xfId="0" applyNumberFormat="1" applyFont="1" applyFill="1" applyBorder="1" applyAlignment="1">
      <alignment horizontal="center" textRotation="90" wrapText="1" readingOrder="2"/>
    </xf>
    <xf numFmtId="0" fontId="110" fillId="2" borderId="75" xfId="0" applyNumberFormat="1" applyFont="1" applyFill="1" applyBorder="1" applyAlignment="1">
      <alignment horizontal="right" textRotation="90" readingOrder="2"/>
    </xf>
    <xf numFmtId="0" fontId="110" fillId="2" borderId="76" xfId="0" applyNumberFormat="1" applyFont="1" applyFill="1" applyBorder="1" applyAlignment="1">
      <alignment horizontal="right" textRotation="90" readingOrder="2"/>
    </xf>
    <xf numFmtId="0" fontId="108" fillId="2" borderId="76" xfId="0" applyNumberFormat="1" applyFont="1" applyFill="1" applyBorder="1" applyAlignment="1">
      <alignment horizontal="right" textRotation="90" readingOrder="2"/>
    </xf>
    <xf numFmtId="0" fontId="110" fillId="2" borderId="78" xfId="0" applyNumberFormat="1" applyFont="1" applyFill="1" applyBorder="1" applyAlignment="1">
      <alignment horizontal="right" textRotation="90" wrapText="1" readingOrder="2"/>
    </xf>
    <xf numFmtId="0" fontId="110" fillId="2" borderId="75" xfId="0" applyNumberFormat="1" applyFont="1" applyFill="1" applyBorder="1" applyAlignment="1">
      <alignment horizontal="center" textRotation="90" readingOrder="2"/>
    </xf>
    <xf numFmtId="0" fontId="110" fillId="2" borderId="76" xfId="0" applyNumberFormat="1" applyFont="1" applyFill="1" applyBorder="1" applyAlignment="1">
      <alignment horizontal="center" textRotation="90" readingOrder="2"/>
    </xf>
    <xf numFmtId="0" fontId="110" fillId="2" borderId="76" xfId="0" applyNumberFormat="1" applyFont="1" applyFill="1" applyBorder="1" applyAlignment="1">
      <alignment textRotation="90" readingOrder="2"/>
    </xf>
    <xf numFmtId="0" fontId="100" fillId="2" borderId="75" xfId="0" applyNumberFormat="1" applyFont="1" applyFill="1" applyBorder="1" applyAlignment="1">
      <alignment horizontal="right" textRotation="90" readingOrder="2"/>
    </xf>
    <xf numFmtId="0" fontId="100" fillId="2" borderId="76" xfId="0" applyNumberFormat="1" applyFont="1" applyFill="1" applyBorder="1" applyAlignment="1">
      <alignment horizontal="right" textRotation="90" readingOrder="2"/>
    </xf>
    <xf numFmtId="0" fontId="59" fillId="2" borderId="76" xfId="0" applyNumberFormat="1" applyFont="1" applyFill="1" applyBorder="1" applyAlignment="1">
      <alignment horizontal="right" textRotation="90" readingOrder="2"/>
    </xf>
    <xf numFmtId="0" fontId="100" fillId="2" borderId="78" xfId="0" applyNumberFormat="1" applyFont="1" applyFill="1" applyBorder="1" applyAlignment="1">
      <alignment horizontal="right" textRotation="90" wrapText="1" readingOrder="2"/>
    </xf>
    <xf numFmtId="0" fontId="100" fillId="2" borderId="79" xfId="0" applyNumberFormat="1" applyFont="1" applyFill="1" applyBorder="1" applyAlignment="1">
      <alignment horizontal="right" textRotation="90" readingOrder="2"/>
    </xf>
    <xf numFmtId="0" fontId="100" fillId="2" borderId="80" xfId="0" applyNumberFormat="1" applyFont="1" applyFill="1" applyBorder="1" applyAlignment="1">
      <alignment horizontal="right" textRotation="90" readingOrder="2"/>
    </xf>
    <xf numFmtId="0" fontId="59" fillId="2" borderId="80" xfId="0" applyNumberFormat="1" applyFont="1" applyFill="1" applyBorder="1" applyAlignment="1">
      <alignment horizontal="right" textRotation="90" readingOrder="2"/>
    </xf>
    <xf numFmtId="0" fontId="100" fillId="2" borderId="81" xfId="0" applyNumberFormat="1" applyFont="1" applyFill="1" applyBorder="1" applyAlignment="1">
      <alignment horizontal="right" textRotation="90" wrapText="1" readingOrder="2"/>
    </xf>
    <xf numFmtId="164" fontId="83" fillId="2" borderId="0" xfId="0" applyNumberFormat="1" applyFont="1" applyFill="1" applyBorder="1" applyAlignment="1" applyProtection="1">
      <alignment horizontal="left" vertical="center"/>
    </xf>
    <xf numFmtId="3" fontId="83" fillId="2" borderId="13" xfId="1" applyNumberFormat="1" applyFont="1" applyFill="1" applyBorder="1" applyAlignment="1" applyProtection="1">
      <alignment horizontal="left" vertical="center" wrapText="1"/>
    </xf>
    <xf numFmtId="3" fontId="83" fillId="2" borderId="0" xfId="1" applyNumberFormat="1" applyFont="1" applyFill="1" applyBorder="1" applyAlignment="1" applyProtection="1">
      <alignment horizontal="left" vertical="center" wrapText="1"/>
    </xf>
    <xf numFmtId="3" fontId="83" fillId="2" borderId="8" xfId="1" applyNumberFormat="1" applyFont="1" applyFill="1" applyBorder="1" applyAlignment="1" applyProtection="1">
      <alignment horizontal="left" vertical="center" wrapText="1"/>
    </xf>
    <xf numFmtId="3" fontId="83" fillId="2" borderId="3" xfId="1" applyNumberFormat="1" applyFont="1" applyFill="1" applyBorder="1" applyAlignment="1" applyProtection="1">
      <alignment horizontal="left" vertical="center" wrapText="1"/>
    </xf>
    <xf numFmtId="3" fontId="83" fillId="2" borderId="74" xfId="1" applyNumberFormat="1" applyFont="1" applyFill="1" applyBorder="1" applyAlignment="1" applyProtection="1">
      <alignment horizontal="right" vertical="center" wrapText="1"/>
    </xf>
    <xf numFmtId="3" fontId="83" fillId="2" borderId="3" xfId="1" applyNumberFormat="1" applyFont="1" applyFill="1" applyBorder="1" applyAlignment="1" applyProtection="1">
      <alignment horizontal="right" vertical="center" wrapText="1"/>
    </xf>
    <xf numFmtId="3" fontId="83" fillId="2" borderId="74" xfId="1" applyNumberFormat="1" applyFont="1" applyFill="1" applyBorder="1" applyAlignment="1" applyProtection="1">
      <alignment horizontal="center" vertical="center" wrapText="1"/>
    </xf>
    <xf numFmtId="3" fontId="83" fillId="2" borderId="3" xfId="1" applyNumberFormat="1" applyFont="1" applyFill="1" applyBorder="1" applyAlignment="1" applyProtection="1">
      <alignment horizontal="center" vertical="center" wrapText="1"/>
    </xf>
    <xf numFmtId="3" fontId="4" fillId="2" borderId="74" xfId="1" applyNumberFormat="1" applyFont="1" applyFill="1" applyBorder="1" applyAlignment="1" applyProtection="1">
      <alignment horizontal="center" vertical="center" wrapText="1"/>
    </xf>
    <xf numFmtId="3" fontId="4" fillId="2" borderId="3" xfId="1" applyNumberFormat="1" applyFont="1" applyFill="1" applyBorder="1" applyAlignment="1" applyProtection="1">
      <alignment horizontal="center" vertical="center" wrapText="1"/>
    </xf>
    <xf numFmtId="3" fontId="4" fillId="2" borderId="83" xfId="1" applyNumberFormat="1" applyFont="1" applyFill="1" applyBorder="1" applyAlignment="1" applyProtection="1">
      <alignment horizontal="center" vertical="center" wrapText="1"/>
    </xf>
    <xf numFmtId="164" fontId="106" fillId="2" borderId="74" xfId="0" applyNumberFormat="1" applyFont="1" applyFill="1" applyBorder="1" applyAlignment="1">
      <alignment horizontal="right" vertical="center"/>
    </xf>
    <xf numFmtId="164" fontId="104" fillId="2" borderId="0" xfId="0" applyNumberFormat="1" applyFont="1" applyFill="1"/>
    <xf numFmtId="164" fontId="66" fillId="2" borderId="0" xfId="0" applyNumberFormat="1" applyFont="1" applyFill="1" applyBorder="1" applyAlignment="1" applyProtection="1">
      <alignment horizontal="left" vertical="center" indent="1"/>
    </xf>
    <xf numFmtId="3" fontId="66" fillId="2" borderId="13" xfId="1" applyNumberFormat="1" applyFont="1" applyFill="1" applyBorder="1" applyAlignment="1">
      <alignment horizontal="left" vertical="center"/>
    </xf>
    <xf numFmtId="3" fontId="66" fillId="2" borderId="0" xfId="1" applyNumberFormat="1" applyFont="1" applyFill="1" applyBorder="1" applyAlignment="1">
      <alignment horizontal="left" vertical="center"/>
    </xf>
    <xf numFmtId="3" fontId="66" fillId="2" borderId="84" xfId="1" applyNumberFormat="1" applyFont="1" applyFill="1" applyBorder="1" applyAlignment="1">
      <alignment horizontal="left" vertical="center"/>
    </xf>
    <xf numFmtId="3" fontId="66" fillId="2" borderId="82" xfId="1" applyNumberFormat="1" applyFont="1" applyFill="1" applyBorder="1" applyAlignment="1">
      <alignment horizontal="right" vertical="center"/>
    </xf>
    <xf numFmtId="3" fontId="66" fillId="2" borderId="0" xfId="1" applyNumberFormat="1" applyFont="1" applyFill="1" applyBorder="1" applyAlignment="1" applyProtection="1">
      <alignment horizontal="right" vertical="center" wrapText="1"/>
    </xf>
    <xf numFmtId="3" fontId="66" fillId="2" borderId="84" xfId="1" applyNumberFormat="1" applyFont="1" applyFill="1" applyBorder="1" applyAlignment="1" applyProtection="1">
      <alignment horizontal="right" vertical="center" wrapText="1"/>
    </xf>
    <xf numFmtId="3" fontId="66" fillId="2" borderId="82" xfId="1" applyNumberFormat="1" applyFont="1" applyFill="1" applyBorder="1" applyAlignment="1">
      <alignment horizontal="center" vertical="center"/>
    </xf>
    <xf numFmtId="3" fontId="66" fillId="2" borderId="0" xfId="1" applyNumberFormat="1" applyFont="1" applyFill="1" applyBorder="1" applyAlignment="1" applyProtection="1">
      <alignment horizontal="center" vertical="center" wrapText="1"/>
    </xf>
    <xf numFmtId="3" fontId="66" fillId="2" borderId="84" xfId="1" applyNumberFormat="1" applyFont="1" applyFill="1" applyBorder="1" applyAlignment="1" applyProtection="1">
      <alignment horizontal="center" vertical="center" wrapText="1"/>
    </xf>
    <xf numFmtId="3" fontId="0" fillId="2" borderId="82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 applyProtection="1">
      <alignment horizontal="center" vertical="center" wrapText="1"/>
    </xf>
    <xf numFmtId="3" fontId="0" fillId="2" borderId="84" xfId="1" applyNumberFormat="1" applyFont="1" applyFill="1" applyBorder="1" applyAlignment="1" applyProtection="1">
      <alignment horizontal="center" vertical="center" wrapText="1"/>
    </xf>
    <xf numFmtId="3" fontId="1" fillId="2" borderId="82" xfId="1" applyNumberFormat="1" applyFont="1" applyFill="1" applyBorder="1" applyAlignment="1">
      <alignment horizontal="center" vertical="center"/>
    </xf>
    <xf numFmtId="3" fontId="1" fillId="2" borderId="0" xfId="1" applyNumberFormat="1" applyFont="1" applyFill="1" applyBorder="1" applyAlignment="1" applyProtection="1">
      <alignment horizontal="center" vertical="center" wrapText="1"/>
    </xf>
    <xf numFmtId="164" fontId="110" fillId="2" borderId="82" xfId="0" applyNumberFormat="1" applyFont="1" applyFill="1" applyBorder="1" applyAlignment="1">
      <alignment horizontal="right" vertical="center" wrapText="1" indent="1"/>
    </xf>
    <xf numFmtId="164" fontId="107" fillId="2" borderId="0" xfId="0" applyNumberFormat="1" applyFont="1" applyFill="1"/>
    <xf numFmtId="164" fontId="109" fillId="2" borderId="82" xfId="0" applyNumberFormat="1" applyFont="1" applyFill="1" applyBorder="1" applyAlignment="1">
      <alignment horizontal="right" vertical="center" indent="1"/>
    </xf>
    <xf numFmtId="164" fontId="66" fillId="2" borderId="0" xfId="0" applyNumberFormat="1" applyFont="1" applyFill="1" applyBorder="1" applyAlignment="1" applyProtection="1">
      <alignment horizontal="left" vertical="center" wrapText="1" indent="1"/>
    </xf>
    <xf numFmtId="164" fontId="109" fillId="2" borderId="0" xfId="0" applyNumberFormat="1" applyFont="1" applyFill="1" applyBorder="1" applyAlignment="1">
      <alignment horizontal="right" vertical="center"/>
    </xf>
    <xf numFmtId="164" fontId="110" fillId="2" borderId="82" xfId="0" applyNumberFormat="1" applyFont="1" applyFill="1" applyBorder="1" applyAlignment="1">
      <alignment horizontal="right" vertical="center" indent="1"/>
    </xf>
    <xf numFmtId="3" fontId="0" fillId="2" borderId="82" xfId="1" applyNumberFormat="1" applyFont="1" applyFill="1" applyBorder="1" applyAlignment="1">
      <alignment horizontal="left" vertical="center" indent="1"/>
    </xf>
    <xf numFmtId="3" fontId="66" fillId="2" borderId="10" xfId="1" applyNumberFormat="1" applyFont="1" applyFill="1" applyBorder="1" applyAlignment="1">
      <alignment horizontal="left" vertical="center"/>
    </xf>
    <xf numFmtId="3" fontId="66" fillId="2" borderId="4" xfId="1" applyNumberFormat="1" applyFont="1" applyFill="1" applyBorder="1" applyAlignment="1">
      <alignment horizontal="left" vertical="center"/>
    </xf>
    <xf numFmtId="3" fontId="66" fillId="2" borderId="85" xfId="1" applyNumberFormat="1" applyFont="1" applyFill="1" applyBorder="1" applyAlignment="1">
      <alignment horizontal="left" vertical="center"/>
    </xf>
    <xf numFmtId="3" fontId="66" fillId="2" borderId="86" xfId="1" applyNumberFormat="1" applyFont="1" applyFill="1" applyBorder="1" applyAlignment="1">
      <alignment horizontal="right" vertical="center"/>
    </xf>
    <xf numFmtId="3" fontId="66" fillId="2" borderId="4" xfId="1" applyNumberFormat="1" applyFont="1" applyFill="1" applyBorder="1" applyAlignment="1" applyProtection="1">
      <alignment horizontal="right" vertical="center" wrapText="1"/>
    </xf>
    <xf numFmtId="3" fontId="66" fillId="2" borderId="85" xfId="1" applyNumberFormat="1" applyFont="1" applyFill="1" applyBorder="1" applyAlignment="1" applyProtection="1">
      <alignment horizontal="right" vertical="center" wrapText="1"/>
    </xf>
    <xf numFmtId="3" fontId="66" fillId="2" borderId="86" xfId="1" applyNumberFormat="1" applyFont="1" applyFill="1" applyBorder="1" applyAlignment="1">
      <alignment horizontal="center" vertical="center"/>
    </xf>
    <xf numFmtId="3" fontId="66" fillId="2" borderId="4" xfId="1" applyNumberFormat="1" applyFont="1" applyFill="1" applyBorder="1" applyAlignment="1" applyProtection="1">
      <alignment horizontal="center" vertical="center" wrapText="1"/>
    </xf>
    <xf numFmtId="3" fontId="66" fillId="2" borderId="85" xfId="1" applyNumberFormat="1" applyFont="1" applyFill="1" applyBorder="1" applyAlignment="1" applyProtection="1">
      <alignment horizontal="center" vertical="center" wrapText="1"/>
    </xf>
    <xf numFmtId="3" fontId="0" fillId="2" borderId="86" xfId="1" applyNumberFormat="1" applyFont="1" applyFill="1" applyBorder="1" applyAlignment="1">
      <alignment horizontal="center" vertical="center"/>
    </xf>
    <xf numFmtId="3" fontId="0" fillId="2" borderId="4" xfId="1" applyNumberFormat="1" applyFont="1" applyFill="1" applyBorder="1" applyAlignment="1" applyProtection="1">
      <alignment horizontal="center" vertical="center" wrapText="1"/>
    </xf>
    <xf numFmtId="3" fontId="0" fillId="2" borderId="85" xfId="1" applyNumberFormat="1" applyFont="1" applyFill="1" applyBorder="1" applyAlignment="1" applyProtection="1">
      <alignment horizontal="center" vertical="center" wrapText="1"/>
    </xf>
    <xf numFmtId="3" fontId="66" fillId="2" borderId="0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86" xfId="1" applyNumberFormat="1" applyFont="1" applyFill="1" applyBorder="1" applyAlignment="1">
      <alignment horizontal="left" vertical="center" indent="1"/>
    </xf>
    <xf numFmtId="3" fontId="66" fillId="2" borderId="4" xfId="1" applyNumberFormat="1" applyFont="1" applyFill="1" applyBorder="1" applyAlignment="1">
      <alignment horizontal="center" vertical="center"/>
    </xf>
    <xf numFmtId="3" fontId="0" fillId="2" borderId="4" xfId="1" applyNumberFormat="1" applyFont="1" applyFill="1" applyBorder="1" applyAlignment="1">
      <alignment horizontal="center" vertical="center"/>
    </xf>
    <xf numFmtId="3" fontId="1" fillId="2" borderId="86" xfId="1" applyNumberFormat="1" applyFont="1" applyFill="1" applyBorder="1" applyAlignment="1">
      <alignment horizontal="center" vertical="center"/>
    </xf>
    <xf numFmtId="3" fontId="1" fillId="2" borderId="4" xfId="1" applyNumberFormat="1" applyFont="1" applyFill="1" applyBorder="1" applyAlignment="1" applyProtection="1">
      <alignment horizontal="center" vertical="center" wrapText="1"/>
    </xf>
    <xf numFmtId="164" fontId="110" fillId="2" borderId="86" xfId="0" applyNumberFormat="1" applyFont="1" applyFill="1" applyBorder="1" applyAlignment="1">
      <alignment horizontal="right" vertical="center" indent="1"/>
    </xf>
    <xf numFmtId="164" fontId="107" fillId="2" borderId="0" xfId="0" applyNumberFormat="1" applyFont="1" applyFill="1" applyAlignment="1">
      <alignment horizontal="center"/>
    </xf>
    <xf numFmtId="164" fontId="107" fillId="2" borderId="0" xfId="0" applyNumberFormat="1" applyFont="1" applyFill="1" applyAlignment="1"/>
    <xf numFmtId="164" fontId="112" fillId="2" borderId="0" xfId="0" applyNumberFormat="1" applyFont="1" applyFill="1"/>
    <xf numFmtId="164" fontId="112" fillId="2" borderId="0" xfId="0" applyNumberFormat="1" applyFont="1" applyFill="1" applyAlignment="1">
      <alignment horizontal="center"/>
    </xf>
    <xf numFmtId="164" fontId="112" fillId="2" borderId="0" xfId="0" applyNumberFormat="1" applyFont="1" applyFill="1" applyBorder="1"/>
    <xf numFmtId="164" fontId="112" fillId="2" borderId="0" xfId="0" applyNumberFormat="1" applyFont="1" applyFill="1" applyBorder="1" applyAlignment="1">
      <alignment horizontal="center"/>
    </xf>
    <xf numFmtId="3" fontId="4" fillId="2" borderId="0" xfId="1" applyNumberFormat="1" applyFont="1" applyFill="1" applyBorder="1" applyAlignment="1" applyProtection="1">
      <alignment horizontal="right" vertical="center" wrapText="1"/>
    </xf>
    <xf numFmtId="164" fontId="0" fillId="2" borderId="0" xfId="0" applyNumberFormat="1" applyFont="1" applyFill="1" applyBorder="1" applyAlignment="1">
      <alignment horizontal="center"/>
    </xf>
    <xf numFmtId="3" fontId="0" fillId="2" borderId="0" xfId="1" applyNumberFormat="1" applyFont="1" applyFill="1" applyBorder="1" applyAlignment="1" applyProtection="1">
      <alignment horizontal="right" vertical="center" wrapText="1"/>
    </xf>
    <xf numFmtId="164" fontId="39" fillId="2" borderId="0" xfId="0" applyNumberFormat="1" applyFont="1" applyFill="1" applyAlignment="1" applyProtection="1">
      <alignment vertical="center"/>
    </xf>
    <xf numFmtId="164" fontId="77" fillId="2" borderId="0" xfId="0" applyNumberFormat="1" applyFont="1" applyFill="1" applyAlignment="1">
      <alignment vertical="center"/>
    </xf>
    <xf numFmtId="164" fontId="36" fillId="2" borderId="0" xfId="0" applyNumberFormat="1" applyFont="1" applyFill="1"/>
    <xf numFmtId="164" fontId="36" fillId="2" borderId="0" xfId="0" applyNumberFormat="1" applyFont="1" applyFill="1" applyAlignment="1">
      <alignment horizontal="center"/>
    </xf>
    <xf numFmtId="164" fontId="36" fillId="2" borderId="0" xfId="0" applyNumberFormat="1" applyFont="1" applyFill="1" applyAlignment="1"/>
    <xf numFmtId="164" fontId="16" fillId="2" borderId="0" xfId="0" applyNumberFormat="1" applyFont="1" applyFill="1" applyAlignment="1">
      <alignment horizontal="center"/>
    </xf>
    <xf numFmtId="164" fontId="114" fillId="2" borderId="6" xfId="0" applyNumberFormat="1" applyFont="1" applyFill="1" applyBorder="1" applyAlignment="1">
      <alignment horizontal="right" vertical="center"/>
    </xf>
    <xf numFmtId="3" fontId="1" fillId="2" borderId="84" xfId="1" applyNumberFormat="1" applyFont="1" applyFill="1" applyBorder="1" applyAlignment="1" applyProtection="1">
      <alignment horizontal="center" vertical="center" wrapText="1"/>
    </xf>
    <xf numFmtId="3" fontId="1" fillId="2" borderId="85" xfId="1" applyNumberFormat="1" applyFont="1" applyFill="1" applyBorder="1" applyAlignment="1" applyProtection="1">
      <alignment horizontal="center" vertical="center" wrapText="1"/>
    </xf>
    <xf numFmtId="0" fontId="100" fillId="2" borderId="76" xfId="0" applyNumberFormat="1" applyFont="1" applyFill="1" applyBorder="1" applyAlignment="1">
      <alignment horizontal="right" textRotation="90" wrapText="1" readingOrder="2"/>
    </xf>
    <xf numFmtId="0" fontId="17" fillId="2" borderId="0" xfId="0" applyNumberFormat="1" applyFont="1" applyFill="1" applyBorder="1" applyAlignment="1">
      <alignment horizontal="center" vertical="center"/>
    </xf>
    <xf numFmtId="166" fontId="17" fillId="2" borderId="0" xfId="1" applyNumberFormat="1" applyFont="1" applyFill="1" applyBorder="1" applyAlignment="1">
      <alignment horizontal="center" vertical="center" wrapText="1"/>
    </xf>
    <xf numFmtId="164" fontId="39" fillId="2" borderId="0" xfId="0" applyNumberFormat="1" applyFont="1" applyFill="1" applyBorder="1" applyAlignment="1" applyProtection="1">
      <alignment vertical="center"/>
    </xf>
    <xf numFmtId="164" fontId="30" fillId="2" borderId="0" xfId="0" applyNumberFormat="1" applyFont="1" applyFill="1" applyBorder="1" applyAlignment="1">
      <alignment horizontal="right" vertical="center"/>
    </xf>
    <xf numFmtId="164" fontId="100" fillId="2" borderId="0" xfId="0" applyNumberFormat="1" applyFont="1" applyFill="1" applyBorder="1"/>
    <xf numFmtId="164" fontId="99" fillId="2" borderId="0" xfId="0" applyNumberFormat="1" applyFont="1" applyFill="1" applyBorder="1"/>
    <xf numFmtId="164" fontId="101" fillId="2" borderId="0" xfId="0" applyNumberFormat="1" applyFont="1" applyFill="1" applyBorder="1"/>
    <xf numFmtId="164" fontId="22" fillId="2" borderId="0" xfId="0" applyNumberFormat="1" applyFont="1" applyFill="1" applyBorder="1" applyAlignment="1">
      <alignment vertical="center"/>
    </xf>
    <xf numFmtId="164" fontId="17" fillId="2" borderId="90" xfId="0" applyNumberFormat="1" applyFont="1" applyFill="1" applyBorder="1" applyAlignment="1">
      <alignment horizontal="center" vertical="center"/>
    </xf>
    <xf numFmtId="164" fontId="22" fillId="2" borderId="23" xfId="0" applyNumberFormat="1" applyFont="1" applyFill="1" applyBorder="1" applyAlignment="1">
      <alignment vertical="center"/>
    </xf>
    <xf numFmtId="164" fontId="22" fillId="2" borderId="5" xfId="0" applyNumberFormat="1" applyFont="1" applyFill="1" applyBorder="1" applyAlignment="1">
      <alignment vertical="center"/>
    </xf>
    <xf numFmtId="164" fontId="17" fillId="2" borderId="5" xfId="0" applyNumberFormat="1" applyFont="1" applyFill="1" applyBorder="1" applyAlignment="1">
      <alignment horizontal="right" vertical="center" wrapText="1"/>
    </xf>
    <xf numFmtId="164" fontId="17" fillId="2" borderId="93" xfId="0" applyNumberFormat="1" applyFont="1" applyFill="1" applyBorder="1" applyAlignment="1">
      <alignment horizontal="right" vertical="center" wrapText="1"/>
    </xf>
    <xf numFmtId="164" fontId="17" fillId="2" borderId="94" xfId="0" applyNumberFormat="1" applyFont="1" applyFill="1" applyBorder="1" applyAlignment="1">
      <alignment horizontal="right" vertical="center" wrapText="1"/>
    </xf>
    <xf numFmtId="164" fontId="17" fillId="2" borderId="95" xfId="0" applyNumberFormat="1" applyFont="1" applyFill="1" applyBorder="1" applyAlignment="1">
      <alignment horizontal="right" vertical="center" wrapText="1"/>
    </xf>
    <xf numFmtId="164" fontId="17" fillId="2" borderId="23" xfId="0" applyNumberFormat="1" applyFont="1" applyFill="1" applyBorder="1" applyAlignment="1">
      <alignment horizontal="right" vertical="center" wrapText="1"/>
    </xf>
    <xf numFmtId="164" fontId="17" fillId="2" borderId="38" xfId="0" applyNumberFormat="1" applyFont="1" applyFill="1" applyBorder="1" applyAlignment="1">
      <alignment horizontal="right" vertical="center" wrapText="1"/>
    </xf>
    <xf numFmtId="164" fontId="17" fillId="2" borderId="13" xfId="0" applyNumberFormat="1" applyFont="1" applyFill="1" applyBorder="1" applyAlignment="1">
      <alignment horizontal="right" vertical="center" wrapText="1"/>
    </xf>
    <xf numFmtId="164" fontId="17" fillId="2" borderId="0" xfId="0" applyNumberFormat="1" applyFont="1" applyFill="1" applyBorder="1" applyAlignment="1">
      <alignment horizontal="right" vertical="center" wrapText="1"/>
    </xf>
    <xf numFmtId="164" fontId="17" fillId="2" borderId="92" xfId="0" applyNumberFormat="1" applyFont="1" applyFill="1" applyBorder="1" applyAlignment="1">
      <alignment horizontal="right" vertical="center" wrapText="1"/>
    </xf>
    <xf numFmtId="164" fontId="22" fillId="2" borderId="36" xfId="0" applyNumberFormat="1" applyFont="1" applyFill="1" applyBorder="1" applyAlignment="1">
      <alignment vertical="center"/>
    </xf>
    <xf numFmtId="164" fontId="22" fillId="2" borderId="16" xfId="0" applyNumberFormat="1" applyFont="1" applyFill="1" applyBorder="1" applyAlignment="1">
      <alignment vertical="center"/>
    </xf>
    <xf numFmtId="164" fontId="115" fillId="2" borderId="52" xfId="0" applyNumberFormat="1" applyFont="1" applyFill="1" applyBorder="1" applyAlignment="1">
      <alignment horizontal="right" vertical="center"/>
    </xf>
    <xf numFmtId="164" fontId="115" fillId="2" borderId="19" xfId="0" applyNumberFormat="1" applyFont="1" applyFill="1" applyBorder="1" applyAlignment="1">
      <alignment horizontal="right" vertical="center"/>
    </xf>
    <xf numFmtId="164" fontId="115" fillId="2" borderId="4" xfId="0" applyNumberFormat="1" applyFont="1" applyFill="1" applyBorder="1" applyAlignment="1">
      <alignment horizontal="right" vertical="center"/>
    </xf>
    <xf numFmtId="164" fontId="115" fillId="2" borderId="9" xfId="0" applyNumberFormat="1" applyFont="1" applyFill="1" applyBorder="1" applyAlignment="1">
      <alignment horizontal="right" vertical="center"/>
    </xf>
    <xf numFmtId="164" fontId="115" fillId="2" borderId="37" xfId="0" applyNumberFormat="1" applyFont="1" applyFill="1" applyBorder="1" applyAlignment="1">
      <alignment horizontal="right" vertical="center"/>
    </xf>
    <xf numFmtId="164" fontId="115" fillId="2" borderId="96" xfId="0" applyNumberFormat="1" applyFont="1" applyFill="1" applyBorder="1" applyAlignment="1">
      <alignment horizontal="right" vertical="center"/>
    </xf>
    <xf numFmtId="164" fontId="115" fillId="2" borderId="10" xfId="0" applyNumberFormat="1" applyFont="1" applyFill="1" applyBorder="1" applyAlignment="1">
      <alignment horizontal="right" vertical="center"/>
    </xf>
    <xf numFmtId="164" fontId="22" fillId="2" borderId="16" xfId="0" applyNumberFormat="1" applyFont="1" applyFill="1" applyBorder="1" applyAlignment="1">
      <alignment horizontal="center"/>
    </xf>
    <xf numFmtId="164" fontId="17" fillId="2" borderId="6" xfId="0" applyNumberFormat="1" applyFont="1" applyFill="1" applyBorder="1" applyAlignment="1" applyProtection="1">
      <alignment horizontal="left" vertical="center" indent="1"/>
    </xf>
    <xf numFmtId="3" fontId="17" fillId="2" borderId="61" xfId="1" applyNumberFormat="1" applyFont="1" applyFill="1" applyBorder="1" applyAlignment="1">
      <alignment horizontal="right" vertical="center"/>
    </xf>
    <xf numFmtId="3" fontId="17" fillId="2" borderId="97" xfId="1" applyNumberFormat="1" applyFont="1" applyFill="1" applyBorder="1" applyAlignment="1">
      <alignment horizontal="right" vertical="center"/>
    </xf>
    <xf numFmtId="3" fontId="17" fillId="2" borderId="98" xfId="1" applyNumberFormat="1" applyFont="1" applyFill="1" applyBorder="1" applyAlignment="1">
      <alignment horizontal="right" vertical="center"/>
    </xf>
    <xf numFmtId="3" fontId="17" fillId="2" borderId="1" xfId="1" applyNumberFormat="1" applyFont="1" applyFill="1" applyBorder="1" applyAlignment="1">
      <alignment horizontal="right" vertical="center"/>
    </xf>
    <xf numFmtId="3" fontId="17" fillId="2" borderId="13" xfId="1" applyNumberFormat="1" applyFont="1" applyFill="1" applyBorder="1" applyAlignment="1">
      <alignment horizontal="right" vertical="center"/>
    </xf>
    <xf numFmtId="3" fontId="17" fillId="2" borderId="99" xfId="1" applyNumberFormat="1" applyFont="1" applyFill="1" applyBorder="1" applyAlignment="1">
      <alignment horizontal="right" vertical="center"/>
    </xf>
    <xf numFmtId="164" fontId="115" fillId="2" borderId="6" xfId="0" applyNumberFormat="1" applyFont="1" applyFill="1" applyBorder="1" applyAlignment="1">
      <alignment horizontal="right" vertical="center"/>
    </xf>
    <xf numFmtId="164" fontId="22" fillId="2" borderId="6" xfId="0" applyNumberFormat="1" applyFont="1" applyFill="1" applyBorder="1" applyAlignment="1">
      <alignment horizontal="left" vertical="center"/>
    </xf>
    <xf numFmtId="164" fontId="17" fillId="2" borderId="6" xfId="0" applyNumberFormat="1" applyFont="1" applyFill="1" applyBorder="1" applyAlignment="1" applyProtection="1">
      <alignment horizontal="left" vertical="center"/>
    </xf>
    <xf numFmtId="164" fontId="22" fillId="2" borderId="60" xfId="0" applyNumberFormat="1" applyFont="1" applyFill="1" applyBorder="1" applyAlignment="1">
      <alignment horizontal="left" vertical="center"/>
    </xf>
    <xf numFmtId="3" fontId="17" fillId="2" borderId="62" xfId="1" applyNumberFormat="1" applyFont="1" applyFill="1" applyBorder="1" applyAlignment="1">
      <alignment horizontal="right" vertical="center"/>
    </xf>
    <xf numFmtId="3" fontId="17" fillId="2" borderId="100" xfId="1" applyNumberFormat="1" applyFont="1" applyFill="1" applyBorder="1" applyAlignment="1">
      <alignment horizontal="right" vertical="center"/>
    </xf>
    <xf numFmtId="3" fontId="17" fillId="2" borderId="101" xfId="1" applyNumberFormat="1" applyFont="1" applyFill="1" applyBorder="1" applyAlignment="1">
      <alignment horizontal="right" vertical="center"/>
    </xf>
    <xf numFmtId="3" fontId="17" fillId="2" borderId="102" xfId="1" applyNumberFormat="1" applyFont="1" applyFill="1" applyBorder="1" applyAlignment="1">
      <alignment horizontal="right" vertical="center"/>
    </xf>
    <xf numFmtId="164" fontId="115" fillId="2" borderId="60" xfId="0" applyNumberFormat="1" applyFont="1" applyFill="1" applyBorder="1" applyAlignment="1">
      <alignment horizontal="right" vertical="center"/>
    </xf>
    <xf numFmtId="164" fontId="22" fillId="2" borderId="60" xfId="0" applyNumberFormat="1" applyFont="1" applyFill="1" applyBorder="1" applyAlignment="1" applyProtection="1">
      <alignment horizontal="left" vertical="center" indent="2"/>
    </xf>
    <xf numFmtId="3" fontId="22" fillId="2" borderId="60" xfId="1" applyNumberFormat="1" applyFont="1" applyFill="1" applyBorder="1" applyAlignment="1">
      <alignment horizontal="right" vertical="center"/>
    </xf>
    <xf numFmtId="3" fontId="22" fillId="2" borderId="103" xfId="1" applyNumberFormat="1" applyFont="1" applyFill="1" applyBorder="1" applyAlignment="1">
      <alignment horizontal="right" vertical="center"/>
    </xf>
    <xf numFmtId="3" fontId="22" fillId="2" borderId="101" xfId="1" applyNumberFormat="1" applyFont="1" applyFill="1" applyBorder="1" applyAlignment="1">
      <alignment horizontal="right" vertical="center"/>
    </xf>
    <xf numFmtId="3" fontId="22" fillId="2" borderId="62" xfId="1" applyNumberFormat="1" applyFont="1" applyFill="1" applyBorder="1" applyAlignment="1">
      <alignment horizontal="right" vertical="center"/>
    </xf>
    <xf numFmtId="3" fontId="22" fillId="2" borderId="59" xfId="1" applyNumberFormat="1" applyFont="1" applyFill="1" applyBorder="1" applyAlignment="1">
      <alignment horizontal="right" vertical="center"/>
    </xf>
    <xf numFmtId="3" fontId="22" fillId="2" borderId="13" xfId="1" applyNumberFormat="1" applyFont="1" applyFill="1" applyBorder="1" applyAlignment="1">
      <alignment horizontal="right" vertical="center"/>
    </xf>
    <xf numFmtId="164" fontId="116" fillId="2" borderId="60" xfId="0" applyNumberFormat="1" applyFont="1" applyFill="1" applyBorder="1" applyAlignment="1">
      <alignment horizontal="right" vertical="center" indent="1"/>
    </xf>
    <xf numFmtId="164" fontId="17" fillId="2" borderId="60" xfId="0" applyNumberFormat="1" applyFont="1" applyFill="1" applyBorder="1" applyAlignment="1" applyProtection="1">
      <alignment horizontal="left" vertical="center"/>
    </xf>
    <xf numFmtId="164" fontId="17" fillId="2" borderId="60" xfId="0" applyNumberFormat="1" applyFont="1" applyFill="1" applyBorder="1" applyAlignment="1" applyProtection="1">
      <alignment horizontal="left" vertical="center" indent="1"/>
    </xf>
    <xf numFmtId="164" fontId="116" fillId="2" borderId="60" xfId="0" applyNumberFormat="1" applyFont="1" applyFill="1" applyBorder="1" applyAlignment="1">
      <alignment horizontal="right" vertical="center" indent="2"/>
    </xf>
    <xf numFmtId="164" fontId="22" fillId="2" borderId="68" xfId="0" applyNumberFormat="1" applyFont="1" applyFill="1" applyBorder="1" applyAlignment="1" applyProtection="1">
      <alignment horizontal="left" vertical="center" indent="2"/>
    </xf>
    <xf numFmtId="3" fontId="22" fillId="2" borderId="68" xfId="1" applyNumberFormat="1" applyFont="1" applyFill="1" applyBorder="1" applyAlignment="1">
      <alignment horizontal="right" vertical="center"/>
    </xf>
    <xf numFmtId="3" fontId="22" fillId="2" borderId="104" xfId="1" applyNumberFormat="1" applyFont="1" applyFill="1" applyBorder="1" applyAlignment="1">
      <alignment horizontal="right" vertical="center"/>
    </xf>
    <xf numFmtId="3" fontId="22" fillId="2" borderId="105" xfId="1" applyNumberFormat="1" applyFont="1" applyFill="1" applyBorder="1" applyAlignment="1">
      <alignment horizontal="right" vertical="center"/>
    </xf>
    <xf numFmtId="3" fontId="22" fillId="2" borderId="106" xfId="1" applyNumberFormat="1" applyFont="1" applyFill="1" applyBorder="1" applyAlignment="1">
      <alignment horizontal="right" vertical="center"/>
    </xf>
    <xf numFmtId="3" fontId="22" fillId="2" borderId="107" xfId="1" applyNumberFormat="1" applyFont="1" applyFill="1" applyBorder="1" applyAlignment="1">
      <alignment horizontal="right" vertical="center"/>
    </xf>
    <xf numFmtId="3" fontId="22" fillId="2" borderId="10" xfId="1" applyNumberFormat="1" applyFont="1" applyFill="1" applyBorder="1" applyAlignment="1">
      <alignment horizontal="right" vertical="center"/>
    </xf>
    <xf numFmtId="3" fontId="22" fillId="2" borderId="4" xfId="1" applyNumberFormat="1" applyFont="1" applyFill="1" applyBorder="1" applyAlignment="1">
      <alignment horizontal="right" vertical="center"/>
    </xf>
    <xf numFmtId="164" fontId="116" fillId="2" borderId="68" xfId="0" applyNumberFormat="1" applyFont="1" applyFill="1" applyBorder="1" applyAlignment="1">
      <alignment horizontal="right" vertical="center" indent="2"/>
    </xf>
    <xf numFmtId="164" fontId="39" fillId="2" borderId="6" xfId="0" applyNumberFormat="1" applyFont="1" applyFill="1" applyBorder="1" applyAlignment="1" applyProtection="1">
      <alignment vertical="center"/>
    </xf>
    <xf numFmtId="164" fontId="22" fillId="2" borderId="6" xfId="0" applyNumberFormat="1" applyFont="1" applyFill="1" applyBorder="1" applyAlignment="1">
      <alignment horizontal="right" vertical="center"/>
    </xf>
    <xf numFmtId="164" fontId="22" fillId="2" borderId="60" xfId="0" applyNumberFormat="1" applyFont="1" applyFill="1" applyBorder="1" applyAlignment="1">
      <alignment vertical="center"/>
    </xf>
    <xf numFmtId="164" fontId="22" fillId="2" borderId="60" xfId="0" applyNumberFormat="1" applyFont="1" applyFill="1" applyBorder="1" applyAlignment="1">
      <alignment horizontal="right" vertical="center"/>
    </xf>
    <xf numFmtId="164" fontId="116" fillId="2" borderId="60" xfId="0" applyNumberFormat="1" applyFont="1" applyFill="1" applyBorder="1" applyAlignment="1">
      <alignment vertical="center"/>
    </xf>
    <xf numFmtId="164" fontId="22" fillId="2" borderId="60" xfId="0" applyNumberFormat="1" applyFont="1" applyFill="1" applyBorder="1" applyAlignment="1" applyProtection="1">
      <alignment horizontal="left" vertical="center"/>
    </xf>
    <xf numFmtId="164" fontId="117" fillId="2" borderId="55" xfId="0" applyNumberFormat="1" applyFont="1" applyFill="1" applyBorder="1" applyAlignment="1">
      <alignment vertical="center"/>
    </xf>
    <xf numFmtId="164" fontId="117" fillId="2" borderId="20" xfId="0" applyNumberFormat="1" applyFont="1" applyFill="1" applyBorder="1" applyAlignment="1">
      <alignment vertical="center"/>
    </xf>
    <xf numFmtId="164" fontId="117" fillId="2" borderId="67" xfId="0" applyNumberFormat="1" applyFont="1" applyFill="1" applyBorder="1" applyAlignment="1">
      <alignment vertical="center"/>
    </xf>
    <xf numFmtId="164" fontId="22" fillId="2" borderId="54" xfId="0" applyNumberFormat="1" applyFont="1" applyFill="1" applyBorder="1" applyAlignment="1">
      <alignment vertical="center"/>
    </xf>
    <xf numFmtId="164" fontId="117" fillId="2" borderId="108" xfId="0" applyNumberFormat="1" applyFont="1" applyFill="1" applyBorder="1" applyAlignment="1">
      <alignment vertical="center"/>
    </xf>
    <xf numFmtId="164" fontId="117" fillId="2" borderId="0" xfId="0" applyNumberFormat="1" applyFont="1" applyFill="1" applyBorder="1" applyAlignment="1">
      <alignment vertical="center"/>
    </xf>
    <xf numFmtId="164" fontId="117" fillId="2" borderId="99" xfId="0" applyNumberFormat="1" applyFont="1" applyFill="1" applyBorder="1" applyAlignment="1">
      <alignment vertical="center"/>
    </xf>
    <xf numFmtId="164" fontId="22" fillId="2" borderId="0" xfId="0" applyNumberFormat="1" applyFont="1" applyFill="1" applyBorder="1" applyAlignment="1">
      <alignment horizontal="right" vertical="center"/>
    </xf>
    <xf numFmtId="164" fontId="116" fillId="2" borderId="0" xfId="0" applyNumberFormat="1" applyFont="1" applyFill="1" applyBorder="1" applyAlignment="1">
      <alignment vertical="center"/>
    </xf>
    <xf numFmtId="164" fontId="116" fillId="2" borderId="6" xfId="0" applyNumberFormat="1" applyFont="1" applyFill="1" applyBorder="1" applyAlignment="1">
      <alignment vertical="center"/>
    </xf>
    <xf numFmtId="164" fontId="22" fillId="2" borderId="6" xfId="0" applyNumberFormat="1" applyFont="1" applyFill="1" applyBorder="1" applyAlignment="1">
      <alignment vertical="center"/>
    </xf>
    <xf numFmtId="164" fontId="0" fillId="2" borderId="16" xfId="0" applyNumberFormat="1" applyFill="1" applyBorder="1" applyAlignment="1">
      <alignment vertical="center"/>
    </xf>
    <xf numFmtId="164" fontId="0" fillId="2" borderId="16" xfId="0" applyNumberFormat="1" applyFont="1" applyFill="1" applyBorder="1" applyAlignment="1">
      <alignment vertical="center"/>
    </xf>
    <xf numFmtId="164" fontId="93" fillId="2" borderId="18" xfId="0" applyNumberFormat="1" applyFont="1" applyFill="1" applyBorder="1" applyAlignment="1" applyProtection="1">
      <alignment horizontal="left" vertical="center"/>
    </xf>
    <xf numFmtId="164" fontId="17" fillId="2" borderId="18" xfId="0" applyNumberFormat="1" applyFont="1" applyFill="1" applyBorder="1" applyAlignment="1">
      <alignment horizontal="center" vertical="center"/>
    </xf>
    <xf numFmtId="164" fontId="61" fillId="2" borderId="18" xfId="0" applyNumberFormat="1" applyFont="1" applyFill="1" applyBorder="1" applyAlignment="1">
      <alignment vertical="center"/>
    </xf>
    <xf numFmtId="164" fontId="25" fillId="2" borderId="16" xfId="0" applyNumberFormat="1" applyFont="1" applyFill="1" applyBorder="1" applyAlignment="1">
      <alignment vertical="center"/>
    </xf>
    <xf numFmtId="164" fontId="93" fillId="2" borderId="5" xfId="0" applyNumberFormat="1" applyFont="1" applyFill="1" applyBorder="1" applyAlignment="1" applyProtection="1">
      <alignment horizontal="left" vertical="center"/>
    </xf>
    <xf numFmtId="166" fontId="17" fillId="2" borderId="5" xfId="1" applyNumberFormat="1" applyFont="1" applyFill="1" applyBorder="1" applyAlignment="1" applyProtection="1">
      <alignment horizontal="center" vertical="center"/>
    </xf>
    <xf numFmtId="164" fontId="61" fillId="2" borderId="5" xfId="0" applyNumberFormat="1" applyFont="1" applyFill="1" applyBorder="1" applyAlignment="1">
      <alignment vertical="center"/>
    </xf>
    <xf numFmtId="164" fontId="66" fillId="2" borderId="16" xfId="0" applyNumberFormat="1" applyFont="1" applyFill="1" applyBorder="1" applyAlignment="1" applyProtection="1">
      <alignment horizontal="left" vertical="center" wrapText="1" indent="1"/>
    </xf>
    <xf numFmtId="3" fontId="66" fillId="2" borderId="16" xfId="1" applyNumberFormat="1" applyFont="1" applyFill="1" applyBorder="1" applyAlignment="1" applyProtection="1">
      <alignment horizontal="center" vertical="center"/>
    </xf>
    <xf numFmtId="164" fontId="110" fillId="2" borderId="16" xfId="0" applyNumberFormat="1" applyFont="1" applyFill="1" applyBorder="1" applyAlignment="1">
      <alignment horizontal="right" vertical="center" indent="1"/>
    </xf>
    <xf numFmtId="164" fontId="66" fillId="2" borderId="16" xfId="0" applyNumberFormat="1" applyFont="1" applyFill="1" applyBorder="1" applyAlignment="1" applyProtection="1">
      <alignment horizontal="left" vertical="center" indent="1"/>
    </xf>
    <xf numFmtId="164" fontId="110" fillId="2" borderId="16" xfId="0" applyNumberFormat="1" applyFont="1" applyFill="1" applyBorder="1" applyAlignment="1">
      <alignment horizontal="right" vertical="center" wrapText="1" indent="1"/>
    </xf>
    <xf numFmtId="164" fontId="110" fillId="2" borderId="0" xfId="0" applyNumberFormat="1" applyFont="1" applyFill="1" applyBorder="1" applyAlignment="1" applyProtection="1">
      <alignment horizontal="right" vertical="center" indent="1"/>
    </xf>
    <xf numFmtId="164" fontId="66" fillId="2" borderId="17" xfId="0" applyNumberFormat="1" applyFont="1" applyFill="1" applyBorder="1" applyAlignment="1" applyProtection="1">
      <alignment horizontal="left" vertical="center" wrapText="1" indent="1"/>
    </xf>
    <xf numFmtId="3" fontId="66" fillId="2" borderId="17" xfId="1" applyNumberFormat="1" applyFont="1" applyFill="1" applyBorder="1" applyAlignment="1" applyProtection="1">
      <alignment horizontal="center" vertical="center"/>
    </xf>
    <xf numFmtId="164" fontId="110" fillId="2" borderId="17" xfId="0" applyNumberFormat="1" applyFont="1" applyFill="1" applyBorder="1" applyAlignment="1">
      <alignment horizontal="right" vertical="center" wrapText="1" indent="1"/>
    </xf>
    <xf numFmtId="164" fontId="29" fillId="2" borderId="110" xfId="0" applyNumberFormat="1" applyFont="1" applyFill="1" applyBorder="1" applyAlignment="1" applyProtection="1">
      <alignment vertical="center"/>
    </xf>
    <xf numFmtId="164" fontId="25" fillId="2" borderId="110" xfId="0" applyNumberFormat="1" applyFont="1" applyFill="1" applyBorder="1" applyAlignment="1">
      <alignment vertical="center"/>
    </xf>
    <xf numFmtId="164" fontId="30" fillId="2" borderId="111" xfId="0" applyNumberFormat="1" applyFont="1" applyFill="1" applyBorder="1" applyAlignment="1">
      <alignment horizontal="right" vertical="center"/>
    </xf>
    <xf numFmtId="164" fontId="85" fillId="2" borderId="16" xfId="0" applyNumberFormat="1" applyFont="1" applyFill="1" applyBorder="1" applyAlignment="1" applyProtection="1">
      <alignment vertical="center"/>
    </xf>
    <xf numFmtId="3" fontId="17" fillId="2" borderId="16" xfId="1" applyNumberFormat="1" applyFont="1" applyFill="1" applyBorder="1" applyAlignment="1" applyProtection="1">
      <alignment horizontal="center" vertical="center"/>
    </xf>
    <xf numFmtId="164" fontId="22" fillId="2" borderId="16" xfId="0" applyNumberFormat="1" applyFont="1" applyFill="1" applyBorder="1" applyAlignment="1" applyProtection="1">
      <alignment horizontal="left" vertical="center" wrapText="1" indent="1"/>
    </xf>
    <xf numFmtId="3" fontId="22" fillId="2" borderId="16" xfId="1" applyNumberFormat="1" applyFont="1" applyFill="1" applyBorder="1" applyAlignment="1" applyProtection="1">
      <alignment horizontal="right" vertical="center"/>
    </xf>
    <xf numFmtId="164" fontId="116" fillId="2" borderId="16" xfId="0" applyNumberFormat="1" applyFont="1" applyFill="1" applyBorder="1" applyAlignment="1">
      <alignment horizontal="right" vertical="center" indent="1"/>
    </xf>
    <xf numFmtId="164" fontId="22" fillId="2" borderId="16" xfId="0" applyNumberFormat="1" applyFont="1" applyFill="1" applyBorder="1" applyAlignment="1" applyProtection="1">
      <alignment horizontal="left" vertical="center" indent="1"/>
    </xf>
    <xf numFmtId="164" fontId="116" fillId="2" borderId="16" xfId="0" applyNumberFormat="1" applyFont="1" applyFill="1" applyBorder="1" applyAlignment="1">
      <alignment horizontal="right" vertical="center" wrapText="1" indent="1"/>
    </xf>
    <xf numFmtId="164" fontId="116" fillId="2" borderId="0" xfId="0" applyNumberFormat="1" applyFont="1" applyFill="1" applyBorder="1" applyAlignment="1" applyProtection="1">
      <alignment horizontal="right" vertical="center" indent="1"/>
    </xf>
    <xf numFmtId="164" fontId="22" fillId="2" borderId="17" xfId="0" applyNumberFormat="1" applyFont="1" applyFill="1" applyBorder="1" applyAlignment="1" applyProtection="1">
      <alignment horizontal="left" vertical="center" indent="1"/>
    </xf>
    <xf numFmtId="164" fontId="116" fillId="2" borderId="17" xfId="0" applyNumberFormat="1" applyFont="1" applyFill="1" applyBorder="1" applyAlignment="1">
      <alignment horizontal="right" vertical="center" indent="1"/>
    </xf>
    <xf numFmtId="164" fontId="22" fillId="2" borderId="0" xfId="0" applyNumberFormat="1" applyFont="1" applyFill="1" applyBorder="1" applyAlignment="1" applyProtection="1">
      <alignment horizontal="left" vertical="center" wrapText="1" indent="1"/>
    </xf>
    <xf numFmtId="164" fontId="116" fillId="2" borderId="0" xfId="0" applyNumberFormat="1" applyFont="1" applyFill="1" applyBorder="1" applyAlignment="1">
      <alignment horizontal="right" vertical="center" wrapText="1" indent="1"/>
    </xf>
    <xf numFmtId="164" fontId="22" fillId="2" borderId="50" xfId="0" applyNumberFormat="1" applyFont="1" applyFill="1" applyBorder="1" applyAlignment="1" applyProtection="1">
      <alignment horizontal="left" vertical="center" wrapText="1" indent="1"/>
    </xf>
    <xf numFmtId="3" fontId="22" fillId="2" borderId="17" xfId="1" applyNumberFormat="1" applyFont="1" applyFill="1" applyBorder="1" applyAlignment="1" applyProtection="1">
      <alignment horizontal="right" vertical="center"/>
    </xf>
    <xf numFmtId="164" fontId="116" fillId="2" borderId="50" xfId="0" applyNumberFormat="1" applyFont="1" applyFill="1" applyBorder="1" applyAlignment="1">
      <alignment horizontal="right" vertical="center" wrapText="1" indent="1"/>
    </xf>
    <xf numFmtId="0" fontId="118" fillId="2" borderId="11" xfId="0" applyNumberFormat="1" applyFont="1" applyFill="1" applyBorder="1" applyAlignment="1">
      <alignment vertical="top"/>
    </xf>
    <xf numFmtId="0" fontId="119" fillId="2" borderId="0" xfId="0" applyNumberFormat="1" applyFont="1" applyFill="1" applyBorder="1" applyAlignment="1">
      <alignment horizontal="right" vertical="top" indent="1"/>
    </xf>
    <xf numFmtId="167" fontId="66" fillId="2" borderId="0" xfId="0" applyNumberFormat="1" applyFont="1" applyFill="1" applyBorder="1"/>
    <xf numFmtId="169" fontId="66" fillId="2" borderId="4" xfId="1" applyNumberFormat="1" applyFont="1" applyFill="1" applyBorder="1" applyAlignment="1">
      <alignment vertical="center"/>
    </xf>
    <xf numFmtId="0" fontId="74" fillId="2" borderId="4" xfId="0" applyNumberFormat="1" applyFont="1" applyFill="1" applyBorder="1" applyAlignment="1">
      <alignment vertical="center"/>
    </xf>
    <xf numFmtId="0" fontId="48" fillId="2" borderId="0" xfId="0" applyFont="1" applyFill="1" applyAlignment="1">
      <alignment vertical="center"/>
    </xf>
    <xf numFmtId="167" fontId="28" fillId="2" borderId="0" xfId="0" applyNumberFormat="1" applyFont="1" applyFill="1"/>
    <xf numFmtId="0" fontId="120" fillId="2" borderId="0" xfId="0" applyFont="1" applyFill="1"/>
    <xf numFmtId="164" fontId="28" fillId="2" borderId="0" xfId="0" applyNumberFormat="1" applyFont="1" applyFill="1"/>
    <xf numFmtId="0" fontId="48" fillId="2" borderId="0" xfId="0" applyFont="1" applyFill="1" applyAlignment="1">
      <alignment horizontal="left" vertical="top" indent="4"/>
    </xf>
    <xf numFmtId="0" fontId="120" fillId="2" borderId="0" xfId="0" applyFont="1" applyFill="1" applyAlignment="1">
      <alignment vertical="center"/>
    </xf>
    <xf numFmtId="164" fontId="28" fillId="2" borderId="0" xfId="0" applyNumberFormat="1" applyFont="1" applyFill="1" applyAlignment="1">
      <alignment horizontal="right" vertical="center"/>
    </xf>
    <xf numFmtId="0" fontId="4" fillId="2" borderId="112" xfId="0" applyNumberFormat="1" applyFont="1" applyFill="1" applyBorder="1" applyAlignment="1">
      <alignment horizontal="right" vertical="center"/>
    </xf>
    <xf numFmtId="164" fontId="66" fillId="2" borderId="112" xfId="0" applyNumberFormat="1" applyFont="1" applyFill="1" applyBorder="1"/>
    <xf numFmtId="1" fontId="66" fillId="2" borderId="0" xfId="0" applyNumberFormat="1" applyFont="1" applyFill="1"/>
    <xf numFmtId="165" fontId="66" fillId="2" borderId="0" xfId="0" applyNumberFormat="1" applyFont="1" applyFill="1"/>
    <xf numFmtId="169" fontId="66" fillId="2" borderId="0" xfId="1" applyNumberFormat="1" applyFont="1" applyFill="1"/>
    <xf numFmtId="164" fontId="15" fillId="2" borderId="36" xfId="0" applyNumberFormat="1" applyFont="1" applyFill="1" applyBorder="1"/>
    <xf numFmtId="164" fontId="4" fillId="2" borderId="110" xfId="0" applyNumberFormat="1" applyFont="1" applyFill="1" applyBorder="1" applyAlignment="1" applyProtection="1">
      <alignment horizontal="right" vertical="center"/>
    </xf>
    <xf numFmtId="164" fontId="4" fillId="2" borderId="113" xfId="0" applyNumberFormat="1" applyFont="1" applyFill="1" applyBorder="1" applyAlignment="1" applyProtection="1">
      <alignment horizontal="right" vertical="center"/>
    </xf>
    <xf numFmtId="164" fontId="4" fillId="2" borderId="22" xfId="0" applyNumberFormat="1" applyFont="1" applyFill="1" applyBorder="1" applyAlignment="1" applyProtection="1">
      <alignment horizontal="right" vertical="center"/>
    </xf>
    <xf numFmtId="164" fontId="4" fillId="2" borderId="114" xfId="0" applyNumberFormat="1" applyFont="1" applyFill="1" applyBorder="1" applyAlignment="1" applyProtection="1">
      <alignment horizontal="right" vertical="center"/>
    </xf>
    <xf numFmtId="164" fontId="121" fillId="2" borderId="118" xfId="0" applyNumberFormat="1" applyFont="1" applyFill="1" applyBorder="1" applyAlignment="1" applyProtection="1">
      <alignment horizontal="right" vertical="center"/>
    </xf>
    <xf numFmtId="164" fontId="121" fillId="2" borderId="119" xfId="0" applyNumberFormat="1" applyFont="1" applyFill="1" applyBorder="1" applyAlignment="1" applyProtection="1">
      <alignment horizontal="right" vertical="center"/>
    </xf>
    <xf numFmtId="164" fontId="121" fillId="2" borderId="120" xfId="0" applyNumberFormat="1" applyFont="1" applyFill="1" applyBorder="1" applyAlignment="1" applyProtection="1">
      <alignment horizontal="right" vertical="center"/>
    </xf>
    <xf numFmtId="164" fontId="121" fillId="2" borderId="121" xfId="0" applyNumberFormat="1" applyFont="1" applyFill="1" applyBorder="1" applyAlignment="1" applyProtection="1">
      <alignment horizontal="right" vertical="center"/>
    </xf>
    <xf numFmtId="164" fontId="121" fillId="2" borderId="122" xfId="0" applyNumberFormat="1" applyFont="1" applyFill="1" applyBorder="1" applyAlignment="1" applyProtection="1">
      <alignment horizontal="right" vertical="center"/>
    </xf>
    <xf numFmtId="164" fontId="121" fillId="2" borderId="123" xfId="0" applyNumberFormat="1" applyFont="1" applyFill="1" applyBorder="1" applyAlignment="1" applyProtection="1">
      <alignment horizontal="right" vertical="center"/>
    </xf>
    <xf numFmtId="164" fontId="121" fillId="2" borderId="124" xfId="0" applyNumberFormat="1" applyFont="1" applyFill="1" applyBorder="1" applyAlignment="1" applyProtection="1">
      <alignment horizontal="right" vertical="center"/>
    </xf>
    <xf numFmtId="0" fontId="4" fillId="2" borderId="5" xfId="0" applyNumberFormat="1" applyFont="1" applyFill="1" applyBorder="1" applyAlignment="1" applyProtection="1">
      <alignment horizontal="right" vertical="center"/>
    </xf>
    <xf numFmtId="0" fontId="4" fillId="2" borderId="5" xfId="0" applyNumberFormat="1" applyFont="1" applyFill="1" applyBorder="1" applyAlignment="1">
      <alignment horizontal="right" vertical="center"/>
    </xf>
    <xf numFmtId="0" fontId="4" fillId="2" borderId="131" xfId="0" applyNumberFormat="1" applyFont="1" applyFill="1" applyBorder="1" applyAlignment="1">
      <alignment horizontal="right" vertical="center"/>
    </xf>
    <xf numFmtId="0" fontId="4" fillId="2" borderId="23" xfId="0" applyNumberFormat="1" applyFont="1" applyFill="1" applyBorder="1" applyAlignment="1" applyProtection="1">
      <alignment horizontal="right" vertical="center"/>
    </xf>
    <xf numFmtId="0" fontId="4" fillId="2" borderId="38" xfId="0" applyNumberFormat="1" applyFont="1" applyFill="1" applyBorder="1" applyAlignment="1">
      <alignment horizontal="right" vertical="center"/>
    </xf>
    <xf numFmtId="3" fontId="4" fillId="2" borderId="132" xfId="0" applyNumberFormat="1" applyFont="1" applyFill="1" applyBorder="1" applyAlignment="1" applyProtection="1">
      <alignment horizontal="right" vertical="center"/>
    </xf>
    <xf numFmtId="3" fontId="4" fillId="2" borderId="5" xfId="0" applyNumberFormat="1" applyFont="1" applyFill="1" applyBorder="1" applyAlignment="1">
      <alignment horizontal="right" vertical="center"/>
    </xf>
    <xf numFmtId="3" fontId="4" fillId="2" borderId="38" xfId="0" applyNumberFormat="1" applyFont="1" applyFill="1" applyBorder="1" applyAlignment="1">
      <alignment horizontal="right" vertical="center"/>
    </xf>
    <xf numFmtId="3" fontId="4" fillId="2" borderId="23" xfId="0" applyNumberFormat="1" applyFont="1" applyFill="1" applyBorder="1" applyAlignment="1" applyProtection="1">
      <alignment horizontal="right" vertical="center"/>
    </xf>
    <xf numFmtId="164" fontId="99" fillId="2" borderId="5" xfId="0" applyNumberFormat="1" applyFont="1" applyFill="1" applyBorder="1" applyAlignment="1">
      <alignment vertical="center"/>
    </xf>
    <xf numFmtId="164" fontId="0" fillId="2" borderId="16" xfId="0" applyNumberFormat="1" applyFont="1" applyFill="1" applyBorder="1" applyAlignment="1" applyProtection="1">
      <alignment vertical="center"/>
    </xf>
    <xf numFmtId="0" fontId="0" fillId="2" borderId="16" xfId="0" applyNumberFormat="1" applyFont="1" applyFill="1" applyBorder="1" applyAlignment="1" applyProtection="1">
      <alignment horizontal="right" vertical="center"/>
    </xf>
    <xf numFmtId="0" fontId="0" fillId="2" borderId="5" xfId="0" applyNumberFormat="1" applyFont="1" applyFill="1" applyBorder="1" applyAlignment="1" applyProtection="1">
      <alignment horizontal="right" vertical="center"/>
      <protection locked="0"/>
    </xf>
    <xf numFmtId="0" fontId="0" fillId="2" borderId="131" xfId="0" applyNumberFormat="1" applyFont="1" applyFill="1" applyBorder="1" applyAlignment="1" applyProtection="1">
      <alignment horizontal="right" vertical="center"/>
      <protection locked="0"/>
    </xf>
    <xf numFmtId="0" fontId="0" fillId="2" borderId="36" xfId="0" applyNumberFormat="1" applyFont="1" applyFill="1" applyBorder="1" applyAlignment="1" applyProtection="1">
      <alignment horizontal="right" vertical="center"/>
    </xf>
    <xf numFmtId="0" fontId="0" fillId="2" borderId="38" xfId="0" applyNumberFormat="1" applyFont="1" applyFill="1" applyBorder="1" applyAlignment="1" applyProtection="1">
      <alignment horizontal="right" vertical="center"/>
      <protection locked="0"/>
    </xf>
    <xf numFmtId="3" fontId="0" fillId="2" borderId="133" xfId="0" applyNumberFormat="1" applyFont="1" applyFill="1" applyBorder="1" applyAlignment="1" applyProtection="1">
      <alignment horizontal="right" vertical="center"/>
    </xf>
    <xf numFmtId="3" fontId="0" fillId="2" borderId="134" xfId="0" applyNumberFormat="1" applyFont="1" applyFill="1" applyBorder="1" applyAlignment="1" applyProtection="1">
      <alignment horizontal="right" vertical="center"/>
    </xf>
    <xf numFmtId="3" fontId="0" fillId="2" borderId="132" xfId="0" applyNumberFormat="1" applyFont="1" applyFill="1" applyBorder="1" applyAlignment="1" applyProtection="1">
      <alignment horizontal="right" vertical="center"/>
    </xf>
    <xf numFmtId="3" fontId="0" fillId="2" borderId="23" xfId="0" applyNumberFormat="1" applyFont="1" applyFill="1" applyBorder="1" applyAlignment="1" applyProtection="1">
      <alignment horizontal="right" vertical="center"/>
    </xf>
    <xf numFmtId="164" fontId="100" fillId="2" borderId="16" xfId="0" applyNumberFormat="1" applyFont="1" applyFill="1" applyBorder="1" applyAlignment="1">
      <alignment vertical="center"/>
    </xf>
    <xf numFmtId="164" fontId="0" fillId="2" borderId="5" xfId="0" applyNumberFormat="1" applyFont="1" applyFill="1" applyBorder="1" applyAlignment="1" applyProtection="1">
      <alignment vertical="center"/>
    </xf>
    <xf numFmtId="0" fontId="0" fillId="2" borderId="16" xfId="0" applyNumberFormat="1" applyFont="1" applyFill="1" applyBorder="1" applyAlignment="1" applyProtection="1">
      <alignment horizontal="right" vertical="center"/>
      <protection locked="0"/>
    </xf>
    <xf numFmtId="0" fontId="0" fillId="2" borderId="135" xfId="0" applyNumberFormat="1" applyFont="1" applyFill="1" applyBorder="1" applyAlignment="1" applyProtection="1">
      <alignment horizontal="right" vertical="center"/>
      <protection locked="0"/>
    </xf>
    <xf numFmtId="0" fontId="0" fillId="2" borderId="24" xfId="0" applyNumberFormat="1" applyFont="1" applyFill="1" applyBorder="1" applyAlignment="1" applyProtection="1">
      <alignment horizontal="right" vertical="center"/>
      <protection locked="0"/>
    </xf>
    <xf numFmtId="3" fontId="0" fillId="2" borderId="16" xfId="0" applyNumberFormat="1" applyFont="1" applyFill="1" applyBorder="1" applyAlignment="1" applyProtection="1">
      <alignment horizontal="right" vertical="center"/>
      <protection locked="0"/>
    </xf>
    <xf numFmtId="3" fontId="0" fillId="2" borderId="24" xfId="0" applyNumberFormat="1" applyFont="1" applyFill="1" applyBorder="1" applyAlignment="1" applyProtection="1">
      <alignment horizontal="right" vertical="center"/>
      <protection locked="0"/>
    </xf>
    <xf numFmtId="164" fontId="0" fillId="2" borderId="19" xfId="0" applyNumberFormat="1" applyFont="1" applyFill="1" applyBorder="1" applyAlignment="1" applyProtection="1">
      <alignment vertical="center"/>
    </xf>
    <xf numFmtId="0" fontId="0" fillId="2" borderId="19" xfId="0" applyNumberFormat="1" applyFont="1" applyFill="1" applyBorder="1" applyAlignment="1" applyProtection="1">
      <alignment horizontal="right" vertical="center"/>
    </xf>
    <xf numFmtId="0" fontId="0" fillId="2" borderId="19" xfId="0" applyNumberFormat="1" applyFont="1" applyFill="1" applyBorder="1" applyAlignment="1" applyProtection="1">
      <alignment horizontal="right" vertical="center"/>
      <protection locked="0"/>
    </xf>
    <xf numFmtId="0" fontId="0" fillId="2" borderId="136" xfId="0" applyNumberFormat="1" applyFont="1" applyFill="1" applyBorder="1" applyAlignment="1" applyProtection="1">
      <alignment horizontal="right" vertical="center"/>
      <protection locked="0"/>
    </xf>
    <xf numFmtId="0" fontId="0" fillId="2" borderId="109" xfId="0" applyNumberFormat="1" applyFont="1" applyFill="1" applyBorder="1" applyAlignment="1" applyProtection="1">
      <alignment horizontal="right" vertical="center"/>
    </xf>
    <xf numFmtId="0" fontId="0" fillId="2" borderId="40" xfId="0" applyNumberFormat="1" applyFont="1" applyFill="1" applyBorder="1" applyAlignment="1" applyProtection="1">
      <alignment horizontal="right" vertical="center"/>
      <protection locked="0"/>
    </xf>
    <xf numFmtId="3" fontId="0" fillId="2" borderId="137" xfId="0" applyNumberFormat="1" applyFont="1" applyFill="1" applyBorder="1" applyAlignment="1" applyProtection="1">
      <alignment horizontal="right" vertical="center"/>
    </xf>
    <xf numFmtId="3" fontId="0" fillId="2" borderId="138" xfId="0" applyNumberFormat="1" applyFont="1" applyFill="1" applyBorder="1" applyAlignment="1" applyProtection="1">
      <alignment horizontal="right" vertical="center"/>
    </xf>
    <xf numFmtId="164" fontId="100" fillId="2" borderId="19" xfId="0" applyNumberFormat="1" applyFont="1" applyFill="1" applyBorder="1" applyAlignment="1">
      <alignment vertical="center"/>
    </xf>
    <xf numFmtId="164" fontId="94" fillId="2" borderId="5" xfId="0" applyNumberFormat="1" applyFont="1" applyFill="1" applyBorder="1" applyAlignment="1" applyProtection="1">
      <alignment horizontal="fill" vertical="center"/>
    </xf>
    <xf numFmtId="164" fontId="25" fillId="2" borderId="5" xfId="0" applyNumberFormat="1" applyFont="1" applyFill="1" applyBorder="1" applyAlignment="1">
      <alignment vertical="center"/>
    </xf>
    <xf numFmtId="164" fontId="65" fillId="2" borderId="5" xfId="0" applyNumberFormat="1" applyFont="1" applyFill="1" applyBorder="1" applyAlignment="1">
      <alignment vertical="center"/>
    </xf>
    <xf numFmtId="0" fontId="65" fillId="2" borderId="5" xfId="0" applyNumberFormat="1" applyFont="1" applyFill="1" applyBorder="1" applyAlignment="1" applyProtection="1">
      <alignment horizontal="center" vertical="center"/>
    </xf>
    <xf numFmtId="164" fontId="101" fillId="2" borderId="16" xfId="0" applyNumberFormat="1" applyFont="1" applyFill="1" applyBorder="1" applyAlignment="1">
      <alignment horizontal="right" readingOrder="2"/>
    </xf>
    <xf numFmtId="164" fontId="15" fillId="2" borderId="16" xfId="0" applyNumberFormat="1" applyFont="1" applyFill="1" applyBorder="1" applyAlignment="1">
      <alignment horizontal="center"/>
    </xf>
    <xf numFmtId="164" fontId="15" fillId="2" borderId="0" xfId="0" applyNumberFormat="1" applyFont="1" applyFill="1" applyBorder="1" applyAlignment="1">
      <alignment horizontal="center"/>
    </xf>
    <xf numFmtId="164" fontId="15" fillId="2" borderId="0" xfId="0" applyNumberFormat="1" applyFont="1" applyFill="1" applyBorder="1"/>
    <xf numFmtId="164" fontId="15" fillId="2" borderId="92" xfId="0" applyNumberFormat="1" applyFont="1" applyFill="1" applyBorder="1"/>
    <xf numFmtId="164" fontId="65" fillId="2" borderId="16" xfId="0" applyNumberFormat="1" applyFont="1" applyFill="1" applyBorder="1" applyAlignment="1">
      <alignment vertical="center"/>
    </xf>
    <xf numFmtId="0" fontId="0" fillId="2" borderId="0" xfId="0" applyFont="1" applyFill="1"/>
    <xf numFmtId="0" fontId="4" fillId="2" borderId="112" xfId="0" applyFont="1" applyFill="1" applyBorder="1" applyAlignment="1">
      <alignment horizontal="left" vertical="center"/>
    </xf>
    <xf numFmtId="0" fontId="4" fillId="2" borderId="112" xfId="0" applyFont="1" applyFill="1" applyBorder="1" applyAlignment="1">
      <alignment horizontal="right" vertical="center"/>
    </xf>
    <xf numFmtId="0" fontId="4" fillId="2" borderId="112" xfId="0" applyFont="1" applyFill="1" applyBorder="1" applyAlignment="1">
      <alignment horizontal="right" vertical="center" wrapText="1"/>
    </xf>
    <xf numFmtId="0" fontId="100" fillId="2" borderId="112" xfId="0" applyFont="1" applyFill="1" applyBorder="1" applyAlignment="1">
      <alignment horizontal="right" vertical="center"/>
    </xf>
    <xf numFmtId="0" fontId="4" fillId="2" borderId="0" xfId="0" applyFont="1" applyFill="1" applyBorder="1"/>
    <xf numFmtId="3" fontId="4" fillId="2" borderId="3" xfId="0" applyNumberFormat="1" applyFont="1" applyFill="1" applyBorder="1" applyAlignment="1">
      <alignment horizontal="right" vertical="center"/>
    </xf>
    <xf numFmtId="0" fontId="99" fillId="2" borderId="0" xfId="0" applyFont="1" applyFill="1" applyBorder="1"/>
    <xf numFmtId="0" fontId="0" fillId="2" borderId="0" xfId="0" applyFont="1" applyFill="1" applyBorder="1" applyAlignment="1">
      <alignment horizontal="left" vertical="center" indent="2"/>
    </xf>
    <xf numFmtId="3" fontId="4" fillId="2" borderId="0" xfId="0" applyNumberFormat="1" applyFont="1" applyFill="1" applyBorder="1" applyAlignment="1">
      <alignment horizontal="right" vertical="center"/>
    </xf>
    <xf numFmtId="0" fontId="100" fillId="2" borderId="0" xfId="0" applyFont="1" applyFill="1" applyBorder="1" applyAlignment="1">
      <alignment horizontal="right" vertical="center" indent="2" readingOrder="2"/>
    </xf>
    <xf numFmtId="0" fontId="0" fillId="2" borderId="140" xfId="0" applyFont="1" applyFill="1" applyBorder="1" applyAlignment="1">
      <alignment horizontal="left" vertical="center" indent="2"/>
    </xf>
    <xf numFmtId="3" fontId="4" fillId="2" borderId="140" xfId="0" applyNumberFormat="1" applyFont="1" applyFill="1" applyBorder="1" applyAlignment="1">
      <alignment horizontal="right" vertical="center"/>
    </xf>
    <xf numFmtId="0" fontId="100" fillId="2" borderId="140" xfId="0" applyFont="1" applyFill="1" applyBorder="1" applyAlignment="1">
      <alignment horizontal="right" vertical="center" indent="2" readingOrder="2"/>
    </xf>
    <xf numFmtId="0" fontId="4" fillId="2" borderId="0" xfId="0" applyFont="1" applyFill="1" applyBorder="1" applyAlignment="1">
      <alignment vertical="center"/>
    </xf>
    <xf numFmtId="0" fontId="99" fillId="2" borderId="0" xfId="0" applyFont="1" applyFill="1" applyBorder="1" applyAlignment="1">
      <alignment vertical="center" readingOrder="2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140" xfId="0" applyNumberFormat="1" applyFont="1" applyFill="1" applyBorder="1" applyAlignment="1">
      <alignment horizontal="right" vertical="center"/>
    </xf>
    <xf numFmtId="0" fontId="0" fillId="2" borderId="4" xfId="0" applyFont="1" applyFill="1" applyBorder="1" applyAlignment="1">
      <alignment horizontal="left" vertical="center" indent="2"/>
    </xf>
    <xf numFmtId="3" fontId="0" fillId="2" borderId="4" xfId="0" applyNumberFormat="1" applyFont="1" applyFill="1" applyBorder="1" applyAlignment="1">
      <alignment horizontal="right" vertical="center"/>
    </xf>
    <xf numFmtId="0" fontId="100" fillId="2" borderId="4" xfId="0" applyFont="1" applyFill="1" applyBorder="1" applyAlignment="1">
      <alignment horizontal="right" vertical="center" indent="2" readingOrder="2"/>
    </xf>
    <xf numFmtId="0" fontId="15" fillId="2" borderId="0" xfId="0" applyFont="1" applyFill="1"/>
    <xf numFmtId="164" fontId="107" fillId="2" borderId="5" xfId="0" applyNumberFormat="1" applyFont="1" applyFill="1" applyBorder="1" applyAlignment="1">
      <alignment vertical="center"/>
    </xf>
    <xf numFmtId="0" fontId="0" fillId="2" borderId="0" xfId="0" applyFont="1" applyFill="1" applyAlignment="1"/>
    <xf numFmtId="170" fontId="0" fillId="2" borderId="0" xfId="1" applyNumberFormat="1" applyFont="1" applyFill="1" applyAlignment="1"/>
    <xf numFmtId="0" fontId="77" fillId="2" borderId="0" xfId="0" applyFont="1" applyFill="1"/>
    <xf numFmtId="0" fontId="99" fillId="2" borderId="112" xfId="0" applyFont="1" applyFill="1" applyBorder="1" applyAlignment="1">
      <alignment horizontal="right" vertical="center"/>
    </xf>
    <xf numFmtId="0" fontId="4" fillId="2" borderId="3" xfId="0" applyFont="1" applyFill="1" applyBorder="1"/>
    <xf numFmtId="0" fontId="99" fillId="2" borderId="3" xfId="0" applyFont="1" applyFill="1" applyBorder="1"/>
    <xf numFmtId="0" fontId="0" fillId="2" borderId="0" xfId="0" applyFont="1" applyFill="1" applyBorder="1" applyAlignment="1">
      <alignment horizontal="right" vertical="center" indent="2" readingOrder="2"/>
    </xf>
    <xf numFmtId="0" fontId="0" fillId="2" borderId="0" xfId="0" applyFont="1" applyFill="1" applyBorder="1" applyAlignment="1">
      <alignment horizontal="right" vertical="center" indent="2"/>
    </xf>
    <xf numFmtId="164" fontId="22" fillId="2" borderId="59" xfId="0" applyNumberFormat="1" applyFont="1" applyFill="1" applyBorder="1" applyAlignment="1">
      <alignment vertical="center"/>
    </xf>
    <xf numFmtId="164" fontId="22" fillId="2" borderId="62" xfId="0" applyNumberFormat="1" applyFont="1" applyFill="1" applyBorder="1" applyAlignment="1">
      <alignment vertical="center"/>
    </xf>
    <xf numFmtId="164" fontId="22" fillId="2" borderId="54" xfId="0" applyNumberFormat="1" applyFont="1" applyFill="1" applyBorder="1" applyAlignment="1" applyProtection="1">
      <alignment horizontal="left" vertical="center"/>
    </xf>
    <xf numFmtId="3" fontId="22" fillId="2" borderId="67" xfId="1" applyNumberFormat="1" applyFont="1" applyFill="1" applyBorder="1" applyAlignment="1">
      <alignment horizontal="right" vertical="center"/>
    </xf>
    <xf numFmtId="3" fontId="22" fillId="2" borderId="54" xfId="1" applyNumberFormat="1" applyFont="1" applyFill="1" applyBorder="1" applyAlignment="1">
      <alignment horizontal="right" vertical="center"/>
    </xf>
    <xf numFmtId="164" fontId="22" fillId="2" borderId="0" xfId="0" applyNumberFormat="1" applyFont="1" applyFill="1" applyBorder="1" applyAlignment="1" applyProtection="1">
      <alignment horizontal="left" vertical="center"/>
    </xf>
    <xf numFmtId="164" fontId="17" fillId="2" borderId="0" xfId="0" applyNumberFormat="1" applyFont="1" applyFill="1" applyBorder="1" applyAlignment="1" applyProtection="1">
      <alignment horizontal="left" vertical="center"/>
    </xf>
    <xf numFmtId="3" fontId="22" fillId="2" borderId="99" xfId="1" applyNumberFormat="1" applyFont="1" applyFill="1" applyBorder="1" applyAlignment="1">
      <alignment horizontal="right" vertical="center"/>
    </xf>
    <xf numFmtId="3" fontId="22" fillId="2" borderId="57" xfId="1" applyNumberFormat="1" applyFont="1" applyFill="1" applyBorder="1" applyAlignment="1">
      <alignment horizontal="right" vertical="center"/>
    </xf>
    <xf numFmtId="0" fontId="99" fillId="2" borderId="0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/>
    <xf numFmtId="0" fontId="99" fillId="2" borderId="3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4" fillId="2" borderId="140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123" fillId="2" borderId="0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/>
    </xf>
    <xf numFmtId="0" fontId="123" fillId="2" borderId="0" xfId="0" applyFont="1" applyFill="1"/>
    <xf numFmtId="0" fontId="124" fillId="2" borderId="0" xfId="0" applyFont="1" applyFill="1" applyAlignment="1">
      <alignment wrapText="1"/>
    </xf>
    <xf numFmtId="0" fontId="123" fillId="2" borderId="0" xfId="0" applyFont="1" applyFill="1" applyAlignment="1">
      <alignment wrapText="1"/>
    </xf>
    <xf numFmtId="1" fontId="4" fillId="2" borderId="0" xfId="0" applyNumberFormat="1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4" xfId="0" applyFont="1" applyFill="1" applyBorder="1" applyAlignment="1">
      <alignment horizontal="center"/>
    </xf>
    <xf numFmtId="0" fontId="124" fillId="2" borderId="4" xfId="0" applyFont="1" applyFill="1" applyBorder="1" applyAlignment="1">
      <alignment wrapText="1"/>
    </xf>
    <xf numFmtId="0" fontId="125" fillId="2" borderId="0" xfId="0" applyFont="1" applyFill="1"/>
    <xf numFmtId="0" fontId="23" fillId="2" borderId="0" xfId="0" applyFont="1" applyFill="1"/>
    <xf numFmtId="0" fontId="101" fillId="2" borderId="0" xfId="0" applyFont="1" applyFill="1"/>
    <xf numFmtId="0" fontId="100" fillId="2" borderId="0" xfId="0" applyFont="1" applyFill="1"/>
    <xf numFmtId="0" fontId="4" fillId="2" borderId="0" xfId="0" applyFont="1" applyFill="1" applyBorder="1" applyAlignment="1">
      <alignment horizontal="left" vertical="center"/>
    </xf>
    <xf numFmtId="0" fontId="4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3" fontId="126" fillId="2" borderId="0" xfId="8" applyNumberFormat="1" applyFont="1" applyFill="1" applyBorder="1"/>
    <xf numFmtId="164" fontId="15" fillId="2" borderId="36" xfId="0" applyNumberFormat="1" applyFont="1" applyFill="1" applyBorder="1" applyAlignment="1">
      <alignment horizontal="left"/>
    </xf>
    <xf numFmtId="164" fontId="4" fillId="2" borderId="50" xfId="0" applyNumberFormat="1" applyFont="1" applyFill="1" applyBorder="1" applyAlignment="1" applyProtection="1">
      <alignment horizontal="left" vertical="center"/>
    </xf>
    <xf numFmtId="164" fontId="15" fillId="2" borderId="36" xfId="0" applyNumberFormat="1" applyFont="1" applyFill="1" applyBorder="1" applyAlignment="1">
      <alignment horizontal="left"/>
    </xf>
    <xf numFmtId="3" fontId="4" fillId="2" borderId="95" xfId="0" applyNumberFormat="1" applyFont="1" applyFill="1" applyBorder="1" applyAlignment="1">
      <alignment horizontal="right" vertical="center"/>
    </xf>
    <xf numFmtId="3" fontId="0" fillId="2" borderId="93" xfId="0" applyNumberFormat="1" applyFont="1" applyFill="1" applyBorder="1" applyAlignment="1" applyProtection="1">
      <alignment horizontal="right" vertical="center"/>
    </xf>
    <xf numFmtId="3" fontId="0" fillId="2" borderId="109" xfId="0" applyNumberFormat="1" applyFont="1" applyFill="1" applyBorder="1" applyAlignment="1" applyProtection="1">
      <alignment horizontal="right" vertical="center"/>
    </xf>
    <xf numFmtId="3" fontId="0" fillId="2" borderId="144" xfId="0" applyNumberFormat="1" applyFont="1" applyFill="1" applyBorder="1" applyAlignment="1" applyProtection="1">
      <alignment horizontal="right" vertical="center"/>
    </xf>
    <xf numFmtId="0" fontId="4" fillId="2" borderId="132" xfId="0" applyNumberFormat="1" applyFont="1" applyFill="1" applyBorder="1" applyAlignment="1" applyProtection="1">
      <alignment horizontal="right" vertical="center"/>
    </xf>
    <xf numFmtId="0" fontId="0" fillId="2" borderId="133" xfId="0" applyNumberFormat="1" applyFont="1" applyFill="1" applyBorder="1" applyAlignment="1" applyProtection="1">
      <alignment horizontal="right" vertical="center"/>
    </xf>
    <xf numFmtId="0" fontId="0" fillId="2" borderId="145" xfId="0" applyNumberFormat="1" applyFont="1" applyFill="1" applyBorder="1" applyAlignment="1" applyProtection="1">
      <alignment horizontal="right" vertical="center"/>
    </xf>
    <xf numFmtId="0" fontId="4" fillId="2" borderId="137" xfId="0" applyNumberFormat="1" applyFont="1" applyFill="1" applyBorder="1" applyAlignment="1" applyProtection="1">
      <alignment horizontal="right" vertical="center"/>
    </xf>
    <xf numFmtId="0" fontId="0" fillId="2" borderId="137" xfId="0" applyNumberFormat="1" applyFont="1" applyFill="1" applyBorder="1" applyAlignment="1" applyProtection="1">
      <alignment horizontal="right" vertical="center"/>
    </xf>
    <xf numFmtId="0" fontId="0" fillId="2" borderId="146" xfId="0" applyNumberFormat="1" applyFont="1" applyFill="1" applyBorder="1" applyAlignment="1" applyProtection="1">
      <alignment horizontal="right" vertical="center"/>
    </xf>
    <xf numFmtId="3" fontId="4" fillId="2" borderId="115" xfId="0" applyNumberFormat="1" applyFont="1" applyFill="1" applyBorder="1" applyAlignment="1" applyProtection="1">
      <alignment horizontal="right" vertical="center"/>
    </xf>
    <xf numFmtId="3" fontId="4" fillId="2" borderId="110" xfId="0" applyNumberFormat="1" applyFont="1" applyFill="1" applyBorder="1" applyAlignment="1">
      <alignment horizontal="right" vertical="center"/>
    </xf>
    <xf numFmtId="3" fontId="4" fillId="2" borderId="113" xfId="0" applyNumberFormat="1" applyFont="1" applyFill="1" applyBorder="1" applyAlignment="1">
      <alignment horizontal="right" vertical="center"/>
    </xf>
    <xf numFmtId="3" fontId="0" fillId="2" borderId="147" xfId="0" applyNumberFormat="1" applyFont="1" applyFill="1" applyBorder="1" applyAlignment="1" applyProtection="1">
      <alignment horizontal="right" vertical="center"/>
    </xf>
    <xf numFmtId="3" fontId="4" fillId="2" borderId="94" xfId="0" applyNumberFormat="1" applyFont="1" applyFill="1" applyBorder="1" applyAlignment="1">
      <alignment horizontal="right" vertical="center"/>
    </xf>
    <xf numFmtId="3" fontId="4" fillId="2" borderId="139" xfId="0" applyNumberFormat="1" applyFont="1" applyFill="1" applyBorder="1" applyAlignment="1">
      <alignment horizontal="right" vertical="center"/>
    </xf>
    <xf numFmtId="3" fontId="4" fillId="2" borderId="19" xfId="0" applyNumberFormat="1" applyFont="1" applyFill="1" applyBorder="1" applyAlignment="1">
      <alignment horizontal="right" vertical="center"/>
    </xf>
    <xf numFmtId="164" fontId="34" fillId="2" borderId="115" xfId="0" applyNumberFormat="1" applyFont="1" applyFill="1" applyBorder="1" applyAlignment="1" applyProtection="1">
      <alignment horizontal="right" vertical="center" wrapText="1"/>
    </xf>
    <xf numFmtId="164" fontId="34" fillId="2" borderId="110" xfId="0" applyNumberFormat="1" applyFont="1" applyFill="1" applyBorder="1" applyAlignment="1" applyProtection="1">
      <alignment horizontal="right" vertical="center" wrapText="1"/>
    </xf>
    <xf numFmtId="164" fontId="34" fillId="2" borderId="114" xfId="0" applyNumberFormat="1" applyFont="1" applyFill="1" applyBorder="1" applyAlignment="1" applyProtection="1">
      <alignment horizontal="right" vertical="center" wrapText="1"/>
    </xf>
    <xf numFmtId="164" fontId="34" fillId="2" borderId="116" xfId="0" applyNumberFormat="1" applyFont="1" applyFill="1" applyBorder="1" applyAlignment="1" applyProtection="1">
      <alignment horizontal="right" vertical="center" wrapText="1"/>
    </xf>
    <xf numFmtId="164" fontId="34" fillId="2" borderId="117" xfId="0" applyNumberFormat="1" applyFont="1" applyFill="1" applyBorder="1" applyAlignment="1" applyProtection="1">
      <alignment horizontal="right" vertical="center" wrapText="1"/>
    </xf>
    <xf numFmtId="164" fontId="34" fillId="2" borderId="22" xfId="0" applyNumberFormat="1" applyFont="1" applyFill="1" applyBorder="1" applyAlignment="1" applyProtection="1">
      <alignment horizontal="right" vertical="center" wrapText="1"/>
    </xf>
    <xf numFmtId="0" fontId="0" fillId="2" borderId="132" xfId="0" applyNumberFormat="1" applyFont="1" applyFill="1" applyBorder="1" applyAlignment="1" applyProtection="1">
      <alignment horizontal="right" vertical="center"/>
    </xf>
    <xf numFmtId="166" fontId="15" fillId="2" borderId="0" xfId="1" applyNumberFormat="1" applyFont="1" applyFill="1" applyBorder="1" applyAlignment="1">
      <alignment horizontal="right" vertical="center"/>
    </xf>
    <xf numFmtId="164" fontId="15" fillId="2" borderId="0" xfId="0" applyNumberFormat="1" applyFont="1" applyFill="1" applyBorder="1" applyAlignment="1">
      <alignment horizontal="right" vertical="center"/>
    </xf>
    <xf numFmtId="1" fontId="22" fillId="2" borderId="0" xfId="2" applyNumberFormat="1" applyFont="1" applyFill="1" applyAlignment="1">
      <alignment horizontal="center"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8" fillId="2" borderId="4" xfId="0" applyNumberFormat="1" applyFont="1" applyFill="1" applyBorder="1" applyAlignment="1">
      <alignment horizontal="right" vertical="center"/>
    </xf>
    <xf numFmtId="164" fontId="11" fillId="2" borderId="3" xfId="0" applyNumberFormat="1" applyFont="1" applyFill="1" applyBorder="1" applyAlignment="1" applyProtection="1">
      <alignment horizontal="right" vertical="center" wrapText="1"/>
    </xf>
    <xf numFmtId="164" fontId="14" fillId="2" borderId="4" xfId="0" applyNumberFormat="1" applyFont="1" applyFill="1" applyBorder="1" applyAlignment="1">
      <alignment horizontal="right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top"/>
    </xf>
    <xf numFmtId="164" fontId="8" fillId="2" borderId="3" xfId="0" applyNumberFormat="1" applyFont="1" applyFill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left" vertical="center" wrapText="1"/>
    </xf>
    <xf numFmtId="164" fontId="9" fillId="2" borderId="3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 applyProtection="1">
      <alignment horizontal="right" vertical="center" wrapText="1"/>
    </xf>
    <xf numFmtId="164" fontId="11" fillId="2" borderId="4" xfId="0" applyNumberFormat="1" applyFont="1" applyFill="1" applyBorder="1" applyAlignment="1" applyProtection="1">
      <alignment horizontal="right" vertical="center" wrapText="1"/>
    </xf>
    <xf numFmtId="164" fontId="8" fillId="2" borderId="0" xfId="0" applyNumberFormat="1" applyFont="1" applyFill="1" applyBorder="1" applyAlignment="1">
      <alignment horizontal="center" vertical="center" wrapText="1"/>
    </xf>
    <xf numFmtId="164" fontId="31" fillId="2" borderId="1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left" vertical="center" wrapText="1"/>
    </xf>
    <xf numFmtId="164" fontId="32" fillId="2" borderId="3" xfId="0" applyNumberFormat="1" applyFont="1" applyFill="1" applyBorder="1" applyAlignment="1">
      <alignment horizontal="center" vertical="center" wrapText="1"/>
    </xf>
    <xf numFmtId="164" fontId="32" fillId="2" borderId="7" xfId="0" applyNumberFormat="1" applyFont="1" applyFill="1" applyBorder="1" applyAlignment="1">
      <alignment horizontal="center" vertical="center" wrapText="1"/>
    </xf>
    <xf numFmtId="164" fontId="32" fillId="2" borderId="4" xfId="0" applyNumberFormat="1" applyFont="1" applyFill="1" applyBorder="1" applyAlignment="1">
      <alignment horizontal="center" vertical="center" wrapText="1"/>
    </xf>
    <xf numFmtId="164" fontId="32" fillId="2" borderId="9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center" vertical="center" wrapText="1"/>
    </xf>
    <xf numFmtId="164" fontId="8" fillId="2" borderId="10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164" fontId="8" fillId="2" borderId="9" xfId="0" applyNumberFormat="1" applyFont="1" applyFill="1" applyBorder="1" applyAlignment="1">
      <alignment horizontal="center" vertical="center" wrapText="1"/>
    </xf>
    <xf numFmtId="164" fontId="33" fillId="2" borderId="8" xfId="0" applyNumberFormat="1" applyFont="1" applyFill="1" applyBorder="1" applyAlignment="1">
      <alignment horizontal="center" vertical="center" wrapText="1"/>
    </xf>
    <xf numFmtId="164" fontId="34" fillId="2" borderId="3" xfId="0" applyNumberFormat="1" applyFont="1" applyFill="1" applyBorder="1" applyAlignment="1">
      <alignment horizontal="center" vertical="center" wrapText="1"/>
    </xf>
    <xf numFmtId="164" fontId="34" fillId="2" borderId="7" xfId="0" applyNumberFormat="1" applyFont="1" applyFill="1" applyBorder="1" applyAlignment="1">
      <alignment horizontal="center" vertical="center" wrapText="1"/>
    </xf>
    <xf numFmtId="164" fontId="34" fillId="2" borderId="10" xfId="0" applyNumberFormat="1" applyFont="1" applyFill="1" applyBorder="1" applyAlignment="1">
      <alignment horizontal="center" vertical="center" wrapText="1"/>
    </xf>
    <xf numFmtId="164" fontId="34" fillId="2" borderId="4" xfId="0" applyNumberFormat="1" applyFont="1" applyFill="1" applyBorder="1" applyAlignment="1">
      <alignment horizontal="center" vertical="center" wrapText="1"/>
    </xf>
    <xf numFmtId="164" fontId="34" fillId="2" borderId="9" xfId="0" applyNumberFormat="1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Border="1" applyAlignment="1">
      <alignment horizontal="right" vertical="center"/>
    </xf>
    <xf numFmtId="164" fontId="43" fillId="2" borderId="3" xfId="0" applyNumberFormat="1" applyFont="1" applyFill="1" applyBorder="1" applyAlignment="1" applyProtection="1">
      <alignment horizontal="right" vertical="center" wrapText="1"/>
    </xf>
    <xf numFmtId="164" fontId="43" fillId="2" borderId="0" xfId="0" applyNumberFormat="1" applyFont="1" applyFill="1" applyBorder="1" applyAlignment="1" applyProtection="1">
      <alignment horizontal="right" vertical="center" wrapText="1"/>
    </xf>
    <xf numFmtId="164" fontId="5" fillId="2" borderId="0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top"/>
    </xf>
    <xf numFmtId="164" fontId="54" fillId="2" borderId="16" xfId="0" applyNumberFormat="1" applyFont="1" applyFill="1" applyBorder="1" applyAlignment="1">
      <alignment horizontal="center" vertical="center"/>
    </xf>
    <xf numFmtId="164" fontId="55" fillId="2" borderId="17" xfId="0" applyNumberFormat="1" applyFont="1" applyFill="1" applyBorder="1" applyAlignment="1">
      <alignment horizontal="center"/>
    </xf>
    <xf numFmtId="164" fontId="31" fillId="2" borderId="0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right" vertical="center" wrapText="1"/>
    </xf>
    <xf numFmtId="164" fontId="8" fillId="2" borderId="0" xfId="0" applyNumberFormat="1" applyFont="1" applyFill="1" applyBorder="1" applyAlignment="1">
      <alignment horizontal="righ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  <xf numFmtId="164" fontId="9" fillId="2" borderId="3" xfId="0" applyNumberFormat="1" applyFont="1" applyFill="1" applyBorder="1" applyAlignment="1">
      <alignment horizontal="left" vertical="center" wrapText="1"/>
    </xf>
    <xf numFmtId="164" fontId="9" fillId="2" borderId="0" xfId="0" applyNumberFormat="1" applyFont="1" applyFill="1" applyBorder="1" applyAlignment="1">
      <alignment horizontal="left" vertical="center" wrapText="1"/>
    </xf>
    <xf numFmtId="164" fontId="9" fillId="2" borderId="4" xfId="0" applyNumberFormat="1" applyFont="1" applyFill="1" applyBorder="1" applyAlignment="1">
      <alignment horizontal="left" vertical="center" wrapText="1"/>
    </xf>
    <xf numFmtId="164" fontId="10" fillId="2" borderId="3" xfId="0" applyNumberFormat="1" applyFont="1" applyFill="1" applyBorder="1" applyAlignment="1">
      <alignment horizontal="right" vertical="center" wrapText="1"/>
    </xf>
    <xf numFmtId="164" fontId="10" fillId="2" borderId="0" xfId="0" applyNumberFormat="1" applyFont="1" applyFill="1" applyBorder="1" applyAlignment="1">
      <alignment horizontal="right" vertical="center" wrapText="1"/>
    </xf>
    <xf numFmtId="164" fontId="10" fillId="2" borderId="4" xfId="0" applyNumberFormat="1" applyFont="1" applyFill="1" applyBorder="1" applyAlignment="1">
      <alignment horizontal="right" vertical="center" wrapText="1"/>
    </xf>
    <xf numFmtId="164" fontId="43" fillId="2" borderId="4" xfId="0" applyNumberFormat="1" applyFont="1" applyFill="1" applyBorder="1" applyAlignment="1" applyProtection="1">
      <alignment horizontal="right" vertical="center" wrapText="1"/>
    </xf>
    <xf numFmtId="164" fontId="6" fillId="2" borderId="20" xfId="0" applyNumberFormat="1" applyFont="1" applyFill="1" applyBorder="1" applyAlignment="1">
      <alignment horizontal="center" vertical="top"/>
    </xf>
    <xf numFmtId="164" fontId="62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 vertical="top"/>
    </xf>
    <xf numFmtId="0" fontId="4" fillId="2" borderId="3" xfId="0" applyNumberFormat="1" applyFont="1" applyFill="1" applyBorder="1" applyAlignment="1">
      <alignment horizontal="left" vertical="center"/>
    </xf>
    <xf numFmtId="0" fontId="4" fillId="2" borderId="4" xfId="0" applyNumberFormat="1" applyFont="1" applyFill="1" applyBorder="1" applyAlignment="1">
      <alignment horizontal="left" vertical="center"/>
    </xf>
    <xf numFmtId="0" fontId="63" fillId="2" borderId="15" xfId="0" applyNumberFormat="1" applyFont="1" applyFill="1" applyBorder="1" applyAlignment="1">
      <alignment horizontal="left" vertical="center"/>
    </xf>
    <xf numFmtId="0" fontId="62" fillId="2" borderId="3" xfId="0" applyNumberFormat="1" applyFont="1" applyFill="1" applyBorder="1" applyAlignment="1">
      <alignment horizontal="right" vertical="center"/>
    </xf>
    <xf numFmtId="0" fontId="62" fillId="2" borderId="4" xfId="0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34" fillId="2" borderId="3" xfId="0" applyNumberFormat="1" applyFont="1" applyFill="1" applyBorder="1" applyAlignment="1">
      <alignment horizontal="right" vertical="center" wrapText="1"/>
    </xf>
    <xf numFmtId="164" fontId="34" fillId="2" borderId="4" xfId="0" applyNumberFormat="1" applyFont="1" applyFill="1" applyBorder="1" applyAlignment="1">
      <alignment horizontal="right" vertical="center" wrapText="1"/>
    </xf>
    <xf numFmtId="164" fontId="68" fillId="2" borderId="3" xfId="0" applyNumberFormat="1" applyFont="1" applyFill="1" applyBorder="1" applyAlignment="1" applyProtection="1">
      <alignment horizontal="right" vertical="center" wrapText="1"/>
    </xf>
    <xf numFmtId="164" fontId="64" fillId="2" borderId="4" xfId="0" applyNumberFormat="1" applyFont="1" applyFill="1" applyBorder="1" applyAlignment="1">
      <alignment horizontal="right" vertical="center" wrapText="1"/>
    </xf>
    <xf numFmtId="164" fontId="62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67" fillId="2" borderId="3" xfId="0" applyNumberFormat="1" applyFont="1" applyFill="1" applyBorder="1" applyAlignment="1">
      <alignment horizontal="left" vertical="center" wrapText="1"/>
    </xf>
    <xf numFmtId="164" fontId="67" fillId="2" borderId="4" xfId="0" applyNumberFormat="1" applyFont="1" applyFill="1" applyBorder="1" applyAlignment="1">
      <alignment horizontal="left" vertical="center" wrapText="1"/>
    </xf>
    <xf numFmtId="0" fontId="15" fillId="2" borderId="0" xfId="0" applyNumberFormat="1" applyFont="1" applyFill="1" applyBorder="1" applyAlignment="1">
      <alignment horizontal="center" vertical="center"/>
    </xf>
    <xf numFmtId="0" fontId="34" fillId="2" borderId="30" xfId="0" applyNumberFormat="1" applyFont="1" applyFill="1" applyBorder="1" applyAlignment="1">
      <alignment horizontal="right" vertical="center" wrapText="1"/>
    </xf>
    <xf numFmtId="0" fontId="34" fillId="2" borderId="0" xfId="0" applyNumberFormat="1" applyFont="1" applyFill="1" applyBorder="1" applyAlignment="1">
      <alignment horizontal="right" vertical="center" wrapText="1"/>
    </xf>
    <xf numFmtId="0" fontId="73" fillId="2" borderId="31" xfId="0" applyNumberFormat="1" applyFont="1" applyFill="1" applyBorder="1" applyAlignment="1">
      <alignment horizontal="center" vertical="center"/>
    </xf>
    <xf numFmtId="0" fontId="73" fillId="2" borderId="32" xfId="0" applyNumberFormat="1" applyFont="1" applyFill="1" applyBorder="1" applyAlignment="1">
      <alignment horizontal="center" vertical="center"/>
    </xf>
    <xf numFmtId="0" fontId="73" fillId="2" borderId="33" xfId="0" applyNumberFormat="1" applyFont="1" applyFill="1" applyBorder="1" applyAlignment="1">
      <alignment horizontal="center" vertical="center"/>
    </xf>
    <xf numFmtId="0" fontId="34" fillId="2" borderId="29" xfId="0" applyNumberFormat="1" applyFont="1" applyFill="1" applyBorder="1" applyAlignment="1">
      <alignment horizontal="left" vertical="center" wrapText="1"/>
    </xf>
    <xf numFmtId="0" fontId="34" fillId="2" borderId="34" xfId="0" applyNumberFormat="1" applyFont="1" applyFill="1" applyBorder="1" applyAlignment="1">
      <alignment horizontal="left" vertical="center" wrapText="1"/>
    </xf>
    <xf numFmtId="0" fontId="34" fillId="2" borderId="35" xfId="0" applyNumberFormat="1" applyFont="1" applyFill="1" applyBorder="1" applyAlignment="1">
      <alignment horizontal="left" vertical="center" wrapText="1"/>
    </xf>
    <xf numFmtId="0" fontId="71" fillId="2" borderId="11" xfId="0" applyNumberFormat="1" applyFont="1" applyFill="1" applyBorder="1" applyAlignment="1">
      <alignment horizontal="center" vertical="center"/>
    </xf>
    <xf numFmtId="0" fontId="71" fillId="2" borderId="23" xfId="0" applyNumberFormat="1" applyFont="1" applyFill="1" applyBorder="1" applyAlignment="1">
      <alignment horizontal="center" vertical="center"/>
    </xf>
    <xf numFmtId="0" fontId="4" fillId="2" borderId="16" xfId="0" applyNumberFormat="1" applyFont="1" applyFill="1" applyBorder="1" applyAlignment="1">
      <alignment horizontal="center"/>
    </xf>
    <xf numFmtId="0" fontId="4" fillId="2" borderId="24" xfId="0" applyNumberFormat="1" applyFont="1" applyFill="1" applyBorder="1" applyAlignment="1">
      <alignment horizontal="center"/>
    </xf>
    <xf numFmtId="0" fontId="34" fillId="2" borderId="26" xfId="0" applyNumberFormat="1" applyFont="1" applyFill="1" applyBorder="1" applyAlignment="1">
      <alignment horizontal="center" vertical="center"/>
    </xf>
    <xf numFmtId="0" fontId="34" fillId="2" borderId="27" xfId="0" applyNumberFormat="1" applyFont="1" applyFill="1" applyBorder="1" applyAlignment="1">
      <alignment horizontal="center" vertical="center"/>
    </xf>
    <xf numFmtId="0" fontId="34" fillId="2" borderId="28" xfId="0" applyNumberFormat="1" applyFont="1" applyFill="1" applyBorder="1" applyAlignment="1">
      <alignment horizontal="center" vertical="center"/>
    </xf>
    <xf numFmtId="0" fontId="63" fillId="2" borderId="29" xfId="0" applyNumberFormat="1" applyFont="1" applyFill="1" applyBorder="1" applyAlignment="1">
      <alignment horizontal="right" vertical="center"/>
    </xf>
    <xf numFmtId="0" fontId="63" fillId="2" borderId="34" xfId="0" applyNumberFormat="1" applyFont="1" applyFill="1" applyBorder="1" applyAlignment="1">
      <alignment horizontal="right" vertical="center"/>
    </xf>
    <xf numFmtId="0" fontId="63" fillId="2" borderId="0" xfId="0" applyNumberFormat="1" applyFont="1" applyFill="1" applyBorder="1" applyAlignment="1">
      <alignment horizontal="right" vertical="center"/>
    </xf>
    <xf numFmtId="0" fontId="63" fillId="2" borderId="4" xfId="0" applyNumberFormat="1" applyFont="1" applyFill="1" applyBorder="1" applyAlignment="1">
      <alignment horizontal="right" vertical="center"/>
    </xf>
    <xf numFmtId="0" fontId="75" fillId="2" borderId="11" xfId="0" applyNumberFormat="1" applyFont="1" applyFill="1" applyBorder="1" applyAlignment="1">
      <alignment horizontal="center" vertical="center"/>
    </xf>
    <xf numFmtId="0" fontId="63" fillId="2" borderId="11" xfId="0" applyNumberFormat="1" applyFont="1" applyFill="1" applyBorder="1" applyAlignment="1">
      <alignment horizontal="center" vertical="center"/>
    </xf>
    <xf numFmtId="164" fontId="6" fillId="2" borderId="40" xfId="0" applyNumberFormat="1" applyFont="1" applyFill="1" applyBorder="1" applyAlignment="1">
      <alignment horizontal="center" vertical="top"/>
    </xf>
    <xf numFmtId="164" fontId="6" fillId="2" borderId="41" xfId="0" applyNumberFormat="1" applyFont="1" applyFill="1" applyBorder="1" applyAlignment="1">
      <alignment horizontal="center" vertical="top"/>
    </xf>
    <xf numFmtId="0" fontId="71" fillId="2" borderId="0" xfId="0" applyNumberFormat="1" applyFont="1" applyFill="1" applyAlignment="1">
      <alignment horizontal="center"/>
    </xf>
    <xf numFmtId="164" fontId="6" fillId="2" borderId="25" xfId="0" applyNumberFormat="1" applyFont="1" applyFill="1" applyBorder="1" applyAlignment="1">
      <alignment horizontal="center"/>
    </xf>
    <xf numFmtId="164" fontId="6" fillId="2" borderId="43" xfId="0" applyNumberFormat="1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4" fillId="2" borderId="3" xfId="0" applyNumberFormat="1" applyFont="1" applyFill="1" applyBorder="1" applyAlignment="1">
      <alignment horizontal="center" vertical="center"/>
    </xf>
    <xf numFmtId="0" fontId="34" fillId="2" borderId="8" xfId="0" applyNumberFormat="1" applyFont="1" applyFill="1" applyBorder="1" applyAlignment="1">
      <alignment horizontal="center" vertical="center"/>
    </xf>
    <xf numFmtId="0" fontId="63" fillId="2" borderId="3" xfId="0" applyNumberFormat="1" applyFont="1" applyFill="1" applyBorder="1" applyAlignment="1">
      <alignment horizontal="right" vertical="center"/>
    </xf>
    <xf numFmtId="0" fontId="63" fillId="2" borderId="4" xfId="0" applyNumberFormat="1" applyFont="1" applyFill="1" applyBorder="1" applyAlignment="1">
      <alignment horizontal="center" vertical="center"/>
    </xf>
    <xf numFmtId="0" fontId="63" fillId="2" borderId="10" xfId="0" applyNumberFormat="1" applyFont="1" applyFill="1" applyBorder="1" applyAlignment="1">
      <alignment horizontal="center" vertical="center"/>
    </xf>
    <xf numFmtId="164" fontId="6" fillId="2" borderId="10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5" fillId="2" borderId="24" xfId="0" applyNumberFormat="1" applyFont="1" applyFill="1" applyBorder="1" applyAlignment="1">
      <alignment horizontal="center" vertical="center"/>
    </xf>
    <xf numFmtId="164" fontId="5" fillId="2" borderId="44" xfId="0" applyNumberFormat="1" applyFont="1" applyFill="1" applyBorder="1" applyAlignment="1">
      <alignment horizontal="center" vertical="center"/>
    </xf>
    <xf numFmtId="164" fontId="56" fillId="2" borderId="24" xfId="0" applyNumberFormat="1" applyFont="1" applyFill="1" applyBorder="1" applyAlignment="1">
      <alignment horizontal="center" vertical="center" wrapText="1"/>
    </xf>
    <xf numFmtId="164" fontId="56" fillId="2" borderId="44" xfId="0" applyNumberFormat="1" applyFont="1" applyFill="1" applyBorder="1" applyAlignment="1">
      <alignment horizontal="center" vertical="center" wrapText="1"/>
    </xf>
    <xf numFmtId="164" fontId="56" fillId="2" borderId="44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horizontal="left" vertical="center"/>
    </xf>
    <xf numFmtId="164" fontId="6" fillId="2" borderId="4" xfId="0" applyNumberFormat="1" applyFont="1" applyFill="1" applyBorder="1" applyAlignment="1">
      <alignment horizontal="left" vertical="center"/>
    </xf>
    <xf numFmtId="164" fontId="43" fillId="2" borderId="3" xfId="0" applyNumberFormat="1" applyFont="1" applyFill="1" applyBorder="1" applyAlignment="1" applyProtection="1">
      <alignment horizontal="right" vertical="center"/>
    </xf>
    <xf numFmtId="164" fontId="43" fillId="2" borderId="0" xfId="0" applyNumberFormat="1" applyFont="1" applyFill="1" applyBorder="1" applyAlignment="1" applyProtection="1">
      <alignment horizontal="right" vertical="center"/>
    </xf>
    <xf numFmtId="164" fontId="43" fillId="2" borderId="4" xfId="0" applyNumberFormat="1" applyFont="1" applyFill="1" applyBorder="1" applyAlignment="1" applyProtection="1">
      <alignment horizontal="right" vertical="center"/>
    </xf>
    <xf numFmtId="164" fontId="83" fillId="2" borderId="0" xfId="0" applyNumberFormat="1" applyFont="1" applyFill="1" applyAlignment="1">
      <alignment horizontal="center"/>
    </xf>
    <xf numFmtId="0" fontId="83" fillId="2" borderId="3" xfId="0" applyNumberFormat="1" applyFont="1" applyFill="1" applyBorder="1" applyAlignment="1">
      <alignment horizontal="center" vertical="center"/>
    </xf>
    <xf numFmtId="0" fontId="32" fillId="2" borderId="3" xfId="0" applyNumberFormat="1" applyFont="1" applyFill="1" applyBorder="1" applyAlignment="1">
      <alignment horizontal="right" vertical="center"/>
    </xf>
    <xf numFmtId="0" fontId="32" fillId="2" borderId="4" xfId="0" applyNumberFormat="1" applyFont="1" applyFill="1" applyBorder="1" applyAlignment="1">
      <alignment horizontal="right" vertical="center"/>
    </xf>
    <xf numFmtId="0" fontId="89" fillId="2" borderId="21" xfId="0" applyFont="1" applyFill="1" applyBorder="1" applyAlignment="1">
      <alignment horizontal="left" vertical="center" wrapText="1"/>
    </xf>
    <xf numFmtId="0" fontId="34" fillId="2" borderId="51" xfId="0" applyNumberFormat="1" applyFont="1" applyFill="1" applyBorder="1" applyAlignment="1">
      <alignment horizontal="right" vertical="center" wrapText="1"/>
    </xf>
    <xf numFmtId="0" fontId="34" fillId="2" borderId="13" xfId="0" applyNumberFormat="1" applyFont="1" applyFill="1" applyBorder="1" applyAlignment="1">
      <alignment horizontal="right" vertical="center" wrapText="1"/>
    </xf>
    <xf numFmtId="0" fontId="34" fillId="2" borderId="48" xfId="0" applyNumberFormat="1" applyFont="1" applyFill="1" applyBorder="1" applyAlignment="1">
      <alignment horizontal="left" vertical="center" wrapText="1"/>
    </xf>
    <xf numFmtId="0" fontId="34" fillId="2" borderId="50" xfId="0" applyNumberFormat="1" applyFont="1" applyFill="1" applyBorder="1" applyAlignment="1">
      <alignment horizontal="left" vertical="center" wrapText="1"/>
    </xf>
    <xf numFmtId="0" fontId="34" fillId="2" borderId="52" xfId="0" applyNumberFormat="1" applyFont="1" applyFill="1" applyBorder="1" applyAlignment="1">
      <alignment horizontal="left" vertical="center" wrapText="1"/>
    </xf>
    <xf numFmtId="0" fontId="34" fillId="2" borderId="49" xfId="0" applyNumberFormat="1" applyFont="1" applyFill="1" applyBorder="1" applyAlignment="1">
      <alignment horizontal="center" vertical="center"/>
    </xf>
    <xf numFmtId="164" fontId="92" fillId="2" borderId="54" xfId="0" applyNumberFormat="1" applyFont="1" applyFill="1" applyBorder="1" applyAlignment="1">
      <alignment horizontal="center" vertical="center"/>
    </xf>
    <xf numFmtId="164" fontId="83" fillId="2" borderId="0" xfId="0" applyNumberFormat="1" applyFont="1" applyFill="1" applyBorder="1" applyAlignment="1" applyProtection="1">
      <alignment horizontal="center" vertical="center"/>
    </xf>
    <xf numFmtId="164" fontId="92" fillId="2" borderId="0" xfId="0" applyNumberFormat="1" applyFont="1" applyFill="1" applyAlignment="1">
      <alignment horizontal="center" vertical="center"/>
    </xf>
    <xf numFmtId="164" fontId="113" fillId="2" borderId="0" xfId="0" applyNumberFormat="1" applyFont="1" applyFill="1" applyBorder="1" applyAlignment="1" applyProtection="1">
      <alignment horizontal="center" vertical="center"/>
    </xf>
    <xf numFmtId="164" fontId="102" fillId="2" borderId="7" xfId="0" applyNumberFormat="1" applyFont="1" applyFill="1" applyBorder="1" applyAlignment="1" applyProtection="1">
      <alignment horizontal="left" vertical="center"/>
    </xf>
    <xf numFmtId="164" fontId="102" fillId="2" borderId="9" xfId="0" applyNumberFormat="1" applyFont="1" applyFill="1" applyBorder="1" applyAlignment="1" applyProtection="1">
      <alignment horizontal="left" vertical="center"/>
    </xf>
    <xf numFmtId="164" fontId="104" fillId="2" borderId="69" xfId="0" applyNumberFormat="1" applyFont="1" applyFill="1" applyBorder="1" applyAlignment="1">
      <alignment horizontal="center" vertical="center"/>
    </xf>
    <xf numFmtId="164" fontId="104" fillId="2" borderId="15" xfId="0" applyNumberFormat="1" applyFont="1" applyFill="1" applyBorder="1" applyAlignment="1">
      <alignment horizontal="center" vertical="center"/>
    </xf>
    <xf numFmtId="164" fontId="104" fillId="2" borderId="70" xfId="0" applyNumberFormat="1" applyFont="1" applyFill="1" applyBorder="1" applyAlignment="1">
      <alignment horizontal="center" vertical="center"/>
    </xf>
    <xf numFmtId="164" fontId="104" fillId="2" borderId="73" xfId="0" applyNumberFormat="1" applyFont="1" applyFill="1" applyBorder="1" applyAlignment="1">
      <alignment horizontal="center" vertical="center"/>
    </xf>
    <xf numFmtId="164" fontId="105" fillId="2" borderId="69" xfId="0" applyNumberFormat="1" applyFont="1" applyFill="1" applyBorder="1" applyAlignment="1">
      <alignment horizontal="center" vertical="center"/>
    </xf>
    <xf numFmtId="164" fontId="105" fillId="2" borderId="15" xfId="0" applyNumberFormat="1" applyFont="1" applyFill="1" applyBorder="1" applyAlignment="1">
      <alignment horizontal="center" vertical="center"/>
    </xf>
    <xf numFmtId="164" fontId="105" fillId="2" borderId="73" xfId="0" applyNumberFormat="1" applyFont="1" applyFill="1" applyBorder="1" applyAlignment="1">
      <alignment horizontal="center" vertical="center"/>
    </xf>
    <xf numFmtId="164" fontId="4" fillId="2" borderId="15" xfId="0" applyNumberFormat="1" applyFont="1" applyFill="1" applyBorder="1" applyAlignment="1">
      <alignment horizontal="center" vertical="center"/>
    </xf>
    <xf numFmtId="3" fontId="66" fillId="2" borderId="0" xfId="1" applyNumberFormat="1" applyFont="1" applyFill="1" applyBorder="1" applyAlignment="1">
      <alignment horizontal="left" vertical="center"/>
    </xf>
    <xf numFmtId="3" fontId="66" fillId="2" borderId="12" xfId="1" applyNumberFormat="1" applyFont="1" applyFill="1" applyBorder="1" applyAlignment="1">
      <alignment horizontal="left" vertical="center"/>
    </xf>
    <xf numFmtId="3" fontId="66" fillId="2" borderId="0" xfId="1" applyNumberFormat="1" applyFont="1" applyFill="1" applyBorder="1" applyAlignment="1" applyProtection="1">
      <alignment horizontal="right" vertical="center" wrapText="1"/>
    </xf>
    <xf numFmtId="3" fontId="66" fillId="2" borderId="0" xfId="1" applyNumberFormat="1" applyFont="1" applyFill="1" applyBorder="1" applyAlignment="1" applyProtection="1">
      <alignment horizontal="center" vertical="center" wrapText="1"/>
    </xf>
    <xf numFmtId="164" fontId="4" fillId="2" borderId="73" xfId="0" applyNumberFormat="1" applyFont="1" applyFill="1" applyBorder="1" applyAlignment="1">
      <alignment horizontal="center" vertical="center"/>
    </xf>
    <xf numFmtId="164" fontId="4" fillId="2" borderId="69" xfId="0" applyNumberFormat="1" applyFont="1" applyFill="1" applyBorder="1" applyAlignment="1">
      <alignment horizontal="center" vertical="center"/>
    </xf>
    <xf numFmtId="164" fontId="106" fillId="2" borderId="74" xfId="0" applyNumberFormat="1" applyFont="1" applyFill="1" applyBorder="1" applyAlignment="1">
      <alignment horizontal="right" vertical="center"/>
    </xf>
    <xf numFmtId="164" fontId="106" fillId="2" borderId="82" xfId="0" applyNumberFormat="1" applyFont="1" applyFill="1" applyBorder="1" applyAlignment="1">
      <alignment horizontal="right" vertical="center"/>
    </xf>
    <xf numFmtId="3" fontId="83" fillId="2" borderId="3" xfId="1" applyNumberFormat="1" applyFont="1" applyFill="1" applyBorder="1" applyAlignment="1" applyProtection="1">
      <alignment horizontal="left" vertical="center" wrapText="1"/>
    </xf>
    <xf numFmtId="3" fontId="83" fillId="2" borderId="7" xfId="1" applyNumberFormat="1" applyFont="1" applyFill="1" applyBorder="1" applyAlignment="1" applyProtection="1">
      <alignment horizontal="left" vertical="center" wrapText="1"/>
    </xf>
    <xf numFmtId="3" fontId="83" fillId="2" borderId="3" xfId="1" applyNumberFormat="1" applyFont="1" applyFill="1" applyBorder="1" applyAlignment="1" applyProtection="1">
      <alignment horizontal="right" vertical="center" wrapText="1"/>
    </xf>
    <xf numFmtId="3" fontId="83" fillId="2" borderId="3" xfId="1" applyNumberFormat="1" applyFont="1" applyFill="1" applyBorder="1" applyAlignment="1" applyProtection="1">
      <alignment horizontal="center" vertical="center" wrapText="1"/>
    </xf>
    <xf numFmtId="3" fontId="4" fillId="2" borderId="3" xfId="1" applyNumberFormat="1" applyFont="1" applyFill="1" applyBorder="1" applyAlignment="1" applyProtection="1">
      <alignment horizontal="center" vertical="center" wrapText="1"/>
    </xf>
    <xf numFmtId="3" fontId="0" fillId="2" borderId="0" xfId="1" applyNumberFormat="1" applyFont="1" applyFill="1" applyBorder="1" applyAlignment="1" applyProtection="1">
      <alignment horizontal="center" vertical="center" wrapText="1"/>
    </xf>
    <xf numFmtId="3" fontId="1" fillId="2" borderId="0" xfId="1" applyNumberFormat="1" applyFont="1" applyFill="1" applyBorder="1" applyAlignment="1" applyProtection="1">
      <alignment horizontal="center" vertical="center" wrapText="1"/>
    </xf>
    <xf numFmtId="3" fontId="66" fillId="2" borderId="4" xfId="1" applyNumberFormat="1" applyFont="1" applyFill="1" applyBorder="1" applyAlignment="1">
      <alignment horizontal="left" vertical="center"/>
    </xf>
    <xf numFmtId="3" fontId="66" fillId="2" borderId="9" xfId="1" applyNumberFormat="1" applyFont="1" applyFill="1" applyBorder="1" applyAlignment="1">
      <alignment horizontal="left" vertical="center"/>
    </xf>
    <xf numFmtId="3" fontId="66" fillId="2" borderId="4" xfId="1" applyNumberFormat="1" applyFont="1" applyFill="1" applyBorder="1" applyAlignment="1" applyProtection="1">
      <alignment horizontal="right" vertical="center" wrapText="1"/>
    </xf>
    <xf numFmtId="3" fontId="66" fillId="2" borderId="4" xfId="1" applyNumberFormat="1" applyFont="1" applyFill="1" applyBorder="1" applyAlignment="1" applyProtection="1">
      <alignment horizontal="center" vertical="center" wrapText="1"/>
    </xf>
    <xf numFmtId="3" fontId="0" fillId="2" borderId="4" xfId="1" applyNumberFormat="1" applyFont="1" applyFill="1" applyBorder="1" applyAlignment="1" applyProtection="1">
      <alignment horizontal="center" vertical="center" wrapText="1"/>
    </xf>
    <xf numFmtId="3" fontId="1" fillId="2" borderId="4" xfId="1" applyNumberFormat="1" applyFont="1" applyFill="1" applyBorder="1" applyAlignment="1" applyProtection="1">
      <alignment horizontal="center" vertical="center" wrapText="1"/>
    </xf>
    <xf numFmtId="3" fontId="4" fillId="2" borderId="0" xfId="1" applyNumberFormat="1" applyFont="1" applyFill="1" applyBorder="1" applyAlignment="1" applyProtection="1">
      <alignment horizontal="right" vertical="center" wrapText="1"/>
    </xf>
    <xf numFmtId="3" fontId="0" fillId="2" borderId="0" xfId="1" applyNumberFormat="1" applyFont="1" applyFill="1" applyBorder="1" applyAlignment="1" applyProtection="1">
      <alignment horizontal="right" vertical="center" wrapText="1"/>
    </xf>
    <xf numFmtId="0" fontId="17" fillId="2" borderId="0" xfId="0" applyNumberFormat="1" applyFont="1" applyFill="1" applyBorder="1" applyAlignment="1">
      <alignment horizontal="center" vertical="center"/>
    </xf>
    <xf numFmtId="164" fontId="99" fillId="2" borderId="0" xfId="0" applyNumberFormat="1" applyFont="1" applyFill="1" applyBorder="1" applyAlignment="1">
      <alignment horizontal="center"/>
    </xf>
    <xf numFmtId="164" fontId="17" fillId="2" borderId="0" xfId="0" applyNumberFormat="1" applyFont="1" applyFill="1" applyBorder="1" applyAlignment="1">
      <alignment horizontal="center" vertical="center" wrapText="1"/>
    </xf>
    <xf numFmtId="166" fontId="17" fillId="2" borderId="0" xfId="1" applyNumberFormat="1" applyFont="1" applyFill="1" applyBorder="1" applyAlignment="1">
      <alignment horizontal="center" vertical="center" wrapText="1"/>
    </xf>
    <xf numFmtId="164" fontId="99" fillId="2" borderId="0" xfId="0" applyNumberFormat="1" applyFont="1" applyFill="1" applyAlignment="1">
      <alignment horizontal="center"/>
    </xf>
    <xf numFmtId="164" fontId="17" fillId="2" borderId="3" xfId="0" applyNumberFormat="1" applyFont="1" applyFill="1" applyBorder="1" applyAlignment="1">
      <alignment horizontal="center" vertical="center" wrapText="1"/>
    </xf>
    <xf numFmtId="164" fontId="17" fillId="2" borderId="4" xfId="0" applyNumberFormat="1" applyFont="1" applyFill="1" applyBorder="1" applyAlignment="1">
      <alignment horizontal="center" vertical="center" wrapText="1"/>
    </xf>
    <xf numFmtId="166" fontId="17" fillId="2" borderId="15" xfId="1" applyNumberFormat="1" applyFont="1" applyFill="1" applyBorder="1" applyAlignment="1">
      <alignment horizontal="center" vertical="center" wrapText="1"/>
    </xf>
    <xf numFmtId="166" fontId="17" fillId="2" borderId="69" xfId="1" applyNumberFormat="1" applyFont="1" applyFill="1" applyBorder="1" applyAlignment="1">
      <alignment horizontal="center" vertical="center" wrapText="1"/>
    </xf>
    <xf numFmtId="164" fontId="17" fillId="2" borderId="69" xfId="0" applyNumberFormat="1" applyFont="1" applyFill="1" applyBorder="1" applyAlignment="1">
      <alignment horizontal="center" vertical="center"/>
    </xf>
    <xf numFmtId="164" fontId="17" fillId="2" borderId="15" xfId="0" applyNumberFormat="1" applyFont="1" applyFill="1" applyBorder="1" applyAlignment="1">
      <alignment horizontal="center" vertical="center"/>
    </xf>
    <xf numFmtId="164" fontId="115" fillId="2" borderId="3" xfId="0" applyNumberFormat="1" applyFont="1" applyFill="1" applyBorder="1" applyAlignment="1">
      <alignment horizontal="right" vertical="center"/>
    </xf>
    <xf numFmtId="164" fontId="115" fillId="2" borderId="0" xfId="0" applyNumberFormat="1" applyFont="1" applyFill="1" applyBorder="1" applyAlignment="1">
      <alignment horizontal="right" vertical="center"/>
    </xf>
    <xf numFmtId="164" fontId="115" fillId="2" borderId="4" xfId="0" applyNumberFormat="1" applyFont="1" applyFill="1" applyBorder="1" applyAlignment="1">
      <alignment horizontal="right" vertical="center"/>
    </xf>
    <xf numFmtId="164" fontId="17" fillId="2" borderId="25" xfId="0" applyNumberFormat="1" applyFont="1" applyFill="1" applyBorder="1" applyAlignment="1">
      <alignment horizontal="center" vertical="center" wrapText="1"/>
    </xf>
    <xf numFmtId="164" fontId="17" fillId="2" borderId="43" xfId="0" applyNumberFormat="1" applyFont="1" applyFill="1" applyBorder="1" applyAlignment="1">
      <alignment horizontal="center" vertical="center" wrapText="1"/>
    </xf>
    <xf numFmtId="164" fontId="17" fillId="2" borderId="39" xfId="0" applyNumberFormat="1" applyFont="1" applyFill="1" applyBorder="1" applyAlignment="1">
      <alignment horizontal="center" vertical="center" wrapText="1"/>
    </xf>
    <xf numFmtId="164" fontId="17" fillId="2" borderId="141" xfId="0" applyNumberFormat="1" applyFont="1" applyFill="1" applyBorder="1" applyAlignment="1">
      <alignment horizontal="center" vertical="center" wrapText="1"/>
    </xf>
    <xf numFmtId="164" fontId="17" fillId="2" borderId="142" xfId="0" applyNumberFormat="1" applyFont="1" applyFill="1" applyBorder="1" applyAlignment="1">
      <alignment horizontal="center" vertical="center" wrapText="1"/>
    </xf>
    <xf numFmtId="164" fontId="17" fillId="2" borderId="143" xfId="0" applyNumberFormat="1" applyFont="1" applyFill="1" applyBorder="1" applyAlignment="1">
      <alignment horizontal="center" vertical="center" wrapText="1"/>
    </xf>
    <xf numFmtId="164" fontId="115" fillId="2" borderId="0" xfId="0" applyNumberFormat="1" applyFont="1" applyFill="1" applyBorder="1" applyAlignment="1">
      <alignment horizontal="center" vertical="center"/>
    </xf>
    <xf numFmtId="164" fontId="17" fillId="2" borderId="56" xfId="0" applyNumberFormat="1" applyFont="1" applyFill="1" applyBorder="1" applyAlignment="1" applyProtection="1">
      <alignment horizontal="center" vertical="top" wrapText="1"/>
    </xf>
    <xf numFmtId="164" fontId="17" fillId="2" borderId="4" xfId="0" applyNumberFormat="1" applyFont="1" applyFill="1" applyBorder="1" applyAlignment="1" applyProtection="1">
      <alignment horizontal="center" vertical="top" wrapText="1"/>
    </xf>
    <xf numFmtId="164" fontId="17" fillId="2" borderId="87" xfId="0" applyNumberFormat="1" applyFont="1" applyFill="1" applyBorder="1" applyAlignment="1">
      <alignment horizontal="left" vertical="center"/>
    </xf>
    <xf numFmtId="164" fontId="17" fillId="2" borderId="92" xfId="0" applyNumberFormat="1" applyFont="1" applyFill="1" applyBorder="1" applyAlignment="1">
      <alignment horizontal="left" vertical="center"/>
    </xf>
    <xf numFmtId="164" fontId="17" fillId="2" borderId="96" xfId="0" applyNumberFormat="1" applyFont="1" applyFill="1" applyBorder="1" applyAlignment="1">
      <alignment horizontal="left" vertical="center"/>
    </xf>
    <xf numFmtId="164" fontId="17" fillId="2" borderId="88" xfId="0" applyNumberFormat="1" applyFont="1" applyFill="1" applyBorder="1" applyAlignment="1">
      <alignment horizontal="center" vertical="center"/>
    </xf>
    <xf numFmtId="164" fontId="17" fillId="2" borderId="89" xfId="0" applyNumberFormat="1" applyFont="1" applyFill="1" applyBorder="1" applyAlignment="1">
      <alignment horizontal="center" vertical="center"/>
    </xf>
    <xf numFmtId="164" fontId="17" fillId="2" borderId="91" xfId="0" applyNumberFormat="1" applyFont="1" applyFill="1" applyBorder="1" applyAlignment="1">
      <alignment horizontal="center" vertical="center"/>
    </xf>
    <xf numFmtId="164" fontId="17" fillId="2" borderId="90" xfId="0" applyNumberFormat="1" applyFont="1" applyFill="1" applyBorder="1" applyAlignment="1">
      <alignment horizontal="center" vertical="center"/>
    </xf>
    <xf numFmtId="164" fontId="99" fillId="2" borderId="24" xfId="0" applyNumberFormat="1" applyFont="1" applyFill="1" applyBorder="1" applyAlignment="1">
      <alignment horizontal="center" vertical="center"/>
    </xf>
    <xf numFmtId="164" fontId="99" fillId="2" borderId="44" xfId="0" applyNumberFormat="1" applyFont="1" applyFill="1" applyBorder="1" applyAlignment="1">
      <alignment horizontal="center" vertical="center"/>
    </xf>
    <xf numFmtId="164" fontId="99" fillId="2" borderId="36" xfId="0" applyNumberFormat="1" applyFont="1" applyFill="1" applyBorder="1" applyAlignment="1">
      <alignment horizontal="center" vertical="center"/>
    </xf>
    <xf numFmtId="164" fontId="83" fillId="2" borderId="40" xfId="0" applyNumberFormat="1" applyFont="1" applyFill="1" applyBorder="1" applyAlignment="1" applyProtection="1">
      <alignment horizontal="center" vertical="center"/>
    </xf>
    <xf numFmtId="164" fontId="83" fillId="2" borderId="41" xfId="0" applyNumberFormat="1" applyFont="1" applyFill="1" applyBorder="1" applyAlignment="1" applyProtection="1">
      <alignment horizontal="center" vertical="center"/>
    </xf>
    <xf numFmtId="164" fontId="83" fillId="2" borderId="109" xfId="0" applyNumberFormat="1" applyFont="1" applyFill="1" applyBorder="1" applyAlignment="1" applyProtection="1">
      <alignment horizontal="center" vertical="center"/>
    </xf>
    <xf numFmtId="0" fontId="99" fillId="2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99" fillId="2" borderId="3" xfId="0" applyFont="1" applyFill="1" applyBorder="1" applyAlignment="1">
      <alignment horizontal="center" vertical="center" wrapText="1"/>
    </xf>
    <xf numFmtId="0" fontId="99" fillId="2" borderId="3" xfId="0" applyFont="1" applyFill="1" applyBorder="1" applyAlignment="1">
      <alignment horizontal="right" vertical="center"/>
    </xf>
    <xf numFmtId="0" fontId="99" fillId="2" borderId="0" xfId="0" applyFont="1" applyFill="1" applyBorder="1" applyAlignment="1">
      <alignment horizontal="right" vertical="center"/>
    </xf>
    <xf numFmtId="0" fontId="99" fillId="2" borderId="4" xfId="0" applyFont="1" applyFill="1" applyBorder="1" applyAlignment="1">
      <alignment horizontal="right" vertical="center"/>
    </xf>
    <xf numFmtId="0" fontId="4" fillId="2" borderId="140" xfId="0" applyFont="1" applyFill="1" applyBorder="1" applyAlignment="1">
      <alignment horizontal="center" vertical="center" wrapText="1"/>
    </xf>
    <xf numFmtId="164" fontId="34" fillId="2" borderId="25" xfId="0" applyNumberFormat="1" applyFont="1" applyFill="1" applyBorder="1" applyAlignment="1">
      <alignment horizontal="center" vertical="center" wrapText="1"/>
    </xf>
    <xf numFmtId="164" fontId="34" fillId="2" borderId="43" xfId="0" applyNumberFormat="1" applyFont="1" applyFill="1" applyBorder="1" applyAlignment="1">
      <alignment horizontal="center" vertical="center" wrapText="1"/>
    </xf>
    <xf numFmtId="164" fontId="34" fillId="2" borderId="34" xfId="0" applyNumberFormat="1" applyFont="1" applyFill="1" applyBorder="1" applyAlignment="1">
      <alignment horizontal="center" vertical="center" wrapText="1"/>
    </xf>
    <xf numFmtId="164" fontId="34" fillId="2" borderId="0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Alignment="1">
      <alignment horizontal="center"/>
    </xf>
    <xf numFmtId="164" fontId="99" fillId="2" borderId="0" xfId="0" applyNumberFormat="1" applyFont="1" applyFill="1" applyBorder="1" applyAlignment="1">
      <alignment horizontal="center" vertical="center"/>
    </xf>
    <xf numFmtId="0" fontId="83" fillId="2" borderId="15" xfId="0" applyNumberFormat="1" applyFont="1" applyFill="1" applyBorder="1" applyAlignment="1">
      <alignment horizontal="center" vertical="center"/>
    </xf>
    <xf numFmtId="0" fontId="118" fillId="2" borderId="3" xfId="0" applyNumberFormat="1" applyFont="1" applyFill="1" applyBorder="1" applyAlignment="1">
      <alignment horizontal="right" vertical="center"/>
    </xf>
    <xf numFmtId="0" fontId="118" fillId="2" borderId="4" xfId="0" applyNumberFormat="1" applyFont="1" applyFill="1" applyBorder="1" applyAlignment="1">
      <alignment horizontal="right" vertical="center"/>
    </xf>
    <xf numFmtId="164" fontId="34" fillId="2" borderId="4" xfId="0" applyNumberFormat="1" applyFont="1" applyFill="1" applyBorder="1" applyAlignment="1" applyProtection="1">
      <alignment horizontal="center" vertical="center"/>
    </xf>
    <xf numFmtId="164" fontId="34" fillId="2" borderId="9" xfId="0" applyNumberFormat="1" applyFont="1" applyFill="1" applyBorder="1" applyAlignment="1" applyProtection="1">
      <alignment horizontal="center" vertical="center"/>
    </xf>
    <xf numFmtId="164" fontId="15" fillId="2" borderId="24" xfId="0" applyNumberFormat="1" applyFont="1" applyFill="1" applyBorder="1" applyAlignment="1">
      <alignment horizontal="left"/>
    </xf>
    <xf numFmtId="164" fontId="15" fillId="2" borderId="44" xfId="0" applyNumberFormat="1" applyFont="1" applyFill="1" applyBorder="1" applyAlignment="1">
      <alignment horizontal="left"/>
    </xf>
    <xf numFmtId="164" fontId="15" fillId="2" borderId="36" xfId="0" applyNumberFormat="1" applyFont="1" applyFill="1" applyBorder="1" applyAlignment="1">
      <alignment horizontal="left"/>
    </xf>
    <xf numFmtId="164" fontId="99" fillId="2" borderId="92" xfId="0" applyNumberFormat="1" applyFont="1" applyFill="1" applyBorder="1" applyAlignment="1">
      <alignment horizontal="center"/>
    </xf>
    <xf numFmtId="164" fontId="4" fillId="2" borderId="0" xfId="0" applyNumberFormat="1" applyFont="1" applyFill="1" applyBorder="1" applyAlignment="1" applyProtection="1">
      <alignment horizontal="center" vertical="center" wrapText="1"/>
    </xf>
    <xf numFmtId="164" fontId="4" fillId="2" borderId="35" xfId="0" applyNumberFormat="1" applyFont="1" applyFill="1" applyBorder="1" applyAlignment="1" applyProtection="1">
      <alignment horizontal="center" vertical="center" wrapText="1"/>
    </xf>
    <xf numFmtId="164" fontId="4" fillId="2" borderId="4" xfId="0" applyNumberFormat="1" applyFont="1" applyFill="1" applyBorder="1" applyAlignment="1" applyProtection="1">
      <alignment horizontal="center" vertical="center" wrapText="1"/>
    </xf>
    <xf numFmtId="164" fontId="4" fillId="2" borderId="96" xfId="0" applyNumberFormat="1" applyFont="1" applyFill="1" applyBorder="1" applyAlignment="1" applyProtection="1">
      <alignment horizontal="center" vertical="center" wrapText="1"/>
    </xf>
    <xf numFmtId="164" fontId="4" fillId="2" borderId="48" xfId="0" applyNumberFormat="1" applyFont="1" applyFill="1" applyBorder="1" applyAlignment="1" applyProtection="1">
      <alignment horizontal="left" vertical="center"/>
    </xf>
    <xf numFmtId="164" fontId="4" fillId="2" borderId="50" xfId="0" applyNumberFormat="1" applyFont="1" applyFill="1" applyBorder="1" applyAlignment="1" applyProtection="1">
      <alignment horizontal="left" vertical="center"/>
    </xf>
    <xf numFmtId="164" fontId="4" fillId="2" borderId="52" xfId="0" applyNumberFormat="1" applyFont="1" applyFill="1" applyBorder="1" applyAlignment="1" applyProtection="1">
      <alignment horizontal="left" vertical="center"/>
    </xf>
    <xf numFmtId="164" fontId="99" fillId="2" borderId="48" xfId="0" applyNumberFormat="1" applyFont="1" applyFill="1" applyBorder="1" applyAlignment="1">
      <alignment horizontal="right" vertical="center"/>
    </xf>
    <xf numFmtId="164" fontId="99" fillId="2" borderId="50" xfId="0" applyNumberFormat="1" applyFont="1" applyFill="1" applyBorder="1" applyAlignment="1">
      <alignment horizontal="right" vertical="center"/>
    </xf>
    <xf numFmtId="164" fontId="99" fillId="2" borderId="52" xfId="0" applyNumberFormat="1" applyFont="1" applyFill="1" applyBorder="1" applyAlignment="1">
      <alignment horizontal="right" vertical="center"/>
    </xf>
    <xf numFmtId="164" fontId="34" fillId="2" borderId="35" xfId="0" applyNumberFormat="1" applyFont="1" applyFill="1" applyBorder="1" applyAlignment="1" applyProtection="1">
      <alignment horizontal="center" vertical="center"/>
    </xf>
    <xf numFmtId="164" fontId="34" fillId="2" borderId="125" xfId="0" applyNumberFormat="1" applyFont="1" applyFill="1" applyBorder="1" applyAlignment="1" applyProtection="1">
      <alignment horizontal="center" vertical="center"/>
    </xf>
    <xf numFmtId="164" fontId="34" fillId="2" borderId="126" xfId="0" applyNumberFormat="1" applyFont="1" applyFill="1" applyBorder="1" applyAlignment="1" applyProtection="1">
      <alignment horizontal="center" vertical="center"/>
    </xf>
    <xf numFmtId="164" fontId="34" fillId="2" borderId="127" xfId="0" applyNumberFormat="1" applyFont="1" applyFill="1" applyBorder="1" applyAlignment="1" applyProtection="1">
      <alignment horizontal="center" vertical="center"/>
    </xf>
    <xf numFmtId="164" fontId="34" fillId="2" borderId="128" xfId="0" applyNumberFormat="1" applyFont="1" applyFill="1" applyBorder="1" applyAlignment="1" applyProtection="1">
      <alignment horizontal="center" vertical="center"/>
    </xf>
    <xf numFmtId="164" fontId="34" fillId="2" borderId="129" xfId="0" applyNumberFormat="1" applyFont="1" applyFill="1" applyBorder="1" applyAlignment="1" applyProtection="1">
      <alignment horizontal="center" vertical="center"/>
    </xf>
    <xf numFmtId="164" fontId="34" fillId="2" borderId="130" xfId="0" applyNumberFormat="1" applyFont="1" applyFill="1" applyBorder="1" applyAlignment="1" applyProtection="1">
      <alignment horizontal="center" vertical="center"/>
    </xf>
    <xf numFmtId="164" fontId="34" fillId="2" borderId="10" xfId="0" applyNumberFormat="1" applyFont="1" applyFill="1" applyBorder="1" applyAlignment="1" applyProtection="1">
      <alignment horizontal="center" vertical="center"/>
    </xf>
    <xf numFmtId="164" fontId="34" fillId="2" borderId="96" xfId="0" applyNumberFormat="1" applyFont="1" applyFill="1" applyBorder="1" applyAlignment="1" applyProtection="1">
      <alignment horizontal="center" vertical="center"/>
    </xf>
    <xf numFmtId="0" fontId="99" fillId="2" borderId="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121" fillId="2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 vertical="center"/>
    </xf>
    <xf numFmtId="164" fontId="51" fillId="2" borderId="14" xfId="0" applyNumberFormat="1" applyFont="1" applyFill="1" applyBorder="1" applyAlignment="1">
      <alignment horizontal="right" vertical="center"/>
    </xf>
    <xf numFmtId="166" fontId="34" fillId="2" borderId="0" xfId="1" applyNumberFormat="1" applyFont="1" applyFill="1" applyBorder="1" applyAlignment="1">
      <alignment horizontal="center" vertical="center"/>
    </xf>
    <xf numFmtId="164" fontId="46" fillId="2" borderId="0" xfId="0" applyNumberFormat="1" applyFont="1" applyFill="1" applyBorder="1" applyAlignment="1">
      <alignment vertical="center"/>
    </xf>
    <xf numFmtId="3" fontId="22" fillId="2" borderId="0" xfId="0" applyNumberFormat="1" applyFont="1" applyFill="1" applyBorder="1" applyAlignment="1">
      <alignment horizontal="right" vertical="center" indent="5"/>
    </xf>
    <xf numFmtId="3" fontId="22" fillId="2" borderId="4" xfId="0" applyNumberFormat="1" applyFont="1" applyFill="1" applyBorder="1" applyAlignment="1">
      <alignment horizontal="right" vertical="center" indent="5"/>
    </xf>
    <xf numFmtId="3" fontId="22" fillId="2" borderId="13" xfId="0" applyNumberFormat="1" applyFont="1" applyFill="1" applyBorder="1" applyAlignment="1">
      <alignment vertical="center"/>
    </xf>
  </cellXfs>
  <cellStyles count="9">
    <cellStyle name="Comma" xfId="1" builtinId="3"/>
    <cellStyle name="Comma 2" xfId="4"/>
    <cellStyle name="Hyperlink" xfId="3" builtinId="8"/>
    <cellStyle name="Normal" xfId="0" builtinId="0"/>
    <cellStyle name="Normal 3" xfId="6"/>
    <cellStyle name="Normal_II-14(Population)" xfId="7"/>
    <cellStyle name="Normal_II-15(Population) 2" xfId="8"/>
    <cellStyle name="Percent" xfId="2" builtinId="5"/>
    <cellStyle name="Percent 2" xfId="5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6272507044544E-2"/>
          <c:y val="0.12093906494282317"/>
          <c:w val="0.90162456892497678"/>
          <c:h val="0.84970562454668452"/>
        </c:manualLayout>
      </c:layout>
      <c:lineChart>
        <c:grouping val="standard"/>
        <c:varyColors val="0"/>
        <c:ser>
          <c:idx val="0"/>
          <c:order val="0"/>
          <c:tx>
            <c:strRef>
              <c:f>'8.1'!$AB$44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triangle"/>
            <c:size val="5"/>
            <c:spPr>
              <a:solidFill>
                <a:srgbClr val="FFC000"/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'8.1'!$AC$43:$AK$43</c15:sqref>
                  </c15:fullRef>
                </c:ext>
              </c:extLst>
              <c:f>'8.1'!$AG$43:$AK$43</c:f>
              <c:numCache>
                <c:formatCode>General_)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'8.1'!$AC$44:$AK$44</c15:sqref>
                  </c15:fullRef>
                </c:ext>
              </c:extLst>
              <c:f>'8.1'!$AG$44:$AK$44</c:f>
              <c:numCache>
                <c:formatCode>#,##0.0</c:formatCode>
                <c:ptCount val="5"/>
                <c:pt idx="0">
                  <c:v>-23.986233727367949</c:v>
                </c:pt>
                <c:pt idx="1">
                  <c:v>-21.102362204724407</c:v>
                </c:pt>
                <c:pt idx="2">
                  <c:v>-9.780439121756487</c:v>
                </c:pt>
                <c:pt idx="3">
                  <c:v>-3.125</c:v>
                </c:pt>
                <c:pt idx="4">
                  <c:v>-6.6514416214673133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7-466B-9B1B-F14E1D8FAF48}"/>
            </c:ext>
          </c:extLst>
        </c:ser>
        <c:ser>
          <c:idx val="1"/>
          <c:order val="1"/>
          <c:tx>
            <c:strRef>
              <c:f>'8.1'!$AB$45</c:f>
              <c:strCache>
                <c:ptCount val="1"/>
                <c:pt idx="0">
                  <c:v>Traffic accidents</c:v>
                </c:pt>
              </c:strCache>
            </c:strRef>
          </c:tx>
          <c:spPr>
            <a:ln w="28575">
              <a:solidFill>
                <a:schemeClr val="accent4">
                  <a:lumMod val="50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'8.1'!$AC$43:$AK$43</c15:sqref>
                  </c15:fullRef>
                </c:ext>
              </c:extLst>
              <c:f>'8.1'!$AG$43:$AK$43</c:f>
              <c:numCache>
                <c:formatCode>General_)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'8.1'!$AC$45:$AK$45</c15:sqref>
                  </c15:fullRef>
                </c:ext>
              </c:extLst>
              <c:f>'8.1'!$AG$45:$AK$45</c:f>
              <c:numCache>
                <c:formatCode>#,##0.0</c:formatCode>
                <c:ptCount val="5"/>
                <c:pt idx="0">
                  <c:v>10.725388601036268</c:v>
                </c:pt>
                <c:pt idx="1">
                  <c:v>-4.3518951801591017</c:v>
                </c:pt>
                <c:pt idx="2">
                  <c:v>9.6868884540117417</c:v>
                </c:pt>
                <c:pt idx="3">
                  <c:v>-6.1106155218554861</c:v>
                </c:pt>
                <c:pt idx="4">
                  <c:v>-4.6555819477434683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7-466B-9B1B-F14E1D8FAF48}"/>
            </c:ext>
          </c:extLst>
        </c:ser>
        <c:ser>
          <c:idx val="2"/>
          <c:order val="2"/>
          <c:tx>
            <c:strRef>
              <c:f>'8.1'!$AB$46</c:f>
              <c:strCache>
                <c:ptCount val="1"/>
                <c:pt idx="0">
                  <c:v>Drugs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square"/>
            <c:size val="5"/>
            <c:spPr>
              <a:solidFill>
                <a:schemeClr val="bg2">
                  <a:lumMod val="50000"/>
                </a:schemeClr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'8.1'!$AC$43:$AK$43</c15:sqref>
                  </c15:fullRef>
                </c:ext>
              </c:extLst>
              <c:f>'8.1'!$AG$43:$AK$43</c:f>
              <c:numCache>
                <c:formatCode>General_)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'8.1'!$AC$46:$AK$46</c15:sqref>
                  </c15:fullRef>
                </c:ext>
              </c:extLst>
              <c:f>'8.1'!$AG$46:$AK$46</c:f>
              <c:numCache>
                <c:formatCode>#,##0.0</c:formatCode>
                <c:ptCount val="5"/>
                <c:pt idx="0">
                  <c:v>-20.807061790668349</c:v>
                </c:pt>
                <c:pt idx="1">
                  <c:v>-33.789808917197448</c:v>
                </c:pt>
                <c:pt idx="2">
                  <c:v>14.237614237614238</c:v>
                </c:pt>
                <c:pt idx="3">
                  <c:v>-14.189473684210526</c:v>
                </c:pt>
                <c:pt idx="4">
                  <c:v>9.4210009813542683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7-466B-9B1B-F14E1D8FAF48}"/>
            </c:ext>
          </c:extLst>
        </c:ser>
        <c:ser>
          <c:idx val="3"/>
          <c:order val="3"/>
          <c:tx>
            <c:strRef>
              <c:f>'8.1'!$AB$47</c:f>
              <c:strCache>
                <c:ptCount val="1"/>
                <c:pt idx="0">
                  <c:v>Lost Items</c:v>
                </c:pt>
              </c:strCache>
            </c:strRef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x"/>
            <c:size val="5"/>
            <c:spPr>
              <a:solidFill>
                <a:srgbClr val="FF0000"/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'8.1'!$AC$43:$AK$43</c15:sqref>
                  </c15:fullRef>
                </c:ext>
              </c:extLst>
              <c:f>'8.1'!$AG$43:$AK$43</c:f>
              <c:numCache>
                <c:formatCode>General_)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'8.1'!$AC$47:$AK$47</c15:sqref>
                  </c15:fullRef>
                </c:ext>
              </c:extLst>
              <c:f>'8.1'!$AG$47:$AK$47</c:f>
              <c:numCache>
                <c:formatCode>#,##0.0</c:formatCode>
                <c:ptCount val="5"/>
                <c:pt idx="0">
                  <c:v>1.5632879475542107</c:v>
                </c:pt>
                <c:pt idx="1">
                  <c:v>-14.995034756703079</c:v>
                </c:pt>
                <c:pt idx="2">
                  <c:v>6.83411214953271</c:v>
                </c:pt>
                <c:pt idx="3">
                  <c:v>-9.5133952979770378</c:v>
                </c:pt>
                <c:pt idx="4">
                  <c:v>7.9758308157099691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F7-466B-9B1B-F14E1D8FAF48}"/>
            </c:ext>
          </c:extLst>
        </c:ser>
        <c:ser>
          <c:idx val="4"/>
          <c:order val="4"/>
          <c:tx>
            <c:strRef>
              <c:f>'8.1'!$AB$48</c:f>
              <c:strCache>
                <c:ptCount val="1"/>
                <c:pt idx="0">
                  <c:v>Assault</c:v>
                </c:pt>
              </c:strCache>
            </c:strRef>
          </c:tx>
          <c:spPr>
            <a:ln w="25400">
              <a:solidFill>
                <a:srgbClr val="4C3A00"/>
              </a:solidFill>
            </a:ln>
          </c:spPr>
          <c:marker>
            <c:symbol val="circle"/>
            <c:size val="5"/>
            <c:spPr>
              <a:solidFill>
                <a:srgbClr val="92D050"/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'8.1'!$AC$43:$AK$43</c15:sqref>
                  </c15:fullRef>
                </c:ext>
              </c:extLst>
              <c:f>'8.1'!$AG$43:$AK$43</c:f>
              <c:numCache>
                <c:formatCode>General_)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'8.1'!$AC$48:$AK$48</c15:sqref>
                  </c15:fullRef>
                </c:ext>
              </c:extLst>
              <c:f>'8.1'!$AG$48:$AK$48</c:f>
              <c:numCache>
                <c:formatCode>#,##0.0</c:formatCode>
                <c:ptCount val="5"/>
                <c:pt idx="0">
                  <c:v>-17.610550814584951</c:v>
                </c:pt>
                <c:pt idx="1">
                  <c:v>-11.111111111111111</c:v>
                </c:pt>
                <c:pt idx="2">
                  <c:v>-17.266949152542374</c:v>
                </c:pt>
                <c:pt idx="3">
                  <c:v>-1.4084507042253522</c:v>
                </c:pt>
                <c:pt idx="4">
                  <c:v>-2.2077922077922079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F7-466B-9B1B-F14E1D8FA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08480"/>
        <c:axId val="193622016"/>
      </c:lineChart>
      <c:catAx>
        <c:axId val="19350848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93622016"/>
        <c:crosses val="autoZero"/>
        <c:auto val="1"/>
        <c:lblAlgn val="ctr"/>
        <c:lblOffset val="100"/>
        <c:noMultiLvlLbl val="0"/>
      </c:catAx>
      <c:valAx>
        <c:axId val="193622016"/>
        <c:scaling>
          <c:orientation val="minMax"/>
          <c:min val="-35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0039534863014074E-2"/>
              <c:y val="0.3672391246952119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</c:spPr>
        <c:crossAx val="193508480"/>
        <c:crosses val="autoZero"/>
        <c:crossBetween val="between"/>
      </c:valAx>
      <c:spPr>
        <a:solidFill>
          <a:srgbClr val="FFFAEB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11770880984377"/>
          <c:y val="0.1920778565257584"/>
          <c:w val="0.66489464194823211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8.1: Percentage share of logged cases, 2018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23895219767015891"/>
          <c:y val="2.2186745428642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331972626984068"/>
          <c:y val="0.2132323846121818"/>
          <c:w val="0.34283815301612403"/>
          <c:h val="0.7572534206749603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58-454E-B63F-2C29FB2B88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A58-454E-B63F-2C29FB2B88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58-454E-B63F-2C29FB2B88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58-454E-B63F-2C29FB2B88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58-454E-B63F-2C29FB2B88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58-454E-B63F-2C29FB2B88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58-454E-B63F-2C29FB2B88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A58-454E-B63F-2C29FB2B88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A58-454E-B63F-2C29FB2B88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A58-454E-B63F-2C29FB2B88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A58-454E-B63F-2C29FB2B88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A58-454E-B63F-2C29FB2B88DE}"/>
              </c:ext>
            </c:extLst>
          </c:dPt>
          <c:dLbls>
            <c:dLbl>
              <c:idx val="0"/>
              <c:layout>
                <c:manualLayout>
                  <c:x val="-5.9766719855604361E-2"/>
                  <c:y val="0.162779965720726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A58-454E-B63F-2C29FB2B88DE}"/>
                </c:ext>
              </c:extLst>
            </c:dLbl>
            <c:dLbl>
              <c:idx val="1"/>
              <c:layout>
                <c:manualLayout>
                  <c:x val="-0.13047934355678492"/>
                  <c:y val="-5.40601611658192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5A58-454E-B63F-2C29FB2B88DE}"/>
                </c:ext>
              </c:extLst>
            </c:dLbl>
            <c:dLbl>
              <c:idx val="2"/>
              <c:layout>
                <c:manualLayout>
                  <c:x val="-4.8219541162386574E-2"/>
                  <c:y val="-0.1503977066911706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A58-454E-B63F-2C29FB2B88DE}"/>
                </c:ext>
              </c:extLst>
            </c:dLbl>
            <c:dLbl>
              <c:idx val="3"/>
              <c:layout>
                <c:manualLayout>
                  <c:x val="7.149233715566225E-2"/>
                  <c:y val="-0.167851261285137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A58-454E-B63F-2C29FB2B88DE}"/>
                </c:ext>
              </c:extLst>
            </c:dLbl>
            <c:dLbl>
              <c:idx val="11"/>
              <c:layout>
                <c:manualLayout>
                  <c:x val="7.6996588317094633E-2"/>
                  <c:y val="0.180997628689043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5A58-454E-B63F-2C29FB2B88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'8.1'!$A$6:$A$17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'8.1'!$L$6:$L$17</c:f>
              <c:numCache>
                <c:formatCode>#,##0.0</c:formatCode>
                <c:ptCount val="12"/>
                <c:pt idx="0">
                  <c:v>22.078185132671663</c:v>
                </c:pt>
                <c:pt idx="1">
                  <c:v>13.550739315373708</c:v>
                </c:pt>
                <c:pt idx="2">
                  <c:v>15.056377017081898</c:v>
                </c:pt>
                <c:pt idx="3">
                  <c:v>12.065356829383568</c:v>
                </c:pt>
                <c:pt idx="4">
                  <c:v>5.0840591452298964</c:v>
                </c:pt>
                <c:pt idx="5">
                  <c:v>3.186820606306124</c:v>
                </c:pt>
                <c:pt idx="6">
                  <c:v>3.6256836135304846</c:v>
                </c:pt>
                <c:pt idx="7">
                  <c:v>2.4373776247383701</c:v>
                </c:pt>
                <c:pt idx="8">
                  <c:v>3.4838971035041522</c:v>
                </c:pt>
                <c:pt idx="9">
                  <c:v>1.6204172574437916</c:v>
                </c:pt>
                <c:pt idx="10">
                  <c:v>0.47937343866045506</c:v>
                </c:pt>
                <c:pt idx="11">
                  <c:v>17.33171291607589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A58-454E-B63F-2C29FB2B8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54202331622758E-2"/>
          <c:y val="0.1784770735971532"/>
          <c:w val="0.89173231707112144"/>
          <c:h val="0.52151224989159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'8.2'!$O$6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'8.2'!$O$8:$O$19</c:f>
              <c:numCache>
                <c:formatCode>#,##0</c:formatCode>
                <c:ptCount val="12"/>
                <c:pt idx="0">
                  <c:v>2141</c:v>
                </c:pt>
                <c:pt idx="1">
                  <c:v>1849</c:v>
                </c:pt>
                <c:pt idx="2">
                  <c:v>1390</c:v>
                </c:pt>
                <c:pt idx="3">
                  <c:v>1442</c:v>
                </c:pt>
                <c:pt idx="4">
                  <c:v>338</c:v>
                </c:pt>
                <c:pt idx="5">
                  <c:v>294</c:v>
                </c:pt>
                <c:pt idx="6">
                  <c:v>491</c:v>
                </c:pt>
                <c:pt idx="7">
                  <c:v>114</c:v>
                </c:pt>
                <c:pt idx="8">
                  <c:v>373</c:v>
                </c:pt>
                <c:pt idx="9">
                  <c:v>116</c:v>
                </c:pt>
                <c:pt idx="10">
                  <c:v>64</c:v>
                </c:pt>
                <c:pt idx="11">
                  <c:v>1591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C-4970-B6B5-D76371007392}"/>
            </c:ext>
          </c:extLst>
        </c:ser>
        <c:ser>
          <c:idx val="1"/>
          <c:order val="1"/>
          <c:tx>
            <c:strRef>
              <c:f>'8.2'!$P$6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'8.2'!$P$8:$P$19</c:f>
              <c:numCache>
                <c:formatCode>#,##0</c:formatCode>
                <c:ptCount val="12"/>
                <c:pt idx="0">
                  <c:v>1129</c:v>
                </c:pt>
                <c:pt idx="1">
                  <c:v>158</c:v>
                </c:pt>
                <c:pt idx="2">
                  <c:v>840</c:v>
                </c:pt>
                <c:pt idx="3">
                  <c:v>345</c:v>
                </c:pt>
                <c:pt idx="4">
                  <c:v>415</c:v>
                </c:pt>
                <c:pt idx="5">
                  <c:v>178</c:v>
                </c:pt>
                <c:pt idx="6">
                  <c:v>46</c:v>
                </c:pt>
                <c:pt idx="7">
                  <c:v>247</c:v>
                </c:pt>
                <c:pt idx="8">
                  <c:v>143</c:v>
                </c:pt>
                <c:pt idx="9">
                  <c:v>124</c:v>
                </c:pt>
                <c:pt idx="10">
                  <c:v>7</c:v>
                </c:pt>
                <c:pt idx="11">
                  <c:v>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C-4970-B6B5-D76371007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196640768"/>
        <c:axId val="196642304"/>
      </c:barChart>
      <c:catAx>
        <c:axId val="196640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196642304"/>
        <c:crosses val="autoZero"/>
        <c:auto val="1"/>
        <c:lblAlgn val="ctr"/>
        <c:lblOffset val="100"/>
        <c:noMultiLvlLbl val="0"/>
      </c:catAx>
      <c:valAx>
        <c:axId val="19664230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96640768"/>
        <c:crosses val="autoZero"/>
        <c:crossBetween val="between"/>
      </c:valAx>
      <c:spPr>
        <a:solidFill>
          <a:srgbClr val="FFFAEB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513524056367918"/>
          <c:y val="0.2454842030394257"/>
          <c:w val="0.18600515524547906"/>
          <c:h val="0.1031269761331854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40029912908872"/>
          <c:y val="0.18141358627834758"/>
          <c:w val="0.38882937296076686"/>
          <c:h val="0.7924713536842497"/>
        </c:manualLayout>
      </c:layout>
      <c:pieChart>
        <c:varyColors val="1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explosion val="3"/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DC33-4BA7-AE15-317750693BEC}"/>
              </c:ext>
            </c:extLst>
          </c:dPt>
          <c:dLbls>
            <c:dLbl>
              <c:idx val="0"/>
              <c:layout>
                <c:manualLayout>
                  <c:x val="-0.11619251616536438"/>
                  <c:y val="-0.177082644325033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33-4BA7-AE15-317750693BEC}"/>
                </c:ext>
              </c:extLst>
            </c:dLbl>
            <c:dLbl>
              <c:idx val="1"/>
              <c:layout>
                <c:manualLayout>
                  <c:x val="8.9802194265946642E-2"/>
                  <c:y val="0.139907212216155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33-4BA7-AE15-317750693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'8.2'!$O$7:$P$7</c:f>
              <c:numCache>
                <c:formatCode>_-* #,##0_-;\-* #,##0_-;_-* "-"??_-;_-@_-</c:formatCode>
                <c:ptCount val="2"/>
                <c:pt idx="0">
                  <c:v>10203</c:v>
                </c:pt>
                <c:pt idx="1">
                  <c:v>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3-4BA7-AE15-317750693BE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8.5: Number of logged cases by Atoll, 2017 - 2018</a:t>
            </a:r>
          </a:p>
        </c:rich>
      </c:tx>
      <c:layout>
        <c:manualLayout>
          <c:xMode val="edge"/>
          <c:yMode val="edge"/>
          <c:x val="0.22629300488757986"/>
          <c:y val="3.90644374817125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26107735613364"/>
          <c:y val="0.15366973094368686"/>
          <c:w val="0.88041279150821528"/>
          <c:h val="0.6871102462915880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'8.3'!$I$3:$I$5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019-48A6-86C9-412570D611AE}"/>
              </c:ext>
            </c:extLst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'8.3'!$I$9:$I$28</c:f>
              <c:numCache>
                <c:formatCode>_-* #,##0_-;\-* #,##0_-;_-* "-"??_-;_-@_-</c:formatCode>
                <c:ptCount val="20"/>
                <c:pt idx="0">
                  <c:v>103</c:v>
                </c:pt>
                <c:pt idx="1">
                  <c:v>328</c:v>
                </c:pt>
                <c:pt idx="2">
                  <c:v>71</c:v>
                </c:pt>
                <c:pt idx="3">
                  <c:v>177</c:v>
                </c:pt>
                <c:pt idx="4">
                  <c:v>218</c:v>
                </c:pt>
                <c:pt idx="5">
                  <c:v>186</c:v>
                </c:pt>
                <c:pt idx="6">
                  <c:v>196</c:v>
                </c:pt>
                <c:pt idx="7">
                  <c:v>653</c:v>
                </c:pt>
                <c:pt idx="8">
                  <c:v>131</c:v>
                </c:pt>
                <c:pt idx="9">
                  <c:v>178</c:v>
                </c:pt>
                <c:pt idx="10">
                  <c:v>36</c:v>
                </c:pt>
                <c:pt idx="11">
                  <c:v>66</c:v>
                </c:pt>
                <c:pt idx="12">
                  <c:v>72</c:v>
                </c:pt>
                <c:pt idx="13">
                  <c:v>123</c:v>
                </c:pt>
                <c:pt idx="14">
                  <c:v>110</c:v>
                </c:pt>
                <c:pt idx="15">
                  <c:v>396</c:v>
                </c:pt>
                <c:pt idx="16">
                  <c:v>231</c:v>
                </c:pt>
                <c:pt idx="17">
                  <c:v>299</c:v>
                </c:pt>
                <c:pt idx="18">
                  <c:v>275</c:v>
                </c:pt>
                <c:pt idx="19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4-47A1-A892-10451405B9C8}"/>
            </c:ext>
          </c:extLst>
        </c:ser>
        <c:ser>
          <c:idx val="1"/>
          <c:order val="1"/>
          <c:tx>
            <c:strRef>
              <c:f>'8.3'!$J$3:$J$5</c:f>
              <c:strCache>
                <c:ptCount val="3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'8.3'!$J$9:$J$28</c:f>
              <c:numCache>
                <c:formatCode>_-* #,##0_-;\-* #,##0_-;_-* "-"??_-;_-@_-</c:formatCode>
                <c:ptCount val="20"/>
                <c:pt idx="0">
                  <c:v>134</c:v>
                </c:pt>
                <c:pt idx="1">
                  <c:v>354</c:v>
                </c:pt>
                <c:pt idx="2">
                  <c:v>88</c:v>
                </c:pt>
                <c:pt idx="3">
                  <c:v>177</c:v>
                </c:pt>
                <c:pt idx="4">
                  <c:v>187</c:v>
                </c:pt>
                <c:pt idx="5">
                  <c:v>155</c:v>
                </c:pt>
                <c:pt idx="6">
                  <c:v>170</c:v>
                </c:pt>
                <c:pt idx="7">
                  <c:v>524</c:v>
                </c:pt>
                <c:pt idx="8">
                  <c:v>122</c:v>
                </c:pt>
                <c:pt idx="9">
                  <c:v>193</c:v>
                </c:pt>
                <c:pt idx="10">
                  <c:v>28</c:v>
                </c:pt>
                <c:pt idx="11">
                  <c:v>78</c:v>
                </c:pt>
                <c:pt idx="12">
                  <c:v>60</c:v>
                </c:pt>
                <c:pt idx="13">
                  <c:v>139</c:v>
                </c:pt>
                <c:pt idx="14">
                  <c:v>155</c:v>
                </c:pt>
                <c:pt idx="15">
                  <c:v>298</c:v>
                </c:pt>
                <c:pt idx="16">
                  <c:v>247</c:v>
                </c:pt>
                <c:pt idx="17">
                  <c:v>388</c:v>
                </c:pt>
                <c:pt idx="18">
                  <c:v>268</c:v>
                </c:pt>
                <c:pt idx="19">
                  <c:v>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4-47A1-A892-10451405B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199897472"/>
        <c:axId val="199899008"/>
      </c:barChart>
      <c:catAx>
        <c:axId val="199897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99899008"/>
        <c:crosses val="autoZero"/>
        <c:auto val="1"/>
        <c:lblAlgn val="ctr"/>
        <c:lblOffset val="100"/>
        <c:noMultiLvlLbl val="0"/>
      </c:catAx>
      <c:valAx>
        <c:axId val="199899008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99897472"/>
        <c:crosses val="autoZero"/>
        <c:crossBetween val="between"/>
      </c:valAx>
      <c:spPr>
        <a:solidFill>
          <a:srgbClr val="FFFAEB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0345101383163857"/>
          <c:y val="0.24736670702556218"/>
          <c:w val="0.21387798298835559"/>
          <c:h val="4.2993566287082854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70396866824538E-2"/>
          <c:y val="0.15731735335360053"/>
          <c:w val="0.88977289914881652"/>
          <c:h val="0.75826396698905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952-48BE-A343-C20ED7FB5D2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952-48BE-A343-C20ED7FB5D2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952-48BE-A343-C20ED7FB5D2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B952-48BE-A343-C20ED7FB5D2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B952-48BE-A343-C20ED7FB5D2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B952-48BE-A343-C20ED7FB5D2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B952-48BE-A343-C20ED7FB5D2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B952-48BE-A343-C20ED7FB5D26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B952-48BE-A343-C20ED7FB5D2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6-B952-48BE-A343-C20ED7FB5D2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B952-48BE-A343-C20ED7FB5D26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B952-48BE-A343-C20ED7FB5D26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B952-48BE-A343-C20ED7FB5D26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B952-48BE-A343-C20ED7FB5D26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B952-48BE-A343-C20ED7FB5D26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B952-48BE-A343-C20ED7FB5D26}"/>
              </c:ext>
            </c:extLst>
          </c:dPt>
          <c:dLbls>
            <c:dLbl>
              <c:idx val="15"/>
              <c:layout>
                <c:manualLayout>
                  <c:x val="-8.3589631673812722E-17"/>
                  <c:y val="9.31131805372940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952-48BE-A343-C20ED7FB5D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'8.3'!$L$9:$L$28</c:f>
              <c:numCache>
                <c:formatCode>0.0</c:formatCode>
                <c:ptCount val="20"/>
                <c:pt idx="0">
                  <c:v>30.097087378640776</c:v>
                </c:pt>
                <c:pt idx="1">
                  <c:v>7.9268292682926829</c:v>
                </c:pt>
                <c:pt idx="2">
                  <c:v>23.943661971830984</c:v>
                </c:pt>
                <c:pt idx="3">
                  <c:v>0</c:v>
                </c:pt>
                <c:pt idx="4">
                  <c:v>-14.220183486238533</c:v>
                </c:pt>
                <c:pt idx="5">
                  <c:v>-16.666666666666664</c:v>
                </c:pt>
                <c:pt idx="6">
                  <c:v>-13.26530612244898</c:v>
                </c:pt>
                <c:pt idx="7">
                  <c:v>-19.754977029096477</c:v>
                </c:pt>
                <c:pt idx="8">
                  <c:v>-6.8702290076335881</c:v>
                </c:pt>
                <c:pt idx="9">
                  <c:v>8.4269662921348321</c:v>
                </c:pt>
                <c:pt idx="10">
                  <c:v>-22.222222222222221</c:v>
                </c:pt>
                <c:pt idx="11">
                  <c:v>18.181818181818183</c:v>
                </c:pt>
                <c:pt idx="12">
                  <c:v>-16.666666666666664</c:v>
                </c:pt>
                <c:pt idx="13">
                  <c:v>13.008130081300814</c:v>
                </c:pt>
                <c:pt idx="14">
                  <c:v>40.909090909090914</c:v>
                </c:pt>
                <c:pt idx="15">
                  <c:v>-24.747474747474747</c:v>
                </c:pt>
                <c:pt idx="16">
                  <c:v>6.9264069264069263</c:v>
                </c:pt>
                <c:pt idx="17">
                  <c:v>29.76588628762542</c:v>
                </c:pt>
                <c:pt idx="18">
                  <c:v>-2.5454545454545454</c:v>
                </c:pt>
                <c:pt idx="19">
                  <c:v>11.507936507936508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52-48BE-A343-C20ED7FB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35046784"/>
        <c:axId val="535048576"/>
      </c:barChart>
      <c:catAx>
        <c:axId val="535046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 sz="900"/>
            </a:pPr>
            <a:endParaRPr lang="en-US"/>
          </a:p>
        </c:txPr>
        <c:crossAx val="535048576"/>
        <c:crosses val="autoZero"/>
        <c:auto val="1"/>
        <c:lblAlgn val="ctr"/>
        <c:lblOffset val="100"/>
        <c:noMultiLvlLbl val="0"/>
      </c:catAx>
      <c:valAx>
        <c:axId val="535048576"/>
        <c:scaling>
          <c:orientation val="minMax"/>
          <c:min val="-30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535046784"/>
        <c:crosses val="autoZero"/>
        <c:crossBetween val="between"/>
      </c:valAx>
      <c:spPr>
        <a:solidFill>
          <a:srgbClr val="FFFAEB"/>
        </a:solidFill>
        <a:ln w="635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35023356954308E-2"/>
          <c:y val="0.14067731505308942"/>
          <c:w val="0.8998044100931416"/>
          <c:h val="0.718299534808788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'8.4'!$A$6:$A$17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'8.4'!$B$6:$B$17</c:f>
              <c:numCache>
                <c:formatCode>_-* #,##0_-;\-* #,##0_-;_-* "-"??_-;_-@_-</c:formatCode>
                <c:ptCount val="12"/>
                <c:pt idx="0">
                  <c:v>1129</c:v>
                </c:pt>
                <c:pt idx="1">
                  <c:v>158</c:v>
                </c:pt>
                <c:pt idx="2">
                  <c:v>840</c:v>
                </c:pt>
                <c:pt idx="3">
                  <c:v>345</c:v>
                </c:pt>
                <c:pt idx="4">
                  <c:v>415</c:v>
                </c:pt>
                <c:pt idx="5">
                  <c:v>178</c:v>
                </c:pt>
                <c:pt idx="6">
                  <c:v>46</c:v>
                </c:pt>
                <c:pt idx="7">
                  <c:v>247</c:v>
                </c:pt>
                <c:pt idx="8">
                  <c:v>143</c:v>
                </c:pt>
                <c:pt idx="9">
                  <c:v>124</c:v>
                </c:pt>
                <c:pt idx="10">
                  <c:v>7</c:v>
                </c:pt>
                <c:pt idx="11">
                  <c:v>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E-4FE9-8E73-57B6E4F30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535128320"/>
        <c:axId val="535130112"/>
      </c:barChart>
      <c:catAx>
        <c:axId val="535128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535130112"/>
        <c:crosses val="autoZero"/>
        <c:auto val="1"/>
        <c:lblAlgn val="ctr"/>
        <c:lblOffset val="100"/>
        <c:noMultiLvlLbl val="0"/>
      </c:catAx>
      <c:valAx>
        <c:axId val="5351301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35128320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432561042125E-2"/>
          <c:y val="0.18892489634893891"/>
          <c:w val="0.88947812785602642"/>
          <c:h val="0.70191542795903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'8.5'!$J$4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'8.5'!$J$6:$J$17</c:f>
              <c:numCache>
                <c:formatCode>_-* #,##0_-;\-* #,##0_-;_-* "-"??_-;_-@_-</c:formatCode>
                <c:ptCount val="12"/>
                <c:pt idx="0">
                  <c:v>1362</c:v>
                </c:pt>
                <c:pt idx="1">
                  <c:v>1112</c:v>
                </c:pt>
                <c:pt idx="2">
                  <c:v>1278</c:v>
                </c:pt>
                <c:pt idx="3">
                  <c:v>1406</c:v>
                </c:pt>
                <c:pt idx="4">
                  <c:v>1270</c:v>
                </c:pt>
                <c:pt idx="5">
                  <c:v>1216</c:v>
                </c:pt>
                <c:pt idx="6">
                  <c:v>1309</c:v>
                </c:pt>
                <c:pt idx="7">
                  <c:v>1308</c:v>
                </c:pt>
                <c:pt idx="8">
                  <c:v>1223</c:v>
                </c:pt>
                <c:pt idx="9">
                  <c:v>1482</c:v>
                </c:pt>
                <c:pt idx="10">
                  <c:v>1296</c:v>
                </c:pt>
                <c:pt idx="11">
                  <c:v>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E-41B7-B9CC-86E27FFB2E6B}"/>
            </c:ext>
          </c:extLst>
        </c:ser>
        <c:ser>
          <c:idx val="1"/>
          <c:order val="1"/>
          <c:tx>
            <c:strRef>
              <c:f>'8.5'!$K$4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'8.5'!$K$6:$K$17</c:f>
              <c:numCache>
                <c:formatCode>_-* #,##0_-;\-* #,##0_-;_-* "-"??_-;_-@_-</c:formatCode>
                <c:ptCount val="12"/>
                <c:pt idx="0">
                  <c:v>1427</c:v>
                </c:pt>
                <c:pt idx="1">
                  <c:v>1100</c:v>
                </c:pt>
                <c:pt idx="2">
                  <c:v>1374</c:v>
                </c:pt>
                <c:pt idx="3">
                  <c:v>1278</c:v>
                </c:pt>
                <c:pt idx="4">
                  <c:v>1156</c:v>
                </c:pt>
                <c:pt idx="5">
                  <c:v>1175</c:v>
                </c:pt>
                <c:pt idx="6">
                  <c:v>1165</c:v>
                </c:pt>
                <c:pt idx="7">
                  <c:v>1296</c:v>
                </c:pt>
                <c:pt idx="8">
                  <c:v>1278</c:v>
                </c:pt>
                <c:pt idx="9">
                  <c:v>1300</c:v>
                </c:pt>
                <c:pt idx="10">
                  <c:v>1096</c:v>
                </c:pt>
                <c:pt idx="11">
                  <c:v>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E-41B7-B9CC-86E27FFB2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536813568"/>
        <c:axId val="536815104"/>
      </c:barChart>
      <c:catAx>
        <c:axId val="536813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536815104"/>
        <c:crosses val="autoZero"/>
        <c:auto val="1"/>
        <c:lblAlgn val="ctr"/>
        <c:lblOffset val="100"/>
        <c:noMultiLvlLbl val="0"/>
      </c:catAx>
      <c:valAx>
        <c:axId val="536815104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3681356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4420321797443735"/>
          <c:y val="0.20911361691591338"/>
          <c:w val="0.22023697504198519"/>
          <c:h val="7.7652311932308662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493025067379501E-2"/>
          <c:y val="0.17551434231628643"/>
          <c:w val="0.88763394418352992"/>
          <c:h val="0.6736447497445358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chemeClr val="accent4">
                  <a:lumMod val="50000"/>
                </a:schemeClr>
              </a:solidFill>
            </a:ln>
          </c:spPr>
          <c:marker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numRef>
              <c:f>'8.6'!$A$7:$A$33</c:f>
              <c:numCache>
                <c:formatCode>General</c:formatCode>
                <c:ptCount val="27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</c:numCache>
            </c:numRef>
          </c:cat>
          <c:val>
            <c:numRef>
              <c:f>'8.6'!$B$7:$B$33</c:f>
              <c:numCache>
                <c:formatCode>#,##0_);\(#,##0\)</c:formatCode>
                <c:ptCount val="27"/>
                <c:pt idx="0">
                  <c:v>3843</c:v>
                </c:pt>
                <c:pt idx="1">
                  <c:v>5067</c:v>
                </c:pt>
                <c:pt idx="2">
                  <c:v>5344</c:v>
                </c:pt>
                <c:pt idx="3">
                  <c:v>5449</c:v>
                </c:pt>
                <c:pt idx="4">
                  <c:v>5287</c:v>
                </c:pt>
                <c:pt idx="5">
                  <c:v>6979</c:v>
                </c:pt>
                <c:pt idx="6">
                  <c:v>6266</c:v>
                </c:pt>
                <c:pt idx="7">
                  <c:v>4586</c:v>
                </c:pt>
                <c:pt idx="8">
                  <c:v>4567</c:v>
                </c:pt>
                <c:pt idx="9">
                  <c:v>6417</c:v>
                </c:pt>
                <c:pt idx="10">
                  <c:v>7045</c:v>
                </c:pt>
                <c:pt idx="11">
                  <c:v>9085</c:v>
                </c:pt>
                <c:pt idx="12">
                  <c:v>9140</c:v>
                </c:pt>
                <c:pt idx="13">
                  <c:v>8230</c:v>
                </c:pt>
                <c:pt idx="14">
                  <c:v>8560</c:v>
                </c:pt>
                <c:pt idx="15">
                  <c:v>11452</c:v>
                </c:pt>
                <c:pt idx="16">
                  <c:v>17674</c:v>
                </c:pt>
                <c:pt idx="17">
                  <c:v>19259</c:v>
                </c:pt>
                <c:pt idx="18">
                  <c:v>16994</c:v>
                </c:pt>
                <c:pt idx="19">
                  <c:v>17803</c:v>
                </c:pt>
                <c:pt idx="20">
                  <c:v>20512</c:v>
                </c:pt>
                <c:pt idx="21">
                  <c:v>21885</c:v>
                </c:pt>
                <c:pt idx="22">
                  <c:v>18193</c:v>
                </c:pt>
                <c:pt idx="23">
                  <c:v>16362</c:v>
                </c:pt>
                <c:pt idx="24">
                  <c:v>16287</c:v>
                </c:pt>
                <c:pt idx="25">
                  <c:v>15535</c:v>
                </c:pt>
                <c:pt idx="26">
                  <c:v>14811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2C-433E-9D29-2F6AF631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323008"/>
        <c:axId val="557324544"/>
      </c:lineChart>
      <c:catAx>
        <c:axId val="55732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57324544"/>
        <c:crosses val="autoZero"/>
        <c:auto val="1"/>
        <c:lblAlgn val="ctr"/>
        <c:lblOffset val="100"/>
        <c:noMultiLvlLbl val="0"/>
      </c:catAx>
      <c:valAx>
        <c:axId val="557324544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557323008"/>
        <c:crosses val="autoZero"/>
        <c:crossBetween val="between"/>
      </c:valAx>
      <c:spPr>
        <a:solidFill>
          <a:srgbClr val="FFFAEB"/>
        </a:solidFill>
        <a:ln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67233036591352E-2"/>
          <c:y val="0.19821513896229198"/>
          <c:w val="0.89857041711309515"/>
          <c:h val="0.614426237214855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'8.7'!$H$3:$H$5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'8.7'!$H$7:$H$13</c:f>
              <c:numCache>
                <c:formatCode>#,##0</c:formatCode>
                <c:ptCount val="7"/>
                <c:pt idx="0">
                  <c:v>1217</c:v>
                </c:pt>
                <c:pt idx="1">
                  <c:v>666</c:v>
                </c:pt>
                <c:pt idx="2">
                  <c:v>606</c:v>
                </c:pt>
                <c:pt idx="3">
                  <c:v>237</c:v>
                </c:pt>
                <c:pt idx="4">
                  <c:v>135</c:v>
                </c:pt>
                <c:pt idx="5">
                  <c:v>174</c:v>
                </c:pt>
                <c:pt idx="6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2-432D-B48E-6D73FF7657F3}"/>
            </c:ext>
          </c:extLst>
        </c:ser>
        <c:ser>
          <c:idx val="1"/>
          <c:order val="1"/>
          <c:tx>
            <c:strRef>
              <c:f>'8.7'!$I$3:$I$5</c:f>
              <c:strCache>
                <c:ptCount val="3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'8.7'!$I$7:$I$13</c:f>
              <c:numCache>
                <c:formatCode>#,##0</c:formatCode>
                <c:ptCount val="7"/>
                <c:pt idx="0">
                  <c:v>1290</c:v>
                </c:pt>
                <c:pt idx="1">
                  <c:v>494</c:v>
                </c:pt>
                <c:pt idx="2">
                  <c:v>523</c:v>
                </c:pt>
                <c:pt idx="3">
                  <c:v>223</c:v>
                </c:pt>
                <c:pt idx="4">
                  <c:v>92</c:v>
                </c:pt>
                <c:pt idx="5">
                  <c:v>227</c:v>
                </c:pt>
                <c:pt idx="6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2-432D-B48E-6D73FF765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513152"/>
        <c:axId val="558514944"/>
      </c:barChart>
      <c:catAx>
        <c:axId val="558513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58514944"/>
        <c:crosses val="autoZero"/>
        <c:auto val="1"/>
        <c:lblAlgn val="ctr"/>
        <c:lblOffset val="100"/>
        <c:noMultiLvlLbl val="0"/>
      </c:catAx>
      <c:valAx>
        <c:axId val="55851494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 Numbers</a:t>
                </a:r>
              </a:p>
            </c:rich>
          </c:tx>
          <c:layout>
            <c:manualLayout>
              <c:xMode val="edge"/>
              <c:yMode val="edge"/>
              <c:x val="4.4909331656092562E-3"/>
              <c:y val="0.1089772288634925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58513152"/>
        <c:crosses val="autoZero"/>
        <c:crossBetween val="between"/>
      </c:valAx>
      <c:spPr>
        <a:solidFill>
          <a:srgbClr val="FFFAEB"/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4326560999929027"/>
          <c:y val="0.26865504451501748"/>
          <c:w val="0.1621850783244255"/>
          <c:h val="7.0620347951596593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explosion val="3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B1-4759-89FB-17FE9121C893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6B1-4759-89FB-17FE9121C893}"/>
              </c:ext>
            </c:extLst>
          </c:dPt>
          <c:dPt>
            <c:idx val="2"/>
            <c:bubble3D val="0"/>
            <c:spPr>
              <a:solidFill>
                <a:srgbClr val="4C3A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6B1-4759-89FB-17FE9121C893}"/>
              </c:ext>
            </c:extLst>
          </c:dPt>
          <c:dLbls>
            <c:dLbl>
              <c:idx val="0"/>
              <c:layout>
                <c:manualLayout>
                  <c:x val="0.15827215054819899"/>
                  <c:y val="-0.2715645674829348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B1-4759-89FB-17FE9121C893}"/>
                </c:ext>
              </c:extLst>
            </c:dLbl>
            <c:dLbl>
              <c:idx val="1"/>
              <c:layout>
                <c:manualLayout>
                  <c:x val="-3.2301536336327864E-3"/>
                  <c:y val="2.293922663414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B1-4759-89FB-17FE9121C893}"/>
                </c:ext>
              </c:extLst>
            </c:dLbl>
            <c:dLbl>
              <c:idx val="2"/>
              <c:layout>
                <c:manualLayout>
                  <c:x val="6.6869982887395207E-2"/>
                  <c:y val="0.11119847625945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B1-4759-89FB-17FE9121C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('[1]8.8'!$A$7,'[1]8.8'!$A$14,'[1]8.8'!$A$21)</c:f>
              <c:strCache>
                <c:ptCount val="3"/>
                <c:pt idx="0">
                  <c:v>Drugs</c:v>
                </c:pt>
                <c:pt idx="1">
                  <c:v>Alcohol</c:v>
                </c:pt>
                <c:pt idx="2">
                  <c:v>Other cases related to drug offences</c:v>
                </c:pt>
              </c:strCache>
            </c:strRef>
          </c:cat>
          <c:val>
            <c:numRef>
              <c:f>('[1]8.8'!$H$7,'[1]8.8'!$H$14,'[1]8.8'!$H$21)</c:f>
              <c:numCache>
                <c:formatCode>General</c:formatCode>
                <c:ptCount val="3"/>
                <c:pt idx="0">
                  <c:v>1857</c:v>
                </c:pt>
                <c:pt idx="1">
                  <c:v>168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B1-4759-89FB-17FE9121C893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54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08167971070746E-2"/>
          <c:y val="0.16217493386411694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'8.8'!$G$3:$G$5</c:f>
              <c:strCache>
                <c:ptCount val="3"/>
                <c:pt idx="0">
                  <c:v>2016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'8.8'!$G$8:$G$13</c:f>
              <c:numCache>
                <c:formatCode>_-* #,##0_-;\-* #,##0_-;_-* "-"??_-;_-@_-</c:formatCode>
                <c:ptCount val="6"/>
                <c:pt idx="0">
                  <c:v>1281</c:v>
                </c:pt>
                <c:pt idx="1">
                  <c:v>550</c:v>
                </c:pt>
                <c:pt idx="2">
                  <c:v>0</c:v>
                </c:pt>
                <c:pt idx="3">
                  <c:v>122</c:v>
                </c:pt>
                <c:pt idx="4">
                  <c:v>184</c:v>
                </c:pt>
                <c:pt idx="5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2-426D-BAEF-F06F4B391A89}"/>
            </c:ext>
          </c:extLst>
        </c:ser>
        <c:ser>
          <c:idx val="1"/>
          <c:order val="1"/>
          <c:tx>
            <c:strRef>
              <c:f>'8.8'!$H$3:$H$5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'8.8'!$H$8:$H$13</c:f>
              <c:numCache>
                <c:formatCode>_-* #,##0_-;\-* #,##0_-;_-* "-"??_-;_-@_-</c:formatCode>
                <c:ptCount val="6"/>
                <c:pt idx="0">
                  <c:v>949</c:v>
                </c:pt>
                <c:pt idx="1">
                  <c:v>492</c:v>
                </c:pt>
                <c:pt idx="2">
                  <c:v>0</c:v>
                </c:pt>
                <c:pt idx="3">
                  <c:v>159</c:v>
                </c:pt>
                <c:pt idx="4">
                  <c:v>210</c:v>
                </c:pt>
                <c:pt idx="5">
                  <c:v>47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832-426D-BAEF-F06F4B391A89}"/>
            </c:ext>
          </c:extLst>
        </c:ser>
        <c:ser>
          <c:idx val="2"/>
          <c:order val="2"/>
          <c:tx>
            <c:strRef>
              <c:f>'8.8'!$I$3:$I$5</c:f>
              <c:strCache>
                <c:ptCount val="3"/>
                <c:pt idx="0">
                  <c:v>2018 </c:v>
                </c:pt>
              </c:strCache>
            </c:strRef>
          </c:tx>
          <c:spPr>
            <a:solidFill>
              <a:srgbClr val="4C3A00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'8.8'!$I$8:$I$13</c:f>
              <c:numCache>
                <c:formatCode>_-* #,##0_-;\-* #,##0_-;_-* "-"??_-;_-@_-</c:formatCode>
                <c:ptCount val="6"/>
                <c:pt idx="0">
                  <c:v>718</c:v>
                </c:pt>
                <c:pt idx="1">
                  <c:v>918</c:v>
                </c:pt>
                <c:pt idx="2">
                  <c:v>2</c:v>
                </c:pt>
                <c:pt idx="3">
                  <c:v>146</c:v>
                </c:pt>
                <c:pt idx="4">
                  <c:v>207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2-426D-BAEF-F06F4B391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8426880"/>
        <c:axId val="568428416"/>
        <c:extLst/>
      </c:barChart>
      <c:catAx>
        <c:axId val="568426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568428416"/>
        <c:crosses val="autoZero"/>
        <c:auto val="1"/>
        <c:lblAlgn val="ctr"/>
        <c:lblOffset val="100"/>
        <c:noMultiLvlLbl val="0"/>
      </c:catAx>
      <c:valAx>
        <c:axId val="568428416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</c:title>
        <c:numFmt formatCode="_-* #,##0_-;\-* #,##0_-;_-* &quot;-&quot;??_-;_-@_-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6842688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1487956792481571"/>
          <c:y val="0.2727563326012708"/>
          <c:w val="0.37210500584877687"/>
          <c:h val="6.120094725242087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6606007537386"/>
          <c:y val="0.17551025230578871"/>
          <c:w val="0.8654258080440042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'8.10'!$G$3:$G$4</c:f>
              <c:strCache>
                <c:ptCount val="2"/>
                <c:pt idx="0">
                  <c:v>2016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'8.10'!$G$7:$G$9</c:f>
              <c:numCache>
                <c:formatCode>General</c:formatCode>
                <c:ptCount val="3"/>
                <c:pt idx="0">
                  <c:v>22</c:v>
                </c:pt>
                <c:pt idx="1">
                  <c:v>24</c:v>
                </c:pt>
                <c:pt idx="2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F-4F82-8053-A00150324139}"/>
            </c:ext>
          </c:extLst>
        </c:ser>
        <c:ser>
          <c:idx val="2"/>
          <c:order val="1"/>
          <c:tx>
            <c:strRef>
              <c:f>'8.10'!$H$3:$H$4</c:f>
              <c:strCache>
                <c:ptCount val="2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'8.10'!$H$7:$H$9</c:f>
              <c:numCache>
                <c:formatCode>General</c:formatCode>
                <c:ptCount val="3"/>
                <c:pt idx="0">
                  <c:v>17</c:v>
                </c:pt>
                <c:pt idx="1">
                  <c:v>34</c:v>
                </c:pt>
                <c:pt idx="2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F-4F82-8053-A00150324139}"/>
            </c:ext>
          </c:extLst>
        </c:ser>
        <c:ser>
          <c:idx val="0"/>
          <c:order val="2"/>
          <c:tx>
            <c:strRef>
              <c:f>'8.10'!$I$3:$I$4</c:f>
              <c:strCache>
                <c:ptCount val="2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'8.10'!$I$7:$I$9</c:f>
              <c:numCache>
                <c:formatCode>General</c:formatCode>
                <c:ptCount val="3"/>
                <c:pt idx="0">
                  <c:v>26</c:v>
                </c:pt>
                <c:pt idx="1">
                  <c:v>48</c:v>
                </c:pt>
                <c:pt idx="2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F-4F82-8053-A0015032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8769920"/>
        <c:axId val="568775808"/>
      </c:barChart>
      <c:catAx>
        <c:axId val="568769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68775808"/>
        <c:crosses val="autoZero"/>
        <c:auto val="1"/>
        <c:lblAlgn val="ctr"/>
        <c:lblOffset val="100"/>
        <c:noMultiLvlLbl val="0"/>
      </c:catAx>
      <c:valAx>
        <c:axId val="5687758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/>
                  <a:t>In</a:t>
                </a:r>
                <a:r>
                  <a:rPr lang="en-US" sz="900" b="1" baseline="0"/>
                  <a:t> n</a:t>
                </a:r>
                <a:r>
                  <a:rPr lang="en-US" sz="900" b="1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68769920"/>
        <c:crosses val="autoZero"/>
        <c:crossBetween val="between"/>
      </c:valAx>
      <c:spPr>
        <a:solidFill>
          <a:srgbClr val="FFFAEB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4983649164869359"/>
          <c:y val="0.27802831292778285"/>
          <c:w val="0.24134686482341955"/>
          <c:h val="7.4635399493454394E-2"/>
        </c:manualLayout>
      </c:layout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313169438596074"/>
          <c:y val="0.1800932422329144"/>
          <c:w val="0.44730035076529956"/>
          <c:h val="0.79350819929943917"/>
        </c:manualLayout>
      </c:layout>
      <c:doughnutChart>
        <c:varyColors val="1"/>
        <c:ser>
          <c:idx val="0"/>
          <c:order val="0"/>
          <c:spPr>
            <a:solidFill>
              <a:srgbClr val="953735"/>
            </a:solidFill>
          </c:spPr>
          <c:explosion val="2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985-4B65-8BAB-25E11A89DA47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985-4B65-8BAB-25E11A89DA47}"/>
              </c:ext>
            </c:extLst>
          </c:dPt>
          <c:dLbls>
            <c:dLbl>
              <c:idx val="0"/>
              <c:layout>
                <c:manualLayout>
                  <c:x val="0.16851530392649483"/>
                  <c:y val="-0.1178475341982089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80583579695349"/>
                      <c:h val="0.173150330412314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985-4B65-8BAB-25E11A89DA47}"/>
                </c:ext>
              </c:extLst>
            </c:dLbl>
            <c:dLbl>
              <c:idx val="1"/>
              <c:layout>
                <c:manualLayout>
                  <c:x val="1.6485072374561677E-2"/>
                  <c:y val="-7.28214941080652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985-4B65-8BAB-25E11A89D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('8.10'!$A$6,'8.10'!$A$10)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('8.10'!$K$6,'8.10'!$K$10)</c:f>
              <c:numCache>
                <c:formatCode>#,##0</c:formatCode>
                <c:ptCount val="2"/>
                <c:pt idx="0">
                  <c:v>29.61487383798141</c:v>
                </c:pt>
                <c:pt idx="1">
                  <c:v>70.385126162018594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5-4B65-8BAB-25E11A89DA4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0"/>
        <c:holeSize val="50"/>
      </c:doughnut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8.15: Percentage change of Assaults by group of person over previous year (2018)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642703903841904E-2"/>
          <c:y val="0.18127834819151975"/>
          <c:w val="0.92074113704672778"/>
          <c:h val="0.793293310615474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0893-4196-ABAD-DF77F6B0BF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'8.10'!$L$7:$L$9</c:f>
              <c:numCache>
                <c:formatCode>#,##0</c:formatCode>
                <c:ptCount val="3"/>
                <c:pt idx="0">
                  <c:v>34.615384615384613</c:v>
                </c:pt>
                <c:pt idx="1">
                  <c:v>29.166666666666668</c:v>
                </c:pt>
                <c:pt idx="2">
                  <c:v>-12.751677852348994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93-4196-ABAD-DF77F6B0B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9096832"/>
        <c:axId val="569102720"/>
      </c:barChart>
      <c:catAx>
        <c:axId val="56909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02720"/>
        <c:crosses val="autoZero"/>
        <c:auto val="1"/>
        <c:lblAlgn val="ctr"/>
        <c:lblOffset val="100"/>
        <c:noMultiLvlLbl val="0"/>
      </c:catAx>
      <c:valAx>
        <c:axId val="5691027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9683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547145424718017"/>
          <c:y val="0.18325009262052494"/>
          <c:w val="0.44104652797334065"/>
          <c:h val="0.84826527623317471"/>
        </c:manualLayout>
      </c:layout>
      <c:pieChart>
        <c:varyColors val="1"/>
        <c:ser>
          <c:idx val="0"/>
          <c:order val="0"/>
          <c:explosion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'8.11'!$A$6:$A$12</c:f>
              <c:strCache>
                <c:ptCount val="7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  <c:pt idx="6">
                  <c:v>Other death cases logged</c:v>
                </c:pt>
              </c:strCache>
            </c:strRef>
          </c:cat>
          <c:val>
            <c:numRef>
              <c:f>'8.11'!$I$6:$I$12</c:f>
              <c:numCache>
                <c:formatCode>#,##0</c:formatCode>
                <c:ptCount val="7"/>
                <c:pt idx="0">
                  <c:v>3</c:v>
                </c:pt>
                <c:pt idx="1">
                  <c:v>14</c:v>
                </c:pt>
                <c:pt idx="2">
                  <c:v>15</c:v>
                </c:pt>
                <c:pt idx="3">
                  <c:v>8</c:v>
                </c:pt>
                <c:pt idx="4">
                  <c:v>4</c:v>
                </c:pt>
                <c:pt idx="5">
                  <c:v>22</c:v>
                </c:pt>
                <c:pt idx="6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E5-4722-8CD5-3E16C70C9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8.17: Number of death cases by type, 2016</a:t>
            </a:r>
            <a:r>
              <a:rPr lang="en-US" sz="1200" b="1" baseline="0"/>
              <a:t> - 2018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219260555825087E-2"/>
          <c:y val="0.15634564301814474"/>
          <c:w val="0.94132317361263051"/>
          <c:h val="0.7253164880472884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'8.11'!$B$6:$B$10</c:f>
            </c:numRef>
          </c:val>
          <c:extLst>
            <c:ext xmlns:c16="http://schemas.microsoft.com/office/drawing/2014/chart" uri="{C3380CC4-5D6E-409C-BE32-E72D297353CC}">
              <c16:uniqueId val="{00000000-9AE9-43C6-BAC7-B970DD4052CC}"/>
            </c:ext>
          </c:extLst>
        </c:ser>
        <c:ser>
          <c:idx val="2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'8.11'!$C$6:$C$10</c:f>
            </c:numRef>
          </c:val>
          <c:extLst>
            <c:ext xmlns:c16="http://schemas.microsoft.com/office/drawing/2014/chart" uri="{C3380CC4-5D6E-409C-BE32-E72D297353CC}">
              <c16:uniqueId val="{00000001-9AE9-43C6-BAC7-B970DD4052CC}"/>
            </c:ext>
          </c:extLst>
        </c:ser>
        <c:ser>
          <c:idx val="3"/>
          <c:order val="2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'8.11'!$D$6:$D$10</c:f>
            </c:numRef>
          </c:val>
          <c:extLst>
            <c:ext xmlns:c16="http://schemas.microsoft.com/office/drawing/2014/chart" uri="{C3380CC4-5D6E-409C-BE32-E72D297353CC}">
              <c16:uniqueId val="{00000002-9AE9-43C6-BAC7-B970DD4052CC}"/>
            </c:ext>
          </c:extLst>
        </c:ser>
        <c:ser>
          <c:idx val="0"/>
          <c:order val="3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'8.11'!$E$6:$E$10</c:f>
            </c:numRef>
          </c:val>
          <c:extLst>
            <c:ext xmlns:c16="http://schemas.microsoft.com/office/drawing/2014/chart" uri="{C3380CC4-5D6E-409C-BE32-E72D297353CC}">
              <c16:uniqueId val="{00000000-E893-4A8C-A919-1383FA0425E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'8.11'!$F$6:$F$10</c:f>
            </c:numRef>
          </c:val>
          <c:extLst>
            <c:ext xmlns:c16="http://schemas.microsoft.com/office/drawing/2014/chart" uri="{C3380CC4-5D6E-409C-BE32-E72D297353CC}">
              <c16:uniqueId val="{00000001-E893-4A8C-A919-1383FA0425E7}"/>
            </c:ext>
          </c:extLst>
        </c:ser>
        <c:ser>
          <c:idx val="5"/>
          <c:order val="5"/>
          <c:tx>
            <c:strRef>
              <c:f>'8.11'!$G$3:$G$4</c:f>
              <c:strCache>
                <c:ptCount val="2"/>
                <c:pt idx="0">
                  <c:v>2016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'8.11'!$G$6:$G$10</c:f>
              <c:numCache>
                <c:formatCode>#,##0</c:formatCode>
                <c:ptCount val="5"/>
                <c:pt idx="0">
                  <c:v>5</c:v>
                </c:pt>
                <c:pt idx="1">
                  <c:v>17</c:v>
                </c:pt>
                <c:pt idx="2">
                  <c:v>16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93-4A8C-A919-1383FA0425E7}"/>
            </c:ext>
          </c:extLst>
        </c:ser>
        <c:ser>
          <c:idx val="6"/>
          <c:order val="6"/>
          <c:tx>
            <c:strRef>
              <c:f>'8.11'!$H$3:$H$4</c:f>
              <c:strCache>
                <c:ptCount val="2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'8.11'!$H$6:$H$10</c:f>
              <c:numCache>
                <c:formatCode>#,##0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19</c:v>
                </c:pt>
                <c:pt idx="3">
                  <c:v>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93-4A8C-A919-1383FA0425E7}"/>
            </c:ext>
          </c:extLst>
        </c:ser>
        <c:ser>
          <c:idx val="7"/>
          <c:order val="7"/>
          <c:tx>
            <c:strRef>
              <c:f>'8.11'!$I$3:$I$4</c:f>
              <c:strCache>
                <c:ptCount val="2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'8.11'!$I$6:$I$10</c:f>
              <c:numCache>
                <c:formatCode>#,##0</c:formatCode>
                <c:ptCount val="5"/>
                <c:pt idx="0">
                  <c:v>3</c:v>
                </c:pt>
                <c:pt idx="1">
                  <c:v>14</c:v>
                </c:pt>
                <c:pt idx="2">
                  <c:v>15</c:v>
                </c:pt>
                <c:pt idx="3">
                  <c:v>8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93-4A8C-A919-1383FA042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1"/>
        <c:axId val="570327808"/>
        <c:axId val="570329344"/>
      </c:barChart>
      <c:catAx>
        <c:axId val="5703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29344"/>
        <c:crosses val="autoZero"/>
        <c:auto val="1"/>
        <c:lblAlgn val="ctr"/>
        <c:lblOffset val="100"/>
        <c:noMultiLvlLbl val="0"/>
      </c:catAx>
      <c:valAx>
        <c:axId val="5703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2780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2032509626472776"/>
          <c:y val="0.22912569606459837"/>
          <c:w val="0.24458502451549005"/>
          <c:h val="7.1133760904610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92076828624596E-2"/>
          <c:y val="0.15405528170113456"/>
          <c:w val="0.8967734754622837"/>
          <c:h val="0.4929728278373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'8.12'!$AF$19</c:f>
              <c:strCache>
                <c:ptCount val="1"/>
                <c:pt idx="0">
                  <c:v>Logged cases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'8.12'!$AE$20:$AE$31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'8.12'!$AF$20:$AF$31</c:f>
              <c:numCache>
                <c:formatCode>#,##0</c:formatCode>
                <c:ptCount val="12"/>
                <c:pt idx="0">
                  <c:v>3270</c:v>
                </c:pt>
                <c:pt idx="1">
                  <c:v>2007</c:v>
                </c:pt>
                <c:pt idx="2">
                  <c:v>2230</c:v>
                </c:pt>
                <c:pt idx="3">
                  <c:v>1787</c:v>
                </c:pt>
                <c:pt idx="4">
                  <c:v>753</c:v>
                </c:pt>
                <c:pt idx="5">
                  <c:v>472</c:v>
                </c:pt>
                <c:pt idx="6">
                  <c:v>537</c:v>
                </c:pt>
                <c:pt idx="7">
                  <c:v>361</c:v>
                </c:pt>
                <c:pt idx="8">
                  <c:v>516</c:v>
                </c:pt>
                <c:pt idx="9">
                  <c:v>240</c:v>
                </c:pt>
                <c:pt idx="10">
                  <c:v>71</c:v>
                </c:pt>
                <c:pt idx="11">
                  <c:v>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7-49AF-AB8D-510F36464AF3}"/>
            </c:ext>
          </c:extLst>
        </c:ser>
        <c:ser>
          <c:idx val="1"/>
          <c:order val="1"/>
          <c:tx>
            <c:strRef>
              <c:f>'8.12'!$AG$19</c:f>
              <c:strCache>
                <c:ptCount val="1"/>
                <c:pt idx="0">
                  <c:v>Completed cases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'8.12'!$AE$20:$AE$31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'8.12'!$AG$20:$AG$31</c:f>
              <c:numCache>
                <c:formatCode>_-* #,##0_-;\-* #,##0_-;_-* "-"??_-;_-@_-</c:formatCode>
                <c:ptCount val="12"/>
                <c:pt idx="0">
                  <c:v>3522</c:v>
                </c:pt>
                <c:pt idx="1">
                  <c:v>2108</c:v>
                </c:pt>
                <c:pt idx="2">
                  <c:v>2903</c:v>
                </c:pt>
                <c:pt idx="3">
                  <c:v>1659</c:v>
                </c:pt>
                <c:pt idx="4">
                  <c:v>820</c:v>
                </c:pt>
                <c:pt idx="5">
                  <c:v>456</c:v>
                </c:pt>
                <c:pt idx="6">
                  <c:v>668</c:v>
                </c:pt>
                <c:pt idx="7">
                  <c:v>507</c:v>
                </c:pt>
                <c:pt idx="8">
                  <c:v>515</c:v>
                </c:pt>
                <c:pt idx="9">
                  <c:v>273</c:v>
                </c:pt>
                <c:pt idx="10">
                  <c:v>94</c:v>
                </c:pt>
                <c:pt idx="11">
                  <c:v>3101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7-49AF-AB8D-510F36464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570374016"/>
        <c:axId val="570375552"/>
      </c:barChart>
      <c:catAx>
        <c:axId val="57037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570375552"/>
        <c:crosses val="autoZero"/>
        <c:auto val="1"/>
        <c:lblAlgn val="ctr"/>
        <c:lblOffset val="100"/>
        <c:noMultiLvlLbl val="0"/>
      </c:catAx>
      <c:valAx>
        <c:axId val="57037555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</a:p>
            </c:rich>
          </c:tx>
          <c:layout>
            <c:manualLayout>
              <c:xMode val="edge"/>
              <c:yMode val="edge"/>
              <c:x val="1.3574564107930101E-2"/>
              <c:y val="4.6498534965874333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57037401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9044373063475363"/>
          <c:y val="0.22859657286991969"/>
          <c:w val="0.37185165301445089"/>
          <c:h val="5.9757758139937604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  <a:latin typeface="+mj-lt"/>
              </a:rPr>
              <a:t>Figure 8.19: Percentage of detainees reported by type of offence and sex, 2018</a:t>
            </a:r>
            <a:endParaRPr lang="en-US" sz="1100">
              <a:effectLst/>
              <a:latin typeface="+mj-lt"/>
            </a:endParaRPr>
          </a:p>
        </c:rich>
      </c:tx>
      <c:layout>
        <c:manualLayout>
          <c:xMode val="edge"/>
          <c:yMode val="edge"/>
          <c:x val="0.27045441360348993"/>
          <c:y val="5.8479734931838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12559457748407E-2"/>
          <c:y val="0.17171296296296296"/>
          <c:w val="0.90046768228295926"/>
          <c:h val="0.6525499493781419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'8.13'!$J$6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'8.13'!$A$9:$A$20</c15:sqref>
                  </c15:fullRef>
                </c:ext>
              </c:extLst>
              <c:f>('8.13'!$A$9:$A$18,'8.13'!$A$20)</c:f>
              <c:strCache>
                <c:ptCount val="11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'8.13'!$J$9:$J$20</c15:sqref>
                  </c15:fullRef>
                </c:ext>
              </c:extLst>
              <c:f>('8.13'!$J$9:$J$18,'8.13'!$J$20)</c:f>
              <c:numCache>
                <c:formatCode>#,##0</c:formatCode>
                <c:ptCount val="11"/>
                <c:pt idx="0">
                  <c:v>407</c:v>
                </c:pt>
                <c:pt idx="1">
                  <c:v>700</c:v>
                </c:pt>
                <c:pt idx="2">
                  <c:v>90</c:v>
                </c:pt>
                <c:pt idx="3">
                  <c:v>1008</c:v>
                </c:pt>
                <c:pt idx="4">
                  <c:v>129</c:v>
                </c:pt>
                <c:pt idx="5">
                  <c:v>3</c:v>
                </c:pt>
                <c:pt idx="6">
                  <c:v>10</c:v>
                </c:pt>
                <c:pt idx="7">
                  <c:v>1</c:v>
                </c:pt>
                <c:pt idx="8">
                  <c:v>62</c:v>
                </c:pt>
                <c:pt idx="9">
                  <c:v>19</c:v>
                </c:pt>
                <c:pt idx="10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E-449A-8932-61798AE58BE4}"/>
            </c:ext>
          </c:extLst>
        </c:ser>
        <c:ser>
          <c:idx val="1"/>
          <c:order val="1"/>
          <c:tx>
            <c:strRef>
              <c:f>'8.13'!$K$6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'8.13'!$A$9:$A$20</c15:sqref>
                  </c15:fullRef>
                </c:ext>
              </c:extLst>
              <c:f>('8.13'!$A$9:$A$18,'8.13'!$A$20)</c:f>
              <c:strCache>
                <c:ptCount val="11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'8.13'!$K$9:$K$20</c15:sqref>
                  </c15:fullRef>
                </c:ext>
              </c:extLst>
              <c:f>('8.13'!$K$9:$K$18,'8.13'!$K$20)</c:f>
              <c:numCache>
                <c:formatCode>#,##0</c:formatCode>
                <c:ptCount val="11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35</c:v>
                </c:pt>
                <c:pt idx="4">
                  <c:v>8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9E-449A-8932-61798AE58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7105024"/>
        <c:axId val="587106560"/>
      </c:barChart>
      <c:catAx>
        <c:axId val="58710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06560"/>
        <c:crosses val="autoZero"/>
        <c:auto val="1"/>
        <c:lblAlgn val="ctr"/>
        <c:lblOffset val="100"/>
        <c:noMultiLvlLbl val="0"/>
      </c:catAx>
      <c:valAx>
        <c:axId val="5871065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05024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29317290505029"/>
          <c:y val="0.9150137925933638"/>
          <c:w val="0.16978643221486214"/>
          <c:h val="6.0730692423798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20184373339686"/>
          <c:y val="0.1864313720400709"/>
          <c:w val="0.84837646618073692"/>
          <c:h val="0.633872849227180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83136713719823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630851648985327E-2"/>
                      <c:h val="8.234302515894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D29-43F9-9602-1C5DB511D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'8.14'!$AK$30:$AK$35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more than 6</c:v>
                </c:pt>
              </c:strCache>
            </c:strRef>
          </c:cat>
          <c:val>
            <c:numRef>
              <c:f>'8.14'!$AL$30:$AL$35</c:f>
              <c:numCache>
                <c:formatCode>#,##0</c:formatCode>
                <c:ptCount val="6"/>
                <c:pt idx="0">
                  <c:v>2285</c:v>
                </c:pt>
                <c:pt idx="1">
                  <c:v>392</c:v>
                </c:pt>
                <c:pt idx="2">
                  <c:v>130</c:v>
                </c:pt>
                <c:pt idx="3">
                  <c:v>39</c:v>
                </c:pt>
                <c:pt idx="4">
                  <c:v>13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7-4F05-9E72-8D4A019D7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87272576"/>
        <c:axId val="587274496"/>
      </c:barChart>
      <c:catAx>
        <c:axId val="5872725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times arrested</a:t>
                </a:r>
              </a:p>
            </c:rich>
          </c:tx>
          <c:layout>
            <c:manualLayout>
              <c:xMode val="edge"/>
              <c:yMode val="edge"/>
              <c:x val="0.41901525978925691"/>
              <c:y val="0.90265626851363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74496"/>
        <c:crosses val="autoZero"/>
        <c:auto val="1"/>
        <c:lblAlgn val="ctr"/>
        <c:lblOffset val="100"/>
        <c:noMultiLvlLbl val="0"/>
      </c:catAx>
      <c:valAx>
        <c:axId val="587274496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detainees</a:t>
                </a:r>
              </a:p>
            </c:rich>
          </c:tx>
          <c:layout>
            <c:manualLayout>
              <c:xMode val="edge"/>
              <c:yMode val="edge"/>
              <c:x val="2.0294994682925529E-2"/>
              <c:y val="0.29451525454463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72576"/>
        <c:crosses val="autoZero"/>
        <c:crossBetween val="between"/>
      </c:valAx>
      <c:spPr>
        <a:pattFill prst="ltUpDiag">
          <a:fgClr>
            <a:schemeClr val="accent4">
              <a:lumMod val="40000"/>
              <a:lumOff val="60000"/>
            </a:schemeClr>
          </a:fgClr>
          <a:bgClr>
            <a:srgbClr val="FFFAEB"/>
          </a:bgClr>
        </a:pattFill>
        <a:ln w="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explosion val="2"/>
          <c:dPt>
            <c:idx val="3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C51E-40E6-ADDE-85D8C893BF0E}"/>
              </c:ext>
            </c:extLst>
          </c:dPt>
          <c:dLbls>
            <c:dLbl>
              <c:idx val="0"/>
              <c:layout>
                <c:manualLayout>
                  <c:x val="1.0116176565445176E-2"/>
                  <c:y val="4.38801687513438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51E-40E6-ADDE-85D8C893BF0E}"/>
                </c:ext>
              </c:extLst>
            </c:dLbl>
            <c:dLbl>
              <c:idx val="1"/>
              <c:layout>
                <c:manualLayout>
                  <c:x val="0.11175624309000468"/>
                  <c:y val="-0.161638479656170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51E-40E6-ADDE-85D8C893BF0E}"/>
                </c:ext>
              </c:extLst>
            </c:dLbl>
            <c:dLbl>
              <c:idx val="2"/>
              <c:layout>
                <c:manualLayout>
                  <c:x val="-1.0818879654335289E-2"/>
                  <c:y val="0.225823220117807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51E-40E6-ADDE-85D8C893BF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'8.15'!$Z$3:$AC$3</c:f>
              <c:strCache>
                <c:ptCount val="4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  <c:pt idx="3">
                  <c:v>Age Unknown</c:v>
                </c:pt>
              </c:strCache>
            </c:strRef>
          </c:cat>
          <c:val>
            <c:numRef>
              <c:f>'8.15'!$Z$4:$AC$4</c:f>
              <c:numCache>
                <c:formatCode>#,##0</c:formatCode>
                <c:ptCount val="4"/>
                <c:pt idx="0">
                  <c:v>164</c:v>
                </c:pt>
                <c:pt idx="1">
                  <c:v>2087</c:v>
                </c:pt>
                <c:pt idx="2">
                  <c:v>593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CB-4A6E-8647-153282F043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 horizontalDpi="-1" verticalDpi="-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55776764456935"/>
          <c:y val="0.13651285620307213"/>
          <c:w val="0.54892824060778178"/>
          <c:h val="0.79067459282821462"/>
        </c:manualLayout>
      </c:layout>
      <c:pieChart>
        <c:varyColors val="1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explosion val="3"/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93B3-45DD-AFCD-3D0B1CA6A0F5}"/>
              </c:ext>
            </c:extLst>
          </c:dPt>
          <c:dLbls>
            <c:dLbl>
              <c:idx val="0"/>
              <c:layout>
                <c:manualLayout>
                  <c:x val="0.16214673779179725"/>
                  <c:y val="-0.2818535505518244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3B3-45DD-AFCD-3D0B1CA6A0F5}"/>
                </c:ext>
              </c:extLst>
            </c:dLbl>
            <c:dLbl>
              <c:idx val="1"/>
              <c:layout>
                <c:manualLayout>
                  <c:x val="-2.8177067970940817E-2"/>
                  <c:y val="1.57327454629368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3B3-45DD-AFCD-3D0B1CA6A0F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'8.15'!$Z$7:$Z$9</c15:sqref>
                  </c15:fullRef>
                </c:ext>
              </c:extLst>
              <c:f>'8.15'!$Z$7:$Z$8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'8.15'!$AB$7:$AB$9</c15:sqref>
                  </c15:fullRef>
                </c:ext>
              </c:extLst>
              <c:f>'8.15'!$AB$7:$AB$8</c:f>
              <c:numCache>
                <c:formatCode>0</c:formatCode>
                <c:ptCount val="2"/>
                <c:pt idx="0">
                  <c:v>96.143154968728282</c:v>
                </c:pt>
                <c:pt idx="1">
                  <c:v>2.6754690757470465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'8.15'!$AB$9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</c15:spPr>
                  <c15:bubble3D val="0"/>
                  <c15:dLbl>
                    <c:idx val="1"/>
                    <c:delete val="1"/>
                    <c:extLst>
                      <c:ext uri="{CE6537A1-D6FC-4f65-9D91-7224C49458BB}">
                        <c15:layout/>
                      </c:ext>
                      <c:ext xmlns:c16="http://schemas.microsoft.com/office/drawing/2014/chart" uri="{C3380CC4-5D6E-409C-BE32-E72D297353CC}">
                        <c16:uniqueId val="{00000005-93B3-45DD-AFCD-3D0B1CA6A0F5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93B3-45DD-AFCD-3D0B1CA6A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3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628848494122"/>
          <c:y val="0.14376166520851469"/>
          <c:w val="0.87973626075415867"/>
          <c:h val="0.69013721194806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'8.15'!$AA$12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dLbl>
              <c:idx val="1"/>
              <c:layout>
                <c:manualLayout>
                  <c:x val="0"/>
                  <c:y val="1.259768996059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293-42A4-88B6-8414D69CE40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'8.15'!$Z$13:$Z$16</c:f>
              <c:strCache>
                <c:ptCount val="4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  <c:pt idx="3">
                  <c:v>Age Unknown</c:v>
                </c:pt>
              </c:strCache>
            </c:strRef>
          </c:cat>
          <c:val>
            <c:numRef>
              <c:f>'8.15'!$AA$13:$AA$16</c:f>
              <c:numCache>
                <c:formatCode>#,##0</c:formatCode>
                <c:ptCount val="4"/>
                <c:pt idx="0">
                  <c:v>163</c:v>
                </c:pt>
                <c:pt idx="1">
                  <c:v>2030</c:v>
                </c:pt>
                <c:pt idx="2">
                  <c:v>574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3-42A4-88B6-8414D69CE409}"/>
            </c:ext>
          </c:extLst>
        </c:ser>
        <c:ser>
          <c:idx val="1"/>
          <c:order val="1"/>
          <c:tx>
            <c:strRef>
              <c:f>'8.15'!$AB$12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'8.15'!$Z$13:$Z$16</c:f>
              <c:strCache>
                <c:ptCount val="4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  <c:pt idx="3">
                  <c:v>Age Unknown</c:v>
                </c:pt>
              </c:strCache>
            </c:strRef>
          </c:cat>
          <c:val>
            <c:numRef>
              <c:f>'8.15'!$AB$13:$AB$16</c:f>
              <c:numCache>
                <c:formatCode>#,##0</c:formatCode>
                <c:ptCount val="4"/>
                <c:pt idx="0">
                  <c:v>1</c:v>
                </c:pt>
                <c:pt idx="1">
                  <c:v>57</c:v>
                </c:pt>
                <c:pt idx="2">
                  <c:v>19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3-42A4-88B6-8414D69C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7621120"/>
        <c:axId val="587623040"/>
      </c:barChart>
      <c:catAx>
        <c:axId val="587621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8408181457485313"/>
              <c:y val="0.9157175503129295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587623040"/>
        <c:crosses val="autoZero"/>
        <c:auto val="1"/>
        <c:lblAlgn val="ctr"/>
        <c:lblOffset val="100"/>
        <c:noMultiLvlLbl val="0"/>
      </c:catAx>
      <c:valAx>
        <c:axId val="58762304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587621120"/>
        <c:crosses val="autoZero"/>
        <c:crossBetween val="between"/>
      </c:valAx>
      <c:spPr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475016787898998"/>
          <c:y val="0.26559931278113352"/>
          <c:w val="0.20184986698786023"/>
          <c:h val="7.322498217807114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81633290944668"/>
          <c:y val="0.16210635994709177"/>
          <c:w val="0.44771947147106894"/>
          <c:h val="0.8221824372777341"/>
        </c:manualLayout>
      </c:layout>
      <c:pie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explosion val="3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C073-478E-A0C3-D0FF9A21E225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C073-478E-A0C3-D0FF9A21E225}"/>
              </c:ext>
            </c:extLst>
          </c:dPt>
          <c:dLbls>
            <c:dLbl>
              <c:idx val="0"/>
              <c:layout>
                <c:manualLayout>
                  <c:x val="0.17705172252449769"/>
                  <c:y val="-0.164310368901253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50"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73-478E-A0C3-D0FF9A21E225}"/>
                </c:ext>
              </c:extLst>
            </c:dLbl>
            <c:dLbl>
              <c:idx val="1"/>
              <c:layout>
                <c:manualLayout>
                  <c:x val="6.2667718317892772E-3"/>
                  <c:y val="-2.2372342390088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5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69892473118279"/>
                      <c:h val="0.109217952163396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073-478E-A0C3-D0FF9A21E2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'8.16'!$AA$5:$AB$5</c:f>
              <c:strCache>
                <c:ptCount val="2"/>
                <c:pt idx="0">
                  <c:v>Locals</c:v>
                </c:pt>
                <c:pt idx="1">
                  <c:v>Foreign</c:v>
                </c:pt>
              </c:strCache>
            </c:strRef>
          </c:cat>
          <c:val>
            <c:numRef>
              <c:f>'8.16'!$AA$7:$AB$7</c:f>
              <c:numCache>
                <c:formatCode>#,##0</c:formatCode>
                <c:ptCount val="2"/>
                <c:pt idx="0">
                  <c:v>2604</c:v>
                </c:pt>
                <c:pt idx="1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3-478E-A0C3-D0FF9A21E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2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020175483433275"/>
          <c:y val="0.16890908713243855"/>
          <c:w val="0.3242853923343037"/>
          <c:h val="0.81381478230100368"/>
        </c:manualLayout>
      </c:layout>
      <c:doughnutChart>
        <c:varyColors val="1"/>
        <c:ser>
          <c:idx val="0"/>
          <c:order val="0"/>
          <c:spPr>
            <a:solidFill>
              <a:srgbClr val="33CCCC"/>
            </a:solidFill>
          </c:spPr>
          <c:explosion val="5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8F87-4DC4-BCB2-6391FF6DC9CF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8F87-4DC4-BCB2-6391FF6DC9CF}"/>
              </c:ext>
            </c:extLst>
          </c:dPt>
          <c:dLbls>
            <c:dLbl>
              <c:idx val="0"/>
              <c:layout>
                <c:manualLayout>
                  <c:x val="-6.3277181261433224E-2"/>
                  <c:y val="1.00425161608420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100"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87-4DC4-BCB2-6391FF6DC9CF}"/>
                </c:ext>
              </c:extLst>
            </c:dLbl>
            <c:dLbl>
              <c:idx val="1"/>
              <c:layout>
                <c:manualLayout>
                  <c:x val="2.9931166046301572E-2"/>
                  <c:y val="-8.849789715002902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100" b="1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87-4DC4-BCB2-6391FF6DC9CF}"/>
                </c:ext>
              </c:extLst>
            </c:dLbl>
            <c:dLbl>
              <c:idx val="2"/>
              <c:layout>
                <c:manualLayout>
                  <c:x val="0.1046747150807827"/>
                  <c:y val="9.10856876054967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87-4DC4-BCB2-6391FF6DC9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'[2]8.18'!$U$6:$V$6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'[2]8.18'!$U$8:$V$8</c:f>
              <c:numCache>
                <c:formatCode>General</c:formatCode>
                <c:ptCount val="2"/>
                <c:pt idx="0">
                  <c:v>1191</c:v>
                </c:pt>
                <c:pt idx="1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87-4DC4-BCB2-6391FF6DC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53"/>
        <c:holeSize val="50"/>
      </c:doughnut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270105089536557E-2"/>
          <c:y val="0.13228486439195103"/>
          <c:w val="0.87949545780462135"/>
          <c:h val="0.765232195975503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'8.20'!$P$4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'8.20'!$A$6:$A$11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'8.20'!$P$6:$P$11</c:f>
              <c:numCache>
                <c:formatCode>#,##0</c:formatCode>
                <c:ptCount val="6"/>
                <c:pt idx="0">
                  <c:v>1302</c:v>
                </c:pt>
                <c:pt idx="1">
                  <c:v>31</c:v>
                </c:pt>
                <c:pt idx="2">
                  <c:v>2562</c:v>
                </c:pt>
                <c:pt idx="3">
                  <c:v>860</c:v>
                </c:pt>
                <c:pt idx="4">
                  <c:v>3326</c:v>
                </c:pt>
                <c:pt idx="5">
                  <c:v>12617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6-4DAF-857B-1309D384DA5A}"/>
            </c:ext>
          </c:extLst>
        </c:ser>
        <c:ser>
          <c:idx val="0"/>
          <c:order val="1"/>
          <c:tx>
            <c:strRef>
              <c:f>'8.20'!$Q$4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'8.20'!$A$6:$A$11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'8.20'!$Q$6:$Q$11</c:f>
              <c:numCache>
                <c:formatCode>#,##0</c:formatCode>
                <c:ptCount val="6"/>
                <c:pt idx="0">
                  <c:v>1612</c:v>
                </c:pt>
                <c:pt idx="1">
                  <c:v>44</c:v>
                </c:pt>
                <c:pt idx="2">
                  <c:v>2543</c:v>
                </c:pt>
                <c:pt idx="3">
                  <c:v>881</c:v>
                </c:pt>
                <c:pt idx="4">
                  <c:v>3044</c:v>
                </c:pt>
                <c:pt idx="5">
                  <c:v>10259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6-4DAF-857B-1309D384DA5A}"/>
            </c:ext>
          </c:extLst>
        </c:ser>
        <c:ser>
          <c:idx val="2"/>
          <c:order val="2"/>
          <c:tx>
            <c:strRef>
              <c:f>'8.20'!$R$4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'8.20'!$A$6:$A$11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'8.20'!$R$6:$R$11</c:f>
              <c:numCache>
                <c:formatCode>#,##0</c:formatCode>
                <c:ptCount val="6"/>
                <c:pt idx="0">
                  <c:v>1514</c:v>
                </c:pt>
                <c:pt idx="1">
                  <c:v>18</c:v>
                </c:pt>
                <c:pt idx="2">
                  <c:v>2688</c:v>
                </c:pt>
                <c:pt idx="3">
                  <c:v>832</c:v>
                </c:pt>
                <c:pt idx="4">
                  <c:v>4363</c:v>
                </c:pt>
                <c:pt idx="5">
                  <c:v>10378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16-4DAF-857B-1309D384D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39368576"/>
        <c:axId val="39370112"/>
      </c:barChart>
      <c:catAx>
        <c:axId val="39368576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39370112"/>
        <c:crosses val="autoZero"/>
        <c:auto val="1"/>
        <c:lblAlgn val="ctr"/>
        <c:lblOffset val="100"/>
        <c:noMultiLvlLbl val="0"/>
      </c:catAx>
      <c:valAx>
        <c:axId val="39370112"/>
        <c:scaling>
          <c:orientation val="minMax"/>
          <c:max val="13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9368576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5000359309714696E-2"/>
          <c:y val="0.19949746281714786"/>
          <c:w val="0.20128749225773113"/>
          <c:h val="0.36162239720034989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299047682969238"/>
          <c:y val="0.15293597431933173"/>
          <c:w val="0.40318325702800056"/>
          <c:h val="0.82604898578643893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D4EA-4A6E-BA52-0D561CB2A18B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D4EA-4A6E-BA52-0D561CB2A18B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D4EA-4A6E-BA52-0D561CB2A18B}"/>
              </c:ext>
            </c:extLst>
          </c:dPt>
          <c:dPt>
            <c:idx val="4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D4EA-4A6E-BA52-0D561CB2A18B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D4EA-4A6E-BA52-0D561CB2A18B}"/>
              </c:ext>
            </c:extLst>
          </c:dPt>
          <c:dLbls>
            <c:dLbl>
              <c:idx val="0"/>
              <c:layout>
                <c:manualLayout>
                  <c:x val="3.2331205326844204E-3"/>
                  <c:y val="1.20624183383836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EA-4A6E-BA52-0D561CB2A18B}"/>
                </c:ext>
              </c:extLst>
            </c:dLbl>
            <c:dLbl>
              <c:idx val="1"/>
              <c:layout>
                <c:manualLayout>
                  <c:x val="5.953147877384151E-2"/>
                  <c:y val="-9.61485684651622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EA-4A6E-BA52-0D561CB2A18B}"/>
                </c:ext>
              </c:extLst>
            </c:dLbl>
            <c:dLbl>
              <c:idx val="2"/>
              <c:layout>
                <c:manualLayout>
                  <c:x val="8.0447944288975105E-3"/>
                  <c:y val="4.0061903527150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EA-4A6E-BA52-0D561CB2A18B}"/>
                </c:ext>
              </c:extLst>
            </c:dLbl>
            <c:dLbl>
              <c:idx val="3"/>
              <c:layout>
                <c:manualLayout>
                  <c:x val="6.435835543118008E-3"/>
                  <c:y val="4.006190352715093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EA-4A6E-BA52-0D561CB2A18B}"/>
                </c:ext>
              </c:extLst>
            </c:dLbl>
            <c:dLbl>
              <c:idx val="4"/>
              <c:layout>
                <c:manualLayout>
                  <c:x val="-1.608958885779502E-3"/>
                  <c:y val="8.01238070543018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EA-4A6E-BA52-0D561CB2A18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+mn-lt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'8.20'!$A$13:$A$18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'8.20'!$R$13:$R$18</c:f>
              <c:numCache>
                <c:formatCode>0.0</c:formatCode>
                <c:ptCount val="6"/>
                <c:pt idx="0" formatCode="#,##0.0">
                  <c:v>7.6491688980952866</c:v>
                </c:pt>
                <c:pt idx="1">
                  <c:v>9.0941241853180421E-2</c:v>
                </c:pt>
                <c:pt idx="2">
                  <c:v>13.580558783408275</c:v>
                </c:pt>
                <c:pt idx="3">
                  <c:v>4.2035062901025615</c:v>
                </c:pt>
                <c:pt idx="4">
                  <c:v>22.043146566968119</c:v>
                </c:pt>
                <c:pt idx="5">
                  <c:v>52.43267821957258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4EA-4A6E-BA52-0D561CB2A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8.30:</a:t>
            </a:r>
            <a:r>
              <a:rPr lang="en-US" sz="1050" baseline="0"/>
              <a:t> </a:t>
            </a:r>
            <a:r>
              <a:rPr lang="en-US" sz="1050"/>
              <a:t>Completion</a:t>
            </a:r>
            <a:r>
              <a:rPr lang="en-US" sz="1050" baseline="0"/>
              <a:t> </a:t>
            </a:r>
            <a:r>
              <a:rPr lang="en-US" sz="1050"/>
              <a:t>rate of cases in courts by type, 2018</a:t>
            </a:r>
          </a:p>
        </c:rich>
      </c:tx>
      <c:layout>
        <c:manualLayout>
          <c:xMode val="edge"/>
          <c:yMode val="edge"/>
          <c:x val="0.16799097455504244"/>
          <c:y val="3.30658333247145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47462817147869"/>
          <c:y val="0.15392043623641624"/>
          <c:w val="0.85876290463692029"/>
          <c:h val="0.7022203808559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'8.22'!$AD$239</c:f>
              <c:strCache>
                <c:ptCount val="1"/>
                <c:pt idx="0">
                  <c:v>Republic </c:v>
                </c:pt>
              </c:strCache>
            </c:strRef>
          </c:tx>
          <c:invertIfNegative val="0"/>
          <c:cat>
            <c:strRef>
              <c:f>'8.22'!$AE$238:$AG$238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'8.22'!$AE$239:$AG$239</c:f>
              <c:numCache>
                <c:formatCode>0.0</c:formatCode>
                <c:ptCount val="3"/>
                <c:pt idx="0">
                  <c:v>49.767608151590991</c:v>
                </c:pt>
                <c:pt idx="1">
                  <c:v>68.931271865477939</c:v>
                </c:pt>
                <c:pt idx="2">
                  <c:v>80.244725738396625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0-4590-AD86-E8DC8BDA2F94}"/>
            </c:ext>
          </c:extLst>
        </c:ser>
        <c:ser>
          <c:idx val="1"/>
          <c:order val="1"/>
          <c:tx>
            <c:strRef>
              <c:f>'8.22'!$AD$240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'8.22'!$AE$238:$AG$238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'8.22'!$AE$240:$AG$240</c:f>
              <c:numCache>
                <c:formatCode>0.0</c:formatCode>
                <c:ptCount val="3"/>
                <c:pt idx="0">
                  <c:v>48.835357356161659</c:v>
                </c:pt>
                <c:pt idx="1">
                  <c:v>71.012369791666657</c:v>
                </c:pt>
                <c:pt idx="2">
                  <c:v>79.707916986933128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0-4590-AD86-E8DC8BDA2F94}"/>
            </c:ext>
          </c:extLst>
        </c:ser>
        <c:ser>
          <c:idx val="2"/>
          <c:order val="2"/>
          <c:tx>
            <c:strRef>
              <c:f>'8.22'!$AD$241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'8.22'!$AE$238:$AG$238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'8.22'!$AE$241:$AG$241</c:f>
              <c:numCache>
                <c:formatCode>0.0</c:formatCode>
                <c:ptCount val="3"/>
                <c:pt idx="0">
                  <c:v>51.157957244655584</c:v>
                </c:pt>
                <c:pt idx="1">
                  <c:v>64.225248435774745</c:v>
                </c:pt>
                <c:pt idx="2">
                  <c:v>80.508367937586513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E0-4590-AD86-E8DC8BDA2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359616"/>
        <c:axId val="83361152"/>
      </c:barChart>
      <c:catAx>
        <c:axId val="8335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1152"/>
        <c:crosses val="autoZero"/>
        <c:auto val="1"/>
        <c:lblAlgn val="ctr"/>
        <c:lblOffset val="100"/>
        <c:noMultiLvlLbl val="0"/>
      </c:catAx>
      <c:valAx>
        <c:axId val="8336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9616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10637042233181722"/>
          <c:y val="0.17217083271239209"/>
          <c:w val="0.32275756099722908"/>
          <c:h val="7.7420707908061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baseline="0"/>
              <a:t>Figure 8.32: Number of </a:t>
            </a:r>
            <a:r>
              <a:rPr lang="en-US" sz="1000"/>
              <a:t>Cases pending at courts at the end of 2018</a:t>
            </a:r>
          </a:p>
        </c:rich>
      </c:tx>
      <c:layout>
        <c:manualLayout>
          <c:xMode val="edge"/>
          <c:yMode val="edge"/>
          <c:x val="0.22248490047340638"/>
          <c:y val="2.77994539591937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022900776694279"/>
          <c:y val="0.14711593921088853"/>
          <c:w val="0.8169344159769123"/>
          <c:h val="0.702393542990124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'8.22'!$AD$245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'8.22'!$AE$244:$AG$244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'8.22'!$AE$245:$AG$245</c:f>
              <c:numCache>
                <c:formatCode>_(* #,##0_);_(* \(#,##0\);_(* "-"??_);_(@_)</c:formatCode>
                <c:ptCount val="3"/>
                <c:pt idx="0">
                  <c:v>4215</c:v>
                </c:pt>
                <c:pt idx="1">
                  <c:v>2753</c:v>
                </c:pt>
                <c:pt idx="2">
                  <c:v>2341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2-4DCF-B093-59851861D58A}"/>
            </c:ext>
          </c:extLst>
        </c:ser>
        <c:ser>
          <c:idx val="1"/>
          <c:order val="1"/>
          <c:tx>
            <c:strRef>
              <c:f>'8.22'!$AD$246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'8.22'!$AE$244:$AG$244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'8.22'!$AE$246:$AG$246</c:f>
              <c:numCache>
                <c:formatCode>_(* #,##0_);_(* \(#,##0\);_(* "-"??_);_(@_)</c:formatCode>
                <c:ptCount val="3"/>
                <c:pt idx="0">
                  <c:v>2570</c:v>
                </c:pt>
                <c:pt idx="1">
                  <c:v>1781</c:v>
                </c:pt>
                <c:pt idx="2">
                  <c:v>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22-4DCF-B093-59851861D58A}"/>
            </c:ext>
          </c:extLst>
        </c:ser>
        <c:ser>
          <c:idx val="2"/>
          <c:order val="2"/>
          <c:tx>
            <c:strRef>
              <c:f>'8.22'!$AD$247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'8.22'!$AE$244:$AG$244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'8.22'!$AE$247:$AG$247</c:f>
              <c:numCache>
                <c:formatCode>_(* #,##0_);_(* \(#,##0\);_(* "-"??_);_(@_)</c:formatCode>
                <c:ptCount val="3"/>
                <c:pt idx="0">
                  <c:v>1645</c:v>
                </c:pt>
                <c:pt idx="1">
                  <c:v>972</c:v>
                </c:pt>
                <c:pt idx="2">
                  <c:v>1549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22-4DCF-B093-59851861D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837376"/>
        <c:axId val="94843264"/>
      </c:barChart>
      <c:catAx>
        <c:axId val="9483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43264"/>
        <c:crosses val="autoZero"/>
        <c:auto val="1"/>
        <c:lblAlgn val="ctr"/>
        <c:lblOffset val="100"/>
        <c:noMultiLvlLbl val="0"/>
      </c:catAx>
      <c:valAx>
        <c:axId val="9484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37376"/>
        <c:crosses val="autoZero"/>
        <c:crossBetween val="between"/>
      </c:valAx>
      <c:spPr>
        <a:noFill/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4771520325581079"/>
          <c:y val="0.26038599095912729"/>
          <c:w val="0.3805902422321838"/>
          <c:h val="6.1384131746466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8.33:  Number of </a:t>
            </a:r>
            <a:r>
              <a:rPr lang="en-US" sz="1050" b="1" i="0" baseline="0">
                <a:latin typeface="+mn-lt"/>
              </a:rPr>
              <a:t>Cases  concluded and those in courts at the beginning and end of 2018</a:t>
            </a:r>
          </a:p>
        </c:rich>
      </c:tx>
      <c:layout>
        <c:manualLayout>
          <c:xMode val="edge"/>
          <c:yMode val="edge"/>
          <c:x val="0.16331228428360395"/>
          <c:y val="3.02179417634227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82357968423662"/>
          <c:y val="0.18719316416175671"/>
          <c:w val="0.82181368554428824"/>
          <c:h val="0.679899514170138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'8.22'!$AD$259</c:f>
              <c:strCache>
                <c:ptCount val="1"/>
                <c:pt idx="0">
                  <c:v>Starting balance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'8.22'!$AE$259:$AG$259</c:f>
              <c:numCache>
                <c:formatCode>_(* #,##0_);_(* \(#,##0\);_(* "-"??_);_(@_)</c:formatCode>
                <c:ptCount val="3"/>
                <c:pt idx="0">
                  <c:v>8946</c:v>
                </c:pt>
                <c:pt idx="1">
                  <c:v>4807</c:v>
                </c:pt>
                <c:pt idx="2">
                  <c:v>4139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D-450F-8AA6-3FDF7E721DB9}"/>
            </c:ext>
          </c:extLst>
        </c:ser>
        <c:ser>
          <c:idx val="1"/>
          <c:order val="1"/>
          <c:tx>
            <c:strRef>
              <c:f>'8.22'!$AD$260</c:f>
              <c:strCache>
                <c:ptCount val="1"/>
                <c:pt idx="0">
                  <c:v>new cases filed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'8.22'!$AE$260:$AG$260</c:f>
              <c:numCache>
                <c:formatCode>_(* #,##0_);_(* \(#,##0\);_(* "-"??_);_(@_)</c:formatCode>
                <c:ptCount val="3"/>
                <c:pt idx="0">
                  <c:v>20156</c:v>
                </c:pt>
                <c:pt idx="1">
                  <c:v>10263</c:v>
                </c:pt>
                <c:pt idx="2">
                  <c:v>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9D-450F-8AA6-3FDF7E721DB9}"/>
            </c:ext>
          </c:extLst>
        </c:ser>
        <c:ser>
          <c:idx val="2"/>
          <c:order val="2"/>
          <c:tx>
            <c:strRef>
              <c:f>'8.22'!$AD$261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'8.22'!$AE$261:$AG$261</c:f>
              <c:numCache>
                <c:formatCode>_(* #,##0_);_(* \(#,##0\);_(* "-"??_);_(@_)</c:formatCode>
                <c:ptCount val="3"/>
                <c:pt idx="0">
                  <c:v>19793</c:v>
                </c:pt>
                <c:pt idx="1">
                  <c:v>9927</c:v>
                </c:pt>
                <c:pt idx="2">
                  <c:v>9866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9D-450F-8AA6-3FDF7E721DB9}"/>
            </c:ext>
          </c:extLst>
        </c:ser>
        <c:ser>
          <c:idx val="3"/>
          <c:order val="3"/>
          <c:tx>
            <c:strRef>
              <c:f>'8.22'!$AD$262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</c:spPr>
          <c:invertIfNegative val="0"/>
          <c:cat>
            <c:strRef>
              <c:f>'8.22'!$AE$258:$AG$258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'8.22'!$AE$262:$AG$262</c:f>
              <c:numCache>
                <c:formatCode>_(* #,##0_);_(* \(#,##0\);_(* "-"??_);_(@_)</c:formatCode>
                <c:ptCount val="3"/>
                <c:pt idx="0">
                  <c:v>9309</c:v>
                </c:pt>
                <c:pt idx="1">
                  <c:v>5143</c:v>
                </c:pt>
                <c:pt idx="2">
                  <c:v>4166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9D-450F-8AA6-3FDF7E721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884608"/>
        <c:axId val="94886144"/>
      </c:barChart>
      <c:catAx>
        <c:axId val="9488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6144"/>
        <c:crosses val="autoZero"/>
        <c:auto val="1"/>
        <c:lblAlgn val="ctr"/>
        <c:lblOffset val="100"/>
        <c:noMultiLvlLbl val="0"/>
      </c:catAx>
      <c:valAx>
        <c:axId val="9488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8024617530170602E-3"/>
              <c:y val="0.341919140446390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460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38702696821353261"/>
          <c:y val="0.25612494837915273"/>
          <c:w val="0.51354572660515474"/>
          <c:h val="0.1291972811569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8.31: Number of </a:t>
            </a:r>
            <a:r>
              <a:rPr lang="en-US" sz="1050"/>
              <a:t>Cases concluded at courts during 2018</a:t>
            </a:r>
          </a:p>
        </c:rich>
      </c:tx>
      <c:layout>
        <c:manualLayout>
          <c:xMode val="edge"/>
          <c:yMode val="edge"/>
          <c:x val="0.18312897303345127"/>
          <c:y val="2.404352467432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26145386752174"/>
          <c:y val="0.13218027930968385"/>
          <c:w val="0.83001516812841469"/>
          <c:h val="0.728437646143567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'8.22'!$AD$253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'8.22'!$AE$252:$AG$252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'8.22'!$AE$253:$AG$253</c:f>
              <c:numCache>
                <c:formatCode>_(* #,##0_);_(* \(#,##0\);_(* "-"??_);_(@_)</c:formatCode>
                <c:ptCount val="3"/>
                <c:pt idx="0">
                  <c:v>4176</c:v>
                </c:pt>
                <c:pt idx="1">
                  <c:v>6108</c:v>
                </c:pt>
                <c:pt idx="2">
                  <c:v>9509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5-4811-B5D4-0AA90630272D}"/>
            </c:ext>
          </c:extLst>
        </c:ser>
        <c:ser>
          <c:idx val="1"/>
          <c:order val="1"/>
          <c:tx>
            <c:strRef>
              <c:f>'8.22'!$AD$254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'8.22'!$AE$252:$AG$252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'8.22'!$AE$254:$AG$254</c:f>
              <c:numCache>
                <c:formatCode>_(* #,##0_);_(* \(#,##0\);_(* "-"??_);_(@_)</c:formatCode>
                <c:ptCount val="3"/>
                <c:pt idx="0">
                  <c:v>2453</c:v>
                </c:pt>
                <c:pt idx="1">
                  <c:v>4363</c:v>
                </c:pt>
                <c:pt idx="2">
                  <c:v>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5-4811-B5D4-0AA90630272D}"/>
            </c:ext>
          </c:extLst>
        </c:ser>
        <c:ser>
          <c:idx val="2"/>
          <c:order val="2"/>
          <c:tx>
            <c:strRef>
              <c:f>'8.22'!$AD$255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'8.22'!$AE$252:$AG$252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'8.22'!$AE$255:$AG$255</c:f>
              <c:numCache>
                <c:formatCode>_(* #,##0_);_(* \(#,##0\);_(* "-"??_);_(@_)</c:formatCode>
                <c:ptCount val="3"/>
                <c:pt idx="0">
                  <c:v>1723</c:v>
                </c:pt>
                <c:pt idx="1">
                  <c:v>1745</c:v>
                </c:pt>
                <c:pt idx="2">
                  <c:v>6398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B5-4811-B5D4-0AA90630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66432"/>
        <c:axId val="96467968"/>
      </c:barChart>
      <c:catAx>
        <c:axId val="9646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67968"/>
        <c:crosses val="autoZero"/>
        <c:auto val="1"/>
        <c:lblAlgn val="ctr"/>
        <c:lblOffset val="100"/>
        <c:noMultiLvlLbl val="0"/>
      </c:catAx>
      <c:valAx>
        <c:axId val="9646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3584855740438269E-3"/>
              <c:y val="0.382250738120664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66432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18545926797757234"/>
          <c:y val="0.21330751130429892"/>
          <c:w val="0.42972224818252308"/>
          <c:h val="7.9916952532995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8.34: Number of </a:t>
            </a:r>
            <a:r>
              <a:rPr lang="en-US" sz="1050"/>
              <a:t>Cases</a:t>
            </a:r>
            <a:r>
              <a:rPr lang="en-US" sz="1050" baseline="0"/>
              <a:t> completed during 2018 and  pending at end year, by Atoll</a:t>
            </a:r>
            <a:endParaRPr lang="en-US" sz="1050"/>
          </a:p>
        </c:rich>
      </c:tx>
      <c:layout>
        <c:manualLayout>
          <c:xMode val="edge"/>
          <c:yMode val="edge"/>
          <c:x val="0.15903807566062594"/>
          <c:y val="2.753092199795619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00051372120441"/>
          <c:y val="0.17863895267348581"/>
          <c:w val="0.87533486747769673"/>
          <c:h val="0.66386619151283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'8.22'!$AE$268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'8.22'!$AD$269:$AD$288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'8.22'!$AE$269:$AE$288</c:f>
              <c:numCache>
                <c:formatCode>General_)</c:formatCode>
                <c:ptCount val="20"/>
                <c:pt idx="0">
                  <c:v>372</c:v>
                </c:pt>
                <c:pt idx="1">
                  <c:v>592</c:v>
                </c:pt>
                <c:pt idx="2">
                  <c:v>318</c:v>
                </c:pt>
                <c:pt idx="3">
                  <c:v>391</c:v>
                </c:pt>
                <c:pt idx="4">
                  <c:v>623</c:v>
                </c:pt>
                <c:pt idx="5">
                  <c:v>333</c:v>
                </c:pt>
                <c:pt idx="6">
                  <c:v>588</c:v>
                </c:pt>
                <c:pt idx="7">
                  <c:v>652</c:v>
                </c:pt>
                <c:pt idx="8">
                  <c:v>376</c:v>
                </c:pt>
                <c:pt idx="9">
                  <c:v>393</c:v>
                </c:pt>
                <c:pt idx="10">
                  <c:v>91</c:v>
                </c:pt>
                <c:pt idx="11">
                  <c:v>176</c:v>
                </c:pt>
                <c:pt idx="12">
                  <c:v>220</c:v>
                </c:pt>
                <c:pt idx="13">
                  <c:v>193</c:v>
                </c:pt>
                <c:pt idx="14">
                  <c:v>431</c:v>
                </c:pt>
                <c:pt idx="15">
                  <c:v>775</c:v>
                </c:pt>
                <c:pt idx="16">
                  <c:v>609</c:v>
                </c:pt>
                <c:pt idx="17">
                  <c:v>774</c:v>
                </c:pt>
                <c:pt idx="18">
                  <c:v>669</c:v>
                </c:pt>
                <c:pt idx="19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1-4B6B-8988-88C88FD3F6A5}"/>
            </c:ext>
          </c:extLst>
        </c:ser>
        <c:ser>
          <c:idx val="1"/>
          <c:order val="1"/>
          <c:tx>
            <c:strRef>
              <c:f>'8.22'!$AF$268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'8.22'!$AD$269:$AD$288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'8.22'!$AF$269:$AF$288</c:f>
              <c:numCache>
                <c:formatCode>General_)</c:formatCode>
                <c:ptCount val="20"/>
                <c:pt idx="0">
                  <c:v>209</c:v>
                </c:pt>
                <c:pt idx="1">
                  <c:v>272</c:v>
                </c:pt>
                <c:pt idx="2">
                  <c:v>126</c:v>
                </c:pt>
                <c:pt idx="3">
                  <c:v>288</c:v>
                </c:pt>
                <c:pt idx="4">
                  <c:v>145</c:v>
                </c:pt>
                <c:pt idx="5">
                  <c:v>124</c:v>
                </c:pt>
                <c:pt idx="6">
                  <c:v>206</c:v>
                </c:pt>
                <c:pt idx="7">
                  <c:v>118</c:v>
                </c:pt>
                <c:pt idx="8">
                  <c:v>131</c:v>
                </c:pt>
                <c:pt idx="9">
                  <c:v>156</c:v>
                </c:pt>
                <c:pt idx="10">
                  <c:v>7</c:v>
                </c:pt>
                <c:pt idx="11">
                  <c:v>50</c:v>
                </c:pt>
                <c:pt idx="12">
                  <c:v>40</c:v>
                </c:pt>
                <c:pt idx="13">
                  <c:v>54</c:v>
                </c:pt>
                <c:pt idx="14">
                  <c:v>164</c:v>
                </c:pt>
                <c:pt idx="15">
                  <c:v>299</c:v>
                </c:pt>
                <c:pt idx="16">
                  <c:v>479</c:v>
                </c:pt>
                <c:pt idx="17">
                  <c:v>473</c:v>
                </c:pt>
                <c:pt idx="18">
                  <c:v>254</c:v>
                </c:pt>
                <c:pt idx="19">
                  <c:v>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1-4B6B-8988-88C88FD3F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105358080"/>
        <c:axId val="105359616"/>
      </c:barChart>
      <c:catAx>
        <c:axId val="10535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9616"/>
        <c:crosses val="autoZero"/>
        <c:auto val="1"/>
        <c:lblAlgn val="ctr"/>
        <c:lblOffset val="100"/>
        <c:noMultiLvlLbl val="0"/>
      </c:catAx>
      <c:valAx>
        <c:axId val="105359616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6898081626949692E-3"/>
              <c:y val="5.8015226561708419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8080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2826506347045294"/>
          <c:y val="0.22278990517494673"/>
          <c:w val="0.46873933966669895"/>
          <c:h val="0.1257811816654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8.35: </a:t>
            </a:r>
            <a:r>
              <a:rPr lang="en-US" sz="1050"/>
              <a:t>C</a:t>
            </a:r>
            <a:r>
              <a:rPr lang="en-US" sz="1050" baseline="0"/>
              <a:t>ompletion rate of cases in majistrate courts by Atoll, 2018</a:t>
            </a:r>
            <a:endParaRPr lang="en-US" sz="1050"/>
          </a:p>
        </c:rich>
      </c:tx>
      <c:layout>
        <c:manualLayout>
          <c:xMode val="edge"/>
          <c:yMode val="edge"/>
          <c:x val="0.16395572180697568"/>
          <c:y val="4.62854972213459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469881172945333E-2"/>
          <c:y val="0.17184470328787221"/>
          <c:w val="0.91730211124311145"/>
          <c:h val="0.700373158154584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'8.22'!$AE$293:$AE$312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'8.22'!$AF$293:$AF$312</c:f>
              <c:numCache>
                <c:formatCode>0</c:formatCode>
                <c:ptCount val="20"/>
                <c:pt idx="0">
                  <c:v>64.027538726333916</c:v>
                </c:pt>
                <c:pt idx="1">
                  <c:v>68.518518518518519</c:v>
                </c:pt>
                <c:pt idx="2">
                  <c:v>71.621621621621628</c:v>
                </c:pt>
                <c:pt idx="3">
                  <c:v>57.584683357879229</c:v>
                </c:pt>
                <c:pt idx="4">
                  <c:v>81.119791666666657</c:v>
                </c:pt>
                <c:pt idx="5">
                  <c:v>72.866520787746168</c:v>
                </c:pt>
                <c:pt idx="6">
                  <c:v>74.05541561712846</c:v>
                </c:pt>
                <c:pt idx="7">
                  <c:v>84.675324675324674</c:v>
                </c:pt>
                <c:pt idx="8">
                  <c:v>74.161735700197241</c:v>
                </c:pt>
                <c:pt idx="9">
                  <c:v>71.58469945355192</c:v>
                </c:pt>
                <c:pt idx="10">
                  <c:v>92.857142857142861</c:v>
                </c:pt>
                <c:pt idx="11">
                  <c:v>77.876106194690266</c:v>
                </c:pt>
                <c:pt idx="12">
                  <c:v>84.615384615384613</c:v>
                </c:pt>
                <c:pt idx="13">
                  <c:v>78.137651821862349</c:v>
                </c:pt>
                <c:pt idx="14">
                  <c:v>72.436974789915965</c:v>
                </c:pt>
                <c:pt idx="15">
                  <c:v>72.160148975791444</c:v>
                </c:pt>
                <c:pt idx="16">
                  <c:v>55.974264705882348</c:v>
                </c:pt>
                <c:pt idx="17">
                  <c:v>62.068965517241381</c:v>
                </c:pt>
                <c:pt idx="18">
                  <c:v>72.481040086673886</c:v>
                </c:pt>
                <c:pt idx="19">
                  <c:v>69.31757119828049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E-402B-967B-85B18447A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376768"/>
        <c:axId val="129446656"/>
      </c:barChart>
      <c:catAx>
        <c:axId val="10537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6656"/>
        <c:crosses val="autoZero"/>
        <c:auto val="1"/>
        <c:lblAlgn val="ctr"/>
        <c:lblOffset val="100"/>
        <c:noMultiLvlLbl val="0"/>
      </c:catAx>
      <c:valAx>
        <c:axId val="12944665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percent</a:t>
                </a:r>
              </a:p>
            </c:rich>
          </c:tx>
          <c:layout>
            <c:manualLayout>
              <c:xMode val="edge"/>
              <c:yMode val="edge"/>
              <c:x val="1.2410912657594586E-2"/>
              <c:y val="7.751169234075755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676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+mj-lt"/>
              </a:defRPr>
            </a:pPr>
            <a:r>
              <a:rPr lang="en-US" sz="1000">
                <a:latin typeface="+mj-lt"/>
              </a:rPr>
              <a:t>Figure 8.36:  Number</a:t>
            </a:r>
            <a:r>
              <a:rPr lang="en-US" sz="1000" baseline="0">
                <a:latin typeface="+mj-lt"/>
              </a:rPr>
              <a:t> of </a:t>
            </a:r>
            <a:r>
              <a:rPr lang="en-US" sz="1000">
                <a:latin typeface="+mj-lt"/>
              </a:rPr>
              <a:t>New cases filed at majistrate courts in islands, 2018 </a:t>
            </a:r>
          </a:p>
        </c:rich>
      </c:tx>
      <c:layout>
        <c:manualLayout>
          <c:xMode val="edge"/>
          <c:yMode val="edge"/>
          <c:x val="0.16469654754694124"/>
          <c:y val="1.94064867354394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334347975922128"/>
          <c:y val="0.12385425780110819"/>
          <c:w val="0.85247655482802243"/>
          <c:h val="0.74567048825737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'8.23'!$AL$4</c:f>
              <c:strCache>
                <c:ptCount val="1"/>
                <c:pt idx="0">
                  <c:v>Criminal Cases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'8.23'!$A$15:$A$34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'8.23'!$AL$15:$AL$34</c:f>
              <c:numCache>
                <c:formatCode>#,##0</c:formatCode>
                <c:ptCount val="20"/>
                <c:pt idx="0">
                  <c:v>51</c:v>
                </c:pt>
                <c:pt idx="1">
                  <c:v>71</c:v>
                </c:pt>
                <c:pt idx="2">
                  <c:v>21</c:v>
                </c:pt>
                <c:pt idx="3">
                  <c:v>34</c:v>
                </c:pt>
                <c:pt idx="4">
                  <c:v>70</c:v>
                </c:pt>
                <c:pt idx="5">
                  <c:v>36</c:v>
                </c:pt>
                <c:pt idx="6">
                  <c:v>72</c:v>
                </c:pt>
                <c:pt idx="7">
                  <c:v>207</c:v>
                </c:pt>
                <c:pt idx="8">
                  <c:v>16</c:v>
                </c:pt>
                <c:pt idx="9">
                  <c:v>27</c:v>
                </c:pt>
                <c:pt idx="10">
                  <c:v>3</c:v>
                </c:pt>
                <c:pt idx="11">
                  <c:v>13</c:v>
                </c:pt>
                <c:pt idx="12">
                  <c:v>6</c:v>
                </c:pt>
                <c:pt idx="13">
                  <c:v>18</c:v>
                </c:pt>
                <c:pt idx="14">
                  <c:v>26</c:v>
                </c:pt>
                <c:pt idx="15">
                  <c:v>124</c:v>
                </c:pt>
                <c:pt idx="16">
                  <c:v>113</c:v>
                </c:pt>
                <c:pt idx="17">
                  <c:v>126</c:v>
                </c:pt>
                <c:pt idx="18">
                  <c:v>164</c:v>
                </c:pt>
                <c:pt idx="19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420B-A5AC-847FF7EE6115}"/>
            </c:ext>
          </c:extLst>
        </c:ser>
        <c:ser>
          <c:idx val="1"/>
          <c:order val="1"/>
          <c:tx>
            <c:strRef>
              <c:f>'8.23'!$AM$4</c:f>
              <c:strCache>
                <c:ptCount val="1"/>
                <c:pt idx="0">
                  <c:v>Civil Cases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'8.23'!$A$15:$A$34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'8.23'!$AM$15:$AM$34</c:f>
              <c:numCache>
                <c:formatCode>#,##0</c:formatCode>
                <c:ptCount val="20"/>
                <c:pt idx="0">
                  <c:v>62</c:v>
                </c:pt>
                <c:pt idx="1">
                  <c:v>95</c:v>
                </c:pt>
                <c:pt idx="2">
                  <c:v>52</c:v>
                </c:pt>
                <c:pt idx="3">
                  <c:v>59</c:v>
                </c:pt>
                <c:pt idx="4">
                  <c:v>142</c:v>
                </c:pt>
                <c:pt idx="5">
                  <c:v>47</c:v>
                </c:pt>
                <c:pt idx="6">
                  <c:v>70</c:v>
                </c:pt>
                <c:pt idx="7">
                  <c:v>112</c:v>
                </c:pt>
                <c:pt idx="8">
                  <c:v>87</c:v>
                </c:pt>
                <c:pt idx="9">
                  <c:v>81</c:v>
                </c:pt>
                <c:pt idx="10">
                  <c:v>17</c:v>
                </c:pt>
                <c:pt idx="11">
                  <c:v>30</c:v>
                </c:pt>
                <c:pt idx="12">
                  <c:v>53</c:v>
                </c:pt>
                <c:pt idx="13">
                  <c:v>45</c:v>
                </c:pt>
                <c:pt idx="14">
                  <c:v>80</c:v>
                </c:pt>
                <c:pt idx="15">
                  <c:v>116</c:v>
                </c:pt>
                <c:pt idx="16">
                  <c:v>189</c:v>
                </c:pt>
                <c:pt idx="17">
                  <c:v>147</c:v>
                </c:pt>
                <c:pt idx="18">
                  <c:v>82</c:v>
                </c:pt>
                <c:pt idx="19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0-420B-A5AC-847FF7EE6115}"/>
            </c:ext>
          </c:extLst>
        </c:ser>
        <c:ser>
          <c:idx val="2"/>
          <c:order val="2"/>
          <c:tx>
            <c:strRef>
              <c:f>'8.23'!$AN$4</c:f>
              <c:strCache>
                <c:ptCount val="1"/>
                <c:pt idx="0">
                  <c:v>Family Cases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'8.23'!$A$15:$A$34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'8.23'!$AN$15:$AN$34</c:f>
              <c:numCache>
                <c:formatCode>#,##0</c:formatCode>
                <c:ptCount val="20"/>
                <c:pt idx="0">
                  <c:v>253</c:v>
                </c:pt>
                <c:pt idx="1">
                  <c:v>497</c:v>
                </c:pt>
                <c:pt idx="2">
                  <c:v>254</c:v>
                </c:pt>
                <c:pt idx="3">
                  <c:v>319</c:v>
                </c:pt>
                <c:pt idx="4">
                  <c:v>415</c:v>
                </c:pt>
                <c:pt idx="5">
                  <c:v>275</c:v>
                </c:pt>
                <c:pt idx="6">
                  <c:v>320</c:v>
                </c:pt>
                <c:pt idx="7">
                  <c:v>358</c:v>
                </c:pt>
                <c:pt idx="8">
                  <c:v>239</c:v>
                </c:pt>
                <c:pt idx="9">
                  <c:v>306</c:v>
                </c:pt>
                <c:pt idx="10">
                  <c:v>56</c:v>
                </c:pt>
                <c:pt idx="11">
                  <c:v>136</c:v>
                </c:pt>
                <c:pt idx="12">
                  <c:v>143</c:v>
                </c:pt>
                <c:pt idx="13">
                  <c:v>126</c:v>
                </c:pt>
                <c:pt idx="14">
                  <c:v>264</c:v>
                </c:pt>
                <c:pt idx="15">
                  <c:v>482</c:v>
                </c:pt>
                <c:pt idx="16">
                  <c:v>430</c:v>
                </c:pt>
                <c:pt idx="17">
                  <c:v>483</c:v>
                </c:pt>
                <c:pt idx="18">
                  <c:v>385</c:v>
                </c:pt>
                <c:pt idx="19">
                  <c:v>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60-420B-A5AC-847FF7EE6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129485056"/>
        <c:axId val="129490944"/>
      </c:barChart>
      <c:catAx>
        <c:axId val="12948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29490944"/>
        <c:crosses val="autoZero"/>
        <c:auto val="1"/>
        <c:lblAlgn val="ctr"/>
        <c:lblOffset val="100"/>
        <c:noMultiLvlLbl val="0"/>
      </c:catAx>
      <c:valAx>
        <c:axId val="12949094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598429362739381E-2"/>
              <c:y val="0.3265941236512103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2948505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4628118467887009"/>
          <c:y val="0.18050009789838414"/>
          <c:w val="0.52101036358996089"/>
          <c:h val="8.799474605618945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>
                <a:latin typeface="+mn-lt"/>
              </a:rPr>
              <a:t>Figure</a:t>
            </a:r>
            <a:r>
              <a:rPr lang="en-US" sz="1100" baseline="0">
                <a:latin typeface="+mn-lt"/>
              </a:rPr>
              <a:t> 8.37: </a:t>
            </a:r>
            <a:r>
              <a:rPr lang="en-US" sz="1100">
                <a:latin typeface="+mn-lt"/>
              </a:rPr>
              <a:t>Number of Marriage</a:t>
            </a:r>
            <a:r>
              <a:rPr lang="en-US" sz="1100" baseline="0">
                <a:latin typeface="+mn-lt"/>
              </a:rPr>
              <a:t> and Divorce by locality, 2018</a:t>
            </a:r>
            <a:endParaRPr lang="en-US" sz="1100">
              <a:latin typeface="+mn-lt"/>
            </a:endParaRPr>
          </a:p>
        </c:rich>
      </c:tx>
      <c:layout>
        <c:manualLayout>
          <c:xMode val="edge"/>
          <c:yMode val="edge"/>
          <c:x val="0.18525723307037212"/>
          <c:y val="3.067264402168707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065235560638719"/>
          <c:y val="0.14850721784777027"/>
          <c:w val="0.85138745924915815"/>
          <c:h val="0.68142115447247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'8.23'!$BF$17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'8.23'!$BG$16:$BH$16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'8.23'!$BG$17:$BH$17</c:f>
              <c:numCache>
                <c:formatCode>General_)</c:formatCode>
                <c:ptCount val="2"/>
                <c:pt idx="0">
                  <c:v>5178</c:v>
                </c:pt>
                <c:pt idx="1">
                  <c:v>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4-4935-BC22-2CE3A370D583}"/>
            </c:ext>
          </c:extLst>
        </c:ser>
        <c:ser>
          <c:idx val="1"/>
          <c:order val="1"/>
          <c:tx>
            <c:strRef>
              <c:f>'8.23'!$BF$18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'8.23'!$BG$16:$BH$16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'8.23'!$BG$18:$BH$18</c:f>
              <c:numCache>
                <c:formatCode>General_)</c:formatCode>
                <c:ptCount val="2"/>
                <c:pt idx="0">
                  <c:v>2191</c:v>
                </c:pt>
                <c:pt idx="1">
                  <c:v>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44-4935-BC22-2CE3A370D583}"/>
            </c:ext>
          </c:extLst>
        </c:ser>
        <c:ser>
          <c:idx val="2"/>
          <c:order val="2"/>
          <c:tx>
            <c:strRef>
              <c:f>'8.23'!$BF$19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'8.23'!$BG$16:$BH$16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'8.23'!$BG$19:$BH$19</c:f>
              <c:numCache>
                <c:formatCode>General_)</c:formatCode>
                <c:ptCount val="2"/>
                <c:pt idx="0">
                  <c:v>2987</c:v>
                </c:pt>
                <c:pt idx="1">
                  <c:v>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44-4935-BC22-2CE3A370D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522688"/>
        <c:axId val="129536768"/>
      </c:barChart>
      <c:catAx>
        <c:axId val="129522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9536768"/>
        <c:crosses val="autoZero"/>
        <c:auto val="1"/>
        <c:lblAlgn val="ctr"/>
        <c:lblOffset val="100"/>
        <c:noMultiLvlLbl val="0"/>
      </c:catAx>
      <c:valAx>
        <c:axId val="12953676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6.3391442155309114E-3"/>
              <c:y val="0.34470107903178765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2952268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6374997005929347"/>
          <c:y val="0.21464421114027538"/>
          <c:w val="0.36261734035070908"/>
          <c:h val="7.522564887722368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8.39: Number of Divorces by locality, 2015 - 2018</a:t>
            </a:r>
          </a:p>
        </c:rich>
      </c:tx>
      <c:layout>
        <c:manualLayout>
          <c:xMode val="edge"/>
          <c:yMode val="edge"/>
          <c:x val="0.2490083229727863"/>
          <c:y val="1.90739991493158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'8.23'!$BE$30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multiLvlStrRef>
              <c:f>'8.23'!$BF$28:$BI$29</c:f>
              <c:multiLvlStrCache>
                <c:ptCount val="4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  <c:pt idx="3">
                    <c:v>2018 </c:v>
                  </c:pt>
                </c:lvl>
                <c:lvl>
                  <c:pt idx="0">
                    <c:v>Divorce</c:v>
                  </c:pt>
                </c:lvl>
              </c:multiLvlStrCache>
            </c:multiLvlStrRef>
          </c:cat>
          <c:val>
            <c:numRef>
              <c:f>'8.23'!$BF$30:$BI$30</c:f>
              <c:numCache>
                <c:formatCode>General_)</c:formatCode>
                <c:ptCount val="4"/>
                <c:pt idx="0">
                  <c:v>3358</c:v>
                </c:pt>
                <c:pt idx="1">
                  <c:v>3417</c:v>
                </c:pt>
                <c:pt idx="2">
                  <c:v>3211</c:v>
                </c:pt>
                <c:pt idx="3">
                  <c:v>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A-4C10-95B0-B314EDCBFB18}"/>
            </c:ext>
          </c:extLst>
        </c:ser>
        <c:ser>
          <c:idx val="1"/>
          <c:order val="1"/>
          <c:tx>
            <c:strRef>
              <c:f>'8.23'!$BE$31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multiLvlStrRef>
              <c:f>'8.23'!$BF$28:$BI$29</c:f>
              <c:multiLvlStrCache>
                <c:ptCount val="4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  <c:pt idx="3">
                    <c:v>2018 </c:v>
                  </c:pt>
                </c:lvl>
                <c:lvl>
                  <c:pt idx="0">
                    <c:v>Divorce</c:v>
                  </c:pt>
                </c:lvl>
              </c:multiLvlStrCache>
            </c:multiLvlStrRef>
          </c:cat>
          <c:val>
            <c:numRef>
              <c:f>'8.23'!$BF$31:$BI$31</c:f>
              <c:numCache>
                <c:formatCode>General_)</c:formatCode>
                <c:ptCount val="4"/>
                <c:pt idx="0">
                  <c:v>1288</c:v>
                </c:pt>
                <c:pt idx="1">
                  <c:v>1341</c:v>
                </c:pt>
                <c:pt idx="2">
                  <c:v>1248</c:v>
                </c:pt>
                <c:pt idx="3">
                  <c:v>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A-4C10-95B0-B314EDCBFB18}"/>
            </c:ext>
          </c:extLst>
        </c:ser>
        <c:ser>
          <c:idx val="2"/>
          <c:order val="2"/>
          <c:tx>
            <c:strRef>
              <c:f>'8.23'!$BE$32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multiLvlStrRef>
              <c:f>'8.23'!$BF$28:$BI$29</c:f>
              <c:multiLvlStrCache>
                <c:ptCount val="4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  <c:pt idx="3">
                    <c:v>2018 </c:v>
                  </c:pt>
                </c:lvl>
                <c:lvl>
                  <c:pt idx="0">
                    <c:v>Divorce</c:v>
                  </c:pt>
                </c:lvl>
              </c:multiLvlStrCache>
            </c:multiLvlStrRef>
          </c:cat>
          <c:val>
            <c:numRef>
              <c:f>'8.23'!$BF$32:$BI$32</c:f>
              <c:numCache>
                <c:formatCode>General_)</c:formatCode>
                <c:ptCount val="4"/>
                <c:pt idx="0">
                  <c:v>2070</c:v>
                </c:pt>
                <c:pt idx="1">
                  <c:v>2076</c:v>
                </c:pt>
                <c:pt idx="2">
                  <c:v>1963</c:v>
                </c:pt>
                <c:pt idx="3">
                  <c:v>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BA-4C10-95B0-B314EDCBF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146304"/>
        <c:axId val="130147840"/>
      </c:barChart>
      <c:catAx>
        <c:axId val="13014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30147840"/>
        <c:crosses val="autoZero"/>
        <c:auto val="1"/>
        <c:lblAlgn val="ctr"/>
        <c:lblOffset val="100"/>
        <c:noMultiLvlLbl val="0"/>
      </c:catAx>
      <c:valAx>
        <c:axId val="13014784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overlay val="0"/>
        </c:title>
        <c:numFmt formatCode="General_)" sourceLinked="1"/>
        <c:majorTickMark val="out"/>
        <c:minorTickMark val="none"/>
        <c:tickLblPos val="nextTo"/>
        <c:crossAx val="130146304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45979604689573395"/>
          <c:y val="0.19354834070398735"/>
          <c:w val="0.30963718640090382"/>
          <c:h val="9.89268807152530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8.40: Number of</a:t>
            </a:r>
            <a:r>
              <a:rPr lang="en-US" sz="1050" baseline="0"/>
              <a:t> Marriage and Divorce, Republic, 2015 - 2018</a:t>
            </a:r>
            <a:endParaRPr lang="en-US" sz="1050"/>
          </a:p>
        </c:rich>
      </c:tx>
      <c:layout>
        <c:manualLayout>
          <c:xMode val="edge"/>
          <c:yMode val="edge"/>
          <c:x val="0.16916000759714897"/>
          <c:y val="3.64368521731393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13198985720092"/>
          <c:y val="0.15364270187876075"/>
          <c:w val="0.84800925308065611"/>
          <c:h val="0.61728076798619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'8.23'!$BD$7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CC2-4DFB-BDC0-1AED5A00B56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CC2-4DFB-BDC0-1AED5A00B56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FCC2-4DFB-BDC0-1AED5A00B56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FCC2-4DFB-BDC0-1AED5A00B56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FCC2-4DFB-BDC0-1AED5A00B56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FCC2-4DFB-BDC0-1AED5A00B56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4-FCC2-4DFB-BDC0-1AED5A00B56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FCC2-4DFB-BDC0-1AED5A00B56C}"/>
              </c:ext>
            </c:extLst>
          </c:dPt>
          <c:cat>
            <c:multiLvlStrRef>
              <c:f>'8.23'!$BE$5:$BL$6</c:f>
              <c:multiLvlStrCache>
                <c:ptCount val="8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  <c:pt idx="3">
                    <c:v>2018 </c:v>
                  </c:pt>
                  <c:pt idx="4">
                    <c:v>2015 </c:v>
                  </c:pt>
                  <c:pt idx="5">
                    <c:v>2016 </c:v>
                  </c:pt>
                  <c:pt idx="6">
                    <c:v>2017 </c:v>
                  </c:pt>
                  <c:pt idx="7">
                    <c:v>2018 </c:v>
                  </c:pt>
                </c:lvl>
                <c:lvl>
                  <c:pt idx="0">
                    <c:v>Marriage       </c:v>
                  </c:pt>
                  <c:pt idx="4">
                    <c:v> Divorce              </c:v>
                  </c:pt>
                </c:lvl>
              </c:multiLvlStrCache>
            </c:multiLvlStrRef>
          </c:cat>
          <c:val>
            <c:numRef>
              <c:f>'8.23'!$BE$7:$BL$7</c:f>
              <c:numCache>
                <c:formatCode>#,##0</c:formatCode>
                <c:ptCount val="8"/>
                <c:pt idx="0">
                  <c:v>5763</c:v>
                </c:pt>
                <c:pt idx="1">
                  <c:v>5488</c:v>
                </c:pt>
                <c:pt idx="2">
                  <c:v>5048</c:v>
                </c:pt>
                <c:pt idx="3">
                  <c:v>5178</c:v>
                </c:pt>
                <c:pt idx="4">
                  <c:v>3358</c:v>
                </c:pt>
                <c:pt idx="5">
                  <c:v>3417</c:v>
                </c:pt>
                <c:pt idx="6">
                  <c:v>3211</c:v>
                </c:pt>
                <c:pt idx="7">
                  <c:v>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CC2-4DFB-BDC0-1AED5A00B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16"/>
        <c:axId val="130194432"/>
        <c:axId val="13020851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'8.23'!$BD$8</c15:sqref>
                        </c15:formulaRef>
                      </c:ext>
                    </c:extLst>
                    <c:strCache>
                      <c:ptCount val="1"/>
                      <c:pt idx="0">
                        <c:v> Male'</c:v>
                      </c:pt>
                    </c:strCache>
                  </c:strRef>
                </c:tx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'8.23'!$BE$5:$BL$6</c15:sqref>
                        </c15:formulaRef>
                      </c:ext>
                    </c:extLst>
                    <c:multiLvlStrCache>
                      <c:ptCount val="8"/>
                      <c:lvl>
                        <c:pt idx="0">
                          <c:v>2015 </c:v>
                        </c:pt>
                        <c:pt idx="1">
                          <c:v>2016 </c:v>
                        </c:pt>
                        <c:pt idx="2">
                          <c:v>2017 </c:v>
                        </c:pt>
                        <c:pt idx="3">
                          <c:v>2018 </c:v>
                        </c:pt>
                        <c:pt idx="4">
                          <c:v>2015 </c:v>
                        </c:pt>
                        <c:pt idx="5">
                          <c:v>2016 </c:v>
                        </c:pt>
                        <c:pt idx="6">
                          <c:v>2017 </c:v>
                        </c:pt>
                        <c:pt idx="7">
                          <c:v>2018 </c:v>
                        </c:pt>
                      </c:lvl>
                      <c:lvl>
                        <c:pt idx="0">
                          <c:v>Marriage       </c:v>
                        </c:pt>
                        <c:pt idx="4">
                          <c:v> Divorce              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'8.23'!$BE$8:$BL$8</c15:sqref>
                        </c15:formulaRef>
                      </c:ext>
                    </c:extLst>
                    <c:numCache>
                      <c:formatCode>#,##0</c:formatCode>
                      <c:ptCount val="8"/>
                      <c:pt idx="0">
                        <c:v>2417</c:v>
                      </c:pt>
                      <c:pt idx="1">
                        <c:v>2304</c:v>
                      </c:pt>
                      <c:pt idx="2">
                        <c:v>1979</c:v>
                      </c:pt>
                      <c:pt idx="3">
                        <c:v>2191</c:v>
                      </c:pt>
                      <c:pt idx="4">
                        <c:v>1288</c:v>
                      </c:pt>
                      <c:pt idx="5">
                        <c:v>1341</c:v>
                      </c:pt>
                      <c:pt idx="6">
                        <c:v>1248</c:v>
                      </c:pt>
                      <c:pt idx="7">
                        <c:v>1156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FCC2-4DFB-BDC0-1AED5A00B56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'8.23'!$BD$9</c15:sqref>
                        </c15:formulaRef>
                      </c:ext>
                    </c:extLst>
                    <c:strCache>
                      <c:ptCount val="1"/>
                      <c:pt idx="0">
                        <c:v> Atolls</c:v>
                      </c:pt>
                    </c:strCache>
                  </c:strRef>
                </c:tx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'8.23'!$BE$5:$BL$6</c15:sqref>
                        </c15:formulaRef>
                      </c:ext>
                    </c:extLst>
                    <c:multiLvlStrCache>
                      <c:ptCount val="8"/>
                      <c:lvl>
                        <c:pt idx="0">
                          <c:v>2015 </c:v>
                        </c:pt>
                        <c:pt idx="1">
                          <c:v>2016 </c:v>
                        </c:pt>
                        <c:pt idx="2">
                          <c:v>2017 </c:v>
                        </c:pt>
                        <c:pt idx="3">
                          <c:v>2018 </c:v>
                        </c:pt>
                        <c:pt idx="4">
                          <c:v>2015 </c:v>
                        </c:pt>
                        <c:pt idx="5">
                          <c:v>2016 </c:v>
                        </c:pt>
                        <c:pt idx="6">
                          <c:v>2017 </c:v>
                        </c:pt>
                        <c:pt idx="7">
                          <c:v>2018 </c:v>
                        </c:pt>
                      </c:lvl>
                      <c:lvl>
                        <c:pt idx="0">
                          <c:v>Marriage       </c:v>
                        </c:pt>
                        <c:pt idx="4">
                          <c:v> Divorce              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'8.23'!$BE$9:$BL$9</c15:sqref>
                        </c15:formulaRef>
                      </c:ext>
                    </c:extLst>
                    <c:numCache>
                      <c:formatCode>#,##0</c:formatCode>
                      <c:ptCount val="8"/>
                      <c:pt idx="0">
                        <c:v>3346</c:v>
                      </c:pt>
                      <c:pt idx="1">
                        <c:v>3184</c:v>
                      </c:pt>
                      <c:pt idx="2">
                        <c:v>3069</c:v>
                      </c:pt>
                      <c:pt idx="3">
                        <c:v>2987</c:v>
                      </c:pt>
                      <c:pt idx="4">
                        <c:v>2070</c:v>
                      </c:pt>
                      <c:pt idx="5">
                        <c:v>2076</c:v>
                      </c:pt>
                      <c:pt idx="6">
                        <c:v>1963</c:v>
                      </c:pt>
                      <c:pt idx="7">
                        <c:v>1953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CC2-4DFB-BDC0-1AED5A00B56C}"/>
                  </c:ext>
                </c:extLst>
              </c15:ser>
            </c15:filteredBarSeries>
          </c:ext>
        </c:extLst>
      </c:barChart>
      <c:catAx>
        <c:axId val="130194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30208512"/>
        <c:crosses val="autoZero"/>
        <c:auto val="1"/>
        <c:lblAlgn val="ctr"/>
        <c:lblOffset val="100"/>
        <c:noMultiLvlLbl val="0"/>
      </c:catAx>
      <c:valAx>
        <c:axId val="13020851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6680364870269565E-3"/>
              <c:y val="0.34772222963654964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3019443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>
                <a:latin typeface="+mj-lt"/>
              </a:rPr>
              <a:t>Figure 8.38: Number of Marriages by locality, 2015 - 2018</a:t>
            </a:r>
          </a:p>
        </c:rich>
      </c:tx>
      <c:layout>
        <c:manualLayout>
          <c:xMode val="edge"/>
          <c:yMode val="edge"/>
          <c:x val="0.17941256759306465"/>
          <c:y val="3.4831695813364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'8.23'!$BE$24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'8.23'!$BF$23:$BI$23</c:f>
              <c:numCache>
                <c:formatCode>General_)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'8.23'!$BF$24:$BI$24</c:f>
              <c:numCache>
                <c:formatCode>General_)</c:formatCode>
                <c:ptCount val="4"/>
                <c:pt idx="0">
                  <c:v>5763</c:v>
                </c:pt>
                <c:pt idx="1">
                  <c:v>5488</c:v>
                </c:pt>
                <c:pt idx="2">
                  <c:v>5048</c:v>
                </c:pt>
                <c:pt idx="3">
                  <c:v>5178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E-4583-87E9-F84BDADDEB8C}"/>
            </c:ext>
          </c:extLst>
        </c:ser>
        <c:ser>
          <c:idx val="1"/>
          <c:order val="1"/>
          <c:tx>
            <c:strRef>
              <c:f>'8.23'!$BE$25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'8.23'!$BF$23:$BI$23</c:f>
              <c:numCache>
                <c:formatCode>General_)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'8.23'!$BF$25:$BI$25</c:f>
              <c:numCache>
                <c:formatCode>General_)</c:formatCode>
                <c:ptCount val="4"/>
                <c:pt idx="0">
                  <c:v>2417</c:v>
                </c:pt>
                <c:pt idx="1">
                  <c:v>2304</c:v>
                </c:pt>
                <c:pt idx="2">
                  <c:v>1979</c:v>
                </c:pt>
                <c:pt idx="3">
                  <c:v>2191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E-4583-87E9-F84BDADDEB8C}"/>
            </c:ext>
          </c:extLst>
        </c:ser>
        <c:ser>
          <c:idx val="2"/>
          <c:order val="2"/>
          <c:tx>
            <c:strRef>
              <c:f>'8.23'!$BE$26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'8.23'!$BF$23:$BI$23</c:f>
              <c:numCache>
                <c:formatCode>General_)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'8.23'!$BF$26:$BI$26</c:f>
              <c:numCache>
                <c:formatCode>General_)</c:formatCode>
                <c:ptCount val="4"/>
                <c:pt idx="0">
                  <c:v>3346</c:v>
                </c:pt>
                <c:pt idx="1">
                  <c:v>3184</c:v>
                </c:pt>
                <c:pt idx="2">
                  <c:v>3069</c:v>
                </c:pt>
                <c:pt idx="3">
                  <c:v>2987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0E-4583-87E9-F84BDADDE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1680"/>
        <c:axId val="130233472"/>
      </c:barChart>
      <c:catAx>
        <c:axId val="13023168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0233472"/>
        <c:crosses val="autoZero"/>
        <c:auto val="1"/>
        <c:lblAlgn val="ctr"/>
        <c:lblOffset val="100"/>
        <c:noMultiLvlLbl val="0"/>
      </c:catAx>
      <c:valAx>
        <c:axId val="13023347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overlay val="0"/>
        </c:title>
        <c:numFmt formatCode="General_)" sourceLinked="1"/>
        <c:majorTickMark val="out"/>
        <c:minorTickMark val="none"/>
        <c:tickLblPos val="nextTo"/>
        <c:crossAx val="13023168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55097542594765092"/>
          <c:y val="0.1935483601549623"/>
          <c:w val="0.32699397108295203"/>
          <c:h val="9.89268807152530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273833676519827E-2"/>
          <c:y val="0.15927473730094693"/>
          <c:w val="0.90907148641430757"/>
          <c:h val="0.74278506853310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'[4]8.29'!$U$91</c:f>
              <c:strCache>
                <c:ptCount val="1"/>
                <c:pt idx="0">
                  <c:v>Number  of majistrates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'[4]8.29'!$T$92:$T$111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'[4]8.29'!$U$92:$U$111</c:f>
              <c:numCache>
                <c:formatCode>General</c:formatCode>
                <c:ptCount val="20"/>
                <c:pt idx="0">
                  <c:v>9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14</c:v>
                </c:pt>
                <c:pt idx="5">
                  <c:v>6</c:v>
                </c:pt>
                <c:pt idx="6">
                  <c:v>4</c:v>
                </c:pt>
                <c:pt idx="7">
                  <c:v>10</c:v>
                </c:pt>
                <c:pt idx="8">
                  <c:v>4</c:v>
                </c:pt>
                <c:pt idx="9">
                  <c:v>7</c:v>
                </c:pt>
                <c:pt idx="10">
                  <c:v>2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8</c:v>
                </c:pt>
                <c:pt idx="15">
                  <c:v>11</c:v>
                </c:pt>
                <c:pt idx="16">
                  <c:v>8</c:v>
                </c:pt>
                <c:pt idx="17">
                  <c:v>10</c:v>
                </c:pt>
                <c:pt idx="18">
                  <c:v>4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2-487F-8213-D46E1DAA1CA8}"/>
            </c:ext>
          </c:extLst>
        </c:ser>
        <c:ser>
          <c:idx val="1"/>
          <c:order val="1"/>
          <c:tx>
            <c:strRef>
              <c:f>'[4]8.29'!$V$91</c:f>
              <c:strCache>
                <c:ptCount val="1"/>
                <c:pt idx="0">
                  <c:v>Number of islands with majistrate courts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'[4]8.29'!$T$92:$T$111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'[4]8.29'!$V$92:$V$111</c:f>
              <c:numCache>
                <c:formatCode>General</c:formatCode>
                <c:ptCount val="2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13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5</c:v>
                </c:pt>
                <c:pt idx="11">
                  <c:v>8</c:v>
                </c:pt>
                <c:pt idx="12">
                  <c:v>5</c:v>
                </c:pt>
                <c:pt idx="13">
                  <c:v>6</c:v>
                </c:pt>
                <c:pt idx="14">
                  <c:v>13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12-487F-8213-D46E1DAA1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94295552"/>
        <c:axId val="94297088"/>
      </c:barChart>
      <c:catAx>
        <c:axId val="94295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4297088"/>
        <c:crosses val="autoZero"/>
        <c:auto val="1"/>
        <c:lblAlgn val="ctr"/>
        <c:lblOffset val="100"/>
        <c:noMultiLvlLbl val="0"/>
      </c:catAx>
      <c:valAx>
        <c:axId val="9429708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number</a:t>
                </a:r>
              </a:p>
            </c:rich>
          </c:tx>
          <c:layout>
            <c:manualLayout>
              <c:xMode val="edge"/>
              <c:yMode val="edge"/>
              <c:x val="3.9800995024875862E-3"/>
              <c:y val="0.346033829104695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429555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706822607151678"/>
          <c:y val="0.1879002624671916"/>
          <c:w val="0.57711824296289604"/>
          <c:h val="8.217701953922425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40441819772685"/>
          <c:y val="0.17559452609308054"/>
          <c:w val="0.42491691665409476"/>
          <c:h val="0.76796752464916362"/>
        </c:manualLayout>
      </c:layout>
      <c:doughnutChart>
        <c:varyColors val="1"/>
        <c:ser>
          <c:idx val="0"/>
          <c:order val="0"/>
          <c:spPr>
            <a:solidFill>
              <a:srgbClr val="F8A45E"/>
            </a:solidFill>
          </c:spPr>
          <c:explosion val="2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CEB-4F97-AA13-E8835E768B98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CEB-4F97-AA13-E8835E768B98}"/>
              </c:ext>
            </c:extLst>
          </c:dPt>
          <c:dLbls>
            <c:dLbl>
              <c:idx val="0"/>
              <c:layout>
                <c:manualLayout>
                  <c:x val="-4.432777887548086E-2"/>
                  <c:y val="8.26903078464846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5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EB-4F97-AA13-E8835E768B98}"/>
                </c:ext>
              </c:extLst>
            </c:dLbl>
            <c:dLbl>
              <c:idx val="1"/>
              <c:layout>
                <c:manualLayout>
                  <c:x val="7.2863840503185531E-3"/>
                  <c:y val="-1.973178406657617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EB-4F97-AA13-E8835E768B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'[4]8.29'!$S$129:$S$130</c:f>
              <c:strCache>
                <c:ptCount val="2"/>
                <c:pt idx="0">
                  <c:v>Atolls</c:v>
                </c:pt>
                <c:pt idx="1">
                  <c:v>Male'</c:v>
                </c:pt>
              </c:strCache>
            </c:strRef>
          </c:cat>
          <c:val>
            <c:numRef>
              <c:f>'[4]8.29'!$U$129:$U$130</c:f>
              <c:numCache>
                <c:formatCode>General</c:formatCode>
                <c:ptCount val="2"/>
                <c:pt idx="0">
                  <c:v>69.948186528497416</c:v>
                </c:pt>
                <c:pt idx="1">
                  <c:v>30.051813471502591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EB-4F97-AA13-E8835E768B9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273833676519827E-2"/>
          <c:y val="0.15927473730094693"/>
          <c:w val="0.90907148641430757"/>
          <c:h val="0.74278506853310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'8.29'!$U$91</c:f>
              <c:strCache>
                <c:ptCount val="1"/>
                <c:pt idx="0">
                  <c:v>Number  of majistrates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'8.29'!$T$92:$T$111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'8.29'!$U$92:$U$111</c:f>
              <c:numCache>
                <c:formatCode>General</c:formatCode>
                <c:ptCount val="20"/>
                <c:pt idx="0">
                  <c:v>9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14</c:v>
                </c:pt>
                <c:pt idx="5">
                  <c:v>6</c:v>
                </c:pt>
                <c:pt idx="6">
                  <c:v>4</c:v>
                </c:pt>
                <c:pt idx="7">
                  <c:v>10</c:v>
                </c:pt>
                <c:pt idx="8">
                  <c:v>5</c:v>
                </c:pt>
                <c:pt idx="9">
                  <c:v>7</c:v>
                </c:pt>
                <c:pt idx="10">
                  <c:v>2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8</c:v>
                </c:pt>
                <c:pt idx="15">
                  <c:v>12</c:v>
                </c:pt>
                <c:pt idx="16">
                  <c:v>8</c:v>
                </c:pt>
                <c:pt idx="17">
                  <c:v>10</c:v>
                </c:pt>
                <c:pt idx="18">
                  <c:v>4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1-478C-9F9D-1FAD90DA789F}"/>
            </c:ext>
          </c:extLst>
        </c:ser>
        <c:ser>
          <c:idx val="1"/>
          <c:order val="1"/>
          <c:tx>
            <c:strRef>
              <c:f>'8.29'!$V$91</c:f>
              <c:strCache>
                <c:ptCount val="1"/>
                <c:pt idx="0">
                  <c:v>Number of islands with majistrate courts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'8.29'!$T$92:$T$111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'8.29'!$V$92:$V$111</c:f>
              <c:numCache>
                <c:formatCode>General</c:formatCode>
                <c:ptCount val="2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13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5</c:v>
                </c:pt>
                <c:pt idx="11">
                  <c:v>8</c:v>
                </c:pt>
                <c:pt idx="12">
                  <c:v>5</c:v>
                </c:pt>
                <c:pt idx="13">
                  <c:v>6</c:v>
                </c:pt>
                <c:pt idx="14">
                  <c:v>13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31-478C-9F9D-1FAD90DA7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179989120"/>
        <c:axId val="179995008"/>
      </c:barChart>
      <c:catAx>
        <c:axId val="179989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79995008"/>
        <c:crosses val="autoZero"/>
        <c:auto val="1"/>
        <c:lblAlgn val="ctr"/>
        <c:lblOffset val="100"/>
        <c:noMultiLvlLbl val="0"/>
      </c:catAx>
      <c:valAx>
        <c:axId val="17999500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number</a:t>
                </a:r>
              </a:p>
            </c:rich>
          </c:tx>
          <c:layout>
            <c:manualLayout>
              <c:xMode val="edge"/>
              <c:yMode val="edge"/>
              <c:x val="3.9800995024875862E-3"/>
              <c:y val="0.346033829104695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799891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706822607151678"/>
          <c:y val="0.1879002624671916"/>
          <c:w val="0.57711824296289604"/>
          <c:h val="8.217701953922425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40441819772685"/>
          <c:y val="0.17559452609308054"/>
          <c:w val="0.42491691665409476"/>
          <c:h val="0.76796752464916362"/>
        </c:manualLayout>
      </c:layout>
      <c:doughnutChart>
        <c:varyColors val="1"/>
        <c:ser>
          <c:idx val="0"/>
          <c:order val="0"/>
          <c:spPr>
            <a:solidFill>
              <a:srgbClr val="F8A45E"/>
            </a:solidFill>
          </c:spPr>
          <c:explosion val="2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60F0-460C-800C-B0688E2D9123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60F0-460C-800C-B0688E2D9123}"/>
              </c:ext>
            </c:extLst>
          </c:dPt>
          <c:dLbls>
            <c:dLbl>
              <c:idx val="0"/>
              <c:layout>
                <c:manualLayout>
                  <c:x val="-6.6944498941730379E-2"/>
                  <c:y val="9.44703025490999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50"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F0-460C-800C-B0688E2D9123}"/>
                </c:ext>
              </c:extLst>
            </c:dLbl>
            <c:dLbl>
              <c:idx val="1"/>
              <c:layout>
                <c:manualLayout>
                  <c:x val="7.2863840503185531E-3"/>
                  <c:y val="-1.973178406657617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F0-460C-800C-B0688E2D91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'[5]8.29'!$S$129:$S$130</c:f>
              <c:strCache>
                <c:ptCount val="2"/>
                <c:pt idx="0">
                  <c:v>Atolls</c:v>
                </c:pt>
                <c:pt idx="1">
                  <c:v>Male'</c:v>
                </c:pt>
              </c:strCache>
            </c:strRef>
          </c:cat>
          <c:val>
            <c:numRef>
              <c:f>'[5]8.29'!$U$129:$U$130</c:f>
              <c:numCache>
                <c:formatCode>General</c:formatCode>
                <c:ptCount val="2"/>
                <c:pt idx="0">
                  <c:v>69.543147208121823</c:v>
                </c:pt>
                <c:pt idx="1">
                  <c:v>30.456852791878177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F0-460C-800C-B0688E2D912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Figure: 8.45: Percentage share of majistrates by sex, 2018</a:t>
            </a:r>
          </a:p>
        </c:rich>
      </c:tx>
      <c:layout>
        <c:manualLayout>
          <c:xMode val="edge"/>
          <c:yMode val="edge"/>
          <c:x val="0.15375707728102819"/>
          <c:y val="3.69053725267938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164012366980025"/>
          <c:y val="0.12205736782902137"/>
          <c:w val="0.39484258352348067"/>
          <c:h val="0.81168353955755534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dPt>
            <c:idx val="0"/>
            <c:bubble3D val="0"/>
            <c:explosion val="12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7298-444E-90EE-7CAC93D21604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7298-444E-90EE-7CAC93D21604}"/>
              </c:ext>
            </c:extLst>
          </c:dPt>
          <c:dLbls>
            <c:dLbl>
              <c:idx val="0"/>
              <c:layout>
                <c:manualLayout>
                  <c:x val="8.2591273126193243E-2"/>
                  <c:y val="9.82826068426554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98-444E-90EE-7CAC93D21604}"/>
                </c:ext>
              </c:extLst>
            </c:dLbl>
            <c:dLbl>
              <c:idx val="1"/>
              <c:layout>
                <c:manualLayout>
                  <c:x val="6.1492891077858165E-2"/>
                  <c:y val="-7.84750656167979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98-444E-90EE-7CAC93D2160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'[6]8.28'!$A$7:$A$8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'[6]8.28'!$H$7:$H$8</c:f>
              <c:numCache>
                <c:formatCode>General</c:formatCode>
                <c:ptCount val="2"/>
                <c:pt idx="0">
                  <c:v>173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98-444E-90EE-7CAC93D2160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57"/>
        <c:holeSize val="50"/>
      </c:doughnutChart>
    </c:plotArea>
    <c:plotVisOnly val="1"/>
    <c:dispBlanksAs val="zero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227599741933217E-2"/>
          <c:y val="0.18628626421697292"/>
          <c:w val="0.85897134733158342"/>
          <c:h val="0.7178191274243507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'8.30'!$Z$14:$AH$14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 formatCode="General_)">
                  <c:v>2014</c:v>
                </c:pt>
                <c:pt idx="5">
                  <c:v>2015</c:v>
                </c:pt>
                <c:pt idx="6">
                  <c:v>2016</c:v>
                </c:pt>
                <c:pt idx="7" formatCode="General_)">
                  <c:v>2017</c:v>
                </c:pt>
                <c:pt idx="8" formatCode="General_)">
                  <c:v>2018</c:v>
                </c:pt>
              </c:numCache>
            </c:numRef>
          </c:cat>
          <c:val>
            <c:numRef>
              <c:f>'8.30'!$Z$17:$AH$17</c:f>
              <c:numCache>
                <c:formatCode>_(* #,##0.0_);_(* \(#,##0.0\);_(* "-"??_);_(@_)</c:formatCode>
                <c:ptCount val="9"/>
                <c:pt idx="0">
                  <c:v>1.9801980198019802</c:v>
                </c:pt>
                <c:pt idx="1">
                  <c:v>2.5380710659898478</c:v>
                </c:pt>
                <c:pt idx="2">
                  <c:v>3.0487804878048781</c:v>
                </c:pt>
                <c:pt idx="3">
                  <c:v>4.8648648648648649</c:v>
                </c:pt>
                <c:pt idx="4">
                  <c:v>4.395604395604396</c:v>
                </c:pt>
                <c:pt idx="5">
                  <c:v>3.8251366120218582</c:v>
                </c:pt>
                <c:pt idx="6">
                  <c:v>2.8089887640449436</c:v>
                </c:pt>
                <c:pt idx="7">
                  <c:v>3.867403314917127</c:v>
                </c:pt>
                <c:pt idx="8">
                  <c:v>5.0761421319796955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4-4900-9493-D84BB6427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312256"/>
        <c:axId val="129313792"/>
      </c:barChart>
      <c:catAx>
        <c:axId val="12931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313792"/>
        <c:crosses val="autoZero"/>
        <c:auto val="1"/>
        <c:lblAlgn val="ctr"/>
        <c:lblOffset val="100"/>
        <c:noMultiLvlLbl val="0"/>
      </c:catAx>
      <c:valAx>
        <c:axId val="12931379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129312256"/>
        <c:crosses val="autoZero"/>
        <c:crossBetween val="between"/>
      </c:valAx>
      <c:spPr>
        <a:solidFill>
          <a:srgbClr val="FFFAEB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059182793538368"/>
          <c:y val="0.16645290671346885"/>
          <c:w val="0.77555831836809874"/>
          <c:h val="0.73659921977617082"/>
        </c:manualLayout>
      </c:layout>
      <c:pie3DChart>
        <c:varyColors val="1"/>
        <c:ser>
          <c:idx val="0"/>
          <c:order val="0"/>
          <c:explosion val="3"/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76A-464D-B54D-41BE1C2A6C45}"/>
              </c:ext>
            </c:extLst>
          </c:dPt>
          <c:dLbls>
            <c:dLbl>
              <c:idx val="0"/>
              <c:layout>
                <c:manualLayout>
                  <c:x val="-0.22627007748433359"/>
                  <c:y val="-0.1714193098366142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6A-464D-B54D-41BE1C2A6C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'8.31'!$X$4:$Y$4</c:f>
              <c:strCache>
                <c:ptCount val="2"/>
                <c:pt idx="0">
                  <c:v>Male </c:v>
                </c:pt>
                <c:pt idx="1">
                  <c:v>Female</c:v>
                </c:pt>
              </c:strCache>
            </c:strRef>
          </c:cat>
          <c:val>
            <c:numRef>
              <c:f>'8.31'!$X$7:$Y$7</c:f>
              <c:numCache>
                <c:formatCode>#,##0</c:formatCode>
                <c:ptCount val="2"/>
                <c:pt idx="0">
                  <c:v>1082</c:v>
                </c:pt>
                <c:pt idx="1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6A-464D-B54D-41BE1C2A6C45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45712109171358E-2"/>
          <c:y val="7.407407407407407E-2"/>
          <c:w val="0.93285922960238998"/>
          <c:h val="0.75658136482939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'8.31'!$X$4</c:f>
              <c:strCache>
                <c:ptCount val="1"/>
                <c:pt idx="0">
                  <c:v>Male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'8.31'!$A$8:$A$16</c:f>
              <c:strCache>
                <c:ptCount val="9"/>
                <c:pt idx="0">
                  <c:v>Certificate 3</c:v>
                </c:pt>
                <c:pt idx="1">
                  <c:v>Advanced Certificate</c:v>
                </c:pt>
                <c:pt idx="2">
                  <c:v>Gaanoonee vakeelukamuge sanadhu</c:v>
                </c:pt>
                <c:pt idx="3">
                  <c:v>Diploma</c:v>
                </c:pt>
                <c:pt idx="4">
                  <c:v>Advanced Diploma</c:v>
                </c:pt>
                <c:pt idx="5">
                  <c:v>Bachelors degree</c:v>
                </c:pt>
                <c:pt idx="6">
                  <c:v>Masters degree </c:v>
                </c:pt>
                <c:pt idx="7">
                  <c:v>Doctoral degree</c:v>
                </c:pt>
                <c:pt idx="8">
                  <c:v>Other</c:v>
                </c:pt>
              </c:strCache>
            </c:strRef>
          </c:cat>
          <c:val>
            <c:numRef>
              <c:f>'8.31'!$X$8:$X$16</c:f>
              <c:numCache>
                <c:formatCode>#,##0</c:formatCode>
                <c:ptCount val="9"/>
                <c:pt idx="0">
                  <c:v>180</c:v>
                </c:pt>
                <c:pt idx="1">
                  <c:v>142</c:v>
                </c:pt>
                <c:pt idx="2">
                  <c:v>14</c:v>
                </c:pt>
                <c:pt idx="3">
                  <c:v>50</c:v>
                </c:pt>
                <c:pt idx="4">
                  <c:v>62</c:v>
                </c:pt>
                <c:pt idx="5">
                  <c:v>586</c:v>
                </c:pt>
                <c:pt idx="6">
                  <c:v>18</c:v>
                </c:pt>
                <c:pt idx="7">
                  <c:v>2</c:v>
                </c:pt>
                <c:pt idx="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1-40D8-BDE1-4101A7775A92}"/>
            </c:ext>
          </c:extLst>
        </c:ser>
        <c:ser>
          <c:idx val="1"/>
          <c:order val="1"/>
          <c:tx>
            <c:strRef>
              <c:f>'8.31'!$Y$4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'8.31'!$A$8:$A$16</c:f>
              <c:strCache>
                <c:ptCount val="9"/>
                <c:pt idx="0">
                  <c:v>Certificate 3</c:v>
                </c:pt>
                <c:pt idx="1">
                  <c:v>Advanced Certificate</c:v>
                </c:pt>
                <c:pt idx="2">
                  <c:v>Gaanoonee vakeelukamuge sanadhu</c:v>
                </c:pt>
                <c:pt idx="3">
                  <c:v>Diploma</c:v>
                </c:pt>
                <c:pt idx="4">
                  <c:v>Advanced Diploma</c:v>
                </c:pt>
                <c:pt idx="5">
                  <c:v>Bachelors degree</c:v>
                </c:pt>
                <c:pt idx="6">
                  <c:v>Masters degree </c:v>
                </c:pt>
                <c:pt idx="7">
                  <c:v>Doctoral degree</c:v>
                </c:pt>
                <c:pt idx="8">
                  <c:v>Other</c:v>
                </c:pt>
              </c:strCache>
            </c:strRef>
          </c:cat>
          <c:val>
            <c:numRef>
              <c:f>'8.31'!$Y$8:$Y$16</c:f>
              <c:numCache>
                <c:formatCode>#,##0</c:formatCode>
                <c:ptCount val="9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36</c:v>
                </c:pt>
                <c:pt idx="4">
                  <c:v>74</c:v>
                </c:pt>
                <c:pt idx="5">
                  <c:v>538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1-40D8-BDE1-4101A7775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70816"/>
        <c:axId val="36555008"/>
      </c:barChart>
      <c:catAx>
        <c:axId val="3657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55008"/>
        <c:crosses val="autoZero"/>
        <c:auto val="1"/>
        <c:lblAlgn val="ctr"/>
        <c:lblOffset val="100"/>
        <c:noMultiLvlLbl val="0"/>
      </c:catAx>
      <c:valAx>
        <c:axId val="36555008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8.62: Number of cases filed in the Drug Court,  2016 - 2018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0360016330970496"/>
          <c:y val="2.45428890578715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594477960126547E-2"/>
          <c:y val="0.1268034188034188"/>
          <c:w val="0.91126715901414079"/>
          <c:h val="0.701745685932546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'[7]8.56'!$M$16</c:f>
              <c:strCache>
                <c:ptCount val="1"/>
                <c:pt idx="0">
                  <c:v>Above 18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EA-4362-A923-D0A93F39FBA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EA-4362-A923-D0A93F39FB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'[7]8.56'!$N$14:$S$15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</c:lvl>
              </c:multiLvlStrCache>
            </c:multiLvlStrRef>
          </c:cat>
          <c:val>
            <c:numRef>
              <c:f>'[7]8.56'!$N$16:$S$16</c:f>
              <c:numCache>
                <c:formatCode>General</c:formatCode>
                <c:ptCount val="6"/>
                <c:pt idx="0">
                  <c:v>1356</c:v>
                </c:pt>
                <c:pt idx="1">
                  <c:v>52</c:v>
                </c:pt>
                <c:pt idx="2">
                  <c:v>1475</c:v>
                </c:pt>
                <c:pt idx="3">
                  <c:v>61</c:v>
                </c:pt>
                <c:pt idx="4">
                  <c:v>53</c:v>
                </c:pt>
                <c:pt idx="5">
                  <c:v>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EA-4362-A923-D0A93F39FBAA}"/>
            </c:ext>
          </c:extLst>
        </c:ser>
        <c:ser>
          <c:idx val="1"/>
          <c:order val="1"/>
          <c:tx>
            <c:strRef>
              <c:f>'[7]8.56'!$M$17</c:f>
              <c:strCache>
                <c:ptCount val="1"/>
                <c:pt idx="0">
                  <c:v>Below 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'[7]8.56'!$N$14:$S$15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</c:lvl>
              </c:multiLvlStrCache>
            </c:multiLvlStrRef>
          </c:cat>
          <c:val>
            <c:numRef>
              <c:f>'[7]8.56'!$N$17:$S$17</c:f>
              <c:numCache>
                <c:formatCode>General</c:formatCode>
                <c:ptCount val="6"/>
                <c:pt idx="0">
                  <c:v>108</c:v>
                </c:pt>
                <c:pt idx="1">
                  <c:v>7</c:v>
                </c:pt>
                <c:pt idx="2">
                  <c:v>23</c:v>
                </c:pt>
                <c:pt idx="3">
                  <c:v>3</c:v>
                </c:pt>
                <c:pt idx="4">
                  <c:v>1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EA-4362-A923-D0A93F39F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275584"/>
        <c:axId val="108282624"/>
      </c:barChart>
      <c:catAx>
        <c:axId val="1082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82624"/>
        <c:crosses val="autoZero"/>
        <c:auto val="1"/>
        <c:lblAlgn val="ctr"/>
        <c:lblOffset val="100"/>
        <c:noMultiLvlLbl val="0"/>
      </c:catAx>
      <c:valAx>
        <c:axId val="108282624"/>
        <c:scaling>
          <c:orientation val="minMax"/>
          <c:max val="1600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75584"/>
        <c:crosses val="autoZero"/>
        <c:crossBetween val="between"/>
      </c:valAx>
      <c:spPr>
        <a:solidFill>
          <a:srgbClr val="FFFAEB"/>
        </a:solidFill>
        <a:ln>
          <a:solidFill>
            <a:schemeClr val="accent1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0226895575030437"/>
          <c:y val="0.23159290652147582"/>
          <c:w val="0.300687461937308"/>
          <c:h val="5.7692711487987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8.63: Number of cases filed in the Drug Court,  2016-2018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256691666483385E-2"/>
          <c:y val="0.17171296296296296"/>
          <c:w val="0.91373894802824029"/>
          <c:h val="0.7260954359871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'[7]8.57'!$B$5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'[7]8.57'!$A$7:$A$12</c:f>
              <c:strCache>
                <c:ptCount val="6"/>
                <c:pt idx="0">
                  <c:v>Below 18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46-55</c:v>
                </c:pt>
                <c:pt idx="5">
                  <c:v>Above 55</c:v>
                </c:pt>
              </c:strCache>
            </c:strRef>
          </c:cat>
          <c:val>
            <c:numRef>
              <c:f>'[7]8.57'!$B$7:$B$12</c:f>
              <c:numCache>
                <c:formatCode>General</c:formatCode>
                <c:ptCount val="6"/>
                <c:pt idx="0">
                  <c:v>51</c:v>
                </c:pt>
                <c:pt idx="1">
                  <c:v>682</c:v>
                </c:pt>
                <c:pt idx="2">
                  <c:v>550</c:v>
                </c:pt>
                <c:pt idx="3">
                  <c:v>193</c:v>
                </c:pt>
                <c:pt idx="4">
                  <c:v>42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C-45A2-B331-76E4D7DDE123}"/>
            </c:ext>
          </c:extLst>
        </c:ser>
        <c:ser>
          <c:idx val="1"/>
          <c:order val="1"/>
          <c:tx>
            <c:strRef>
              <c:f>'[7]8.57'!$C$5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'[7]8.57'!$A$7:$A$12</c:f>
              <c:strCache>
                <c:ptCount val="6"/>
                <c:pt idx="0">
                  <c:v>Below 18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46-55</c:v>
                </c:pt>
                <c:pt idx="5">
                  <c:v>Above 55</c:v>
                </c:pt>
              </c:strCache>
            </c:strRef>
          </c:cat>
          <c:val>
            <c:numRef>
              <c:f>'[7]8.57'!$C$7:$C$12</c:f>
              <c:numCache>
                <c:formatCode>General</c:formatCode>
                <c:ptCount val="6"/>
                <c:pt idx="0">
                  <c:v>34</c:v>
                </c:pt>
                <c:pt idx="1">
                  <c:v>708</c:v>
                </c:pt>
                <c:pt idx="2">
                  <c:v>554</c:v>
                </c:pt>
                <c:pt idx="3">
                  <c:v>204</c:v>
                </c:pt>
                <c:pt idx="4">
                  <c:v>58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8C-45A2-B331-76E4D7DDE123}"/>
            </c:ext>
          </c:extLst>
        </c:ser>
        <c:ser>
          <c:idx val="2"/>
          <c:order val="2"/>
          <c:tx>
            <c:strRef>
              <c:f>'[7]8.57'!$D$5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'[7]8.57'!$A$7:$A$12</c:f>
              <c:strCache>
                <c:ptCount val="6"/>
                <c:pt idx="0">
                  <c:v>Below 18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46-55</c:v>
                </c:pt>
                <c:pt idx="5">
                  <c:v>Above 55</c:v>
                </c:pt>
              </c:strCache>
            </c:strRef>
          </c:cat>
          <c:val>
            <c:numRef>
              <c:f>'[7]8.57'!$D$7:$D$12</c:f>
              <c:numCache>
                <c:formatCode>General</c:formatCode>
                <c:ptCount val="6"/>
                <c:pt idx="0">
                  <c:v>14</c:v>
                </c:pt>
                <c:pt idx="1">
                  <c:v>441</c:v>
                </c:pt>
                <c:pt idx="2">
                  <c:v>373</c:v>
                </c:pt>
                <c:pt idx="3">
                  <c:v>175</c:v>
                </c:pt>
                <c:pt idx="4">
                  <c:v>43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8C-45A2-B331-76E4D7DD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axId val="110698880"/>
        <c:axId val="110700416"/>
      </c:barChart>
      <c:catAx>
        <c:axId val="11069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00416"/>
        <c:crosses val="autoZero"/>
        <c:auto val="1"/>
        <c:lblAlgn val="ctr"/>
        <c:lblOffset val="100"/>
        <c:noMultiLvlLbl val="0"/>
      </c:catAx>
      <c:valAx>
        <c:axId val="11070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8880"/>
        <c:crosses val="autoZero"/>
        <c:crossBetween val="between"/>
      </c:valAx>
      <c:spPr>
        <a:solidFill>
          <a:srgbClr val="FFFAEB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8783018452943891"/>
          <c:y val="0.27835593467483227"/>
          <c:w val="0.21407914242059264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4" Type="http://schemas.openxmlformats.org/officeDocument/2006/relationships/chart" Target="../charts/chart42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1619249</xdr:colOff>
      <xdr:row>49</xdr:row>
      <xdr:rowOff>180975</xdr:rowOff>
    </xdr:from>
    <xdr:to>
      <xdr:col>13</xdr:col>
      <xdr:colOff>409575</xdr:colOff>
      <xdr:row>66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80A56-DA04-4890-88C1-0B1D00873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1662680</xdr:colOff>
      <xdr:row>31</xdr:row>
      <xdr:rowOff>149206</xdr:rowOff>
    </xdr:from>
    <xdr:to>
      <xdr:col>13</xdr:col>
      <xdr:colOff>399966</xdr:colOff>
      <xdr:row>48</xdr:row>
      <xdr:rowOff>116589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0.20636</cdr:x>
      <cdr:y>0.01775</cdr:y>
    </cdr:from>
    <cdr:to>
      <cdr:x>0.84639</cdr:x>
      <cdr:y>0.08299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7530" y="56336"/>
          <a:ext cx="4892763" cy="207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8.2: Percentage change in selected crimes, 2014 - 2018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31</xdr:row>
      <xdr:rowOff>85259</xdr:rowOff>
    </xdr:from>
    <xdr:to>
      <xdr:col>19</xdr:col>
      <xdr:colOff>76200</xdr:colOff>
      <xdr:row>47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414416</xdr:colOff>
      <xdr:row>48</xdr:row>
      <xdr:rowOff>129893</xdr:rowOff>
    </xdr:from>
    <xdr:to>
      <xdr:col>19</xdr:col>
      <xdr:colOff>95250</xdr:colOff>
      <xdr:row>63</xdr:row>
      <xdr:rowOff>190234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495300</xdr:colOff>
      <xdr:row>32</xdr:row>
      <xdr:rowOff>77931</xdr:rowOff>
    </xdr:from>
    <xdr:to>
      <xdr:col>17</xdr:col>
      <xdr:colOff>476250</xdr:colOff>
      <xdr:row>33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886075" y="7783656"/>
          <a:ext cx="5486400" cy="23639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8.3: Number of logged cases for Male' and Atolls by type, 2018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8</xdr:col>
      <xdr:colOff>371474</xdr:colOff>
      <xdr:row>49</xdr:row>
      <xdr:rowOff>82218</xdr:rowOff>
    </xdr:from>
    <xdr:to>
      <xdr:col>18</xdr:col>
      <xdr:colOff>342899</xdr:colOff>
      <xdr:row>50</xdr:row>
      <xdr:rowOff>133852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762249" y="11055018"/>
          <a:ext cx="6105525" cy="242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8.4: Percentage share of logged cases for Male' and Atolls, 2018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30</xdr:row>
      <xdr:rowOff>79699</xdr:rowOff>
    </xdr:from>
    <xdr:to>
      <xdr:col>14</xdr:col>
      <xdr:colOff>7683</xdr:colOff>
      <xdr:row>43</xdr:row>
      <xdr:rowOff>163209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179614</xdr:colOff>
      <xdr:row>44</xdr:row>
      <xdr:rowOff>157840</xdr:rowOff>
    </xdr:from>
    <xdr:to>
      <xdr:col>14</xdr:col>
      <xdr:colOff>23046</xdr:colOff>
      <xdr:row>59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609600</xdr:colOff>
      <xdr:row>45</xdr:row>
      <xdr:rowOff>97093</xdr:rowOff>
    </xdr:from>
    <xdr:to>
      <xdr:col>13</xdr:col>
      <xdr:colOff>203098</xdr:colOff>
      <xdr:row>47</xdr:row>
      <xdr:rowOff>20893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609600" y="8993443"/>
          <a:ext cx="5032273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tx1"/>
              </a:solidFill>
            </a:rPr>
            <a:t>Figure 8.6: </a:t>
          </a:r>
          <a:r>
            <a:rPr lang="en-US" sz="1100" b="1"/>
            <a:t>Percentage</a:t>
          </a:r>
          <a:r>
            <a:rPr lang="en-US" sz="1100" b="1" baseline="0"/>
            <a:t> change of logged cases over previous year (2018) by Atolls</a:t>
          </a:r>
          <a:endParaRPr lang="en-US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69757</xdr:colOff>
      <xdr:row>18</xdr:row>
      <xdr:rowOff>144780</xdr:rowOff>
    </xdr:from>
    <xdr:to>
      <xdr:col>22</xdr:col>
      <xdr:colOff>367262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0.29006</cdr:x>
      <cdr:y>0.01534</cdr:y>
    </cdr:from>
    <cdr:to>
      <cdr:x>0.76586</cdr:x>
      <cdr:y>0.09846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28128" y="46112"/>
          <a:ext cx="3982934" cy="2498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Consolas" pitchFamily="49" charset="0"/>
            </a:rPr>
            <a:t>Figure 8.7: Number of logged cases in Atolls by type, 2018</a:t>
          </a:r>
          <a:endParaRPr lang="en-US" sz="1200">
            <a:effectLst/>
            <a:latin typeface="Candara" pitchFamily="34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160018</xdr:colOff>
      <xdr:row>18</xdr:row>
      <xdr:rowOff>87631</xdr:rowOff>
    </xdr:from>
    <xdr:to>
      <xdr:col>12</xdr:col>
      <xdr:colOff>104776</xdr:colOff>
      <xdr:row>32</xdr:row>
      <xdr:rowOff>78105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0.21454</cdr:x>
      <cdr:y>0.03871</cdr:y>
    </cdr:from>
    <cdr:to>
      <cdr:x>0.83815</cdr:x>
      <cdr:y>0.14982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87783" y="102874"/>
          <a:ext cx="3743324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8.8: Number of logged cases by month, 2017 - 2018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85531</xdr:colOff>
      <xdr:row>33</xdr:row>
      <xdr:rowOff>241040</xdr:rowOff>
    </xdr:from>
    <xdr:to>
      <xdr:col>7</xdr:col>
      <xdr:colOff>76199</xdr:colOff>
      <xdr:row>44</xdr:row>
      <xdr:rowOff>125802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0.27117</cdr:x>
      <cdr:y>0.02614</cdr:y>
    </cdr:from>
    <cdr:to>
      <cdr:x>0.80933</cdr:x>
      <cdr:y>0.12559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20646" y="71010"/>
          <a:ext cx="3811796" cy="270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8.9: Trend showing logged cases from 1992 to 2018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14</xdr:row>
      <xdr:rowOff>76108</xdr:rowOff>
    </xdr:from>
    <xdr:to>
      <xdr:col>12</xdr:col>
      <xdr:colOff>1704974</xdr:colOff>
      <xdr:row>30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0.22388</cdr:x>
      <cdr:y>0.03333</cdr:y>
    </cdr:from>
    <cdr:to>
      <cdr:x>0.81212</cdr:x>
      <cdr:y>0.11952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65816" y="90738"/>
          <a:ext cx="3588710" cy="2346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8.10: Number of Theft cases  by type, 2017 - 2018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927653</xdr:colOff>
      <xdr:row>36</xdr:row>
      <xdr:rowOff>37810</xdr:rowOff>
    </xdr:from>
    <xdr:to>
      <xdr:col>12</xdr:col>
      <xdr:colOff>381001</xdr:colOff>
      <xdr:row>50</xdr:row>
      <xdr:rowOff>92163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962025</xdr:colOff>
      <xdr:row>22</xdr:row>
      <xdr:rowOff>166681</xdr:rowOff>
    </xdr:from>
    <xdr:to>
      <xdr:col>12</xdr:col>
      <xdr:colOff>379757</xdr:colOff>
      <xdr:row>35</xdr:row>
      <xdr:rowOff>91792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0.04957</cdr:x>
      <cdr:y>0.01301</cdr:y>
    </cdr:from>
    <cdr:to>
      <cdr:x>0.96322</cdr:x>
      <cdr:y>0.14361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3922" y="35405"/>
          <a:ext cx="4495799" cy="3554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8.12: Percentage share of drugs and alcohol related cases by type, </a:t>
          </a:r>
          <a:r>
            <a:rPr lang="en-US" sz="105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2018</a:t>
          </a:r>
          <a:endParaRPr lang="en-US" sz="1000" b="1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0.21351</cdr:x>
      <cdr:y>0.0135</cdr:y>
    </cdr:from>
    <cdr:to>
      <cdr:x>0.90471</cdr:x>
      <cdr:y>0.1352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3014" y="34608"/>
          <a:ext cx="3376586" cy="3119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8.11: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cases, 2016 - 2018 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462623</xdr:colOff>
      <xdr:row>12</xdr:row>
      <xdr:rowOff>69788</xdr:rowOff>
    </xdr:from>
    <xdr:to>
      <xdr:col>12</xdr:col>
      <xdr:colOff>584543</xdr:colOff>
      <xdr:row>26</xdr:row>
      <xdr:rowOff>134083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469557</xdr:colOff>
      <xdr:row>27</xdr:row>
      <xdr:rowOff>162363</xdr:rowOff>
    </xdr:from>
    <xdr:to>
      <xdr:col>12</xdr:col>
      <xdr:colOff>619125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1438275</xdr:colOff>
      <xdr:row>28</xdr:row>
      <xdr:rowOff>117146</xdr:rowOff>
    </xdr:from>
    <xdr:to>
      <xdr:col>12</xdr:col>
      <xdr:colOff>19050</xdr:colOff>
      <xdr:row>30</xdr:row>
      <xdr:rowOff>28273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438275" y="6479846"/>
          <a:ext cx="4314825" cy="292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8.14: Percentage of assault cases logged  by type, 2018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effectLst/>
            <a:latin typeface="Candara" panose="020E0502030303020204" pitchFamily="34" charset="0"/>
            <a:cs typeface="Consolas" pitchFamily="49" charset="0"/>
          </a:endParaRPr>
        </a:p>
        <a:p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477714</xdr:colOff>
      <xdr:row>43</xdr:row>
      <xdr:rowOff>156795</xdr:rowOff>
    </xdr:from>
    <xdr:to>
      <xdr:col>12</xdr:col>
      <xdr:colOff>628649</xdr:colOff>
      <xdr:row>59</xdr:row>
      <xdr:rowOff>57150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474747</xdr:colOff>
      <xdr:row>45</xdr:row>
      <xdr:rowOff>24063</xdr:rowOff>
    </xdr:from>
    <xdr:to>
      <xdr:col>0</xdr:col>
      <xdr:colOff>1285875</xdr:colOff>
      <xdr:row>46</xdr:row>
      <xdr:rowOff>64169</xdr:rowOff>
    </xdr:to>
    <xdr:sp macro="" textlink="">
      <xdr:nvSpPr>
        <xdr:cNvPr id="10" name="TextBox 9"/>
        <xdr:cNvSpPr txBox="1"/>
      </xdr:nvSpPr>
      <xdr:spPr>
        <a:xfrm>
          <a:off x="474747" y="9625263"/>
          <a:ext cx="811128" cy="230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 b="1"/>
            <a:t>Percentage</a:t>
          </a:r>
        </a:p>
      </xdr:txBody>
    </xdr:sp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0.2333</cdr:x>
      <cdr:y>0.04534</cdr:y>
    </cdr:from>
    <cdr:to>
      <cdr:x>0.83024</cdr:x>
      <cdr:y>0.13345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66177" y="125132"/>
          <a:ext cx="3495676" cy="243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Figure: 8.13: Assault by group of persons, 2016 - 2018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942781</xdr:colOff>
      <xdr:row>16</xdr:row>
      <xdr:rowOff>78921</xdr:rowOff>
    </xdr:from>
    <xdr:to>
      <xdr:col>11</xdr:col>
      <xdr:colOff>1224643</xdr:colOff>
      <xdr:row>33</xdr:row>
      <xdr:rowOff>95639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1628775</xdr:colOff>
      <xdr:row>16</xdr:row>
      <xdr:rowOff>172227</xdr:rowOff>
    </xdr:from>
    <xdr:to>
      <xdr:col>11</xdr:col>
      <xdr:colOff>533400</xdr:colOff>
      <xdr:row>18</xdr:row>
      <xdr:rowOff>117798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1628775" y="4191777"/>
          <a:ext cx="4286250" cy="326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j-lt"/>
              <a:cs typeface="Consolas" pitchFamily="49" charset="0"/>
            </a:rPr>
            <a:t>Figure 8.16: Percentage</a:t>
          </a:r>
          <a:r>
            <a:rPr lang="en-US" sz="1200" b="1" baseline="0">
              <a:solidFill>
                <a:schemeClr val="tx1">
                  <a:lumMod val="75000"/>
                  <a:lumOff val="25000"/>
                </a:schemeClr>
              </a:solidFill>
              <a:latin typeface="+mj-lt"/>
              <a:cs typeface="Consolas" pitchFamily="49" charset="0"/>
            </a:rPr>
            <a:t> share of death cases logged, 2018</a:t>
          </a:r>
          <a:endParaRPr lang="en-US" sz="1200" b="1">
            <a:solidFill>
              <a:schemeClr val="tx1">
                <a:lumMod val="75000"/>
                <a:lumOff val="25000"/>
              </a:schemeClr>
            </a:solidFill>
            <a:latin typeface="+mj-lt"/>
            <a:cs typeface="Consolas" pitchFamily="49" charset="0"/>
          </a:endParaRPr>
        </a:p>
      </xdr:txBody>
    </xdr:sp>
    <xdr:clientData/>
  </xdr:twoCellAnchor>
  <xdr:twoCellAnchor>
    <xdr:from>
      <xdr:col>0</xdr:col>
      <xdr:colOff>981807</xdr:colOff>
      <xdr:row>34</xdr:row>
      <xdr:rowOff>20514</xdr:rowOff>
    </xdr:from>
    <xdr:to>
      <xdr:col>11</xdr:col>
      <xdr:colOff>1238250</xdr:colOff>
      <xdr:row>49</xdr:row>
      <xdr:rowOff>175845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18</xdr:row>
      <xdr:rowOff>151244</xdr:rowOff>
    </xdr:from>
    <xdr:to>
      <xdr:col>14</xdr:col>
      <xdr:colOff>876300</xdr:colOff>
      <xdr:row>34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129540</xdr:colOff>
      <xdr:row>19</xdr:row>
      <xdr:rowOff>114300</xdr:rowOff>
    </xdr:from>
    <xdr:to>
      <xdr:col>10</xdr:col>
      <xdr:colOff>0</xdr:colOff>
      <xdr:row>20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085850" y="4857750"/>
          <a:ext cx="281940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9</xdr:col>
      <xdr:colOff>66676</xdr:colOff>
      <xdr:row>19</xdr:row>
      <xdr:rowOff>47625</xdr:rowOff>
    </xdr:from>
    <xdr:to>
      <xdr:col>14</xdr:col>
      <xdr:colOff>209550</xdr:colOff>
      <xdr:row>20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1152526" y="5000625"/>
          <a:ext cx="429577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Consolas" pitchFamily="49" charset="0"/>
            </a:rPr>
            <a:t>Figure 8.18: Number of  logged cases and those completed by type, 2018</a:t>
          </a:r>
          <a:endParaRPr lang="en-US">
            <a:effectLst/>
            <a:latin typeface="+mj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1992280</xdr:colOff>
      <xdr:row>35</xdr:row>
      <xdr:rowOff>56263</xdr:rowOff>
    </xdr:from>
    <xdr:to>
      <xdr:col>11</xdr:col>
      <xdr:colOff>914399</xdr:colOff>
      <xdr:row>56</xdr:row>
      <xdr:rowOff>32844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167385</xdr:colOff>
      <xdr:row>22</xdr:row>
      <xdr:rowOff>217450</xdr:rowOff>
    </xdr:from>
    <xdr:to>
      <xdr:col>11</xdr:col>
      <xdr:colOff>1836965</xdr:colOff>
      <xdr:row>34</xdr:row>
      <xdr:rowOff>31781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902834</xdr:colOff>
      <xdr:row>23</xdr:row>
      <xdr:rowOff>70815</xdr:rowOff>
    </xdr:from>
    <xdr:to>
      <xdr:col>11</xdr:col>
      <xdr:colOff>688862</xdr:colOff>
      <xdr:row>24</xdr:row>
      <xdr:rowOff>89867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1923370" y="5624230"/>
          <a:ext cx="3587523" cy="265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lt"/>
              <a:ea typeface="+mn-ea"/>
              <a:cs typeface="Consolas" pitchFamily="49" charset="0"/>
            </a:rPr>
            <a:t>Figure 8.20: Detainees arrested by number of times, 2018</a:t>
          </a:r>
          <a:endParaRPr lang="en-US">
            <a:solidFill>
              <a:schemeClr val="tx1">
                <a:lumMod val="75000"/>
                <a:lumOff val="25000"/>
              </a:schemeClr>
            </a:solidFill>
            <a:effectLst/>
            <a:latin typeface="+mj-lt"/>
            <a:cs typeface="Consolas" pitchFamily="49" charset="0"/>
          </a:endParaRPr>
        </a:p>
        <a:p>
          <a:endParaRPr lang="en-US" sz="1100">
            <a:solidFill>
              <a:schemeClr val="tx1">
                <a:lumMod val="75000"/>
                <a:lumOff val="25000"/>
              </a:schemeClr>
            </a:solidFill>
            <a:latin typeface="+mj-lt"/>
            <a:cs typeface="Consolas" pitchFamily="49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40674</xdr:colOff>
      <xdr:row>36</xdr:row>
      <xdr:rowOff>65305</xdr:rowOff>
    </xdr:from>
    <xdr:to>
      <xdr:col>9</xdr:col>
      <xdr:colOff>719666</xdr:colOff>
      <xdr:row>52</xdr:row>
      <xdr:rowOff>84666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39D55E9-0083-4B00-A1A6-4B1C67428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293611</xdr:colOff>
      <xdr:row>36</xdr:row>
      <xdr:rowOff>45509</xdr:rowOff>
    </xdr:from>
    <xdr:to>
      <xdr:col>2</xdr:col>
      <xdr:colOff>709084</xdr:colOff>
      <xdr:row>52</xdr:row>
      <xdr:rowOff>63500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FE4A694D-FEAE-4ECE-BA04-A0380A230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878418</xdr:colOff>
      <xdr:row>36</xdr:row>
      <xdr:rowOff>95250</xdr:rowOff>
    </xdr:from>
    <xdr:to>
      <xdr:col>15</xdr:col>
      <xdr:colOff>2137833</xdr:colOff>
      <xdr:row>52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7D2144-791B-4812-8AB7-F996FA29F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819742</xdr:colOff>
      <xdr:row>36</xdr:row>
      <xdr:rowOff>120121</xdr:rowOff>
    </xdr:from>
    <xdr:to>
      <xdr:col>2</xdr:col>
      <xdr:colOff>423801</xdr:colOff>
      <xdr:row>38</xdr:row>
      <xdr:rowOff>10584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72BFDA-DC1C-44A6-AAED-0DB02AB81BCC}"/>
            </a:ext>
          </a:extLst>
        </xdr:cNvPr>
        <xdr:cNvSpPr txBox="1"/>
      </xdr:nvSpPr>
      <xdr:spPr>
        <a:xfrm>
          <a:off x="819742" y="9140296"/>
          <a:ext cx="4080809" cy="366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8.21: Percentage share of detainees by sex, 2018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656167</xdr:colOff>
      <xdr:row>36</xdr:row>
      <xdr:rowOff>158316</xdr:rowOff>
    </xdr:from>
    <xdr:to>
      <xdr:col>9</xdr:col>
      <xdr:colOff>229255</xdr:colOff>
      <xdr:row>37</xdr:row>
      <xdr:rowOff>169333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70EC8D-42CF-4ACA-A3E5-CF5BAE561683}"/>
            </a:ext>
          </a:extLst>
        </xdr:cNvPr>
        <xdr:cNvSpPr txBox="1"/>
      </xdr:nvSpPr>
      <xdr:spPr>
        <a:xfrm>
          <a:off x="5952067" y="9178491"/>
          <a:ext cx="4173663" cy="249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8.22: Percentage share of detainees by age, 2018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0.13269</cdr:x>
      <cdr:y>0.03482</cdr:y>
    </cdr:from>
    <cdr:to>
      <cdr:x>0.88523</cdr:x>
      <cdr:y>0.12114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59721" y="110565"/>
          <a:ext cx="4308729" cy="2740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8.23: Number of Detainees by age and sex, 2018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2828925</xdr:colOff>
      <xdr:row>33</xdr:row>
      <xdr:rowOff>51080</xdr:rowOff>
    </xdr:from>
    <xdr:to>
      <xdr:col>27</xdr:col>
      <xdr:colOff>333375</xdr:colOff>
      <xdr:row>50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2B56F-7BC8-43B4-9457-7FAA081E4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0.00653</cdr:x>
      <cdr:y>0.01985</cdr:y>
    </cdr:from>
    <cdr:to>
      <cdr:x>0.97477</cdr:x>
      <cdr:y>0.11623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" y="66106"/>
          <a:ext cx="5653384" cy="3209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8.24: Percentage share of detainees by locals and foreigners, 2018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419099</xdr:colOff>
      <xdr:row>35</xdr:row>
      <xdr:rowOff>95250</xdr:rowOff>
    </xdr:from>
    <xdr:to>
      <xdr:col>26</xdr:col>
      <xdr:colOff>523875</xdr:colOff>
      <xdr:row>52</xdr:row>
      <xdr:rowOff>19983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4C8F60E-1C27-4C3B-9A1E-532A731FB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190499</xdr:colOff>
      <xdr:row>36</xdr:row>
      <xdr:rowOff>9525</xdr:rowOff>
    </xdr:from>
    <xdr:to>
      <xdr:col>26</xdr:col>
      <xdr:colOff>66674</xdr:colOff>
      <xdr:row>37</xdr:row>
      <xdr:rowOff>95250</xdr:rowOff>
    </xdr:to>
    <xdr:sp macro="" textlink="">
      <xdr:nvSpPr>
        <xdr:cNvPr id="4" name="TextBox 3"/>
        <xdr:cNvSpPr txBox="1"/>
      </xdr:nvSpPr>
      <xdr:spPr>
        <a:xfrm>
          <a:off x="4752974" y="9010650"/>
          <a:ext cx="404812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8.25: Percentage share of detainees by sex, 2017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26</xdr:row>
      <xdr:rowOff>152400</xdr:rowOff>
    </xdr:from>
    <xdr:to>
      <xdr:col>18</xdr:col>
      <xdr:colOff>1447800</xdr:colOff>
      <xdr:row>41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104774</xdr:colOff>
      <xdr:row>27</xdr:row>
      <xdr:rowOff>0</xdr:rowOff>
    </xdr:from>
    <xdr:to>
      <xdr:col>17</xdr:col>
      <xdr:colOff>323850</xdr:colOff>
      <xdr:row>28</xdr:row>
      <xdr:rowOff>76199</xdr:rowOff>
    </xdr:to>
    <xdr:sp macro="" textlink="">
      <xdr:nvSpPr>
        <xdr:cNvPr id="3" name="TextBox 2"/>
        <xdr:cNvSpPr txBox="1"/>
      </xdr:nvSpPr>
      <xdr:spPr>
        <a:xfrm>
          <a:off x="2247899" y="5572125"/>
          <a:ext cx="4371976" cy="266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Consolas" pitchFamily="49" charset="0"/>
            </a:rPr>
            <a:t>Figure 8.28: Number of cases dealt by judicial court in Male', 2016 - 2018</a:t>
          </a:r>
          <a:endParaRPr lang="en-US">
            <a:effectLst/>
            <a:latin typeface="+mj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409683</xdr:colOff>
      <xdr:row>42</xdr:row>
      <xdr:rowOff>117870</xdr:rowOff>
    </xdr:from>
    <xdr:to>
      <xdr:col>18</xdr:col>
      <xdr:colOff>1427668</xdr:colOff>
      <xdr:row>57</xdr:row>
      <xdr:rowOff>175020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288131</xdr:colOff>
      <xdr:row>43</xdr:row>
      <xdr:rowOff>20240</xdr:rowOff>
    </xdr:from>
    <xdr:to>
      <xdr:col>17</xdr:col>
      <xdr:colOff>381000</xdr:colOff>
      <xdr:row>44</xdr:row>
      <xdr:rowOff>79771</xdr:rowOff>
    </xdr:to>
    <xdr:sp macro="" textlink="">
      <xdr:nvSpPr>
        <xdr:cNvPr id="6" name="TextBox 5"/>
        <xdr:cNvSpPr txBox="1"/>
      </xdr:nvSpPr>
      <xdr:spPr>
        <a:xfrm>
          <a:off x="1821656" y="8640365"/>
          <a:ext cx="485536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Figure 8.29</a:t>
          </a: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: Percentage of cases dealt by judicial courts in Male' and islands, 2018</a:t>
          </a:r>
          <a:endParaRPr lang="en-US">
            <a:effectLst/>
            <a:latin typeface="+mj-lt"/>
          </a:endParaRPr>
        </a:p>
        <a:p>
          <a:endParaRPr lang="en-US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213714</xdr:colOff>
      <xdr:row>222</xdr:row>
      <xdr:rowOff>116632</xdr:rowOff>
    </xdr:from>
    <xdr:to>
      <xdr:col>6</xdr:col>
      <xdr:colOff>405086</xdr:colOff>
      <xdr:row>236</xdr:row>
      <xdr:rowOff>19655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655015</xdr:colOff>
      <xdr:row>222</xdr:row>
      <xdr:rowOff>147727</xdr:rowOff>
    </xdr:from>
    <xdr:to>
      <xdr:col>24</xdr:col>
      <xdr:colOff>536466</xdr:colOff>
      <xdr:row>236</xdr:row>
      <xdr:rowOff>55036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179591</xdr:colOff>
      <xdr:row>237</xdr:row>
      <xdr:rowOff>142328</xdr:rowOff>
    </xdr:from>
    <xdr:to>
      <xdr:col>6</xdr:col>
      <xdr:colOff>350345</xdr:colOff>
      <xdr:row>251</xdr:row>
      <xdr:rowOff>117187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570415</xdr:colOff>
      <xdr:row>222</xdr:row>
      <xdr:rowOff>129678</xdr:rowOff>
    </xdr:from>
    <xdr:to>
      <xdr:col>15</xdr:col>
      <xdr:colOff>547414</xdr:colOff>
      <xdr:row>236</xdr:row>
      <xdr:rowOff>22766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521814</xdr:colOff>
      <xdr:row>237</xdr:row>
      <xdr:rowOff>131379</xdr:rowOff>
    </xdr:from>
    <xdr:to>
      <xdr:col>15</xdr:col>
      <xdr:colOff>569311</xdr:colOff>
      <xdr:row>251</xdr:row>
      <xdr:rowOff>147019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10711</xdr:colOff>
      <xdr:row>237</xdr:row>
      <xdr:rowOff>174151</xdr:rowOff>
    </xdr:from>
    <xdr:to>
      <xdr:col>24</xdr:col>
      <xdr:colOff>558361</xdr:colOff>
      <xdr:row>251</xdr:row>
      <xdr:rowOff>114119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73139</xdr:colOff>
      <xdr:row>35</xdr:row>
      <xdr:rowOff>164348</xdr:rowOff>
    </xdr:from>
    <xdr:to>
      <xdr:col>36</xdr:col>
      <xdr:colOff>357187</xdr:colOff>
      <xdr:row>46</xdr:row>
      <xdr:rowOff>154822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476250</xdr:colOff>
      <xdr:row>35</xdr:row>
      <xdr:rowOff>176129</xdr:rowOff>
    </xdr:from>
    <xdr:to>
      <xdr:col>43</xdr:col>
      <xdr:colOff>0</xdr:colOff>
      <xdr:row>46</xdr:row>
      <xdr:rowOff>166604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501853</xdr:colOff>
      <xdr:row>47</xdr:row>
      <xdr:rowOff>140368</xdr:rowOff>
    </xdr:from>
    <xdr:to>
      <xdr:col>43</xdr:col>
      <xdr:colOff>34019</xdr:colOff>
      <xdr:row>60</xdr:row>
      <xdr:rowOff>128253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51075</xdr:colOff>
      <xdr:row>61</xdr:row>
      <xdr:rowOff>1570</xdr:rowOff>
    </xdr:from>
    <xdr:to>
      <xdr:col>36</xdr:col>
      <xdr:colOff>357186</xdr:colOff>
      <xdr:row>70</xdr:row>
      <xdr:rowOff>17653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73221</xdr:colOff>
      <xdr:row>47</xdr:row>
      <xdr:rowOff>100095</xdr:rowOff>
    </xdr:from>
    <xdr:to>
      <xdr:col>36</xdr:col>
      <xdr:colOff>357187</xdr:colOff>
      <xdr:row>60</xdr:row>
      <xdr:rowOff>87979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106787</xdr:colOff>
      <xdr:row>223</xdr:row>
      <xdr:rowOff>81312</xdr:rowOff>
    </xdr:from>
    <xdr:to>
      <xdr:col>8</xdr:col>
      <xdr:colOff>583038</xdr:colOff>
      <xdr:row>233</xdr:row>
      <xdr:rowOff>157512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226219</xdr:colOff>
      <xdr:row>235</xdr:row>
      <xdr:rowOff>11329</xdr:rowOff>
    </xdr:from>
    <xdr:to>
      <xdr:col>8</xdr:col>
      <xdr:colOff>697127</xdr:colOff>
      <xdr:row>247</xdr:row>
      <xdr:rowOff>45247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106787</xdr:colOff>
      <xdr:row>223</xdr:row>
      <xdr:rowOff>81312</xdr:rowOff>
    </xdr:from>
    <xdr:to>
      <xdr:col>8</xdr:col>
      <xdr:colOff>583038</xdr:colOff>
      <xdr:row>233</xdr:row>
      <xdr:rowOff>157512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226219</xdr:colOff>
      <xdr:row>235</xdr:row>
      <xdr:rowOff>11329</xdr:rowOff>
    </xdr:from>
    <xdr:to>
      <xdr:col>8</xdr:col>
      <xdr:colOff>697127</xdr:colOff>
      <xdr:row>247</xdr:row>
      <xdr:rowOff>45247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0.22673</cdr:x>
      <cdr:y>0.0204</cdr:y>
    </cdr:from>
    <cdr:to>
      <cdr:x>0.82098</cdr:x>
      <cdr:y>0.11385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87521" y="55973"/>
          <a:ext cx="4947036" cy="2563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8.43: Number of majistrates in the island courts, 2017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0.23092</cdr:x>
      <cdr:y>0.0414</cdr:y>
    </cdr:from>
    <cdr:to>
      <cdr:x>0.8231</cdr:x>
      <cdr:y>0.12176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17842" y="131548"/>
          <a:ext cx="4918147" cy="2553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8.44: Percentage share of majistrates in courts,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0.14518</cdr:x>
      <cdr:y>0.03776</cdr:y>
    </cdr:from>
    <cdr:to>
      <cdr:x>0.95592</cdr:x>
      <cdr:y>0.13121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79064" y="103586"/>
          <a:ext cx="5467350" cy="256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8.43: Number of majistrates in the island courts, 2018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0.16872</cdr:x>
      <cdr:y>0.03846</cdr:y>
    </cdr:from>
    <cdr:to>
      <cdr:x>0.88665</cdr:x>
      <cdr:y>0.11882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36922" y="124376"/>
          <a:ext cx="4837634" cy="2599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8.44: Percentage share of majistrates in courts, 2018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2173741</xdr:colOff>
      <xdr:row>28</xdr:row>
      <xdr:rowOff>114300</xdr:rowOff>
    </xdr:from>
    <xdr:ext cx="4922520" cy="225878"/>
    <xdr:sp macro="" textlink="">
      <xdr:nvSpPr>
        <xdr:cNvPr id="2" name="TextBox 1"/>
        <xdr:cNvSpPr txBox="1"/>
      </xdr:nvSpPr>
      <xdr:spPr>
        <a:xfrm>
          <a:off x="2173741" y="5248275"/>
          <a:ext cx="4922520" cy="225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>
              <a:latin typeface="Consolas" pitchFamily="49" charset="0"/>
              <a:cs typeface="Consolas" pitchFamily="49" charset="0"/>
            </a:rPr>
            <a:t>Figure 8.37: Share of female judges / majistrates, 2010 - 2014</a:t>
          </a:r>
        </a:p>
      </xdr:txBody>
    </xdr:sp>
    <xdr:clientData/>
  </xdr:oneCellAnchor>
  <xdr:twoCellAnchor>
    <xdr:from>
      <xdr:col>0</xdr:col>
      <xdr:colOff>2375536</xdr:colOff>
      <xdr:row>13</xdr:row>
      <xdr:rowOff>133350</xdr:rowOff>
    </xdr:from>
    <xdr:to>
      <xdr:col>5</xdr:col>
      <xdr:colOff>34018</xdr:colOff>
      <xdr:row>13</xdr:row>
      <xdr:rowOff>136072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375536" y="2409825"/>
          <a:ext cx="1297032" cy="2722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2349420</xdr:colOff>
      <xdr:row>29</xdr:row>
      <xdr:rowOff>141582</xdr:rowOff>
    </xdr:from>
    <xdr:to>
      <xdr:col>5</xdr:col>
      <xdr:colOff>425223</xdr:colOff>
      <xdr:row>29</xdr:row>
      <xdr:rowOff>144576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349420" y="5466057"/>
          <a:ext cx="1714353" cy="2994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1543051</xdr:colOff>
      <xdr:row>11</xdr:row>
      <xdr:rowOff>66675</xdr:rowOff>
    </xdr:from>
    <xdr:to>
      <xdr:col>10</xdr:col>
      <xdr:colOff>714375</xdr:colOff>
      <xdr:row>25</xdr:row>
      <xdr:rowOff>142875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1529715</xdr:colOff>
      <xdr:row>27</xdr:row>
      <xdr:rowOff>156210</xdr:rowOff>
    </xdr:from>
    <xdr:to>
      <xdr:col>10</xdr:col>
      <xdr:colOff>704850</xdr:colOff>
      <xdr:row>42</xdr:row>
      <xdr:rowOff>156210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2480922</xdr:colOff>
      <xdr:row>28</xdr:row>
      <xdr:rowOff>123825</xdr:rowOff>
    </xdr:from>
    <xdr:ext cx="4922520" cy="225878"/>
    <xdr:sp macro="" textlink="">
      <xdr:nvSpPr>
        <xdr:cNvPr id="7" name="TextBox 6"/>
        <xdr:cNvSpPr txBox="1"/>
      </xdr:nvSpPr>
      <xdr:spPr>
        <a:xfrm>
          <a:off x="2480922" y="5257800"/>
          <a:ext cx="4922520" cy="225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>
              <a:latin typeface="Consolas" pitchFamily="49" charset="0"/>
              <a:cs typeface="Consolas" pitchFamily="49" charset="0"/>
            </a:rPr>
            <a:t>Figure 8.46: Share of female judges / majistrates, 2010 - 2018</a:t>
          </a:r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304799</xdr:colOff>
      <xdr:row>18</xdr:row>
      <xdr:rowOff>51288</xdr:rowOff>
    </xdr:from>
    <xdr:to>
      <xdr:col>20</xdr:col>
      <xdr:colOff>38099</xdr:colOff>
      <xdr:row>35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28574</xdr:colOff>
      <xdr:row>37</xdr:row>
      <xdr:rowOff>95250</xdr:rowOff>
    </xdr:from>
    <xdr:to>
      <xdr:col>22</xdr:col>
      <xdr:colOff>28575</xdr:colOff>
      <xdr:row>54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0.02</cdr:x>
      <cdr:y>0.04324</cdr:y>
    </cdr:from>
    <cdr:to>
      <cdr:x>0.95069</cdr:x>
      <cdr:y>0.1301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115900" y="141598"/>
          <a:ext cx="5393360" cy="28444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</a:t>
          </a:r>
          <a:r>
            <a:rPr lang="en-US" sz="1100" b="1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8.47: Percenatge </a:t>
          </a:r>
          <a:r>
            <a:rPr lang="en-US" sz="1100" b="1">
              <a:latin typeface="Consolas" pitchFamily="49" charset="0"/>
              <a:cs typeface="Consolas" pitchFamily="49" charset="0"/>
            </a:rPr>
            <a:t>of registered lawyers by sex, 2018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214311</xdr:colOff>
      <xdr:row>13</xdr:row>
      <xdr:rowOff>76201</xdr:rowOff>
    </xdr:from>
    <xdr:to>
      <xdr:col>5</xdr:col>
      <xdr:colOff>257174</xdr:colOff>
      <xdr:row>31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14</xdr:row>
      <xdr:rowOff>47625</xdr:rowOff>
    </xdr:from>
    <xdr:to>
      <xdr:col>6</xdr:col>
      <xdr:colOff>466725</xdr:colOff>
      <xdr:row>28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_MPS%20-%20final%20tabl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%20-%20DJA%20J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>
        <row r="3">
          <cell r="G3">
            <v>2016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1">
          <cell r="W11" t="str">
            <v>Male</v>
          </cell>
          <cell r="X11" t="str">
            <v>Female</v>
          </cell>
        </row>
        <row r="12">
          <cell r="W12">
            <v>3811</v>
          </cell>
          <cell r="X12">
            <v>150</v>
          </cell>
        </row>
      </sheetData>
      <sheetData sheetId="15" refreshError="1"/>
      <sheetData sheetId="16" refreshError="1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  <cell r="U8">
            <v>150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</row>
        <row r="13">
          <cell r="AA13">
            <v>417</v>
          </cell>
          <cell r="AB13">
            <v>505</v>
          </cell>
        </row>
        <row r="14">
          <cell r="AA14">
            <v>491</v>
          </cell>
          <cell r="AB14">
            <v>315</v>
          </cell>
        </row>
        <row r="15">
          <cell r="AA15">
            <v>320</v>
          </cell>
          <cell r="AB15">
            <v>154</v>
          </cell>
        </row>
      </sheetData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"/>
      <sheetName val="8.22"/>
      <sheetName val="8.23"/>
      <sheetName val="8.24"/>
      <sheetName val="8.25"/>
      <sheetName val="8.30"/>
      <sheetName val="8.31"/>
      <sheetName val="8.56"/>
      <sheetName val="8.57"/>
      <sheetName val="8.20 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Z14">
            <v>2010</v>
          </cell>
        </row>
      </sheetData>
      <sheetData sheetId="6">
        <row r="4">
          <cell r="U4" t="str">
            <v xml:space="preserve">Male </v>
          </cell>
        </row>
      </sheetData>
      <sheetData sheetId="7">
        <row r="14">
          <cell r="N14">
            <v>2016</v>
          </cell>
          <cell r="P14">
            <v>2017</v>
          </cell>
          <cell r="R14">
            <v>2018</v>
          </cell>
        </row>
        <row r="15">
          <cell r="N15" t="str">
            <v>Male</v>
          </cell>
          <cell r="O15" t="str">
            <v>Female</v>
          </cell>
          <cell r="P15" t="str">
            <v>Male</v>
          </cell>
          <cell r="Q15" t="str">
            <v>Female</v>
          </cell>
          <cell r="R15" t="str">
            <v>Male</v>
          </cell>
          <cell r="S15" t="str">
            <v>Female</v>
          </cell>
        </row>
        <row r="16">
          <cell r="M16" t="str">
            <v xml:space="preserve">Above 18 </v>
          </cell>
          <cell r="N16">
            <v>1356</v>
          </cell>
          <cell r="O16">
            <v>52</v>
          </cell>
          <cell r="P16">
            <v>1475</v>
          </cell>
          <cell r="Q16">
            <v>61</v>
          </cell>
          <cell r="R16">
            <v>53</v>
          </cell>
          <cell r="S16">
            <v>987</v>
          </cell>
        </row>
        <row r="17">
          <cell r="M17" t="str">
            <v xml:space="preserve">Below 18 </v>
          </cell>
          <cell r="N17">
            <v>108</v>
          </cell>
          <cell r="O17">
            <v>7</v>
          </cell>
          <cell r="P17">
            <v>23</v>
          </cell>
          <cell r="Q17">
            <v>3</v>
          </cell>
          <cell r="R17">
            <v>1</v>
          </cell>
          <cell r="S17">
            <v>10</v>
          </cell>
        </row>
      </sheetData>
      <sheetData sheetId="8">
        <row r="5">
          <cell r="B5">
            <v>2016</v>
          </cell>
          <cell r="C5">
            <v>2017</v>
          </cell>
          <cell r="D5">
            <v>2018</v>
          </cell>
        </row>
        <row r="7">
          <cell r="A7" t="str">
            <v>Below 18</v>
          </cell>
          <cell r="B7">
            <v>51</v>
          </cell>
          <cell r="C7">
            <v>34</v>
          </cell>
          <cell r="D7">
            <v>14</v>
          </cell>
        </row>
        <row r="8">
          <cell r="A8" t="str">
            <v>18-25</v>
          </cell>
          <cell r="B8">
            <v>682</v>
          </cell>
          <cell r="C8">
            <v>708</v>
          </cell>
          <cell r="D8">
            <v>441</v>
          </cell>
        </row>
        <row r="9">
          <cell r="A9" t="str">
            <v>26-35</v>
          </cell>
          <cell r="B9">
            <v>550</v>
          </cell>
          <cell r="C9">
            <v>554</v>
          </cell>
          <cell r="D9">
            <v>373</v>
          </cell>
        </row>
        <row r="10">
          <cell r="A10" t="str">
            <v>36-45</v>
          </cell>
          <cell r="B10">
            <v>193</v>
          </cell>
          <cell r="C10">
            <v>204</v>
          </cell>
          <cell r="D10">
            <v>175</v>
          </cell>
        </row>
        <row r="11">
          <cell r="A11" t="str">
            <v>46-55</v>
          </cell>
          <cell r="B11">
            <v>42</v>
          </cell>
          <cell r="C11">
            <v>58</v>
          </cell>
          <cell r="D11">
            <v>43</v>
          </cell>
        </row>
        <row r="12">
          <cell r="A12" t="str">
            <v>Above 55</v>
          </cell>
          <cell r="B12">
            <v>5</v>
          </cell>
          <cell r="C12">
            <v>4</v>
          </cell>
          <cell r="D12">
            <v>5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48"/>
  <sheetViews>
    <sheetView zoomScale="89" zoomScaleNormal="89" workbookViewId="0">
      <selection activeCell="A30" sqref="A30"/>
    </sheetView>
  </sheetViews>
  <sheetFormatPr defaultColWidth="9.140625" defaultRowHeight="15"/>
  <cols>
    <col min="1" max="1" width="63.28515625" style="1" customWidth="1"/>
    <col min="2" max="2" width="12" style="1" hidden="1" customWidth="1"/>
    <col min="3" max="3" width="8.42578125" style="1" hidden="1" customWidth="1"/>
    <col min="4" max="4" width="9.42578125" style="1" hidden="1" customWidth="1"/>
    <col min="5" max="5" width="9.7109375" style="1" hidden="1" customWidth="1"/>
    <col min="6" max="6" width="9.42578125" style="1" hidden="1" customWidth="1"/>
    <col min="7" max="7" width="11.85546875" style="1" hidden="1" customWidth="1"/>
    <col min="8" max="8" width="8.7109375" style="1" hidden="1" customWidth="1"/>
    <col min="9" max="11" width="11.85546875" style="1" customWidth="1"/>
    <col min="12" max="12" width="15.5703125" style="1" customWidth="1"/>
    <col min="13" max="13" width="18.28515625" style="1" customWidth="1"/>
    <col min="14" max="14" width="31.140625" style="1" bestFit="1" customWidth="1"/>
    <col min="15" max="16" width="2.140625" style="1" customWidth="1"/>
    <col min="17" max="17" width="9.140625" style="1"/>
    <col min="18" max="18" width="22.140625" style="1" bestFit="1" customWidth="1"/>
    <col min="19" max="28" width="9.140625" style="1"/>
    <col min="29" max="29" width="13.28515625" style="1" customWidth="1"/>
    <col min="30" max="16384" width="9.140625" style="1"/>
  </cols>
  <sheetData>
    <row r="1" spans="1:31" ht="21.75">
      <c r="A1" s="1098" t="s">
        <v>62</v>
      </c>
      <c r="B1" s="1098"/>
      <c r="C1" s="1098"/>
      <c r="D1" s="1098"/>
      <c r="E1" s="1098"/>
      <c r="F1" s="1098"/>
      <c r="G1" s="1098"/>
      <c r="H1" s="1098"/>
      <c r="I1" s="1098"/>
      <c r="J1" s="1098"/>
      <c r="K1" s="1098"/>
      <c r="L1" s="1098"/>
      <c r="M1" s="1098"/>
      <c r="N1" s="1098"/>
    </row>
    <row r="2" spans="1:31" ht="21.75" customHeight="1">
      <c r="A2" s="1099" t="s">
        <v>63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099"/>
      <c r="R2" s="2"/>
    </row>
    <row r="3" spans="1:31" ht="51.75">
      <c r="A3" s="1100" t="s">
        <v>0</v>
      </c>
      <c r="B3" s="1102">
        <v>2008</v>
      </c>
      <c r="C3" s="1102">
        <v>2009</v>
      </c>
      <c r="D3" s="1094">
        <v>2011</v>
      </c>
      <c r="E3" s="1094">
        <v>2012</v>
      </c>
      <c r="F3" s="1094">
        <v>2013</v>
      </c>
      <c r="G3" s="1094">
        <v>2014</v>
      </c>
      <c r="H3" s="1094">
        <v>2015</v>
      </c>
      <c r="I3" s="1094">
        <v>2016</v>
      </c>
      <c r="J3" s="1094">
        <v>2017</v>
      </c>
      <c r="K3" s="3">
        <v>2018</v>
      </c>
      <c r="L3" s="4" t="s">
        <v>1</v>
      </c>
      <c r="M3" s="4" t="s">
        <v>2</v>
      </c>
      <c r="N3" s="1096" t="s">
        <v>3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31">
      <c r="A4" s="1101"/>
      <c r="B4" s="1103"/>
      <c r="C4" s="1103"/>
      <c r="D4" s="1095"/>
      <c r="E4" s="1095"/>
      <c r="F4" s="1095"/>
      <c r="G4" s="1095"/>
      <c r="H4" s="1095"/>
      <c r="I4" s="1095"/>
      <c r="J4" s="1095"/>
      <c r="K4" s="6"/>
      <c r="L4" s="7" t="s">
        <v>5</v>
      </c>
      <c r="M4" s="7" t="s">
        <v>6</v>
      </c>
      <c r="N4" s="1097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D4" s="8" t="s">
        <v>7</v>
      </c>
      <c r="AE4" s="9">
        <v>22.549082716446733</v>
      </c>
    </row>
    <row r="5" spans="1:31" ht="15.75">
      <c r="A5" s="10" t="s">
        <v>8</v>
      </c>
      <c r="B5" s="11">
        <v>17674</v>
      </c>
      <c r="C5" s="12">
        <v>19259</v>
      </c>
      <c r="D5" s="13">
        <f t="shared" ref="D5:G5" si="0">SUM(D6:D24)</f>
        <v>17803</v>
      </c>
      <c r="E5" s="13">
        <f t="shared" si="0"/>
        <v>20512</v>
      </c>
      <c r="F5" s="13">
        <f t="shared" si="0"/>
        <v>21885</v>
      </c>
      <c r="G5" s="13">
        <f t="shared" si="0"/>
        <v>18193</v>
      </c>
      <c r="H5" s="13">
        <f>SUM(H6:H17)</f>
        <v>16362</v>
      </c>
      <c r="I5" s="13">
        <f>SUM(I6:I17)</f>
        <v>16287</v>
      </c>
      <c r="J5" s="13">
        <f>SUM(J6:J17)</f>
        <v>15535</v>
      </c>
      <c r="K5" s="13">
        <f>SUM(K6:K17)</f>
        <v>14811</v>
      </c>
      <c r="L5" s="14">
        <f t="shared" ref="L5:L30" si="1">K5/$K$5*100</f>
        <v>100</v>
      </c>
      <c r="M5" s="15">
        <f t="shared" ref="M5:M30" si="2">((K5-J5)/J5)*100</f>
        <v>-4.6604441583521083</v>
      </c>
      <c r="N5" s="16" t="s">
        <v>9</v>
      </c>
      <c r="T5" s="5"/>
      <c r="U5" s="5"/>
      <c r="V5" s="5"/>
      <c r="W5" s="5"/>
      <c r="X5" s="5"/>
      <c r="Y5" s="5"/>
      <c r="Z5" s="5"/>
      <c r="AA5" s="17"/>
      <c r="AB5" s="5"/>
      <c r="AC5" s="18"/>
      <c r="AD5" s="8" t="s">
        <v>10</v>
      </c>
      <c r="AE5" s="19">
        <v>13.55004827808175</v>
      </c>
    </row>
    <row r="6" spans="1:31" ht="18.75">
      <c r="A6" s="20" t="s">
        <v>7</v>
      </c>
      <c r="B6" s="21">
        <v>3903</v>
      </c>
      <c r="C6" s="22">
        <v>4007</v>
      </c>
      <c r="D6" s="23">
        <v>4734</v>
      </c>
      <c r="E6" s="23">
        <v>6571</v>
      </c>
      <c r="F6" s="23">
        <v>6683</v>
      </c>
      <c r="G6" s="23">
        <v>5080</v>
      </c>
      <c r="H6" s="23">
        <v>4008</v>
      </c>
      <c r="I6" s="23">
        <v>3616</v>
      </c>
      <c r="J6" s="24">
        <v>3503</v>
      </c>
      <c r="K6" s="24">
        <v>3270</v>
      </c>
      <c r="L6" s="25">
        <f t="shared" si="1"/>
        <v>22.078185132671663</v>
      </c>
      <c r="M6" s="15">
        <f t="shared" si="2"/>
        <v>-6.6514416214673133</v>
      </c>
      <c r="N6" s="26" t="s">
        <v>11</v>
      </c>
      <c r="T6" s="5"/>
      <c r="U6" s="5"/>
      <c r="V6" s="5"/>
      <c r="W6" s="5"/>
      <c r="X6" s="5"/>
      <c r="Y6" s="5"/>
      <c r="Z6" s="5"/>
      <c r="AA6" s="17"/>
      <c r="AB6" s="27"/>
      <c r="AC6" s="28"/>
      <c r="AD6" s="8" t="s">
        <v>12</v>
      </c>
      <c r="AE6" s="29">
        <v>13.118764081107177</v>
      </c>
    </row>
    <row r="7" spans="1:31" ht="18.75">
      <c r="A7" s="20" t="s">
        <v>10</v>
      </c>
      <c r="B7" s="21">
        <v>3838</v>
      </c>
      <c r="C7" s="22">
        <v>3013</v>
      </c>
      <c r="D7" s="23">
        <v>2251</v>
      </c>
      <c r="E7" s="23">
        <v>1974</v>
      </c>
      <c r="F7" s="23">
        <v>1930</v>
      </c>
      <c r="G7" s="23">
        <v>2137</v>
      </c>
      <c r="H7" s="23">
        <v>2044</v>
      </c>
      <c r="I7" s="23">
        <v>2242</v>
      </c>
      <c r="J7" s="24">
        <v>2105</v>
      </c>
      <c r="K7" s="24">
        <v>2007</v>
      </c>
      <c r="L7" s="25">
        <f t="shared" si="1"/>
        <v>13.550739315373708</v>
      </c>
      <c r="M7" s="15">
        <f t="shared" si="2"/>
        <v>-4.6555819477434683</v>
      </c>
      <c r="N7" s="26" t="s">
        <v>13</v>
      </c>
      <c r="T7" s="5"/>
      <c r="U7" s="5"/>
      <c r="V7" s="5"/>
      <c r="W7" s="5"/>
      <c r="X7" s="5"/>
      <c r="Y7" s="5"/>
      <c r="Z7" s="5"/>
      <c r="AA7" s="17"/>
      <c r="AB7" s="5"/>
      <c r="AC7" s="18"/>
      <c r="AD7" s="20" t="s">
        <v>15</v>
      </c>
      <c r="AE7" s="1">
        <v>12.095268747988413</v>
      </c>
    </row>
    <row r="8" spans="1:31" ht="18.75">
      <c r="A8" s="20" t="s">
        <v>12</v>
      </c>
      <c r="B8" s="21">
        <v>2484</v>
      </c>
      <c r="C8" s="22">
        <v>2366</v>
      </c>
      <c r="D8" s="23">
        <v>1823</v>
      </c>
      <c r="E8" s="23">
        <v>2534</v>
      </c>
      <c r="F8" s="23">
        <v>3965</v>
      </c>
      <c r="G8" s="23">
        <v>3140</v>
      </c>
      <c r="H8" s="23">
        <v>2079</v>
      </c>
      <c r="I8" s="23">
        <v>2375</v>
      </c>
      <c r="J8" s="24">
        <v>2038</v>
      </c>
      <c r="K8" s="24">
        <v>2230</v>
      </c>
      <c r="L8" s="25">
        <f t="shared" si="1"/>
        <v>15.056377017081898</v>
      </c>
      <c r="M8" s="15">
        <f t="shared" si="2"/>
        <v>9.4210009813542683</v>
      </c>
      <c r="N8" s="26" t="s">
        <v>16</v>
      </c>
      <c r="T8" s="5"/>
      <c r="U8" s="5"/>
      <c r="V8" s="5"/>
      <c r="W8" s="5"/>
      <c r="X8" s="5"/>
      <c r="Y8" s="5"/>
      <c r="Z8" s="5"/>
      <c r="AA8" s="17"/>
      <c r="AB8" s="5"/>
      <c r="AC8" s="18"/>
      <c r="AD8" s="8" t="s">
        <v>17</v>
      </c>
      <c r="AE8" s="30">
        <v>10.653363373028645</v>
      </c>
    </row>
    <row r="9" spans="1:31" ht="18.75">
      <c r="A9" s="20" t="s">
        <v>17</v>
      </c>
      <c r="B9" s="21">
        <v>1520</v>
      </c>
      <c r="C9" s="22">
        <v>2139</v>
      </c>
      <c r="D9" s="31">
        <v>1480</v>
      </c>
      <c r="E9" s="31">
        <v>1508</v>
      </c>
      <c r="F9" s="31">
        <v>1983</v>
      </c>
      <c r="G9" s="31">
        <v>2014</v>
      </c>
      <c r="H9" s="23">
        <v>1712</v>
      </c>
      <c r="I9" s="31">
        <v>1829</v>
      </c>
      <c r="J9" s="24">
        <v>1655</v>
      </c>
      <c r="K9" s="24">
        <v>1787</v>
      </c>
      <c r="L9" s="25">
        <f t="shared" si="1"/>
        <v>12.065356829383568</v>
      </c>
      <c r="M9" s="15">
        <f t="shared" si="2"/>
        <v>7.9758308157099691</v>
      </c>
      <c r="N9" s="26" t="s">
        <v>18</v>
      </c>
      <c r="T9" s="5"/>
      <c r="U9" s="5"/>
      <c r="V9" s="5"/>
      <c r="W9" s="5"/>
      <c r="X9" s="5"/>
      <c r="Y9" s="5"/>
      <c r="Z9" s="5"/>
      <c r="AA9" s="17"/>
      <c r="AB9" s="5"/>
      <c r="AC9" s="18"/>
      <c r="AD9" s="8" t="s">
        <v>14</v>
      </c>
      <c r="AE9" s="32">
        <v>4.9565497264242033</v>
      </c>
    </row>
    <row r="10" spans="1:31" ht="18.75">
      <c r="A10" s="20" t="s">
        <v>14</v>
      </c>
      <c r="B10" s="21">
        <v>1602</v>
      </c>
      <c r="C10" s="22">
        <v>2000</v>
      </c>
      <c r="D10" s="23">
        <v>1320</v>
      </c>
      <c r="E10" s="23">
        <v>1264</v>
      </c>
      <c r="F10" s="23">
        <v>1289</v>
      </c>
      <c r="G10" s="23">
        <v>1062</v>
      </c>
      <c r="H10" s="23">
        <v>944</v>
      </c>
      <c r="I10" s="23">
        <v>781</v>
      </c>
      <c r="J10" s="24">
        <v>770</v>
      </c>
      <c r="K10" s="24">
        <v>753</v>
      </c>
      <c r="L10" s="25">
        <f t="shared" si="1"/>
        <v>5.0840591452298964</v>
      </c>
      <c r="M10" s="15">
        <f t="shared" si="2"/>
        <v>-2.2077922077922079</v>
      </c>
      <c r="N10" s="26" t="s">
        <v>20</v>
      </c>
      <c r="U10" s="5"/>
      <c r="V10" s="5"/>
      <c r="W10" s="5"/>
      <c r="X10" s="5"/>
      <c r="Y10" s="5"/>
      <c r="Z10" s="5"/>
      <c r="AA10" s="17"/>
      <c r="AB10" s="5"/>
      <c r="AC10" s="18"/>
      <c r="AD10" s="8" t="s">
        <v>19</v>
      </c>
      <c r="AE10" s="9">
        <v>4.2613453492114584</v>
      </c>
    </row>
    <row r="11" spans="1:31" ht="18.75">
      <c r="A11" s="20" t="s">
        <v>21</v>
      </c>
      <c r="B11" s="21">
        <v>648</v>
      </c>
      <c r="C11" s="22">
        <v>902</v>
      </c>
      <c r="D11" s="23">
        <v>775</v>
      </c>
      <c r="E11" s="23">
        <v>880</v>
      </c>
      <c r="F11" s="23">
        <v>728</v>
      </c>
      <c r="G11" s="23">
        <v>520</v>
      </c>
      <c r="H11" s="23">
        <v>541</v>
      </c>
      <c r="I11" s="23">
        <v>359</v>
      </c>
      <c r="J11" s="24">
        <v>455</v>
      </c>
      <c r="K11" s="24">
        <v>472</v>
      </c>
      <c r="L11" s="25">
        <f t="shared" si="1"/>
        <v>3.186820606306124</v>
      </c>
      <c r="M11" s="15">
        <f t="shared" si="2"/>
        <v>3.7362637362637363</v>
      </c>
      <c r="N11" s="26" t="s">
        <v>22</v>
      </c>
      <c r="T11" s="5"/>
      <c r="U11" s="5"/>
      <c r="V11" s="5"/>
      <c r="W11" s="5"/>
      <c r="X11" s="5"/>
      <c r="Y11" s="5"/>
      <c r="Z11" s="5"/>
      <c r="AA11" s="17"/>
      <c r="AB11" s="5"/>
      <c r="AC11" s="18"/>
      <c r="AD11" s="33" t="s">
        <v>24</v>
      </c>
      <c r="AE11" s="32">
        <v>4.119729642742195</v>
      </c>
    </row>
    <row r="12" spans="1:31" ht="18.75">
      <c r="A12" s="20" t="s">
        <v>19</v>
      </c>
      <c r="B12" s="21">
        <v>596</v>
      </c>
      <c r="C12" s="22">
        <v>589</v>
      </c>
      <c r="D12" s="23">
        <v>718</v>
      </c>
      <c r="E12" s="23">
        <v>972</v>
      </c>
      <c r="F12" s="23">
        <v>729</v>
      </c>
      <c r="G12" s="23">
        <v>620</v>
      </c>
      <c r="H12" s="23">
        <v>546</v>
      </c>
      <c r="I12" s="23">
        <v>716</v>
      </c>
      <c r="J12" s="24">
        <v>662</v>
      </c>
      <c r="K12" s="24">
        <v>537</v>
      </c>
      <c r="L12" s="25">
        <f t="shared" si="1"/>
        <v>3.6256836135304846</v>
      </c>
      <c r="M12" s="15">
        <f t="shared" si="2"/>
        <v>-18.882175226586103</v>
      </c>
      <c r="N12" s="26" t="s">
        <v>25</v>
      </c>
      <c r="T12" s="5"/>
      <c r="U12" s="5"/>
      <c r="V12" s="5"/>
      <c r="W12" s="5"/>
      <c r="X12" s="5"/>
      <c r="Y12" s="5"/>
      <c r="Z12" s="5"/>
      <c r="AA12" s="17"/>
      <c r="AB12" s="5"/>
      <c r="AC12" s="18"/>
      <c r="AD12" s="8" t="s">
        <v>27</v>
      </c>
      <c r="AE12" s="19">
        <v>3.3344061795944637</v>
      </c>
    </row>
    <row r="13" spans="1:31" ht="18.75">
      <c r="A13" s="20" t="s">
        <v>28</v>
      </c>
      <c r="B13" s="21">
        <v>455</v>
      </c>
      <c r="C13" s="22">
        <v>563</v>
      </c>
      <c r="D13" s="23">
        <v>642</v>
      </c>
      <c r="E13" s="23">
        <v>577</v>
      </c>
      <c r="F13" s="23">
        <v>573</v>
      </c>
      <c r="G13" s="23">
        <v>475</v>
      </c>
      <c r="H13" s="23">
        <v>540</v>
      </c>
      <c r="I13" s="23">
        <v>467</v>
      </c>
      <c r="J13" s="24">
        <v>417</v>
      </c>
      <c r="K13" s="24">
        <v>361</v>
      </c>
      <c r="L13" s="25">
        <f t="shared" si="1"/>
        <v>2.4373776247383701</v>
      </c>
      <c r="M13" s="15">
        <f t="shared" si="2"/>
        <v>-13.429256594724221</v>
      </c>
      <c r="N13" s="26" t="s">
        <v>29</v>
      </c>
      <c r="T13" s="5"/>
      <c r="U13" s="5"/>
      <c r="V13" s="5"/>
      <c r="W13" s="5"/>
      <c r="X13" s="5"/>
      <c r="Y13" s="5"/>
      <c r="Z13" s="5"/>
      <c r="AA13" s="17"/>
      <c r="AB13" s="5"/>
      <c r="AC13" s="18"/>
      <c r="AD13" s="8" t="s">
        <v>21</v>
      </c>
      <c r="AE13" s="32">
        <v>2.9288702928870292</v>
      </c>
    </row>
    <row r="14" spans="1:31" ht="18.75">
      <c r="A14" s="20" t="s">
        <v>27</v>
      </c>
      <c r="B14" s="21">
        <v>313</v>
      </c>
      <c r="C14" s="22">
        <v>391</v>
      </c>
      <c r="D14" s="23">
        <v>364</v>
      </c>
      <c r="E14" s="23">
        <v>311</v>
      </c>
      <c r="F14" s="23">
        <v>391</v>
      </c>
      <c r="G14" s="23">
        <v>377</v>
      </c>
      <c r="H14" s="23">
        <v>744</v>
      </c>
      <c r="I14" s="23">
        <v>523</v>
      </c>
      <c r="J14" s="24">
        <v>518</v>
      </c>
      <c r="K14" s="24">
        <v>516</v>
      </c>
      <c r="L14" s="25">
        <f t="shared" si="1"/>
        <v>3.4838971035041522</v>
      </c>
      <c r="M14" s="15">
        <f t="shared" si="2"/>
        <v>-0.38610038610038611</v>
      </c>
      <c r="N14" s="26" t="s">
        <v>31</v>
      </c>
      <c r="T14" s="5"/>
      <c r="U14" s="5"/>
      <c r="V14" s="5"/>
      <c r="W14" s="5"/>
      <c r="X14" s="5"/>
      <c r="Y14" s="5"/>
      <c r="Z14" s="5"/>
      <c r="AA14" s="17"/>
      <c r="AB14" s="5"/>
      <c r="AC14" s="18"/>
      <c r="AD14" s="8" t="s">
        <v>28</v>
      </c>
      <c r="AE14" s="19">
        <v>2.6842613453492112</v>
      </c>
    </row>
    <row r="15" spans="1:31" ht="18.75">
      <c r="A15" s="20" t="s">
        <v>30</v>
      </c>
      <c r="B15" s="21">
        <v>172</v>
      </c>
      <c r="C15" s="22">
        <v>156</v>
      </c>
      <c r="D15" s="23">
        <v>146</v>
      </c>
      <c r="E15" s="23">
        <v>179</v>
      </c>
      <c r="F15" s="23">
        <v>207</v>
      </c>
      <c r="G15" s="23">
        <v>186</v>
      </c>
      <c r="H15" s="23">
        <v>346</v>
      </c>
      <c r="I15" s="23">
        <v>305</v>
      </c>
      <c r="J15" s="24">
        <v>279</v>
      </c>
      <c r="K15" s="24">
        <v>240</v>
      </c>
      <c r="L15" s="25">
        <f t="shared" si="1"/>
        <v>1.6204172574437916</v>
      </c>
      <c r="M15" s="15">
        <f t="shared" si="2"/>
        <v>-13.978494623655912</v>
      </c>
      <c r="N15" s="26" t="s">
        <v>33</v>
      </c>
      <c r="T15" s="5"/>
      <c r="U15" s="5"/>
      <c r="V15" s="5"/>
      <c r="W15" s="5"/>
      <c r="X15" s="5"/>
      <c r="Y15" s="5"/>
      <c r="Z15" s="5"/>
      <c r="AA15" s="17"/>
      <c r="AB15" s="5"/>
      <c r="AC15" s="18"/>
      <c r="AD15" s="33" t="s">
        <v>34</v>
      </c>
      <c r="AE15" s="19">
        <v>1.9826198905696812</v>
      </c>
    </row>
    <row r="16" spans="1:31" ht="18.75">
      <c r="A16" s="20" t="s">
        <v>32</v>
      </c>
      <c r="B16" s="21">
        <v>98</v>
      </c>
      <c r="C16" s="22">
        <v>133</v>
      </c>
      <c r="D16" s="23">
        <v>136</v>
      </c>
      <c r="E16" s="23">
        <v>126</v>
      </c>
      <c r="F16" s="23">
        <v>97</v>
      </c>
      <c r="G16" s="23">
        <v>77</v>
      </c>
      <c r="H16" s="23">
        <v>91</v>
      </c>
      <c r="I16" s="23">
        <v>97</v>
      </c>
      <c r="J16" s="24">
        <v>86</v>
      </c>
      <c r="K16" s="24">
        <v>71</v>
      </c>
      <c r="L16" s="25">
        <f t="shared" si="1"/>
        <v>0.47937343866045506</v>
      </c>
      <c r="M16" s="15">
        <f t="shared" si="2"/>
        <v>-17.441860465116278</v>
      </c>
      <c r="N16" s="26" t="s">
        <v>35</v>
      </c>
      <c r="T16" s="5"/>
      <c r="U16" s="5"/>
      <c r="V16" s="5"/>
      <c r="W16" s="5"/>
      <c r="X16" s="5"/>
      <c r="Y16" s="5"/>
      <c r="Z16" s="5"/>
      <c r="AA16" s="17"/>
      <c r="AB16" s="5"/>
      <c r="AC16" s="18"/>
      <c r="AD16" s="33" t="s">
        <v>36</v>
      </c>
      <c r="AE16" s="19">
        <v>1.9697457354361119</v>
      </c>
    </row>
    <row r="17" spans="1:31" ht="18.75">
      <c r="A17" s="20" t="s">
        <v>15</v>
      </c>
      <c r="B17" s="21">
        <v>1763</v>
      </c>
      <c r="C17" s="22">
        <v>2399</v>
      </c>
      <c r="D17" s="34">
        <v>3414</v>
      </c>
      <c r="E17" s="34">
        <v>3616</v>
      </c>
      <c r="F17" s="34">
        <v>3310</v>
      </c>
      <c r="G17" s="34">
        <v>2505</v>
      </c>
      <c r="H17" s="23">
        <v>2767</v>
      </c>
      <c r="I17" s="23">
        <v>2977</v>
      </c>
      <c r="J17" s="23">
        <v>3047</v>
      </c>
      <c r="K17" s="24">
        <v>2567</v>
      </c>
      <c r="L17" s="25">
        <f t="shared" si="1"/>
        <v>17.33171291607589</v>
      </c>
      <c r="M17" s="15">
        <f t="shared" si="2"/>
        <v>-15.753199868723334</v>
      </c>
      <c r="N17" s="26" t="s">
        <v>37</v>
      </c>
      <c r="T17" s="5"/>
      <c r="U17" s="5"/>
      <c r="V17" s="5"/>
      <c r="W17" s="5"/>
      <c r="X17" s="5"/>
      <c r="Y17" s="5"/>
      <c r="Z17" s="5"/>
      <c r="AA17" s="17"/>
      <c r="AB17" s="5"/>
      <c r="AC17" s="18"/>
      <c r="AD17" s="8" t="s">
        <v>30</v>
      </c>
      <c r="AE17" s="32">
        <v>1.7959446411329256</v>
      </c>
    </row>
    <row r="18" spans="1:31" ht="18.75">
      <c r="A18" s="35" t="s">
        <v>38</v>
      </c>
      <c r="B18" s="36"/>
      <c r="C18" s="36"/>
      <c r="D18" s="36"/>
      <c r="E18" s="36"/>
      <c r="F18" s="36"/>
      <c r="G18" s="36"/>
      <c r="H18" s="24">
        <v>123</v>
      </c>
      <c r="I18" s="24">
        <v>101</v>
      </c>
      <c r="J18" s="24">
        <v>105</v>
      </c>
      <c r="K18" s="24">
        <v>29</v>
      </c>
      <c r="L18" s="25">
        <f t="shared" si="1"/>
        <v>0.19580041860779149</v>
      </c>
      <c r="M18" s="15">
        <f t="shared" si="2"/>
        <v>-72.38095238095238</v>
      </c>
      <c r="N18" s="37" t="s">
        <v>39</v>
      </c>
      <c r="T18" s="5"/>
      <c r="U18" s="5"/>
      <c r="V18" s="5"/>
      <c r="W18" s="5"/>
      <c r="X18" s="5"/>
      <c r="Y18" s="5"/>
      <c r="Z18" s="5"/>
      <c r="AA18" s="17"/>
      <c r="AB18" s="5"/>
      <c r="AC18" s="18"/>
    </row>
    <row r="19" spans="1:31" ht="18.75">
      <c r="A19" s="35" t="s">
        <v>41</v>
      </c>
      <c r="B19" s="36"/>
      <c r="C19" s="36"/>
      <c r="D19" s="36"/>
      <c r="E19" s="36"/>
      <c r="F19" s="36"/>
      <c r="G19" s="36"/>
      <c r="H19" s="24">
        <v>62</v>
      </c>
      <c r="I19" s="24">
        <v>59</v>
      </c>
      <c r="J19" s="24">
        <v>70</v>
      </c>
      <c r="K19" s="24">
        <v>36</v>
      </c>
      <c r="L19" s="25">
        <f t="shared" si="1"/>
        <v>0.24306258861656876</v>
      </c>
      <c r="M19" s="15">
        <f t="shared" si="2"/>
        <v>-48.571428571428569</v>
      </c>
      <c r="N19" s="37" t="s">
        <v>42</v>
      </c>
      <c r="T19" s="5"/>
      <c r="U19" s="5"/>
      <c r="V19" s="5"/>
      <c r="W19" s="5"/>
      <c r="X19" s="5"/>
      <c r="Y19" s="5"/>
      <c r="Z19" s="5"/>
      <c r="AA19" s="17"/>
      <c r="AB19" s="5"/>
      <c r="AC19" s="18"/>
      <c r="AD19" s="38" t="s">
        <v>43</v>
      </c>
      <c r="AE19" s="39">
        <v>0.90762793691663979</v>
      </c>
    </row>
    <row r="20" spans="1:31" ht="18.75">
      <c r="A20" s="35" t="s">
        <v>44</v>
      </c>
      <c r="H20" s="24">
        <v>50</v>
      </c>
      <c r="I20" s="24">
        <v>47</v>
      </c>
      <c r="J20" s="24">
        <v>54</v>
      </c>
      <c r="K20" s="24">
        <v>55</v>
      </c>
      <c r="L20" s="25">
        <f t="shared" si="1"/>
        <v>0.37134562149753558</v>
      </c>
      <c r="M20" s="15">
        <f t="shared" si="2"/>
        <v>1.8518518518518516</v>
      </c>
      <c r="N20" s="37" t="s">
        <v>45</v>
      </c>
      <c r="T20" s="5"/>
      <c r="U20" s="5"/>
      <c r="V20" s="5"/>
      <c r="W20" s="5"/>
      <c r="X20" s="5"/>
      <c r="Y20" s="5"/>
      <c r="Z20" s="5"/>
      <c r="AA20" s="17"/>
      <c r="AB20" s="5"/>
      <c r="AC20" s="18"/>
      <c r="AD20" s="38" t="s">
        <v>38</v>
      </c>
      <c r="AE20" s="39">
        <v>0.67589314451239135</v>
      </c>
    </row>
    <row r="21" spans="1:31" ht="18.75">
      <c r="A21" s="35" t="s">
        <v>46</v>
      </c>
      <c r="H21" s="24">
        <v>108</v>
      </c>
      <c r="I21" s="24">
        <v>77</v>
      </c>
      <c r="J21" s="24">
        <v>71</v>
      </c>
      <c r="K21" s="24">
        <v>58</v>
      </c>
      <c r="L21" s="25">
        <f t="shared" si="1"/>
        <v>0.39160083721558298</v>
      </c>
      <c r="M21" s="15">
        <f t="shared" si="2"/>
        <v>-18.30985915492958</v>
      </c>
      <c r="N21" s="37" t="s">
        <v>47</v>
      </c>
      <c r="T21" s="5"/>
      <c r="U21" s="5"/>
      <c r="V21" s="5"/>
      <c r="W21" s="5"/>
      <c r="X21" s="5"/>
      <c r="Y21" s="5"/>
      <c r="Z21" s="5"/>
      <c r="AA21" s="17"/>
      <c r="AB21" s="5"/>
      <c r="AC21" s="18"/>
      <c r="AD21" s="40" t="s">
        <v>32</v>
      </c>
      <c r="AE21" s="39">
        <v>0.5535886707434825</v>
      </c>
    </row>
    <row r="22" spans="1:31" ht="18.75">
      <c r="A22" s="35" t="s">
        <v>36</v>
      </c>
      <c r="H22" s="24">
        <v>201</v>
      </c>
      <c r="I22" s="24">
        <v>275</v>
      </c>
      <c r="J22" s="24">
        <v>306</v>
      </c>
      <c r="K22" s="24">
        <v>246</v>
      </c>
      <c r="L22" s="25">
        <f t="shared" si="1"/>
        <v>1.6609276888798867</v>
      </c>
      <c r="M22" s="15">
        <f t="shared" si="2"/>
        <v>-19.607843137254903</v>
      </c>
      <c r="N22" s="37" t="s">
        <v>48</v>
      </c>
      <c r="T22" s="5"/>
      <c r="U22" s="5"/>
      <c r="V22" s="5"/>
      <c r="W22" s="5"/>
      <c r="X22" s="5"/>
      <c r="Y22" s="5"/>
      <c r="Z22" s="5"/>
      <c r="AA22" s="17"/>
      <c r="AB22" s="5"/>
      <c r="AC22" s="18"/>
      <c r="AD22" s="38" t="s">
        <v>46</v>
      </c>
      <c r="AE22" s="39">
        <v>0.45703250724171229</v>
      </c>
    </row>
    <row r="23" spans="1:31" ht="18.75">
      <c r="A23" s="35" t="s">
        <v>34</v>
      </c>
      <c r="H23" s="24">
        <v>320</v>
      </c>
      <c r="I23" s="24">
        <v>286</v>
      </c>
      <c r="J23" s="24">
        <v>308</v>
      </c>
      <c r="K23" s="24">
        <v>213</v>
      </c>
      <c r="L23" s="25">
        <f t="shared" si="1"/>
        <v>1.4381203159813651</v>
      </c>
      <c r="M23" s="15">
        <f t="shared" si="2"/>
        <v>-30.844155844155846</v>
      </c>
      <c r="N23" s="37" t="s">
        <v>49</v>
      </c>
      <c r="T23" s="5"/>
      <c r="U23" s="5"/>
      <c r="V23" s="5"/>
      <c r="W23" s="5"/>
      <c r="X23" s="5"/>
      <c r="Y23" s="5"/>
      <c r="Z23" s="5"/>
      <c r="AA23" s="17"/>
      <c r="AB23" s="5"/>
      <c r="AC23" s="18"/>
      <c r="AD23" s="38" t="s">
        <v>41</v>
      </c>
      <c r="AE23" s="41">
        <v>0.45059542967492755</v>
      </c>
    </row>
    <row r="24" spans="1:31" ht="18.75">
      <c r="A24" s="35" t="s">
        <v>43</v>
      </c>
      <c r="H24" s="24">
        <v>100</v>
      </c>
      <c r="I24" s="24">
        <v>147</v>
      </c>
      <c r="J24" s="24">
        <v>141</v>
      </c>
      <c r="K24" s="24">
        <v>92</v>
      </c>
      <c r="L24" s="25">
        <f t="shared" si="1"/>
        <v>0.62115994868678692</v>
      </c>
      <c r="M24" s="15">
        <f t="shared" si="2"/>
        <v>-34.751773049645394</v>
      </c>
      <c r="N24" s="37" t="s">
        <v>50</v>
      </c>
      <c r="T24" s="5"/>
      <c r="U24" s="5"/>
      <c r="V24" s="5"/>
      <c r="W24" s="5"/>
      <c r="X24" s="5"/>
      <c r="Y24" s="5"/>
      <c r="Z24" s="5"/>
      <c r="AA24" s="5"/>
      <c r="AD24" s="38" t="s">
        <v>51</v>
      </c>
      <c r="AE24" s="39">
        <v>0.41841004184100417</v>
      </c>
    </row>
    <row r="25" spans="1:31" s="43" customFormat="1" ht="18.75">
      <c r="A25" s="35" t="s">
        <v>51</v>
      </c>
      <c r="B25" s="21"/>
      <c r="C25" s="21"/>
      <c r="D25" s="21"/>
      <c r="E25" s="21"/>
      <c r="F25" s="42"/>
      <c r="G25" s="42"/>
      <c r="H25" s="24">
        <v>83</v>
      </c>
      <c r="I25" s="24">
        <v>72</v>
      </c>
      <c r="J25" s="24">
        <v>65</v>
      </c>
      <c r="K25" s="24">
        <v>87</v>
      </c>
      <c r="L25" s="25">
        <f t="shared" si="1"/>
        <v>0.58740125582337455</v>
      </c>
      <c r="M25" s="15">
        <f t="shared" si="2"/>
        <v>33.846153846153847</v>
      </c>
      <c r="N25" s="37" t="s">
        <v>52</v>
      </c>
      <c r="Q25" s="44"/>
      <c r="T25" s="27"/>
      <c r="U25" s="27"/>
      <c r="V25" s="27"/>
      <c r="W25" s="27"/>
      <c r="X25" s="27"/>
      <c r="Y25" s="27"/>
      <c r="Z25" s="27"/>
      <c r="AA25" s="27"/>
      <c r="AB25" s="27"/>
      <c r="AD25" s="38" t="s">
        <v>44</v>
      </c>
      <c r="AE25" s="41">
        <v>0.34760218860637271</v>
      </c>
    </row>
    <row r="26" spans="1:31" s="43" customFormat="1" ht="18.75">
      <c r="A26" s="35" t="s">
        <v>53</v>
      </c>
      <c r="B26" s="1"/>
      <c r="C26" s="1"/>
      <c r="D26" s="1"/>
      <c r="E26" s="1"/>
      <c r="F26" s="1"/>
      <c r="G26" s="1"/>
      <c r="H26" s="24">
        <v>53</v>
      </c>
      <c r="I26" s="24">
        <v>55</v>
      </c>
      <c r="J26" s="24">
        <v>52</v>
      </c>
      <c r="K26" s="24">
        <v>28</v>
      </c>
      <c r="L26" s="25">
        <f t="shared" si="1"/>
        <v>0.18904868003510902</v>
      </c>
      <c r="M26" s="15">
        <f t="shared" si="2"/>
        <v>-46.153846153846153</v>
      </c>
      <c r="N26" s="37" t="s">
        <v>54</v>
      </c>
      <c r="Q26" s="44"/>
      <c r="T26" s="27"/>
      <c r="U26" s="27"/>
      <c r="V26" s="27"/>
      <c r="W26" s="27"/>
      <c r="X26" s="27"/>
      <c r="Y26" s="27"/>
      <c r="Z26" s="27"/>
      <c r="AA26" s="27"/>
      <c r="AB26" s="27"/>
      <c r="AD26" s="38" t="s">
        <v>53</v>
      </c>
      <c r="AE26" s="41">
        <v>0.33472803347280333</v>
      </c>
    </row>
    <row r="27" spans="1:31" ht="18.75">
      <c r="A27" s="35" t="s">
        <v>24</v>
      </c>
      <c r="H27" s="24">
        <v>515</v>
      </c>
      <c r="I27" s="24">
        <v>599</v>
      </c>
      <c r="J27" s="24">
        <v>640</v>
      </c>
      <c r="K27" s="24">
        <v>536</v>
      </c>
      <c r="L27" s="25">
        <f t="shared" si="1"/>
        <v>3.6189318749578017</v>
      </c>
      <c r="M27" s="15">
        <f t="shared" si="2"/>
        <v>-16.25</v>
      </c>
      <c r="N27" s="37" t="s">
        <v>55</v>
      </c>
      <c r="Q27" s="45"/>
      <c r="AD27" s="38" t="s">
        <v>56</v>
      </c>
      <c r="AE27" s="39">
        <v>0.23817186997103315</v>
      </c>
    </row>
    <row r="28" spans="1:31" ht="18.75">
      <c r="A28" s="35" t="s">
        <v>56</v>
      </c>
      <c r="H28" s="24">
        <v>57</v>
      </c>
      <c r="I28" s="24">
        <v>41</v>
      </c>
      <c r="J28" s="24">
        <v>37</v>
      </c>
      <c r="K28" s="24">
        <v>39</v>
      </c>
      <c r="L28" s="25">
        <f t="shared" si="1"/>
        <v>0.26331780433461616</v>
      </c>
      <c r="M28" s="15">
        <f t="shared" si="2"/>
        <v>5.4054054054054053</v>
      </c>
      <c r="N28" s="37" t="s">
        <v>57</v>
      </c>
      <c r="AD28" s="46" t="s">
        <v>58</v>
      </c>
      <c r="AE28" s="47">
        <v>0.14805278403604766</v>
      </c>
    </row>
    <row r="29" spans="1:31" ht="18.75">
      <c r="A29" s="35" t="s">
        <v>58</v>
      </c>
      <c r="H29" s="24">
        <v>28</v>
      </c>
      <c r="I29" s="24">
        <v>20</v>
      </c>
      <c r="J29" s="24">
        <v>23</v>
      </c>
      <c r="K29" s="24">
        <v>27</v>
      </c>
      <c r="L29" s="25">
        <f t="shared" si="1"/>
        <v>0.18229694146242656</v>
      </c>
      <c r="M29" s="15">
        <f t="shared" si="2"/>
        <v>17.391304347826086</v>
      </c>
      <c r="N29" s="37" t="s">
        <v>59</v>
      </c>
      <c r="T29" s="5"/>
      <c r="U29" s="5"/>
      <c r="V29" s="5"/>
      <c r="W29" s="5"/>
      <c r="X29" s="5"/>
      <c r="Y29" s="5"/>
      <c r="Z29" s="5"/>
      <c r="AA29" s="5"/>
      <c r="AD29" s="48"/>
      <c r="AE29" s="49">
        <f>SUM(AE19:AE28)</f>
        <v>4.5317026070164141</v>
      </c>
    </row>
    <row r="30" spans="1:31" ht="18.75">
      <c r="A30" s="50" t="s">
        <v>15</v>
      </c>
      <c r="B30" s="51"/>
      <c r="C30" s="51"/>
      <c r="D30" s="51"/>
      <c r="E30" s="51"/>
      <c r="F30" s="51"/>
      <c r="G30" s="51"/>
      <c r="H30" s="52">
        <v>1067</v>
      </c>
      <c r="I30" s="52">
        <v>1198</v>
      </c>
      <c r="J30" s="52">
        <v>1175</v>
      </c>
      <c r="K30" s="52">
        <v>1121</v>
      </c>
      <c r="L30" s="166">
        <f t="shared" si="1"/>
        <v>7.5686989399770432</v>
      </c>
      <c r="M30" s="167">
        <f t="shared" si="2"/>
        <v>-4.5957446808510642</v>
      </c>
      <c r="N30" s="53" t="s">
        <v>37</v>
      </c>
      <c r="T30" s="5"/>
      <c r="U30" s="5"/>
      <c r="V30" s="5"/>
      <c r="W30" s="5"/>
      <c r="X30" s="5"/>
      <c r="Y30" s="5"/>
      <c r="Z30" s="5"/>
      <c r="AA30" s="5"/>
      <c r="AD30" s="35" t="s">
        <v>15</v>
      </c>
      <c r="AE30" s="1">
        <v>7.5635661409719983</v>
      </c>
    </row>
    <row r="31" spans="1:31" s="54" customFormat="1" ht="17.25">
      <c r="A31" s="56" t="s">
        <v>60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57" t="s">
        <v>61</v>
      </c>
      <c r="U31" s="5"/>
      <c r="V31" s="5"/>
      <c r="W31" s="5"/>
      <c r="X31" s="5"/>
      <c r="Y31" s="5"/>
      <c r="Z31" s="5"/>
      <c r="AA31" s="5"/>
      <c r="AB31" s="5"/>
      <c r="AD31" s="55" t="s">
        <v>15</v>
      </c>
      <c r="AE31" s="39">
        <v>19.61377534599292</v>
      </c>
    </row>
    <row r="32" spans="1:31">
      <c r="T32" s="5"/>
      <c r="U32" s="5"/>
      <c r="V32" s="5"/>
      <c r="W32" s="5"/>
      <c r="X32" s="5"/>
      <c r="Y32" s="5"/>
      <c r="Z32" s="5"/>
      <c r="AA32" s="5"/>
      <c r="AB32" s="5"/>
    </row>
    <row r="33" spans="18:37" ht="19.5" customHeight="1">
      <c r="R33" s="35"/>
      <c r="S33" s="35"/>
    </row>
    <row r="34" spans="18:37" ht="19.5" customHeight="1">
      <c r="R34" s="35"/>
      <c r="S34" s="35"/>
    </row>
    <row r="35" spans="18:37" ht="19.5" customHeight="1">
      <c r="R35" s="35"/>
      <c r="S35" s="35"/>
    </row>
    <row r="36" spans="18:37" ht="19.5" customHeight="1">
      <c r="R36" s="35"/>
      <c r="S36" s="35"/>
    </row>
    <row r="37" spans="18:37">
      <c r="R37" s="35"/>
      <c r="S37" s="35"/>
    </row>
    <row r="38" spans="18:37">
      <c r="R38" s="35"/>
      <c r="S38" s="35"/>
    </row>
    <row r="43" spans="18:37">
      <c r="AC43" s="1">
        <v>2010</v>
      </c>
      <c r="AD43" s="1">
        <v>2011</v>
      </c>
      <c r="AE43" s="1">
        <v>2012</v>
      </c>
      <c r="AF43" s="1">
        <v>2013</v>
      </c>
      <c r="AG43" s="1">
        <v>2014</v>
      </c>
      <c r="AH43" s="1">
        <v>2015</v>
      </c>
      <c r="AI43" s="1">
        <v>2016</v>
      </c>
      <c r="AJ43" s="1">
        <v>2017</v>
      </c>
      <c r="AK43" s="1">
        <v>2018</v>
      </c>
    </row>
    <row r="44" spans="18:37">
      <c r="AB44" s="20" t="s">
        <v>7</v>
      </c>
      <c r="AC44" s="58">
        <v>-0.14973795857249811</v>
      </c>
      <c r="AD44" s="58">
        <v>18.320419895026244</v>
      </c>
      <c r="AE44" s="58">
        <v>38.804393747359526</v>
      </c>
      <c r="AF44" s="58">
        <v>1.7044589864556383</v>
      </c>
      <c r="AG44" s="58">
        <v>-23.986233727367949</v>
      </c>
      <c r="AH44" s="58">
        <f t="shared" ref="AH44:AK48" si="3">((H6-G6)/G6)*100</f>
        <v>-21.102362204724407</v>
      </c>
      <c r="AI44" s="58">
        <f t="shared" si="3"/>
        <v>-9.780439121756487</v>
      </c>
      <c r="AJ44" s="58">
        <f t="shared" si="3"/>
        <v>-3.125</v>
      </c>
      <c r="AK44" s="58">
        <f>((K6-J6)/J6)*100</f>
        <v>-6.6514416214673133</v>
      </c>
    </row>
    <row r="45" spans="18:37">
      <c r="AB45" s="20" t="s">
        <v>10</v>
      </c>
      <c r="AC45" s="58">
        <v>-19.349485562562229</v>
      </c>
      <c r="AD45" s="58">
        <v>-7.3662551440329223</v>
      </c>
      <c r="AE45" s="58">
        <v>-12.305641936916926</v>
      </c>
      <c r="AF45" s="58">
        <v>-2.2289766970618032</v>
      </c>
      <c r="AG45" s="58">
        <v>10.725388601036268</v>
      </c>
      <c r="AH45" s="58">
        <f t="shared" si="3"/>
        <v>-4.3518951801591017</v>
      </c>
      <c r="AI45" s="58">
        <f t="shared" si="3"/>
        <v>9.6868884540117417</v>
      </c>
      <c r="AJ45" s="58">
        <f t="shared" si="3"/>
        <v>-6.1106155218554861</v>
      </c>
      <c r="AK45" s="58">
        <f t="shared" si="3"/>
        <v>-4.6555819477434683</v>
      </c>
    </row>
    <row r="46" spans="18:37">
      <c r="AB46" s="20" t="s">
        <v>12</v>
      </c>
      <c r="AC46" s="58">
        <v>-31.65680473372781</v>
      </c>
      <c r="AD46" s="58">
        <v>12.739641311069882</v>
      </c>
      <c r="AE46" s="58">
        <v>39.001645639056498</v>
      </c>
      <c r="AF46" s="58">
        <v>56.471981057616418</v>
      </c>
      <c r="AG46" s="58">
        <v>-20.807061790668349</v>
      </c>
      <c r="AH46" s="58">
        <f t="shared" si="3"/>
        <v>-33.789808917197448</v>
      </c>
      <c r="AI46" s="58">
        <f t="shared" si="3"/>
        <v>14.237614237614238</v>
      </c>
      <c r="AJ46" s="58">
        <f t="shared" si="3"/>
        <v>-14.189473684210526</v>
      </c>
      <c r="AK46" s="58">
        <f t="shared" si="3"/>
        <v>9.4210009813542683</v>
      </c>
    </row>
    <row r="47" spans="18:37">
      <c r="AB47" s="20" t="s">
        <v>17</v>
      </c>
      <c r="AC47" s="58">
        <v>-19.91584852734923</v>
      </c>
      <c r="AD47" s="58">
        <v>-13.601868067717454</v>
      </c>
      <c r="AE47" s="58">
        <v>1.8918918918918921</v>
      </c>
      <c r="AF47" s="58">
        <v>31.49867374005305</v>
      </c>
      <c r="AG47" s="58">
        <v>1.5632879475542107</v>
      </c>
      <c r="AH47" s="58">
        <f t="shared" si="3"/>
        <v>-14.995034756703079</v>
      </c>
      <c r="AI47" s="58">
        <f t="shared" si="3"/>
        <v>6.83411214953271</v>
      </c>
      <c r="AJ47" s="58">
        <f t="shared" si="3"/>
        <v>-9.5133952979770378</v>
      </c>
      <c r="AK47" s="58">
        <f t="shared" si="3"/>
        <v>7.9758308157099691</v>
      </c>
    </row>
    <row r="48" spans="18:37">
      <c r="AB48" s="20" t="s">
        <v>14</v>
      </c>
      <c r="AC48" s="58">
        <v>-23.7</v>
      </c>
      <c r="AD48" s="58">
        <v>-13.499344692005241</v>
      </c>
      <c r="AE48" s="58">
        <v>-4.2424242424242431</v>
      </c>
      <c r="AF48" s="58">
        <v>1.9778481012658229</v>
      </c>
      <c r="AG48" s="58">
        <v>-17.610550814584951</v>
      </c>
      <c r="AH48" s="58">
        <f t="shared" si="3"/>
        <v>-11.111111111111111</v>
      </c>
      <c r="AI48" s="58">
        <f t="shared" si="3"/>
        <v>-17.266949152542374</v>
      </c>
      <c r="AJ48" s="58">
        <f t="shared" si="3"/>
        <v>-1.4084507042253522</v>
      </c>
      <c r="AK48" s="58">
        <f t="shared" si="3"/>
        <v>-2.2077922077922079</v>
      </c>
    </row>
  </sheetData>
  <mergeCells count="13">
    <mergeCell ref="I3:I4"/>
    <mergeCell ref="J3:J4"/>
    <mergeCell ref="N3:N4"/>
    <mergeCell ref="A1:N1"/>
    <mergeCell ref="A2:N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X41"/>
  <sheetViews>
    <sheetView workbookViewId="0">
      <selection activeCell="J27" sqref="J27"/>
    </sheetView>
  </sheetViews>
  <sheetFormatPr defaultColWidth="9.140625" defaultRowHeight="15"/>
  <cols>
    <col min="1" max="1" width="26.7109375" style="1" customWidth="1"/>
    <col min="2" max="7" width="9.140625" style="1" hidden="1" customWidth="1"/>
    <col min="8" max="16" width="9.140625" style="1" customWidth="1"/>
    <col min="17" max="18" width="9.42578125" style="1" customWidth="1"/>
    <col min="19" max="19" width="9.28515625" style="1" customWidth="1"/>
    <col min="20" max="20" width="35.140625" style="1" customWidth="1"/>
    <col min="21" max="21" width="10.7109375" style="45" customWidth="1"/>
    <col min="22" max="22" width="9.140625" style="45"/>
    <col min="23" max="23" width="22.140625" style="45" bestFit="1" customWidth="1"/>
    <col min="24" max="50" width="9.140625" style="45"/>
    <col min="51" max="16384" width="9.140625" style="1"/>
  </cols>
  <sheetData>
    <row r="1" spans="1:50" ht="21">
      <c r="A1" s="1107" t="s">
        <v>135</v>
      </c>
      <c r="B1" s="1107"/>
      <c r="C1" s="1107"/>
      <c r="D1" s="1107"/>
      <c r="E1" s="1107"/>
      <c r="F1" s="1107"/>
      <c r="G1" s="1107"/>
      <c r="H1" s="1107"/>
      <c r="I1" s="1107"/>
      <c r="J1" s="1107"/>
      <c r="K1" s="1107"/>
      <c r="L1" s="1107"/>
      <c r="M1" s="1107"/>
      <c r="N1" s="1107"/>
      <c r="O1" s="1107"/>
      <c r="P1" s="1107"/>
      <c r="Q1" s="1107"/>
      <c r="R1" s="1107"/>
      <c r="S1" s="1107"/>
      <c r="T1" s="1107"/>
    </row>
    <row r="2" spans="1:50" ht="21.75" customHeight="1">
      <c r="A2" s="1099" t="s">
        <v>136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099"/>
      <c r="O2" s="1099"/>
      <c r="P2" s="1099"/>
      <c r="Q2" s="1099"/>
      <c r="R2" s="1099"/>
      <c r="S2" s="1099"/>
      <c r="T2" s="1099"/>
      <c r="W2" s="2" t="s">
        <v>64</v>
      </c>
    </row>
    <row r="3" spans="1:50" ht="17.25" customHeight="1">
      <c r="A3" s="1100" t="s">
        <v>65</v>
      </c>
      <c r="B3" s="1109">
        <v>2014</v>
      </c>
      <c r="C3" s="1109"/>
      <c r="D3" s="1110"/>
      <c r="E3" s="1113">
        <v>2015</v>
      </c>
      <c r="F3" s="1114"/>
      <c r="G3" s="1115"/>
      <c r="H3" s="1119">
        <v>2016</v>
      </c>
      <c r="I3" s="1120"/>
      <c r="J3" s="1121"/>
      <c r="K3" s="1113">
        <v>2017</v>
      </c>
      <c r="L3" s="1114"/>
      <c r="M3" s="1115"/>
      <c r="N3" s="1113">
        <v>2018</v>
      </c>
      <c r="O3" s="1114"/>
      <c r="P3" s="1115"/>
      <c r="Q3" s="1125" t="s">
        <v>66</v>
      </c>
      <c r="R3" s="1125"/>
      <c r="S3" s="1125"/>
      <c r="T3" s="1096" t="s">
        <v>3</v>
      </c>
    </row>
    <row r="4" spans="1:50" ht="16.5" customHeight="1">
      <c r="A4" s="1108"/>
      <c r="B4" s="1111"/>
      <c r="C4" s="1111"/>
      <c r="D4" s="1112"/>
      <c r="E4" s="1116"/>
      <c r="F4" s="1117"/>
      <c r="G4" s="1118"/>
      <c r="H4" s="1122"/>
      <c r="I4" s="1123"/>
      <c r="J4" s="1124"/>
      <c r="K4" s="1116"/>
      <c r="L4" s="1117"/>
      <c r="M4" s="1118"/>
      <c r="N4" s="1116"/>
      <c r="O4" s="1117"/>
      <c r="P4" s="1118"/>
      <c r="Q4" s="1106" t="s">
        <v>6</v>
      </c>
      <c r="R4" s="1106"/>
      <c r="S4" s="1106"/>
      <c r="T4" s="1104"/>
      <c r="W4" s="60"/>
      <c r="X4" s="60"/>
      <c r="Y4" s="60"/>
      <c r="Z4" s="60"/>
      <c r="AA4" s="60"/>
      <c r="AB4" s="60"/>
    </row>
    <row r="5" spans="1:50" ht="18.75">
      <c r="A5" s="1108"/>
      <c r="B5" s="61" t="s">
        <v>67</v>
      </c>
      <c r="C5" s="61" t="s">
        <v>68</v>
      </c>
      <c r="D5" s="62" t="s">
        <v>69</v>
      </c>
      <c r="E5" s="63" t="s">
        <v>67</v>
      </c>
      <c r="F5" s="61" t="s">
        <v>68</v>
      </c>
      <c r="G5" s="62" t="s">
        <v>69</v>
      </c>
      <c r="H5" s="63" t="s">
        <v>67</v>
      </c>
      <c r="I5" s="61" t="s">
        <v>68</v>
      </c>
      <c r="J5" s="62" t="s">
        <v>69</v>
      </c>
      <c r="K5" s="63" t="s">
        <v>67</v>
      </c>
      <c r="L5" s="61" t="s">
        <v>68</v>
      </c>
      <c r="M5" s="62" t="s">
        <v>69</v>
      </c>
      <c r="N5" s="63" t="s">
        <v>67</v>
      </c>
      <c r="O5" s="61" t="s">
        <v>68</v>
      </c>
      <c r="P5" s="62" t="s">
        <v>69</v>
      </c>
      <c r="Q5" s="61" t="s">
        <v>67</v>
      </c>
      <c r="R5" s="61" t="s">
        <v>68</v>
      </c>
      <c r="S5" s="61" t="s">
        <v>69</v>
      </c>
      <c r="T5" s="1104"/>
      <c r="W5" s="60"/>
      <c r="X5" s="60"/>
      <c r="Y5" s="60"/>
      <c r="Z5" s="60"/>
      <c r="AA5" s="60"/>
      <c r="AB5" s="60"/>
    </row>
    <row r="6" spans="1:50" ht="13.5" customHeight="1">
      <c r="A6" s="1101"/>
      <c r="B6" s="64" t="s">
        <v>70</v>
      </c>
      <c r="C6" s="64" t="s">
        <v>71</v>
      </c>
      <c r="D6" s="65" t="s">
        <v>72</v>
      </c>
      <c r="E6" s="66" t="s">
        <v>70</v>
      </c>
      <c r="F6" s="64" t="s">
        <v>71</v>
      </c>
      <c r="G6" s="65" t="s">
        <v>72</v>
      </c>
      <c r="H6" s="66" t="s">
        <v>70</v>
      </c>
      <c r="I6" s="64" t="s">
        <v>71</v>
      </c>
      <c r="J6" s="65" t="s">
        <v>72</v>
      </c>
      <c r="K6" s="66" t="s">
        <v>70</v>
      </c>
      <c r="L6" s="64" t="s">
        <v>71</v>
      </c>
      <c r="M6" s="65" t="s">
        <v>72</v>
      </c>
      <c r="N6" s="66" t="s">
        <v>70</v>
      </c>
      <c r="O6" s="64" t="s">
        <v>71</v>
      </c>
      <c r="P6" s="65" t="s">
        <v>72</v>
      </c>
      <c r="Q6" s="64" t="s">
        <v>70</v>
      </c>
      <c r="R6" s="67" t="s">
        <v>71</v>
      </c>
      <c r="S6" s="67" t="s">
        <v>72</v>
      </c>
      <c r="T6" s="1105"/>
      <c r="W6" s="60"/>
      <c r="X6" s="60"/>
      <c r="Y6" s="60"/>
      <c r="Z6" s="60"/>
      <c r="AA6" s="60"/>
      <c r="AB6" s="60"/>
    </row>
    <row r="7" spans="1:50" s="78" customFormat="1" ht="15.75">
      <c r="A7" s="10" t="s">
        <v>8</v>
      </c>
      <c r="B7" s="68">
        <f>SUM(C7:D7)</f>
        <v>18193</v>
      </c>
      <c r="C7" s="69">
        <f t="shared" ref="C7:J7" si="0">SUM(C8:C19)</f>
        <v>12660</v>
      </c>
      <c r="D7" s="70">
        <f t="shared" si="0"/>
        <v>5533</v>
      </c>
      <c r="E7" s="71">
        <f t="shared" si="0"/>
        <v>16362</v>
      </c>
      <c r="F7" s="69">
        <f t="shared" si="0"/>
        <v>11039</v>
      </c>
      <c r="G7" s="69">
        <f t="shared" si="0"/>
        <v>5323</v>
      </c>
      <c r="H7" s="71">
        <f>SUM(H8:H19)</f>
        <v>16287</v>
      </c>
      <c r="I7" s="69">
        <f t="shared" si="0"/>
        <v>11481</v>
      </c>
      <c r="J7" s="69">
        <f t="shared" si="0"/>
        <v>4806</v>
      </c>
      <c r="K7" s="71">
        <f>SUM(K8:K19)</f>
        <v>15535</v>
      </c>
      <c r="L7" s="69">
        <f t="shared" ref="L7:M7" si="1">SUM(L8:L19)</f>
        <v>10930</v>
      </c>
      <c r="M7" s="69">
        <f t="shared" si="1"/>
        <v>4605</v>
      </c>
      <c r="N7" s="71">
        <f>SUM(N8:N19)</f>
        <v>14811</v>
      </c>
      <c r="O7" s="69">
        <f t="shared" ref="O7:P7" si="2">SUM(O8:O19)</f>
        <v>10203</v>
      </c>
      <c r="P7" s="69">
        <f t="shared" si="2"/>
        <v>4608</v>
      </c>
      <c r="Q7" s="72">
        <f t="shared" ref="Q7:Q26" si="3">(N7-K7)/K7*100</f>
        <v>-4.6604441583521083</v>
      </c>
      <c r="R7" s="73">
        <f t="shared" ref="R7:R26" si="4">(O7-L7)/L7*100</f>
        <v>-6.6514181152790481</v>
      </c>
      <c r="S7" s="73">
        <f t="shared" ref="S7:S26" si="5">(P7-M7)/M7*100</f>
        <v>6.5146579804560262E-2</v>
      </c>
      <c r="T7" s="74" t="s">
        <v>9</v>
      </c>
      <c r="U7" s="75"/>
      <c r="V7" s="76"/>
      <c r="W7" s="77"/>
      <c r="X7" s="77"/>
      <c r="Y7" s="76"/>
      <c r="Z7" s="77"/>
      <c r="AA7" s="77"/>
      <c r="AB7" s="10"/>
      <c r="AC7" s="10"/>
      <c r="AD7" s="10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</row>
    <row r="8" spans="1:50" ht="18.75">
      <c r="A8" s="106" t="s">
        <v>7</v>
      </c>
      <c r="B8" s="98">
        <f>SUM(C8:D8)</f>
        <v>5080</v>
      </c>
      <c r="C8" s="99">
        <v>3662</v>
      </c>
      <c r="D8" s="107">
        <v>1418</v>
      </c>
      <c r="E8" s="108">
        <v>3994</v>
      </c>
      <c r="F8" s="79">
        <v>2816</v>
      </c>
      <c r="G8" s="80">
        <v>1178</v>
      </c>
      <c r="H8" s="81">
        <f>I8+J8</f>
        <v>3616</v>
      </c>
      <c r="I8" s="79">
        <v>2596</v>
      </c>
      <c r="J8" s="80">
        <v>1020</v>
      </c>
      <c r="K8" s="109">
        <f>SUM(L8:M8)</f>
        <v>3503</v>
      </c>
      <c r="L8" s="110">
        <v>2509</v>
      </c>
      <c r="M8" s="111">
        <v>994</v>
      </c>
      <c r="N8" s="109">
        <f>SUM(O8:P8)</f>
        <v>3270</v>
      </c>
      <c r="O8" s="110">
        <v>2141</v>
      </c>
      <c r="P8" s="111">
        <v>1129</v>
      </c>
      <c r="Q8" s="82">
        <f t="shared" si="3"/>
        <v>-6.6514416214673133</v>
      </c>
      <c r="R8" s="83">
        <f t="shared" si="4"/>
        <v>-14.667198086887206</v>
      </c>
      <c r="S8" s="83">
        <f t="shared" si="5"/>
        <v>13.58148893360161</v>
      </c>
      <c r="T8" s="26" t="s">
        <v>11</v>
      </c>
      <c r="U8" s="20"/>
      <c r="V8" s="76"/>
      <c r="W8" s="77"/>
      <c r="X8" s="77"/>
      <c r="Y8" s="76"/>
      <c r="Z8" s="77"/>
      <c r="AA8" s="77"/>
      <c r="AB8" s="10"/>
      <c r="AC8" s="10"/>
      <c r="AD8" s="10"/>
    </row>
    <row r="9" spans="1:50" ht="18.75">
      <c r="A9" s="106" t="s">
        <v>26</v>
      </c>
      <c r="B9" s="69">
        <f t="shared" ref="B9:B29" si="6">SUM(C9:D9)</f>
        <v>2137</v>
      </c>
      <c r="C9" s="79">
        <v>1993</v>
      </c>
      <c r="D9" s="80">
        <v>144</v>
      </c>
      <c r="E9" s="81">
        <v>2044</v>
      </c>
      <c r="F9" s="79">
        <v>1921</v>
      </c>
      <c r="G9" s="80">
        <v>123</v>
      </c>
      <c r="H9" s="81">
        <f t="shared" ref="H9:H30" si="7">I9+J9</f>
        <v>2242</v>
      </c>
      <c r="I9" s="79">
        <v>2061</v>
      </c>
      <c r="J9" s="80">
        <v>181</v>
      </c>
      <c r="K9" s="109">
        <f t="shared" ref="K9:K18" si="8">SUM(L9:M9)</f>
        <v>2105</v>
      </c>
      <c r="L9" s="110">
        <v>1926</v>
      </c>
      <c r="M9" s="111">
        <v>179</v>
      </c>
      <c r="N9" s="109">
        <f t="shared" ref="N9:N18" si="9">SUM(O9:P9)</f>
        <v>2007</v>
      </c>
      <c r="O9" s="110">
        <v>1849</v>
      </c>
      <c r="P9" s="111">
        <v>158</v>
      </c>
      <c r="Q9" s="82">
        <f t="shared" si="3"/>
        <v>-4.6555819477434683</v>
      </c>
      <c r="R9" s="83">
        <f t="shared" si="4"/>
        <v>-3.9979231568016615</v>
      </c>
      <c r="S9" s="83">
        <f t="shared" si="5"/>
        <v>-11.731843575418994</v>
      </c>
      <c r="T9" s="26" t="s">
        <v>73</v>
      </c>
      <c r="U9" s="20"/>
      <c r="V9" s="76"/>
      <c r="W9" s="77"/>
      <c r="X9" s="77"/>
      <c r="Y9" s="76"/>
      <c r="Z9" s="77"/>
      <c r="AA9" s="77"/>
      <c r="AB9" s="10"/>
      <c r="AC9" s="10"/>
      <c r="AD9" s="10"/>
    </row>
    <row r="10" spans="1:50" ht="18.75">
      <c r="A10" s="106" t="s">
        <v>12</v>
      </c>
      <c r="B10" s="69">
        <f t="shared" si="6"/>
        <v>3140</v>
      </c>
      <c r="C10" s="79">
        <v>1906</v>
      </c>
      <c r="D10" s="80">
        <v>1234</v>
      </c>
      <c r="E10" s="81">
        <v>2079</v>
      </c>
      <c r="F10" s="79">
        <v>1170</v>
      </c>
      <c r="G10" s="80">
        <v>909</v>
      </c>
      <c r="H10" s="81">
        <f t="shared" si="7"/>
        <v>2375</v>
      </c>
      <c r="I10" s="79">
        <v>1369</v>
      </c>
      <c r="J10" s="80">
        <v>1006</v>
      </c>
      <c r="K10" s="109">
        <f t="shared" si="8"/>
        <v>2038</v>
      </c>
      <c r="L10" s="110">
        <v>1167</v>
      </c>
      <c r="M10" s="111">
        <v>871</v>
      </c>
      <c r="N10" s="109">
        <f t="shared" si="9"/>
        <v>2230</v>
      </c>
      <c r="O10" s="110">
        <v>1390</v>
      </c>
      <c r="P10" s="111">
        <v>840</v>
      </c>
      <c r="Q10" s="82">
        <f t="shared" si="3"/>
        <v>9.4210009813542683</v>
      </c>
      <c r="R10" s="83">
        <f t="shared" si="4"/>
        <v>19.108826049700088</v>
      </c>
      <c r="S10" s="83">
        <f t="shared" si="5"/>
        <v>-3.5591274397244548</v>
      </c>
      <c r="T10" s="26" t="s">
        <v>16</v>
      </c>
      <c r="U10" s="20"/>
      <c r="V10" s="76"/>
      <c r="W10" s="77"/>
      <c r="X10" s="77"/>
      <c r="Y10" s="76"/>
      <c r="Z10" s="77"/>
      <c r="AA10" s="77"/>
      <c r="AB10" s="10"/>
      <c r="AC10" s="10"/>
      <c r="AD10" s="10"/>
    </row>
    <row r="11" spans="1:50" ht="18.75">
      <c r="A11" s="106" t="s">
        <v>40</v>
      </c>
      <c r="B11" s="69">
        <f t="shared" si="6"/>
        <v>2014</v>
      </c>
      <c r="C11" s="79">
        <v>1611</v>
      </c>
      <c r="D11" s="80">
        <v>403</v>
      </c>
      <c r="E11" s="81">
        <v>1712</v>
      </c>
      <c r="F11" s="79">
        <v>1289</v>
      </c>
      <c r="G11" s="80">
        <v>423</v>
      </c>
      <c r="H11" s="81">
        <f t="shared" si="7"/>
        <v>1829</v>
      </c>
      <c r="I11" s="79">
        <v>1431</v>
      </c>
      <c r="J11" s="80">
        <v>398</v>
      </c>
      <c r="K11" s="109">
        <f t="shared" si="8"/>
        <v>1655</v>
      </c>
      <c r="L11" s="110">
        <v>1306</v>
      </c>
      <c r="M11" s="111">
        <v>349</v>
      </c>
      <c r="N11" s="109">
        <f t="shared" si="9"/>
        <v>1787</v>
      </c>
      <c r="O11" s="110">
        <v>1442</v>
      </c>
      <c r="P11" s="111">
        <v>345</v>
      </c>
      <c r="Q11" s="82">
        <f t="shared" si="3"/>
        <v>7.9758308157099691</v>
      </c>
      <c r="R11" s="83">
        <f t="shared" si="4"/>
        <v>10.413476263399694</v>
      </c>
      <c r="S11" s="83">
        <f t="shared" si="5"/>
        <v>-1.1461318051575931</v>
      </c>
      <c r="T11" s="26" t="s">
        <v>18</v>
      </c>
      <c r="U11" s="20"/>
      <c r="V11" s="76"/>
      <c r="W11" s="77"/>
      <c r="X11" s="77"/>
      <c r="Y11" s="76"/>
      <c r="Z11" s="77"/>
      <c r="AA11" s="77"/>
      <c r="AB11" s="10"/>
      <c r="AC11" s="10"/>
      <c r="AD11" s="10"/>
    </row>
    <row r="12" spans="1:50" ht="18.75">
      <c r="A12" s="106" t="s">
        <v>14</v>
      </c>
      <c r="B12" s="98">
        <f t="shared" si="6"/>
        <v>1062</v>
      </c>
      <c r="C12" s="99">
        <v>494</v>
      </c>
      <c r="D12" s="107">
        <v>568</v>
      </c>
      <c r="E12" s="108">
        <v>932</v>
      </c>
      <c r="F12" s="79">
        <v>399</v>
      </c>
      <c r="G12" s="80">
        <v>533</v>
      </c>
      <c r="H12" s="81">
        <f t="shared" si="7"/>
        <v>781</v>
      </c>
      <c r="I12" s="79">
        <v>375</v>
      </c>
      <c r="J12" s="80">
        <v>406</v>
      </c>
      <c r="K12" s="109">
        <f t="shared" si="8"/>
        <v>770</v>
      </c>
      <c r="L12" s="110">
        <v>360</v>
      </c>
      <c r="M12" s="111">
        <v>410</v>
      </c>
      <c r="N12" s="109">
        <f t="shared" si="9"/>
        <v>753</v>
      </c>
      <c r="O12" s="110">
        <v>338</v>
      </c>
      <c r="P12" s="111">
        <v>415</v>
      </c>
      <c r="Q12" s="82">
        <f t="shared" si="3"/>
        <v>-2.2077922077922079</v>
      </c>
      <c r="R12" s="83">
        <f t="shared" si="4"/>
        <v>-6.1111111111111107</v>
      </c>
      <c r="S12" s="83">
        <f t="shared" si="5"/>
        <v>1.2195121951219512</v>
      </c>
      <c r="T12" s="26" t="s">
        <v>20</v>
      </c>
      <c r="U12" s="20"/>
      <c r="V12" s="76"/>
      <c r="W12" s="77"/>
      <c r="X12" s="77"/>
      <c r="Y12" s="76"/>
      <c r="Z12" s="77"/>
      <c r="AA12" s="77"/>
      <c r="AB12" s="10"/>
      <c r="AC12" s="10"/>
      <c r="AD12" s="10"/>
    </row>
    <row r="13" spans="1:50" ht="18.75">
      <c r="A13" s="106" t="s">
        <v>21</v>
      </c>
      <c r="B13" s="69">
        <f t="shared" si="6"/>
        <v>520</v>
      </c>
      <c r="C13" s="79">
        <v>277</v>
      </c>
      <c r="D13" s="80">
        <v>243</v>
      </c>
      <c r="E13" s="81">
        <v>535</v>
      </c>
      <c r="F13" s="79">
        <v>289</v>
      </c>
      <c r="G13" s="80">
        <v>246</v>
      </c>
      <c r="H13" s="81">
        <f t="shared" si="7"/>
        <v>359</v>
      </c>
      <c r="I13" s="79">
        <v>202</v>
      </c>
      <c r="J13" s="80">
        <v>157</v>
      </c>
      <c r="K13" s="109">
        <f t="shared" si="8"/>
        <v>455</v>
      </c>
      <c r="L13" s="110">
        <v>296</v>
      </c>
      <c r="M13" s="111">
        <v>159</v>
      </c>
      <c r="N13" s="109">
        <f t="shared" si="9"/>
        <v>472</v>
      </c>
      <c r="O13" s="110">
        <v>294</v>
      </c>
      <c r="P13" s="111">
        <v>178</v>
      </c>
      <c r="Q13" s="82">
        <f t="shared" si="3"/>
        <v>3.7362637362637363</v>
      </c>
      <c r="R13" s="83">
        <f t="shared" si="4"/>
        <v>-0.67567567567567566</v>
      </c>
      <c r="S13" s="83">
        <f t="shared" si="5"/>
        <v>11.949685534591195</v>
      </c>
      <c r="T13" s="26" t="s">
        <v>22</v>
      </c>
      <c r="U13" s="20"/>
      <c r="V13" s="76"/>
      <c r="W13" s="77"/>
      <c r="X13" s="77"/>
      <c r="Y13" s="76"/>
      <c r="Z13" s="77"/>
      <c r="AA13" s="77"/>
      <c r="AB13" s="10"/>
      <c r="AC13" s="10"/>
      <c r="AD13" s="10"/>
    </row>
    <row r="14" spans="1:50" ht="18.75">
      <c r="A14" s="106" t="s">
        <v>19</v>
      </c>
      <c r="B14" s="69">
        <f t="shared" si="6"/>
        <v>620</v>
      </c>
      <c r="C14" s="79">
        <v>561</v>
      </c>
      <c r="D14" s="80">
        <v>59</v>
      </c>
      <c r="E14" s="81">
        <v>545</v>
      </c>
      <c r="F14" s="79">
        <v>496</v>
      </c>
      <c r="G14" s="80">
        <v>49</v>
      </c>
      <c r="H14" s="81">
        <f t="shared" si="7"/>
        <v>716</v>
      </c>
      <c r="I14" s="79">
        <v>675</v>
      </c>
      <c r="J14" s="80">
        <v>41</v>
      </c>
      <c r="K14" s="109">
        <f t="shared" si="8"/>
        <v>662</v>
      </c>
      <c r="L14" s="110">
        <v>619</v>
      </c>
      <c r="M14" s="111">
        <v>43</v>
      </c>
      <c r="N14" s="109">
        <f t="shared" si="9"/>
        <v>537</v>
      </c>
      <c r="O14" s="110">
        <v>491</v>
      </c>
      <c r="P14" s="111">
        <v>46</v>
      </c>
      <c r="Q14" s="82">
        <f t="shared" si="3"/>
        <v>-18.882175226586103</v>
      </c>
      <c r="R14" s="83">
        <f t="shared" si="4"/>
        <v>-20.678513731825525</v>
      </c>
      <c r="S14" s="83">
        <f t="shared" si="5"/>
        <v>6.9767441860465116</v>
      </c>
      <c r="T14" s="26" t="s">
        <v>25</v>
      </c>
      <c r="U14" s="20"/>
      <c r="V14" s="76"/>
      <c r="W14" s="77"/>
      <c r="X14" s="77"/>
      <c r="Y14" s="76"/>
      <c r="Z14" s="77"/>
      <c r="AA14" s="77"/>
      <c r="AB14" s="10"/>
      <c r="AC14" s="10"/>
      <c r="AD14" s="10"/>
    </row>
    <row r="15" spans="1:50" ht="18.75">
      <c r="A15" s="20" t="s">
        <v>28</v>
      </c>
      <c r="B15" s="69">
        <f t="shared" si="6"/>
        <v>475</v>
      </c>
      <c r="C15" s="79">
        <v>136</v>
      </c>
      <c r="D15" s="80">
        <v>339</v>
      </c>
      <c r="E15" s="81">
        <v>534</v>
      </c>
      <c r="F15" s="79">
        <v>135</v>
      </c>
      <c r="G15" s="80">
        <v>399</v>
      </c>
      <c r="H15" s="81">
        <f t="shared" si="7"/>
        <v>467</v>
      </c>
      <c r="I15" s="79">
        <v>152</v>
      </c>
      <c r="J15" s="80">
        <v>315</v>
      </c>
      <c r="K15" s="109">
        <f t="shared" si="8"/>
        <v>417</v>
      </c>
      <c r="L15" s="110">
        <v>129</v>
      </c>
      <c r="M15" s="111">
        <v>288</v>
      </c>
      <c r="N15" s="109">
        <f t="shared" si="9"/>
        <v>361</v>
      </c>
      <c r="O15" s="110">
        <v>114</v>
      </c>
      <c r="P15" s="111">
        <v>247</v>
      </c>
      <c r="Q15" s="82">
        <f t="shared" si="3"/>
        <v>-13.429256594724221</v>
      </c>
      <c r="R15" s="83">
        <f t="shared" si="4"/>
        <v>-11.627906976744185</v>
      </c>
      <c r="S15" s="83">
        <f t="shared" si="5"/>
        <v>-14.236111111111111</v>
      </c>
      <c r="T15" s="26" t="s">
        <v>29</v>
      </c>
      <c r="U15" s="20"/>
      <c r="V15" s="76"/>
      <c r="W15" s="77"/>
      <c r="X15" s="77"/>
      <c r="Y15" s="76"/>
      <c r="Z15" s="77"/>
      <c r="AA15" s="77"/>
      <c r="AB15" s="10"/>
      <c r="AC15" s="10"/>
      <c r="AD15" s="10"/>
    </row>
    <row r="16" spans="1:50" ht="18.75">
      <c r="A16" s="20" t="s">
        <v>27</v>
      </c>
      <c r="B16" s="69">
        <f t="shared" si="6"/>
        <v>377</v>
      </c>
      <c r="C16" s="79">
        <v>288</v>
      </c>
      <c r="D16" s="80">
        <v>89</v>
      </c>
      <c r="E16" s="81">
        <v>743</v>
      </c>
      <c r="F16" s="79">
        <v>607</v>
      </c>
      <c r="G16" s="80">
        <v>136</v>
      </c>
      <c r="H16" s="81">
        <f t="shared" si="7"/>
        <v>523</v>
      </c>
      <c r="I16" s="79">
        <v>438</v>
      </c>
      <c r="J16" s="80">
        <v>85</v>
      </c>
      <c r="K16" s="109">
        <f t="shared" si="8"/>
        <v>518</v>
      </c>
      <c r="L16" s="110">
        <v>435</v>
      </c>
      <c r="M16" s="111">
        <v>83</v>
      </c>
      <c r="N16" s="109">
        <f t="shared" si="9"/>
        <v>516</v>
      </c>
      <c r="O16" s="110">
        <v>373</v>
      </c>
      <c r="P16" s="111">
        <v>143</v>
      </c>
      <c r="Q16" s="82">
        <f t="shared" si="3"/>
        <v>-0.38610038610038611</v>
      </c>
      <c r="R16" s="83">
        <f t="shared" si="4"/>
        <v>-14.25287356321839</v>
      </c>
      <c r="S16" s="83">
        <f t="shared" si="5"/>
        <v>72.289156626506028</v>
      </c>
      <c r="T16" s="26" t="s">
        <v>31</v>
      </c>
      <c r="U16" s="20"/>
      <c r="V16" s="76"/>
      <c r="W16" s="77"/>
      <c r="X16" s="77"/>
      <c r="Y16" s="76"/>
      <c r="Z16" s="77"/>
      <c r="AA16" s="77"/>
      <c r="AB16" s="10"/>
      <c r="AC16" s="10"/>
      <c r="AD16" s="10"/>
    </row>
    <row r="17" spans="1:30" ht="18.75">
      <c r="A17" s="20" t="s">
        <v>30</v>
      </c>
      <c r="B17" s="69">
        <f t="shared" si="6"/>
        <v>186</v>
      </c>
      <c r="C17" s="79">
        <v>101</v>
      </c>
      <c r="D17" s="80">
        <v>85</v>
      </c>
      <c r="E17" s="81">
        <v>341</v>
      </c>
      <c r="F17" s="79">
        <v>135</v>
      </c>
      <c r="G17" s="80">
        <v>206</v>
      </c>
      <c r="H17" s="81">
        <f t="shared" si="7"/>
        <v>305</v>
      </c>
      <c r="I17" s="79">
        <v>149</v>
      </c>
      <c r="J17" s="80">
        <v>156</v>
      </c>
      <c r="K17" s="109">
        <f t="shared" si="8"/>
        <v>279</v>
      </c>
      <c r="L17" s="110">
        <v>133</v>
      </c>
      <c r="M17" s="111">
        <v>146</v>
      </c>
      <c r="N17" s="109">
        <f t="shared" si="9"/>
        <v>240</v>
      </c>
      <c r="O17" s="110">
        <v>116</v>
      </c>
      <c r="P17" s="111">
        <v>124</v>
      </c>
      <c r="Q17" s="82">
        <f t="shared" si="3"/>
        <v>-13.978494623655912</v>
      </c>
      <c r="R17" s="83">
        <f t="shared" si="4"/>
        <v>-12.781954887218044</v>
      </c>
      <c r="S17" s="83">
        <f t="shared" si="5"/>
        <v>-15.068493150684931</v>
      </c>
      <c r="T17" s="26" t="s">
        <v>33</v>
      </c>
      <c r="U17" s="20"/>
      <c r="V17" s="76"/>
      <c r="W17" s="77"/>
      <c r="X17" s="77"/>
      <c r="Y17" s="76"/>
      <c r="Z17" s="77"/>
      <c r="AA17" s="77"/>
      <c r="AB17" s="10"/>
      <c r="AC17" s="10"/>
      <c r="AD17" s="10"/>
    </row>
    <row r="18" spans="1:30" ht="18.75">
      <c r="A18" s="20" t="s">
        <v>32</v>
      </c>
      <c r="B18" s="69">
        <f t="shared" si="6"/>
        <v>77</v>
      </c>
      <c r="C18" s="79">
        <v>65</v>
      </c>
      <c r="D18" s="80">
        <v>12</v>
      </c>
      <c r="E18" s="81">
        <v>91</v>
      </c>
      <c r="F18" s="79">
        <v>75</v>
      </c>
      <c r="G18" s="80">
        <v>16</v>
      </c>
      <c r="H18" s="81">
        <f t="shared" si="7"/>
        <v>97</v>
      </c>
      <c r="I18" s="79">
        <v>76</v>
      </c>
      <c r="J18" s="80">
        <v>21</v>
      </c>
      <c r="K18" s="109">
        <f t="shared" si="8"/>
        <v>86</v>
      </c>
      <c r="L18" s="110">
        <v>71</v>
      </c>
      <c r="M18" s="111">
        <v>15</v>
      </c>
      <c r="N18" s="109">
        <f t="shared" si="9"/>
        <v>71</v>
      </c>
      <c r="O18" s="110">
        <v>64</v>
      </c>
      <c r="P18" s="111">
        <v>7</v>
      </c>
      <c r="Q18" s="82">
        <f t="shared" si="3"/>
        <v>-17.441860465116278</v>
      </c>
      <c r="R18" s="83">
        <f t="shared" si="4"/>
        <v>-9.8591549295774641</v>
      </c>
      <c r="S18" s="83">
        <f t="shared" si="5"/>
        <v>-53.333333333333336</v>
      </c>
      <c r="T18" s="26" t="s">
        <v>35</v>
      </c>
      <c r="U18" s="20"/>
      <c r="V18" s="76"/>
      <c r="W18" s="77"/>
      <c r="X18" s="77"/>
      <c r="Y18" s="76"/>
      <c r="Z18" s="77"/>
      <c r="AA18" s="77"/>
      <c r="AB18" s="10"/>
      <c r="AC18" s="10"/>
      <c r="AD18" s="10"/>
    </row>
    <row r="19" spans="1:30" ht="18.75">
      <c r="A19" s="20" t="s">
        <v>15</v>
      </c>
      <c r="B19" s="69">
        <f t="shared" si="6"/>
        <v>2505</v>
      </c>
      <c r="C19" s="79">
        <f>SUM(C20:C30)</f>
        <v>1566</v>
      </c>
      <c r="D19" s="80">
        <f>SUM(D20:D30)</f>
        <v>939</v>
      </c>
      <c r="E19" s="81">
        <v>2812</v>
      </c>
      <c r="F19" s="79">
        <v>1707</v>
      </c>
      <c r="G19" s="80">
        <v>1105</v>
      </c>
      <c r="H19" s="81">
        <f t="shared" si="7"/>
        <v>2977</v>
      </c>
      <c r="I19" s="79">
        <v>1957</v>
      </c>
      <c r="J19" s="79">
        <v>1020</v>
      </c>
      <c r="K19" s="109">
        <f>SUM(L19:M19)</f>
        <v>3047</v>
      </c>
      <c r="L19" s="110">
        <v>1979</v>
      </c>
      <c r="M19" s="111">
        <v>1068</v>
      </c>
      <c r="N19" s="109">
        <f>SUM(O19:P19)</f>
        <v>2567</v>
      </c>
      <c r="O19" s="110">
        <v>1591</v>
      </c>
      <c r="P19" s="111">
        <v>976</v>
      </c>
      <c r="Q19" s="82">
        <f t="shared" si="3"/>
        <v>-15.753199868723334</v>
      </c>
      <c r="R19" s="83">
        <f t="shared" si="4"/>
        <v>-19.605861546235474</v>
      </c>
      <c r="S19" s="83">
        <f t="shared" si="5"/>
        <v>-8.6142322097378283</v>
      </c>
      <c r="T19" s="26" t="s">
        <v>37</v>
      </c>
      <c r="U19" s="20"/>
      <c r="V19" s="76"/>
      <c r="W19" s="77"/>
      <c r="X19" s="77"/>
      <c r="Y19" s="76"/>
      <c r="Z19" s="77"/>
      <c r="AA19" s="77"/>
      <c r="AB19" s="10"/>
      <c r="AC19" s="10"/>
      <c r="AD19" s="10"/>
    </row>
    <row r="20" spans="1:30" ht="18.75">
      <c r="A20" s="84" t="s">
        <v>74</v>
      </c>
      <c r="B20" s="69">
        <f t="shared" si="6"/>
        <v>592</v>
      </c>
      <c r="C20" s="79">
        <v>329</v>
      </c>
      <c r="D20" s="80">
        <v>263</v>
      </c>
      <c r="E20" s="81">
        <v>530</v>
      </c>
      <c r="F20" s="79">
        <v>268</v>
      </c>
      <c r="G20" s="80">
        <v>262</v>
      </c>
      <c r="H20" s="81">
        <f t="shared" si="7"/>
        <v>593</v>
      </c>
      <c r="I20" s="79">
        <v>362</v>
      </c>
      <c r="J20" s="79">
        <v>231</v>
      </c>
      <c r="K20" s="109">
        <f t="shared" ref="K20:K30" si="10">L20+M20</f>
        <v>636</v>
      </c>
      <c r="L20" s="110">
        <v>402</v>
      </c>
      <c r="M20" s="111">
        <v>234</v>
      </c>
      <c r="N20" s="109">
        <f t="shared" ref="N20:N30" si="11">O20+P20</f>
        <v>542</v>
      </c>
      <c r="O20" s="110">
        <v>327</v>
      </c>
      <c r="P20" s="111">
        <v>215</v>
      </c>
      <c r="Q20" s="82">
        <f t="shared" si="3"/>
        <v>-14.779874213836477</v>
      </c>
      <c r="R20" s="83">
        <f t="shared" si="4"/>
        <v>-18.656716417910449</v>
      </c>
      <c r="S20" s="83">
        <f t="shared" si="5"/>
        <v>-8.1196581196581192</v>
      </c>
      <c r="T20" s="26" t="s">
        <v>75</v>
      </c>
      <c r="W20" s="60"/>
      <c r="X20" s="60"/>
      <c r="Y20" s="60"/>
      <c r="Z20" s="60"/>
      <c r="AA20" s="60"/>
      <c r="AB20" s="60"/>
    </row>
    <row r="21" spans="1:30" ht="18.75">
      <c r="A21" s="84" t="s">
        <v>76</v>
      </c>
      <c r="B21" s="69">
        <f t="shared" si="6"/>
        <v>57</v>
      </c>
      <c r="C21" s="79">
        <v>22</v>
      </c>
      <c r="D21" s="80">
        <v>35</v>
      </c>
      <c r="E21" s="81">
        <v>60</v>
      </c>
      <c r="F21" s="79">
        <v>26</v>
      </c>
      <c r="G21" s="80">
        <v>34</v>
      </c>
      <c r="H21" s="81">
        <f t="shared" si="7"/>
        <v>66</v>
      </c>
      <c r="I21" s="79">
        <v>31</v>
      </c>
      <c r="J21" s="79">
        <v>35</v>
      </c>
      <c r="K21" s="109">
        <f t="shared" si="10"/>
        <v>75</v>
      </c>
      <c r="L21" s="110">
        <v>29</v>
      </c>
      <c r="M21" s="111">
        <v>46</v>
      </c>
      <c r="N21" s="109">
        <f t="shared" si="11"/>
        <v>64</v>
      </c>
      <c r="O21" s="110">
        <v>18</v>
      </c>
      <c r="P21" s="111">
        <v>46</v>
      </c>
      <c r="Q21" s="82">
        <f t="shared" si="3"/>
        <v>-14.666666666666666</v>
      </c>
      <c r="R21" s="83">
        <f t="shared" si="4"/>
        <v>-37.931034482758619</v>
      </c>
      <c r="S21" s="83">
        <f t="shared" si="5"/>
        <v>0</v>
      </c>
      <c r="T21" s="26" t="s">
        <v>77</v>
      </c>
      <c r="W21" s="60"/>
      <c r="X21" s="60"/>
      <c r="Y21" s="60"/>
      <c r="Z21" s="60"/>
      <c r="AA21" s="60"/>
      <c r="AB21" s="60"/>
    </row>
    <row r="22" spans="1:30" ht="18.75">
      <c r="A22" s="84" t="s">
        <v>78</v>
      </c>
      <c r="B22" s="69">
        <f t="shared" si="6"/>
        <v>52</v>
      </c>
      <c r="C22" s="79">
        <v>4</v>
      </c>
      <c r="D22" s="80">
        <v>48</v>
      </c>
      <c r="E22" s="81">
        <v>25</v>
      </c>
      <c r="F22" s="79">
        <v>8</v>
      </c>
      <c r="G22" s="80">
        <v>17</v>
      </c>
      <c r="H22" s="81">
        <f t="shared" si="7"/>
        <v>22</v>
      </c>
      <c r="I22" s="79">
        <v>6</v>
      </c>
      <c r="J22" s="79">
        <v>16</v>
      </c>
      <c r="K22" s="109">
        <f t="shared" si="10"/>
        <v>9</v>
      </c>
      <c r="L22" s="110">
        <v>2</v>
      </c>
      <c r="M22" s="111">
        <v>7</v>
      </c>
      <c r="N22" s="109">
        <f t="shared" si="11"/>
        <v>5</v>
      </c>
      <c r="O22" s="110">
        <v>0</v>
      </c>
      <c r="P22" s="111">
        <v>5</v>
      </c>
      <c r="Q22" s="82">
        <f t="shared" si="3"/>
        <v>-44.444444444444443</v>
      </c>
      <c r="R22" s="83">
        <f t="shared" si="4"/>
        <v>-100</v>
      </c>
      <c r="S22" s="83">
        <f t="shared" si="5"/>
        <v>-28.571428571428569</v>
      </c>
      <c r="T22" s="85" t="s">
        <v>79</v>
      </c>
      <c r="W22" s="60"/>
      <c r="X22" s="60"/>
      <c r="Y22" s="60"/>
      <c r="Z22" s="60"/>
      <c r="AA22" s="60"/>
      <c r="AB22" s="60"/>
    </row>
    <row r="23" spans="1:30" ht="37.5">
      <c r="A23" s="84" t="s">
        <v>80</v>
      </c>
      <c r="B23" s="69">
        <f t="shared" si="6"/>
        <v>40</v>
      </c>
      <c r="C23" s="86">
        <v>26</v>
      </c>
      <c r="D23" s="87">
        <v>14</v>
      </c>
      <c r="E23" s="81">
        <v>38</v>
      </c>
      <c r="F23" s="86">
        <v>19</v>
      </c>
      <c r="G23" s="87">
        <v>19</v>
      </c>
      <c r="H23" s="81">
        <f t="shared" si="7"/>
        <v>45</v>
      </c>
      <c r="I23" s="79">
        <v>31</v>
      </c>
      <c r="J23" s="79">
        <v>14</v>
      </c>
      <c r="K23" s="109">
        <f t="shared" si="10"/>
        <v>26</v>
      </c>
      <c r="L23" s="110">
        <v>16</v>
      </c>
      <c r="M23" s="111">
        <v>10</v>
      </c>
      <c r="N23" s="109">
        <f t="shared" si="11"/>
        <v>12</v>
      </c>
      <c r="O23" s="110">
        <v>5</v>
      </c>
      <c r="P23" s="111">
        <v>7</v>
      </c>
      <c r="Q23" s="82">
        <f t="shared" si="3"/>
        <v>-53.846153846153847</v>
      </c>
      <c r="R23" s="83">
        <f t="shared" si="4"/>
        <v>-68.75</v>
      </c>
      <c r="S23" s="83">
        <f t="shared" si="5"/>
        <v>-30</v>
      </c>
      <c r="T23" s="88" t="s">
        <v>81</v>
      </c>
      <c r="W23" s="60"/>
      <c r="X23" s="60"/>
      <c r="Y23" s="60"/>
      <c r="Z23" s="60"/>
      <c r="AA23" s="60"/>
      <c r="AB23" s="60"/>
    </row>
    <row r="24" spans="1:30" ht="18.75">
      <c r="A24" s="84" t="s">
        <v>38</v>
      </c>
      <c r="B24" s="69">
        <f t="shared" si="6"/>
        <v>42</v>
      </c>
      <c r="C24" s="86">
        <v>5</v>
      </c>
      <c r="D24" s="87">
        <v>37</v>
      </c>
      <c r="E24" s="81">
        <v>61</v>
      </c>
      <c r="F24" s="86">
        <v>14</v>
      </c>
      <c r="G24" s="87">
        <v>47</v>
      </c>
      <c r="H24" s="81">
        <f t="shared" si="7"/>
        <v>35</v>
      </c>
      <c r="I24" s="79">
        <v>8</v>
      </c>
      <c r="J24" s="79">
        <v>27</v>
      </c>
      <c r="K24" s="109">
        <f t="shared" si="10"/>
        <v>32</v>
      </c>
      <c r="L24" s="110">
        <v>6</v>
      </c>
      <c r="M24" s="111">
        <v>26</v>
      </c>
      <c r="N24" s="109">
        <f t="shared" si="11"/>
        <v>24</v>
      </c>
      <c r="O24" s="110">
        <v>6</v>
      </c>
      <c r="P24" s="111">
        <v>18</v>
      </c>
      <c r="Q24" s="82">
        <f t="shared" si="3"/>
        <v>-25</v>
      </c>
      <c r="R24" s="83">
        <f t="shared" si="4"/>
        <v>0</v>
      </c>
      <c r="S24" s="83">
        <f t="shared" si="5"/>
        <v>-30.76923076923077</v>
      </c>
      <c r="T24" s="85" t="s">
        <v>39</v>
      </c>
      <c r="W24" s="60"/>
      <c r="X24" s="60"/>
      <c r="Y24" s="60"/>
      <c r="Z24" s="60"/>
      <c r="AA24" s="60"/>
      <c r="AB24" s="60"/>
    </row>
    <row r="25" spans="1:30" ht="18.75">
      <c r="A25" s="84" t="s">
        <v>82</v>
      </c>
      <c r="B25" s="69">
        <f t="shared" si="6"/>
        <v>166</v>
      </c>
      <c r="C25" s="86">
        <v>70</v>
      </c>
      <c r="D25" s="87">
        <v>96</v>
      </c>
      <c r="E25" s="81">
        <v>145</v>
      </c>
      <c r="F25" s="86">
        <v>77</v>
      </c>
      <c r="G25" s="87">
        <v>68</v>
      </c>
      <c r="H25" s="81">
        <f t="shared" si="7"/>
        <v>144</v>
      </c>
      <c r="I25" s="79">
        <v>75</v>
      </c>
      <c r="J25" s="79">
        <v>69</v>
      </c>
      <c r="K25" s="109">
        <f t="shared" si="10"/>
        <v>145</v>
      </c>
      <c r="L25" s="110">
        <v>74</v>
      </c>
      <c r="M25" s="111">
        <v>71</v>
      </c>
      <c r="N25" s="109">
        <f t="shared" si="11"/>
        <v>89</v>
      </c>
      <c r="O25" s="110">
        <v>30</v>
      </c>
      <c r="P25" s="111">
        <v>59</v>
      </c>
      <c r="Q25" s="82">
        <f t="shared" si="3"/>
        <v>-38.620689655172413</v>
      </c>
      <c r="R25" s="83">
        <f t="shared" si="4"/>
        <v>-59.45945945945946</v>
      </c>
      <c r="S25" s="83">
        <f t="shared" si="5"/>
        <v>-16.901408450704224</v>
      </c>
      <c r="T25" s="85" t="s">
        <v>83</v>
      </c>
      <c r="W25" s="60"/>
      <c r="X25" s="60"/>
      <c r="Y25" s="60"/>
      <c r="Z25" s="60"/>
      <c r="AA25" s="60"/>
      <c r="AB25" s="60"/>
    </row>
    <row r="26" spans="1:30" ht="18.75">
      <c r="A26" s="84" t="s">
        <v>84</v>
      </c>
      <c r="B26" s="69">
        <f t="shared" si="6"/>
        <v>65</v>
      </c>
      <c r="C26" s="86">
        <v>39</v>
      </c>
      <c r="D26" s="87">
        <v>26</v>
      </c>
      <c r="E26" s="81">
        <v>96</v>
      </c>
      <c r="F26" s="86">
        <v>58</v>
      </c>
      <c r="G26" s="87">
        <v>38</v>
      </c>
      <c r="H26" s="81">
        <f t="shared" si="7"/>
        <v>51</v>
      </c>
      <c r="I26" s="79">
        <v>33</v>
      </c>
      <c r="J26" s="79">
        <v>18</v>
      </c>
      <c r="K26" s="109">
        <f t="shared" si="10"/>
        <v>71</v>
      </c>
      <c r="L26" s="110">
        <v>38</v>
      </c>
      <c r="M26" s="111">
        <v>33</v>
      </c>
      <c r="N26" s="109">
        <f t="shared" si="11"/>
        <v>92</v>
      </c>
      <c r="O26" s="110">
        <v>47</v>
      </c>
      <c r="P26" s="111">
        <v>45</v>
      </c>
      <c r="Q26" s="82">
        <f t="shared" si="3"/>
        <v>29.577464788732392</v>
      </c>
      <c r="R26" s="83">
        <f t="shared" si="4"/>
        <v>23.684210526315788</v>
      </c>
      <c r="S26" s="83">
        <f t="shared" si="5"/>
        <v>36.363636363636367</v>
      </c>
      <c r="T26" s="85" t="s">
        <v>85</v>
      </c>
      <c r="W26" s="60"/>
      <c r="X26" s="60"/>
      <c r="Y26" s="60"/>
      <c r="Z26" s="60"/>
      <c r="AA26" s="60"/>
      <c r="AB26" s="60"/>
    </row>
    <row r="27" spans="1:30" ht="18.75">
      <c r="A27" s="84" t="s">
        <v>86</v>
      </c>
      <c r="B27" s="69">
        <f t="shared" si="6"/>
        <v>5</v>
      </c>
      <c r="C27" s="86">
        <v>3</v>
      </c>
      <c r="D27" s="87">
        <v>2</v>
      </c>
      <c r="E27" s="81">
        <v>6</v>
      </c>
      <c r="F27" s="89">
        <v>0</v>
      </c>
      <c r="G27" s="87">
        <v>6</v>
      </c>
      <c r="H27" s="81">
        <f t="shared" si="7"/>
        <v>3</v>
      </c>
      <c r="I27" s="79">
        <v>1</v>
      </c>
      <c r="J27" s="79">
        <v>2</v>
      </c>
      <c r="K27" s="109">
        <f t="shared" si="10"/>
        <v>4</v>
      </c>
      <c r="L27" s="110">
        <v>2</v>
      </c>
      <c r="M27" s="111">
        <v>2</v>
      </c>
      <c r="N27" s="109">
        <f t="shared" si="11"/>
        <v>8</v>
      </c>
      <c r="O27" s="110">
        <v>0</v>
      </c>
      <c r="P27" s="111">
        <v>8</v>
      </c>
      <c r="Q27" s="82">
        <f>(N27-K27)/K27*100</f>
        <v>100</v>
      </c>
      <c r="R27" s="83">
        <v>0</v>
      </c>
      <c r="S27" s="83">
        <f>(P27-M27)/M27*100</f>
        <v>300</v>
      </c>
      <c r="T27" s="85" t="s">
        <v>87</v>
      </c>
      <c r="W27" s="60"/>
      <c r="X27" s="60"/>
      <c r="Y27" s="60"/>
      <c r="Z27" s="60"/>
      <c r="AA27" s="60"/>
      <c r="AB27" s="60"/>
    </row>
    <row r="28" spans="1:30" ht="18.75">
      <c r="A28" s="84" t="s">
        <v>88</v>
      </c>
      <c r="B28" s="69">
        <f t="shared" si="6"/>
        <v>42</v>
      </c>
      <c r="C28" s="86">
        <v>22</v>
      </c>
      <c r="D28" s="87">
        <v>20</v>
      </c>
      <c r="E28" s="81">
        <v>62</v>
      </c>
      <c r="F28" s="86">
        <v>29</v>
      </c>
      <c r="G28" s="87">
        <v>33</v>
      </c>
      <c r="H28" s="81">
        <f t="shared" si="7"/>
        <v>59</v>
      </c>
      <c r="I28" s="79">
        <v>27</v>
      </c>
      <c r="J28" s="79">
        <v>32</v>
      </c>
      <c r="K28" s="109">
        <f t="shared" si="10"/>
        <v>70</v>
      </c>
      <c r="L28" s="110">
        <v>28</v>
      </c>
      <c r="M28" s="111">
        <v>42</v>
      </c>
      <c r="N28" s="109">
        <f t="shared" si="11"/>
        <v>36</v>
      </c>
      <c r="O28" s="110">
        <v>16</v>
      </c>
      <c r="P28" s="111">
        <v>20</v>
      </c>
      <c r="Q28" s="82">
        <f>(N28-K28)/K28*100</f>
        <v>-48.571428571428569</v>
      </c>
      <c r="R28" s="83">
        <f>(O28-L28)/L28*100</f>
        <v>-42.857142857142854</v>
      </c>
      <c r="S28" s="83">
        <f>(P28-M28)/M28*100</f>
        <v>-52.380952380952387</v>
      </c>
      <c r="T28" s="85" t="s">
        <v>42</v>
      </c>
      <c r="W28" s="60"/>
      <c r="X28" s="60"/>
      <c r="Y28" s="60"/>
      <c r="Z28" s="60"/>
      <c r="AA28" s="60"/>
      <c r="AB28" s="60"/>
    </row>
    <row r="29" spans="1:30" ht="18.75">
      <c r="A29" s="84" t="s">
        <v>89</v>
      </c>
      <c r="B29" s="69">
        <f t="shared" si="6"/>
        <v>77</v>
      </c>
      <c r="C29" s="79">
        <v>48</v>
      </c>
      <c r="D29" s="80">
        <v>29</v>
      </c>
      <c r="E29" s="81">
        <v>45</v>
      </c>
      <c r="F29" s="79">
        <v>20</v>
      </c>
      <c r="G29" s="80">
        <v>25</v>
      </c>
      <c r="H29" s="81">
        <f t="shared" si="7"/>
        <v>39</v>
      </c>
      <c r="I29" s="79">
        <v>17</v>
      </c>
      <c r="J29" s="79">
        <v>22</v>
      </c>
      <c r="K29" s="109">
        <f t="shared" si="10"/>
        <v>27</v>
      </c>
      <c r="L29" s="110">
        <v>19</v>
      </c>
      <c r="M29" s="111">
        <v>8</v>
      </c>
      <c r="N29" s="109">
        <f t="shared" si="11"/>
        <v>36</v>
      </c>
      <c r="O29" s="110">
        <v>24</v>
      </c>
      <c r="P29" s="111">
        <v>12</v>
      </c>
      <c r="Q29" s="82">
        <f>(N29-K29)/K29*100</f>
        <v>33.333333333333329</v>
      </c>
      <c r="R29" s="83">
        <f>(O29-L29)/L29*100</f>
        <v>26.315789473684209</v>
      </c>
      <c r="S29" s="83">
        <f>(P29-M29)/M29*100</f>
        <v>50</v>
      </c>
      <c r="T29" s="85" t="s">
        <v>90</v>
      </c>
      <c r="V29" s="26"/>
      <c r="W29" s="60"/>
      <c r="X29" s="60"/>
      <c r="Y29" s="60"/>
      <c r="Z29" s="60"/>
      <c r="AA29" s="60"/>
      <c r="AB29" s="60"/>
    </row>
    <row r="30" spans="1:30" ht="18.75">
      <c r="A30" s="90" t="s">
        <v>15</v>
      </c>
      <c r="B30" s="91">
        <f>SUM(C30:D30)</f>
        <v>1367</v>
      </c>
      <c r="C30" s="92">
        <v>998</v>
      </c>
      <c r="D30" s="93">
        <v>369</v>
      </c>
      <c r="E30" s="94">
        <v>1744</v>
      </c>
      <c r="F30" s="92">
        <v>1188</v>
      </c>
      <c r="G30" s="92">
        <v>556</v>
      </c>
      <c r="H30" s="94">
        <f t="shared" si="7"/>
        <v>1920</v>
      </c>
      <c r="I30" s="92">
        <v>1366</v>
      </c>
      <c r="J30" s="92">
        <v>554</v>
      </c>
      <c r="K30" s="112">
        <f t="shared" si="10"/>
        <v>1952</v>
      </c>
      <c r="L30" s="113">
        <v>1363</v>
      </c>
      <c r="M30" s="114">
        <v>589</v>
      </c>
      <c r="N30" s="112">
        <f t="shared" si="11"/>
        <v>248</v>
      </c>
      <c r="O30" s="113">
        <v>151</v>
      </c>
      <c r="P30" s="114">
        <v>97</v>
      </c>
      <c r="Q30" s="95">
        <f>(N30-K30)/K30*100</f>
        <v>-87.295081967213122</v>
      </c>
      <c r="R30" s="96">
        <f>(O30-L30)/L30*100</f>
        <v>-88.921496698459279</v>
      </c>
      <c r="S30" s="96">
        <f>(P30-M30)/M30*100</f>
        <v>-83.531409168081495</v>
      </c>
      <c r="T30" s="97" t="s">
        <v>37</v>
      </c>
      <c r="V30" s="1"/>
      <c r="W30" s="60"/>
      <c r="X30" s="60"/>
      <c r="Y30" s="60"/>
      <c r="Z30" s="60"/>
      <c r="AA30" s="60"/>
      <c r="AB30" s="60"/>
    </row>
    <row r="31" spans="1:30" ht="17.25">
      <c r="A31" s="101" t="s">
        <v>60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Q31" s="100"/>
      <c r="R31" s="100"/>
      <c r="S31" s="100"/>
      <c r="T31" s="102" t="s">
        <v>61</v>
      </c>
      <c r="W31" s="60"/>
      <c r="X31" s="60"/>
      <c r="Y31" s="60"/>
      <c r="Z31" s="60"/>
      <c r="AA31" s="60"/>
      <c r="AB31" s="60"/>
    </row>
    <row r="32" spans="1:30">
      <c r="O32" s="103"/>
      <c r="P32" s="103"/>
    </row>
    <row r="33" spans="1:28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W33" s="60"/>
      <c r="X33" s="60"/>
      <c r="Y33" s="60"/>
      <c r="Z33" s="60"/>
      <c r="AA33" s="60"/>
      <c r="AB33" s="60"/>
    </row>
    <row r="34" spans="1:28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Q34" s="103"/>
      <c r="R34" s="103"/>
      <c r="S34" s="103"/>
      <c r="T34" s="103"/>
      <c r="W34" s="60"/>
      <c r="X34" s="60"/>
      <c r="Y34" s="60"/>
      <c r="Z34" s="60"/>
      <c r="AA34" s="60"/>
      <c r="AB34" s="60"/>
    </row>
    <row r="35" spans="1:28">
      <c r="W35" s="60"/>
      <c r="X35" s="60"/>
      <c r="Y35" s="60"/>
      <c r="Z35" s="60"/>
      <c r="AA35" s="60"/>
      <c r="AB35" s="60"/>
    </row>
    <row r="36" spans="1:28">
      <c r="W36" s="60"/>
      <c r="X36" s="60"/>
      <c r="Y36" s="60"/>
      <c r="Z36" s="60"/>
      <c r="AA36" s="60"/>
      <c r="AB36" s="60"/>
    </row>
    <row r="37" spans="1:28">
      <c r="W37" s="60"/>
      <c r="X37" s="60"/>
      <c r="Y37" s="60"/>
      <c r="Z37" s="60"/>
      <c r="AA37" s="60"/>
      <c r="AB37" s="60"/>
    </row>
    <row r="38" spans="1:28">
      <c r="O38" s="42"/>
      <c r="P38" s="42"/>
      <c r="W38" s="60"/>
      <c r="X38" s="60"/>
      <c r="Y38" s="60"/>
      <c r="Z38" s="60"/>
      <c r="AA38" s="60"/>
      <c r="AB38" s="60"/>
    </row>
    <row r="39" spans="1:28" ht="17.25">
      <c r="A39" s="104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Q39" s="42"/>
      <c r="R39" s="42"/>
      <c r="S39" s="42"/>
      <c r="T39" s="105"/>
      <c r="W39" s="60"/>
      <c r="X39" s="60"/>
      <c r="Y39" s="60"/>
      <c r="Z39" s="60"/>
      <c r="AA39" s="60"/>
      <c r="AB39" s="60"/>
    </row>
    <row r="40" spans="1:28">
      <c r="W40" s="60"/>
      <c r="X40" s="60"/>
      <c r="Y40" s="60"/>
      <c r="Z40" s="60"/>
      <c r="AA40" s="60"/>
      <c r="AB40" s="60"/>
    </row>
    <row r="41" spans="1:28">
      <c r="W41" s="60"/>
      <c r="X41" s="60"/>
      <c r="Y41" s="60"/>
      <c r="Z41" s="60"/>
      <c r="AA41" s="60"/>
      <c r="AB41" s="60"/>
    </row>
  </sheetData>
  <mergeCells count="11">
    <mergeCell ref="T3:T6"/>
    <mergeCell ref="Q4:S4"/>
    <mergeCell ref="A1:T1"/>
    <mergeCell ref="A2:T2"/>
    <mergeCell ref="A3:A6"/>
    <mergeCell ref="B3:D4"/>
    <mergeCell ref="E3:G4"/>
    <mergeCell ref="H3:J4"/>
    <mergeCell ref="K3:M4"/>
    <mergeCell ref="N3:P4"/>
    <mergeCell ref="Q3:S3"/>
  </mergeCells>
  <hyperlinks>
    <hyperlink ref="W2" location="Contents!A1" display="GO BACK TO CONTENTS"/>
  </hyperlinks>
  <pageMargins left="0.7" right="0.7" top="0.75" bottom="0.75" header="0.3" footer="0.3"/>
  <pageSetup paperSize="9" orientation="portrait" horizontalDpi="4294967295" verticalDpi="4294967295" r:id="rId1"/>
  <ignoredErrors>
    <ignoredError sqref="Q10:S21 Q23:S30 Q22 S22" unlockedFormula="1"/>
    <ignoredError sqref="Q7:S9" formulaRange="1" unlockedFormula="1"/>
    <ignoredError sqref="F7:P9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0"/>
  <sheetViews>
    <sheetView zoomScale="154" zoomScaleNormal="154" workbookViewId="0">
      <selection activeCell="R39" sqref="R39"/>
    </sheetView>
  </sheetViews>
  <sheetFormatPr defaultColWidth="9.140625" defaultRowHeight="15"/>
  <cols>
    <col min="1" max="1" width="21.85546875" style="1" customWidth="1"/>
    <col min="2" max="7" width="10.42578125" style="1" hidden="1" customWidth="1"/>
    <col min="8" max="10" width="10.42578125" style="1" bestFit="1" customWidth="1"/>
    <col min="11" max="11" width="1.42578125" style="1" customWidth="1"/>
    <col min="12" max="12" width="16" style="1" customWidth="1"/>
    <col min="13" max="13" width="11" style="1" customWidth="1"/>
    <col min="14" max="14" width="4.42578125" style="1" customWidth="1"/>
    <col min="15" max="15" width="6.5703125" style="1" bestFit="1" customWidth="1"/>
    <col min="16" max="16" width="0.140625" style="1" customWidth="1"/>
    <col min="17" max="17" width="2.42578125" style="1" hidden="1" customWidth="1"/>
    <col min="18" max="18" width="22.140625" style="1" bestFit="1" customWidth="1"/>
    <col min="19" max="16384" width="9.140625" style="1"/>
  </cols>
  <sheetData>
    <row r="1" spans="1:21" ht="21.75">
      <c r="A1" s="1129" t="s">
        <v>137</v>
      </c>
      <c r="B1" s="1129"/>
      <c r="C1" s="1129"/>
      <c r="D1" s="1129"/>
      <c r="E1" s="1129"/>
      <c r="F1" s="1129"/>
      <c r="G1" s="1129"/>
      <c r="H1" s="1129"/>
      <c r="I1" s="1129"/>
      <c r="J1" s="1129"/>
      <c r="K1" s="1129"/>
      <c r="L1" s="1129"/>
      <c r="M1" s="1129"/>
    </row>
    <row r="2" spans="1:21" ht="21.75" customHeight="1">
      <c r="A2" s="1130" t="s">
        <v>138</v>
      </c>
      <c r="B2" s="1130"/>
      <c r="C2" s="1130"/>
      <c r="D2" s="1130"/>
      <c r="E2" s="1130"/>
      <c r="F2" s="1130"/>
      <c r="G2" s="1130"/>
      <c r="H2" s="1130"/>
      <c r="I2" s="1130"/>
      <c r="J2" s="1130"/>
      <c r="K2" s="1130"/>
      <c r="L2" s="1130"/>
      <c r="M2" s="1130"/>
    </row>
    <row r="3" spans="1:21" ht="16.5" customHeight="1">
      <c r="A3" s="1100" t="s">
        <v>91</v>
      </c>
      <c r="B3" s="1094">
        <v>2010</v>
      </c>
      <c r="C3" s="1094">
        <v>2011</v>
      </c>
      <c r="D3" s="1094">
        <v>2012</v>
      </c>
      <c r="E3" s="1094">
        <v>2013</v>
      </c>
      <c r="F3" s="1094">
        <v>2014</v>
      </c>
      <c r="G3" s="1094">
        <v>2015</v>
      </c>
      <c r="H3" s="1094">
        <v>2016</v>
      </c>
      <c r="I3" s="1094">
        <v>2017</v>
      </c>
      <c r="J3" s="1094">
        <v>2018</v>
      </c>
      <c r="K3" s="115"/>
      <c r="L3" s="4" t="s">
        <v>92</v>
      </c>
      <c r="M3" s="1127" t="s">
        <v>93</v>
      </c>
      <c r="P3" s="5"/>
      <c r="Q3" s="5"/>
      <c r="R3" s="2"/>
      <c r="S3" s="5"/>
      <c r="T3" s="5"/>
      <c r="U3" s="5"/>
    </row>
    <row r="4" spans="1:21" ht="15.75" customHeight="1">
      <c r="A4" s="1108"/>
      <c r="B4" s="1126"/>
      <c r="C4" s="1126"/>
      <c r="D4" s="1126"/>
      <c r="E4" s="1126"/>
      <c r="F4" s="1126"/>
      <c r="G4" s="1126"/>
      <c r="H4" s="1126"/>
      <c r="I4" s="1126"/>
      <c r="J4" s="1126"/>
      <c r="K4" s="116"/>
      <c r="L4" s="117" t="s">
        <v>94</v>
      </c>
      <c r="M4" s="1128"/>
      <c r="P4" s="5"/>
      <c r="Q4" s="5"/>
      <c r="R4" s="5"/>
      <c r="S4" s="5"/>
      <c r="T4" s="5"/>
      <c r="U4" s="5"/>
    </row>
    <row r="5" spans="1:21" ht="15.75" customHeight="1">
      <c r="A5" s="1101"/>
      <c r="B5" s="1095"/>
      <c r="C5" s="1095"/>
      <c r="D5" s="1095"/>
      <c r="E5" s="1095"/>
      <c r="F5" s="1095"/>
      <c r="G5" s="1095"/>
      <c r="H5" s="1095"/>
      <c r="I5" s="1095"/>
      <c r="J5" s="1095"/>
      <c r="K5" s="118"/>
      <c r="L5" s="119" t="s">
        <v>6</v>
      </c>
      <c r="M5" s="1097"/>
      <c r="P5" s="5"/>
      <c r="Q5" s="5"/>
      <c r="R5" s="5"/>
      <c r="S5" s="5"/>
      <c r="T5" s="5"/>
      <c r="U5" s="5"/>
    </row>
    <row r="6" spans="1:21" s="124" customFormat="1" ht="15.75" customHeight="1">
      <c r="A6" s="10" t="s">
        <v>70</v>
      </c>
      <c r="B6" s="120">
        <f t="shared" ref="B6:J6" si="0">SUM(B7:B8)</f>
        <v>16994</v>
      </c>
      <c r="C6" s="69">
        <f t="shared" si="0"/>
        <v>17803</v>
      </c>
      <c r="D6" s="69">
        <f t="shared" si="0"/>
        <v>20512</v>
      </c>
      <c r="E6" s="69">
        <f t="shared" si="0"/>
        <v>21885</v>
      </c>
      <c r="F6" s="69">
        <f t="shared" si="0"/>
        <v>18187</v>
      </c>
      <c r="G6" s="69">
        <f t="shared" si="0"/>
        <v>16362</v>
      </c>
      <c r="H6" s="69">
        <f t="shared" si="0"/>
        <v>16287</v>
      </c>
      <c r="I6" s="69">
        <f t="shared" si="0"/>
        <v>15535</v>
      </c>
      <c r="J6" s="69">
        <f t="shared" si="0"/>
        <v>14811</v>
      </c>
      <c r="K6" s="121"/>
      <c r="L6" s="122">
        <f t="shared" ref="L6:L28" si="1">IFERROR(((J6-I6)/I6)*100,"-")</f>
        <v>-4.6604441583521083</v>
      </c>
      <c r="M6" s="123" t="s">
        <v>95</v>
      </c>
      <c r="P6" s="125"/>
      <c r="Q6" s="126"/>
      <c r="R6" s="5"/>
      <c r="S6" s="125"/>
      <c r="T6" s="126"/>
      <c r="U6" s="127"/>
    </row>
    <row r="7" spans="1:21" s="124" customFormat="1" ht="15.75" customHeight="1">
      <c r="A7" s="10" t="s">
        <v>71</v>
      </c>
      <c r="B7" s="120">
        <v>12238</v>
      </c>
      <c r="C7" s="69">
        <v>11907</v>
      </c>
      <c r="D7" s="69">
        <v>14555</v>
      </c>
      <c r="E7" s="69">
        <v>15284</v>
      </c>
      <c r="F7" s="69">
        <v>12660</v>
      </c>
      <c r="G7" s="69">
        <v>11039</v>
      </c>
      <c r="H7" s="69">
        <v>11481</v>
      </c>
      <c r="I7" s="69">
        <v>10930</v>
      </c>
      <c r="J7" s="69">
        <v>10203</v>
      </c>
      <c r="K7" s="121"/>
      <c r="L7" s="122">
        <f t="shared" si="1"/>
        <v>-6.6514181152790481</v>
      </c>
      <c r="M7" s="123" t="s">
        <v>96</v>
      </c>
      <c r="R7" s="5"/>
      <c r="S7" s="127"/>
      <c r="T7" s="127"/>
      <c r="U7" s="127"/>
    </row>
    <row r="8" spans="1:21" s="124" customFormat="1" ht="15.75" customHeight="1">
      <c r="A8" s="10" t="s">
        <v>72</v>
      </c>
      <c r="B8" s="120">
        <f>SUM(B9:B28)</f>
        <v>4756</v>
      </c>
      <c r="C8" s="69">
        <f t="shared" ref="C8:D8" si="2">SUM(C9:C28)</f>
        <v>5896</v>
      </c>
      <c r="D8" s="69">
        <f t="shared" si="2"/>
        <v>5957</v>
      </c>
      <c r="E8" s="69">
        <f t="shared" ref="E8:J8" si="3">SUM(E9:E28)</f>
        <v>6601</v>
      </c>
      <c r="F8" s="69">
        <f t="shared" si="3"/>
        <v>5527</v>
      </c>
      <c r="G8" s="69">
        <f t="shared" si="3"/>
        <v>5323</v>
      </c>
      <c r="H8" s="69">
        <f t="shared" si="3"/>
        <v>4806</v>
      </c>
      <c r="I8" s="69">
        <f t="shared" si="3"/>
        <v>4605</v>
      </c>
      <c r="J8" s="69">
        <f t="shared" si="3"/>
        <v>4608</v>
      </c>
      <c r="K8" s="121"/>
      <c r="L8" s="122">
        <f t="shared" si="1"/>
        <v>6.5146579804560262E-2</v>
      </c>
      <c r="M8" s="128" t="s">
        <v>69</v>
      </c>
      <c r="P8" s="125"/>
      <c r="Q8" s="126"/>
      <c r="R8" s="5"/>
      <c r="S8" s="127"/>
      <c r="T8" s="127"/>
      <c r="U8" s="127"/>
    </row>
    <row r="9" spans="1:21" s="132" customFormat="1" ht="15.75" customHeight="1">
      <c r="A9" s="129" t="s">
        <v>97</v>
      </c>
      <c r="B9" s="79">
        <v>269</v>
      </c>
      <c r="C9" s="79">
        <v>246</v>
      </c>
      <c r="D9" s="79">
        <v>236</v>
      </c>
      <c r="E9" s="79">
        <v>236</v>
      </c>
      <c r="F9" s="79">
        <v>210</v>
      </c>
      <c r="G9" s="79">
        <v>212</v>
      </c>
      <c r="H9" s="79">
        <v>154</v>
      </c>
      <c r="I9" s="79">
        <v>103</v>
      </c>
      <c r="J9" s="79">
        <v>134</v>
      </c>
      <c r="K9" s="121"/>
      <c r="L9" s="130">
        <f t="shared" si="1"/>
        <v>30.097087378640776</v>
      </c>
      <c r="M9" s="131" t="s">
        <v>98</v>
      </c>
      <c r="O9" s="20"/>
      <c r="P9" s="125"/>
      <c r="Q9" s="126"/>
      <c r="R9" s="5"/>
      <c r="S9" s="133"/>
      <c r="T9" s="133"/>
      <c r="U9" s="133"/>
    </row>
    <row r="10" spans="1:21" s="132" customFormat="1" ht="15.75" customHeight="1">
      <c r="A10" s="129" t="s">
        <v>99</v>
      </c>
      <c r="B10" s="79">
        <v>575</v>
      </c>
      <c r="C10" s="79">
        <v>726</v>
      </c>
      <c r="D10" s="79">
        <v>630</v>
      </c>
      <c r="E10" s="79">
        <v>608</v>
      </c>
      <c r="F10" s="79">
        <v>568</v>
      </c>
      <c r="G10" s="79">
        <v>395</v>
      </c>
      <c r="H10" s="79">
        <v>262</v>
      </c>
      <c r="I10" s="79">
        <v>328</v>
      </c>
      <c r="J10" s="79">
        <v>354</v>
      </c>
      <c r="K10" s="121"/>
      <c r="L10" s="130">
        <f t="shared" si="1"/>
        <v>7.9268292682926829</v>
      </c>
      <c r="M10" s="131" t="s">
        <v>100</v>
      </c>
      <c r="O10" s="20"/>
      <c r="P10" s="125"/>
      <c r="Q10" s="126"/>
      <c r="R10" s="5"/>
      <c r="S10" s="133"/>
      <c r="T10" s="133"/>
      <c r="U10" s="133"/>
    </row>
    <row r="11" spans="1:21" s="132" customFormat="1" ht="15.75" customHeight="1">
      <c r="A11" s="129" t="s">
        <v>101</v>
      </c>
      <c r="B11" s="79">
        <v>164</v>
      </c>
      <c r="C11" s="79">
        <v>186</v>
      </c>
      <c r="D11" s="79">
        <v>171</v>
      </c>
      <c r="E11" s="79">
        <v>138</v>
      </c>
      <c r="F11" s="79">
        <v>155</v>
      </c>
      <c r="G11" s="79">
        <v>148</v>
      </c>
      <c r="H11" s="79">
        <v>107</v>
      </c>
      <c r="I11" s="79">
        <v>71</v>
      </c>
      <c r="J11" s="79">
        <v>88</v>
      </c>
      <c r="K11" s="121"/>
      <c r="L11" s="130">
        <f t="shared" si="1"/>
        <v>23.943661971830984</v>
      </c>
      <c r="M11" s="131" t="s">
        <v>102</v>
      </c>
      <c r="O11" s="20"/>
      <c r="P11" s="125"/>
      <c r="Q11" s="126"/>
      <c r="R11" s="5"/>
      <c r="S11" s="133"/>
      <c r="T11" s="133"/>
      <c r="U11" s="133"/>
    </row>
    <row r="12" spans="1:21" s="132" customFormat="1" ht="15.75" customHeight="1">
      <c r="A12" s="129" t="s">
        <v>103</v>
      </c>
      <c r="B12" s="79">
        <v>199</v>
      </c>
      <c r="C12" s="79">
        <v>232</v>
      </c>
      <c r="D12" s="79">
        <v>268</v>
      </c>
      <c r="E12" s="79">
        <v>260</v>
      </c>
      <c r="F12" s="79">
        <v>221</v>
      </c>
      <c r="G12" s="79">
        <v>144</v>
      </c>
      <c r="H12" s="79">
        <v>155</v>
      </c>
      <c r="I12" s="79">
        <v>177</v>
      </c>
      <c r="J12" s="79">
        <v>177</v>
      </c>
      <c r="K12" s="121"/>
      <c r="L12" s="130">
        <f t="shared" si="1"/>
        <v>0</v>
      </c>
      <c r="M12" s="131" t="s">
        <v>104</v>
      </c>
      <c r="O12" s="20"/>
      <c r="P12" s="125"/>
      <c r="Q12" s="126"/>
      <c r="R12" s="5"/>
      <c r="S12" s="133"/>
      <c r="T12" s="133"/>
      <c r="U12" s="133"/>
    </row>
    <row r="13" spans="1:21" s="132" customFormat="1" ht="15.75" customHeight="1">
      <c r="A13" s="129" t="s">
        <v>105</v>
      </c>
      <c r="B13" s="79">
        <v>205</v>
      </c>
      <c r="C13" s="79">
        <v>250</v>
      </c>
      <c r="D13" s="79">
        <v>220</v>
      </c>
      <c r="E13" s="79">
        <v>229</v>
      </c>
      <c r="F13" s="79">
        <v>242</v>
      </c>
      <c r="G13" s="79">
        <v>265</v>
      </c>
      <c r="H13" s="79">
        <v>234</v>
      </c>
      <c r="I13" s="79">
        <v>218</v>
      </c>
      <c r="J13" s="79">
        <v>187</v>
      </c>
      <c r="K13" s="121"/>
      <c r="L13" s="130">
        <f t="shared" si="1"/>
        <v>-14.220183486238533</v>
      </c>
      <c r="M13" s="131" t="s">
        <v>106</v>
      </c>
      <c r="O13" s="20"/>
      <c r="P13" s="125"/>
      <c r="Q13" s="126"/>
      <c r="R13" s="5"/>
      <c r="S13" s="133"/>
      <c r="T13" s="133"/>
      <c r="U13" s="133"/>
    </row>
    <row r="14" spans="1:21" s="132" customFormat="1" ht="15.75" customHeight="1">
      <c r="A14" s="129" t="s">
        <v>107</v>
      </c>
      <c r="B14" s="79">
        <v>173</v>
      </c>
      <c r="C14" s="79">
        <v>218</v>
      </c>
      <c r="D14" s="79">
        <v>245</v>
      </c>
      <c r="E14" s="79">
        <v>157</v>
      </c>
      <c r="F14" s="79">
        <v>167</v>
      </c>
      <c r="G14" s="79">
        <v>149</v>
      </c>
      <c r="H14" s="79">
        <v>158</v>
      </c>
      <c r="I14" s="79">
        <v>186</v>
      </c>
      <c r="J14" s="79">
        <v>155</v>
      </c>
      <c r="K14" s="121"/>
      <c r="L14" s="130">
        <f t="shared" si="1"/>
        <v>-16.666666666666664</v>
      </c>
      <c r="M14" s="131" t="s">
        <v>108</v>
      </c>
      <c r="O14" s="20"/>
      <c r="P14" s="125"/>
      <c r="Q14" s="126"/>
      <c r="R14" s="5"/>
      <c r="S14" s="133"/>
      <c r="T14" s="133"/>
      <c r="U14" s="133"/>
    </row>
    <row r="15" spans="1:21" s="132" customFormat="1" ht="15.75" customHeight="1">
      <c r="A15" s="129" t="s">
        <v>109</v>
      </c>
      <c r="B15" s="79">
        <v>182</v>
      </c>
      <c r="C15" s="79">
        <v>185</v>
      </c>
      <c r="D15" s="79">
        <v>253</v>
      </c>
      <c r="E15" s="79">
        <v>208</v>
      </c>
      <c r="F15" s="79">
        <v>245</v>
      </c>
      <c r="G15" s="79">
        <v>243</v>
      </c>
      <c r="H15" s="79">
        <v>204</v>
      </c>
      <c r="I15" s="79">
        <v>196</v>
      </c>
      <c r="J15" s="79">
        <v>170</v>
      </c>
      <c r="K15" s="121"/>
      <c r="L15" s="130">
        <f t="shared" si="1"/>
        <v>-13.26530612244898</v>
      </c>
      <c r="M15" s="131" t="s">
        <v>110</v>
      </c>
      <c r="O15" s="20"/>
      <c r="P15" s="125"/>
      <c r="Q15" s="126"/>
      <c r="R15" s="5"/>
      <c r="S15" s="133"/>
      <c r="T15" s="133"/>
      <c r="U15" s="133"/>
    </row>
    <row r="16" spans="1:21" s="132" customFormat="1" ht="15.75" customHeight="1">
      <c r="A16" s="129" t="s">
        <v>111</v>
      </c>
      <c r="B16" s="79">
        <v>228</v>
      </c>
      <c r="C16" s="79">
        <v>363</v>
      </c>
      <c r="D16" s="79">
        <v>372</v>
      </c>
      <c r="E16" s="79">
        <v>281</v>
      </c>
      <c r="F16" s="79">
        <v>277</v>
      </c>
      <c r="G16" s="79">
        <v>530</v>
      </c>
      <c r="H16" s="79">
        <v>602</v>
      </c>
      <c r="I16" s="79">
        <v>653</v>
      </c>
      <c r="J16" s="79">
        <v>524</v>
      </c>
      <c r="K16" s="121"/>
      <c r="L16" s="130">
        <f t="shared" si="1"/>
        <v>-19.754977029096477</v>
      </c>
      <c r="M16" s="131" t="s">
        <v>112</v>
      </c>
      <c r="O16" s="20"/>
      <c r="P16" s="125"/>
      <c r="Q16" s="126"/>
      <c r="R16" s="5"/>
      <c r="S16" s="133"/>
      <c r="T16" s="133"/>
      <c r="U16" s="133"/>
    </row>
    <row r="17" spans="1:21" s="132" customFormat="1" ht="15.75" customHeight="1">
      <c r="A17" s="129" t="s">
        <v>113</v>
      </c>
      <c r="B17" s="79">
        <v>114</v>
      </c>
      <c r="C17" s="79">
        <v>111</v>
      </c>
      <c r="D17" s="79">
        <v>103</v>
      </c>
      <c r="E17" s="79">
        <v>135</v>
      </c>
      <c r="F17" s="79">
        <v>91</v>
      </c>
      <c r="G17" s="79">
        <v>124</v>
      </c>
      <c r="H17" s="79">
        <v>100</v>
      </c>
      <c r="I17" s="79">
        <v>131</v>
      </c>
      <c r="J17" s="79">
        <v>122</v>
      </c>
      <c r="K17" s="121"/>
      <c r="L17" s="130">
        <f t="shared" si="1"/>
        <v>-6.8702290076335881</v>
      </c>
      <c r="M17" s="131" t="s">
        <v>114</v>
      </c>
      <c r="O17" s="20"/>
      <c r="P17" s="125"/>
      <c r="Q17" s="126"/>
      <c r="R17" s="5"/>
      <c r="S17" s="133"/>
      <c r="T17" s="133"/>
      <c r="U17" s="133"/>
    </row>
    <row r="18" spans="1:21" s="132" customFormat="1" ht="15.75" customHeight="1">
      <c r="A18" s="129" t="s">
        <v>115</v>
      </c>
      <c r="B18" s="79">
        <v>141</v>
      </c>
      <c r="C18" s="79">
        <v>187</v>
      </c>
      <c r="D18" s="79">
        <v>151</v>
      </c>
      <c r="E18" s="79">
        <v>500</v>
      </c>
      <c r="F18" s="79">
        <v>284</v>
      </c>
      <c r="G18" s="79">
        <v>256</v>
      </c>
      <c r="H18" s="79">
        <v>197</v>
      </c>
      <c r="I18" s="79">
        <v>178</v>
      </c>
      <c r="J18" s="79">
        <v>193</v>
      </c>
      <c r="K18" s="121"/>
      <c r="L18" s="130">
        <f t="shared" si="1"/>
        <v>8.4269662921348321</v>
      </c>
      <c r="M18" s="131" t="s">
        <v>116</v>
      </c>
      <c r="O18" s="20"/>
      <c r="P18" s="125"/>
      <c r="Q18" s="126"/>
      <c r="R18" s="5"/>
      <c r="S18" s="133"/>
      <c r="T18" s="133"/>
      <c r="U18" s="133"/>
    </row>
    <row r="19" spans="1:21" s="132" customFormat="1" ht="15.75" customHeight="1">
      <c r="A19" s="129" t="s">
        <v>117</v>
      </c>
      <c r="B19" s="79">
        <v>15</v>
      </c>
      <c r="C19" s="79">
        <v>18</v>
      </c>
      <c r="D19" s="79">
        <v>27</v>
      </c>
      <c r="E19" s="79">
        <v>19</v>
      </c>
      <c r="F19" s="79">
        <v>32</v>
      </c>
      <c r="G19" s="79">
        <v>40</v>
      </c>
      <c r="H19" s="79">
        <v>35</v>
      </c>
      <c r="I19" s="79">
        <v>36</v>
      </c>
      <c r="J19" s="79">
        <v>28</v>
      </c>
      <c r="K19" s="121"/>
      <c r="L19" s="130">
        <f t="shared" si="1"/>
        <v>-22.222222222222221</v>
      </c>
      <c r="M19" s="131" t="s">
        <v>118</v>
      </c>
      <c r="O19" s="20"/>
      <c r="P19" s="125"/>
      <c r="Q19" s="126"/>
      <c r="R19" s="5"/>
      <c r="S19" s="133"/>
      <c r="T19" s="133"/>
      <c r="U19" s="133"/>
    </row>
    <row r="20" spans="1:21" s="132" customFormat="1" ht="15.75" customHeight="1">
      <c r="A20" s="129" t="s">
        <v>119</v>
      </c>
      <c r="B20" s="79">
        <v>83</v>
      </c>
      <c r="C20" s="79">
        <v>105</v>
      </c>
      <c r="D20" s="79">
        <v>108</v>
      </c>
      <c r="E20" s="79">
        <v>77</v>
      </c>
      <c r="F20" s="79">
        <v>64</v>
      </c>
      <c r="G20" s="79">
        <v>68</v>
      </c>
      <c r="H20" s="79">
        <v>65</v>
      </c>
      <c r="I20" s="79">
        <v>66</v>
      </c>
      <c r="J20" s="79">
        <v>78</v>
      </c>
      <c r="K20" s="121"/>
      <c r="L20" s="130">
        <f t="shared" si="1"/>
        <v>18.181818181818183</v>
      </c>
      <c r="M20" s="131" t="s">
        <v>120</v>
      </c>
      <c r="O20" s="20"/>
      <c r="P20" s="125"/>
      <c r="Q20" s="126"/>
      <c r="R20" s="5"/>
      <c r="S20" s="133"/>
      <c r="T20" s="133"/>
      <c r="U20" s="133"/>
    </row>
    <row r="21" spans="1:21" s="132" customFormat="1" ht="15.75" customHeight="1">
      <c r="A21" s="129" t="s">
        <v>121</v>
      </c>
      <c r="B21" s="79">
        <v>43</v>
      </c>
      <c r="C21" s="79">
        <v>56</v>
      </c>
      <c r="D21" s="79">
        <v>64</v>
      </c>
      <c r="E21" s="79">
        <v>39</v>
      </c>
      <c r="F21" s="79">
        <v>64</v>
      </c>
      <c r="G21" s="79">
        <v>75</v>
      </c>
      <c r="H21" s="79">
        <v>63</v>
      </c>
      <c r="I21" s="79">
        <v>72</v>
      </c>
      <c r="J21" s="79">
        <v>60</v>
      </c>
      <c r="K21" s="121"/>
      <c r="L21" s="130">
        <f t="shared" si="1"/>
        <v>-16.666666666666664</v>
      </c>
      <c r="M21" s="131" t="s">
        <v>122</v>
      </c>
      <c r="O21" s="20"/>
      <c r="P21" s="125"/>
      <c r="Q21" s="126"/>
      <c r="R21" s="20"/>
      <c r="S21" s="133"/>
      <c r="T21" s="133"/>
      <c r="U21" s="133"/>
    </row>
    <row r="22" spans="1:21" s="132" customFormat="1" ht="15.75" customHeight="1">
      <c r="A22" s="129" t="s">
        <v>123</v>
      </c>
      <c r="B22" s="79">
        <v>50</v>
      </c>
      <c r="C22" s="79">
        <v>89</v>
      </c>
      <c r="D22" s="79">
        <v>62</v>
      </c>
      <c r="E22" s="79">
        <v>79</v>
      </c>
      <c r="F22" s="79">
        <v>73</v>
      </c>
      <c r="G22" s="79">
        <v>67</v>
      </c>
      <c r="H22" s="79">
        <v>82</v>
      </c>
      <c r="I22" s="79">
        <v>123</v>
      </c>
      <c r="J22" s="79">
        <v>139</v>
      </c>
      <c r="K22" s="121"/>
      <c r="L22" s="130">
        <f t="shared" si="1"/>
        <v>13.008130081300814</v>
      </c>
      <c r="M22" s="131" t="s">
        <v>124</v>
      </c>
      <c r="O22" s="20"/>
      <c r="P22" s="125"/>
      <c r="Q22" s="126"/>
      <c r="R22" s="20"/>
      <c r="S22" s="133"/>
      <c r="T22" s="133"/>
      <c r="U22" s="133"/>
    </row>
    <row r="23" spans="1:21" s="132" customFormat="1" ht="15.75" customHeight="1">
      <c r="A23" s="129" t="s">
        <v>125</v>
      </c>
      <c r="B23" s="79">
        <v>160</v>
      </c>
      <c r="C23" s="79">
        <v>145</v>
      </c>
      <c r="D23" s="79">
        <v>172</v>
      </c>
      <c r="E23" s="79">
        <v>220</v>
      </c>
      <c r="F23" s="79">
        <v>167</v>
      </c>
      <c r="G23" s="79">
        <v>144</v>
      </c>
      <c r="H23" s="79">
        <v>138</v>
      </c>
      <c r="I23" s="79">
        <v>110</v>
      </c>
      <c r="J23" s="79">
        <v>155</v>
      </c>
      <c r="K23" s="121"/>
      <c r="L23" s="130">
        <f t="shared" si="1"/>
        <v>40.909090909090914</v>
      </c>
      <c r="M23" s="131" t="s">
        <v>126</v>
      </c>
      <c r="O23" s="20"/>
      <c r="P23" s="125"/>
      <c r="Q23" s="126"/>
      <c r="R23" s="20"/>
      <c r="S23" s="133"/>
      <c r="T23" s="133"/>
      <c r="U23" s="133"/>
    </row>
    <row r="24" spans="1:21" s="132" customFormat="1" ht="15.75" customHeight="1">
      <c r="A24" s="129" t="s">
        <v>110</v>
      </c>
      <c r="B24" s="79">
        <v>454</v>
      </c>
      <c r="C24" s="79">
        <v>487</v>
      </c>
      <c r="D24" s="79">
        <v>403</v>
      </c>
      <c r="E24" s="79">
        <v>397</v>
      </c>
      <c r="F24" s="79">
        <v>345</v>
      </c>
      <c r="G24" s="79">
        <v>368</v>
      </c>
      <c r="H24" s="79">
        <v>316</v>
      </c>
      <c r="I24" s="79">
        <v>396</v>
      </c>
      <c r="J24" s="79">
        <v>298</v>
      </c>
      <c r="K24" s="121"/>
      <c r="L24" s="130">
        <f t="shared" si="1"/>
        <v>-24.747474747474747</v>
      </c>
      <c r="M24" s="131" t="s">
        <v>127</v>
      </c>
      <c r="O24" s="20"/>
      <c r="P24" s="125"/>
      <c r="Q24" s="126"/>
      <c r="R24" s="20"/>
      <c r="S24" s="133"/>
      <c r="T24" s="133"/>
      <c r="U24" s="133"/>
    </row>
    <row r="25" spans="1:21" s="132" customFormat="1" ht="15.75" customHeight="1">
      <c r="A25" s="129" t="s">
        <v>128</v>
      </c>
      <c r="B25" s="79">
        <v>237</v>
      </c>
      <c r="C25" s="79">
        <v>389</v>
      </c>
      <c r="D25" s="79">
        <v>337</v>
      </c>
      <c r="E25" s="79">
        <v>558</v>
      </c>
      <c r="F25" s="79">
        <v>383</v>
      </c>
      <c r="G25" s="79">
        <v>419</v>
      </c>
      <c r="H25" s="79">
        <v>274</v>
      </c>
      <c r="I25" s="79">
        <v>231</v>
      </c>
      <c r="J25" s="79">
        <v>247</v>
      </c>
      <c r="K25" s="121"/>
      <c r="L25" s="130">
        <f t="shared" si="1"/>
        <v>6.9264069264069263</v>
      </c>
      <c r="M25" s="131" t="s">
        <v>129</v>
      </c>
      <c r="O25" s="20"/>
      <c r="P25" s="125"/>
      <c r="Q25" s="126"/>
      <c r="R25" s="20"/>
      <c r="S25" s="133"/>
      <c r="T25" s="133"/>
      <c r="U25" s="133"/>
    </row>
    <row r="26" spans="1:21" s="132" customFormat="1" ht="15.75" customHeight="1">
      <c r="A26" s="129" t="s">
        <v>130</v>
      </c>
      <c r="B26" s="79">
        <v>396</v>
      </c>
      <c r="C26" s="79">
        <v>454</v>
      </c>
      <c r="D26" s="79">
        <v>354</v>
      </c>
      <c r="E26" s="79">
        <v>494</v>
      </c>
      <c r="F26" s="79">
        <v>426</v>
      </c>
      <c r="G26" s="79">
        <v>403</v>
      </c>
      <c r="H26" s="79">
        <v>252</v>
      </c>
      <c r="I26" s="79">
        <v>299</v>
      </c>
      <c r="J26" s="79">
        <v>388</v>
      </c>
      <c r="K26" s="121"/>
      <c r="L26" s="130">
        <f t="shared" si="1"/>
        <v>29.76588628762542</v>
      </c>
      <c r="M26" s="131" t="s">
        <v>131</v>
      </c>
      <c r="O26" s="20"/>
      <c r="P26" s="134"/>
      <c r="Q26" s="134"/>
      <c r="R26" s="133"/>
      <c r="S26" s="133"/>
      <c r="T26" s="133"/>
      <c r="U26" s="133"/>
    </row>
    <row r="27" spans="1:21" s="132" customFormat="1" ht="15.75" customHeight="1">
      <c r="A27" s="129" t="s">
        <v>132</v>
      </c>
      <c r="B27" s="79">
        <v>228</v>
      </c>
      <c r="C27" s="79">
        <v>453</v>
      </c>
      <c r="D27" s="79">
        <v>676</v>
      </c>
      <c r="E27" s="79">
        <v>617</v>
      </c>
      <c r="F27" s="79">
        <v>525</v>
      </c>
      <c r="G27" s="79">
        <v>365</v>
      </c>
      <c r="H27" s="79">
        <v>282</v>
      </c>
      <c r="I27" s="79">
        <v>275</v>
      </c>
      <c r="J27" s="79">
        <v>268</v>
      </c>
      <c r="K27" s="121"/>
      <c r="L27" s="130">
        <f t="shared" si="1"/>
        <v>-2.5454545454545454</v>
      </c>
      <c r="M27" s="131" t="s">
        <v>103</v>
      </c>
      <c r="O27" s="20"/>
      <c r="P27" s="133"/>
      <c r="Q27" s="133"/>
      <c r="R27" s="133"/>
      <c r="S27" s="133"/>
      <c r="T27" s="133"/>
      <c r="U27" s="133"/>
    </row>
    <row r="28" spans="1:21" s="135" customFormat="1" ht="15.75" customHeight="1">
      <c r="A28" s="136" t="s">
        <v>102</v>
      </c>
      <c r="B28" s="92">
        <v>840</v>
      </c>
      <c r="C28" s="92">
        <v>996</v>
      </c>
      <c r="D28" s="92">
        <v>1105</v>
      </c>
      <c r="E28" s="92">
        <v>1349</v>
      </c>
      <c r="F28" s="92">
        <v>988</v>
      </c>
      <c r="G28" s="92">
        <v>908</v>
      </c>
      <c r="H28" s="92">
        <v>1126</v>
      </c>
      <c r="I28" s="92">
        <v>756</v>
      </c>
      <c r="J28" s="92">
        <v>843</v>
      </c>
      <c r="K28" s="141"/>
      <c r="L28" s="137">
        <f t="shared" si="1"/>
        <v>11.507936507936508</v>
      </c>
      <c r="M28" s="142" t="s">
        <v>133</v>
      </c>
      <c r="O28" s="20"/>
      <c r="P28" s="134"/>
      <c r="Q28" s="134"/>
      <c r="R28" s="134"/>
      <c r="S28" s="134"/>
      <c r="T28" s="134"/>
      <c r="U28" s="134"/>
    </row>
    <row r="29" spans="1:21" s="139" customFormat="1" ht="14.25" customHeight="1">
      <c r="A29" s="56" t="s">
        <v>60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43" t="s">
        <v>61</v>
      </c>
      <c r="P29" s="27"/>
      <c r="Q29" s="27"/>
      <c r="R29" s="27"/>
      <c r="S29" s="27"/>
      <c r="T29" s="27"/>
      <c r="U29" s="27"/>
    </row>
    <row r="30" spans="1:21">
      <c r="P30" s="5"/>
      <c r="Q30" s="5"/>
      <c r="R30" s="5"/>
      <c r="S30" s="5"/>
      <c r="T30" s="5"/>
      <c r="U30" s="5"/>
    </row>
    <row r="31" spans="1:21">
      <c r="A31" s="140"/>
      <c r="P31" s="5"/>
      <c r="Q31" s="5"/>
      <c r="S31" s="5"/>
      <c r="T31" s="5"/>
      <c r="U31" s="5"/>
    </row>
    <row r="32" spans="1:21">
      <c r="P32" s="5"/>
      <c r="Q32" s="5"/>
      <c r="R32" s="5"/>
      <c r="S32" s="5"/>
      <c r="T32" s="5"/>
      <c r="U32" s="5"/>
    </row>
    <row r="33" spans="1:21">
      <c r="P33" s="5"/>
      <c r="Q33" s="5"/>
      <c r="R33" s="5"/>
      <c r="S33" s="5"/>
      <c r="T33" s="5"/>
      <c r="U33" s="5"/>
    </row>
    <row r="34" spans="1:21">
      <c r="P34" s="5"/>
      <c r="Q34" s="5"/>
      <c r="R34" s="5"/>
      <c r="S34" s="5"/>
      <c r="T34" s="5"/>
      <c r="U34" s="5"/>
    </row>
    <row r="35" spans="1:21">
      <c r="P35" s="5"/>
      <c r="Q35" s="5"/>
      <c r="R35" s="5"/>
      <c r="S35" s="5"/>
      <c r="T35" s="5"/>
      <c r="U35" s="5"/>
    </row>
    <row r="36" spans="1:21" ht="17.25">
      <c r="A36" s="104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105"/>
      <c r="P36" s="5"/>
      <c r="Q36" s="5"/>
      <c r="R36" s="5"/>
      <c r="S36" s="5"/>
      <c r="T36" s="5"/>
      <c r="U36" s="5"/>
    </row>
    <row r="37" spans="1:21">
      <c r="P37" s="5"/>
      <c r="Q37" s="5"/>
      <c r="R37" s="5"/>
      <c r="S37" s="5"/>
      <c r="T37" s="5"/>
      <c r="U37" s="5"/>
    </row>
    <row r="38" spans="1:21">
      <c r="P38" s="5"/>
      <c r="Q38" s="5"/>
      <c r="R38" s="5"/>
      <c r="S38" s="5"/>
      <c r="T38" s="5"/>
      <c r="U38" s="5"/>
    </row>
    <row r="45" spans="1:21" ht="5.25" customHeight="1"/>
    <row r="60" ht="9" customHeight="1"/>
  </sheetData>
  <mergeCells count="13">
    <mergeCell ref="I3:I5"/>
    <mergeCell ref="J3:J5"/>
    <mergeCell ref="M3:M5"/>
    <mergeCell ref="A1:M1"/>
    <mergeCell ref="A2:M2"/>
    <mergeCell ref="A3:A5"/>
    <mergeCell ref="B3:B5"/>
    <mergeCell ref="C3:C5"/>
    <mergeCell ref="D3:D5"/>
    <mergeCell ref="E3:E5"/>
    <mergeCell ref="F3:F5"/>
    <mergeCell ref="G3:G5"/>
    <mergeCell ref="H3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53"/>
  <sheetViews>
    <sheetView workbookViewId="0">
      <selection activeCell="AC18" sqref="AC18"/>
    </sheetView>
  </sheetViews>
  <sheetFormatPr defaultColWidth="9.140625" defaultRowHeight="15"/>
  <cols>
    <col min="1" max="1" width="14.85546875" style="1" customWidth="1"/>
    <col min="2" max="2" width="10.140625" style="1" customWidth="1"/>
    <col min="3" max="22" width="6" style="1" customWidth="1"/>
    <col min="23" max="23" width="19.28515625" style="1" customWidth="1"/>
    <col min="24" max="24" width="1.140625" style="1" customWidth="1"/>
    <col min="25" max="25" width="22.42578125" style="1" bestFit="1" customWidth="1"/>
    <col min="26" max="16384" width="9.140625" style="1"/>
  </cols>
  <sheetData>
    <row r="1" spans="1:40" ht="21.75">
      <c r="A1" s="1098" t="s">
        <v>139</v>
      </c>
      <c r="B1" s="1098"/>
      <c r="C1" s="1098"/>
      <c r="D1" s="1098"/>
      <c r="E1" s="1098"/>
      <c r="F1" s="1098"/>
      <c r="G1" s="1098"/>
      <c r="H1" s="1098"/>
      <c r="I1" s="1098"/>
      <c r="J1" s="1098"/>
      <c r="K1" s="1098"/>
      <c r="L1" s="1098"/>
      <c r="M1" s="1098"/>
      <c r="N1" s="1098"/>
      <c r="O1" s="1098"/>
      <c r="P1" s="1098"/>
      <c r="Q1" s="1098"/>
      <c r="R1" s="1098"/>
      <c r="S1" s="1098"/>
      <c r="T1" s="1098"/>
      <c r="U1" s="1098"/>
      <c r="V1" s="1098"/>
      <c r="W1" s="1098"/>
      <c r="AL1" s="20" t="s">
        <v>7</v>
      </c>
      <c r="AM1" s="144">
        <v>994</v>
      </c>
    </row>
    <row r="2" spans="1:40">
      <c r="A2" s="1099" t="s">
        <v>140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099"/>
      <c r="O2" s="1099"/>
      <c r="P2" s="1099"/>
      <c r="Q2" s="1099"/>
      <c r="R2" s="1099"/>
      <c r="S2" s="1099"/>
      <c r="T2" s="1099"/>
      <c r="U2" s="1099"/>
      <c r="V2" s="1099"/>
      <c r="W2" s="1099"/>
      <c r="Y2" s="2" t="s">
        <v>64</v>
      </c>
      <c r="AL2" s="20" t="s">
        <v>12</v>
      </c>
      <c r="AM2" s="144">
        <v>871</v>
      </c>
    </row>
    <row r="3" spans="1:40" ht="18.75">
      <c r="A3" s="1100" t="s">
        <v>65</v>
      </c>
      <c r="B3" s="145" t="s">
        <v>141</v>
      </c>
      <c r="C3" s="146" t="s">
        <v>98</v>
      </c>
      <c r="D3" s="146" t="s">
        <v>100</v>
      </c>
      <c r="E3" s="146" t="s">
        <v>102</v>
      </c>
      <c r="F3" s="146" t="s">
        <v>104</v>
      </c>
      <c r="G3" s="146" t="s">
        <v>106</v>
      </c>
      <c r="H3" s="146" t="s">
        <v>108</v>
      </c>
      <c r="I3" s="146" t="s">
        <v>110</v>
      </c>
      <c r="J3" s="146" t="s">
        <v>112</v>
      </c>
      <c r="K3" s="146" t="s">
        <v>114</v>
      </c>
      <c r="L3" s="146" t="s">
        <v>116</v>
      </c>
      <c r="M3" s="146" t="s">
        <v>118</v>
      </c>
      <c r="N3" s="146" t="s">
        <v>120</v>
      </c>
      <c r="O3" s="146" t="s">
        <v>122</v>
      </c>
      <c r="P3" s="146" t="s">
        <v>124</v>
      </c>
      <c r="Q3" s="146" t="s">
        <v>126</v>
      </c>
      <c r="R3" s="146" t="s">
        <v>127</v>
      </c>
      <c r="S3" s="146" t="s">
        <v>129</v>
      </c>
      <c r="T3" s="146" t="s">
        <v>131</v>
      </c>
      <c r="U3" s="146" t="s">
        <v>103</v>
      </c>
      <c r="V3" s="146" t="s">
        <v>133</v>
      </c>
      <c r="W3" s="1096" t="s">
        <v>3</v>
      </c>
      <c r="AL3" s="20" t="s">
        <v>14</v>
      </c>
      <c r="AM3" s="144">
        <v>410</v>
      </c>
    </row>
    <row r="4" spans="1:40" s="147" customFormat="1" ht="15" customHeight="1">
      <c r="A4" s="1101"/>
      <c r="B4" s="64" t="s">
        <v>8</v>
      </c>
      <c r="C4" s="118" t="s">
        <v>97</v>
      </c>
      <c r="D4" s="118" t="s">
        <v>99</v>
      </c>
      <c r="E4" s="118" t="s">
        <v>101</v>
      </c>
      <c r="F4" s="118" t="s">
        <v>103</v>
      </c>
      <c r="G4" s="118" t="s">
        <v>105</v>
      </c>
      <c r="H4" s="118" t="s">
        <v>107</v>
      </c>
      <c r="I4" s="118" t="s">
        <v>109</v>
      </c>
      <c r="J4" s="118" t="s">
        <v>111</v>
      </c>
      <c r="K4" s="118" t="s">
        <v>113</v>
      </c>
      <c r="L4" s="118" t="s">
        <v>115</v>
      </c>
      <c r="M4" s="118" t="s">
        <v>117</v>
      </c>
      <c r="N4" s="118" t="s">
        <v>119</v>
      </c>
      <c r="O4" s="118" t="s">
        <v>121</v>
      </c>
      <c r="P4" s="118" t="s">
        <v>123</v>
      </c>
      <c r="Q4" s="118" t="s">
        <v>125</v>
      </c>
      <c r="R4" s="118" t="s">
        <v>110</v>
      </c>
      <c r="S4" s="118" t="s">
        <v>128</v>
      </c>
      <c r="T4" s="118" t="s">
        <v>130</v>
      </c>
      <c r="U4" s="118" t="s">
        <v>132</v>
      </c>
      <c r="V4" s="118" t="s">
        <v>102</v>
      </c>
      <c r="W4" s="1105"/>
      <c r="AL4" s="20" t="s">
        <v>40</v>
      </c>
      <c r="AM4" s="144">
        <v>349</v>
      </c>
      <c r="AN4" s="1"/>
    </row>
    <row r="5" spans="1:40" s="124" customFormat="1" ht="18.75">
      <c r="A5" s="10" t="s">
        <v>8</v>
      </c>
      <c r="B5" s="148">
        <f>SUM(B6:B17)</f>
        <v>4608</v>
      </c>
      <c r="C5" s="148">
        <f t="shared" ref="C5:V5" si="0">SUM(C6:C17)</f>
        <v>134</v>
      </c>
      <c r="D5" s="148">
        <f t="shared" si="0"/>
        <v>354</v>
      </c>
      <c r="E5" s="148">
        <f t="shared" si="0"/>
        <v>88</v>
      </c>
      <c r="F5" s="148">
        <f t="shared" si="0"/>
        <v>177</v>
      </c>
      <c r="G5" s="148">
        <f t="shared" si="0"/>
        <v>187</v>
      </c>
      <c r="H5" s="148">
        <f t="shared" si="0"/>
        <v>155</v>
      </c>
      <c r="I5" s="148">
        <f t="shared" si="0"/>
        <v>170</v>
      </c>
      <c r="J5" s="148">
        <f t="shared" si="0"/>
        <v>524</v>
      </c>
      <c r="K5" s="148">
        <f t="shared" si="0"/>
        <v>122</v>
      </c>
      <c r="L5" s="148">
        <f t="shared" si="0"/>
        <v>193</v>
      </c>
      <c r="M5" s="148">
        <f t="shared" si="0"/>
        <v>28</v>
      </c>
      <c r="N5" s="148">
        <f t="shared" si="0"/>
        <v>78</v>
      </c>
      <c r="O5" s="148">
        <f t="shared" si="0"/>
        <v>60</v>
      </c>
      <c r="P5" s="148">
        <f t="shared" si="0"/>
        <v>139</v>
      </c>
      <c r="Q5" s="148">
        <f t="shared" si="0"/>
        <v>155</v>
      </c>
      <c r="R5" s="148">
        <f t="shared" si="0"/>
        <v>298</v>
      </c>
      <c r="S5" s="148">
        <f t="shared" si="0"/>
        <v>247</v>
      </c>
      <c r="T5" s="148">
        <f t="shared" si="0"/>
        <v>388</v>
      </c>
      <c r="U5" s="148">
        <f t="shared" si="0"/>
        <v>268</v>
      </c>
      <c r="V5" s="148">
        <f t="shared" si="0"/>
        <v>843</v>
      </c>
      <c r="W5" s="149" t="s">
        <v>141</v>
      </c>
      <c r="AL5" s="20" t="s">
        <v>28</v>
      </c>
      <c r="AM5" s="144">
        <v>288</v>
      </c>
      <c r="AN5" s="1"/>
    </row>
    <row r="6" spans="1:40" s="150" customFormat="1" ht="18.75">
      <c r="A6" s="20" t="s">
        <v>7</v>
      </c>
      <c r="B6" s="144">
        <f t="shared" ref="B6:B17" si="1">SUM(C6:V6)</f>
        <v>1129</v>
      </c>
      <c r="C6" s="163">
        <v>11</v>
      </c>
      <c r="D6" s="163">
        <v>145</v>
      </c>
      <c r="E6" s="163">
        <v>12</v>
      </c>
      <c r="F6" s="163">
        <v>48</v>
      </c>
      <c r="G6" s="163">
        <v>37</v>
      </c>
      <c r="H6" s="163">
        <v>30</v>
      </c>
      <c r="I6" s="163">
        <v>45</v>
      </c>
      <c r="J6" s="163">
        <v>81</v>
      </c>
      <c r="K6" s="163">
        <v>16</v>
      </c>
      <c r="L6" s="163">
        <v>39</v>
      </c>
      <c r="M6" s="163">
        <v>6</v>
      </c>
      <c r="N6" s="163">
        <v>12</v>
      </c>
      <c r="O6" s="163">
        <v>11</v>
      </c>
      <c r="P6" s="163">
        <v>20</v>
      </c>
      <c r="Q6" s="163">
        <v>35</v>
      </c>
      <c r="R6" s="163">
        <v>65</v>
      </c>
      <c r="S6" s="163">
        <v>60</v>
      </c>
      <c r="T6" s="163">
        <v>120</v>
      </c>
      <c r="U6" s="163">
        <v>58</v>
      </c>
      <c r="V6" s="163">
        <v>278</v>
      </c>
      <c r="W6" s="26" t="s">
        <v>11</v>
      </c>
      <c r="Y6" s="20"/>
      <c r="AL6" s="20" t="s">
        <v>26</v>
      </c>
      <c r="AM6" s="144">
        <v>179</v>
      </c>
      <c r="AN6" s="1"/>
    </row>
    <row r="7" spans="1:40" s="150" customFormat="1" ht="18.75">
      <c r="A7" s="20" t="s">
        <v>26</v>
      </c>
      <c r="B7" s="144">
        <f t="shared" si="1"/>
        <v>158</v>
      </c>
      <c r="C7" s="163">
        <v>5</v>
      </c>
      <c r="D7" s="163">
        <v>15</v>
      </c>
      <c r="E7" s="163">
        <v>0</v>
      </c>
      <c r="F7" s="163">
        <v>0</v>
      </c>
      <c r="G7" s="163">
        <v>2</v>
      </c>
      <c r="H7" s="163">
        <v>3</v>
      </c>
      <c r="I7" s="163">
        <v>1</v>
      </c>
      <c r="J7" s="163">
        <v>44</v>
      </c>
      <c r="K7" s="163">
        <v>0</v>
      </c>
      <c r="L7" s="163">
        <v>0</v>
      </c>
      <c r="M7" s="163">
        <v>0</v>
      </c>
      <c r="N7" s="163">
        <v>0</v>
      </c>
      <c r="O7" s="163">
        <v>0</v>
      </c>
      <c r="P7" s="163">
        <v>3</v>
      </c>
      <c r="Q7" s="163">
        <v>0</v>
      </c>
      <c r="R7" s="163">
        <v>6</v>
      </c>
      <c r="S7" s="163">
        <v>5</v>
      </c>
      <c r="T7" s="163">
        <v>16</v>
      </c>
      <c r="U7" s="163">
        <v>6</v>
      </c>
      <c r="V7" s="163">
        <v>52</v>
      </c>
      <c r="W7" s="26" t="s">
        <v>73</v>
      </c>
      <c r="Y7" s="20"/>
      <c r="AL7" s="20" t="s">
        <v>21</v>
      </c>
      <c r="AM7" s="144">
        <v>159</v>
      </c>
      <c r="AN7" s="1"/>
    </row>
    <row r="8" spans="1:40" s="150" customFormat="1" ht="18.75">
      <c r="A8" s="20" t="s">
        <v>12</v>
      </c>
      <c r="B8" s="144">
        <f t="shared" si="1"/>
        <v>840</v>
      </c>
      <c r="C8" s="163">
        <v>30</v>
      </c>
      <c r="D8" s="163">
        <v>29</v>
      </c>
      <c r="E8" s="163">
        <v>30</v>
      </c>
      <c r="F8" s="163">
        <v>37</v>
      </c>
      <c r="G8" s="163">
        <v>45</v>
      </c>
      <c r="H8" s="163">
        <v>44</v>
      </c>
      <c r="I8" s="163">
        <v>51</v>
      </c>
      <c r="J8" s="163">
        <v>112</v>
      </c>
      <c r="K8" s="163">
        <v>19</v>
      </c>
      <c r="L8" s="163">
        <v>41</v>
      </c>
      <c r="M8" s="163">
        <v>3</v>
      </c>
      <c r="N8" s="163">
        <v>22</v>
      </c>
      <c r="O8" s="163">
        <v>14</v>
      </c>
      <c r="P8" s="163">
        <v>34</v>
      </c>
      <c r="Q8" s="163">
        <v>35</v>
      </c>
      <c r="R8" s="163">
        <v>39</v>
      </c>
      <c r="S8" s="163">
        <v>50</v>
      </c>
      <c r="T8" s="163">
        <v>62</v>
      </c>
      <c r="U8" s="163">
        <v>58</v>
      </c>
      <c r="V8" s="163">
        <v>85</v>
      </c>
      <c r="W8" s="26" t="s">
        <v>16</v>
      </c>
      <c r="Y8" s="20"/>
      <c r="AL8" s="20" t="s">
        <v>30</v>
      </c>
      <c r="AM8" s="144">
        <v>146</v>
      </c>
      <c r="AN8" s="1"/>
    </row>
    <row r="9" spans="1:40" s="150" customFormat="1" ht="18.75">
      <c r="A9" s="20" t="s">
        <v>40</v>
      </c>
      <c r="B9" s="144">
        <f t="shared" si="1"/>
        <v>345</v>
      </c>
      <c r="C9" s="163">
        <v>9</v>
      </c>
      <c r="D9" s="163">
        <v>21</v>
      </c>
      <c r="E9" s="163">
        <v>6</v>
      </c>
      <c r="F9" s="163">
        <v>9</v>
      </c>
      <c r="G9" s="163">
        <v>19</v>
      </c>
      <c r="H9" s="163">
        <v>18</v>
      </c>
      <c r="I9" s="163">
        <v>8</v>
      </c>
      <c r="J9" s="163">
        <v>72</v>
      </c>
      <c r="K9" s="163">
        <v>10</v>
      </c>
      <c r="L9" s="163">
        <v>17</v>
      </c>
      <c r="M9" s="163">
        <v>2</v>
      </c>
      <c r="N9" s="163">
        <v>7</v>
      </c>
      <c r="O9" s="163">
        <v>2</v>
      </c>
      <c r="P9" s="163">
        <v>13</v>
      </c>
      <c r="Q9" s="163">
        <v>16</v>
      </c>
      <c r="R9" s="163">
        <v>19</v>
      </c>
      <c r="S9" s="163">
        <v>13</v>
      </c>
      <c r="T9" s="163">
        <v>20</v>
      </c>
      <c r="U9" s="163">
        <v>20</v>
      </c>
      <c r="V9" s="163">
        <v>44</v>
      </c>
      <c r="W9" s="26" t="s">
        <v>18</v>
      </c>
      <c r="Y9" s="20"/>
      <c r="AL9" s="20" t="s">
        <v>27</v>
      </c>
      <c r="AM9" s="144">
        <v>83</v>
      </c>
      <c r="AN9" s="1"/>
    </row>
    <row r="10" spans="1:40" s="150" customFormat="1" ht="18.75">
      <c r="A10" s="20" t="s">
        <v>14</v>
      </c>
      <c r="B10" s="144">
        <f t="shared" si="1"/>
        <v>415</v>
      </c>
      <c r="C10" s="163">
        <v>8</v>
      </c>
      <c r="D10" s="163">
        <v>22</v>
      </c>
      <c r="E10" s="163">
        <v>2</v>
      </c>
      <c r="F10" s="163">
        <v>10</v>
      </c>
      <c r="G10" s="163">
        <v>14</v>
      </c>
      <c r="H10" s="163">
        <v>6</v>
      </c>
      <c r="I10" s="163">
        <v>8</v>
      </c>
      <c r="J10" s="163">
        <v>25</v>
      </c>
      <c r="K10" s="163">
        <v>10</v>
      </c>
      <c r="L10" s="163">
        <v>25</v>
      </c>
      <c r="M10" s="163">
        <v>2</v>
      </c>
      <c r="N10" s="163">
        <v>3</v>
      </c>
      <c r="O10" s="163">
        <v>9</v>
      </c>
      <c r="P10" s="163">
        <v>13</v>
      </c>
      <c r="Q10" s="163">
        <v>15</v>
      </c>
      <c r="R10" s="163">
        <v>49</v>
      </c>
      <c r="S10" s="163">
        <v>42</v>
      </c>
      <c r="T10" s="163">
        <v>33</v>
      </c>
      <c r="U10" s="163">
        <v>25</v>
      </c>
      <c r="V10" s="163">
        <v>94</v>
      </c>
      <c r="W10" s="26" t="s">
        <v>20</v>
      </c>
      <c r="Y10" s="20"/>
      <c r="AL10" s="20" t="s">
        <v>19</v>
      </c>
      <c r="AM10" s="144">
        <v>43</v>
      </c>
      <c r="AN10" s="1"/>
    </row>
    <row r="11" spans="1:40" s="150" customFormat="1" ht="18.75">
      <c r="A11" s="20" t="s">
        <v>21</v>
      </c>
      <c r="B11" s="144">
        <f t="shared" si="1"/>
        <v>178</v>
      </c>
      <c r="C11" s="163">
        <v>5</v>
      </c>
      <c r="D11" s="163">
        <v>8</v>
      </c>
      <c r="E11" s="163">
        <v>4</v>
      </c>
      <c r="F11" s="163">
        <v>13</v>
      </c>
      <c r="G11" s="163">
        <v>6</v>
      </c>
      <c r="H11" s="163">
        <v>6</v>
      </c>
      <c r="I11" s="163">
        <v>3</v>
      </c>
      <c r="J11" s="163">
        <v>5</v>
      </c>
      <c r="K11" s="163">
        <v>6</v>
      </c>
      <c r="L11" s="163">
        <v>2</v>
      </c>
      <c r="M11" s="163">
        <v>0</v>
      </c>
      <c r="N11" s="163">
        <v>2</v>
      </c>
      <c r="O11" s="163">
        <v>1</v>
      </c>
      <c r="P11" s="163">
        <v>3</v>
      </c>
      <c r="Q11" s="163">
        <v>4</v>
      </c>
      <c r="R11" s="163">
        <v>17</v>
      </c>
      <c r="S11" s="163">
        <v>11</v>
      </c>
      <c r="T11" s="163">
        <v>8</v>
      </c>
      <c r="U11" s="163">
        <v>9</v>
      </c>
      <c r="V11" s="163">
        <v>65</v>
      </c>
      <c r="W11" s="26" t="s">
        <v>22</v>
      </c>
      <c r="Y11" s="20"/>
      <c r="AL11" s="151" t="s">
        <v>142</v>
      </c>
      <c r="AM11" s="144">
        <v>15</v>
      </c>
      <c r="AN11" s="1"/>
    </row>
    <row r="12" spans="1:40" s="150" customFormat="1" ht="18.75">
      <c r="A12" s="20" t="s">
        <v>19</v>
      </c>
      <c r="B12" s="144">
        <f t="shared" si="1"/>
        <v>46</v>
      </c>
      <c r="C12" s="163">
        <v>0</v>
      </c>
      <c r="D12" s="163">
        <v>9</v>
      </c>
      <c r="E12" s="163">
        <v>0</v>
      </c>
      <c r="F12" s="163">
        <v>2</v>
      </c>
      <c r="G12" s="163">
        <v>1</v>
      </c>
      <c r="H12" s="163">
        <v>1</v>
      </c>
      <c r="I12" s="163">
        <v>1</v>
      </c>
      <c r="J12" s="163">
        <v>0</v>
      </c>
      <c r="K12" s="163">
        <v>0</v>
      </c>
      <c r="L12" s="163">
        <v>1</v>
      </c>
      <c r="M12" s="163">
        <v>0</v>
      </c>
      <c r="N12" s="163">
        <v>0</v>
      </c>
      <c r="O12" s="163">
        <v>0</v>
      </c>
      <c r="P12" s="163">
        <v>0</v>
      </c>
      <c r="Q12" s="163">
        <v>0</v>
      </c>
      <c r="R12" s="163">
        <v>3</v>
      </c>
      <c r="S12" s="163">
        <v>2</v>
      </c>
      <c r="T12" s="163">
        <v>1</v>
      </c>
      <c r="U12" s="163">
        <v>4</v>
      </c>
      <c r="V12" s="163">
        <v>21</v>
      </c>
      <c r="W12" s="26" t="s">
        <v>25</v>
      </c>
      <c r="Y12" s="20"/>
      <c r="AL12" s="20" t="s">
        <v>15</v>
      </c>
      <c r="AM12" s="144">
        <v>1068</v>
      </c>
      <c r="AN12" s="1"/>
    </row>
    <row r="13" spans="1:40" s="150" customFormat="1" ht="18.75">
      <c r="A13" s="20" t="s">
        <v>28</v>
      </c>
      <c r="B13" s="144">
        <f t="shared" si="1"/>
        <v>247</v>
      </c>
      <c r="C13" s="163">
        <v>21</v>
      </c>
      <c r="D13" s="163">
        <v>16</v>
      </c>
      <c r="E13" s="163">
        <v>11</v>
      </c>
      <c r="F13" s="163">
        <v>10</v>
      </c>
      <c r="G13" s="163">
        <v>15</v>
      </c>
      <c r="H13" s="163">
        <v>8</v>
      </c>
      <c r="I13" s="163">
        <v>8</v>
      </c>
      <c r="J13" s="163">
        <v>16</v>
      </c>
      <c r="K13" s="163">
        <v>14</v>
      </c>
      <c r="L13" s="163">
        <v>10</v>
      </c>
      <c r="M13" s="163">
        <v>3</v>
      </c>
      <c r="N13" s="163">
        <v>5</v>
      </c>
      <c r="O13" s="163">
        <v>5</v>
      </c>
      <c r="P13" s="163">
        <v>12</v>
      </c>
      <c r="Q13" s="163">
        <v>12</v>
      </c>
      <c r="R13" s="163">
        <v>17</v>
      </c>
      <c r="S13" s="163">
        <v>10</v>
      </c>
      <c r="T13" s="163">
        <v>19</v>
      </c>
      <c r="U13" s="163">
        <v>12</v>
      </c>
      <c r="V13" s="163">
        <v>23</v>
      </c>
      <c r="W13" s="26" t="s">
        <v>29</v>
      </c>
      <c r="Y13" s="20"/>
      <c r="Z13" s="152"/>
      <c r="AL13" s="1"/>
      <c r="AM13" s="1"/>
      <c r="AN13" s="1"/>
    </row>
    <row r="14" spans="1:40" s="150" customFormat="1" ht="18.75">
      <c r="A14" s="20" t="s">
        <v>27</v>
      </c>
      <c r="B14" s="144">
        <f t="shared" si="1"/>
        <v>143</v>
      </c>
      <c r="C14" s="163">
        <v>8</v>
      </c>
      <c r="D14" s="163">
        <v>17</v>
      </c>
      <c r="E14" s="163">
        <v>6</v>
      </c>
      <c r="F14" s="163">
        <v>4</v>
      </c>
      <c r="G14" s="163">
        <v>5</v>
      </c>
      <c r="H14" s="163">
        <v>5</v>
      </c>
      <c r="I14" s="163">
        <v>7</v>
      </c>
      <c r="J14" s="163">
        <v>12</v>
      </c>
      <c r="K14" s="163">
        <v>5</v>
      </c>
      <c r="L14" s="163">
        <v>10</v>
      </c>
      <c r="M14" s="163">
        <v>0</v>
      </c>
      <c r="N14" s="163">
        <v>1</v>
      </c>
      <c r="O14" s="163">
        <v>1</v>
      </c>
      <c r="P14" s="163">
        <v>7</v>
      </c>
      <c r="Q14" s="163">
        <v>3</v>
      </c>
      <c r="R14" s="163">
        <v>12</v>
      </c>
      <c r="S14" s="163">
        <v>2</v>
      </c>
      <c r="T14" s="163">
        <v>11</v>
      </c>
      <c r="U14" s="163">
        <v>7</v>
      </c>
      <c r="V14" s="163">
        <v>20</v>
      </c>
      <c r="W14" s="26" t="s">
        <v>31</v>
      </c>
      <c r="Y14" s="20"/>
      <c r="Z14" s="152"/>
    </row>
    <row r="15" spans="1:40" s="150" customFormat="1" ht="18.75">
      <c r="A15" s="20" t="s">
        <v>30</v>
      </c>
      <c r="B15" s="144">
        <f t="shared" si="1"/>
        <v>124</v>
      </c>
      <c r="C15" s="163">
        <v>3</v>
      </c>
      <c r="D15" s="163">
        <v>13</v>
      </c>
      <c r="E15" s="163">
        <v>5</v>
      </c>
      <c r="F15" s="163">
        <v>3</v>
      </c>
      <c r="G15" s="163">
        <v>4</v>
      </c>
      <c r="H15" s="163">
        <v>5</v>
      </c>
      <c r="I15" s="163">
        <v>3</v>
      </c>
      <c r="J15" s="163">
        <v>9</v>
      </c>
      <c r="K15" s="163">
        <v>4</v>
      </c>
      <c r="L15" s="163">
        <v>7</v>
      </c>
      <c r="M15" s="163">
        <v>0</v>
      </c>
      <c r="N15" s="163">
        <v>2</v>
      </c>
      <c r="O15" s="163">
        <v>5</v>
      </c>
      <c r="P15" s="163">
        <v>3</v>
      </c>
      <c r="Q15" s="163">
        <v>6</v>
      </c>
      <c r="R15" s="163">
        <v>7</v>
      </c>
      <c r="S15" s="163">
        <v>8</v>
      </c>
      <c r="T15" s="163">
        <v>10</v>
      </c>
      <c r="U15" s="163">
        <v>6</v>
      </c>
      <c r="V15" s="163">
        <v>21</v>
      </c>
      <c r="W15" s="26" t="s">
        <v>33</v>
      </c>
      <c r="Y15" s="20"/>
      <c r="Z15" s="152"/>
    </row>
    <row r="16" spans="1:40" s="150" customFormat="1" ht="18.75">
      <c r="A16" s="20" t="s">
        <v>32</v>
      </c>
      <c r="B16" s="144">
        <f t="shared" si="1"/>
        <v>7</v>
      </c>
      <c r="C16" s="163">
        <v>1</v>
      </c>
      <c r="D16" s="163">
        <v>0</v>
      </c>
      <c r="E16" s="163">
        <v>0</v>
      </c>
      <c r="F16" s="163">
        <v>0</v>
      </c>
      <c r="G16" s="163">
        <v>1</v>
      </c>
      <c r="H16" s="163">
        <v>0</v>
      </c>
      <c r="I16" s="163">
        <v>0</v>
      </c>
      <c r="J16" s="163">
        <v>0</v>
      </c>
      <c r="K16" s="163">
        <v>1</v>
      </c>
      <c r="L16" s="163">
        <v>0</v>
      </c>
      <c r="M16" s="163">
        <v>0</v>
      </c>
      <c r="N16" s="163">
        <v>0</v>
      </c>
      <c r="O16" s="163">
        <v>0</v>
      </c>
      <c r="P16" s="163">
        <v>0</v>
      </c>
      <c r="Q16" s="163">
        <v>0</v>
      </c>
      <c r="R16" s="163">
        <v>2</v>
      </c>
      <c r="S16" s="163">
        <v>0</v>
      </c>
      <c r="T16" s="163">
        <v>1</v>
      </c>
      <c r="U16" s="163">
        <v>0</v>
      </c>
      <c r="V16" s="163">
        <v>1</v>
      </c>
      <c r="W16" s="26" t="s">
        <v>143</v>
      </c>
      <c r="Y16" s="20"/>
      <c r="Z16" s="152"/>
    </row>
    <row r="17" spans="1:26" s="150" customFormat="1" ht="18.75">
      <c r="A17" s="151" t="s">
        <v>15</v>
      </c>
      <c r="B17" s="153">
        <f t="shared" si="1"/>
        <v>976</v>
      </c>
      <c r="C17" s="164">
        <v>33</v>
      </c>
      <c r="D17" s="164">
        <v>59</v>
      </c>
      <c r="E17" s="164">
        <v>12</v>
      </c>
      <c r="F17" s="164">
        <v>41</v>
      </c>
      <c r="G17" s="164">
        <v>38</v>
      </c>
      <c r="H17" s="164">
        <v>29</v>
      </c>
      <c r="I17" s="164">
        <v>35</v>
      </c>
      <c r="J17" s="164">
        <v>148</v>
      </c>
      <c r="K17" s="164">
        <v>37</v>
      </c>
      <c r="L17" s="164">
        <v>41</v>
      </c>
      <c r="M17" s="164">
        <v>12</v>
      </c>
      <c r="N17" s="164">
        <v>24</v>
      </c>
      <c r="O17" s="164">
        <v>12</v>
      </c>
      <c r="P17" s="164">
        <v>31</v>
      </c>
      <c r="Q17" s="164">
        <v>29</v>
      </c>
      <c r="R17" s="164">
        <v>62</v>
      </c>
      <c r="S17" s="164">
        <v>44</v>
      </c>
      <c r="T17" s="164">
        <v>87</v>
      </c>
      <c r="U17" s="164">
        <v>63</v>
      </c>
      <c r="V17" s="164">
        <v>139</v>
      </c>
      <c r="W17" s="154" t="s">
        <v>37</v>
      </c>
      <c r="Y17" s="20"/>
      <c r="Z17" s="152"/>
    </row>
    <row r="18" spans="1:26" s="159" customFormat="1" ht="13.15" customHeight="1">
      <c r="A18" s="155" t="s">
        <v>60</v>
      </c>
      <c r="B18" s="156"/>
      <c r="C18" s="157"/>
      <c r="D18" s="157"/>
      <c r="E18" s="157"/>
      <c r="F18" s="157"/>
      <c r="G18" s="157"/>
      <c r="H18" s="157"/>
      <c r="I18" s="157"/>
      <c r="J18" s="30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8" t="s">
        <v>61</v>
      </c>
      <c r="Y18" s="160"/>
      <c r="Z18" s="160"/>
    </row>
    <row r="19" spans="1:26" s="159" customFormat="1" ht="13.15" customHeight="1">
      <c r="A19" s="161"/>
      <c r="B19" s="156"/>
      <c r="C19" s="157"/>
      <c r="D19" s="157"/>
      <c r="E19" s="157"/>
      <c r="F19" s="157"/>
      <c r="G19" s="157"/>
      <c r="H19" s="157"/>
      <c r="I19" s="157"/>
      <c r="J19" s="30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62"/>
      <c r="Y19" s="160"/>
      <c r="Z19" s="160"/>
    </row>
    <row r="20" spans="1:26" s="159" customFormat="1" ht="13.15" customHeight="1">
      <c r="A20" s="161"/>
      <c r="B20" s="156"/>
      <c r="C20" s="157"/>
      <c r="D20" s="157"/>
      <c r="E20" s="157"/>
      <c r="F20" s="157"/>
      <c r="G20" s="157"/>
      <c r="H20" s="157"/>
      <c r="I20" s="157"/>
      <c r="J20" s="30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62"/>
      <c r="Y20" s="160"/>
      <c r="Z20" s="160"/>
    </row>
    <row r="21" spans="1:26" s="159" customFormat="1" ht="13.15" customHeight="1">
      <c r="A21" s="161"/>
      <c r="B21" s="156"/>
      <c r="C21" s="157"/>
      <c r="D21" s="157"/>
      <c r="E21" s="157"/>
      <c r="F21" s="157"/>
      <c r="G21" s="157"/>
      <c r="H21" s="157"/>
      <c r="I21" s="157"/>
      <c r="J21" s="30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62"/>
      <c r="Y21" s="160"/>
      <c r="Z21" s="160"/>
    </row>
    <row r="22" spans="1:26" s="159" customFormat="1" ht="13.15" customHeight="1">
      <c r="A22" s="161"/>
      <c r="B22" s="156"/>
      <c r="C22" s="157"/>
      <c r="D22" s="157"/>
      <c r="E22" s="157"/>
      <c r="F22" s="157"/>
      <c r="G22" s="157"/>
      <c r="H22" s="157"/>
      <c r="I22" s="157"/>
      <c r="J22" s="30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62"/>
      <c r="Y22" s="160"/>
      <c r="Z22" s="160"/>
    </row>
    <row r="23" spans="1:26" s="159" customFormat="1" ht="13.15" customHeight="1">
      <c r="A23" s="161"/>
      <c r="B23" s="156"/>
      <c r="C23" s="157"/>
      <c r="D23" s="157"/>
      <c r="E23" s="157"/>
      <c r="F23" s="157"/>
      <c r="G23" s="157"/>
      <c r="H23" s="157"/>
      <c r="I23" s="157"/>
      <c r="J23" s="30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62"/>
      <c r="Y23" s="160"/>
      <c r="Z23" s="160"/>
    </row>
    <row r="24" spans="1:26" s="159" customFormat="1" ht="13.15" customHeight="1">
      <c r="A24" s="161"/>
      <c r="B24" s="156"/>
      <c r="C24" s="157"/>
      <c r="D24" s="157"/>
      <c r="E24" s="157"/>
      <c r="F24" s="157"/>
      <c r="G24" s="157"/>
      <c r="H24" s="157"/>
      <c r="I24" s="157"/>
      <c r="J24" s="30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62"/>
      <c r="Y24" s="160"/>
      <c r="Z24" s="160"/>
    </row>
    <row r="25" spans="1:26" s="159" customFormat="1" ht="13.15" customHeight="1">
      <c r="A25" s="161"/>
      <c r="B25" s="156"/>
      <c r="C25" s="157"/>
      <c r="D25" s="157"/>
      <c r="E25" s="157"/>
      <c r="F25" s="157"/>
      <c r="G25" s="157"/>
      <c r="H25" s="157"/>
      <c r="I25" s="157"/>
      <c r="J25" s="30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62"/>
      <c r="Y25" s="160"/>
      <c r="Z25" s="160"/>
    </row>
    <row r="26" spans="1:26">
      <c r="J26" s="5"/>
      <c r="Y26" s="45"/>
      <c r="Z26" s="45"/>
    </row>
    <row r="27" spans="1:26">
      <c r="A27" s="140"/>
      <c r="B27" s="140"/>
      <c r="Y27" s="45"/>
      <c r="Z27" s="45"/>
    </row>
    <row r="28" spans="1:26">
      <c r="Y28" s="45"/>
      <c r="Z28" s="45"/>
    </row>
    <row r="29" spans="1:26">
      <c r="Y29" s="45"/>
      <c r="Z29" s="45"/>
    </row>
    <row r="30" spans="1:26">
      <c r="Y30" s="45"/>
      <c r="Z30" s="45"/>
    </row>
    <row r="31" spans="1:26">
      <c r="Y31" s="45"/>
      <c r="Z31" s="45"/>
    </row>
    <row r="32" spans="1:26" ht="17.25">
      <c r="A32" s="104"/>
      <c r="B32" s="104"/>
      <c r="C32" s="21"/>
      <c r="D32" s="21"/>
      <c r="E32" s="21"/>
      <c r="F32" s="21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105"/>
      <c r="Y32" s="45"/>
      <c r="Z32" s="45"/>
    </row>
    <row r="33" spans="25:26">
      <c r="Y33" s="45"/>
      <c r="Z33" s="45"/>
    </row>
    <row r="34" spans="25:26">
      <c r="Y34" s="45"/>
      <c r="Z34" s="45"/>
    </row>
    <row r="35" spans="25:26">
      <c r="Y35" s="45"/>
      <c r="Z35" s="45"/>
    </row>
    <row r="36" spans="25:26">
      <c r="Y36" s="45"/>
      <c r="Z36" s="45"/>
    </row>
    <row r="43" spans="25:26" ht="4.9000000000000004" customHeight="1"/>
    <row r="44" spans="25:26" hidden="1"/>
    <row r="45" spans="25:26" hidden="1"/>
    <row r="46" spans="25:26" hidden="1"/>
    <row r="47" spans="25:26" hidden="1"/>
    <row r="48" spans="25:26" hidden="1"/>
    <row r="49" hidden="1"/>
    <row r="50" hidden="1"/>
    <row r="51" hidden="1"/>
    <row r="52" hidden="1"/>
    <row r="53" hidden="1"/>
  </sheetData>
  <mergeCells count="4">
    <mergeCell ref="A1:W1"/>
    <mergeCell ref="A2:W2"/>
    <mergeCell ref="A3:A4"/>
    <mergeCell ref="W3:W4"/>
  </mergeCells>
  <hyperlinks>
    <hyperlink ref="Y2" location="Contents!A1" display="GO BACK TO CONTENTS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19"/>
  <sheetViews>
    <sheetView topLeftCell="A13" workbookViewId="0">
      <selection activeCell="N27" sqref="N27"/>
    </sheetView>
  </sheetViews>
  <sheetFormatPr defaultColWidth="9.140625" defaultRowHeight="15"/>
  <cols>
    <col min="1" max="1" width="25.5703125" style="169" customWidth="1"/>
    <col min="2" max="2" width="7.5703125" style="169" hidden="1" customWidth="1"/>
    <col min="3" max="7" width="12.7109375" style="169" hidden="1" customWidth="1"/>
    <col min="8" max="8" width="0.5703125" style="169" hidden="1" customWidth="1"/>
    <col min="9" max="11" width="12.7109375" style="169" customWidth="1"/>
    <col min="12" max="12" width="27.140625" style="169" customWidth="1"/>
    <col min="13" max="13" width="9.140625" style="169"/>
    <col min="14" max="14" width="22.140625" style="169" bestFit="1" customWidth="1"/>
    <col min="15" max="15" width="6.7109375" style="169" bestFit="1" customWidth="1"/>
    <col min="16" max="18" width="3.28515625" style="169" customWidth="1"/>
    <col min="19" max="19" width="7.5703125" style="169" customWidth="1"/>
    <col min="20" max="20" width="7.28515625" style="169" customWidth="1"/>
    <col min="21" max="26" width="3.28515625" style="169" customWidth="1"/>
    <col min="27" max="27" width="9.140625" style="169"/>
    <col min="28" max="32" width="9.85546875" style="169" customWidth="1"/>
    <col min="33" max="16384" width="9.140625" style="169"/>
  </cols>
  <sheetData>
    <row r="1" spans="1:16" ht="19.5">
      <c r="A1" s="1131" t="s">
        <v>170</v>
      </c>
      <c r="B1" s="1131"/>
      <c r="C1" s="1131"/>
      <c r="D1" s="1131"/>
      <c r="E1" s="1131"/>
      <c r="F1" s="1131"/>
      <c r="G1" s="1131"/>
      <c r="H1" s="1131"/>
      <c r="I1" s="1131"/>
      <c r="J1" s="1131"/>
      <c r="K1" s="1131"/>
      <c r="L1" s="1131"/>
    </row>
    <row r="2" spans="1:16" ht="15.75">
      <c r="A2" s="1132" t="s">
        <v>171</v>
      </c>
      <c r="B2" s="1132"/>
      <c r="C2" s="1132"/>
      <c r="D2" s="1132"/>
      <c r="E2" s="1132"/>
      <c r="F2" s="1132"/>
      <c r="G2" s="1132"/>
      <c r="H2" s="1132"/>
      <c r="I2" s="1132"/>
      <c r="J2" s="1132"/>
      <c r="K2" s="1132"/>
      <c r="L2" s="1132"/>
    </row>
    <row r="3" spans="1:16" ht="5.25" customHeight="1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N3" s="2"/>
    </row>
    <row r="4" spans="1:16" s="174" customFormat="1" ht="15.75">
      <c r="A4" s="171" t="s">
        <v>144</v>
      </c>
      <c r="B4" s="172">
        <v>2009</v>
      </c>
      <c r="C4" s="172">
        <v>2010</v>
      </c>
      <c r="D4" s="172">
        <v>2011</v>
      </c>
      <c r="E4" s="172">
        <v>2012</v>
      </c>
      <c r="F4" s="172">
        <v>2013</v>
      </c>
      <c r="G4" s="172">
        <v>2014</v>
      </c>
      <c r="H4" s="172">
        <v>2015</v>
      </c>
      <c r="I4" s="172">
        <v>2016</v>
      </c>
      <c r="J4" s="172">
        <v>2017</v>
      </c>
      <c r="K4" s="172">
        <v>2018</v>
      </c>
      <c r="L4" s="173" t="s">
        <v>145</v>
      </c>
      <c r="M4" s="169"/>
      <c r="N4" s="169"/>
      <c r="O4" s="169"/>
      <c r="P4" s="169"/>
    </row>
    <row r="5" spans="1:16" ht="15.75">
      <c r="A5" s="175" t="s">
        <v>8</v>
      </c>
      <c r="B5" s="176">
        <f t="shared" ref="B5:G5" si="0">SUM(B6:B17)</f>
        <v>19259</v>
      </c>
      <c r="C5" s="177">
        <f t="shared" si="0"/>
        <v>16994</v>
      </c>
      <c r="D5" s="176">
        <f t="shared" si="0"/>
        <v>17803</v>
      </c>
      <c r="E5" s="176">
        <f t="shared" si="0"/>
        <v>20512</v>
      </c>
      <c r="F5" s="176">
        <f t="shared" si="0"/>
        <v>21885</v>
      </c>
      <c r="G5" s="176">
        <f t="shared" si="0"/>
        <v>18193</v>
      </c>
      <c r="H5" s="176">
        <f>SUM(H6:H17)</f>
        <v>16362</v>
      </c>
      <c r="I5" s="176">
        <f t="shared" ref="I5:K5" si="1">SUM(I6:I17)</f>
        <v>16287</v>
      </c>
      <c r="J5" s="176">
        <f t="shared" si="1"/>
        <v>15535</v>
      </c>
      <c r="K5" s="176">
        <f t="shared" si="1"/>
        <v>14811</v>
      </c>
      <c r="L5" s="16" t="s">
        <v>9</v>
      </c>
      <c r="M5" s="174"/>
      <c r="N5" s="174"/>
      <c r="O5" s="174"/>
      <c r="P5" s="174"/>
    </row>
    <row r="6" spans="1:16" ht="18.75">
      <c r="A6" s="178" t="s">
        <v>146</v>
      </c>
      <c r="B6" s="179">
        <v>1834</v>
      </c>
      <c r="C6" s="179">
        <v>1495</v>
      </c>
      <c r="D6" s="179">
        <v>1490</v>
      </c>
      <c r="E6" s="180">
        <v>1688</v>
      </c>
      <c r="F6" s="180">
        <v>1676</v>
      </c>
      <c r="G6" s="180">
        <v>2011</v>
      </c>
      <c r="H6" s="180">
        <v>1371</v>
      </c>
      <c r="I6" s="180">
        <v>1467</v>
      </c>
      <c r="J6" s="180">
        <v>1362</v>
      </c>
      <c r="K6" s="180">
        <v>1427</v>
      </c>
      <c r="L6" s="181" t="s">
        <v>147</v>
      </c>
      <c r="N6" s="174"/>
    </row>
    <row r="7" spans="1:16" ht="18.75">
      <c r="A7" s="178" t="s">
        <v>148</v>
      </c>
      <c r="B7" s="179">
        <v>1601</v>
      </c>
      <c r="C7" s="179">
        <v>1327</v>
      </c>
      <c r="D7" s="179">
        <v>1404</v>
      </c>
      <c r="E7" s="180">
        <v>1423</v>
      </c>
      <c r="F7" s="180">
        <v>1597</v>
      </c>
      <c r="G7" s="180">
        <v>1552</v>
      </c>
      <c r="H7" s="180">
        <v>1414</v>
      </c>
      <c r="I7" s="180">
        <v>1420</v>
      </c>
      <c r="J7" s="180">
        <v>1112</v>
      </c>
      <c r="K7" s="180">
        <v>1100</v>
      </c>
      <c r="L7" s="181" t="s">
        <v>149</v>
      </c>
      <c r="N7" s="174"/>
    </row>
    <row r="8" spans="1:16" ht="18.75">
      <c r="A8" s="178" t="s">
        <v>150</v>
      </c>
      <c r="B8" s="179">
        <v>1877</v>
      </c>
      <c r="C8" s="179">
        <v>1516</v>
      </c>
      <c r="D8" s="179">
        <v>1735</v>
      </c>
      <c r="E8" s="180">
        <v>1578</v>
      </c>
      <c r="F8" s="180">
        <v>1952</v>
      </c>
      <c r="G8" s="180">
        <v>1798</v>
      </c>
      <c r="H8" s="180">
        <v>1441</v>
      </c>
      <c r="I8" s="180">
        <v>1598</v>
      </c>
      <c r="J8" s="180">
        <v>1278</v>
      </c>
      <c r="K8" s="180">
        <v>1374</v>
      </c>
      <c r="L8" s="181" t="s">
        <v>151</v>
      </c>
      <c r="N8" s="174"/>
    </row>
    <row r="9" spans="1:16" ht="18.75">
      <c r="A9" s="178" t="s">
        <v>152</v>
      </c>
      <c r="B9" s="179">
        <v>1701</v>
      </c>
      <c r="C9" s="179">
        <v>1621</v>
      </c>
      <c r="D9" s="179">
        <v>1477</v>
      </c>
      <c r="E9" s="180">
        <v>1959</v>
      </c>
      <c r="F9" s="180">
        <v>1796</v>
      </c>
      <c r="G9" s="180">
        <v>1650</v>
      </c>
      <c r="H9" s="180">
        <v>1271</v>
      </c>
      <c r="I9" s="180">
        <v>1251</v>
      </c>
      <c r="J9" s="180">
        <v>1406</v>
      </c>
      <c r="K9" s="180">
        <v>1278</v>
      </c>
      <c r="L9" s="181" t="s">
        <v>153</v>
      </c>
      <c r="N9" s="174"/>
    </row>
    <row r="10" spans="1:16" ht="18.75">
      <c r="A10" s="178" t="s">
        <v>154</v>
      </c>
      <c r="B10" s="179">
        <v>1556</v>
      </c>
      <c r="C10" s="179">
        <v>1493</v>
      </c>
      <c r="D10" s="179">
        <v>1473</v>
      </c>
      <c r="E10" s="180">
        <v>1621</v>
      </c>
      <c r="F10" s="180">
        <v>1740</v>
      </c>
      <c r="G10" s="180">
        <v>1640</v>
      </c>
      <c r="H10" s="180">
        <v>1332</v>
      </c>
      <c r="I10" s="180">
        <v>1539</v>
      </c>
      <c r="J10" s="180">
        <v>1270</v>
      </c>
      <c r="K10" s="180">
        <v>1156</v>
      </c>
      <c r="L10" s="181" t="s">
        <v>155</v>
      </c>
      <c r="N10" s="174"/>
    </row>
    <row r="11" spans="1:16" ht="18.75">
      <c r="A11" s="178" t="s">
        <v>156</v>
      </c>
      <c r="B11" s="179">
        <v>1663</v>
      </c>
      <c r="C11" s="179">
        <v>1366</v>
      </c>
      <c r="D11" s="179">
        <v>1505</v>
      </c>
      <c r="E11" s="180">
        <v>1668</v>
      </c>
      <c r="F11" s="180">
        <v>1942</v>
      </c>
      <c r="G11" s="180">
        <v>1489</v>
      </c>
      <c r="H11" s="180">
        <v>1262</v>
      </c>
      <c r="I11" s="180">
        <v>1334</v>
      </c>
      <c r="J11" s="180">
        <v>1216</v>
      </c>
      <c r="K11" s="180">
        <v>1175</v>
      </c>
      <c r="L11" s="181" t="s">
        <v>157</v>
      </c>
    </row>
    <row r="12" spans="1:16" ht="18.75">
      <c r="A12" s="178" t="s">
        <v>158</v>
      </c>
      <c r="B12" s="179">
        <v>1597</v>
      </c>
      <c r="C12" s="179">
        <v>1253</v>
      </c>
      <c r="D12" s="179">
        <v>1300</v>
      </c>
      <c r="E12" s="180">
        <v>1773</v>
      </c>
      <c r="F12" s="180">
        <v>2005</v>
      </c>
      <c r="G12" s="180">
        <v>1412</v>
      </c>
      <c r="H12" s="180">
        <v>1326</v>
      </c>
      <c r="I12" s="180">
        <v>1301</v>
      </c>
      <c r="J12" s="180">
        <v>1309</v>
      </c>
      <c r="K12" s="180">
        <v>1165</v>
      </c>
      <c r="L12" s="181" t="s">
        <v>159</v>
      </c>
      <c r="N12" s="174"/>
    </row>
    <row r="13" spans="1:16" ht="18.75">
      <c r="A13" s="178" t="s">
        <v>160</v>
      </c>
      <c r="B13" s="179">
        <v>1433</v>
      </c>
      <c r="C13" s="179">
        <v>1510</v>
      </c>
      <c r="D13" s="179">
        <v>1464</v>
      </c>
      <c r="E13" s="180">
        <v>2001</v>
      </c>
      <c r="F13" s="180">
        <v>2007</v>
      </c>
      <c r="G13" s="180">
        <v>1380</v>
      </c>
      <c r="H13" s="180">
        <v>1609</v>
      </c>
      <c r="I13" s="180">
        <v>1267</v>
      </c>
      <c r="J13" s="180">
        <v>1308</v>
      </c>
      <c r="K13" s="180">
        <v>1296</v>
      </c>
      <c r="L13" s="181" t="s">
        <v>161</v>
      </c>
      <c r="N13" s="174"/>
    </row>
    <row r="14" spans="1:16" ht="18.75">
      <c r="A14" s="178" t="s">
        <v>162</v>
      </c>
      <c r="B14" s="179">
        <v>1699</v>
      </c>
      <c r="C14" s="179">
        <v>1395</v>
      </c>
      <c r="D14" s="179">
        <v>1460</v>
      </c>
      <c r="E14" s="180">
        <v>1732</v>
      </c>
      <c r="F14" s="180">
        <v>1833</v>
      </c>
      <c r="G14" s="180">
        <v>1245</v>
      </c>
      <c r="H14" s="180">
        <v>1428</v>
      </c>
      <c r="I14" s="180">
        <v>1189</v>
      </c>
      <c r="J14" s="180">
        <v>1223</v>
      </c>
      <c r="K14" s="180">
        <v>1278</v>
      </c>
      <c r="L14" s="181" t="s">
        <v>163</v>
      </c>
      <c r="N14" s="174"/>
    </row>
    <row r="15" spans="1:16" ht="18.75">
      <c r="A15" s="178" t="s">
        <v>164</v>
      </c>
      <c r="B15" s="179">
        <v>1574</v>
      </c>
      <c r="C15" s="179">
        <v>1517</v>
      </c>
      <c r="D15" s="179">
        <v>1712</v>
      </c>
      <c r="E15" s="180">
        <v>1704</v>
      </c>
      <c r="F15" s="180">
        <v>1727</v>
      </c>
      <c r="G15" s="180">
        <v>1497</v>
      </c>
      <c r="H15" s="180">
        <v>1369</v>
      </c>
      <c r="I15" s="180">
        <v>1252</v>
      </c>
      <c r="J15" s="180">
        <v>1482</v>
      </c>
      <c r="K15" s="180">
        <v>1300</v>
      </c>
      <c r="L15" s="181" t="s">
        <v>165</v>
      </c>
      <c r="N15" s="174"/>
    </row>
    <row r="16" spans="1:16" ht="18.75">
      <c r="A16" s="178" t="s">
        <v>166</v>
      </c>
      <c r="B16" s="179">
        <v>1387</v>
      </c>
      <c r="C16" s="179">
        <v>1252</v>
      </c>
      <c r="D16" s="179">
        <v>1374</v>
      </c>
      <c r="E16" s="180">
        <v>1724</v>
      </c>
      <c r="F16" s="180">
        <v>1706</v>
      </c>
      <c r="G16" s="180">
        <v>1349</v>
      </c>
      <c r="H16" s="180">
        <v>1285</v>
      </c>
      <c r="I16" s="180">
        <v>1300</v>
      </c>
      <c r="J16" s="180">
        <v>1296</v>
      </c>
      <c r="K16" s="180">
        <v>1096</v>
      </c>
      <c r="L16" s="181" t="s">
        <v>167</v>
      </c>
      <c r="N16" s="174"/>
    </row>
    <row r="17" spans="1:14" ht="18.75">
      <c r="A17" s="182" t="s">
        <v>168</v>
      </c>
      <c r="B17" s="183">
        <v>1337</v>
      </c>
      <c r="C17" s="183">
        <v>1249</v>
      </c>
      <c r="D17" s="183">
        <v>1409</v>
      </c>
      <c r="E17" s="184">
        <v>1641</v>
      </c>
      <c r="F17" s="184">
        <v>1904</v>
      </c>
      <c r="G17" s="184">
        <v>1170</v>
      </c>
      <c r="H17" s="184">
        <v>1254</v>
      </c>
      <c r="I17" s="184">
        <v>1369</v>
      </c>
      <c r="J17" s="184">
        <v>1273</v>
      </c>
      <c r="K17" s="184">
        <v>1166</v>
      </c>
      <c r="L17" s="185" t="s">
        <v>169</v>
      </c>
      <c r="N17" s="174"/>
    </row>
    <row r="18" spans="1:14">
      <c r="A18" s="186" t="s">
        <v>60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8" t="s">
        <v>61</v>
      </c>
    </row>
    <row r="19" spans="1:14">
      <c r="A19" s="186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9"/>
    </row>
  </sheetData>
  <mergeCells count="2">
    <mergeCell ref="A1:L1"/>
    <mergeCell ref="A2:L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72"/>
  <sheetViews>
    <sheetView topLeftCell="A16" workbookViewId="0">
      <selection activeCell="D26" sqref="D26"/>
    </sheetView>
  </sheetViews>
  <sheetFormatPr defaultColWidth="9.140625" defaultRowHeight="20.25" customHeight="1"/>
  <cols>
    <col min="1" max="1" width="26.7109375" style="150" customWidth="1"/>
    <col min="2" max="2" width="28.85546875" style="1" customWidth="1"/>
    <col min="3" max="3" width="9.140625" style="1"/>
    <col min="4" max="4" width="22.140625" style="1" bestFit="1" customWidth="1"/>
    <col min="5" max="5" width="9.140625" style="1"/>
    <col min="6" max="6" width="1.140625" style="1" customWidth="1"/>
    <col min="7" max="7" width="9.140625" style="1"/>
    <col min="8" max="8" width="3.28515625" style="1" customWidth="1"/>
    <col min="9" max="16384" width="9.140625" style="1"/>
  </cols>
  <sheetData>
    <row r="1" spans="1:18" ht="7.5" customHeight="1"/>
    <row r="2" spans="1:18" ht="20.25" customHeight="1">
      <c r="A2" s="1133" t="s">
        <v>172</v>
      </c>
      <c r="B2" s="1133"/>
      <c r="P2" s="45"/>
      <c r="Q2" s="190"/>
      <c r="R2" s="190"/>
    </row>
    <row r="3" spans="1:18" ht="20.25" customHeight="1">
      <c r="A3" s="1134" t="s">
        <v>173</v>
      </c>
      <c r="B3" s="1134"/>
      <c r="C3" s="191"/>
      <c r="D3" s="168"/>
      <c r="E3" s="192"/>
      <c r="F3" s="192"/>
      <c r="G3" s="192"/>
      <c r="H3" s="193"/>
      <c r="I3" s="193"/>
    </row>
    <row r="4" spans="1:18" ht="6" customHeight="1">
      <c r="A4" s="194"/>
      <c r="B4" s="195"/>
      <c r="C4" s="196"/>
      <c r="D4" s="193"/>
      <c r="E4" s="193"/>
      <c r="F4" s="193"/>
      <c r="G4" s="193"/>
      <c r="H4" s="193"/>
      <c r="I4" s="193"/>
    </row>
    <row r="5" spans="1:18" ht="20.25" customHeight="1">
      <c r="A5" s="197" t="s">
        <v>174</v>
      </c>
      <c r="B5" s="197" t="s">
        <v>175</v>
      </c>
      <c r="C5" s="196"/>
      <c r="D5" s="193"/>
      <c r="E5" s="193"/>
      <c r="F5" s="193"/>
      <c r="G5" s="193"/>
      <c r="H5" s="193"/>
      <c r="I5" s="193"/>
    </row>
    <row r="6" spans="1:18" ht="20.25" customHeight="1">
      <c r="A6" s="198" t="s">
        <v>176</v>
      </c>
      <c r="B6" s="198" t="s">
        <v>177</v>
      </c>
      <c r="C6" s="196"/>
      <c r="D6" s="193"/>
      <c r="E6" s="193"/>
      <c r="F6" s="193"/>
      <c r="G6" s="193"/>
      <c r="H6" s="193"/>
      <c r="I6" s="193"/>
    </row>
    <row r="7" spans="1:18" ht="18.75" customHeight="1">
      <c r="A7" s="199">
        <v>1992</v>
      </c>
      <c r="B7" s="200">
        <v>3843</v>
      </c>
      <c r="C7" s="201"/>
      <c r="D7" s="193"/>
      <c r="E7" s="193"/>
      <c r="F7" s="193"/>
      <c r="G7" s="193"/>
      <c r="H7" s="193"/>
      <c r="I7" s="193"/>
    </row>
    <row r="8" spans="1:18" ht="18.75" customHeight="1">
      <c r="A8" s="199">
        <v>1993</v>
      </c>
      <c r="B8" s="200">
        <v>5067</v>
      </c>
      <c r="C8" s="201"/>
      <c r="D8" s="193"/>
      <c r="E8" s="193"/>
      <c r="F8" s="193"/>
      <c r="G8" s="193"/>
      <c r="H8" s="193"/>
      <c r="I8" s="193"/>
    </row>
    <row r="9" spans="1:18" ht="18.75" customHeight="1">
      <c r="A9" s="199">
        <v>1994</v>
      </c>
      <c r="B9" s="200">
        <v>5344</v>
      </c>
      <c r="C9" s="201"/>
      <c r="D9" s="193"/>
      <c r="E9" s="193"/>
      <c r="F9" s="193"/>
      <c r="G9" s="193"/>
      <c r="H9" s="193"/>
      <c r="I9" s="193"/>
    </row>
    <row r="10" spans="1:18" ht="18.75" customHeight="1">
      <c r="A10" s="199">
        <v>1995</v>
      </c>
      <c r="B10" s="200">
        <v>5449</v>
      </c>
      <c r="C10" s="201"/>
      <c r="D10" s="193"/>
      <c r="E10" s="193"/>
      <c r="F10" s="193"/>
      <c r="G10" s="193"/>
      <c r="H10" s="193"/>
      <c r="I10" s="193"/>
    </row>
    <row r="11" spans="1:18" ht="18.75" customHeight="1">
      <c r="A11" s="199">
        <v>1996</v>
      </c>
      <c r="B11" s="200">
        <v>5287</v>
      </c>
      <c r="C11" s="201"/>
      <c r="D11" s="193"/>
      <c r="E11" s="193"/>
      <c r="F11" s="193"/>
      <c r="G11" s="193"/>
      <c r="H11" s="193"/>
      <c r="I11" s="193"/>
    </row>
    <row r="12" spans="1:18" ht="18.75" customHeight="1">
      <c r="A12" s="199">
        <v>1997</v>
      </c>
      <c r="B12" s="200">
        <v>6979</v>
      </c>
      <c r="C12" s="201"/>
      <c r="D12" s="193"/>
      <c r="E12" s="193"/>
      <c r="F12" s="193"/>
      <c r="G12" s="193"/>
      <c r="H12" s="193"/>
      <c r="I12" s="193"/>
    </row>
    <row r="13" spans="1:18" ht="18.75" customHeight="1">
      <c r="A13" s="199">
        <v>1998</v>
      </c>
      <c r="B13" s="200">
        <v>6266</v>
      </c>
      <c r="C13" s="201"/>
      <c r="D13" s="193"/>
      <c r="E13" s="193"/>
      <c r="F13" s="193"/>
      <c r="G13" s="193"/>
      <c r="H13" s="193"/>
      <c r="I13" s="193"/>
    </row>
    <row r="14" spans="1:18" ht="18.75" customHeight="1">
      <c r="A14" s="199">
        <v>1999</v>
      </c>
      <c r="B14" s="200">
        <v>4586</v>
      </c>
      <c r="C14" s="201"/>
      <c r="D14" s="193"/>
      <c r="E14" s="193"/>
      <c r="F14" s="193"/>
      <c r="G14" s="193"/>
      <c r="H14" s="193"/>
      <c r="I14" s="193"/>
    </row>
    <row r="15" spans="1:18" ht="18.75" customHeight="1">
      <c r="A15" s="199">
        <v>2000</v>
      </c>
      <c r="B15" s="200">
        <v>4567</v>
      </c>
      <c r="C15" s="201"/>
      <c r="D15" s="193"/>
      <c r="E15" s="193"/>
      <c r="F15" s="193"/>
      <c r="G15" s="193"/>
      <c r="H15" s="193"/>
      <c r="I15" s="193"/>
    </row>
    <row r="16" spans="1:18" ht="18.75" customHeight="1">
      <c r="A16" s="199">
        <v>2001</v>
      </c>
      <c r="B16" s="200">
        <v>6417</v>
      </c>
      <c r="C16" s="201"/>
      <c r="D16" s="193"/>
      <c r="E16" s="193"/>
      <c r="F16" s="193"/>
      <c r="G16" s="193"/>
      <c r="H16" s="193"/>
      <c r="I16" s="193"/>
    </row>
    <row r="17" spans="1:9" ht="18.75" customHeight="1">
      <c r="A17" s="199">
        <v>2002</v>
      </c>
      <c r="B17" s="200">
        <v>7045</v>
      </c>
      <c r="C17" s="201"/>
      <c r="D17" s="193"/>
      <c r="E17" s="193"/>
      <c r="F17" s="193"/>
      <c r="G17" s="193"/>
      <c r="H17" s="193"/>
      <c r="I17" s="193"/>
    </row>
    <row r="18" spans="1:9" ht="18.75" customHeight="1">
      <c r="A18" s="199">
        <v>2003</v>
      </c>
      <c r="B18" s="200">
        <v>9085</v>
      </c>
      <c r="C18" s="201"/>
      <c r="D18" s="193"/>
      <c r="E18" s="193"/>
      <c r="F18" s="193"/>
      <c r="G18" s="193"/>
      <c r="H18" s="193"/>
      <c r="I18" s="193"/>
    </row>
    <row r="19" spans="1:9" ht="18.75" customHeight="1">
      <c r="A19" s="199">
        <v>2004</v>
      </c>
      <c r="B19" s="200">
        <v>9140</v>
      </c>
      <c r="C19" s="201"/>
      <c r="D19" s="193"/>
      <c r="E19" s="193"/>
      <c r="F19" s="193"/>
      <c r="G19" s="193"/>
      <c r="H19" s="193"/>
      <c r="I19" s="193"/>
    </row>
    <row r="20" spans="1:9" ht="18.75" customHeight="1">
      <c r="A20" s="199">
        <v>2005</v>
      </c>
      <c r="B20" s="200">
        <v>8230</v>
      </c>
      <c r="C20" s="201"/>
      <c r="D20" s="193"/>
      <c r="E20" s="193"/>
      <c r="F20" s="193"/>
      <c r="G20" s="193"/>
      <c r="H20" s="193"/>
      <c r="I20" s="193"/>
    </row>
    <row r="21" spans="1:9" ht="18.75" customHeight="1">
      <c r="A21" s="199">
        <v>2006</v>
      </c>
      <c r="B21" s="200">
        <v>8560</v>
      </c>
      <c r="C21" s="201"/>
      <c r="D21" s="193"/>
      <c r="E21" s="193"/>
      <c r="F21" s="193"/>
      <c r="G21" s="193"/>
      <c r="H21" s="193"/>
      <c r="I21" s="193"/>
    </row>
    <row r="22" spans="1:9" ht="18.75" customHeight="1">
      <c r="A22" s="199">
        <v>2007</v>
      </c>
      <c r="B22" s="200">
        <v>11452</v>
      </c>
      <c r="C22" s="201"/>
      <c r="D22" s="193"/>
      <c r="E22" s="193"/>
      <c r="F22" s="193"/>
      <c r="G22" s="193"/>
      <c r="H22" s="193"/>
      <c r="I22" s="193"/>
    </row>
    <row r="23" spans="1:9" ht="18.75" customHeight="1">
      <c r="A23" s="199">
        <v>2008</v>
      </c>
      <c r="B23" s="202">
        <v>17674</v>
      </c>
      <c r="C23" s="201"/>
      <c r="D23" s="193"/>
      <c r="E23" s="193"/>
      <c r="F23" s="193"/>
      <c r="G23" s="193"/>
      <c r="H23" s="193"/>
      <c r="I23" s="193"/>
    </row>
    <row r="24" spans="1:9" ht="18.75" customHeight="1">
      <c r="A24" s="199">
        <v>2009</v>
      </c>
      <c r="B24" s="200">
        <v>19259</v>
      </c>
      <c r="C24" s="201"/>
      <c r="D24" s="193"/>
      <c r="E24" s="193"/>
      <c r="F24" s="193"/>
      <c r="G24" s="193"/>
      <c r="H24" s="193"/>
      <c r="I24" s="193"/>
    </row>
    <row r="25" spans="1:9" ht="18.75" customHeight="1">
      <c r="A25" s="199">
        <v>2010</v>
      </c>
      <c r="B25" s="200">
        <v>16994</v>
      </c>
      <c r="C25" s="203"/>
      <c r="D25" s="193"/>
      <c r="E25" s="193"/>
      <c r="F25" s="193"/>
      <c r="G25" s="193"/>
      <c r="H25" s="193"/>
      <c r="I25" s="193"/>
    </row>
    <row r="26" spans="1:9" s="45" customFormat="1" ht="18.75" customHeight="1">
      <c r="A26" s="199">
        <v>2011</v>
      </c>
      <c r="B26" s="200">
        <v>17803</v>
      </c>
      <c r="C26" s="203"/>
      <c r="D26" s="196"/>
      <c r="E26" s="196"/>
      <c r="F26" s="196"/>
      <c r="G26" s="196"/>
      <c r="H26" s="196"/>
      <c r="I26" s="196"/>
    </row>
    <row r="27" spans="1:9" s="45" customFormat="1" ht="18.75" customHeight="1">
      <c r="A27" s="199">
        <v>2012</v>
      </c>
      <c r="B27" s="200">
        <v>20512</v>
      </c>
      <c r="C27" s="203"/>
      <c r="D27" s="196"/>
      <c r="E27" s="204"/>
      <c r="F27" s="196"/>
      <c r="G27" s="196"/>
      <c r="H27" s="196"/>
      <c r="I27" s="196"/>
    </row>
    <row r="28" spans="1:9" s="45" customFormat="1" ht="18.75" customHeight="1">
      <c r="A28" s="205">
        <v>2013</v>
      </c>
      <c r="B28" s="200">
        <v>21885</v>
      </c>
      <c r="C28" s="203"/>
      <c r="D28" s="196"/>
      <c r="E28" s="204"/>
      <c r="F28" s="196"/>
      <c r="G28" s="196"/>
      <c r="H28" s="196"/>
      <c r="I28" s="196"/>
    </row>
    <row r="29" spans="1:9" ht="18.75" customHeight="1">
      <c r="A29" s="205">
        <v>2014</v>
      </c>
      <c r="B29" s="200">
        <v>18193</v>
      </c>
      <c r="C29" s="203"/>
      <c r="D29" s="193"/>
      <c r="E29" s="206"/>
      <c r="F29" s="193"/>
      <c r="G29" s="193"/>
      <c r="H29" s="193"/>
      <c r="I29" s="193"/>
    </row>
    <row r="30" spans="1:9" s="45" customFormat="1" ht="18.75" customHeight="1">
      <c r="A30" s="205">
        <v>2015</v>
      </c>
      <c r="B30" s="200">
        <f>'[1]8.5'!H5</f>
        <v>16362</v>
      </c>
      <c r="C30" s="203"/>
      <c r="D30" s="196"/>
      <c r="E30" s="204"/>
      <c r="F30" s="196"/>
      <c r="G30" s="196"/>
      <c r="H30" s="196"/>
      <c r="I30" s="196"/>
    </row>
    <row r="31" spans="1:9" s="45" customFormat="1" ht="18.75" customHeight="1">
      <c r="A31" s="205">
        <v>2016</v>
      </c>
      <c r="B31" s="200">
        <v>16287</v>
      </c>
      <c r="C31" s="203"/>
      <c r="D31" s="196"/>
      <c r="E31" s="204"/>
      <c r="F31" s="196"/>
      <c r="G31" s="196"/>
      <c r="H31" s="196"/>
      <c r="I31" s="196"/>
    </row>
    <row r="32" spans="1:9" s="45" customFormat="1" ht="18.75" customHeight="1">
      <c r="A32" s="205">
        <v>2017</v>
      </c>
      <c r="B32" s="200">
        <v>15535</v>
      </c>
      <c r="C32" s="203"/>
      <c r="D32" s="196"/>
      <c r="E32" s="204"/>
      <c r="F32" s="196"/>
      <c r="G32" s="196"/>
      <c r="H32" s="196"/>
      <c r="I32" s="196"/>
    </row>
    <row r="33" spans="1:9" ht="18.75" customHeight="1">
      <c r="A33" s="207">
        <v>2018</v>
      </c>
      <c r="B33" s="214">
        <v>14811</v>
      </c>
      <c r="C33" s="203"/>
      <c r="D33" s="193"/>
      <c r="E33" s="206"/>
      <c r="F33" s="193"/>
      <c r="G33" s="193"/>
      <c r="H33" s="193"/>
      <c r="I33" s="193"/>
    </row>
    <row r="34" spans="1:9" ht="20.25" customHeight="1">
      <c r="A34" s="208" t="s">
        <v>60</v>
      </c>
      <c r="B34" s="209" t="s">
        <v>178</v>
      </c>
    </row>
    <row r="51" spans="1:2" ht="20.25" customHeight="1">
      <c r="A51" s="210"/>
      <c r="B51" s="211"/>
    </row>
    <row r="52" spans="1:2" ht="20.25" customHeight="1">
      <c r="A52" s="212"/>
      <c r="B52" s="213"/>
    </row>
    <row r="53" spans="1:2" ht="20.25" customHeight="1">
      <c r="A53" s="212"/>
      <c r="B53" s="213"/>
    </row>
    <row r="54" spans="1:2" ht="20.25" customHeight="1">
      <c r="A54" s="212"/>
      <c r="B54" s="213"/>
    </row>
    <row r="55" spans="1:2" ht="20.25" customHeight="1">
      <c r="A55" s="212"/>
      <c r="B55" s="213"/>
    </row>
    <row r="56" spans="1:2" ht="20.25" customHeight="1">
      <c r="A56" s="212"/>
      <c r="B56" s="213"/>
    </row>
    <row r="57" spans="1:2" ht="20.25" customHeight="1">
      <c r="A57" s="212"/>
      <c r="B57" s="213"/>
    </row>
    <row r="58" spans="1:2" ht="20.25" customHeight="1">
      <c r="A58" s="212"/>
      <c r="B58" s="213"/>
    </row>
    <row r="59" spans="1:2" ht="20.25" customHeight="1">
      <c r="A59" s="212"/>
      <c r="B59" s="213"/>
    </row>
    <row r="60" spans="1:2" ht="20.25" customHeight="1">
      <c r="A60" s="212"/>
      <c r="B60" s="213"/>
    </row>
    <row r="61" spans="1:2" ht="20.25" customHeight="1">
      <c r="A61" s="212"/>
      <c r="B61" s="213"/>
    </row>
    <row r="62" spans="1:2" ht="20.25" customHeight="1">
      <c r="A62" s="212"/>
      <c r="B62" s="213"/>
    </row>
    <row r="63" spans="1:2" ht="20.25" customHeight="1">
      <c r="A63" s="212"/>
      <c r="B63" s="213"/>
    </row>
    <row r="64" spans="1:2" ht="20.25" customHeight="1">
      <c r="A64" s="212"/>
      <c r="B64" s="213"/>
    </row>
    <row r="65" spans="1:2" ht="20.25" customHeight="1">
      <c r="A65" s="212"/>
      <c r="B65" s="213"/>
    </row>
    <row r="66" spans="1:2" ht="20.25" customHeight="1">
      <c r="A66" s="212"/>
      <c r="B66" s="213"/>
    </row>
    <row r="67" spans="1:2" ht="20.25" customHeight="1">
      <c r="A67" s="212"/>
      <c r="B67" s="213"/>
    </row>
    <row r="68" spans="1:2" ht="20.25" customHeight="1">
      <c r="A68" s="212"/>
      <c r="B68" s="213"/>
    </row>
    <row r="69" spans="1:2" ht="20.25" customHeight="1">
      <c r="A69" s="212"/>
      <c r="B69" s="213"/>
    </row>
    <row r="70" spans="1:2" ht="20.25" customHeight="1">
      <c r="A70" s="212"/>
      <c r="B70" s="213"/>
    </row>
    <row r="71" spans="1:2" ht="20.25" customHeight="1">
      <c r="A71" s="212"/>
      <c r="B71" s="213"/>
    </row>
    <row r="72" spans="1:2" ht="20.25" customHeight="1">
      <c r="A72" s="212"/>
      <c r="B72" s="213"/>
    </row>
  </sheetData>
  <mergeCells count="2">
    <mergeCell ref="A2:B2"/>
    <mergeCell ref="A3:B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3"/>
  <sheetViews>
    <sheetView workbookViewId="0">
      <selection activeCell="O13" sqref="O13"/>
    </sheetView>
  </sheetViews>
  <sheetFormatPr defaultColWidth="9.140625" defaultRowHeight="15"/>
  <cols>
    <col min="1" max="1" width="33" style="1" customWidth="1"/>
    <col min="2" max="6" width="9.7109375" style="1" hidden="1" customWidth="1"/>
    <col min="7" max="9" width="9.7109375" style="1" customWidth="1"/>
    <col min="10" max="10" width="2.7109375" style="1" customWidth="1"/>
    <col min="11" max="11" width="15.5703125" style="1" customWidth="1"/>
    <col min="12" max="12" width="14.28515625" style="1" customWidth="1"/>
    <col min="13" max="13" width="38.28515625" style="1" customWidth="1"/>
    <col min="14" max="14" width="5.42578125" style="1" customWidth="1"/>
    <col min="15" max="15" width="22.140625" style="1" bestFit="1" customWidth="1"/>
    <col min="16" max="16384" width="9.140625" style="1"/>
  </cols>
  <sheetData>
    <row r="1" spans="1:21" ht="21">
      <c r="A1" s="1107" t="s">
        <v>199</v>
      </c>
      <c r="B1" s="1107"/>
      <c r="C1" s="1107"/>
      <c r="D1" s="1107"/>
      <c r="E1" s="1107"/>
      <c r="F1" s="1107"/>
      <c r="G1" s="1107"/>
      <c r="H1" s="1107"/>
      <c r="I1" s="1107"/>
      <c r="J1" s="1107"/>
      <c r="K1" s="1107"/>
      <c r="L1" s="1107"/>
      <c r="M1" s="1107"/>
    </row>
    <row r="2" spans="1:21" ht="15.75" customHeight="1">
      <c r="A2" s="1099" t="s">
        <v>198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O2" s="2"/>
    </row>
    <row r="3" spans="1:21" ht="17.25">
      <c r="A3" s="1138" t="s">
        <v>179</v>
      </c>
      <c r="B3" s="1135">
        <v>2011</v>
      </c>
      <c r="C3" s="1135">
        <v>2012</v>
      </c>
      <c r="D3" s="1135">
        <v>2013</v>
      </c>
      <c r="E3" s="1135">
        <v>2014</v>
      </c>
      <c r="F3" s="1135">
        <v>2015</v>
      </c>
      <c r="G3" s="1135">
        <v>2016</v>
      </c>
      <c r="H3" s="1135">
        <v>2017</v>
      </c>
      <c r="I3" s="1135">
        <v>2018</v>
      </c>
      <c r="J3" s="215"/>
      <c r="K3" s="4" t="s">
        <v>92</v>
      </c>
      <c r="L3" s="216" t="s">
        <v>180</v>
      </c>
      <c r="M3" s="1127" t="s">
        <v>181</v>
      </c>
      <c r="P3" s="5"/>
      <c r="Q3" s="5"/>
      <c r="R3" s="5"/>
      <c r="S3" s="5"/>
      <c r="T3" s="5"/>
      <c r="U3" s="5"/>
    </row>
    <row r="4" spans="1:21" ht="34.5">
      <c r="A4" s="1139"/>
      <c r="B4" s="1136"/>
      <c r="C4" s="1136"/>
      <c r="D4" s="1136"/>
      <c r="E4" s="1136"/>
      <c r="F4" s="1136"/>
      <c r="G4" s="1136"/>
      <c r="H4" s="1136"/>
      <c r="I4" s="1136"/>
      <c r="J4" s="117"/>
      <c r="K4" s="217" t="s">
        <v>94</v>
      </c>
      <c r="L4" s="218" t="s">
        <v>182</v>
      </c>
      <c r="M4" s="1128"/>
      <c r="P4" s="5"/>
      <c r="Q4" s="5"/>
      <c r="R4" s="5"/>
      <c r="S4" s="5"/>
      <c r="T4" s="5"/>
      <c r="U4" s="5"/>
    </row>
    <row r="5" spans="1:21" ht="17.25">
      <c r="A5" s="1140"/>
      <c r="B5" s="1137"/>
      <c r="C5" s="1137"/>
      <c r="D5" s="1137"/>
      <c r="E5" s="1137"/>
      <c r="F5" s="1137"/>
      <c r="G5" s="1137"/>
      <c r="H5" s="1137"/>
      <c r="I5" s="1137"/>
      <c r="J5" s="219"/>
      <c r="K5" s="220" t="s">
        <v>183</v>
      </c>
      <c r="L5" s="220">
        <v>2018</v>
      </c>
      <c r="M5" s="1097"/>
      <c r="P5" s="5"/>
      <c r="Q5" s="5"/>
      <c r="R5" s="5"/>
      <c r="S5" s="5"/>
      <c r="T5" s="5"/>
      <c r="U5" s="5"/>
    </row>
    <row r="6" spans="1:21" s="124" customFormat="1" ht="17.25">
      <c r="A6" s="10" t="s">
        <v>8</v>
      </c>
      <c r="B6" s="221">
        <f t="shared" ref="B6:E6" si="0">SUM(B7:B13)</f>
        <v>4734</v>
      </c>
      <c r="C6" s="221">
        <f t="shared" si="0"/>
        <v>6571</v>
      </c>
      <c r="D6" s="221">
        <f t="shared" si="0"/>
        <v>6683</v>
      </c>
      <c r="E6" s="221">
        <f t="shared" si="0"/>
        <v>5080</v>
      </c>
      <c r="F6" s="221">
        <f>SUM(F7:F13)</f>
        <v>4008</v>
      </c>
      <c r="G6" s="221">
        <f>SUM(G7:G13)</f>
        <v>3616</v>
      </c>
      <c r="H6" s="221">
        <f t="shared" ref="H6:I6" si="1">SUM(H7:H13)</f>
        <v>3503</v>
      </c>
      <c r="I6" s="221">
        <f>SUM(I7:I13)</f>
        <v>3270</v>
      </c>
      <c r="J6" s="221"/>
      <c r="K6" s="232">
        <f>((I6-H6)/I6*100)</f>
        <v>-7.1253822629969417</v>
      </c>
      <c r="L6" s="232">
        <f>I6/$I$6*100</f>
        <v>100</v>
      </c>
      <c r="M6" s="225" t="s">
        <v>141</v>
      </c>
      <c r="O6" s="221"/>
      <c r="P6" s="127"/>
      <c r="Q6" s="127"/>
      <c r="R6" s="127"/>
      <c r="S6" s="127"/>
      <c r="T6" s="127"/>
      <c r="U6" s="127"/>
    </row>
    <row r="7" spans="1:21" s="150" customFormat="1" ht="18.75">
      <c r="A7" s="129" t="s">
        <v>184</v>
      </c>
      <c r="B7" s="222">
        <v>2194</v>
      </c>
      <c r="C7" s="222">
        <v>3099</v>
      </c>
      <c r="D7" s="222">
        <v>3285</v>
      </c>
      <c r="E7" s="222">
        <v>2275</v>
      </c>
      <c r="F7" s="222">
        <v>1393</v>
      </c>
      <c r="G7" s="222">
        <v>1054</v>
      </c>
      <c r="H7" s="222">
        <v>1217</v>
      </c>
      <c r="I7" s="222">
        <v>1290</v>
      </c>
      <c r="J7" s="222"/>
      <c r="K7" s="1347">
        <f t="shared" ref="K7:K13" si="2">((I7-H7)/I7*100)</f>
        <v>5.6589147286821708</v>
      </c>
      <c r="L7" s="1347">
        <f>I7/I6*100</f>
        <v>39.449541284403672</v>
      </c>
      <c r="M7" s="85" t="s">
        <v>185</v>
      </c>
      <c r="O7" s="221"/>
      <c r="P7" s="127"/>
      <c r="Q7" s="127"/>
      <c r="R7" s="133"/>
      <c r="S7" s="133"/>
      <c r="T7" s="133"/>
      <c r="U7" s="133"/>
    </row>
    <row r="8" spans="1:21" s="150" customFormat="1" ht="18.75">
      <c r="A8" s="129" t="s">
        <v>186</v>
      </c>
      <c r="B8" s="222">
        <v>913</v>
      </c>
      <c r="C8" s="222">
        <v>1379</v>
      </c>
      <c r="D8" s="222">
        <v>1017</v>
      </c>
      <c r="E8" s="222">
        <v>602</v>
      </c>
      <c r="F8" s="222">
        <v>657</v>
      </c>
      <c r="G8" s="222">
        <v>650</v>
      </c>
      <c r="H8" s="222">
        <v>666</v>
      </c>
      <c r="I8" s="222">
        <v>494</v>
      </c>
      <c r="J8" s="222"/>
      <c r="K8" s="1347">
        <f t="shared" si="2"/>
        <v>-34.817813765182187</v>
      </c>
      <c r="L8" s="1347">
        <f>I8/I6*100</f>
        <v>15.107033639143729</v>
      </c>
      <c r="M8" s="85" t="s">
        <v>187</v>
      </c>
      <c r="O8" s="221"/>
      <c r="P8" s="222"/>
      <c r="Q8" s="127"/>
      <c r="R8" s="133"/>
      <c r="S8" s="133"/>
      <c r="T8" s="133"/>
      <c r="U8" s="133"/>
    </row>
    <row r="9" spans="1:21" s="150" customFormat="1" ht="18.75">
      <c r="A9" s="129" t="s">
        <v>188</v>
      </c>
      <c r="B9" s="222">
        <v>643</v>
      </c>
      <c r="C9" s="222">
        <v>865</v>
      </c>
      <c r="D9" s="222">
        <v>1022</v>
      </c>
      <c r="E9" s="222">
        <v>817</v>
      </c>
      <c r="F9" s="222">
        <v>811</v>
      </c>
      <c r="G9" s="222">
        <v>778</v>
      </c>
      <c r="H9" s="222">
        <v>606</v>
      </c>
      <c r="I9" s="222">
        <v>523</v>
      </c>
      <c r="J9" s="222"/>
      <c r="K9" s="1347">
        <f t="shared" si="2"/>
        <v>-15.86998087954111</v>
      </c>
      <c r="L9" s="1347">
        <f>I9/I6*100</f>
        <v>15.99388379204893</v>
      </c>
      <c r="M9" s="85" t="s">
        <v>189</v>
      </c>
      <c r="O9" s="221"/>
      <c r="P9" s="222"/>
      <c r="Q9" s="127"/>
      <c r="R9" s="133"/>
      <c r="S9" s="133"/>
      <c r="T9" s="133"/>
      <c r="U9" s="133"/>
    </row>
    <row r="10" spans="1:21" s="150" customFormat="1" ht="18.75">
      <c r="A10" s="129" t="s">
        <v>190</v>
      </c>
      <c r="B10" s="222">
        <v>200</v>
      </c>
      <c r="C10" s="222">
        <v>278</v>
      </c>
      <c r="D10" s="222">
        <v>324</v>
      </c>
      <c r="E10" s="222">
        <v>258</v>
      </c>
      <c r="F10" s="222">
        <v>286</v>
      </c>
      <c r="G10" s="222">
        <v>278</v>
      </c>
      <c r="H10" s="222">
        <v>237</v>
      </c>
      <c r="I10" s="222">
        <v>223</v>
      </c>
      <c r="J10" s="222"/>
      <c r="K10" s="1347">
        <f t="shared" si="2"/>
        <v>-6.2780269058295968</v>
      </c>
      <c r="L10" s="1347">
        <f>I10/I6*100</f>
        <v>6.8195718654434243</v>
      </c>
      <c r="M10" s="85" t="s">
        <v>191</v>
      </c>
      <c r="P10" s="222"/>
      <c r="Q10" s="127"/>
      <c r="R10" s="133"/>
      <c r="S10" s="133"/>
      <c r="T10" s="133"/>
      <c r="U10" s="133"/>
    </row>
    <row r="11" spans="1:21" s="150" customFormat="1" ht="18.75">
      <c r="A11" s="129" t="s">
        <v>192</v>
      </c>
      <c r="B11" s="222">
        <v>174</v>
      </c>
      <c r="C11" s="222">
        <v>235</v>
      </c>
      <c r="D11" s="222">
        <v>218</v>
      </c>
      <c r="E11" s="222">
        <v>238</v>
      </c>
      <c r="F11" s="222">
        <v>167</v>
      </c>
      <c r="G11" s="222">
        <v>181</v>
      </c>
      <c r="H11" s="222">
        <v>135</v>
      </c>
      <c r="I11" s="222">
        <v>92</v>
      </c>
      <c r="J11" s="222"/>
      <c r="K11" s="1347">
        <f t="shared" si="2"/>
        <v>-46.739130434782609</v>
      </c>
      <c r="L11" s="1347">
        <f>I11/I6*100</f>
        <v>2.8134556574923546</v>
      </c>
      <c r="M11" s="85" t="s">
        <v>193</v>
      </c>
      <c r="O11" s="273"/>
      <c r="P11" s="276"/>
      <c r="Q11" s="1346"/>
      <c r="R11" s="276"/>
      <c r="S11" s="134"/>
      <c r="T11" s="134"/>
      <c r="U11" s="133"/>
    </row>
    <row r="12" spans="1:21" s="150" customFormat="1" ht="18.75">
      <c r="A12" s="129" t="s">
        <v>194</v>
      </c>
      <c r="B12" s="222">
        <v>111</v>
      </c>
      <c r="C12" s="222">
        <v>73</v>
      </c>
      <c r="D12" s="222">
        <v>130</v>
      </c>
      <c r="E12" s="222">
        <v>237</v>
      </c>
      <c r="F12" s="222">
        <v>220</v>
      </c>
      <c r="G12" s="222">
        <v>258</v>
      </c>
      <c r="H12" s="222">
        <v>174</v>
      </c>
      <c r="I12" s="222">
        <v>227</v>
      </c>
      <c r="J12" s="222"/>
      <c r="K12" s="1347">
        <f t="shared" si="2"/>
        <v>23.348017621145374</v>
      </c>
      <c r="L12" s="1347">
        <f>I12/I6*100</f>
        <v>6.9418960244648318</v>
      </c>
      <c r="M12" s="85" t="s">
        <v>195</v>
      </c>
      <c r="O12" s="273"/>
      <c r="P12" s="276"/>
      <c r="Q12" s="1346"/>
      <c r="R12" s="276"/>
      <c r="S12" s="134"/>
      <c r="T12" s="134"/>
      <c r="U12" s="133"/>
    </row>
    <row r="13" spans="1:21" s="150" customFormat="1" ht="18.75">
      <c r="A13" s="136" t="s">
        <v>196</v>
      </c>
      <c r="B13" s="223">
        <v>499</v>
      </c>
      <c r="C13" s="223">
        <v>642</v>
      </c>
      <c r="D13" s="223">
        <v>687</v>
      </c>
      <c r="E13" s="223">
        <v>653</v>
      </c>
      <c r="F13" s="223">
        <v>474</v>
      </c>
      <c r="G13" s="223">
        <v>417</v>
      </c>
      <c r="H13" s="223">
        <v>468</v>
      </c>
      <c r="I13" s="223">
        <v>421</v>
      </c>
      <c r="J13" s="223"/>
      <c r="K13" s="1348">
        <f t="shared" si="2"/>
        <v>-11.163895486935866</v>
      </c>
      <c r="L13" s="1348">
        <f>I13/I6*100</f>
        <v>12.874617737003058</v>
      </c>
      <c r="M13" s="97" t="s">
        <v>197</v>
      </c>
      <c r="O13" s="273"/>
      <c r="P13" s="276"/>
      <c r="Q13" s="1346"/>
      <c r="R13" s="276"/>
      <c r="S13" s="134"/>
      <c r="T13" s="134"/>
      <c r="U13" s="133"/>
    </row>
    <row r="14" spans="1:21">
      <c r="A14" s="101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224" t="s">
        <v>61</v>
      </c>
      <c r="O14" s="273"/>
      <c r="P14" s="276"/>
      <c r="Q14" s="1346"/>
      <c r="R14" s="276"/>
      <c r="S14" s="60"/>
      <c r="T14" s="60"/>
      <c r="U14" s="5"/>
    </row>
    <row r="15" spans="1:21">
      <c r="O15" s="273"/>
      <c r="P15" s="1346"/>
      <c r="Q15" s="1346"/>
      <c r="R15" s="276"/>
      <c r="S15" s="60"/>
      <c r="T15" s="60"/>
      <c r="U15" s="5"/>
    </row>
    <row r="16" spans="1:21">
      <c r="A16" s="140"/>
      <c r="O16" s="273"/>
      <c r="P16" s="1346"/>
      <c r="Q16" s="1346"/>
      <c r="R16" s="276"/>
      <c r="S16" s="60"/>
      <c r="T16" s="60"/>
      <c r="U16" s="5"/>
    </row>
    <row r="17" spans="1:21">
      <c r="O17" s="273"/>
      <c r="P17" s="1346"/>
      <c r="Q17" s="1346"/>
      <c r="R17" s="276"/>
      <c r="S17" s="60"/>
      <c r="T17" s="60"/>
      <c r="U17" s="5"/>
    </row>
    <row r="18" spans="1:21">
      <c r="O18" s="273"/>
      <c r="P18" s="1346"/>
      <c r="Q18" s="1346"/>
      <c r="R18" s="60"/>
      <c r="S18" s="60"/>
      <c r="T18" s="60"/>
      <c r="U18" s="5"/>
    </row>
    <row r="19" spans="1:21">
      <c r="O19" s="45"/>
      <c r="P19" s="60"/>
      <c r="Q19" s="60"/>
      <c r="R19" s="60"/>
      <c r="S19" s="60"/>
      <c r="T19" s="60"/>
      <c r="U19" s="5"/>
    </row>
    <row r="20" spans="1:21">
      <c r="O20" s="45"/>
      <c r="P20" s="60"/>
      <c r="Q20" s="60"/>
      <c r="R20" s="60"/>
      <c r="S20" s="60"/>
      <c r="T20" s="60"/>
      <c r="U20" s="5"/>
    </row>
    <row r="21" spans="1:21" ht="17.25">
      <c r="A21" s="104"/>
      <c r="B21" s="2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105"/>
      <c r="O21" s="45"/>
      <c r="P21" s="60"/>
      <c r="Q21" s="60"/>
      <c r="R21" s="60"/>
      <c r="S21" s="60"/>
      <c r="T21" s="60"/>
      <c r="U21" s="5"/>
    </row>
    <row r="22" spans="1:21">
      <c r="O22" s="45"/>
      <c r="P22" s="60"/>
      <c r="Q22" s="60"/>
      <c r="R22" s="60"/>
      <c r="S22" s="60"/>
      <c r="T22" s="60"/>
      <c r="U22" s="5"/>
    </row>
    <row r="23" spans="1:21">
      <c r="P23" s="5"/>
      <c r="Q23" s="5"/>
      <c r="R23" s="5"/>
      <c r="S23" s="5"/>
      <c r="T23" s="5"/>
      <c r="U23" s="5"/>
    </row>
  </sheetData>
  <mergeCells count="12">
    <mergeCell ref="I3:I5"/>
    <mergeCell ref="M3:M5"/>
    <mergeCell ref="A1:M1"/>
    <mergeCell ref="A2:M2"/>
    <mergeCell ref="A3:A5"/>
    <mergeCell ref="B3:B5"/>
    <mergeCell ref="C3:C5"/>
    <mergeCell ref="D3:D5"/>
    <mergeCell ref="E3:E5"/>
    <mergeCell ref="F3:F5"/>
    <mergeCell ref="G3:G5"/>
    <mergeCell ref="H3:H5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37"/>
  <sheetViews>
    <sheetView zoomScale="118" zoomScaleNormal="118" workbookViewId="0">
      <selection activeCell="L21" sqref="L21"/>
    </sheetView>
  </sheetViews>
  <sheetFormatPr defaultColWidth="9.140625" defaultRowHeight="15"/>
  <cols>
    <col min="1" max="1" width="14.5703125" style="1" customWidth="1"/>
    <col min="2" max="6" width="11.42578125" style="1" hidden="1" customWidth="1"/>
    <col min="7" max="9" width="11.42578125" style="1" customWidth="1"/>
    <col min="10" max="10" width="2.7109375" style="1" customWidth="1"/>
    <col min="11" max="11" width="15.7109375" style="1" bestFit="1" customWidth="1"/>
    <col min="12" max="12" width="14.7109375" style="1" customWidth="1"/>
    <col min="13" max="13" width="20.28515625" style="1" customWidth="1"/>
    <col min="14" max="14" width="7.5703125" style="1" customWidth="1"/>
    <col min="15" max="18" width="9.140625" style="1"/>
    <col min="19" max="19" width="18.7109375" style="1" customWidth="1"/>
    <col min="20" max="20" width="9.140625" style="1"/>
    <col min="21" max="21" width="13.7109375" style="1" customWidth="1"/>
    <col min="22" max="16384" width="9.140625" style="1"/>
  </cols>
  <sheetData>
    <row r="1" spans="1:20" ht="21">
      <c r="A1" s="1107" t="s">
        <v>218</v>
      </c>
      <c r="B1" s="1107"/>
      <c r="C1" s="1107"/>
      <c r="D1" s="1107"/>
      <c r="E1" s="1107"/>
      <c r="F1" s="1107"/>
      <c r="G1" s="1107"/>
      <c r="H1" s="1107"/>
      <c r="I1" s="1107"/>
      <c r="J1" s="1107"/>
      <c r="K1" s="1107"/>
      <c r="L1" s="1107"/>
      <c r="M1" s="1107"/>
    </row>
    <row r="2" spans="1:20" ht="21.75" customHeight="1">
      <c r="A2" s="1099" t="s">
        <v>219</v>
      </c>
      <c r="B2" s="1099"/>
      <c r="C2" s="1099"/>
      <c r="D2" s="1099"/>
      <c r="E2" s="1099"/>
      <c r="F2" s="1099"/>
      <c r="G2" s="1099"/>
      <c r="H2" s="1099"/>
      <c r="I2" s="1099"/>
      <c r="J2" s="1099"/>
      <c r="K2" s="1145"/>
      <c r="L2" s="1145"/>
      <c r="M2" s="1099"/>
    </row>
    <row r="3" spans="1:20" ht="17.25">
      <c r="A3" s="1138" t="s">
        <v>179</v>
      </c>
      <c r="B3" s="1141">
        <v>2011</v>
      </c>
      <c r="C3" s="1141">
        <v>2012</v>
      </c>
      <c r="D3" s="1141">
        <v>2013</v>
      </c>
      <c r="E3" s="1141">
        <v>2014</v>
      </c>
      <c r="F3" s="1141">
        <v>2015</v>
      </c>
      <c r="G3" s="1141">
        <v>2016</v>
      </c>
      <c r="H3" s="1141">
        <v>2017</v>
      </c>
      <c r="I3" s="1141">
        <v>2018</v>
      </c>
      <c r="J3" s="226"/>
      <c r="K3" s="4" t="s">
        <v>92</v>
      </c>
      <c r="L3" s="227">
        <v>2018</v>
      </c>
      <c r="M3" s="1127" t="s">
        <v>200</v>
      </c>
    </row>
    <row r="4" spans="1:20" ht="34.5">
      <c r="A4" s="1139"/>
      <c r="B4" s="1142"/>
      <c r="C4" s="1142"/>
      <c r="D4" s="1142"/>
      <c r="E4" s="1142"/>
      <c r="F4" s="1142"/>
      <c r="G4" s="1142"/>
      <c r="H4" s="1142"/>
      <c r="I4" s="1142"/>
      <c r="J4" s="216"/>
      <c r="K4" s="217" t="s">
        <v>94</v>
      </c>
      <c r="L4" s="216" t="s">
        <v>180</v>
      </c>
      <c r="M4" s="1128"/>
      <c r="O4" s="5"/>
      <c r="P4" s="5"/>
      <c r="Q4" s="5"/>
      <c r="R4" s="5"/>
      <c r="S4" s="5"/>
      <c r="T4" s="5"/>
    </row>
    <row r="5" spans="1:20">
      <c r="A5" s="1140"/>
      <c r="B5" s="1143"/>
      <c r="C5" s="1143"/>
      <c r="D5" s="1143"/>
      <c r="E5" s="1143"/>
      <c r="F5" s="1143"/>
      <c r="G5" s="1143"/>
      <c r="H5" s="1143"/>
      <c r="I5" s="1143"/>
      <c r="J5" s="220"/>
      <c r="K5" s="220" t="s">
        <v>6</v>
      </c>
      <c r="L5" s="220" t="s">
        <v>201</v>
      </c>
      <c r="M5" s="1144"/>
      <c r="O5" s="5"/>
      <c r="P5" s="5"/>
      <c r="Q5" s="5"/>
      <c r="R5" s="5"/>
      <c r="S5" s="5"/>
      <c r="T5" s="5"/>
    </row>
    <row r="6" spans="1:20" s="234" customFormat="1" ht="18.75">
      <c r="A6" s="10" t="s">
        <v>8</v>
      </c>
      <c r="B6" s="228">
        <f t="shared" ref="B6:G6" si="0">B7+B14+B21</f>
        <v>1823</v>
      </c>
      <c r="C6" s="228">
        <f t="shared" si="0"/>
        <v>2534</v>
      </c>
      <c r="D6" s="229">
        <f t="shared" si="0"/>
        <v>3965</v>
      </c>
      <c r="E6" s="229">
        <f>E7+E14+E21</f>
        <v>3140</v>
      </c>
      <c r="F6" s="229">
        <f t="shared" si="0"/>
        <v>2079</v>
      </c>
      <c r="G6" s="229">
        <f t="shared" si="0"/>
        <v>2375</v>
      </c>
      <c r="H6" s="229">
        <f>H7+H14+H21</f>
        <v>2038</v>
      </c>
      <c r="I6" s="229">
        <f>I7+I14+I21</f>
        <v>2230</v>
      </c>
      <c r="J6" s="230"/>
      <c r="K6" s="231">
        <f>IFERROR(((I6-H6)/I6)*100,"-")</f>
        <v>8.6098654708520179</v>
      </c>
      <c r="L6" s="232">
        <f>IFERROR((I6/$I$6*100),"-")</f>
        <v>100</v>
      </c>
      <c r="M6" s="233" t="s">
        <v>141</v>
      </c>
      <c r="O6" s="235"/>
      <c r="P6" s="235"/>
      <c r="Q6" s="235"/>
      <c r="R6" s="235"/>
      <c r="S6" s="235"/>
      <c r="T6" s="235"/>
    </row>
    <row r="7" spans="1:20" s="78" customFormat="1" ht="18.75">
      <c r="A7" s="10" t="s">
        <v>12</v>
      </c>
      <c r="B7" s="230">
        <f t="shared" ref="B7:D7" si="1">SUM(B8:B13)</f>
        <v>1618</v>
      </c>
      <c r="C7" s="230">
        <f t="shared" si="1"/>
        <v>2349</v>
      </c>
      <c r="D7" s="230">
        <f t="shared" si="1"/>
        <v>3444</v>
      </c>
      <c r="E7" s="230">
        <f>SUM(E8:E13)</f>
        <v>2868</v>
      </c>
      <c r="F7" s="230">
        <f t="shared" ref="F7:H7" si="2">SUM(F8:F13)</f>
        <v>1912</v>
      </c>
      <c r="G7" s="230">
        <f>SUM(G8:G13)</f>
        <v>2216</v>
      </c>
      <c r="H7" s="230">
        <f t="shared" si="2"/>
        <v>1857</v>
      </c>
      <c r="I7" s="230">
        <v>2046</v>
      </c>
      <c r="J7" s="230"/>
      <c r="K7" s="231">
        <f t="shared" ref="K7:K21" si="3">IFERROR(((I7-H7)/I7)*100,"-")</f>
        <v>9.2375366568914963</v>
      </c>
      <c r="L7" s="232">
        <f>IFERROR((I7/$I$6*100),"-")</f>
        <v>91.748878923766824</v>
      </c>
      <c r="M7" s="233" t="s">
        <v>202</v>
      </c>
      <c r="N7" s="230"/>
      <c r="O7" s="235"/>
      <c r="P7" s="235"/>
      <c r="Q7" s="235"/>
      <c r="R7" s="235"/>
      <c r="S7" s="235"/>
      <c r="T7" s="235"/>
    </row>
    <row r="8" spans="1:20" ht="18.75">
      <c r="A8" s="129" t="s">
        <v>203</v>
      </c>
      <c r="B8" s="236">
        <v>660</v>
      </c>
      <c r="C8" s="236">
        <v>1374</v>
      </c>
      <c r="D8" s="236">
        <v>2139</v>
      </c>
      <c r="E8" s="236">
        <v>2036</v>
      </c>
      <c r="F8" s="236">
        <v>1145</v>
      </c>
      <c r="G8" s="236">
        <v>1281</v>
      </c>
      <c r="H8" s="236">
        <v>949</v>
      </c>
      <c r="I8" s="236">
        <v>718</v>
      </c>
      <c r="J8" s="236"/>
      <c r="K8" s="1093">
        <f t="shared" si="3"/>
        <v>-32.172701949860723</v>
      </c>
      <c r="L8" s="237">
        <f>IFERROR((I8/$I$6*100),"-")</f>
        <v>32.197309417040358</v>
      </c>
      <c r="M8" s="26" t="s">
        <v>204</v>
      </c>
      <c r="N8" s="236"/>
      <c r="O8" s="5"/>
      <c r="P8" s="5"/>
      <c r="Q8" s="5"/>
      <c r="R8" s="5"/>
      <c r="S8" s="5"/>
      <c r="T8" s="5"/>
    </row>
    <row r="9" spans="1:20" ht="18.75">
      <c r="A9" s="129" t="s">
        <v>205</v>
      </c>
      <c r="B9" s="236">
        <v>842</v>
      </c>
      <c r="C9" s="236">
        <v>809</v>
      </c>
      <c r="D9" s="236">
        <v>833</v>
      </c>
      <c r="E9" s="236">
        <v>597</v>
      </c>
      <c r="F9" s="236">
        <v>580</v>
      </c>
      <c r="G9" s="236">
        <v>550</v>
      </c>
      <c r="H9" s="236">
        <v>492</v>
      </c>
      <c r="I9" s="236">
        <v>918</v>
      </c>
      <c r="J9" s="236"/>
      <c r="K9" s="1093">
        <f t="shared" si="3"/>
        <v>46.405228758169933</v>
      </c>
      <c r="L9" s="237">
        <f t="shared" ref="L9:L21" si="4">IFERROR((I9/$I$6*100),"-")</f>
        <v>41.165919282511211</v>
      </c>
      <c r="M9" s="26" t="s">
        <v>206</v>
      </c>
      <c r="N9" s="236"/>
      <c r="O9" s="244"/>
      <c r="P9" s="5"/>
      <c r="Q9" s="5"/>
      <c r="R9" s="5"/>
      <c r="S9" s="5"/>
      <c r="T9" s="5"/>
    </row>
    <row r="10" spans="1:20" ht="18.75">
      <c r="A10" s="129" t="s">
        <v>207</v>
      </c>
      <c r="B10" s="236" t="s">
        <v>134</v>
      </c>
      <c r="C10" s="236" t="s">
        <v>134</v>
      </c>
      <c r="D10" s="236">
        <v>2</v>
      </c>
      <c r="E10" s="236">
        <v>7</v>
      </c>
      <c r="F10" s="236">
        <v>2</v>
      </c>
      <c r="G10" s="236">
        <v>0</v>
      </c>
      <c r="H10" s="236" t="s">
        <v>134</v>
      </c>
      <c r="I10" s="236">
        <v>2</v>
      </c>
      <c r="J10" s="236"/>
      <c r="K10" s="1093" t="str">
        <f t="shared" si="3"/>
        <v>-</v>
      </c>
      <c r="L10" s="237">
        <f t="shared" si="4"/>
        <v>8.9686098654708515E-2</v>
      </c>
      <c r="M10" s="26" t="s">
        <v>208</v>
      </c>
      <c r="N10" s="236"/>
      <c r="O10" s="5"/>
      <c r="P10" s="5"/>
      <c r="Q10" s="5"/>
      <c r="R10" s="5"/>
      <c r="S10" s="5"/>
      <c r="T10" s="5"/>
    </row>
    <row r="11" spans="1:20" ht="18.75">
      <c r="A11" s="129" t="s">
        <v>209</v>
      </c>
      <c r="B11" s="236">
        <v>87</v>
      </c>
      <c r="C11" s="236">
        <v>106</v>
      </c>
      <c r="D11" s="236">
        <v>130</v>
      </c>
      <c r="E11" s="236">
        <v>98</v>
      </c>
      <c r="F11" s="236">
        <v>71</v>
      </c>
      <c r="G11" s="236">
        <v>122</v>
      </c>
      <c r="H11" s="236">
        <v>159</v>
      </c>
      <c r="I11" s="236">
        <v>146</v>
      </c>
      <c r="J11" s="236"/>
      <c r="K11" s="1093">
        <f t="shared" si="3"/>
        <v>-8.9041095890410951</v>
      </c>
      <c r="L11" s="237">
        <f t="shared" si="4"/>
        <v>6.5470852017937213</v>
      </c>
      <c r="M11" s="26" t="s">
        <v>210</v>
      </c>
      <c r="N11" s="236"/>
      <c r="O11" s="5"/>
      <c r="P11" s="5"/>
      <c r="Q11" s="5"/>
      <c r="R11" s="5"/>
      <c r="S11" s="5"/>
      <c r="T11" s="5"/>
    </row>
    <row r="12" spans="1:20" ht="18.75">
      <c r="A12" s="129" t="s">
        <v>211</v>
      </c>
      <c r="B12" s="236">
        <v>29</v>
      </c>
      <c r="C12" s="236">
        <v>60</v>
      </c>
      <c r="D12" s="236">
        <v>38</v>
      </c>
      <c r="E12" s="236">
        <v>27</v>
      </c>
      <c r="F12" s="236">
        <v>78</v>
      </c>
      <c r="G12" s="236">
        <v>184</v>
      </c>
      <c r="H12" s="236">
        <v>210</v>
      </c>
      <c r="I12" s="236">
        <v>207</v>
      </c>
      <c r="J12" s="236"/>
      <c r="K12" s="1093">
        <f t="shared" si="3"/>
        <v>-1.4492753623188406</v>
      </c>
      <c r="L12" s="237">
        <f t="shared" si="4"/>
        <v>9.2825112107623315</v>
      </c>
      <c r="M12" s="26" t="s">
        <v>212</v>
      </c>
      <c r="N12" s="236"/>
      <c r="O12" s="5"/>
      <c r="P12" s="5"/>
      <c r="Q12" s="5"/>
      <c r="R12" s="5"/>
      <c r="S12" s="5"/>
      <c r="T12" s="5"/>
    </row>
    <row r="13" spans="1:20" ht="18.75">
      <c r="A13" s="129" t="s">
        <v>213</v>
      </c>
      <c r="B13" s="236" t="s">
        <v>134</v>
      </c>
      <c r="C13" s="236" t="s">
        <v>134</v>
      </c>
      <c r="D13" s="236">
        <v>302</v>
      </c>
      <c r="E13" s="236">
        <v>103</v>
      </c>
      <c r="F13" s="236">
        <v>36</v>
      </c>
      <c r="G13" s="236">
        <v>79</v>
      </c>
      <c r="H13" s="236">
        <v>47</v>
      </c>
      <c r="I13" s="236">
        <v>55</v>
      </c>
      <c r="J13" s="236"/>
      <c r="K13" s="1093">
        <f t="shared" si="3"/>
        <v>14.545454545454545</v>
      </c>
      <c r="L13" s="237">
        <f t="shared" si="4"/>
        <v>2.4663677130044843</v>
      </c>
      <c r="M13" s="37" t="s">
        <v>37</v>
      </c>
      <c r="N13" s="236"/>
      <c r="O13" s="5"/>
      <c r="P13" s="5"/>
      <c r="Q13" s="5"/>
      <c r="R13" s="5"/>
      <c r="S13" s="5"/>
      <c r="T13" s="5"/>
    </row>
    <row r="14" spans="1:20" s="78" customFormat="1" ht="18.75">
      <c r="A14" s="10" t="s">
        <v>214</v>
      </c>
      <c r="B14" s="230">
        <f t="shared" ref="B14:G14" si="5">SUM(B15:B20)</f>
        <v>182</v>
      </c>
      <c r="C14" s="230">
        <f t="shared" si="5"/>
        <v>166</v>
      </c>
      <c r="D14" s="230">
        <f t="shared" si="5"/>
        <v>502</v>
      </c>
      <c r="E14" s="230">
        <f>SUM(E15:E20)</f>
        <v>262</v>
      </c>
      <c r="F14" s="230">
        <f t="shared" si="5"/>
        <v>162</v>
      </c>
      <c r="G14" s="230">
        <f t="shared" si="5"/>
        <v>151</v>
      </c>
      <c r="H14" s="230">
        <f>SUM(H15:H20)</f>
        <v>168</v>
      </c>
      <c r="I14" s="230">
        <v>178</v>
      </c>
      <c r="J14" s="230"/>
      <c r="K14" s="231">
        <f t="shared" si="3"/>
        <v>5.6179775280898872</v>
      </c>
      <c r="L14" s="232">
        <f t="shared" si="4"/>
        <v>7.9820627802690582</v>
      </c>
      <c r="M14" s="233" t="s">
        <v>215</v>
      </c>
      <c r="N14" s="230"/>
      <c r="O14" s="235"/>
      <c r="P14" s="235"/>
      <c r="Q14" s="235"/>
      <c r="R14" s="235"/>
      <c r="S14" s="235"/>
      <c r="T14" s="235"/>
    </row>
    <row r="15" spans="1:20" ht="18.75">
      <c r="A15" s="129" t="s">
        <v>203</v>
      </c>
      <c r="B15" s="236">
        <v>65</v>
      </c>
      <c r="C15" s="236">
        <v>71</v>
      </c>
      <c r="D15" s="236">
        <v>75</v>
      </c>
      <c r="E15" s="236">
        <v>62</v>
      </c>
      <c r="F15" s="236">
        <v>63</v>
      </c>
      <c r="G15" s="236">
        <v>48</v>
      </c>
      <c r="H15" s="236">
        <v>59</v>
      </c>
      <c r="I15" s="236">
        <v>46</v>
      </c>
      <c r="J15" s="236"/>
      <c r="K15" s="1093">
        <f t="shared" si="3"/>
        <v>-28.260869565217391</v>
      </c>
      <c r="L15" s="237">
        <f t="shared" si="4"/>
        <v>2.0627802690582961</v>
      </c>
      <c r="M15" s="26" t="s">
        <v>204</v>
      </c>
      <c r="N15" s="236"/>
      <c r="O15" s="5"/>
      <c r="P15" s="5"/>
      <c r="Q15" s="5"/>
      <c r="R15" s="5"/>
      <c r="S15" s="5"/>
      <c r="T15" s="5"/>
    </row>
    <row r="16" spans="1:20" ht="18.75">
      <c r="A16" s="129" t="s">
        <v>205</v>
      </c>
      <c r="B16" s="236">
        <v>96</v>
      </c>
      <c r="C16" s="236">
        <v>55</v>
      </c>
      <c r="D16" s="236">
        <v>359</v>
      </c>
      <c r="E16" s="236">
        <v>170</v>
      </c>
      <c r="F16" s="236">
        <v>57</v>
      </c>
      <c r="G16" s="236">
        <v>55</v>
      </c>
      <c r="H16" s="236">
        <v>70</v>
      </c>
      <c r="I16" s="236">
        <v>83</v>
      </c>
      <c r="J16" s="236"/>
      <c r="K16" s="1093">
        <f t="shared" si="3"/>
        <v>15.66265060240964</v>
      </c>
      <c r="L16" s="237">
        <f t="shared" si="4"/>
        <v>3.7219730941704032</v>
      </c>
      <c r="M16" s="26" t="s">
        <v>206</v>
      </c>
      <c r="N16" s="236"/>
      <c r="O16" s="5"/>
      <c r="P16" s="5"/>
      <c r="Q16" s="5"/>
      <c r="R16" s="5"/>
      <c r="S16" s="5"/>
      <c r="T16" s="5"/>
    </row>
    <row r="17" spans="1:21" ht="18.75">
      <c r="A17" s="129" t="s">
        <v>207</v>
      </c>
      <c r="B17" s="236">
        <v>8</v>
      </c>
      <c r="C17" s="236">
        <v>17</v>
      </c>
      <c r="D17" s="236">
        <v>17</v>
      </c>
      <c r="E17" s="236">
        <v>13</v>
      </c>
      <c r="F17" s="236">
        <v>13</v>
      </c>
      <c r="G17" s="236">
        <v>15</v>
      </c>
      <c r="H17" s="236">
        <v>6</v>
      </c>
      <c r="I17" s="236">
        <v>9</v>
      </c>
      <c r="J17" s="236"/>
      <c r="K17" s="1093">
        <f t="shared" si="3"/>
        <v>33.333333333333329</v>
      </c>
      <c r="L17" s="237">
        <f t="shared" si="4"/>
        <v>0.40358744394618834</v>
      </c>
      <c r="M17" s="26" t="s">
        <v>208</v>
      </c>
      <c r="N17" s="236"/>
      <c r="O17" s="5"/>
      <c r="P17" s="5"/>
      <c r="Q17" s="5"/>
      <c r="R17" s="5"/>
      <c r="S17" s="5"/>
      <c r="T17" s="5"/>
    </row>
    <row r="18" spans="1:21" ht="18.75">
      <c r="A18" s="129" t="s">
        <v>209</v>
      </c>
      <c r="B18" s="236">
        <v>7</v>
      </c>
      <c r="C18" s="236">
        <v>11</v>
      </c>
      <c r="D18" s="236">
        <v>11</v>
      </c>
      <c r="E18" s="236">
        <v>3</v>
      </c>
      <c r="F18" s="236">
        <v>9</v>
      </c>
      <c r="G18" s="236">
        <v>6</v>
      </c>
      <c r="H18" s="236">
        <v>6</v>
      </c>
      <c r="I18" s="236">
        <v>7</v>
      </c>
      <c r="J18" s="236"/>
      <c r="K18" s="1093">
        <f t="shared" si="3"/>
        <v>14.285714285714285</v>
      </c>
      <c r="L18" s="237">
        <f t="shared" si="4"/>
        <v>0.31390134529147978</v>
      </c>
      <c r="M18" s="26" t="s">
        <v>210</v>
      </c>
      <c r="N18" s="236"/>
      <c r="O18" s="5"/>
      <c r="P18" s="5"/>
      <c r="Q18" s="5"/>
      <c r="R18" s="5"/>
      <c r="S18" s="5"/>
      <c r="T18" s="5"/>
    </row>
    <row r="19" spans="1:21" ht="18.75">
      <c r="A19" s="129" t="s">
        <v>211</v>
      </c>
      <c r="B19" s="236">
        <v>4</v>
      </c>
      <c r="C19" s="236">
        <v>12</v>
      </c>
      <c r="D19" s="236">
        <v>6</v>
      </c>
      <c r="E19" s="236">
        <v>3</v>
      </c>
      <c r="F19" s="236">
        <v>13</v>
      </c>
      <c r="G19" s="236">
        <v>23</v>
      </c>
      <c r="H19" s="236">
        <v>26</v>
      </c>
      <c r="I19" s="236">
        <v>29</v>
      </c>
      <c r="J19" s="236"/>
      <c r="K19" s="1093">
        <f t="shared" si="3"/>
        <v>10.344827586206897</v>
      </c>
      <c r="L19" s="237">
        <f t="shared" si="4"/>
        <v>1.3004484304932735</v>
      </c>
      <c r="M19" s="26" t="s">
        <v>212</v>
      </c>
      <c r="N19" s="236"/>
      <c r="O19" s="5"/>
      <c r="P19" s="5"/>
      <c r="Q19" s="5"/>
      <c r="R19" s="5"/>
      <c r="S19" s="5"/>
      <c r="T19" s="5"/>
    </row>
    <row r="20" spans="1:21" s="45" customFormat="1" ht="18.75">
      <c r="A20" s="129" t="s">
        <v>15</v>
      </c>
      <c r="B20" s="236">
        <v>2</v>
      </c>
      <c r="C20" s="236">
        <v>0</v>
      </c>
      <c r="D20" s="236">
        <v>34</v>
      </c>
      <c r="E20" s="236">
        <v>11</v>
      </c>
      <c r="F20" s="236">
        <v>7</v>
      </c>
      <c r="G20" s="236">
        <v>4</v>
      </c>
      <c r="H20" s="236">
        <v>1</v>
      </c>
      <c r="I20" s="236">
        <v>4</v>
      </c>
      <c r="J20" s="236"/>
      <c r="K20" s="1093">
        <f t="shared" si="3"/>
        <v>75</v>
      </c>
      <c r="L20" s="237">
        <f t="shared" si="4"/>
        <v>0.17937219730941703</v>
      </c>
      <c r="M20" s="37" t="s">
        <v>37</v>
      </c>
      <c r="N20" s="236"/>
      <c r="O20" s="60"/>
      <c r="P20" s="60"/>
      <c r="Q20" s="60"/>
      <c r="R20" s="60"/>
      <c r="S20" s="60"/>
      <c r="T20" s="60"/>
    </row>
    <row r="21" spans="1:21" s="234" customFormat="1" ht="38.25">
      <c r="A21" s="238" t="s">
        <v>216</v>
      </c>
      <c r="B21" s="239">
        <v>23</v>
      </c>
      <c r="C21" s="239">
        <v>19</v>
      </c>
      <c r="D21" s="239">
        <v>19</v>
      </c>
      <c r="E21" s="239">
        <v>10</v>
      </c>
      <c r="F21" s="239">
        <v>5</v>
      </c>
      <c r="G21" s="239">
        <v>8</v>
      </c>
      <c r="H21" s="239">
        <v>13</v>
      </c>
      <c r="I21" s="239">
        <v>6</v>
      </c>
      <c r="J21" s="240"/>
      <c r="K21" s="241">
        <f t="shared" si="3"/>
        <v>-116.66666666666667</v>
      </c>
      <c r="L21" s="242">
        <f t="shared" si="4"/>
        <v>0.26905829596412556</v>
      </c>
      <c r="M21" s="165" t="s">
        <v>217</v>
      </c>
      <c r="N21" s="230"/>
      <c r="O21" s="235"/>
      <c r="P21" s="235"/>
      <c r="Q21" s="235"/>
      <c r="R21" s="235"/>
      <c r="S21" s="235"/>
    </row>
    <row r="22" spans="1:21" ht="15.6" customHeight="1">
      <c r="A22" s="101" t="s">
        <v>60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224"/>
      <c r="M22" s="224" t="s">
        <v>61</v>
      </c>
      <c r="O22" s="5"/>
      <c r="P22" s="5"/>
      <c r="Q22" s="5"/>
      <c r="R22" s="5"/>
      <c r="S22" s="5"/>
      <c r="T22" s="5"/>
    </row>
    <row r="23" spans="1:21" ht="25.5" customHeight="1">
      <c r="A23" s="140"/>
      <c r="O23" s="5"/>
      <c r="P23" s="5"/>
      <c r="Q23" s="5"/>
      <c r="R23" s="5"/>
      <c r="S23" s="5"/>
      <c r="T23" s="5"/>
    </row>
    <row r="24" spans="1:21">
      <c r="O24" s="5"/>
      <c r="P24" s="5"/>
      <c r="Q24" s="5"/>
      <c r="R24" s="5"/>
      <c r="S24" s="5"/>
      <c r="T24" s="5"/>
    </row>
    <row r="25" spans="1:21">
      <c r="O25" s="5"/>
      <c r="P25" s="5"/>
      <c r="Q25" s="5"/>
      <c r="R25" s="5"/>
      <c r="S25" s="5"/>
      <c r="T25" s="5"/>
    </row>
    <row r="26" spans="1:21">
      <c r="O26" s="5"/>
      <c r="Q26" s="5"/>
      <c r="R26" s="5"/>
      <c r="S26" s="5"/>
      <c r="T26" s="5"/>
    </row>
    <row r="27" spans="1:21">
      <c r="O27" s="5"/>
      <c r="Q27" s="5"/>
      <c r="R27" s="5"/>
      <c r="S27" s="5"/>
      <c r="T27" s="5"/>
    </row>
    <row r="28" spans="1:21" ht="17.25">
      <c r="A28" s="104"/>
      <c r="B28" s="21"/>
      <c r="C28" s="21"/>
      <c r="D28" s="21"/>
      <c r="E28" s="21"/>
      <c r="F28" s="21"/>
      <c r="G28" s="21"/>
      <c r="H28" s="21"/>
      <c r="I28" s="21"/>
      <c r="J28" s="21"/>
      <c r="K28" s="42"/>
      <c r="L28" s="42"/>
      <c r="M28" s="105"/>
      <c r="O28" s="5"/>
      <c r="P28" s="5"/>
      <c r="Q28" s="5"/>
      <c r="R28" s="5"/>
      <c r="S28" s="5"/>
      <c r="T28" s="5"/>
    </row>
    <row r="29" spans="1:21">
      <c r="O29" s="5"/>
      <c r="P29" s="5"/>
      <c r="Q29" s="5"/>
      <c r="R29" s="5"/>
      <c r="S29" s="10"/>
      <c r="T29" s="230"/>
      <c r="U29" s="243"/>
    </row>
    <row r="30" spans="1:21">
      <c r="O30" s="5"/>
      <c r="P30" s="5"/>
      <c r="Q30" s="5"/>
      <c r="R30" s="5"/>
      <c r="S30" s="10"/>
      <c r="T30" s="230"/>
      <c r="U30" s="243"/>
    </row>
    <row r="31" spans="1:21">
      <c r="S31" s="10"/>
      <c r="T31" s="230"/>
      <c r="U31" s="243"/>
    </row>
    <row r="32" spans="1:21">
      <c r="S32" s="45"/>
      <c r="T32" s="45"/>
    </row>
    <row r="33" spans="19:20">
      <c r="S33" s="45"/>
      <c r="T33" s="45"/>
    </row>
    <row r="34" spans="19:20">
      <c r="S34" s="45"/>
      <c r="T34" s="45"/>
    </row>
    <row r="35" spans="19:20">
      <c r="S35" s="45"/>
      <c r="T35" s="45"/>
    </row>
    <row r="36" spans="19:20">
      <c r="S36" s="45"/>
      <c r="T36" s="45"/>
    </row>
    <row r="37" spans="19:20">
      <c r="S37" s="45"/>
      <c r="T37" s="45"/>
    </row>
  </sheetData>
  <mergeCells count="12">
    <mergeCell ref="I3:I5"/>
    <mergeCell ref="M3:M5"/>
    <mergeCell ref="A1:M1"/>
    <mergeCell ref="A2:M2"/>
    <mergeCell ref="A3:A5"/>
    <mergeCell ref="B3:B5"/>
    <mergeCell ref="C3:C5"/>
    <mergeCell ref="D3:D5"/>
    <mergeCell ref="E3:E5"/>
    <mergeCell ref="F3:F5"/>
    <mergeCell ref="G3:G5"/>
    <mergeCell ref="H3:H5"/>
  </mergeCells>
  <pageMargins left="0.7" right="0.7" top="0.75" bottom="0.75" header="0.3" footer="0.3"/>
  <pageSetup paperSize="9" orientation="portrait" horizontalDpi="4294967295" verticalDpi="4294967295" r:id="rId1"/>
  <ignoredErrors>
    <ignoredError sqref="G14:J14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27"/>
  <sheetViews>
    <sheetView workbookViewId="0">
      <selection activeCell="L34" sqref="L34"/>
    </sheetView>
  </sheetViews>
  <sheetFormatPr defaultColWidth="9.140625" defaultRowHeight="15"/>
  <cols>
    <col min="1" max="1" width="13.5703125" style="45" customWidth="1"/>
    <col min="2" max="5" width="10.85546875" style="45" hidden="1" customWidth="1"/>
    <col min="6" max="6" width="13.85546875" style="45" hidden="1" customWidth="1"/>
    <col min="7" max="11" width="13.85546875" style="45" customWidth="1"/>
    <col min="12" max="12" width="15.5703125" style="45" customWidth="1"/>
    <col min="13" max="13" width="6.7109375" style="45" customWidth="1"/>
    <col min="14" max="16384" width="9.140625" style="45"/>
  </cols>
  <sheetData>
    <row r="1" spans="1:13" ht="21">
      <c r="A1" s="1146" t="s">
        <v>220</v>
      </c>
      <c r="B1" s="1146"/>
      <c r="C1" s="1146"/>
      <c r="D1" s="1146"/>
      <c r="E1" s="1146"/>
      <c r="F1" s="1146"/>
      <c r="G1" s="1146"/>
      <c r="H1" s="1146"/>
      <c r="I1" s="1146"/>
      <c r="J1" s="1146"/>
      <c r="K1" s="1146"/>
      <c r="L1" s="1146"/>
    </row>
    <row r="2" spans="1:13" ht="17.25" customHeight="1">
      <c r="A2" s="1147" t="s">
        <v>221</v>
      </c>
      <c r="B2" s="1147"/>
      <c r="C2" s="1147"/>
      <c r="D2" s="1147"/>
      <c r="E2" s="1147"/>
      <c r="F2" s="1147"/>
      <c r="G2" s="1147"/>
      <c r="H2" s="1147"/>
      <c r="I2" s="1147"/>
      <c r="J2" s="1147"/>
      <c r="K2" s="1147"/>
      <c r="L2" s="1147"/>
      <c r="M2" s="245"/>
    </row>
    <row r="3" spans="1:13" ht="6" hidden="1" customHeight="1">
      <c r="A3" s="246"/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5"/>
    </row>
    <row r="4" spans="1:13" ht="18.75">
      <c r="A4" s="1148" t="s">
        <v>222</v>
      </c>
      <c r="B4" s="247"/>
      <c r="C4" s="248"/>
      <c r="D4" s="248"/>
      <c r="E4" s="247"/>
      <c r="F4" s="247"/>
      <c r="G4" s="247"/>
      <c r="H4" s="248" t="s">
        <v>223</v>
      </c>
      <c r="I4" s="248"/>
      <c r="J4" s="1150" t="s">
        <v>224</v>
      </c>
      <c r="K4" s="1150"/>
      <c r="L4" s="1151" t="s">
        <v>225</v>
      </c>
      <c r="M4" s="249"/>
    </row>
    <row r="5" spans="1:13" ht="23.25" customHeight="1">
      <c r="A5" s="1149"/>
      <c r="B5" s="250">
        <v>2009</v>
      </c>
      <c r="C5" s="250">
        <v>2010</v>
      </c>
      <c r="D5" s="250">
        <v>2011</v>
      </c>
      <c r="E5" s="250">
        <v>2012</v>
      </c>
      <c r="F5" s="250">
        <v>2013</v>
      </c>
      <c r="G5" s="250">
        <v>2014</v>
      </c>
      <c r="H5" s="250">
        <v>2015</v>
      </c>
      <c r="I5" s="250">
        <v>2016</v>
      </c>
      <c r="J5" s="250">
        <v>2017</v>
      </c>
      <c r="K5" s="250">
        <v>2018</v>
      </c>
      <c r="L5" s="1152"/>
    </row>
    <row r="6" spans="1:13" ht="25.5" customHeight="1">
      <c r="A6" s="251" t="s">
        <v>8</v>
      </c>
      <c r="B6" s="252">
        <f t="shared" ref="B6:K6" si="0">SUM(B7:B10)</f>
        <v>5627.6266999999998</v>
      </c>
      <c r="C6" s="252">
        <f t="shared" si="0"/>
        <v>3737.2701000000002</v>
      </c>
      <c r="D6" s="253">
        <f t="shared" si="0"/>
        <v>10180.494439999999</v>
      </c>
      <c r="E6" s="253">
        <f t="shared" si="0"/>
        <v>26936.360290000001</v>
      </c>
      <c r="F6" s="253">
        <f t="shared" si="0"/>
        <v>10288.645349999999</v>
      </c>
      <c r="G6" s="253">
        <f t="shared" si="0"/>
        <v>26925.248299999999</v>
      </c>
      <c r="H6" s="253">
        <f t="shared" si="0"/>
        <v>7901</v>
      </c>
      <c r="I6" s="253">
        <f t="shared" si="0"/>
        <v>114278.9142</v>
      </c>
      <c r="J6" s="253">
        <f t="shared" si="0"/>
        <v>65503.018799999998</v>
      </c>
      <c r="K6" s="253">
        <f t="shared" si="0"/>
        <v>104661.29379999994</v>
      </c>
      <c r="L6" s="254" t="s">
        <v>141</v>
      </c>
    </row>
    <row r="7" spans="1:13" ht="18.75" hidden="1">
      <c r="A7" s="255" t="s">
        <v>226</v>
      </c>
      <c r="B7" s="256">
        <v>1350.5146999999999</v>
      </c>
      <c r="C7" s="256">
        <v>1754.8649</v>
      </c>
      <c r="D7" s="257">
        <v>0</v>
      </c>
      <c r="E7" s="257">
        <v>0</v>
      </c>
      <c r="F7" s="257">
        <v>0</v>
      </c>
      <c r="G7" s="257">
        <v>0</v>
      </c>
      <c r="H7" s="257">
        <v>0</v>
      </c>
      <c r="I7" s="257">
        <v>0</v>
      </c>
      <c r="J7" s="257" t="s">
        <v>134</v>
      </c>
      <c r="K7" s="257" t="s">
        <v>134</v>
      </c>
      <c r="L7" s="258" t="s">
        <v>227</v>
      </c>
    </row>
    <row r="8" spans="1:13" ht="29.25" customHeight="1">
      <c r="A8" s="259" t="s">
        <v>228</v>
      </c>
      <c r="B8" s="256">
        <v>0</v>
      </c>
      <c r="C8" s="256">
        <v>0</v>
      </c>
      <c r="D8" s="257">
        <v>5154.4753999999994</v>
      </c>
      <c r="E8" s="257">
        <v>10107.0682</v>
      </c>
      <c r="F8" s="257">
        <v>8869.9667499999996</v>
      </c>
      <c r="G8" s="257">
        <v>21947.937300000001</v>
      </c>
      <c r="H8" s="257">
        <v>2359</v>
      </c>
      <c r="I8" s="257">
        <v>46885.842600000004</v>
      </c>
      <c r="J8" s="257">
        <v>17064.1921</v>
      </c>
      <c r="K8" s="257">
        <v>75799.18469999994</v>
      </c>
      <c r="L8" s="258" t="s">
        <v>229</v>
      </c>
    </row>
    <row r="9" spans="1:13" ht="29.25" customHeight="1">
      <c r="A9" s="260" t="s">
        <v>230</v>
      </c>
      <c r="B9" s="261">
        <v>3739.5270999999998</v>
      </c>
      <c r="C9" s="261">
        <v>1957.8159000000001</v>
      </c>
      <c r="D9" s="262">
        <v>5026.0190400000001</v>
      </c>
      <c r="E9" s="262">
        <v>16821.554290000004</v>
      </c>
      <c r="F9" s="262">
        <v>1418.6786</v>
      </c>
      <c r="G9" s="262">
        <v>4977.3109999999997</v>
      </c>
      <c r="H9" s="262">
        <v>5542</v>
      </c>
      <c r="I9" s="262">
        <v>67393.071599999996</v>
      </c>
      <c r="J9" s="262">
        <v>48438.826699999998</v>
      </c>
      <c r="K9" s="262">
        <v>28862.109100000005</v>
      </c>
      <c r="L9" s="258" t="s">
        <v>231</v>
      </c>
    </row>
    <row r="10" spans="1:13" ht="18.75" hidden="1">
      <c r="A10" s="260" t="s">
        <v>232</v>
      </c>
      <c r="B10" s="261">
        <v>537.58489999999995</v>
      </c>
      <c r="C10" s="261">
        <v>24.589300000000001</v>
      </c>
      <c r="D10" s="262">
        <v>0</v>
      </c>
      <c r="E10" s="262">
        <v>7.7378</v>
      </c>
      <c r="F10" s="262">
        <v>0</v>
      </c>
      <c r="G10" s="262">
        <v>0</v>
      </c>
      <c r="H10" s="262">
        <v>0</v>
      </c>
      <c r="I10" s="262">
        <v>0</v>
      </c>
      <c r="J10" s="262" t="s">
        <v>134</v>
      </c>
      <c r="K10" s="262" t="s">
        <v>134</v>
      </c>
      <c r="L10" s="263" t="s">
        <v>233</v>
      </c>
    </row>
    <row r="11" spans="1:13" s="267" customFormat="1" ht="17.25">
      <c r="A11" s="270" t="s">
        <v>60</v>
      </c>
      <c r="B11" s="208"/>
      <c r="C11" s="264"/>
      <c r="D11" s="265"/>
      <c r="E11" s="266"/>
      <c r="F11" s="266"/>
      <c r="G11" s="266"/>
      <c r="H11" s="266"/>
      <c r="I11" s="266"/>
      <c r="J11" s="266"/>
      <c r="K11" s="266"/>
      <c r="L11" s="271" t="s">
        <v>178</v>
      </c>
    </row>
    <row r="12" spans="1:13">
      <c r="A12" s="268"/>
      <c r="B12" s="268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</row>
    <row r="13" spans="1:13">
      <c r="A13" s="268"/>
      <c r="B13" s="268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</row>
    <row r="14" spans="1:13">
      <c r="A14" s="268"/>
      <c r="B14" s="268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</row>
    <row r="15" spans="1:13">
      <c r="A15" s="268"/>
      <c r="B15" s="268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</row>
    <row r="16" spans="1:13">
      <c r="A16" s="268"/>
      <c r="B16" s="268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</row>
    <row r="22" spans="10:13">
      <c r="M22" s="269"/>
    </row>
    <row r="27" spans="10:13">
      <c r="J27" s="269"/>
      <c r="K27" s="269"/>
    </row>
  </sheetData>
  <mergeCells count="5">
    <mergeCell ref="A1:L1"/>
    <mergeCell ref="A2:L2"/>
    <mergeCell ref="A4:A5"/>
    <mergeCell ref="J4:K4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45"/>
  <sheetViews>
    <sheetView zoomScaleNormal="100" workbookViewId="0">
      <selection activeCell="L9" sqref="L9"/>
    </sheetView>
  </sheetViews>
  <sheetFormatPr defaultColWidth="15.42578125" defaultRowHeight="15"/>
  <cols>
    <col min="1" max="1" width="23.42578125" style="1" customWidth="1"/>
    <col min="2" max="6" width="10.85546875" style="1" hidden="1" customWidth="1"/>
    <col min="7" max="9" width="10.85546875" style="1" customWidth="1"/>
    <col min="10" max="10" width="1" style="1" customWidth="1"/>
    <col min="11" max="11" width="11.5703125" style="1" customWidth="1"/>
    <col min="12" max="12" width="17.42578125" style="1" customWidth="1"/>
    <col min="13" max="13" width="21.140625" style="1" customWidth="1"/>
    <col min="14" max="14" width="15.42578125" style="1"/>
    <col min="15" max="15" width="22.140625" style="1" bestFit="1" customWidth="1"/>
    <col min="16" max="16384" width="15.42578125" style="1"/>
  </cols>
  <sheetData>
    <row r="1" spans="1:19" ht="18.75">
      <c r="A1" s="1153" t="s">
        <v>248</v>
      </c>
      <c r="B1" s="1153"/>
      <c r="C1" s="1153"/>
      <c r="D1" s="1153"/>
      <c r="E1" s="1153"/>
      <c r="F1" s="1153"/>
      <c r="G1" s="1153"/>
      <c r="H1" s="1153"/>
      <c r="I1" s="1153"/>
      <c r="J1" s="1153"/>
      <c r="K1" s="1153"/>
      <c r="L1" s="1153"/>
      <c r="M1" s="1153"/>
    </row>
    <row r="2" spans="1:19" ht="21.75" customHeight="1">
      <c r="A2" s="1099" t="s">
        <v>247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O2" s="2"/>
    </row>
    <row r="3" spans="1:19" ht="51.75">
      <c r="A3" s="1138" t="s">
        <v>179</v>
      </c>
      <c r="B3" s="1141">
        <v>2011</v>
      </c>
      <c r="C3" s="1141">
        <v>2012</v>
      </c>
      <c r="D3" s="1135">
        <v>2013</v>
      </c>
      <c r="E3" s="1135">
        <v>2014</v>
      </c>
      <c r="F3" s="1135">
        <v>2015</v>
      </c>
      <c r="G3" s="1135">
        <v>2016</v>
      </c>
      <c r="H3" s="1135">
        <v>2017</v>
      </c>
      <c r="I3" s="1135">
        <v>2018</v>
      </c>
      <c r="J3" s="215"/>
      <c r="K3" s="286" t="s">
        <v>235</v>
      </c>
      <c r="L3" s="4" t="s">
        <v>234</v>
      </c>
      <c r="M3" s="1127" t="s">
        <v>181</v>
      </c>
      <c r="P3" s="5"/>
      <c r="Q3" s="5"/>
      <c r="R3" s="5"/>
      <c r="S3" s="5"/>
    </row>
    <row r="4" spans="1:19" ht="24">
      <c r="A4" s="1140"/>
      <c r="B4" s="1143"/>
      <c r="C4" s="1143"/>
      <c r="D4" s="1137"/>
      <c r="E4" s="1137"/>
      <c r="F4" s="1137"/>
      <c r="G4" s="1137"/>
      <c r="H4" s="1137"/>
      <c r="I4" s="1137"/>
      <c r="J4" s="219"/>
      <c r="K4" s="285" t="s">
        <v>236</v>
      </c>
      <c r="L4" s="220" t="s">
        <v>183</v>
      </c>
      <c r="M4" s="1097"/>
      <c r="P4" s="5"/>
      <c r="Q4" s="5"/>
      <c r="R4" s="5"/>
      <c r="S4" s="5"/>
    </row>
    <row r="5" spans="1:19" s="124" customFormat="1" ht="18.75">
      <c r="A5" s="10" t="s">
        <v>8</v>
      </c>
      <c r="B5" s="221">
        <f t="shared" ref="B5:I5" si="0">B6+B10</f>
        <v>1320</v>
      </c>
      <c r="C5" s="221">
        <f t="shared" si="0"/>
        <v>1264</v>
      </c>
      <c r="D5" s="221">
        <f t="shared" si="0"/>
        <v>1289</v>
      </c>
      <c r="E5" s="221">
        <f t="shared" si="0"/>
        <v>1062</v>
      </c>
      <c r="F5" s="221">
        <f t="shared" si="0"/>
        <v>944</v>
      </c>
      <c r="G5" s="221">
        <f t="shared" si="0"/>
        <v>781</v>
      </c>
      <c r="H5" s="221">
        <f t="shared" si="0"/>
        <v>770</v>
      </c>
      <c r="I5" s="221">
        <f t="shared" si="0"/>
        <v>753</v>
      </c>
      <c r="J5" s="221"/>
      <c r="K5" s="287">
        <f>I5/I5*100</f>
        <v>100</v>
      </c>
      <c r="L5" s="272">
        <f>((I5-H5)/I5*100)</f>
        <v>-2.2576361221779551</v>
      </c>
      <c r="M5" s="233" t="s">
        <v>141</v>
      </c>
      <c r="N5" s="273"/>
      <c r="O5" s="221"/>
      <c r="P5" s="127"/>
      <c r="Q5" s="127"/>
      <c r="R5" s="127"/>
      <c r="S5" s="127"/>
    </row>
    <row r="6" spans="1:19" s="124" customFormat="1" ht="18.75">
      <c r="A6" s="10" t="s">
        <v>237</v>
      </c>
      <c r="B6" s="13">
        <f t="shared" ref="B6:G6" si="1">SUM(B7:B9)</f>
        <v>207</v>
      </c>
      <c r="C6" s="13">
        <f t="shared" si="1"/>
        <v>158</v>
      </c>
      <c r="D6" s="13">
        <f t="shared" si="1"/>
        <v>192</v>
      </c>
      <c r="E6" s="13">
        <f t="shared" si="1"/>
        <v>268</v>
      </c>
      <c r="F6" s="13">
        <f>SUM(F7:F9)</f>
        <v>203</v>
      </c>
      <c r="G6" s="13">
        <f t="shared" si="1"/>
        <v>215</v>
      </c>
      <c r="H6" s="13">
        <f t="shared" ref="H6:I6" si="2">SUM(H7:H9)</f>
        <v>219</v>
      </c>
      <c r="I6" s="13">
        <f t="shared" si="2"/>
        <v>223</v>
      </c>
      <c r="J6" s="13"/>
      <c r="K6" s="287">
        <f>I6/I5*100</f>
        <v>29.61487383798141</v>
      </c>
      <c r="L6" s="272">
        <f t="shared" ref="L6:L10" si="3">((I6-H6)/I6*100)</f>
        <v>1.7937219730941705</v>
      </c>
      <c r="M6" s="233" t="s">
        <v>238</v>
      </c>
      <c r="N6" s="13"/>
      <c r="O6" s="13"/>
      <c r="P6" s="127"/>
      <c r="Q6" s="127"/>
      <c r="R6" s="127"/>
      <c r="S6" s="127"/>
    </row>
    <row r="7" spans="1:19" s="150" customFormat="1" ht="18.75">
      <c r="A7" s="129" t="s">
        <v>239</v>
      </c>
      <c r="B7" s="222">
        <v>113</v>
      </c>
      <c r="C7" s="222">
        <v>34</v>
      </c>
      <c r="D7" s="222">
        <v>23</v>
      </c>
      <c r="E7" s="274">
        <v>20</v>
      </c>
      <c r="F7" s="274">
        <v>18</v>
      </c>
      <c r="G7" s="274">
        <v>22</v>
      </c>
      <c r="H7" s="274">
        <v>17</v>
      </c>
      <c r="I7" s="274">
        <v>26</v>
      </c>
      <c r="J7" s="274"/>
      <c r="K7" s="1349">
        <f>I7/I5*100</f>
        <v>3.4528552456839305</v>
      </c>
      <c r="L7" s="275">
        <f t="shared" si="3"/>
        <v>34.615384615384613</v>
      </c>
      <c r="M7" s="26" t="s">
        <v>240</v>
      </c>
      <c r="N7" s="276"/>
      <c r="O7" s="222"/>
      <c r="P7" s="127"/>
      <c r="Q7" s="133"/>
      <c r="R7" s="133"/>
      <c r="S7" s="133"/>
    </row>
    <row r="8" spans="1:19" s="150" customFormat="1" ht="18.75">
      <c r="A8" s="129" t="s">
        <v>241</v>
      </c>
      <c r="B8" s="222">
        <v>49</v>
      </c>
      <c r="C8" s="222">
        <v>38</v>
      </c>
      <c r="D8" s="222">
        <v>26</v>
      </c>
      <c r="E8" s="274">
        <v>21</v>
      </c>
      <c r="F8" s="274">
        <v>21</v>
      </c>
      <c r="G8" s="274">
        <v>24</v>
      </c>
      <c r="H8" s="274">
        <v>34</v>
      </c>
      <c r="I8" s="274">
        <v>48</v>
      </c>
      <c r="J8" s="274"/>
      <c r="K8" s="1349">
        <f>I8/I5*100</f>
        <v>6.3745019920318722</v>
      </c>
      <c r="L8" s="275">
        <f t="shared" si="3"/>
        <v>29.166666666666668</v>
      </c>
      <c r="M8" s="26" t="s">
        <v>242</v>
      </c>
      <c r="N8" s="276"/>
      <c r="O8" s="276"/>
      <c r="P8" s="127"/>
      <c r="Q8" s="133"/>
      <c r="R8" s="133"/>
      <c r="S8" s="133"/>
    </row>
    <row r="9" spans="1:19" s="150" customFormat="1" ht="18.75">
      <c r="A9" s="129" t="s">
        <v>243</v>
      </c>
      <c r="B9" s="222">
        <v>45</v>
      </c>
      <c r="C9" s="222">
        <v>86</v>
      </c>
      <c r="D9" s="222">
        <v>143</v>
      </c>
      <c r="E9" s="274">
        <v>227</v>
      </c>
      <c r="F9" s="274">
        <v>164</v>
      </c>
      <c r="G9" s="274">
        <v>169</v>
      </c>
      <c r="H9" s="274">
        <v>168</v>
      </c>
      <c r="I9" s="274">
        <v>149</v>
      </c>
      <c r="J9" s="274"/>
      <c r="K9" s="1349">
        <f>I9/I5*100</f>
        <v>19.787516600265604</v>
      </c>
      <c r="L9" s="275">
        <f t="shared" si="3"/>
        <v>-12.751677852348994</v>
      </c>
      <c r="M9" s="26" t="s">
        <v>244</v>
      </c>
      <c r="N9" s="276"/>
      <c r="O9" s="276"/>
      <c r="P9" s="127"/>
      <c r="Q9" s="133"/>
      <c r="R9" s="133"/>
      <c r="S9" s="133"/>
    </row>
    <row r="10" spans="1:19" s="280" customFormat="1" ht="18.75">
      <c r="A10" s="6" t="s">
        <v>245</v>
      </c>
      <c r="B10" s="277">
        <v>1113</v>
      </c>
      <c r="C10" s="277">
        <v>1106</v>
      </c>
      <c r="D10" s="277">
        <v>1097</v>
      </c>
      <c r="E10" s="239">
        <v>794</v>
      </c>
      <c r="F10" s="239">
        <v>741</v>
      </c>
      <c r="G10" s="239">
        <v>566</v>
      </c>
      <c r="H10" s="239">
        <v>551</v>
      </c>
      <c r="I10" s="239">
        <v>530</v>
      </c>
      <c r="J10" s="239"/>
      <c r="K10" s="288">
        <f>I10/I5*100</f>
        <v>70.385126162018594</v>
      </c>
      <c r="L10" s="278">
        <f t="shared" si="3"/>
        <v>-3.9622641509433962</v>
      </c>
      <c r="M10" s="279" t="s">
        <v>246</v>
      </c>
      <c r="N10" s="13"/>
      <c r="O10" s="13"/>
      <c r="P10" s="127"/>
      <c r="Q10" s="127"/>
      <c r="R10" s="127"/>
      <c r="S10" s="127"/>
    </row>
    <row r="11" spans="1:19">
      <c r="A11" s="101" t="s">
        <v>60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224" t="s">
        <v>61</v>
      </c>
      <c r="O11" s="45"/>
      <c r="P11" s="5"/>
      <c r="Q11" s="5"/>
      <c r="R11" s="5"/>
      <c r="S11" s="5"/>
    </row>
    <row r="12" spans="1:19">
      <c r="O12" s="45"/>
      <c r="P12" s="5"/>
      <c r="Q12" s="5"/>
      <c r="R12" s="5"/>
      <c r="S12" s="5"/>
    </row>
    <row r="13" spans="1:19">
      <c r="A13" s="140"/>
      <c r="O13" s="45"/>
      <c r="P13" s="5"/>
      <c r="Q13" s="5"/>
      <c r="R13" s="5"/>
      <c r="S13" s="5"/>
    </row>
    <row r="14" spans="1:19">
      <c r="O14" s="45"/>
      <c r="P14" s="5"/>
      <c r="Q14" s="5"/>
      <c r="R14" s="5"/>
      <c r="S14" s="5"/>
    </row>
    <row r="15" spans="1:19">
      <c r="O15" s="45"/>
      <c r="P15" s="5"/>
      <c r="Q15" s="5"/>
      <c r="R15" s="5"/>
      <c r="S15" s="5"/>
    </row>
    <row r="16" spans="1:19">
      <c r="P16" s="5"/>
      <c r="Q16" s="5"/>
      <c r="R16" s="5"/>
      <c r="S16" s="5"/>
    </row>
    <row r="17" spans="1:19">
      <c r="P17" s="5"/>
      <c r="Q17" s="5"/>
      <c r="R17" s="5"/>
      <c r="S17" s="5"/>
    </row>
    <row r="18" spans="1:19" ht="17.25">
      <c r="A18" s="104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42"/>
      <c r="M18" s="105"/>
      <c r="P18" s="5"/>
      <c r="Q18" s="5"/>
      <c r="R18" s="5"/>
      <c r="S18" s="5"/>
    </row>
    <row r="19" spans="1:19">
      <c r="P19" s="5"/>
      <c r="Q19" s="5"/>
      <c r="R19" s="5"/>
      <c r="S19" s="5"/>
    </row>
    <row r="20" spans="1:19">
      <c r="P20" s="5"/>
      <c r="Q20" s="5"/>
      <c r="R20" s="5"/>
      <c r="S20" s="5"/>
    </row>
    <row r="27" spans="1:19">
      <c r="N27" s="281"/>
      <c r="O27" s="281"/>
      <c r="P27" s="281"/>
    </row>
    <row r="28" spans="1:19">
      <c r="N28" s="124"/>
      <c r="O28" s="124"/>
      <c r="P28" s="281"/>
    </row>
    <row r="29" spans="1:19">
      <c r="N29" s="124"/>
      <c r="O29" s="124"/>
      <c r="P29" s="281"/>
    </row>
    <row r="30" spans="1:19">
      <c r="N30" s="124"/>
      <c r="O30" s="124"/>
      <c r="P30" s="281"/>
    </row>
    <row r="31" spans="1:19">
      <c r="N31" s="124"/>
      <c r="O31" s="124"/>
      <c r="P31" s="281"/>
    </row>
    <row r="32" spans="1:19">
      <c r="N32" s="124"/>
      <c r="O32" s="124"/>
      <c r="P32" s="281"/>
    </row>
    <row r="33" spans="14:20">
      <c r="N33" s="124"/>
      <c r="O33" s="124"/>
      <c r="P33" s="281"/>
    </row>
    <row r="34" spans="14:20">
      <c r="Q34" s="282"/>
      <c r="R34" s="283"/>
      <c r="S34" s="281"/>
    </row>
    <row r="35" spans="14:20">
      <c r="Q35" s="282"/>
      <c r="R35" s="283"/>
      <c r="S35" s="284"/>
      <c r="T35" s="45"/>
    </row>
    <row r="36" spans="14:20">
      <c r="N36" s="281"/>
      <c r="O36" s="281"/>
      <c r="P36" s="281"/>
      <c r="R36" s="10"/>
      <c r="S36" s="13"/>
      <c r="T36" s="45"/>
    </row>
    <row r="37" spans="14:20">
      <c r="N37" s="281"/>
      <c r="O37" s="281"/>
      <c r="P37" s="281"/>
      <c r="R37" s="45"/>
      <c r="S37" s="45"/>
      <c r="T37" s="45"/>
    </row>
    <row r="38" spans="14:20">
      <c r="N38" s="281"/>
      <c r="O38" s="281"/>
      <c r="P38" s="281"/>
      <c r="R38" s="45"/>
      <c r="S38" s="45"/>
      <c r="T38" s="45"/>
    </row>
    <row r="39" spans="14:20">
      <c r="N39" s="281"/>
      <c r="O39" s="281"/>
      <c r="P39" s="281"/>
      <c r="R39" s="45"/>
      <c r="S39" s="45"/>
      <c r="T39" s="45"/>
    </row>
    <row r="40" spans="14:20">
      <c r="N40" s="281"/>
      <c r="O40" s="281"/>
      <c r="P40" s="281"/>
      <c r="R40" s="45"/>
      <c r="S40" s="45"/>
      <c r="T40" s="45"/>
    </row>
    <row r="41" spans="14:20">
      <c r="R41" s="45"/>
      <c r="S41" s="45"/>
      <c r="T41" s="45"/>
    </row>
    <row r="42" spans="14:20">
      <c r="R42" s="45"/>
      <c r="S42" s="45"/>
      <c r="T42" s="45"/>
    </row>
    <row r="43" spans="14:20">
      <c r="R43" s="45"/>
      <c r="S43" s="45"/>
      <c r="T43" s="45"/>
    </row>
    <row r="44" spans="14:20">
      <c r="R44" s="45"/>
      <c r="S44" s="45"/>
      <c r="T44" s="45"/>
    </row>
    <row r="45" spans="14:20">
      <c r="R45" s="45"/>
      <c r="S45" s="45"/>
      <c r="T45" s="45"/>
    </row>
  </sheetData>
  <mergeCells count="12">
    <mergeCell ref="I3:I4"/>
    <mergeCell ref="M3:M4"/>
    <mergeCell ref="A1:M1"/>
    <mergeCell ref="A2:M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ignoredErrors>
    <ignoredError sqref="G6:I6" formulaRang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17"/>
  <sheetViews>
    <sheetView workbookViewId="0">
      <selection activeCell="M25" sqref="M25"/>
    </sheetView>
  </sheetViews>
  <sheetFormatPr defaultColWidth="9.140625" defaultRowHeight="15"/>
  <cols>
    <col min="1" max="1" width="26.140625" style="159" customWidth="1"/>
    <col min="2" max="6" width="0" style="159" hidden="1" customWidth="1"/>
    <col min="7" max="9" width="10.7109375" style="159" customWidth="1"/>
    <col min="10" max="10" width="19.7109375" style="159" hidden="1" customWidth="1"/>
    <col min="11" max="11" width="22.42578125" style="159" customWidth="1"/>
    <col min="12" max="12" width="24.85546875" style="159" customWidth="1"/>
    <col min="13" max="13" width="41" style="159" customWidth="1"/>
    <col min="14" max="19" width="24.85546875" style="159" customWidth="1"/>
    <col min="20" max="20" width="25.7109375" style="159" customWidth="1"/>
    <col min="21" max="16384" width="9.140625" style="159"/>
  </cols>
  <sheetData>
    <row r="1" spans="1:22" ht="21">
      <c r="A1" s="1158" t="s">
        <v>263</v>
      </c>
      <c r="B1" s="1158"/>
      <c r="C1" s="1158"/>
      <c r="D1" s="1158"/>
      <c r="E1" s="1158"/>
      <c r="F1" s="1158"/>
      <c r="G1" s="1158"/>
      <c r="H1" s="1158"/>
      <c r="I1" s="1158"/>
      <c r="J1" s="1158"/>
      <c r="K1" s="1158"/>
      <c r="L1" s="1158"/>
      <c r="M1" s="289"/>
      <c r="N1" s="289"/>
      <c r="O1" s="289"/>
      <c r="P1" s="289"/>
      <c r="Q1" s="289"/>
      <c r="R1" s="289"/>
      <c r="S1" s="289"/>
    </row>
    <row r="2" spans="1:22">
      <c r="A2" s="1159" t="s">
        <v>262</v>
      </c>
      <c r="B2" s="1159"/>
      <c r="C2" s="1159"/>
      <c r="D2" s="1159"/>
      <c r="E2" s="1159"/>
      <c r="F2" s="1159"/>
      <c r="G2" s="1159"/>
      <c r="H2" s="1159"/>
      <c r="I2" s="1159"/>
      <c r="J2" s="1159"/>
      <c r="K2" s="1159"/>
      <c r="L2" s="1159"/>
      <c r="M2" s="290"/>
      <c r="N2" s="290"/>
      <c r="O2" s="290"/>
      <c r="P2" s="290"/>
      <c r="Q2" s="290"/>
      <c r="R2" s="290"/>
      <c r="S2" s="290"/>
    </row>
    <row r="3" spans="1:22" ht="51.75">
      <c r="A3" s="1160" t="s">
        <v>179</v>
      </c>
      <c r="B3" s="1154">
        <v>2011</v>
      </c>
      <c r="C3" s="1154">
        <v>2012</v>
      </c>
      <c r="D3" s="1154">
        <v>2013</v>
      </c>
      <c r="E3" s="1154">
        <v>2014</v>
      </c>
      <c r="F3" s="1154">
        <v>2015</v>
      </c>
      <c r="G3" s="1154">
        <v>2016</v>
      </c>
      <c r="H3" s="1154">
        <v>2017</v>
      </c>
      <c r="I3" s="1154">
        <v>2018</v>
      </c>
      <c r="J3" s="291" t="s">
        <v>234</v>
      </c>
      <c r="K3" s="291" t="s">
        <v>234</v>
      </c>
      <c r="L3" s="1156" t="s">
        <v>181</v>
      </c>
      <c r="M3" s="292"/>
      <c r="N3" s="292"/>
      <c r="O3" s="292"/>
      <c r="P3" s="292"/>
      <c r="Q3" s="292"/>
      <c r="R3" s="292"/>
      <c r="S3" s="292"/>
    </row>
    <row r="4" spans="1:22" ht="18.75">
      <c r="A4" s="1161"/>
      <c r="B4" s="1155"/>
      <c r="C4" s="1155"/>
      <c r="D4" s="1155"/>
      <c r="E4" s="1155"/>
      <c r="F4" s="1155"/>
      <c r="G4" s="1155"/>
      <c r="H4" s="1155"/>
      <c r="I4" s="1155"/>
      <c r="J4" s="293" t="s">
        <v>4</v>
      </c>
      <c r="K4" s="293" t="s">
        <v>6</v>
      </c>
      <c r="L4" s="1157"/>
      <c r="M4" s="294"/>
      <c r="N4" s="294"/>
      <c r="O4" s="294"/>
      <c r="P4" s="294"/>
      <c r="Q4" s="294"/>
      <c r="R4" s="294"/>
      <c r="S4" s="294"/>
    </row>
    <row r="5" spans="1:22" s="299" customFormat="1" ht="18.75">
      <c r="A5" s="295" t="s">
        <v>8</v>
      </c>
      <c r="B5" s="296">
        <f>SUM(B6:B12)</f>
        <v>171</v>
      </c>
      <c r="C5" s="296">
        <f t="shared" ref="C5:F5" si="0">SUM(C6:C12)</f>
        <v>190</v>
      </c>
      <c r="D5" s="296">
        <f t="shared" si="0"/>
        <v>183</v>
      </c>
      <c r="E5" s="296">
        <f t="shared" si="0"/>
        <v>174</v>
      </c>
      <c r="F5" s="296">
        <f t="shared" si="0"/>
        <v>172</v>
      </c>
      <c r="G5" s="296">
        <f>SUM(G6:G12)</f>
        <v>154</v>
      </c>
      <c r="H5" s="296">
        <f>SUM(H6:H12)</f>
        <v>174</v>
      </c>
      <c r="I5" s="296">
        <f>SUM(I6:I12)</f>
        <v>181</v>
      </c>
      <c r="J5" s="297">
        <f t="shared" ref="J5:K12" si="1">((H5-G5)/G5)*100</f>
        <v>12.987012987012985</v>
      </c>
      <c r="K5" s="297">
        <f>((I5-H5)/H5)*100</f>
        <v>4.0229885057471266</v>
      </c>
      <c r="L5" s="298" t="s">
        <v>141</v>
      </c>
      <c r="M5" s="1345"/>
      <c r="N5" s="1345"/>
      <c r="O5" s="1345"/>
      <c r="P5" s="298"/>
      <c r="Q5" s="298"/>
      <c r="R5" s="298"/>
      <c r="S5" s="298"/>
      <c r="U5" s="30"/>
    </row>
    <row r="6" spans="1:22" s="30" customFormat="1" ht="18.75">
      <c r="A6" s="300" t="s">
        <v>249</v>
      </c>
      <c r="B6" s="301">
        <v>3</v>
      </c>
      <c r="C6" s="301">
        <v>10</v>
      </c>
      <c r="D6" s="106">
        <v>3</v>
      </c>
      <c r="E6" s="256">
        <v>3</v>
      </c>
      <c r="F6" s="256">
        <v>11</v>
      </c>
      <c r="G6" s="256">
        <v>5</v>
      </c>
      <c r="H6" s="256">
        <v>9</v>
      </c>
      <c r="I6" s="256">
        <v>3</v>
      </c>
      <c r="J6" s="302">
        <f t="shared" si="1"/>
        <v>80</v>
      </c>
      <c r="K6" s="302">
        <f>((I6-H6)/H6)*100</f>
        <v>-66.666666666666657</v>
      </c>
      <c r="L6" s="303" t="s">
        <v>250</v>
      </c>
      <c r="M6" s="256"/>
      <c r="N6" s="256"/>
      <c r="O6" s="256"/>
      <c r="P6" s="304"/>
      <c r="Q6" s="304"/>
      <c r="R6" s="304"/>
      <c r="S6" s="304"/>
      <c r="U6" s="300" t="s">
        <v>251</v>
      </c>
      <c r="V6" s="29">
        <f>(H6/$H$5)*100</f>
        <v>5.1724137931034484</v>
      </c>
    </row>
    <row r="7" spans="1:22" s="30" customFormat="1" ht="18.75">
      <c r="A7" s="300" t="s">
        <v>252</v>
      </c>
      <c r="B7" s="301">
        <v>13</v>
      </c>
      <c r="C7" s="301">
        <v>8</v>
      </c>
      <c r="D7" s="106">
        <v>19</v>
      </c>
      <c r="E7" s="256">
        <v>12</v>
      </c>
      <c r="F7" s="256">
        <v>15</v>
      </c>
      <c r="G7" s="256">
        <v>17</v>
      </c>
      <c r="H7" s="256">
        <v>17</v>
      </c>
      <c r="I7" s="256">
        <v>14</v>
      </c>
      <c r="J7" s="302">
        <f t="shared" si="1"/>
        <v>0</v>
      </c>
      <c r="K7" s="302">
        <f t="shared" si="1"/>
        <v>-17.647058823529413</v>
      </c>
      <c r="L7" s="303" t="s">
        <v>253</v>
      </c>
      <c r="M7" s="256"/>
      <c r="N7" s="256"/>
      <c r="O7" s="256"/>
      <c r="P7" s="304"/>
      <c r="Q7" s="304"/>
      <c r="R7" s="304"/>
      <c r="S7" s="304"/>
      <c r="U7" s="300" t="s">
        <v>254</v>
      </c>
      <c r="V7" s="29">
        <f t="shared" ref="V7:V11" si="2">(H7/$H$5)*100</f>
        <v>9.7701149425287355</v>
      </c>
    </row>
    <row r="8" spans="1:22" s="30" customFormat="1" ht="18.75">
      <c r="A8" s="300" t="s">
        <v>255</v>
      </c>
      <c r="B8" s="301">
        <v>13</v>
      </c>
      <c r="C8" s="301">
        <v>12</v>
      </c>
      <c r="D8" s="106">
        <v>15</v>
      </c>
      <c r="E8" s="256">
        <v>14</v>
      </c>
      <c r="F8" s="256">
        <v>11</v>
      </c>
      <c r="G8" s="256">
        <v>16</v>
      </c>
      <c r="H8" s="256">
        <v>19</v>
      </c>
      <c r="I8" s="256">
        <v>15</v>
      </c>
      <c r="J8" s="302">
        <f t="shared" si="1"/>
        <v>18.75</v>
      </c>
      <c r="K8" s="302">
        <f t="shared" si="1"/>
        <v>-21.052631578947366</v>
      </c>
      <c r="L8" s="303" t="s">
        <v>256</v>
      </c>
      <c r="M8" s="256"/>
      <c r="N8" s="256"/>
      <c r="O8" s="256"/>
      <c r="P8" s="304"/>
      <c r="Q8" s="304"/>
      <c r="R8" s="304"/>
      <c r="S8" s="304"/>
      <c r="U8" s="300" t="s">
        <v>255</v>
      </c>
      <c r="V8" s="29">
        <f t="shared" si="2"/>
        <v>10.919540229885058</v>
      </c>
    </row>
    <row r="9" spans="1:22" s="30" customFormat="1" ht="18.75">
      <c r="A9" s="300" t="s">
        <v>10</v>
      </c>
      <c r="B9" s="301">
        <v>7</v>
      </c>
      <c r="C9" s="301">
        <v>5</v>
      </c>
      <c r="D9" s="106">
        <v>2</v>
      </c>
      <c r="E9" s="256">
        <v>10</v>
      </c>
      <c r="F9" s="256">
        <v>12</v>
      </c>
      <c r="G9" s="256">
        <v>4</v>
      </c>
      <c r="H9" s="256">
        <v>9</v>
      </c>
      <c r="I9" s="256">
        <v>8</v>
      </c>
      <c r="J9" s="302">
        <f t="shared" si="1"/>
        <v>125</v>
      </c>
      <c r="K9" s="302">
        <f t="shared" si="1"/>
        <v>-11.111111111111111</v>
      </c>
      <c r="L9" s="303" t="s">
        <v>257</v>
      </c>
      <c r="M9" s="256"/>
      <c r="N9" s="256"/>
      <c r="O9" s="256"/>
      <c r="P9" s="304"/>
      <c r="Q9" s="304"/>
      <c r="R9" s="304"/>
      <c r="S9" s="304"/>
      <c r="U9" s="300" t="s">
        <v>10</v>
      </c>
      <c r="V9" s="29">
        <f t="shared" si="2"/>
        <v>5.1724137931034484</v>
      </c>
    </row>
    <row r="10" spans="1:22" s="30" customFormat="1" ht="18.75">
      <c r="A10" s="300" t="s">
        <v>1232</v>
      </c>
      <c r="B10" s="1091" t="s">
        <v>134</v>
      </c>
      <c r="C10" s="1091" t="s">
        <v>134</v>
      </c>
      <c r="D10" s="1092" t="s">
        <v>134</v>
      </c>
      <c r="E10" s="256" t="s">
        <v>134</v>
      </c>
      <c r="F10" s="256" t="s">
        <v>134</v>
      </c>
      <c r="G10" s="256" t="s">
        <v>134</v>
      </c>
      <c r="H10" s="256" t="s">
        <v>134</v>
      </c>
      <c r="I10" s="256">
        <v>4</v>
      </c>
      <c r="J10" s="302" t="e">
        <f>((H10-G10)/G10)*100</f>
        <v>#VALUE!</v>
      </c>
      <c r="K10" s="302">
        <v>0</v>
      </c>
      <c r="L10" s="303" t="s">
        <v>1233</v>
      </c>
      <c r="M10" s="256"/>
      <c r="N10" s="256"/>
      <c r="O10" s="256"/>
      <c r="P10" s="304"/>
      <c r="Q10" s="304"/>
      <c r="R10" s="304"/>
      <c r="S10" s="304"/>
      <c r="U10" s="300" t="s">
        <v>258</v>
      </c>
      <c r="V10" s="29" t="e">
        <f t="shared" si="2"/>
        <v>#VALUE!</v>
      </c>
    </row>
    <row r="11" spans="1:22" s="310" customFormat="1" ht="18.75">
      <c r="A11" s="300" t="s">
        <v>258</v>
      </c>
      <c r="B11" s="301">
        <v>8</v>
      </c>
      <c r="C11" s="301">
        <v>30</v>
      </c>
      <c r="D11" s="106">
        <v>15</v>
      </c>
      <c r="E11" s="256">
        <v>13</v>
      </c>
      <c r="F11" s="256">
        <v>18</v>
      </c>
      <c r="G11" s="256">
        <v>12</v>
      </c>
      <c r="H11" s="256">
        <v>12</v>
      </c>
      <c r="I11" s="256">
        <v>22</v>
      </c>
      <c r="J11" s="302">
        <f t="shared" si="1"/>
        <v>0</v>
      </c>
      <c r="K11" s="302">
        <f t="shared" si="1"/>
        <v>83.333333333333343</v>
      </c>
      <c r="L11" s="303" t="s">
        <v>259</v>
      </c>
      <c r="M11" s="256"/>
      <c r="N11" s="256"/>
      <c r="O11" s="256"/>
      <c r="P11" s="304"/>
      <c r="Q11" s="304"/>
      <c r="R11" s="304"/>
      <c r="S11" s="304"/>
      <c r="U11" s="305" t="s">
        <v>260</v>
      </c>
      <c r="V11" s="29">
        <f t="shared" si="2"/>
        <v>6.8965517241379306</v>
      </c>
    </row>
    <row r="12" spans="1:22" s="310" customFormat="1" ht="18.75">
      <c r="A12" s="305" t="s">
        <v>260</v>
      </c>
      <c r="B12" s="306">
        <v>127</v>
      </c>
      <c r="C12" s="306">
        <v>125</v>
      </c>
      <c r="D12" s="307">
        <v>129</v>
      </c>
      <c r="E12" s="262">
        <v>122</v>
      </c>
      <c r="F12" s="262">
        <v>105</v>
      </c>
      <c r="G12" s="262">
        <v>100</v>
      </c>
      <c r="H12" s="262">
        <v>108</v>
      </c>
      <c r="I12" s="262">
        <v>115</v>
      </c>
      <c r="J12" s="308">
        <f t="shared" si="1"/>
        <v>8</v>
      </c>
      <c r="K12" s="308">
        <f t="shared" si="1"/>
        <v>6.481481481481481</v>
      </c>
      <c r="L12" s="309" t="s">
        <v>261</v>
      </c>
      <c r="M12" s="256"/>
      <c r="N12" s="256"/>
      <c r="O12" s="256"/>
      <c r="P12" s="304"/>
      <c r="Q12" s="304"/>
      <c r="R12" s="304"/>
      <c r="S12" s="304"/>
      <c r="U12" s="300"/>
      <c r="V12" s="29"/>
    </row>
    <row r="13" spans="1:22">
      <c r="A13" s="155" t="s">
        <v>60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344" t="s">
        <v>61</v>
      </c>
      <c r="M13" s="314"/>
      <c r="N13" s="312"/>
      <c r="O13" s="160"/>
      <c r="P13" s="312"/>
      <c r="Q13" s="312"/>
      <c r="R13" s="312"/>
      <c r="S13" s="312"/>
    </row>
    <row r="14" spans="1:22">
      <c r="M14" s="160"/>
      <c r="N14" s="160"/>
      <c r="O14" s="160"/>
    </row>
    <row r="17" spans="2:2">
      <c r="B17" s="313"/>
    </row>
  </sheetData>
  <mergeCells count="12">
    <mergeCell ref="I3:I4"/>
    <mergeCell ref="L3:L4"/>
    <mergeCell ref="A1:L1"/>
    <mergeCell ref="A2:L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31"/>
  <sheetViews>
    <sheetView workbookViewId="0">
      <selection activeCell="T27" sqref="T27"/>
    </sheetView>
  </sheetViews>
  <sheetFormatPr defaultColWidth="9.140625" defaultRowHeight="15"/>
  <cols>
    <col min="1" max="1" width="16.28515625" style="1" customWidth="1"/>
    <col min="2" max="4" width="9.42578125" style="1" hidden="1" customWidth="1"/>
    <col min="5" max="5" width="10.85546875" style="1" hidden="1" customWidth="1"/>
    <col min="6" max="9" width="10.5703125" style="1" hidden="1" customWidth="1"/>
    <col min="10" max="12" width="10.5703125" style="1" bestFit="1" customWidth="1"/>
    <col min="13" max="13" width="16.42578125" style="1" customWidth="1"/>
    <col min="14" max="14" width="14.140625" style="1" customWidth="1"/>
    <col min="15" max="15" width="14.7109375" style="1" customWidth="1"/>
    <col min="16" max="16" width="1.28515625" style="1" customWidth="1"/>
    <col min="17" max="18" width="3.42578125" style="1" customWidth="1"/>
    <col min="19" max="19" width="7.85546875" style="1" customWidth="1"/>
    <col min="20" max="20" width="5.7109375" style="1" bestFit="1" customWidth="1"/>
    <col min="21" max="28" width="3.42578125" style="1" customWidth="1"/>
    <col min="29" max="16384" width="9.140625" style="1"/>
  </cols>
  <sheetData>
    <row r="1" spans="1:34" ht="21.75">
      <c r="A1" s="1098" t="s">
        <v>267</v>
      </c>
      <c r="B1" s="1098"/>
      <c r="C1" s="1098"/>
      <c r="D1" s="1098"/>
      <c r="E1" s="1098"/>
      <c r="F1" s="1098"/>
      <c r="G1" s="1098"/>
      <c r="H1" s="1098"/>
      <c r="I1" s="1098"/>
      <c r="J1" s="1098"/>
      <c r="K1" s="1098"/>
      <c r="L1" s="1098"/>
      <c r="M1" s="1098"/>
      <c r="N1" s="1098"/>
      <c r="O1" s="1098"/>
    </row>
    <row r="2" spans="1:34" ht="21.75" customHeight="1">
      <c r="A2" s="1099" t="s">
        <v>268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099"/>
      <c r="O2" s="1099"/>
    </row>
    <row r="3" spans="1:34" ht="51.75">
      <c r="A3" s="1138" t="s">
        <v>65</v>
      </c>
      <c r="B3" s="1094">
        <v>2008</v>
      </c>
      <c r="C3" s="1094">
        <v>2009</v>
      </c>
      <c r="D3" s="1135">
        <v>2010</v>
      </c>
      <c r="E3" s="1094">
        <v>2011</v>
      </c>
      <c r="F3" s="1094">
        <v>2012</v>
      </c>
      <c r="G3" s="1094">
        <v>2013</v>
      </c>
      <c r="H3" s="1094">
        <v>2014</v>
      </c>
      <c r="I3" s="1094">
        <v>2015</v>
      </c>
      <c r="J3" s="1094">
        <v>2016</v>
      </c>
      <c r="K3" s="1094">
        <v>2017</v>
      </c>
      <c r="L3" s="1094">
        <v>2018</v>
      </c>
      <c r="M3" s="59" t="s">
        <v>234</v>
      </c>
      <c r="N3" s="59" t="s">
        <v>235</v>
      </c>
      <c r="O3" s="1127" t="s">
        <v>181</v>
      </c>
      <c r="AD3" s="5"/>
      <c r="AE3" s="5"/>
      <c r="AF3" s="5"/>
      <c r="AG3" s="5"/>
      <c r="AH3" s="5"/>
    </row>
    <row r="4" spans="1:34" ht="24">
      <c r="A4" s="1140"/>
      <c r="B4" s="1095"/>
      <c r="C4" s="1095"/>
      <c r="D4" s="1137"/>
      <c r="E4" s="1095"/>
      <c r="F4" s="1095"/>
      <c r="G4" s="1095"/>
      <c r="H4" s="1095"/>
      <c r="I4" s="1095"/>
      <c r="J4" s="1095"/>
      <c r="K4" s="1095"/>
      <c r="L4" s="1095"/>
      <c r="M4" s="220" t="s">
        <v>183</v>
      </c>
      <c r="N4" s="220" t="s">
        <v>264</v>
      </c>
      <c r="O4" s="1097"/>
      <c r="AC4" s="20"/>
      <c r="AD4" s="5"/>
      <c r="AE4" s="5"/>
      <c r="AF4" s="5"/>
      <c r="AG4" s="5"/>
      <c r="AH4" s="5"/>
    </row>
    <row r="5" spans="1:34" s="78" customFormat="1" ht="15.75">
      <c r="A5" s="315" t="s">
        <v>8</v>
      </c>
      <c r="B5" s="316">
        <v>16499</v>
      </c>
      <c r="C5" s="316">
        <v>18904</v>
      </c>
      <c r="D5" s="316">
        <v>17601</v>
      </c>
      <c r="E5" s="316">
        <v>16255</v>
      </c>
      <c r="F5" s="316">
        <v>19741</v>
      </c>
      <c r="G5" s="316">
        <f>SUM(G6:G17)</f>
        <v>19614</v>
      </c>
      <c r="H5" s="316">
        <f t="shared" ref="H5:K5" si="0">SUM(H6:H17)</f>
        <v>21984</v>
      </c>
      <c r="I5" s="316">
        <f t="shared" si="0"/>
        <v>20290</v>
      </c>
      <c r="J5" s="316">
        <f t="shared" si="0"/>
        <v>18901</v>
      </c>
      <c r="K5" s="316">
        <f t="shared" si="0"/>
        <v>16626</v>
      </c>
      <c r="L5" s="316">
        <f>SUM(L6:L17)</f>
        <v>14856</v>
      </c>
      <c r="M5" s="317">
        <f>((L5-K5)/L5*100)</f>
        <v>-11.91437802907916</v>
      </c>
      <c r="N5" s="318">
        <f>L5/$L$5*100</f>
        <v>100</v>
      </c>
      <c r="O5" s="319" t="s">
        <v>9</v>
      </c>
      <c r="AC5" s="20"/>
      <c r="AD5" s="235"/>
      <c r="AE5" s="235"/>
      <c r="AF5" s="235"/>
      <c r="AG5" s="235"/>
      <c r="AH5" s="235"/>
    </row>
    <row r="6" spans="1:34" ht="18.75">
      <c r="A6" s="103" t="s">
        <v>7</v>
      </c>
      <c r="B6" s="320">
        <v>3846</v>
      </c>
      <c r="C6" s="320">
        <v>4479</v>
      </c>
      <c r="D6" s="320">
        <v>3956</v>
      </c>
      <c r="E6" s="320">
        <v>4608</v>
      </c>
      <c r="F6" s="320">
        <v>6289</v>
      </c>
      <c r="G6" s="320">
        <v>5734</v>
      </c>
      <c r="H6" s="320">
        <v>6785</v>
      </c>
      <c r="I6" s="320">
        <v>4618</v>
      </c>
      <c r="J6" s="320">
        <v>4058</v>
      </c>
      <c r="K6" s="320">
        <v>3522</v>
      </c>
      <c r="L6" s="320">
        <v>3355</v>
      </c>
      <c r="M6" s="318">
        <f t="shared" ref="M6:M17" si="1">((L6-K6)/L6*100)</f>
        <v>-4.9776453055141578</v>
      </c>
      <c r="N6" s="318">
        <f t="shared" ref="N6:N17" si="2">L6/$L$5*100</f>
        <v>22.583467959073776</v>
      </c>
      <c r="O6" s="26" t="s">
        <v>11</v>
      </c>
      <c r="S6" s="78"/>
      <c r="AC6" s="20"/>
      <c r="AD6" s="235"/>
      <c r="AE6" s="5"/>
      <c r="AF6" s="5"/>
      <c r="AG6" s="5"/>
      <c r="AH6" s="5"/>
    </row>
    <row r="7" spans="1:34" ht="18.75">
      <c r="A7" s="103" t="s">
        <v>26</v>
      </c>
      <c r="B7" s="320">
        <v>2544</v>
      </c>
      <c r="C7" s="320">
        <v>2723</v>
      </c>
      <c r="D7" s="320">
        <v>2560</v>
      </c>
      <c r="E7" s="320">
        <v>2135</v>
      </c>
      <c r="F7" s="320">
        <v>2167</v>
      </c>
      <c r="G7" s="320">
        <v>1962</v>
      </c>
      <c r="H7" s="320">
        <v>2267</v>
      </c>
      <c r="I7" s="320">
        <v>1998</v>
      </c>
      <c r="J7" s="320">
        <v>2336</v>
      </c>
      <c r="K7" s="320">
        <v>2108</v>
      </c>
      <c r="L7" s="320">
        <v>1936</v>
      </c>
      <c r="M7" s="318">
        <f t="shared" si="1"/>
        <v>-8.884297520661157</v>
      </c>
      <c r="N7" s="318">
        <f t="shared" si="2"/>
        <v>13.031771674744212</v>
      </c>
      <c r="O7" s="26" t="s">
        <v>73</v>
      </c>
      <c r="S7" s="78"/>
      <c r="AC7" s="20"/>
      <c r="AD7" s="235"/>
      <c r="AE7" s="5"/>
      <c r="AF7" s="5"/>
      <c r="AG7" s="5"/>
      <c r="AH7" s="5"/>
    </row>
    <row r="8" spans="1:34" ht="18.75">
      <c r="A8" s="103" t="s">
        <v>12</v>
      </c>
      <c r="B8" s="320">
        <v>2531</v>
      </c>
      <c r="C8" s="320">
        <v>1804</v>
      </c>
      <c r="D8" s="320">
        <v>2002</v>
      </c>
      <c r="E8" s="320">
        <v>1172</v>
      </c>
      <c r="F8" s="320">
        <v>1736</v>
      </c>
      <c r="G8" s="320">
        <v>3237</v>
      </c>
      <c r="H8" s="320">
        <v>2939</v>
      </c>
      <c r="I8" s="320">
        <v>4528</v>
      </c>
      <c r="J8" s="320">
        <v>3410</v>
      </c>
      <c r="K8" s="320">
        <v>2903</v>
      </c>
      <c r="L8" s="320">
        <v>2405</v>
      </c>
      <c r="M8" s="318">
        <f t="shared" si="1"/>
        <v>-20.706860706860709</v>
      </c>
      <c r="N8" s="318">
        <f t="shared" si="2"/>
        <v>16.188745288099085</v>
      </c>
      <c r="O8" s="26" t="s">
        <v>16</v>
      </c>
      <c r="S8" s="78"/>
      <c r="AC8" s="20"/>
      <c r="AD8" s="235"/>
      <c r="AE8" s="5"/>
      <c r="AF8" s="5"/>
      <c r="AG8" s="5"/>
      <c r="AH8" s="5"/>
    </row>
    <row r="9" spans="1:34" ht="18.75">
      <c r="A9" s="103" t="s">
        <v>40</v>
      </c>
      <c r="B9" s="320">
        <v>1260</v>
      </c>
      <c r="C9" s="320">
        <v>2212</v>
      </c>
      <c r="D9" s="320">
        <v>1757</v>
      </c>
      <c r="E9" s="320">
        <v>1499</v>
      </c>
      <c r="F9" s="320">
        <v>1500</v>
      </c>
      <c r="G9" s="320">
        <v>1864</v>
      </c>
      <c r="H9" s="320">
        <v>2175</v>
      </c>
      <c r="I9" s="320">
        <v>1765</v>
      </c>
      <c r="J9" s="320">
        <v>1850</v>
      </c>
      <c r="K9" s="320">
        <v>1659</v>
      </c>
      <c r="L9" s="320">
        <v>1790</v>
      </c>
      <c r="M9" s="318">
        <f t="shared" si="1"/>
        <v>7.3184357541899452</v>
      </c>
      <c r="N9" s="318">
        <f t="shared" si="2"/>
        <v>12.049003769520732</v>
      </c>
      <c r="O9" s="26" t="s">
        <v>18</v>
      </c>
      <c r="S9" s="78"/>
      <c r="AC9" s="20"/>
      <c r="AD9" s="235"/>
      <c r="AE9" s="5"/>
      <c r="AF9" s="5"/>
      <c r="AG9" s="5"/>
      <c r="AH9" s="5"/>
    </row>
    <row r="10" spans="1:34" ht="18.75">
      <c r="A10" s="103" t="s">
        <v>14</v>
      </c>
      <c r="B10" s="320">
        <v>1370</v>
      </c>
      <c r="C10" s="320">
        <v>1679</v>
      </c>
      <c r="D10" s="320">
        <v>1580</v>
      </c>
      <c r="E10" s="320">
        <v>1265</v>
      </c>
      <c r="F10" s="320">
        <v>1342</v>
      </c>
      <c r="G10" s="320">
        <v>1149</v>
      </c>
      <c r="H10" s="320">
        <v>1507</v>
      </c>
      <c r="I10" s="320">
        <v>1200</v>
      </c>
      <c r="J10" s="320">
        <v>997</v>
      </c>
      <c r="K10" s="320">
        <v>820</v>
      </c>
      <c r="L10" s="320">
        <v>745</v>
      </c>
      <c r="M10" s="318">
        <f t="shared" si="1"/>
        <v>-10.067114093959731</v>
      </c>
      <c r="N10" s="318">
        <f t="shared" si="2"/>
        <v>5.0148088314485726</v>
      </c>
      <c r="O10" s="26" t="s">
        <v>20</v>
      </c>
      <c r="S10" s="78"/>
      <c r="AC10" s="20"/>
      <c r="AD10" s="235"/>
      <c r="AE10" s="5"/>
      <c r="AF10" s="5"/>
      <c r="AG10" s="5"/>
      <c r="AH10" s="5"/>
    </row>
    <row r="11" spans="1:34" ht="18.75">
      <c r="A11" s="103" t="s">
        <v>21</v>
      </c>
      <c r="B11" s="320">
        <v>433</v>
      </c>
      <c r="C11" s="320">
        <v>866</v>
      </c>
      <c r="D11" s="320">
        <v>869</v>
      </c>
      <c r="E11" s="320">
        <v>757</v>
      </c>
      <c r="F11" s="320">
        <v>849</v>
      </c>
      <c r="G11" s="320">
        <v>681</v>
      </c>
      <c r="H11" s="320">
        <v>731</v>
      </c>
      <c r="I11" s="320">
        <v>617</v>
      </c>
      <c r="J11" s="320">
        <v>412</v>
      </c>
      <c r="K11" s="320">
        <v>456</v>
      </c>
      <c r="L11" s="320">
        <v>451</v>
      </c>
      <c r="M11" s="318">
        <f t="shared" si="1"/>
        <v>-1.1086474501108647</v>
      </c>
      <c r="N11" s="318">
        <f t="shared" si="2"/>
        <v>3.0358104469574583</v>
      </c>
      <c r="O11" s="26" t="s">
        <v>22</v>
      </c>
      <c r="S11" s="78"/>
      <c r="AC11" s="20"/>
      <c r="AD11" s="235"/>
      <c r="AE11" s="5"/>
      <c r="AF11" s="5"/>
      <c r="AG11" s="5"/>
      <c r="AH11" s="5"/>
    </row>
    <row r="12" spans="1:34" ht="18.75">
      <c r="A12" s="103" t="s">
        <v>19</v>
      </c>
      <c r="B12" s="320">
        <v>608</v>
      </c>
      <c r="C12" s="320">
        <v>642</v>
      </c>
      <c r="D12" s="320">
        <v>564</v>
      </c>
      <c r="E12" s="320">
        <v>661</v>
      </c>
      <c r="F12" s="320">
        <v>961</v>
      </c>
      <c r="G12" s="320">
        <v>678</v>
      </c>
      <c r="H12" s="320">
        <v>823</v>
      </c>
      <c r="I12" s="320">
        <v>590</v>
      </c>
      <c r="J12" s="320">
        <v>757</v>
      </c>
      <c r="K12" s="320">
        <v>668</v>
      </c>
      <c r="L12" s="320">
        <v>513</v>
      </c>
      <c r="M12" s="318">
        <f t="shared" si="1"/>
        <v>-30.214424951267056</v>
      </c>
      <c r="N12" s="318">
        <f t="shared" si="2"/>
        <v>3.4531502423263327</v>
      </c>
      <c r="O12" s="26" t="s">
        <v>25</v>
      </c>
      <c r="S12" s="78"/>
      <c r="AC12" s="20"/>
      <c r="AD12" s="235"/>
      <c r="AE12" s="5"/>
      <c r="AF12" s="5"/>
      <c r="AG12" s="5"/>
      <c r="AH12" s="5"/>
    </row>
    <row r="13" spans="1:34" ht="18.75">
      <c r="A13" s="103" t="s">
        <v>28</v>
      </c>
      <c r="B13" s="320">
        <v>383</v>
      </c>
      <c r="C13" s="320">
        <v>435</v>
      </c>
      <c r="D13" s="320">
        <v>581</v>
      </c>
      <c r="E13" s="320">
        <v>547</v>
      </c>
      <c r="F13" s="320">
        <v>551</v>
      </c>
      <c r="G13" s="320">
        <v>610</v>
      </c>
      <c r="H13" s="320">
        <v>619</v>
      </c>
      <c r="I13" s="320">
        <v>647</v>
      </c>
      <c r="J13" s="320">
        <v>643</v>
      </c>
      <c r="K13" s="320">
        <v>507</v>
      </c>
      <c r="L13" s="320">
        <v>346</v>
      </c>
      <c r="M13" s="318">
        <f t="shared" si="1"/>
        <v>-46.531791907514453</v>
      </c>
      <c r="N13" s="318">
        <f t="shared" si="2"/>
        <v>2.3290253096392028</v>
      </c>
      <c r="O13" s="26" t="s">
        <v>29</v>
      </c>
      <c r="S13" s="78"/>
      <c r="AC13" s="20"/>
      <c r="AD13" s="235"/>
      <c r="AE13" s="5"/>
      <c r="AF13" s="5"/>
      <c r="AG13" s="5"/>
      <c r="AH13" s="5"/>
    </row>
    <row r="14" spans="1:34" ht="18.75">
      <c r="A14" s="103" t="s">
        <v>27</v>
      </c>
      <c r="B14" s="320">
        <v>326</v>
      </c>
      <c r="C14" s="320">
        <v>348</v>
      </c>
      <c r="D14" s="320">
        <v>402</v>
      </c>
      <c r="E14" s="320">
        <v>317</v>
      </c>
      <c r="F14" s="320">
        <v>311</v>
      </c>
      <c r="G14" s="320">
        <v>367</v>
      </c>
      <c r="H14" s="320">
        <v>489</v>
      </c>
      <c r="I14" s="320">
        <v>759</v>
      </c>
      <c r="J14" s="320">
        <v>590</v>
      </c>
      <c r="K14" s="320">
        <v>515</v>
      </c>
      <c r="L14" s="320">
        <v>506</v>
      </c>
      <c r="M14" s="318">
        <f t="shared" si="1"/>
        <v>-1.7786561264822136</v>
      </c>
      <c r="N14" s="318">
        <f t="shared" si="2"/>
        <v>3.4060312331717824</v>
      </c>
      <c r="O14" s="26" t="s">
        <v>31</v>
      </c>
      <c r="S14" s="78"/>
      <c r="AC14" s="20"/>
      <c r="AD14" s="235"/>
      <c r="AE14" s="5"/>
      <c r="AF14" s="5"/>
      <c r="AG14" s="5"/>
      <c r="AH14" s="5"/>
    </row>
    <row r="15" spans="1:34" ht="18.75">
      <c r="A15" s="103" t="s">
        <v>30</v>
      </c>
      <c r="B15" s="320">
        <v>76</v>
      </c>
      <c r="C15" s="320">
        <v>86</v>
      </c>
      <c r="D15" s="320">
        <v>125</v>
      </c>
      <c r="E15" s="320">
        <v>116</v>
      </c>
      <c r="F15" s="320">
        <v>151</v>
      </c>
      <c r="G15" s="320">
        <v>171</v>
      </c>
      <c r="H15" s="320">
        <v>245</v>
      </c>
      <c r="I15" s="320">
        <v>335</v>
      </c>
      <c r="J15" s="320">
        <v>341</v>
      </c>
      <c r="K15" s="320">
        <v>273</v>
      </c>
      <c r="L15" s="320">
        <v>218</v>
      </c>
      <c r="M15" s="318">
        <f t="shared" si="1"/>
        <v>-25.229357798165136</v>
      </c>
      <c r="N15" s="318">
        <f t="shared" si="2"/>
        <v>1.4674205708131394</v>
      </c>
      <c r="O15" s="26" t="s">
        <v>33</v>
      </c>
      <c r="S15" s="78"/>
      <c r="AC15" s="20"/>
      <c r="AD15" s="235"/>
      <c r="AE15" s="5"/>
      <c r="AF15" s="5"/>
      <c r="AG15" s="5"/>
      <c r="AH15" s="5"/>
    </row>
    <row r="16" spans="1:34" ht="18.75">
      <c r="A16" s="103" t="s">
        <v>32</v>
      </c>
      <c r="B16" s="320">
        <v>88</v>
      </c>
      <c r="C16" s="320">
        <v>133</v>
      </c>
      <c r="D16" s="320">
        <v>153</v>
      </c>
      <c r="E16" s="320">
        <v>125</v>
      </c>
      <c r="F16" s="320">
        <v>135</v>
      </c>
      <c r="G16" s="320">
        <v>106</v>
      </c>
      <c r="H16" s="320">
        <v>106</v>
      </c>
      <c r="I16" s="320">
        <v>103</v>
      </c>
      <c r="J16" s="320">
        <v>126</v>
      </c>
      <c r="K16" s="320">
        <v>94</v>
      </c>
      <c r="L16" s="320">
        <v>59</v>
      </c>
      <c r="M16" s="318">
        <f t="shared" si="1"/>
        <v>-59.322033898305079</v>
      </c>
      <c r="N16" s="318">
        <f t="shared" si="2"/>
        <v>0.39714593430263867</v>
      </c>
      <c r="O16" s="26" t="s">
        <v>143</v>
      </c>
      <c r="S16" s="78"/>
      <c r="AC16" s="20"/>
      <c r="AD16" s="235"/>
      <c r="AE16" s="5"/>
      <c r="AF16" s="5"/>
      <c r="AG16" s="5"/>
      <c r="AH16" s="5"/>
    </row>
    <row r="17" spans="1:34" ht="18.75">
      <c r="A17" s="321" t="s">
        <v>15</v>
      </c>
      <c r="B17" s="322">
        <v>3034</v>
      </c>
      <c r="C17" s="322">
        <v>3497</v>
      </c>
      <c r="D17" s="322">
        <v>3052</v>
      </c>
      <c r="E17" s="322">
        <v>3053</v>
      </c>
      <c r="F17" s="322">
        <v>3749</v>
      </c>
      <c r="G17" s="322">
        <v>3055</v>
      </c>
      <c r="H17" s="322">
        <v>3298</v>
      </c>
      <c r="I17" s="322">
        <v>3130</v>
      </c>
      <c r="J17" s="322">
        <v>3381</v>
      </c>
      <c r="K17" s="322">
        <v>3101</v>
      </c>
      <c r="L17" s="322">
        <v>2532</v>
      </c>
      <c r="M17" s="327">
        <f t="shared" si="1"/>
        <v>-22.472353870458136</v>
      </c>
      <c r="N17" s="327">
        <f t="shared" si="2"/>
        <v>17.043618739903067</v>
      </c>
      <c r="O17" s="154" t="s">
        <v>37</v>
      </c>
      <c r="S17" s="78"/>
      <c r="AC17" s="20"/>
      <c r="AD17" s="235"/>
      <c r="AE17" s="5"/>
      <c r="AF17" s="5"/>
      <c r="AG17" s="5"/>
      <c r="AH17" s="5"/>
    </row>
    <row r="18" spans="1:34">
      <c r="A18" s="101" t="s">
        <v>60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323"/>
      <c r="N18" s="323"/>
      <c r="O18" s="324" t="s">
        <v>61</v>
      </c>
      <c r="AC18" s="20"/>
      <c r="AD18" s="5"/>
      <c r="AE18" s="5"/>
      <c r="AH18" s="5"/>
    </row>
    <row r="19" spans="1:34">
      <c r="AC19" s="20"/>
      <c r="AD19" s="5"/>
      <c r="AE19" s="10"/>
      <c r="AF19" s="325" t="s">
        <v>265</v>
      </c>
      <c r="AG19" s="326" t="s">
        <v>266</v>
      </c>
      <c r="AH19" s="5"/>
    </row>
    <row r="20" spans="1:34">
      <c r="A20" s="140"/>
      <c r="AC20" s="20"/>
      <c r="AD20" s="103"/>
      <c r="AE20" s="20" t="s">
        <v>7</v>
      </c>
      <c r="AF20" s="23">
        <v>3270</v>
      </c>
      <c r="AG20" s="320">
        <f>K6</f>
        <v>3522</v>
      </c>
    </row>
    <row r="21" spans="1:34">
      <c r="AC21" s="20"/>
      <c r="AD21" s="103"/>
      <c r="AE21" s="20" t="s">
        <v>10</v>
      </c>
      <c r="AF21" s="23">
        <v>2007</v>
      </c>
      <c r="AG21" s="320">
        <f t="shared" ref="AG21:AG31" si="3">K7</f>
        <v>2108</v>
      </c>
    </row>
    <row r="22" spans="1:34">
      <c r="AC22" s="20"/>
      <c r="AD22" s="103"/>
      <c r="AE22" s="20" t="s">
        <v>12</v>
      </c>
      <c r="AF22" s="23">
        <v>2230</v>
      </c>
      <c r="AG22" s="320">
        <f t="shared" si="3"/>
        <v>2903</v>
      </c>
    </row>
    <row r="23" spans="1:34">
      <c r="AC23" s="20"/>
      <c r="AD23" s="103"/>
      <c r="AE23" s="20" t="s">
        <v>17</v>
      </c>
      <c r="AF23" s="23">
        <v>1787</v>
      </c>
      <c r="AG23" s="320">
        <f t="shared" si="3"/>
        <v>1659</v>
      </c>
    </row>
    <row r="24" spans="1:34">
      <c r="AC24" s="20"/>
      <c r="AD24" s="103"/>
      <c r="AE24" s="20" t="s">
        <v>14</v>
      </c>
      <c r="AF24" s="23">
        <v>753</v>
      </c>
      <c r="AG24" s="320">
        <f t="shared" si="3"/>
        <v>820</v>
      </c>
    </row>
    <row r="25" spans="1:34" ht="17.25">
      <c r="A25" s="104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42"/>
      <c r="N25" s="42"/>
      <c r="O25" s="105"/>
      <c r="AC25" s="20"/>
      <c r="AD25" s="103"/>
      <c r="AE25" s="20" t="s">
        <v>21</v>
      </c>
      <c r="AF25" s="23">
        <v>472</v>
      </c>
      <c r="AG25" s="320">
        <f t="shared" si="3"/>
        <v>456</v>
      </c>
    </row>
    <row r="26" spans="1:34">
      <c r="AC26" s="20"/>
      <c r="AD26" s="103"/>
      <c r="AE26" s="20" t="s">
        <v>19</v>
      </c>
      <c r="AF26" s="23">
        <v>537</v>
      </c>
      <c r="AG26" s="320">
        <f t="shared" si="3"/>
        <v>668</v>
      </c>
    </row>
    <row r="27" spans="1:34">
      <c r="AD27" s="103"/>
      <c r="AE27" s="20" t="s">
        <v>28</v>
      </c>
      <c r="AF27" s="23">
        <v>361</v>
      </c>
      <c r="AG27" s="320">
        <f t="shared" si="3"/>
        <v>507</v>
      </c>
    </row>
    <row r="28" spans="1:34">
      <c r="AD28" s="103"/>
      <c r="AE28" s="20" t="s">
        <v>27</v>
      </c>
      <c r="AF28" s="23">
        <v>516</v>
      </c>
      <c r="AG28" s="320">
        <f t="shared" si="3"/>
        <v>515</v>
      </c>
    </row>
    <row r="29" spans="1:34">
      <c r="AD29" s="103"/>
      <c r="AE29" s="20" t="s">
        <v>30</v>
      </c>
      <c r="AF29" s="23">
        <v>240</v>
      </c>
      <c r="AG29" s="320">
        <f t="shared" si="3"/>
        <v>273</v>
      </c>
    </row>
    <row r="30" spans="1:34">
      <c r="AD30" s="103"/>
      <c r="AE30" s="20" t="s">
        <v>32</v>
      </c>
      <c r="AF30" s="23">
        <v>71</v>
      </c>
      <c r="AG30" s="320">
        <f t="shared" si="3"/>
        <v>94</v>
      </c>
    </row>
    <row r="31" spans="1:34">
      <c r="AD31" s="103"/>
      <c r="AE31" s="151" t="s">
        <v>15</v>
      </c>
      <c r="AF31" s="23">
        <v>2567</v>
      </c>
      <c r="AG31" s="320">
        <f t="shared" si="3"/>
        <v>3101</v>
      </c>
    </row>
  </sheetData>
  <mergeCells count="15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O3:O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H545"/>
  <sheetViews>
    <sheetView workbookViewId="0">
      <selection activeCell="G27" sqref="G27"/>
    </sheetView>
  </sheetViews>
  <sheetFormatPr defaultColWidth="9.140625" defaultRowHeight="12.75"/>
  <cols>
    <col min="1" max="1" width="41.42578125" style="335" customWidth="1"/>
    <col min="2" max="2" width="15.85546875" style="334" customWidth="1"/>
    <col min="3" max="3" width="2" style="335" customWidth="1"/>
    <col min="4" max="6" width="12.28515625" style="335" customWidth="1"/>
    <col min="7" max="7" width="15.85546875" style="335" customWidth="1"/>
    <col min="8" max="8" width="2" style="335" customWidth="1"/>
    <col min="9" max="11" width="12.28515625" style="335" customWidth="1"/>
    <col min="12" max="12" width="31.140625" style="336" bestFit="1" customWidth="1"/>
    <col min="13" max="13" width="2" style="334" customWidth="1"/>
    <col min="14" max="32" width="9.140625" style="334"/>
    <col min="33" max="33" width="12.140625" style="334" customWidth="1"/>
    <col min="34" max="35" width="9.140625" style="334"/>
    <col min="36" max="36" width="14.85546875" style="334" customWidth="1"/>
    <col min="37" max="86" width="9.140625" style="334"/>
    <col min="87" max="16384" width="9.140625" style="335"/>
  </cols>
  <sheetData>
    <row r="1" spans="1:86" s="329" customFormat="1" ht="24.75" customHeight="1">
      <c r="A1" s="1171" t="s">
        <v>282</v>
      </c>
      <c r="B1" s="1171"/>
      <c r="C1" s="1171"/>
      <c r="D1" s="1171"/>
      <c r="E1" s="1171"/>
      <c r="F1" s="1171"/>
      <c r="G1" s="1171"/>
      <c r="H1" s="1171"/>
      <c r="I1" s="1171"/>
      <c r="J1" s="1171"/>
      <c r="K1" s="1171"/>
      <c r="L1" s="1172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  <c r="AK1" s="328"/>
      <c r="AL1" s="328"/>
      <c r="AM1" s="328"/>
      <c r="AN1" s="328"/>
      <c r="AO1" s="328"/>
      <c r="AP1" s="328"/>
      <c r="AQ1" s="328"/>
      <c r="AR1" s="328"/>
      <c r="AS1" s="328"/>
      <c r="AT1" s="328"/>
      <c r="AU1" s="328"/>
      <c r="AV1" s="328"/>
      <c r="AW1" s="328"/>
      <c r="AX1" s="328"/>
      <c r="AY1" s="328"/>
      <c r="AZ1" s="328"/>
      <c r="BA1" s="328"/>
      <c r="BB1" s="328"/>
      <c r="BC1" s="328"/>
      <c r="BD1" s="328"/>
      <c r="BE1" s="328"/>
      <c r="BF1" s="328"/>
      <c r="BG1" s="328"/>
      <c r="BH1" s="328"/>
      <c r="BI1" s="328"/>
      <c r="BJ1" s="328"/>
      <c r="BK1" s="328"/>
      <c r="BL1" s="328"/>
      <c r="BM1" s="328"/>
      <c r="BN1" s="328"/>
      <c r="BO1" s="328"/>
      <c r="BP1" s="328"/>
      <c r="BQ1" s="328"/>
      <c r="BR1" s="328"/>
      <c r="BS1" s="328"/>
      <c r="BT1" s="328"/>
      <c r="BU1" s="328"/>
      <c r="BV1" s="328"/>
      <c r="BW1" s="328"/>
      <c r="BX1" s="328"/>
      <c r="BY1" s="328"/>
      <c r="BZ1" s="328"/>
      <c r="CA1" s="328"/>
      <c r="CB1" s="328"/>
      <c r="CC1" s="328"/>
      <c r="CD1" s="328"/>
      <c r="CE1" s="328"/>
      <c r="CF1" s="328"/>
      <c r="CG1" s="328"/>
      <c r="CH1" s="328"/>
    </row>
    <row r="2" spans="1:86" s="331" customFormat="1" ht="14.25" customHeight="1">
      <c r="A2" s="1173" t="s">
        <v>281</v>
      </c>
      <c r="B2" s="1174"/>
      <c r="C2" s="1174"/>
      <c r="D2" s="1174"/>
      <c r="E2" s="1174"/>
      <c r="F2" s="1174"/>
      <c r="G2" s="1174"/>
      <c r="H2" s="1174"/>
      <c r="I2" s="1174"/>
      <c r="J2" s="1174"/>
      <c r="K2" s="1174"/>
      <c r="L2" s="1174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30"/>
      <c r="AO2" s="330"/>
      <c r="AP2" s="330"/>
      <c r="AQ2" s="330"/>
      <c r="AR2" s="330"/>
      <c r="AS2" s="330"/>
      <c r="AT2" s="330"/>
      <c r="AU2" s="330"/>
      <c r="AV2" s="330"/>
      <c r="AW2" s="330"/>
      <c r="AX2" s="330"/>
      <c r="AY2" s="330"/>
      <c r="AZ2" s="330"/>
      <c r="BA2" s="330"/>
      <c r="BB2" s="330"/>
      <c r="BC2" s="330"/>
      <c r="BD2" s="330"/>
      <c r="BE2" s="330"/>
      <c r="BF2" s="330"/>
      <c r="BG2" s="330"/>
      <c r="BH2" s="330"/>
      <c r="BI2" s="330"/>
      <c r="BJ2" s="330"/>
      <c r="BK2" s="330"/>
      <c r="BL2" s="330"/>
      <c r="BM2" s="330"/>
      <c r="BN2" s="330"/>
      <c r="BO2" s="330"/>
      <c r="BP2" s="330"/>
      <c r="BQ2" s="330"/>
      <c r="BR2" s="330"/>
      <c r="BS2" s="330"/>
      <c r="BT2" s="330"/>
      <c r="BU2" s="330"/>
      <c r="BV2" s="330"/>
      <c r="BW2" s="330"/>
      <c r="BX2" s="330"/>
      <c r="BY2" s="330"/>
      <c r="BZ2" s="330"/>
      <c r="CA2" s="330"/>
      <c r="CB2" s="330"/>
      <c r="CC2" s="330"/>
      <c r="CD2" s="330"/>
      <c r="CE2" s="330"/>
      <c r="CF2" s="330"/>
      <c r="CG2" s="330"/>
      <c r="CH2" s="330"/>
    </row>
    <row r="3" spans="1:86">
      <c r="A3" s="387"/>
      <c r="B3" s="393"/>
      <c r="C3" s="332"/>
      <c r="D3" s="332"/>
      <c r="E3" s="332"/>
      <c r="F3" s="332"/>
      <c r="G3" s="332"/>
      <c r="H3" s="332"/>
      <c r="I3" s="332"/>
      <c r="J3" s="332"/>
      <c r="K3" s="332"/>
      <c r="L3" s="333"/>
    </row>
    <row r="4" spans="1:86" s="338" customFormat="1" ht="19.5" customHeight="1">
      <c r="A4" s="1168" t="s">
        <v>269</v>
      </c>
      <c r="B4" s="1175">
        <v>2017</v>
      </c>
      <c r="C4" s="1175"/>
      <c r="D4" s="1175"/>
      <c r="E4" s="1175"/>
      <c r="F4" s="1176"/>
      <c r="G4" s="1175">
        <v>2018</v>
      </c>
      <c r="H4" s="1175"/>
      <c r="I4" s="1175"/>
      <c r="J4" s="1175"/>
      <c r="K4" s="1177"/>
      <c r="L4" s="1178" t="s">
        <v>270</v>
      </c>
      <c r="M4" s="1162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  <c r="AD4" s="337"/>
      <c r="AE4" s="337"/>
      <c r="AF4" s="337"/>
      <c r="AG4" s="337"/>
      <c r="AH4" s="337"/>
      <c r="AI4" s="337"/>
      <c r="AJ4" s="337"/>
      <c r="AK4" s="337"/>
      <c r="AL4" s="337"/>
      <c r="AM4" s="337"/>
      <c r="AN4" s="337"/>
      <c r="AO4" s="337"/>
      <c r="AP4" s="337"/>
      <c r="AQ4" s="337"/>
      <c r="AR4" s="337"/>
      <c r="AS4" s="337"/>
      <c r="AT4" s="337"/>
      <c r="AU4" s="337"/>
      <c r="AV4" s="337"/>
      <c r="AW4" s="337"/>
      <c r="AX4" s="337"/>
      <c r="AY4" s="337"/>
      <c r="AZ4" s="337"/>
      <c r="BA4" s="337"/>
      <c r="BB4" s="337"/>
      <c r="BC4" s="337"/>
      <c r="BD4" s="337"/>
      <c r="BE4" s="337"/>
      <c r="BF4" s="337"/>
      <c r="BG4" s="337"/>
      <c r="BH4" s="337"/>
      <c r="BI4" s="337"/>
      <c r="BJ4" s="337"/>
      <c r="BK4" s="337"/>
      <c r="BL4" s="337"/>
      <c r="BM4" s="337"/>
      <c r="BN4" s="337"/>
      <c r="BO4" s="337"/>
      <c r="BP4" s="337"/>
      <c r="BQ4" s="337"/>
      <c r="BR4" s="337"/>
      <c r="BS4" s="337"/>
      <c r="BT4" s="337"/>
      <c r="BU4" s="337"/>
      <c r="BV4" s="337"/>
      <c r="BW4" s="337"/>
      <c r="BX4" s="337"/>
      <c r="BY4" s="337"/>
      <c r="BZ4" s="337"/>
      <c r="CA4" s="337"/>
      <c r="CB4" s="337"/>
      <c r="CC4" s="337"/>
      <c r="CD4" s="337"/>
      <c r="CE4" s="337"/>
      <c r="CF4" s="337"/>
      <c r="CG4" s="337"/>
      <c r="CH4" s="337"/>
    </row>
    <row r="5" spans="1:86" s="338" customFormat="1" ht="19.5" customHeight="1">
      <c r="A5" s="1169"/>
      <c r="B5" s="1163" t="s">
        <v>271</v>
      </c>
      <c r="C5" s="339"/>
      <c r="D5" s="1165" t="s">
        <v>272</v>
      </c>
      <c r="E5" s="1165"/>
      <c r="F5" s="1166"/>
      <c r="G5" s="1163" t="s">
        <v>271</v>
      </c>
      <c r="H5" s="339"/>
      <c r="I5" s="1165" t="s">
        <v>272</v>
      </c>
      <c r="J5" s="1165"/>
      <c r="K5" s="1167"/>
      <c r="L5" s="1179"/>
      <c r="M5" s="1162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7"/>
      <c r="AW5" s="337"/>
      <c r="AX5" s="337"/>
      <c r="AY5" s="337"/>
      <c r="AZ5" s="337"/>
      <c r="BA5" s="337"/>
      <c r="BB5" s="337"/>
      <c r="BC5" s="337"/>
      <c r="BD5" s="337"/>
      <c r="BE5" s="337"/>
      <c r="BF5" s="337"/>
      <c r="BG5" s="337"/>
      <c r="BH5" s="337"/>
      <c r="BI5" s="337"/>
      <c r="BJ5" s="337"/>
      <c r="BK5" s="337"/>
      <c r="BL5" s="337"/>
      <c r="BM5" s="337"/>
      <c r="BN5" s="337"/>
      <c r="BO5" s="337"/>
      <c r="BP5" s="337"/>
      <c r="BQ5" s="337"/>
      <c r="BR5" s="337"/>
      <c r="BS5" s="337"/>
      <c r="BT5" s="337"/>
      <c r="BU5" s="337"/>
      <c r="BV5" s="337"/>
      <c r="BW5" s="337"/>
      <c r="BX5" s="337"/>
      <c r="BY5" s="337"/>
      <c r="BZ5" s="337"/>
      <c r="CA5" s="337"/>
      <c r="CB5" s="337"/>
      <c r="CC5" s="337"/>
      <c r="CD5" s="337"/>
      <c r="CE5" s="337"/>
      <c r="CF5" s="337"/>
      <c r="CG5" s="337"/>
      <c r="CH5" s="337"/>
    </row>
    <row r="6" spans="1:86" s="343" customFormat="1" ht="13.5" customHeight="1">
      <c r="A6" s="1169"/>
      <c r="B6" s="1164"/>
      <c r="C6" s="341"/>
      <c r="D6" s="341" t="s">
        <v>273</v>
      </c>
      <c r="E6" s="341" t="s">
        <v>274</v>
      </c>
      <c r="F6" s="340" t="s">
        <v>275</v>
      </c>
      <c r="G6" s="1164"/>
      <c r="H6" s="341"/>
      <c r="I6" s="341" t="s">
        <v>273</v>
      </c>
      <c r="J6" s="341" t="s">
        <v>274</v>
      </c>
      <c r="K6" s="341" t="s">
        <v>275</v>
      </c>
      <c r="L6" s="1180"/>
      <c r="M6" s="116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  <c r="AD6" s="342"/>
      <c r="AE6" s="342"/>
      <c r="AF6" s="342"/>
      <c r="AG6" s="342"/>
      <c r="AH6" s="342"/>
      <c r="AI6" s="342"/>
      <c r="AJ6" s="342"/>
      <c r="AK6" s="342"/>
      <c r="AL6" s="342"/>
      <c r="AM6" s="342"/>
      <c r="AN6" s="342"/>
      <c r="AO6" s="342"/>
      <c r="AP6" s="342"/>
      <c r="AQ6" s="342"/>
      <c r="AR6" s="342"/>
      <c r="AS6" s="342"/>
      <c r="AT6" s="342"/>
      <c r="AU6" s="342"/>
      <c r="AV6" s="342"/>
      <c r="AW6" s="342"/>
      <c r="AX6" s="342"/>
      <c r="AY6" s="342"/>
      <c r="AZ6" s="342"/>
      <c r="BA6" s="342"/>
      <c r="BB6" s="342"/>
      <c r="BC6" s="342"/>
      <c r="BD6" s="342"/>
      <c r="BE6" s="342"/>
      <c r="BF6" s="342"/>
      <c r="BG6" s="342"/>
      <c r="BH6" s="342"/>
      <c r="BI6" s="342"/>
      <c r="BJ6" s="342"/>
      <c r="BK6" s="342"/>
      <c r="BL6" s="342"/>
      <c r="BM6" s="342"/>
      <c r="BN6" s="342"/>
      <c r="BO6" s="342"/>
      <c r="BP6" s="342"/>
      <c r="BQ6" s="342"/>
      <c r="BR6" s="342"/>
      <c r="BS6" s="342"/>
      <c r="BT6" s="342"/>
      <c r="BU6" s="342"/>
      <c r="BV6" s="342"/>
      <c r="BW6" s="342"/>
      <c r="BX6" s="342"/>
      <c r="BY6" s="342"/>
      <c r="BZ6" s="342"/>
      <c r="CA6" s="342"/>
      <c r="CB6" s="342"/>
      <c r="CC6" s="342"/>
      <c r="CD6" s="342"/>
      <c r="CE6" s="342"/>
      <c r="CF6" s="342"/>
      <c r="CG6" s="342"/>
      <c r="CH6" s="342"/>
    </row>
    <row r="7" spans="1:86" s="343" customFormat="1" ht="31.5" customHeight="1">
      <c r="A7" s="1170"/>
      <c r="B7" s="345" t="s">
        <v>276</v>
      </c>
      <c r="C7" s="345"/>
      <c r="D7" s="346" t="s">
        <v>277</v>
      </c>
      <c r="E7" s="346" t="s">
        <v>278</v>
      </c>
      <c r="F7" s="395" t="s">
        <v>279</v>
      </c>
      <c r="G7" s="344" t="s">
        <v>276</v>
      </c>
      <c r="H7" s="345"/>
      <c r="I7" s="346" t="s">
        <v>277</v>
      </c>
      <c r="J7" s="346" t="s">
        <v>278</v>
      </c>
      <c r="K7" s="346" t="s">
        <v>279</v>
      </c>
      <c r="L7" s="1181"/>
      <c r="M7" s="1162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  <c r="AD7" s="342"/>
      <c r="AE7" s="342"/>
      <c r="AF7" s="342"/>
      <c r="AG7" s="342"/>
      <c r="AH7" s="342"/>
      <c r="AI7" s="342"/>
      <c r="AJ7" s="342"/>
      <c r="AK7" s="342"/>
      <c r="AL7" s="342"/>
      <c r="AM7" s="342"/>
      <c r="AN7" s="342"/>
      <c r="AO7" s="342"/>
      <c r="AP7" s="342"/>
      <c r="AQ7" s="342"/>
      <c r="AR7" s="342"/>
      <c r="AS7" s="342"/>
      <c r="AT7" s="342"/>
      <c r="AU7" s="342"/>
      <c r="AV7" s="342"/>
      <c r="AW7" s="342"/>
      <c r="AX7" s="342"/>
      <c r="AY7" s="342"/>
      <c r="AZ7" s="342"/>
      <c r="BA7" s="342"/>
      <c r="BB7" s="342"/>
      <c r="BC7" s="342"/>
      <c r="BD7" s="342"/>
      <c r="BE7" s="342"/>
      <c r="BF7" s="342"/>
      <c r="BG7" s="342"/>
      <c r="BH7" s="342"/>
      <c r="BI7" s="342"/>
      <c r="BJ7" s="342"/>
      <c r="BK7" s="342"/>
      <c r="BL7" s="342"/>
      <c r="BM7" s="342"/>
      <c r="BN7" s="342"/>
      <c r="BO7" s="342"/>
      <c r="BP7" s="342"/>
      <c r="BQ7" s="342"/>
      <c r="BR7" s="342"/>
      <c r="BS7" s="342"/>
      <c r="BT7" s="342"/>
      <c r="BU7" s="342"/>
      <c r="BV7" s="342"/>
      <c r="BW7" s="342"/>
      <c r="BX7" s="342"/>
      <c r="BY7" s="342"/>
      <c r="BZ7" s="342"/>
      <c r="CA7" s="342"/>
      <c r="CB7" s="342"/>
      <c r="CC7" s="342"/>
      <c r="CD7" s="342"/>
      <c r="CE7" s="342"/>
      <c r="CF7" s="342"/>
      <c r="CG7" s="342"/>
      <c r="CH7" s="342"/>
    </row>
    <row r="8" spans="1:86" s="354" customFormat="1" ht="21.75" customHeight="1">
      <c r="A8" s="388" t="s">
        <v>8</v>
      </c>
      <c r="B8" s="348">
        <f>SUM(B9:B20)</f>
        <v>15535</v>
      </c>
      <c r="C8" s="348"/>
      <c r="D8" s="349">
        <f>SUM(E8:F8)</f>
        <v>3961</v>
      </c>
      <c r="E8" s="349">
        <f>SUM(E9:E20)</f>
        <v>3811</v>
      </c>
      <c r="F8" s="349">
        <f>SUM(F9:F20)</f>
        <v>150</v>
      </c>
      <c r="G8" s="347">
        <f>SUM(G9:G20)</f>
        <v>14811</v>
      </c>
      <c r="H8" s="348"/>
      <c r="I8" s="349">
        <f>SUM(J8:K8)</f>
        <v>2878</v>
      </c>
      <c r="J8" s="349">
        <f>SUM(J9:J20)</f>
        <v>2801</v>
      </c>
      <c r="K8" s="349">
        <f>SUM(K9:K20)</f>
        <v>77</v>
      </c>
      <c r="L8" s="350" t="s">
        <v>141</v>
      </c>
      <c r="M8" s="351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2"/>
      <c r="Z8" s="352"/>
      <c r="AA8" s="352"/>
      <c r="AB8" s="352"/>
      <c r="AC8" s="352"/>
      <c r="AD8" s="352"/>
      <c r="AE8" s="352"/>
      <c r="AF8" s="353"/>
      <c r="AG8" s="353"/>
      <c r="AH8" s="353"/>
      <c r="AI8" s="10"/>
      <c r="AJ8" s="245"/>
      <c r="AK8" s="245"/>
      <c r="AL8" s="245"/>
      <c r="AM8" s="245"/>
      <c r="AN8" s="245"/>
      <c r="AO8" s="245"/>
      <c r="AP8" s="245"/>
      <c r="AQ8" s="245"/>
      <c r="AR8" s="245"/>
      <c r="AS8" s="245"/>
      <c r="AT8" s="245"/>
      <c r="AU8" s="245"/>
      <c r="AV8" s="245"/>
      <c r="AW8" s="245"/>
      <c r="AX8" s="245"/>
      <c r="AY8" s="245"/>
      <c r="AZ8" s="245"/>
      <c r="BA8" s="245"/>
      <c r="BB8" s="245"/>
      <c r="BC8" s="245"/>
      <c r="BD8" s="245"/>
      <c r="BE8" s="245"/>
      <c r="BF8" s="245"/>
      <c r="BG8" s="245"/>
      <c r="BH8" s="245"/>
      <c r="BI8" s="245"/>
      <c r="BJ8" s="245"/>
      <c r="BK8" s="245"/>
      <c r="BL8" s="245"/>
      <c r="BM8" s="245"/>
      <c r="BN8" s="245"/>
      <c r="BO8" s="245"/>
      <c r="BP8" s="245"/>
      <c r="BQ8" s="245"/>
      <c r="BR8" s="245"/>
      <c r="BS8" s="245"/>
      <c r="BT8" s="245"/>
      <c r="BU8" s="245"/>
      <c r="BV8" s="245"/>
      <c r="BW8" s="245"/>
      <c r="BX8" s="245"/>
      <c r="BY8" s="245"/>
      <c r="BZ8" s="245"/>
      <c r="CA8" s="245"/>
      <c r="CB8" s="245"/>
      <c r="CC8" s="245"/>
      <c r="CD8" s="245"/>
      <c r="CE8" s="245"/>
      <c r="CF8" s="245"/>
      <c r="CG8" s="245"/>
      <c r="CH8" s="245"/>
    </row>
    <row r="9" spans="1:86" s="362" customFormat="1" ht="19.5" customHeight="1">
      <c r="A9" s="389" t="s">
        <v>14</v>
      </c>
      <c r="B9" s="356">
        <v>770</v>
      </c>
      <c r="C9" s="356"/>
      <c r="D9" s="357">
        <f>SUM(E9:F9)</f>
        <v>505</v>
      </c>
      <c r="E9" s="358">
        <v>498</v>
      </c>
      <c r="F9" s="358">
        <v>7</v>
      </c>
      <c r="G9" s="359">
        <v>753</v>
      </c>
      <c r="H9" s="356"/>
      <c r="I9" s="357">
        <f>SUM(J9:K9)</f>
        <v>411</v>
      </c>
      <c r="J9" s="358">
        <v>407</v>
      </c>
      <c r="K9" s="358">
        <v>4</v>
      </c>
      <c r="L9" s="360" t="s">
        <v>20</v>
      </c>
      <c r="M9" s="361"/>
      <c r="N9" s="352"/>
      <c r="O9" s="352"/>
      <c r="P9" s="352"/>
      <c r="Q9" s="352"/>
      <c r="R9" s="352"/>
      <c r="S9" s="352"/>
      <c r="T9" s="352"/>
      <c r="U9" s="352"/>
      <c r="V9" s="352"/>
      <c r="W9" s="352"/>
      <c r="X9" s="352"/>
      <c r="Y9" s="352"/>
      <c r="Z9" s="352"/>
      <c r="AA9" s="352"/>
      <c r="AB9" s="352"/>
      <c r="AC9" s="352"/>
      <c r="AD9" s="352"/>
      <c r="AE9" s="352"/>
      <c r="AF9" s="353"/>
      <c r="AG9" s="353"/>
      <c r="AH9" s="353"/>
      <c r="AI9" s="20"/>
      <c r="AJ9" s="353"/>
      <c r="AK9" s="353"/>
      <c r="AL9" s="353"/>
      <c r="AM9" s="353"/>
      <c r="AN9" s="353"/>
      <c r="AO9" s="353"/>
      <c r="AP9" s="353"/>
      <c r="AQ9" s="353"/>
      <c r="AR9" s="353"/>
      <c r="AS9" s="353"/>
      <c r="AT9" s="353"/>
      <c r="AU9" s="353"/>
      <c r="AV9" s="353"/>
      <c r="AW9" s="353"/>
      <c r="AX9" s="353"/>
      <c r="AY9" s="353"/>
      <c r="AZ9" s="353"/>
      <c r="BA9" s="353"/>
      <c r="BB9" s="353"/>
      <c r="BC9" s="353"/>
      <c r="BD9" s="353"/>
      <c r="BE9" s="353"/>
      <c r="BF9" s="353"/>
      <c r="BG9" s="353"/>
      <c r="BH9" s="353"/>
      <c r="BI9" s="353"/>
      <c r="BJ9" s="353"/>
      <c r="BK9" s="353"/>
      <c r="BL9" s="353"/>
      <c r="BM9" s="353"/>
      <c r="BN9" s="353"/>
      <c r="BO9" s="353"/>
      <c r="BP9" s="353"/>
      <c r="BQ9" s="353"/>
      <c r="BR9" s="353"/>
      <c r="BS9" s="353"/>
      <c r="BT9" s="353"/>
      <c r="BU9" s="353"/>
      <c r="BV9" s="353"/>
      <c r="BW9" s="353"/>
      <c r="BX9" s="353"/>
      <c r="BY9" s="353"/>
      <c r="BZ9" s="353"/>
      <c r="CA9" s="353"/>
      <c r="CB9" s="353"/>
      <c r="CC9" s="353"/>
      <c r="CD9" s="353"/>
      <c r="CE9" s="353"/>
      <c r="CF9" s="353"/>
      <c r="CG9" s="353"/>
      <c r="CH9" s="353"/>
    </row>
    <row r="10" spans="1:86" s="362" customFormat="1" ht="19.5" customHeight="1">
      <c r="A10" s="389" t="s">
        <v>7</v>
      </c>
      <c r="B10" s="356">
        <v>3503</v>
      </c>
      <c r="C10" s="356"/>
      <c r="D10" s="357">
        <f t="shared" ref="D10:D19" si="0">SUM(E10:F10)</f>
        <v>772</v>
      </c>
      <c r="E10" s="358">
        <v>754</v>
      </c>
      <c r="F10" s="358">
        <v>18</v>
      </c>
      <c r="G10" s="359">
        <v>3270</v>
      </c>
      <c r="H10" s="356"/>
      <c r="I10" s="357">
        <f t="shared" ref="I10:I19" si="1">SUM(J10:K10)</f>
        <v>707</v>
      </c>
      <c r="J10" s="358">
        <v>700</v>
      </c>
      <c r="K10" s="358">
        <v>7</v>
      </c>
      <c r="L10" s="360" t="s">
        <v>11</v>
      </c>
      <c r="M10" s="361"/>
      <c r="N10" s="352"/>
      <c r="O10" s="352"/>
      <c r="P10" s="352"/>
      <c r="Q10" s="352"/>
      <c r="R10" s="352"/>
      <c r="S10" s="352"/>
      <c r="T10" s="352"/>
      <c r="U10" s="352"/>
      <c r="V10" s="352"/>
      <c r="W10" s="352"/>
      <c r="X10" s="352"/>
      <c r="Y10" s="352"/>
      <c r="Z10" s="352"/>
      <c r="AA10" s="352"/>
      <c r="AB10" s="352"/>
      <c r="AC10" s="352"/>
      <c r="AD10" s="352"/>
      <c r="AE10" s="352"/>
      <c r="AF10" s="353"/>
      <c r="AG10" s="353"/>
      <c r="AH10" s="353"/>
      <c r="AI10" s="20"/>
      <c r="AJ10" s="353"/>
      <c r="AK10" s="353"/>
      <c r="AL10" s="353"/>
      <c r="AM10" s="353"/>
      <c r="AN10" s="353"/>
      <c r="AO10" s="353"/>
      <c r="AP10" s="353"/>
      <c r="AQ10" s="353"/>
      <c r="AR10" s="353"/>
      <c r="AS10" s="353"/>
      <c r="AT10" s="353"/>
      <c r="AU10" s="353"/>
      <c r="AV10" s="353"/>
      <c r="AW10" s="353"/>
      <c r="AX10" s="353"/>
      <c r="AY10" s="353"/>
      <c r="AZ10" s="353"/>
      <c r="BA10" s="353"/>
      <c r="BB10" s="353"/>
      <c r="BC10" s="353"/>
      <c r="BD10" s="353"/>
      <c r="BE10" s="353"/>
      <c r="BF10" s="353"/>
      <c r="BG10" s="353"/>
      <c r="BH10" s="353"/>
      <c r="BI10" s="353"/>
      <c r="BJ10" s="353"/>
      <c r="BK10" s="353"/>
      <c r="BL10" s="353"/>
      <c r="BM10" s="353"/>
      <c r="BN10" s="353"/>
      <c r="BO10" s="353"/>
      <c r="BP10" s="353"/>
      <c r="BQ10" s="353"/>
      <c r="BR10" s="353"/>
      <c r="BS10" s="353"/>
      <c r="BT10" s="353"/>
      <c r="BU10" s="353"/>
      <c r="BV10" s="353"/>
      <c r="BW10" s="353"/>
      <c r="BX10" s="353"/>
      <c r="BY10" s="353"/>
      <c r="BZ10" s="353"/>
      <c r="CA10" s="353"/>
      <c r="CB10" s="353"/>
      <c r="CC10" s="353"/>
      <c r="CD10" s="353"/>
      <c r="CE10" s="353"/>
      <c r="CF10" s="353"/>
      <c r="CG10" s="353"/>
      <c r="CH10" s="353"/>
    </row>
    <row r="11" spans="1:86" s="362" customFormat="1" ht="19.5" customHeight="1">
      <c r="A11" s="389" t="s">
        <v>19</v>
      </c>
      <c r="B11" s="356">
        <v>662</v>
      </c>
      <c r="C11" s="356"/>
      <c r="D11" s="357">
        <f t="shared" si="0"/>
        <v>167</v>
      </c>
      <c r="E11" s="358">
        <v>151</v>
      </c>
      <c r="F11" s="358">
        <v>16</v>
      </c>
      <c r="G11" s="359">
        <v>537</v>
      </c>
      <c r="H11" s="356"/>
      <c r="I11" s="357">
        <f t="shared" si="1"/>
        <v>98</v>
      </c>
      <c r="J11" s="358">
        <v>90</v>
      </c>
      <c r="K11" s="358">
        <v>8</v>
      </c>
      <c r="L11" s="360" t="s">
        <v>25</v>
      </c>
      <c r="M11" s="361"/>
      <c r="N11" s="352"/>
      <c r="O11" s="352"/>
      <c r="P11" s="352"/>
      <c r="Q11" s="352"/>
      <c r="R11" s="352"/>
      <c r="S11" s="352"/>
      <c r="T11" s="352"/>
      <c r="U11" s="352"/>
      <c r="V11" s="352"/>
      <c r="W11" s="352"/>
      <c r="X11" s="352"/>
      <c r="Y11" s="352"/>
      <c r="Z11" s="352"/>
      <c r="AA11" s="352"/>
      <c r="AB11" s="352"/>
      <c r="AC11" s="352"/>
      <c r="AD11" s="352"/>
      <c r="AE11" s="352"/>
      <c r="AF11" s="353"/>
      <c r="AG11" s="353"/>
      <c r="AH11" s="353"/>
      <c r="AI11" s="20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353"/>
      <c r="AV11" s="353"/>
      <c r="AW11" s="353"/>
      <c r="AX11" s="353"/>
      <c r="AY11" s="353"/>
      <c r="AZ11" s="353"/>
      <c r="BA11" s="353"/>
      <c r="BB11" s="353"/>
      <c r="BC11" s="353"/>
      <c r="BD11" s="353"/>
      <c r="BE11" s="353"/>
      <c r="BF11" s="353"/>
      <c r="BG11" s="353"/>
      <c r="BH11" s="353"/>
      <c r="BI11" s="353"/>
      <c r="BJ11" s="353"/>
      <c r="BK11" s="353"/>
      <c r="BL11" s="353"/>
      <c r="BM11" s="353"/>
      <c r="BN11" s="353"/>
      <c r="BO11" s="353"/>
      <c r="BP11" s="353"/>
      <c r="BQ11" s="353"/>
      <c r="BR11" s="353"/>
      <c r="BS11" s="353"/>
      <c r="BT11" s="353"/>
      <c r="BU11" s="353"/>
      <c r="BV11" s="353"/>
      <c r="BW11" s="353"/>
      <c r="BX11" s="353"/>
      <c r="BY11" s="353"/>
      <c r="BZ11" s="353"/>
      <c r="CA11" s="353"/>
      <c r="CB11" s="353"/>
      <c r="CC11" s="353"/>
      <c r="CD11" s="353"/>
      <c r="CE11" s="353"/>
      <c r="CF11" s="353"/>
      <c r="CG11" s="353"/>
      <c r="CH11" s="353"/>
    </row>
    <row r="12" spans="1:86" s="362" customFormat="1" ht="19.5" customHeight="1">
      <c r="A12" s="389" t="s">
        <v>12</v>
      </c>
      <c r="B12" s="356">
        <v>2038</v>
      </c>
      <c r="C12" s="356"/>
      <c r="D12" s="357">
        <f t="shared" si="0"/>
        <v>1690</v>
      </c>
      <c r="E12" s="358">
        <v>1612</v>
      </c>
      <c r="F12" s="358">
        <v>78</v>
      </c>
      <c r="G12" s="359">
        <v>2230</v>
      </c>
      <c r="H12" s="356"/>
      <c r="I12" s="357">
        <f t="shared" si="1"/>
        <v>1043</v>
      </c>
      <c r="J12" s="358">
        <v>1008</v>
      </c>
      <c r="K12" s="358">
        <v>35</v>
      </c>
      <c r="L12" s="360" t="s">
        <v>16</v>
      </c>
      <c r="M12" s="361"/>
      <c r="N12" s="352"/>
      <c r="O12" s="352"/>
      <c r="P12" s="352"/>
      <c r="Q12" s="352"/>
      <c r="R12" s="352"/>
      <c r="S12" s="352"/>
      <c r="T12" s="352"/>
      <c r="U12" s="352"/>
      <c r="V12" s="352"/>
      <c r="W12" s="352"/>
      <c r="X12" s="352"/>
      <c r="Y12" s="352"/>
      <c r="Z12" s="352"/>
      <c r="AA12" s="352"/>
      <c r="AB12" s="352"/>
      <c r="AC12" s="352"/>
      <c r="AD12" s="352"/>
      <c r="AE12" s="352"/>
      <c r="AF12" s="353"/>
      <c r="AG12" s="353"/>
      <c r="AH12" s="353"/>
      <c r="AI12" s="20"/>
      <c r="AJ12" s="353"/>
      <c r="AK12" s="353"/>
      <c r="AL12" s="353"/>
      <c r="AM12" s="353"/>
      <c r="AN12" s="353"/>
      <c r="AO12" s="353"/>
      <c r="AP12" s="353"/>
      <c r="AQ12" s="353"/>
      <c r="AR12" s="353"/>
      <c r="AS12" s="353"/>
      <c r="AT12" s="353"/>
      <c r="AU12" s="353"/>
      <c r="AV12" s="353"/>
      <c r="AW12" s="353"/>
      <c r="AX12" s="353"/>
      <c r="AY12" s="353"/>
      <c r="AZ12" s="353"/>
      <c r="BA12" s="353"/>
      <c r="BB12" s="353"/>
      <c r="BC12" s="353"/>
      <c r="BD12" s="353"/>
      <c r="BE12" s="353"/>
      <c r="BF12" s="353"/>
      <c r="BG12" s="353"/>
      <c r="BH12" s="353"/>
      <c r="BI12" s="353"/>
      <c r="BJ12" s="353"/>
      <c r="BK12" s="353"/>
      <c r="BL12" s="353"/>
      <c r="BM12" s="353"/>
      <c r="BN12" s="353"/>
      <c r="BO12" s="353"/>
      <c r="BP12" s="353"/>
      <c r="BQ12" s="353"/>
      <c r="BR12" s="353"/>
      <c r="BS12" s="353"/>
      <c r="BT12" s="353"/>
      <c r="BU12" s="353"/>
      <c r="BV12" s="353"/>
      <c r="BW12" s="353"/>
      <c r="BX12" s="353"/>
      <c r="BY12" s="353"/>
      <c r="BZ12" s="353"/>
      <c r="CA12" s="353"/>
      <c r="CB12" s="353"/>
      <c r="CC12" s="353"/>
      <c r="CD12" s="353"/>
      <c r="CE12" s="353"/>
      <c r="CF12" s="353"/>
      <c r="CG12" s="353"/>
      <c r="CH12" s="353"/>
    </row>
    <row r="13" spans="1:86" s="362" customFormat="1" ht="19.5" customHeight="1">
      <c r="A13" s="389" t="s">
        <v>23</v>
      </c>
      <c r="B13" s="356">
        <v>417</v>
      </c>
      <c r="C13" s="356"/>
      <c r="D13" s="357">
        <f t="shared" si="0"/>
        <v>190</v>
      </c>
      <c r="E13" s="358">
        <v>177</v>
      </c>
      <c r="F13" s="358">
        <v>13</v>
      </c>
      <c r="G13" s="359">
        <v>361</v>
      </c>
      <c r="H13" s="356"/>
      <c r="I13" s="357">
        <f t="shared" si="1"/>
        <v>137</v>
      </c>
      <c r="J13" s="358">
        <v>129</v>
      </c>
      <c r="K13" s="358">
        <v>8</v>
      </c>
      <c r="L13" s="360" t="s">
        <v>280</v>
      </c>
      <c r="M13" s="361"/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352"/>
      <c r="AC13" s="352"/>
      <c r="AD13" s="352"/>
      <c r="AE13" s="352"/>
      <c r="AF13" s="353"/>
      <c r="AG13" s="353"/>
      <c r="AH13" s="353"/>
      <c r="AI13" s="20"/>
      <c r="AJ13" s="353"/>
      <c r="AK13" s="353"/>
      <c r="AL13" s="353"/>
      <c r="AM13" s="353"/>
      <c r="AN13" s="353"/>
      <c r="AO13" s="353"/>
      <c r="AP13" s="353"/>
      <c r="AQ13" s="353"/>
      <c r="AR13" s="353"/>
      <c r="AS13" s="353"/>
      <c r="AT13" s="353"/>
      <c r="AU13" s="353"/>
      <c r="AV13" s="353"/>
      <c r="AW13" s="353"/>
      <c r="AX13" s="353"/>
      <c r="AY13" s="353"/>
      <c r="AZ13" s="353"/>
      <c r="BA13" s="353"/>
      <c r="BB13" s="353"/>
      <c r="BC13" s="353"/>
      <c r="BD13" s="353"/>
      <c r="BE13" s="353"/>
      <c r="BF13" s="353"/>
      <c r="BG13" s="353"/>
      <c r="BH13" s="353"/>
      <c r="BI13" s="353"/>
      <c r="BJ13" s="353"/>
      <c r="BK13" s="353"/>
      <c r="BL13" s="353"/>
      <c r="BM13" s="353"/>
      <c r="BN13" s="353"/>
      <c r="BO13" s="353"/>
      <c r="BP13" s="353"/>
      <c r="BQ13" s="353"/>
      <c r="BR13" s="353"/>
      <c r="BS13" s="353"/>
      <c r="BT13" s="353"/>
      <c r="BU13" s="353"/>
      <c r="BV13" s="353"/>
      <c r="BW13" s="353"/>
      <c r="BX13" s="353"/>
      <c r="BY13" s="353"/>
      <c r="BZ13" s="353"/>
      <c r="CA13" s="353"/>
      <c r="CB13" s="353"/>
      <c r="CC13" s="353"/>
      <c r="CD13" s="353"/>
      <c r="CE13" s="353"/>
      <c r="CF13" s="353"/>
      <c r="CG13" s="353"/>
      <c r="CH13" s="353"/>
    </row>
    <row r="14" spans="1:86" s="362" customFormat="1" ht="19.5" customHeight="1">
      <c r="A14" s="389" t="s">
        <v>10</v>
      </c>
      <c r="B14" s="356">
        <v>2105</v>
      </c>
      <c r="C14" s="356"/>
      <c r="D14" s="357">
        <f t="shared" si="0"/>
        <v>3</v>
      </c>
      <c r="E14" s="358">
        <v>3</v>
      </c>
      <c r="F14" s="358">
        <v>0</v>
      </c>
      <c r="G14" s="359">
        <v>2007</v>
      </c>
      <c r="H14" s="356"/>
      <c r="I14" s="357">
        <f t="shared" si="1"/>
        <v>3</v>
      </c>
      <c r="J14" s="358">
        <v>3</v>
      </c>
      <c r="K14" s="358">
        <v>0</v>
      </c>
      <c r="L14" s="360" t="s">
        <v>13</v>
      </c>
      <c r="M14" s="361"/>
      <c r="N14" s="352"/>
      <c r="O14" s="352"/>
      <c r="P14" s="352"/>
      <c r="Q14" s="352"/>
      <c r="R14" s="352"/>
      <c r="S14" s="352"/>
      <c r="T14" s="352"/>
      <c r="U14" s="352"/>
      <c r="V14" s="352"/>
      <c r="W14" s="352"/>
      <c r="X14" s="352"/>
      <c r="Y14" s="352"/>
      <c r="Z14" s="352"/>
      <c r="AA14" s="352"/>
      <c r="AB14" s="352"/>
      <c r="AC14" s="352"/>
      <c r="AD14" s="352"/>
      <c r="AE14" s="352"/>
      <c r="AF14" s="353"/>
      <c r="AG14" s="353"/>
      <c r="AH14" s="353"/>
      <c r="AI14" s="20"/>
      <c r="AJ14" s="353"/>
      <c r="AK14" s="353"/>
      <c r="AL14" s="353"/>
      <c r="AM14" s="353"/>
      <c r="AN14" s="353"/>
      <c r="AO14" s="353"/>
      <c r="AP14" s="353"/>
      <c r="AQ14" s="353"/>
      <c r="AR14" s="353"/>
      <c r="AS14" s="353"/>
      <c r="AT14" s="353"/>
      <c r="AU14" s="353"/>
      <c r="AV14" s="353"/>
      <c r="AW14" s="353"/>
      <c r="AX14" s="353"/>
      <c r="AY14" s="353"/>
      <c r="AZ14" s="353"/>
      <c r="BA14" s="353"/>
      <c r="BB14" s="353"/>
      <c r="BC14" s="353"/>
      <c r="BD14" s="353"/>
      <c r="BE14" s="353"/>
      <c r="BF14" s="353"/>
      <c r="BG14" s="353"/>
      <c r="BH14" s="353"/>
      <c r="BI14" s="353"/>
      <c r="BJ14" s="353"/>
      <c r="BK14" s="353"/>
      <c r="BL14" s="353"/>
      <c r="BM14" s="353"/>
      <c r="BN14" s="353"/>
      <c r="BO14" s="353"/>
      <c r="BP14" s="353"/>
      <c r="BQ14" s="353"/>
      <c r="BR14" s="353"/>
      <c r="BS14" s="353"/>
      <c r="BT14" s="353"/>
      <c r="BU14" s="353"/>
      <c r="BV14" s="353"/>
      <c r="BW14" s="353"/>
      <c r="BX14" s="353"/>
      <c r="BY14" s="353"/>
      <c r="BZ14" s="353"/>
      <c r="CA14" s="353"/>
      <c r="CB14" s="353"/>
      <c r="CC14" s="353"/>
      <c r="CD14" s="353"/>
      <c r="CE14" s="353"/>
      <c r="CF14" s="353"/>
      <c r="CG14" s="353"/>
      <c r="CH14" s="353"/>
    </row>
    <row r="15" spans="1:86" s="362" customFormat="1" ht="19.5" customHeight="1">
      <c r="A15" s="389" t="s">
        <v>30</v>
      </c>
      <c r="B15" s="356">
        <v>279</v>
      </c>
      <c r="C15" s="356"/>
      <c r="D15" s="357">
        <f t="shared" si="0"/>
        <v>23</v>
      </c>
      <c r="E15" s="358">
        <v>19</v>
      </c>
      <c r="F15" s="358">
        <v>4</v>
      </c>
      <c r="G15" s="359">
        <v>240</v>
      </c>
      <c r="H15" s="356"/>
      <c r="I15" s="357">
        <f t="shared" si="1"/>
        <v>12</v>
      </c>
      <c r="J15" s="358">
        <v>10</v>
      </c>
      <c r="K15" s="358">
        <v>2</v>
      </c>
      <c r="L15" s="360" t="s">
        <v>33</v>
      </c>
      <c r="M15" s="361"/>
      <c r="N15" s="352"/>
      <c r="O15" s="352"/>
      <c r="P15" s="352"/>
      <c r="Q15" s="352"/>
      <c r="R15" s="352"/>
      <c r="S15" s="352"/>
      <c r="T15" s="352"/>
      <c r="U15" s="352"/>
      <c r="V15" s="352"/>
      <c r="W15" s="352"/>
      <c r="X15" s="352"/>
      <c r="Y15" s="352"/>
      <c r="Z15" s="352"/>
      <c r="AA15" s="352"/>
      <c r="AB15" s="352"/>
      <c r="AC15" s="352"/>
      <c r="AD15" s="352"/>
      <c r="AE15" s="352"/>
      <c r="AF15" s="353"/>
      <c r="AG15" s="353"/>
      <c r="AH15" s="353"/>
      <c r="AI15" s="20"/>
      <c r="AJ15" s="353"/>
      <c r="AK15" s="353"/>
      <c r="AL15" s="353"/>
      <c r="AM15" s="353"/>
      <c r="AN15" s="353"/>
      <c r="AO15" s="353"/>
      <c r="AP15" s="353"/>
      <c r="AQ15" s="353"/>
      <c r="AR15" s="353"/>
      <c r="AS15" s="353"/>
      <c r="AT15" s="353"/>
      <c r="AU15" s="353"/>
      <c r="AV15" s="353"/>
      <c r="AW15" s="353"/>
      <c r="AX15" s="353"/>
      <c r="AY15" s="353"/>
      <c r="AZ15" s="353"/>
      <c r="BA15" s="353"/>
      <c r="BB15" s="353"/>
      <c r="BC15" s="353"/>
      <c r="BD15" s="353"/>
      <c r="BE15" s="353"/>
      <c r="BF15" s="353"/>
      <c r="BG15" s="353"/>
      <c r="BH15" s="353"/>
      <c r="BI15" s="353"/>
      <c r="BJ15" s="353"/>
      <c r="BK15" s="353"/>
      <c r="BL15" s="353"/>
      <c r="BM15" s="353"/>
      <c r="BN15" s="353"/>
      <c r="BO15" s="353"/>
      <c r="BP15" s="353"/>
      <c r="BQ15" s="353"/>
      <c r="BR15" s="353"/>
      <c r="BS15" s="353"/>
      <c r="BT15" s="353"/>
      <c r="BU15" s="353"/>
      <c r="BV15" s="353"/>
      <c r="BW15" s="353"/>
      <c r="BX15" s="353"/>
      <c r="BY15" s="353"/>
      <c r="BZ15" s="353"/>
      <c r="CA15" s="353"/>
      <c r="CB15" s="353"/>
      <c r="CC15" s="353"/>
      <c r="CD15" s="353"/>
      <c r="CE15" s="353"/>
      <c r="CF15" s="353"/>
      <c r="CG15" s="353"/>
      <c r="CH15" s="353"/>
    </row>
    <row r="16" spans="1:86" s="362" customFormat="1" ht="19.5" customHeight="1">
      <c r="A16" s="390" t="s">
        <v>32</v>
      </c>
      <c r="B16" s="356">
        <v>86</v>
      </c>
      <c r="C16" s="356"/>
      <c r="D16" s="357">
        <f t="shared" si="0"/>
        <v>7</v>
      </c>
      <c r="E16" s="358">
        <v>7</v>
      </c>
      <c r="F16" s="358">
        <v>0</v>
      </c>
      <c r="G16" s="359">
        <v>71</v>
      </c>
      <c r="H16" s="356"/>
      <c r="I16" s="357">
        <f t="shared" si="1"/>
        <v>1</v>
      </c>
      <c r="J16" s="358">
        <v>1</v>
      </c>
      <c r="K16" s="358">
        <v>0</v>
      </c>
      <c r="L16" s="360" t="s">
        <v>143</v>
      </c>
      <c r="M16" s="361"/>
      <c r="N16" s="352"/>
      <c r="O16" s="352"/>
      <c r="P16" s="352"/>
      <c r="Q16" s="352"/>
      <c r="R16" s="352"/>
      <c r="S16" s="352"/>
      <c r="T16" s="352"/>
      <c r="U16" s="352"/>
      <c r="V16" s="352"/>
      <c r="W16" s="352"/>
      <c r="X16" s="352"/>
      <c r="Y16" s="352"/>
      <c r="Z16" s="352"/>
      <c r="AA16" s="352"/>
      <c r="AB16" s="352"/>
      <c r="AC16" s="352"/>
      <c r="AD16" s="352"/>
      <c r="AE16" s="352"/>
      <c r="AF16" s="353"/>
      <c r="AG16" s="353"/>
      <c r="AH16" s="353"/>
      <c r="AI16" s="20"/>
      <c r="AJ16" s="353"/>
      <c r="AK16" s="353"/>
      <c r="AL16" s="353"/>
      <c r="AM16" s="353"/>
      <c r="AN16" s="353"/>
      <c r="AO16" s="353"/>
      <c r="AP16" s="353"/>
      <c r="AQ16" s="353"/>
      <c r="AR16" s="353"/>
      <c r="AS16" s="353"/>
      <c r="AT16" s="353"/>
      <c r="AU16" s="353"/>
      <c r="AV16" s="353"/>
      <c r="AW16" s="353"/>
      <c r="AX16" s="353"/>
      <c r="AY16" s="353"/>
      <c r="AZ16" s="353"/>
      <c r="BA16" s="353"/>
      <c r="BB16" s="353"/>
      <c r="BC16" s="353"/>
      <c r="BD16" s="353"/>
      <c r="BE16" s="353"/>
      <c r="BF16" s="353"/>
      <c r="BG16" s="353"/>
      <c r="BH16" s="353"/>
      <c r="BI16" s="353"/>
      <c r="BJ16" s="353"/>
      <c r="BK16" s="353"/>
      <c r="BL16" s="353"/>
      <c r="BM16" s="353"/>
      <c r="BN16" s="353"/>
      <c r="BO16" s="353"/>
      <c r="BP16" s="353"/>
      <c r="BQ16" s="353"/>
      <c r="BR16" s="353"/>
      <c r="BS16" s="353"/>
      <c r="BT16" s="353"/>
      <c r="BU16" s="353"/>
      <c r="BV16" s="353"/>
      <c r="BW16" s="353"/>
      <c r="BX16" s="353"/>
      <c r="BY16" s="353"/>
      <c r="BZ16" s="353"/>
      <c r="CA16" s="353"/>
      <c r="CB16" s="353"/>
      <c r="CC16" s="353"/>
      <c r="CD16" s="353"/>
      <c r="CE16" s="353"/>
      <c r="CF16" s="353"/>
      <c r="CG16" s="353"/>
      <c r="CH16" s="353"/>
    </row>
    <row r="17" spans="1:86" s="362" customFormat="1" ht="19.5" customHeight="1">
      <c r="A17" s="389" t="s">
        <v>21</v>
      </c>
      <c r="B17" s="356">
        <v>455</v>
      </c>
      <c r="C17" s="356"/>
      <c r="D17" s="357">
        <f t="shared" si="0"/>
        <v>73</v>
      </c>
      <c r="E17" s="358">
        <v>68</v>
      </c>
      <c r="F17" s="358">
        <v>5</v>
      </c>
      <c r="G17" s="359">
        <v>472</v>
      </c>
      <c r="H17" s="356"/>
      <c r="I17" s="357">
        <f t="shared" si="1"/>
        <v>62</v>
      </c>
      <c r="J17" s="358">
        <v>62</v>
      </c>
      <c r="K17" s="358">
        <v>0</v>
      </c>
      <c r="L17" s="360" t="s">
        <v>22</v>
      </c>
      <c r="M17" s="361"/>
      <c r="N17" s="352"/>
      <c r="O17" s="352"/>
      <c r="P17" s="352"/>
      <c r="Q17" s="352"/>
      <c r="R17" s="352"/>
      <c r="S17" s="352"/>
      <c r="T17" s="352"/>
      <c r="U17" s="352"/>
      <c r="V17" s="352"/>
      <c r="W17" s="352"/>
      <c r="X17" s="352"/>
      <c r="Y17" s="352"/>
      <c r="Z17" s="352"/>
      <c r="AA17" s="352"/>
      <c r="AB17" s="352"/>
      <c r="AC17" s="352"/>
      <c r="AD17" s="352"/>
      <c r="AE17" s="352"/>
      <c r="AF17" s="353"/>
      <c r="AG17" s="353"/>
      <c r="AH17" s="353"/>
      <c r="AI17" s="20"/>
      <c r="AJ17" s="353"/>
      <c r="AK17" s="353"/>
      <c r="AL17" s="353"/>
      <c r="AM17" s="353"/>
      <c r="AN17" s="353"/>
      <c r="AO17" s="353"/>
      <c r="AP17" s="353"/>
      <c r="AQ17" s="353"/>
      <c r="AR17" s="353"/>
      <c r="AS17" s="353"/>
      <c r="AT17" s="353"/>
      <c r="AU17" s="353"/>
      <c r="AV17" s="353"/>
      <c r="AW17" s="353"/>
      <c r="AX17" s="353"/>
      <c r="AY17" s="353"/>
      <c r="AZ17" s="353"/>
      <c r="BA17" s="353"/>
      <c r="BB17" s="353"/>
      <c r="BC17" s="353"/>
      <c r="BD17" s="353"/>
      <c r="BE17" s="353"/>
      <c r="BF17" s="353"/>
      <c r="BG17" s="353"/>
      <c r="BH17" s="353"/>
      <c r="BI17" s="353"/>
      <c r="BJ17" s="353"/>
      <c r="BK17" s="353"/>
      <c r="BL17" s="353"/>
      <c r="BM17" s="353"/>
      <c r="BN17" s="353"/>
      <c r="BO17" s="353"/>
      <c r="BP17" s="353"/>
      <c r="BQ17" s="353"/>
      <c r="BR17" s="353"/>
      <c r="BS17" s="353"/>
      <c r="BT17" s="353"/>
      <c r="BU17" s="353"/>
      <c r="BV17" s="353"/>
      <c r="BW17" s="353"/>
      <c r="BX17" s="353"/>
      <c r="BY17" s="353"/>
      <c r="BZ17" s="353"/>
      <c r="CA17" s="353"/>
      <c r="CB17" s="353"/>
      <c r="CC17" s="353"/>
      <c r="CD17" s="353"/>
      <c r="CE17" s="353"/>
      <c r="CF17" s="353"/>
      <c r="CG17" s="353"/>
      <c r="CH17" s="353"/>
    </row>
    <row r="18" spans="1:86" s="362" customFormat="1" ht="19.5" customHeight="1">
      <c r="A18" s="389" t="s">
        <v>27</v>
      </c>
      <c r="B18" s="356">
        <v>518</v>
      </c>
      <c r="C18" s="356"/>
      <c r="D18" s="357">
        <f t="shared" si="0"/>
        <v>29</v>
      </c>
      <c r="E18" s="358">
        <v>28</v>
      </c>
      <c r="F18" s="358">
        <v>1</v>
      </c>
      <c r="G18" s="359">
        <v>516</v>
      </c>
      <c r="H18" s="356"/>
      <c r="I18" s="357">
        <f t="shared" si="1"/>
        <v>19</v>
      </c>
      <c r="J18" s="358">
        <v>19</v>
      </c>
      <c r="K18" s="358">
        <v>0</v>
      </c>
      <c r="L18" s="360" t="s">
        <v>31</v>
      </c>
      <c r="M18" s="361"/>
      <c r="N18" s="352"/>
      <c r="O18" s="352"/>
      <c r="P18" s="352"/>
      <c r="Q18" s="352"/>
      <c r="R18" s="352"/>
      <c r="S18" s="352"/>
      <c r="T18" s="352"/>
      <c r="U18" s="352"/>
      <c r="V18" s="352"/>
      <c r="W18" s="352"/>
      <c r="X18" s="352"/>
      <c r="Y18" s="352"/>
      <c r="Z18" s="352"/>
      <c r="AA18" s="352"/>
      <c r="AB18" s="352"/>
      <c r="AC18" s="352"/>
      <c r="AD18" s="352"/>
      <c r="AE18" s="352"/>
      <c r="AF18" s="353"/>
      <c r="AG18" s="353"/>
      <c r="AH18" s="353"/>
      <c r="AI18" s="20"/>
      <c r="AJ18" s="353"/>
      <c r="AK18" s="353"/>
      <c r="AL18" s="353"/>
      <c r="AM18" s="353"/>
      <c r="AN18" s="353"/>
      <c r="AO18" s="353"/>
      <c r="AP18" s="353"/>
      <c r="AQ18" s="353"/>
      <c r="AR18" s="353"/>
      <c r="AS18" s="353"/>
      <c r="AT18" s="353"/>
      <c r="AU18" s="353"/>
      <c r="AV18" s="353"/>
      <c r="AW18" s="353"/>
      <c r="AX18" s="353"/>
      <c r="AY18" s="353"/>
      <c r="AZ18" s="353"/>
      <c r="BA18" s="353"/>
      <c r="BB18" s="353"/>
      <c r="BC18" s="353"/>
      <c r="BD18" s="353"/>
      <c r="BE18" s="353"/>
      <c r="BF18" s="353"/>
      <c r="BG18" s="353"/>
      <c r="BH18" s="353"/>
      <c r="BI18" s="353"/>
      <c r="BJ18" s="353"/>
      <c r="BK18" s="353"/>
      <c r="BL18" s="353"/>
      <c r="BM18" s="353"/>
      <c r="BN18" s="353"/>
      <c r="BO18" s="353"/>
      <c r="BP18" s="353"/>
      <c r="BQ18" s="353"/>
      <c r="BR18" s="353"/>
      <c r="BS18" s="353"/>
      <c r="BT18" s="353"/>
      <c r="BU18" s="353"/>
      <c r="BV18" s="353"/>
      <c r="BW18" s="353"/>
      <c r="BX18" s="353"/>
      <c r="BY18" s="353"/>
      <c r="BZ18" s="353"/>
      <c r="CA18" s="353"/>
      <c r="CB18" s="353"/>
      <c r="CC18" s="353"/>
      <c r="CD18" s="353"/>
      <c r="CE18" s="353"/>
      <c r="CF18" s="353"/>
      <c r="CG18" s="353"/>
      <c r="CH18" s="353"/>
    </row>
    <row r="19" spans="1:86" s="362" customFormat="1" ht="19.5" customHeight="1">
      <c r="A19" s="391" t="s">
        <v>40</v>
      </c>
      <c r="B19" s="363">
        <v>1655</v>
      </c>
      <c r="C19" s="363"/>
      <c r="D19" s="357">
        <f t="shared" si="0"/>
        <v>0</v>
      </c>
      <c r="E19" s="358">
        <v>0</v>
      </c>
      <c r="F19" s="358">
        <v>0</v>
      </c>
      <c r="G19" s="359">
        <v>1787</v>
      </c>
      <c r="H19" s="363"/>
      <c r="I19" s="357">
        <f t="shared" si="1"/>
        <v>0</v>
      </c>
      <c r="J19" s="358">
        <v>0</v>
      </c>
      <c r="K19" s="358">
        <v>0</v>
      </c>
      <c r="L19" s="360" t="s">
        <v>18</v>
      </c>
      <c r="M19" s="361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352"/>
      <c r="AB19" s="352"/>
      <c r="AC19" s="352"/>
      <c r="AD19" s="352"/>
      <c r="AE19" s="352"/>
      <c r="AF19" s="353"/>
      <c r="AG19" s="353"/>
      <c r="AH19" s="353"/>
      <c r="AI19" s="20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53"/>
      <c r="AU19" s="353"/>
      <c r="AV19" s="353"/>
      <c r="AW19" s="353"/>
      <c r="AX19" s="353"/>
      <c r="AY19" s="353"/>
      <c r="AZ19" s="353"/>
      <c r="BA19" s="353"/>
      <c r="BB19" s="353"/>
      <c r="BC19" s="353"/>
      <c r="BD19" s="353"/>
      <c r="BE19" s="353"/>
      <c r="BF19" s="353"/>
      <c r="BG19" s="353"/>
      <c r="BH19" s="353"/>
      <c r="BI19" s="353"/>
      <c r="BJ19" s="353"/>
      <c r="BK19" s="353"/>
      <c r="BL19" s="353"/>
      <c r="BM19" s="353"/>
      <c r="BN19" s="353"/>
      <c r="BO19" s="353"/>
      <c r="BP19" s="353"/>
      <c r="BQ19" s="353"/>
      <c r="BR19" s="353"/>
      <c r="BS19" s="353"/>
      <c r="BT19" s="353"/>
      <c r="BU19" s="353"/>
      <c r="BV19" s="353"/>
      <c r="BW19" s="353"/>
      <c r="BX19" s="353"/>
      <c r="BY19" s="353"/>
      <c r="BZ19" s="353"/>
      <c r="CA19" s="353"/>
      <c r="CB19" s="353"/>
      <c r="CC19" s="353"/>
      <c r="CD19" s="353"/>
      <c r="CE19" s="353"/>
      <c r="CF19" s="353"/>
      <c r="CG19" s="353"/>
      <c r="CH19" s="353"/>
    </row>
    <row r="20" spans="1:86" s="362" customFormat="1" ht="19.5" customHeight="1">
      <c r="A20" s="364" t="s">
        <v>15</v>
      </c>
      <c r="B20" s="365">
        <v>3047</v>
      </c>
      <c r="C20" s="363"/>
      <c r="D20" s="365">
        <v>502</v>
      </c>
      <c r="E20" s="365">
        <v>494</v>
      </c>
      <c r="F20" s="365">
        <v>8</v>
      </c>
      <c r="G20" s="366">
        <v>2567</v>
      </c>
      <c r="H20" s="363"/>
      <c r="I20" s="365">
        <f>SUM(J20:K20)</f>
        <v>385</v>
      </c>
      <c r="J20" s="365">
        <v>372</v>
      </c>
      <c r="K20" s="365">
        <v>13</v>
      </c>
      <c r="L20" s="360" t="s">
        <v>37</v>
      </c>
      <c r="M20" s="361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352"/>
      <c r="AB20" s="352"/>
      <c r="AC20" s="352"/>
      <c r="AD20" s="352"/>
      <c r="AE20" s="352"/>
      <c r="AF20" s="353"/>
      <c r="AG20" s="353"/>
      <c r="AI20" s="353"/>
      <c r="AJ20" s="353"/>
      <c r="AK20" s="353"/>
      <c r="AL20" s="353"/>
      <c r="AM20" s="353"/>
      <c r="AN20" s="353"/>
      <c r="AO20" s="353"/>
      <c r="AP20" s="353"/>
      <c r="AQ20" s="353"/>
      <c r="AR20" s="353"/>
      <c r="AS20" s="353"/>
      <c r="AT20" s="353"/>
      <c r="AU20" s="353"/>
      <c r="AV20" s="353"/>
      <c r="AW20" s="353"/>
      <c r="AX20" s="353"/>
      <c r="AY20" s="353"/>
      <c r="AZ20" s="353"/>
      <c r="BA20" s="353"/>
      <c r="BB20" s="353"/>
      <c r="BC20" s="353"/>
      <c r="BD20" s="353"/>
      <c r="BE20" s="353"/>
      <c r="BF20" s="353"/>
      <c r="BG20" s="353"/>
      <c r="BH20" s="353"/>
      <c r="BI20" s="353"/>
      <c r="BJ20" s="353"/>
      <c r="BK20" s="353"/>
      <c r="BL20" s="353"/>
      <c r="BM20" s="353"/>
      <c r="BN20" s="353"/>
      <c r="BO20" s="353"/>
      <c r="BP20" s="353"/>
      <c r="BQ20" s="353"/>
      <c r="BR20" s="353"/>
      <c r="BS20" s="353"/>
      <c r="BT20" s="353"/>
      <c r="BU20" s="353"/>
      <c r="BV20" s="353"/>
      <c r="BW20" s="353"/>
      <c r="BX20" s="353"/>
      <c r="BY20" s="353"/>
      <c r="BZ20" s="353"/>
      <c r="CA20" s="353"/>
      <c r="CB20" s="353"/>
      <c r="CC20" s="353"/>
      <c r="CD20" s="353"/>
      <c r="CE20" s="353"/>
      <c r="CF20" s="353"/>
      <c r="CG20" s="353"/>
      <c r="CH20" s="353"/>
    </row>
    <row r="21" spans="1:86" s="367" customFormat="1" ht="19.5" customHeight="1">
      <c r="A21" s="35" t="s">
        <v>38</v>
      </c>
      <c r="B21" s="394">
        <v>105</v>
      </c>
      <c r="C21" s="368"/>
      <c r="D21" s="368">
        <v>11</v>
      </c>
      <c r="E21" s="368">
        <v>11</v>
      </c>
      <c r="F21" s="368">
        <v>0</v>
      </c>
      <c r="G21" s="359">
        <v>29</v>
      </c>
      <c r="H21" s="368"/>
      <c r="I21" s="365">
        <f t="shared" ref="I21:I33" si="2">SUM(J21:K21)</f>
        <v>7</v>
      </c>
      <c r="J21" s="358">
        <v>7</v>
      </c>
      <c r="K21" s="358">
        <v>0</v>
      </c>
      <c r="L21" s="37" t="s">
        <v>39</v>
      </c>
      <c r="M21" s="369"/>
      <c r="N21" s="369"/>
      <c r="O21" s="369"/>
      <c r="P21" s="369"/>
      <c r="Q21" s="369"/>
      <c r="R21" s="369"/>
      <c r="S21" s="369"/>
      <c r="T21" s="369"/>
      <c r="U21" s="369"/>
      <c r="V21" s="369"/>
      <c r="W21" s="369"/>
      <c r="X21" s="369"/>
      <c r="Y21" s="369"/>
      <c r="Z21" s="369"/>
      <c r="AA21" s="369"/>
      <c r="AB21" s="369"/>
      <c r="AC21" s="369"/>
      <c r="AD21" s="369"/>
      <c r="AE21" s="369"/>
      <c r="AF21" s="369"/>
      <c r="AG21" s="369"/>
      <c r="AI21" s="369"/>
      <c r="AJ21" s="369"/>
      <c r="AK21" s="369"/>
      <c r="AL21" s="369"/>
      <c r="AM21" s="369"/>
      <c r="AN21" s="369"/>
      <c r="AO21" s="369"/>
      <c r="AP21" s="369"/>
      <c r="AQ21" s="369"/>
      <c r="AR21" s="369"/>
      <c r="AS21" s="369"/>
      <c r="AT21" s="369"/>
      <c r="AU21" s="369"/>
      <c r="AV21" s="369"/>
      <c r="AW21" s="369"/>
      <c r="AX21" s="369"/>
      <c r="AY21" s="369"/>
      <c r="AZ21" s="369"/>
      <c r="BA21" s="369"/>
      <c r="BB21" s="369"/>
      <c r="BC21" s="369"/>
      <c r="BD21" s="369"/>
      <c r="BE21" s="369"/>
      <c r="BF21" s="369"/>
      <c r="BG21" s="369"/>
      <c r="BH21" s="369"/>
      <c r="BI21" s="369"/>
      <c r="BJ21" s="369"/>
      <c r="BK21" s="369"/>
      <c r="BL21" s="369"/>
      <c r="BM21" s="369"/>
      <c r="BN21" s="369"/>
      <c r="BO21" s="369"/>
      <c r="BP21" s="369"/>
      <c r="BQ21" s="369"/>
      <c r="BR21" s="369"/>
      <c r="BS21" s="369"/>
      <c r="BT21" s="369"/>
      <c r="BU21" s="369"/>
      <c r="BV21" s="369"/>
      <c r="BW21" s="369"/>
      <c r="BX21" s="369"/>
      <c r="BY21" s="369"/>
      <c r="BZ21" s="369"/>
      <c r="CA21" s="369"/>
      <c r="CB21" s="369"/>
      <c r="CC21" s="369"/>
      <c r="CD21" s="369"/>
      <c r="CE21" s="369"/>
      <c r="CF21" s="369"/>
      <c r="CG21" s="369"/>
      <c r="CH21" s="369"/>
    </row>
    <row r="22" spans="1:86" ht="19.5" customHeight="1">
      <c r="A22" s="35" t="s">
        <v>41</v>
      </c>
      <c r="B22" s="394">
        <v>70</v>
      </c>
      <c r="C22" s="371"/>
      <c r="D22" s="368">
        <v>15</v>
      </c>
      <c r="E22" s="368">
        <v>12</v>
      </c>
      <c r="F22" s="368">
        <v>3</v>
      </c>
      <c r="G22" s="359">
        <v>36</v>
      </c>
      <c r="H22" s="371"/>
      <c r="I22" s="365">
        <f t="shared" si="2"/>
        <v>3</v>
      </c>
      <c r="J22" s="358">
        <v>3</v>
      </c>
      <c r="K22" s="358">
        <v>0</v>
      </c>
      <c r="L22" s="37" t="s">
        <v>42</v>
      </c>
      <c r="AH22" s="335"/>
    </row>
    <row r="23" spans="1:86" ht="19.5" customHeight="1">
      <c r="A23" s="35" t="s">
        <v>44</v>
      </c>
      <c r="B23" s="394">
        <v>54</v>
      </c>
      <c r="C23" s="371"/>
      <c r="D23" s="368">
        <v>0</v>
      </c>
      <c r="E23" s="368">
        <v>0</v>
      </c>
      <c r="F23" s="368">
        <v>0</v>
      </c>
      <c r="G23" s="359">
        <v>55</v>
      </c>
      <c r="H23" s="371"/>
      <c r="I23" s="365">
        <f t="shared" si="2"/>
        <v>0</v>
      </c>
      <c r="J23" s="358">
        <v>0</v>
      </c>
      <c r="K23" s="358">
        <v>0</v>
      </c>
      <c r="L23" s="37" t="s">
        <v>45</v>
      </c>
      <c r="AH23" s="335"/>
    </row>
    <row r="24" spans="1:86" ht="19.5" customHeight="1">
      <c r="A24" s="35" t="s">
        <v>46</v>
      </c>
      <c r="B24" s="394">
        <v>71</v>
      </c>
      <c r="C24" s="371"/>
      <c r="D24" s="368">
        <v>3</v>
      </c>
      <c r="E24" s="368">
        <v>2</v>
      </c>
      <c r="F24" s="368">
        <v>1</v>
      </c>
      <c r="G24" s="359">
        <v>58</v>
      </c>
      <c r="H24" s="371"/>
      <c r="I24" s="365">
        <f t="shared" si="2"/>
        <v>4</v>
      </c>
      <c r="J24" s="358">
        <v>2</v>
      </c>
      <c r="K24" s="358">
        <v>2</v>
      </c>
      <c r="L24" s="37" t="s">
        <v>47</v>
      </c>
      <c r="AH24" s="335"/>
    </row>
    <row r="25" spans="1:86" ht="19.5" customHeight="1">
      <c r="A25" s="35" t="s">
        <v>36</v>
      </c>
      <c r="B25" s="394">
        <v>306</v>
      </c>
      <c r="C25" s="371"/>
      <c r="D25" s="368">
        <v>3</v>
      </c>
      <c r="E25" s="368">
        <v>3</v>
      </c>
      <c r="F25" s="368">
        <v>0</v>
      </c>
      <c r="G25" s="359">
        <v>246</v>
      </c>
      <c r="H25" s="371"/>
      <c r="I25" s="365">
        <f t="shared" si="2"/>
        <v>0</v>
      </c>
      <c r="J25" s="358">
        <v>0</v>
      </c>
      <c r="K25" s="358">
        <v>0</v>
      </c>
      <c r="L25" s="37" t="s">
        <v>48</v>
      </c>
      <c r="AH25" s="335"/>
    </row>
    <row r="26" spans="1:86" ht="19.5" customHeight="1">
      <c r="A26" s="35" t="s">
        <v>34</v>
      </c>
      <c r="B26" s="394">
        <v>308</v>
      </c>
      <c r="C26" s="371"/>
      <c r="D26" s="368">
        <v>9</v>
      </c>
      <c r="E26" s="368">
        <v>9</v>
      </c>
      <c r="F26" s="368">
        <v>0</v>
      </c>
      <c r="G26" s="359">
        <v>213</v>
      </c>
      <c r="H26" s="371"/>
      <c r="I26" s="365">
        <f t="shared" si="2"/>
        <v>13</v>
      </c>
      <c r="J26" s="358">
        <v>12</v>
      </c>
      <c r="K26" s="358">
        <v>1</v>
      </c>
      <c r="L26" s="37" t="s">
        <v>49</v>
      </c>
      <c r="AH26" s="335"/>
    </row>
    <row r="27" spans="1:86" ht="19.5" customHeight="1">
      <c r="A27" s="35" t="s">
        <v>43</v>
      </c>
      <c r="B27" s="394">
        <v>141</v>
      </c>
      <c r="C27" s="371"/>
      <c r="D27" s="368">
        <v>54</v>
      </c>
      <c r="E27" s="368">
        <v>53</v>
      </c>
      <c r="F27" s="368">
        <v>1</v>
      </c>
      <c r="G27" s="359">
        <v>92</v>
      </c>
      <c r="H27" s="371"/>
      <c r="I27" s="365">
        <f t="shared" si="2"/>
        <v>39</v>
      </c>
      <c r="J27" s="358">
        <v>39</v>
      </c>
      <c r="K27" s="358">
        <v>0</v>
      </c>
      <c r="L27" s="37" t="s">
        <v>50</v>
      </c>
      <c r="AH27" s="335"/>
    </row>
    <row r="28" spans="1:86" ht="19.5" customHeight="1">
      <c r="A28" s="35" t="s">
        <v>51</v>
      </c>
      <c r="B28" s="394">
        <v>65</v>
      </c>
      <c r="C28" s="371"/>
      <c r="D28" s="368">
        <v>7</v>
      </c>
      <c r="E28" s="368">
        <v>7</v>
      </c>
      <c r="F28" s="368">
        <v>0</v>
      </c>
      <c r="G28" s="359">
        <v>87</v>
      </c>
      <c r="H28" s="371"/>
      <c r="I28" s="365">
        <f t="shared" si="2"/>
        <v>15</v>
      </c>
      <c r="J28" s="358">
        <v>15</v>
      </c>
      <c r="K28" s="358">
        <v>0</v>
      </c>
      <c r="L28" s="37" t="s">
        <v>52</v>
      </c>
      <c r="AH28" s="335"/>
    </row>
    <row r="29" spans="1:86" ht="19.5" customHeight="1">
      <c r="A29" s="35" t="s">
        <v>53</v>
      </c>
      <c r="B29" s="394">
        <v>52</v>
      </c>
      <c r="C29" s="371"/>
      <c r="D29" s="368">
        <v>5</v>
      </c>
      <c r="E29" s="368">
        <v>5</v>
      </c>
      <c r="F29" s="368">
        <v>0</v>
      </c>
      <c r="G29" s="359">
        <v>28</v>
      </c>
      <c r="H29" s="371"/>
      <c r="I29" s="365">
        <f t="shared" si="2"/>
        <v>1</v>
      </c>
      <c r="J29" s="358">
        <v>1</v>
      </c>
      <c r="K29" s="358">
        <v>0</v>
      </c>
      <c r="L29" s="37" t="s">
        <v>54</v>
      </c>
      <c r="AH29" s="335"/>
    </row>
    <row r="30" spans="1:86" ht="19.5" customHeight="1">
      <c r="A30" s="35" t="s">
        <v>24</v>
      </c>
      <c r="B30" s="394">
        <v>640</v>
      </c>
      <c r="C30" s="371"/>
      <c r="D30" s="368">
        <v>65</v>
      </c>
      <c r="E30" s="368">
        <v>64</v>
      </c>
      <c r="F30" s="368">
        <v>1</v>
      </c>
      <c r="G30" s="359">
        <v>536</v>
      </c>
      <c r="H30" s="371"/>
      <c r="I30" s="365">
        <f t="shared" si="2"/>
        <v>61</v>
      </c>
      <c r="J30" s="358">
        <v>60</v>
      </c>
      <c r="K30" s="358">
        <v>1</v>
      </c>
      <c r="L30" s="37" t="s">
        <v>55</v>
      </c>
      <c r="AH30" s="335"/>
    </row>
    <row r="31" spans="1:86" ht="27" customHeight="1">
      <c r="A31" s="372" t="s">
        <v>56</v>
      </c>
      <c r="B31" s="394">
        <v>37</v>
      </c>
      <c r="C31" s="371"/>
      <c r="D31" s="368">
        <v>38</v>
      </c>
      <c r="E31" s="368">
        <v>38</v>
      </c>
      <c r="F31" s="368">
        <v>0</v>
      </c>
      <c r="G31" s="359">
        <v>39</v>
      </c>
      <c r="H31" s="371"/>
      <c r="I31" s="365">
        <f t="shared" si="2"/>
        <v>31</v>
      </c>
      <c r="J31" s="358">
        <v>30</v>
      </c>
      <c r="K31" s="358">
        <v>1</v>
      </c>
      <c r="L31" s="37" t="s">
        <v>57</v>
      </c>
      <c r="AH31" s="335"/>
    </row>
    <row r="32" spans="1:86" ht="19.5" customHeight="1">
      <c r="A32" s="35" t="s">
        <v>58</v>
      </c>
      <c r="B32" s="394">
        <v>23</v>
      </c>
      <c r="C32" s="371"/>
      <c r="D32" s="368">
        <v>9</v>
      </c>
      <c r="E32" s="368">
        <v>9</v>
      </c>
      <c r="F32" s="368">
        <v>0</v>
      </c>
      <c r="G32" s="359">
        <v>27</v>
      </c>
      <c r="H32" s="371"/>
      <c r="I32" s="365">
        <f t="shared" si="2"/>
        <v>12</v>
      </c>
      <c r="J32" s="358">
        <v>12</v>
      </c>
      <c r="K32" s="358">
        <v>0</v>
      </c>
      <c r="L32" s="37" t="s">
        <v>59</v>
      </c>
      <c r="AJ32" s="373"/>
      <c r="AK32" s="253"/>
      <c r="AL32" s="253"/>
    </row>
    <row r="33" spans="1:38" ht="19.5" customHeight="1">
      <c r="A33" s="50" t="s">
        <v>15</v>
      </c>
      <c r="B33" s="374">
        <v>1175</v>
      </c>
      <c r="C33" s="375"/>
      <c r="D33" s="376">
        <v>283</v>
      </c>
      <c r="E33" s="376">
        <v>281</v>
      </c>
      <c r="F33" s="376">
        <v>2</v>
      </c>
      <c r="G33" s="396">
        <v>1121</v>
      </c>
      <c r="H33" s="375"/>
      <c r="I33" s="377">
        <f t="shared" si="2"/>
        <v>199</v>
      </c>
      <c r="J33" s="397">
        <v>191</v>
      </c>
      <c r="K33" s="397">
        <v>8</v>
      </c>
      <c r="L33" s="53" t="s">
        <v>37</v>
      </c>
      <c r="AJ33" s="20"/>
      <c r="AK33" s="378"/>
      <c r="AL33" s="378"/>
    </row>
    <row r="34" spans="1:38" ht="12.75" customHeight="1">
      <c r="A34" s="392" t="s">
        <v>60</v>
      </c>
      <c r="B34" s="381"/>
      <c r="C34" s="370"/>
      <c r="D34" s="370"/>
      <c r="E34" s="370"/>
      <c r="F34" s="370"/>
      <c r="G34" s="370"/>
      <c r="H34" s="370"/>
      <c r="I34" s="370"/>
      <c r="J34" s="370"/>
      <c r="K34" s="370"/>
      <c r="L34" s="379" t="s">
        <v>61</v>
      </c>
      <c r="AG34" s="364"/>
      <c r="AJ34" s="20"/>
      <c r="AK34" s="378"/>
      <c r="AL34" s="378"/>
    </row>
    <row r="35" spans="1:38" ht="12.75" customHeight="1">
      <c r="B35" s="381"/>
      <c r="C35" s="370"/>
      <c r="D35" s="370"/>
      <c r="E35" s="370"/>
      <c r="F35" s="370"/>
      <c r="G35" s="370"/>
      <c r="H35" s="370"/>
      <c r="I35" s="370"/>
      <c r="J35" s="370"/>
      <c r="K35" s="370"/>
      <c r="AG35" s="364"/>
      <c r="AJ35" s="20"/>
      <c r="AK35" s="378"/>
      <c r="AL35" s="378"/>
    </row>
    <row r="36" spans="1:38" ht="12.75" customHeight="1">
      <c r="A36" s="386"/>
      <c r="B36" s="381"/>
      <c r="C36" s="370"/>
      <c r="D36" s="370"/>
      <c r="E36" s="370"/>
      <c r="F36" s="370"/>
      <c r="G36" s="370"/>
      <c r="H36" s="370"/>
      <c r="I36" s="370"/>
      <c r="J36" s="370"/>
      <c r="K36" s="370"/>
      <c r="L36" s="380"/>
      <c r="AG36" s="364"/>
      <c r="AJ36" s="20"/>
      <c r="AK36" s="378"/>
      <c r="AL36" s="378"/>
    </row>
    <row r="37" spans="1:38" ht="12.75" customHeight="1">
      <c r="A37" s="386"/>
      <c r="B37" s="381"/>
      <c r="C37" s="370"/>
      <c r="D37" s="370"/>
      <c r="E37" s="370"/>
      <c r="F37" s="370"/>
      <c r="G37" s="370"/>
      <c r="H37" s="370"/>
      <c r="I37" s="370"/>
      <c r="J37" s="370"/>
      <c r="K37" s="370"/>
      <c r="L37" s="380"/>
      <c r="AG37" s="364"/>
      <c r="AJ37" s="20"/>
      <c r="AK37" s="378"/>
      <c r="AL37" s="378"/>
    </row>
    <row r="38" spans="1:38" ht="12.75" customHeight="1">
      <c r="A38" s="386"/>
      <c r="B38" s="381"/>
      <c r="C38" s="370"/>
      <c r="D38" s="370"/>
      <c r="E38" s="370"/>
      <c r="F38" s="370"/>
      <c r="G38" s="370"/>
      <c r="H38" s="370"/>
      <c r="I38" s="370"/>
      <c r="J38" s="370"/>
      <c r="K38" s="370"/>
      <c r="AG38" s="364"/>
      <c r="AJ38" s="20"/>
      <c r="AK38" s="378"/>
      <c r="AL38" s="378"/>
    </row>
    <row r="39" spans="1:38" ht="12.75" customHeight="1">
      <c r="A39" s="386"/>
      <c r="B39" s="393"/>
      <c r="C39" s="370"/>
      <c r="D39" s="370"/>
      <c r="E39" s="370"/>
      <c r="F39" s="370"/>
      <c r="G39" s="332"/>
      <c r="H39" s="370"/>
      <c r="I39" s="370"/>
      <c r="J39" s="370"/>
      <c r="K39" s="370"/>
      <c r="L39" s="380"/>
      <c r="AG39" s="364"/>
      <c r="AJ39" s="20"/>
      <c r="AK39" s="378"/>
      <c r="AL39" s="378"/>
    </row>
    <row r="40" spans="1:38" ht="12.75" customHeight="1">
      <c r="A40" s="386"/>
      <c r="C40" s="381"/>
      <c r="D40" s="370"/>
      <c r="E40" s="370"/>
      <c r="F40" s="370"/>
      <c r="G40" s="334"/>
      <c r="H40" s="381"/>
      <c r="I40" s="370"/>
      <c r="J40" s="370"/>
      <c r="K40" s="370"/>
      <c r="L40" s="380"/>
      <c r="AG40" s="364"/>
      <c r="AJ40" s="20"/>
      <c r="AK40" s="378"/>
      <c r="AL40" s="378"/>
    </row>
    <row r="41" spans="1:38" ht="12.75" customHeight="1">
      <c r="G41" s="334"/>
      <c r="AG41" s="382"/>
      <c r="AJ41" s="20"/>
      <c r="AK41" s="378"/>
      <c r="AL41" s="378"/>
    </row>
    <row r="42" spans="1:38" ht="12.75" customHeight="1">
      <c r="B42" s="383"/>
      <c r="C42" s="383"/>
      <c r="D42" s="383"/>
      <c r="E42" s="383"/>
      <c r="F42" s="383"/>
      <c r="G42" s="383"/>
      <c r="H42" s="383"/>
      <c r="I42" s="383"/>
      <c r="J42" s="383"/>
      <c r="K42" s="383"/>
      <c r="AG42" s="364"/>
      <c r="AJ42" s="20"/>
      <c r="AK42" s="378"/>
      <c r="AL42" s="378"/>
    </row>
    <row r="43" spans="1:38" ht="12.75" customHeight="1">
      <c r="A43" s="386"/>
      <c r="B43" s="381"/>
      <c r="C43" s="370"/>
      <c r="D43" s="370"/>
      <c r="E43" s="370"/>
      <c r="F43" s="370"/>
      <c r="G43" s="370"/>
      <c r="H43" s="370"/>
      <c r="I43" s="370"/>
      <c r="J43" s="370"/>
      <c r="K43" s="370"/>
      <c r="L43" s="380"/>
      <c r="AG43" s="364"/>
      <c r="AJ43" s="20"/>
      <c r="AK43" s="378"/>
      <c r="AL43" s="378"/>
    </row>
    <row r="44" spans="1:38" ht="15">
      <c r="A44" s="386"/>
      <c r="B44" s="381"/>
      <c r="C44" s="370"/>
      <c r="D44" s="370"/>
      <c r="E44" s="370"/>
      <c r="F44" s="370"/>
      <c r="G44" s="370"/>
      <c r="H44" s="370"/>
      <c r="I44" s="370"/>
      <c r="J44" s="370"/>
      <c r="K44" s="370"/>
      <c r="L44" s="380"/>
      <c r="AG44" s="364"/>
      <c r="AJ44" s="20"/>
      <c r="AK44" s="378"/>
      <c r="AL44" s="378"/>
    </row>
    <row r="45" spans="1:38">
      <c r="A45" s="386"/>
      <c r="B45" s="381"/>
      <c r="C45" s="370"/>
      <c r="D45" s="370"/>
      <c r="E45" s="370"/>
      <c r="F45" s="370"/>
      <c r="G45" s="370"/>
      <c r="H45" s="370"/>
      <c r="I45" s="370"/>
      <c r="J45" s="370"/>
      <c r="K45" s="370"/>
      <c r="L45" s="380"/>
      <c r="AG45" s="364"/>
    </row>
    <row r="46" spans="1:38">
      <c r="A46" s="386"/>
      <c r="B46" s="381"/>
      <c r="C46" s="370"/>
      <c r="D46" s="370"/>
      <c r="E46" s="370"/>
      <c r="F46" s="370"/>
      <c r="G46" s="370"/>
      <c r="H46" s="370"/>
      <c r="I46" s="370"/>
      <c r="J46" s="370"/>
      <c r="K46" s="370"/>
      <c r="L46" s="380"/>
    </row>
    <row r="47" spans="1:38">
      <c r="A47" s="386"/>
      <c r="B47" s="381"/>
      <c r="C47" s="370"/>
      <c r="D47" s="370"/>
      <c r="E47" s="370"/>
      <c r="F47" s="370"/>
      <c r="G47" s="370"/>
      <c r="H47" s="370"/>
      <c r="I47" s="370"/>
      <c r="J47" s="370"/>
      <c r="K47" s="370"/>
      <c r="L47" s="380"/>
    </row>
    <row r="48" spans="1:38">
      <c r="A48" s="386"/>
      <c r="B48" s="381"/>
      <c r="C48" s="370"/>
      <c r="D48" s="370"/>
      <c r="E48" s="370"/>
      <c r="F48" s="370"/>
      <c r="G48" s="370"/>
      <c r="H48" s="370"/>
      <c r="I48" s="370"/>
      <c r="J48" s="370"/>
      <c r="K48" s="370"/>
      <c r="L48" s="380"/>
    </row>
    <row r="49" spans="1:36">
      <c r="A49" s="386"/>
      <c r="B49" s="381"/>
      <c r="C49" s="370"/>
      <c r="D49" s="370"/>
      <c r="E49" s="370"/>
      <c r="F49" s="370"/>
      <c r="G49" s="370"/>
      <c r="H49" s="370"/>
      <c r="I49" s="370"/>
      <c r="J49" s="370"/>
      <c r="K49" s="370"/>
      <c r="L49" s="380"/>
    </row>
    <row r="50" spans="1:36" ht="18" customHeight="1">
      <c r="A50" s="386"/>
      <c r="B50" s="381"/>
      <c r="C50" s="370"/>
      <c r="D50" s="370"/>
      <c r="E50" s="370"/>
      <c r="F50" s="370"/>
      <c r="G50" s="370"/>
      <c r="H50" s="370"/>
      <c r="I50" s="370"/>
      <c r="J50" s="370"/>
      <c r="K50" s="370"/>
      <c r="L50" s="380"/>
    </row>
    <row r="51" spans="1:36">
      <c r="A51" s="386"/>
      <c r="B51" s="381"/>
      <c r="C51" s="370"/>
      <c r="D51" s="370"/>
      <c r="E51" s="370"/>
      <c r="F51" s="370"/>
      <c r="G51" s="370"/>
      <c r="H51" s="370"/>
      <c r="I51" s="370"/>
      <c r="J51" s="370"/>
      <c r="K51" s="370"/>
      <c r="L51" s="380"/>
    </row>
    <row r="52" spans="1:36">
      <c r="A52" s="386"/>
      <c r="B52" s="381"/>
      <c r="C52" s="370"/>
      <c r="D52" s="370"/>
      <c r="E52" s="370"/>
      <c r="F52" s="370"/>
      <c r="G52" s="370"/>
      <c r="H52" s="370"/>
      <c r="I52" s="370"/>
      <c r="J52" s="370"/>
      <c r="K52" s="370"/>
      <c r="L52" s="380"/>
    </row>
    <row r="53" spans="1:36">
      <c r="A53" s="386"/>
      <c r="B53" s="381"/>
      <c r="C53" s="370"/>
      <c r="D53" s="370"/>
      <c r="E53" s="370"/>
      <c r="F53" s="370"/>
      <c r="G53" s="370"/>
      <c r="H53" s="370"/>
      <c r="I53" s="370"/>
      <c r="J53" s="370"/>
      <c r="K53" s="370"/>
      <c r="L53" s="380"/>
    </row>
    <row r="54" spans="1:36">
      <c r="A54" s="386"/>
      <c r="B54" s="381"/>
      <c r="C54" s="370"/>
      <c r="D54" s="370"/>
      <c r="E54" s="370"/>
      <c r="F54" s="370"/>
      <c r="G54" s="370"/>
      <c r="H54" s="370"/>
      <c r="I54" s="370"/>
      <c r="J54" s="370"/>
      <c r="K54" s="370"/>
      <c r="L54" s="380"/>
      <c r="AG54" s="335"/>
      <c r="AH54" s="335"/>
      <c r="AI54" s="335"/>
      <c r="AJ54" s="335"/>
    </row>
    <row r="55" spans="1:36" ht="25.5">
      <c r="A55" s="386"/>
      <c r="B55" s="381"/>
      <c r="C55" s="370"/>
      <c r="D55" s="370"/>
      <c r="E55" s="370"/>
      <c r="F55" s="370"/>
      <c r="G55" s="370"/>
      <c r="H55" s="370"/>
      <c r="I55" s="370"/>
      <c r="J55" s="370"/>
      <c r="K55" s="370"/>
      <c r="L55" s="380"/>
      <c r="AH55" s="341" t="s">
        <v>273</v>
      </c>
      <c r="AI55" s="341" t="s">
        <v>274</v>
      </c>
      <c r="AJ55" s="341" t="s">
        <v>275</v>
      </c>
    </row>
    <row r="56" spans="1:36" ht="15">
      <c r="A56" s="386"/>
      <c r="B56" s="381"/>
      <c r="C56" s="370"/>
      <c r="D56" s="370"/>
      <c r="E56" s="370"/>
      <c r="F56" s="370"/>
      <c r="G56" s="370"/>
      <c r="H56" s="370"/>
      <c r="I56" s="370"/>
      <c r="J56" s="370"/>
      <c r="K56" s="370"/>
      <c r="L56" s="380"/>
      <c r="AG56" s="355" t="s">
        <v>12</v>
      </c>
      <c r="AH56" s="357">
        <v>1690</v>
      </c>
      <c r="AI56" s="358">
        <v>1612</v>
      </c>
      <c r="AJ56" s="358">
        <v>78</v>
      </c>
    </row>
    <row r="57" spans="1:36" ht="15">
      <c r="A57" s="386"/>
      <c r="B57" s="381"/>
      <c r="C57" s="370"/>
      <c r="D57" s="370"/>
      <c r="E57" s="370"/>
      <c r="F57" s="370"/>
      <c r="G57" s="370"/>
      <c r="H57" s="370"/>
      <c r="I57" s="370"/>
      <c r="J57" s="370"/>
      <c r="K57" s="370"/>
      <c r="L57" s="380"/>
      <c r="AG57" s="355" t="s">
        <v>7</v>
      </c>
      <c r="AH57" s="357">
        <v>772</v>
      </c>
      <c r="AI57" s="358">
        <v>754</v>
      </c>
      <c r="AJ57" s="358">
        <v>18</v>
      </c>
    </row>
    <row r="58" spans="1:36" ht="15">
      <c r="A58" s="386"/>
      <c r="B58" s="381"/>
      <c r="C58" s="370"/>
      <c r="D58" s="370"/>
      <c r="E58" s="370"/>
      <c r="F58" s="370"/>
      <c r="G58" s="370"/>
      <c r="H58" s="370"/>
      <c r="I58" s="370"/>
      <c r="J58" s="370"/>
      <c r="K58" s="370"/>
      <c r="L58" s="380"/>
      <c r="AG58" s="355" t="s">
        <v>14</v>
      </c>
      <c r="AH58" s="357">
        <v>505</v>
      </c>
      <c r="AI58" s="358">
        <v>498</v>
      </c>
      <c r="AJ58" s="358">
        <v>7</v>
      </c>
    </row>
    <row r="59" spans="1:36" ht="15">
      <c r="A59" s="386"/>
      <c r="B59" s="381"/>
      <c r="C59" s="370"/>
      <c r="D59" s="370"/>
      <c r="E59" s="370"/>
      <c r="F59" s="370"/>
      <c r="G59" s="370"/>
      <c r="H59" s="370"/>
      <c r="I59" s="370"/>
      <c r="J59" s="370"/>
      <c r="K59" s="370"/>
      <c r="L59" s="380"/>
      <c r="AG59" s="355" t="s">
        <v>23</v>
      </c>
      <c r="AH59" s="357">
        <v>190</v>
      </c>
      <c r="AI59" s="358">
        <v>177</v>
      </c>
      <c r="AJ59" s="358">
        <v>13</v>
      </c>
    </row>
    <row r="60" spans="1:36" ht="15">
      <c r="A60" s="386"/>
      <c r="B60" s="381"/>
      <c r="C60" s="370"/>
      <c r="D60" s="370"/>
      <c r="E60" s="370"/>
      <c r="F60" s="355"/>
      <c r="G60" s="370"/>
      <c r="H60" s="370"/>
      <c r="I60" s="370"/>
      <c r="J60" s="370"/>
      <c r="K60" s="355"/>
      <c r="L60" s="365"/>
      <c r="M60" s="365"/>
      <c r="N60" s="365"/>
      <c r="AG60" s="355" t="s">
        <v>19</v>
      </c>
      <c r="AH60" s="357">
        <v>167</v>
      </c>
      <c r="AI60" s="358">
        <v>151</v>
      </c>
      <c r="AJ60" s="358">
        <v>16</v>
      </c>
    </row>
    <row r="61" spans="1:36" ht="15">
      <c r="A61" s="386"/>
      <c r="B61" s="381"/>
      <c r="C61" s="370"/>
      <c r="D61" s="370"/>
      <c r="E61" s="370"/>
      <c r="F61" s="370"/>
      <c r="G61" s="370"/>
      <c r="H61" s="370"/>
      <c r="I61" s="370"/>
      <c r="J61" s="370"/>
      <c r="K61" s="370"/>
      <c r="L61" s="380"/>
      <c r="AG61" s="355" t="s">
        <v>21</v>
      </c>
      <c r="AH61" s="357">
        <v>73</v>
      </c>
      <c r="AI61" s="358">
        <v>68</v>
      </c>
      <c r="AJ61" s="358">
        <v>5</v>
      </c>
    </row>
    <row r="62" spans="1:36" ht="15">
      <c r="A62" s="386"/>
      <c r="B62" s="381"/>
      <c r="C62" s="370"/>
      <c r="D62" s="370"/>
      <c r="E62" s="370"/>
      <c r="F62" s="370"/>
      <c r="G62" s="370"/>
      <c r="H62" s="370"/>
      <c r="I62" s="370"/>
      <c r="J62" s="370"/>
      <c r="K62" s="370"/>
      <c r="L62" s="380"/>
      <c r="AG62" s="384" t="s">
        <v>24</v>
      </c>
      <c r="AH62" s="368">
        <v>65</v>
      </c>
      <c r="AI62" s="368">
        <v>64</v>
      </c>
      <c r="AJ62" s="368">
        <v>1</v>
      </c>
    </row>
    <row r="63" spans="1:36" ht="15">
      <c r="A63" s="386"/>
      <c r="B63" s="381"/>
      <c r="C63" s="370"/>
      <c r="D63" s="370"/>
      <c r="E63" s="370"/>
      <c r="F63" s="370"/>
      <c r="G63" s="370"/>
      <c r="H63" s="370"/>
      <c r="I63" s="370"/>
      <c r="J63" s="370"/>
      <c r="K63" s="370"/>
      <c r="L63" s="380"/>
      <c r="AG63" s="384" t="s">
        <v>43</v>
      </c>
      <c r="AH63" s="368">
        <v>54</v>
      </c>
      <c r="AI63" s="368">
        <v>53</v>
      </c>
      <c r="AJ63" s="368">
        <v>1</v>
      </c>
    </row>
    <row r="64" spans="1:36" ht="12.75" customHeight="1">
      <c r="A64" s="386"/>
      <c r="B64" s="381"/>
      <c r="C64" s="370"/>
      <c r="D64" s="370"/>
      <c r="E64" s="370"/>
      <c r="F64" s="370"/>
      <c r="G64" s="370"/>
      <c r="H64" s="370"/>
      <c r="I64" s="370"/>
      <c r="J64" s="370"/>
      <c r="K64" s="370"/>
      <c r="L64" s="380"/>
      <c r="AG64" s="385" t="s">
        <v>56</v>
      </c>
      <c r="AH64" s="368">
        <v>38</v>
      </c>
      <c r="AI64" s="368">
        <v>38</v>
      </c>
      <c r="AJ64" s="368">
        <v>0</v>
      </c>
    </row>
    <row r="65" spans="1:36" ht="15">
      <c r="A65" s="386"/>
      <c r="B65" s="381"/>
      <c r="C65" s="370"/>
      <c r="D65" s="370"/>
      <c r="E65" s="370"/>
      <c r="F65" s="370"/>
      <c r="G65" s="370"/>
      <c r="H65" s="370"/>
      <c r="I65" s="370"/>
      <c r="J65" s="370"/>
      <c r="K65" s="370"/>
      <c r="L65" s="380"/>
      <c r="AG65" s="364" t="s">
        <v>27</v>
      </c>
      <c r="AH65" s="357">
        <v>29</v>
      </c>
      <c r="AI65" s="358">
        <v>28</v>
      </c>
      <c r="AJ65" s="358">
        <v>1</v>
      </c>
    </row>
    <row r="66" spans="1:36" ht="15">
      <c r="A66" s="386"/>
      <c r="B66" s="381"/>
      <c r="C66" s="370"/>
      <c r="D66" s="370"/>
      <c r="E66" s="370"/>
      <c r="F66" s="370"/>
      <c r="G66" s="370"/>
      <c r="H66" s="370"/>
      <c r="I66" s="370"/>
      <c r="J66" s="370"/>
      <c r="K66" s="370"/>
      <c r="L66" s="380"/>
      <c r="AG66" s="364" t="s">
        <v>30</v>
      </c>
      <c r="AH66" s="357">
        <v>23</v>
      </c>
      <c r="AI66" s="358">
        <v>19</v>
      </c>
      <c r="AJ66" s="358">
        <v>4</v>
      </c>
    </row>
    <row r="67" spans="1:36" ht="15">
      <c r="A67" s="386"/>
      <c r="B67" s="381"/>
      <c r="C67" s="370"/>
      <c r="D67" s="370"/>
      <c r="E67" s="370"/>
      <c r="F67" s="370"/>
      <c r="G67" s="370"/>
      <c r="H67" s="370"/>
      <c r="I67" s="370"/>
      <c r="J67" s="370"/>
      <c r="K67" s="370"/>
      <c r="L67" s="380"/>
      <c r="AG67" s="35" t="s">
        <v>41</v>
      </c>
      <c r="AH67" s="368">
        <v>15</v>
      </c>
      <c r="AI67" s="368">
        <v>12</v>
      </c>
      <c r="AJ67" s="368">
        <v>3</v>
      </c>
    </row>
    <row r="68" spans="1:36">
      <c r="A68" s="386"/>
      <c r="B68" s="381"/>
      <c r="C68" s="370"/>
      <c r="D68" s="370"/>
      <c r="E68" s="370"/>
      <c r="F68" s="370"/>
      <c r="G68" s="370"/>
      <c r="H68" s="370"/>
      <c r="I68" s="370"/>
      <c r="J68" s="370"/>
      <c r="K68" s="370"/>
      <c r="L68" s="380"/>
      <c r="AG68" s="384" t="s">
        <v>15</v>
      </c>
      <c r="AH68" s="335">
        <f>SUM(AH70:AH81)</f>
        <v>340</v>
      </c>
      <c r="AI68" s="335">
        <f>SUM(AI70:AI81)</f>
        <v>337</v>
      </c>
      <c r="AJ68" s="335">
        <f>SUM(AJ70:AJ81)</f>
        <v>3</v>
      </c>
    </row>
    <row r="69" spans="1:36">
      <c r="A69" s="386"/>
      <c r="B69" s="381"/>
      <c r="C69" s="370"/>
      <c r="D69" s="370"/>
      <c r="E69" s="370"/>
      <c r="F69" s="370"/>
      <c r="G69" s="370"/>
      <c r="H69" s="370"/>
      <c r="I69" s="370"/>
      <c r="J69" s="370"/>
      <c r="K69" s="370"/>
      <c r="L69" s="380"/>
    </row>
    <row r="70" spans="1:36" ht="15">
      <c r="A70" s="386"/>
      <c r="B70" s="381"/>
      <c r="C70" s="370"/>
      <c r="D70" s="370"/>
      <c r="E70" s="370"/>
      <c r="F70" s="370"/>
      <c r="G70" s="370"/>
      <c r="H70" s="370"/>
      <c r="I70" s="370"/>
      <c r="J70" s="370"/>
      <c r="K70" s="370"/>
      <c r="L70" s="380"/>
      <c r="AG70" s="35" t="s">
        <v>38</v>
      </c>
      <c r="AH70" s="368">
        <v>11</v>
      </c>
      <c r="AI70" s="368">
        <v>11</v>
      </c>
      <c r="AJ70" s="368">
        <v>0</v>
      </c>
    </row>
    <row r="71" spans="1:36" ht="15">
      <c r="A71" s="386"/>
      <c r="B71" s="381"/>
      <c r="C71" s="370"/>
      <c r="D71" s="370"/>
      <c r="E71" s="370"/>
      <c r="F71" s="370"/>
      <c r="G71" s="370"/>
      <c r="H71" s="370"/>
      <c r="I71" s="370"/>
      <c r="J71" s="370"/>
      <c r="K71" s="370"/>
      <c r="L71" s="380"/>
      <c r="AG71" s="35" t="s">
        <v>34</v>
      </c>
      <c r="AH71" s="368">
        <v>9</v>
      </c>
      <c r="AI71" s="368">
        <v>9</v>
      </c>
      <c r="AJ71" s="368">
        <v>0</v>
      </c>
    </row>
    <row r="72" spans="1:36" ht="15">
      <c r="A72" s="386"/>
      <c r="B72" s="381"/>
      <c r="C72" s="370"/>
      <c r="D72" s="370"/>
      <c r="E72" s="370"/>
      <c r="F72" s="370"/>
      <c r="G72" s="370"/>
      <c r="H72" s="370"/>
      <c r="I72" s="370"/>
      <c r="J72" s="370"/>
      <c r="K72" s="370"/>
      <c r="L72" s="380"/>
      <c r="AG72" s="35" t="s">
        <v>58</v>
      </c>
      <c r="AH72" s="368">
        <v>9</v>
      </c>
      <c r="AI72" s="368">
        <v>9</v>
      </c>
      <c r="AJ72" s="368">
        <v>0</v>
      </c>
    </row>
    <row r="73" spans="1:36" ht="25.5">
      <c r="A73" s="386"/>
      <c r="B73" s="381"/>
      <c r="C73" s="370"/>
      <c r="D73" s="370"/>
      <c r="E73" s="370"/>
      <c r="F73" s="370"/>
      <c r="G73" s="370"/>
      <c r="H73" s="370"/>
      <c r="I73" s="370"/>
      <c r="J73" s="370"/>
      <c r="K73" s="370"/>
      <c r="L73" s="380"/>
      <c r="AG73" s="382" t="s">
        <v>32</v>
      </c>
      <c r="AH73" s="357">
        <v>7</v>
      </c>
      <c r="AI73" s="358">
        <v>7</v>
      </c>
      <c r="AJ73" s="358">
        <v>0</v>
      </c>
    </row>
    <row r="74" spans="1:36" ht="15">
      <c r="A74" s="386"/>
      <c r="B74" s="381"/>
      <c r="C74" s="370"/>
      <c r="D74" s="370"/>
      <c r="E74" s="370"/>
      <c r="F74" s="370"/>
      <c r="G74" s="370"/>
      <c r="H74" s="370"/>
      <c r="I74" s="370"/>
      <c r="J74" s="370"/>
      <c r="K74" s="370"/>
      <c r="L74" s="380"/>
      <c r="AG74" s="35" t="s">
        <v>51</v>
      </c>
      <c r="AH74" s="368">
        <v>7</v>
      </c>
      <c r="AI74" s="368">
        <v>7</v>
      </c>
      <c r="AJ74" s="368">
        <v>0</v>
      </c>
    </row>
    <row r="75" spans="1:36" ht="15">
      <c r="A75" s="386"/>
      <c r="B75" s="381"/>
      <c r="C75" s="370"/>
      <c r="D75" s="370"/>
      <c r="E75" s="370"/>
      <c r="F75" s="370"/>
      <c r="G75" s="370"/>
      <c r="H75" s="370"/>
      <c r="I75" s="370"/>
      <c r="J75" s="370"/>
      <c r="K75" s="370"/>
      <c r="L75" s="380"/>
      <c r="AG75" s="35" t="s">
        <v>53</v>
      </c>
      <c r="AH75" s="368">
        <v>5</v>
      </c>
      <c r="AI75" s="368">
        <v>5</v>
      </c>
      <c r="AJ75" s="368">
        <v>0</v>
      </c>
    </row>
    <row r="76" spans="1:36" ht="15">
      <c r="A76" s="386"/>
      <c r="B76" s="381"/>
      <c r="C76" s="370"/>
      <c r="D76" s="370"/>
      <c r="E76" s="370"/>
      <c r="F76" s="370"/>
      <c r="G76" s="370"/>
      <c r="H76" s="370"/>
      <c r="I76" s="370"/>
      <c r="J76" s="370"/>
      <c r="K76" s="370"/>
      <c r="L76" s="380"/>
      <c r="AG76" s="364" t="s">
        <v>10</v>
      </c>
      <c r="AH76" s="357">
        <v>3</v>
      </c>
      <c r="AI76" s="358">
        <v>3</v>
      </c>
      <c r="AJ76" s="358">
        <v>0</v>
      </c>
    </row>
    <row r="77" spans="1:36" ht="12.75" customHeight="1">
      <c r="A77" s="386"/>
      <c r="B77" s="381"/>
      <c r="C77" s="370"/>
      <c r="D77" s="370"/>
      <c r="E77" s="370"/>
      <c r="F77" s="370"/>
      <c r="G77" s="370"/>
      <c r="H77" s="370"/>
      <c r="I77" s="370"/>
      <c r="J77" s="370"/>
      <c r="K77" s="370"/>
      <c r="L77" s="380"/>
      <c r="AG77" s="35" t="s">
        <v>46</v>
      </c>
      <c r="AH77" s="368">
        <v>3</v>
      </c>
      <c r="AI77" s="368">
        <v>2</v>
      </c>
      <c r="AJ77" s="368">
        <v>1</v>
      </c>
    </row>
    <row r="78" spans="1:36" ht="15">
      <c r="A78" s="386"/>
      <c r="B78" s="381"/>
      <c r="C78" s="370"/>
      <c r="D78" s="370"/>
      <c r="E78" s="370"/>
      <c r="F78" s="370"/>
      <c r="G78" s="370"/>
      <c r="H78" s="370"/>
      <c r="I78" s="370"/>
      <c r="J78" s="370"/>
      <c r="K78" s="370"/>
      <c r="L78" s="380"/>
      <c r="AG78" s="35" t="s">
        <v>36</v>
      </c>
      <c r="AH78" s="368">
        <v>3</v>
      </c>
      <c r="AI78" s="368">
        <v>3</v>
      </c>
      <c r="AJ78" s="368">
        <v>0</v>
      </c>
    </row>
    <row r="79" spans="1:36" ht="15">
      <c r="A79" s="386"/>
      <c r="B79" s="381"/>
      <c r="C79" s="370"/>
      <c r="D79" s="370"/>
      <c r="E79" s="370"/>
      <c r="F79" s="370"/>
      <c r="G79" s="370"/>
      <c r="H79" s="370"/>
      <c r="I79" s="370"/>
      <c r="J79" s="370"/>
      <c r="K79" s="370"/>
      <c r="L79" s="380"/>
      <c r="AG79" s="364" t="s">
        <v>40</v>
      </c>
      <c r="AH79" s="357">
        <v>0</v>
      </c>
      <c r="AI79" s="358">
        <v>0</v>
      </c>
      <c r="AJ79" s="358">
        <v>0</v>
      </c>
    </row>
    <row r="80" spans="1:36" ht="15">
      <c r="A80" s="386"/>
      <c r="B80" s="381"/>
      <c r="C80" s="370"/>
      <c r="D80" s="370"/>
      <c r="E80" s="370"/>
      <c r="F80" s="370"/>
      <c r="G80" s="370"/>
      <c r="H80" s="370"/>
      <c r="I80" s="370"/>
      <c r="J80" s="370"/>
      <c r="K80" s="370"/>
      <c r="L80" s="380"/>
      <c r="AG80" s="50" t="s">
        <v>44</v>
      </c>
      <c r="AH80" s="376">
        <v>0</v>
      </c>
      <c r="AI80" s="376">
        <v>0</v>
      </c>
      <c r="AJ80" s="376">
        <v>0</v>
      </c>
    </row>
    <row r="81" spans="1:36" ht="15">
      <c r="A81" s="386"/>
      <c r="B81" s="381"/>
      <c r="C81" s="370"/>
      <c r="D81" s="370"/>
      <c r="E81" s="370"/>
      <c r="F81" s="370"/>
      <c r="G81" s="370"/>
      <c r="H81" s="370"/>
      <c r="I81" s="370"/>
      <c r="J81" s="370"/>
      <c r="K81" s="370"/>
      <c r="L81" s="380"/>
      <c r="AG81" s="384" t="s">
        <v>15</v>
      </c>
      <c r="AH81" s="368">
        <v>283</v>
      </c>
      <c r="AI81" s="368">
        <v>281</v>
      </c>
      <c r="AJ81" s="368">
        <v>2</v>
      </c>
    </row>
    <row r="82" spans="1:36">
      <c r="A82" s="386"/>
      <c r="B82" s="381"/>
      <c r="C82" s="370"/>
      <c r="D82" s="370"/>
      <c r="E82" s="370"/>
      <c r="F82" s="370"/>
      <c r="G82" s="370"/>
      <c r="H82" s="370"/>
      <c r="I82" s="370"/>
      <c r="J82" s="370"/>
      <c r="K82" s="370"/>
      <c r="L82" s="380"/>
    </row>
    <row r="83" spans="1:36">
      <c r="A83" s="386"/>
      <c r="B83" s="381"/>
      <c r="C83" s="370"/>
      <c r="D83" s="370"/>
      <c r="E83" s="370"/>
      <c r="F83" s="370"/>
      <c r="G83" s="370"/>
      <c r="H83" s="370"/>
      <c r="I83" s="370"/>
      <c r="J83" s="370"/>
      <c r="K83" s="370"/>
      <c r="L83" s="380"/>
    </row>
    <row r="84" spans="1:36">
      <c r="A84" s="386"/>
      <c r="B84" s="381"/>
      <c r="C84" s="370"/>
      <c r="D84" s="370"/>
      <c r="E84" s="370"/>
      <c r="F84" s="370"/>
      <c r="G84" s="370"/>
      <c r="H84" s="370"/>
      <c r="I84" s="370"/>
      <c r="J84" s="370"/>
      <c r="K84" s="370"/>
      <c r="L84" s="380"/>
    </row>
    <row r="85" spans="1:36">
      <c r="A85" s="386"/>
      <c r="B85" s="381"/>
      <c r="C85" s="370"/>
      <c r="D85" s="370"/>
      <c r="E85" s="370"/>
      <c r="F85" s="370"/>
      <c r="G85" s="370"/>
      <c r="H85" s="370"/>
      <c r="I85" s="370"/>
      <c r="J85" s="370"/>
      <c r="K85" s="370"/>
      <c r="L85" s="380"/>
    </row>
    <row r="86" spans="1:36">
      <c r="A86" s="386"/>
      <c r="B86" s="381"/>
      <c r="C86" s="370"/>
      <c r="D86" s="370"/>
      <c r="E86" s="370"/>
      <c r="F86" s="370"/>
      <c r="G86" s="370"/>
      <c r="H86" s="370"/>
      <c r="I86" s="370"/>
      <c r="J86" s="370"/>
      <c r="K86" s="370"/>
      <c r="L86" s="380"/>
    </row>
    <row r="87" spans="1:36">
      <c r="A87" s="386"/>
      <c r="B87" s="381"/>
      <c r="C87" s="370"/>
      <c r="D87" s="370"/>
      <c r="E87" s="370"/>
      <c r="F87" s="370"/>
      <c r="G87" s="370"/>
      <c r="H87" s="370"/>
      <c r="I87" s="370"/>
      <c r="J87" s="370"/>
      <c r="K87" s="370"/>
      <c r="L87" s="380"/>
    </row>
    <row r="88" spans="1:36">
      <c r="A88" s="386"/>
      <c r="B88" s="381"/>
      <c r="C88" s="370"/>
      <c r="D88" s="370"/>
      <c r="E88" s="370"/>
      <c r="F88" s="370"/>
      <c r="G88" s="370"/>
      <c r="H88" s="370"/>
      <c r="I88" s="370"/>
      <c r="J88" s="370"/>
      <c r="K88" s="370"/>
      <c r="L88" s="380"/>
    </row>
    <row r="89" spans="1:36">
      <c r="A89" s="386"/>
      <c r="B89" s="381"/>
      <c r="C89" s="370"/>
      <c r="D89" s="370"/>
      <c r="E89" s="370"/>
      <c r="F89" s="370"/>
      <c r="G89" s="370"/>
      <c r="H89" s="370"/>
      <c r="I89" s="370"/>
      <c r="J89" s="370"/>
      <c r="K89" s="370"/>
      <c r="L89" s="380"/>
    </row>
    <row r="90" spans="1:36">
      <c r="A90" s="386"/>
      <c r="B90" s="381"/>
      <c r="C90" s="370"/>
      <c r="D90" s="370"/>
      <c r="E90" s="370"/>
      <c r="F90" s="370"/>
      <c r="G90" s="370"/>
      <c r="H90" s="370"/>
      <c r="I90" s="370"/>
      <c r="J90" s="370"/>
      <c r="K90" s="370"/>
      <c r="L90" s="380"/>
    </row>
    <row r="91" spans="1:36">
      <c r="A91" s="386"/>
      <c r="B91" s="381"/>
      <c r="C91" s="370"/>
      <c r="D91" s="370"/>
      <c r="E91" s="370"/>
      <c r="F91" s="370"/>
      <c r="G91" s="370"/>
      <c r="H91" s="370"/>
      <c r="I91" s="370"/>
      <c r="J91" s="370"/>
      <c r="K91" s="370"/>
      <c r="L91" s="380"/>
    </row>
    <row r="92" spans="1:36">
      <c r="A92" s="386"/>
      <c r="B92" s="381"/>
      <c r="C92" s="370"/>
      <c r="D92" s="370"/>
      <c r="E92" s="370"/>
      <c r="F92" s="370"/>
      <c r="G92" s="370"/>
      <c r="H92" s="370"/>
      <c r="I92" s="370"/>
      <c r="J92" s="370"/>
      <c r="K92" s="370"/>
      <c r="L92" s="380"/>
    </row>
    <row r="93" spans="1:36">
      <c r="A93" s="386"/>
      <c r="B93" s="381"/>
      <c r="C93" s="370"/>
      <c r="D93" s="370"/>
      <c r="E93" s="370"/>
      <c r="F93" s="370"/>
      <c r="G93" s="370"/>
      <c r="H93" s="370"/>
      <c r="I93" s="370"/>
      <c r="J93" s="370"/>
      <c r="K93" s="370"/>
      <c r="L93" s="380"/>
    </row>
    <row r="94" spans="1:36">
      <c r="A94" s="386"/>
      <c r="B94" s="381"/>
      <c r="C94" s="370"/>
      <c r="D94" s="370"/>
      <c r="E94" s="370"/>
      <c r="F94" s="370"/>
      <c r="G94" s="370"/>
      <c r="H94" s="370"/>
      <c r="I94" s="370"/>
      <c r="J94" s="370"/>
      <c r="K94" s="370"/>
      <c r="L94" s="380"/>
    </row>
    <row r="95" spans="1:36">
      <c r="A95" s="386"/>
      <c r="B95" s="381"/>
      <c r="C95" s="370"/>
      <c r="D95" s="370"/>
      <c r="E95" s="370"/>
      <c r="F95" s="370"/>
      <c r="G95" s="370"/>
      <c r="H95" s="370"/>
      <c r="I95" s="370"/>
      <c r="J95" s="370"/>
      <c r="K95" s="370"/>
      <c r="L95" s="380"/>
    </row>
    <row r="96" spans="1:36">
      <c r="A96" s="386"/>
      <c r="B96" s="381"/>
      <c r="C96" s="370"/>
      <c r="D96" s="370"/>
      <c r="E96" s="370"/>
      <c r="F96" s="370"/>
      <c r="G96" s="370"/>
      <c r="H96" s="370"/>
      <c r="I96" s="370"/>
      <c r="J96" s="370"/>
      <c r="K96" s="370"/>
      <c r="L96" s="380"/>
    </row>
    <row r="97" spans="1:12">
      <c r="A97" s="386"/>
      <c r="B97" s="381"/>
      <c r="C97" s="370"/>
      <c r="D97" s="370"/>
      <c r="E97" s="370"/>
      <c r="F97" s="370"/>
      <c r="G97" s="370"/>
      <c r="H97" s="370"/>
      <c r="I97" s="370"/>
      <c r="J97" s="370"/>
      <c r="K97" s="370"/>
      <c r="L97" s="380"/>
    </row>
    <row r="98" spans="1:12">
      <c r="A98" s="386"/>
      <c r="B98" s="381"/>
      <c r="C98" s="370"/>
      <c r="D98" s="370"/>
      <c r="E98" s="370"/>
      <c r="F98" s="370"/>
      <c r="G98" s="370"/>
      <c r="H98" s="370"/>
      <c r="I98" s="370"/>
      <c r="J98" s="370"/>
      <c r="K98" s="370"/>
      <c r="L98" s="380"/>
    </row>
    <row r="99" spans="1:12">
      <c r="A99" s="386"/>
      <c r="B99" s="381"/>
      <c r="C99" s="370"/>
      <c r="D99" s="370"/>
      <c r="E99" s="370"/>
      <c r="F99" s="370"/>
      <c r="G99" s="370"/>
      <c r="H99" s="370"/>
      <c r="I99" s="370"/>
      <c r="J99" s="370"/>
      <c r="K99" s="370"/>
      <c r="L99" s="380"/>
    </row>
    <row r="100" spans="1:12">
      <c r="A100" s="386"/>
      <c r="B100" s="381"/>
      <c r="C100" s="370"/>
      <c r="D100" s="370"/>
      <c r="E100" s="370"/>
      <c r="F100" s="370"/>
      <c r="G100" s="370"/>
      <c r="H100" s="370"/>
      <c r="I100" s="370"/>
      <c r="J100" s="370"/>
      <c r="K100" s="370"/>
      <c r="L100" s="380"/>
    </row>
    <row r="101" spans="1:12">
      <c r="A101" s="386"/>
      <c r="B101" s="381"/>
      <c r="C101" s="370"/>
      <c r="D101" s="370"/>
      <c r="E101" s="370"/>
      <c r="F101" s="370"/>
      <c r="G101" s="370"/>
      <c r="H101" s="370"/>
      <c r="I101" s="370"/>
      <c r="J101" s="370"/>
      <c r="K101" s="370"/>
      <c r="L101" s="380"/>
    </row>
    <row r="102" spans="1:12">
      <c r="A102" s="386"/>
      <c r="B102" s="381"/>
      <c r="C102" s="370"/>
      <c r="D102" s="370"/>
      <c r="E102" s="370"/>
      <c r="F102" s="370"/>
      <c r="G102" s="370"/>
      <c r="H102" s="370"/>
      <c r="I102" s="370"/>
      <c r="J102" s="370"/>
      <c r="K102" s="370"/>
      <c r="L102" s="380"/>
    </row>
    <row r="103" spans="1:12">
      <c r="A103" s="386"/>
      <c r="B103" s="381"/>
      <c r="C103" s="370"/>
      <c r="D103" s="370"/>
      <c r="E103" s="370"/>
      <c r="F103" s="370"/>
      <c r="G103" s="370"/>
      <c r="H103" s="370"/>
      <c r="I103" s="370"/>
      <c r="J103" s="370"/>
      <c r="K103" s="370"/>
      <c r="L103" s="380"/>
    </row>
    <row r="104" spans="1:12">
      <c r="A104" s="386"/>
      <c r="B104" s="381"/>
      <c r="C104" s="370"/>
      <c r="D104" s="370"/>
      <c r="E104" s="370"/>
      <c r="F104" s="370"/>
      <c r="G104" s="370"/>
      <c r="H104" s="370"/>
      <c r="I104" s="370"/>
      <c r="J104" s="370"/>
      <c r="K104" s="370"/>
      <c r="L104" s="380"/>
    </row>
    <row r="105" spans="1:12">
      <c r="A105" s="386"/>
      <c r="B105" s="381"/>
      <c r="C105" s="370"/>
      <c r="D105" s="370"/>
      <c r="E105" s="370"/>
      <c r="F105" s="370"/>
      <c r="G105" s="370"/>
      <c r="H105" s="370"/>
      <c r="I105" s="370"/>
      <c r="J105" s="370"/>
      <c r="K105" s="370"/>
      <c r="L105" s="380"/>
    </row>
    <row r="106" spans="1:12">
      <c r="A106" s="386"/>
      <c r="B106" s="381"/>
      <c r="C106" s="370"/>
      <c r="D106" s="370"/>
      <c r="E106" s="370"/>
      <c r="F106" s="370"/>
      <c r="G106" s="370"/>
      <c r="H106" s="370"/>
      <c r="I106" s="370"/>
      <c r="J106" s="370"/>
      <c r="K106" s="370"/>
      <c r="L106" s="380"/>
    </row>
    <row r="107" spans="1:12">
      <c r="A107" s="386"/>
      <c r="B107" s="381"/>
      <c r="C107" s="370"/>
      <c r="D107" s="370"/>
      <c r="E107" s="370"/>
      <c r="F107" s="370"/>
      <c r="G107" s="370"/>
      <c r="H107" s="370"/>
      <c r="I107" s="370"/>
      <c r="J107" s="370"/>
      <c r="K107" s="370"/>
      <c r="L107" s="380"/>
    </row>
    <row r="108" spans="1:12">
      <c r="A108" s="386"/>
      <c r="B108" s="381"/>
      <c r="C108" s="370"/>
      <c r="D108" s="370"/>
      <c r="E108" s="370"/>
      <c r="F108" s="370"/>
      <c r="G108" s="370"/>
      <c r="H108" s="370"/>
      <c r="I108" s="370"/>
      <c r="J108" s="370"/>
      <c r="K108" s="370"/>
      <c r="L108" s="380"/>
    </row>
    <row r="109" spans="1:12">
      <c r="A109" s="386"/>
      <c r="B109" s="381"/>
      <c r="C109" s="370"/>
      <c r="D109" s="370"/>
      <c r="E109" s="370"/>
      <c r="F109" s="370"/>
      <c r="G109" s="370"/>
      <c r="H109" s="370"/>
      <c r="I109" s="370"/>
      <c r="J109" s="370"/>
      <c r="K109" s="370"/>
      <c r="L109" s="380"/>
    </row>
    <row r="110" spans="1:12">
      <c r="A110" s="386"/>
      <c r="B110" s="381"/>
      <c r="C110" s="370"/>
      <c r="D110" s="370"/>
      <c r="E110" s="370"/>
      <c r="F110" s="370"/>
      <c r="G110" s="370"/>
      <c r="H110" s="370"/>
      <c r="I110" s="370"/>
      <c r="J110" s="370"/>
      <c r="K110" s="370"/>
      <c r="L110" s="380"/>
    </row>
    <row r="111" spans="1:12">
      <c r="A111" s="386"/>
      <c r="B111" s="381"/>
      <c r="C111" s="370"/>
      <c r="D111" s="370"/>
      <c r="E111" s="370"/>
      <c r="F111" s="370"/>
      <c r="G111" s="370"/>
      <c r="H111" s="370"/>
      <c r="I111" s="370"/>
      <c r="J111" s="370"/>
      <c r="K111" s="370"/>
      <c r="L111" s="380"/>
    </row>
    <row r="112" spans="1:12">
      <c r="A112" s="386"/>
      <c r="B112" s="381"/>
      <c r="C112" s="370"/>
      <c r="D112" s="370"/>
      <c r="E112" s="370"/>
      <c r="F112" s="370"/>
      <c r="G112" s="370"/>
      <c r="H112" s="370"/>
      <c r="I112" s="370"/>
      <c r="J112" s="370"/>
      <c r="K112" s="370"/>
      <c r="L112" s="380"/>
    </row>
    <row r="113" spans="1:12">
      <c r="A113" s="386"/>
      <c r="B113" s="381"/>
      <c r="C113" s="370"/>
      <c r="D113" s="370"/>
      <c r="E113" s="370"/>
      <c r="F113" s="370"/>
      <c r="G113" s="370"/>
      <c r="H113" s="370"/>
      <c r="I113" s="370"/>
      <c r="J113" s="370"/>
      <c r="K113" s="370"/>
      <c r="L113" s="380"/>
    </row>
    <row r="114" spans="1:12">
      <c r="A114" s="386"/>
      <c r="B114" s="381"/>
      <c r="C114" s="370"/>
      <c r="D114" s="370"/>
      <c r="E114" s="370"/>
      <c r="F114" s="370"/>
      <c r="G114" s="370"/>
      <c r="H114" s="370"/>
      <c r="I114" s="370"/>
      <c r="J114" s="370"/>
      <c r="K114" s="370"/>
      <c r="L114" s="380"/>
    </row>
    <row r="115" spans="1:12">
      <c r="A115" s="386"/>
      <c r="B115" s="381"/>
      <c r="C115" s="370"/>
      <c r="D115" s="370"/>
      <c r="E115" s="370"/>
      <c r="F115" s="370"/>
      <c r="G115" s="370"/>
      <c r="H115" s="370"/>
      <c r="I115" s="370"/>
      <c r="J115" s="370"/>
      <c r="K115" s="370"/>
      <c r="L115" s="380"/>
    </row>
    <row r="116" spans="1:12">
      <c r="A116" s="386"/>
      <c r="B116" s="381"/>
      <c r="C116" s="370"/>
      <c r="D116" s="370"/>
      <c r="E116" s="370"/>
      <c r="F116" s="370"/>
      <c r="G116" s="370"/>
      <c r="H116" s="370"/>
      <c r="I116" s="370"/>
      <c r="J116" s="370"/>
      <c r="K116" s="370"/>
      <c r="L116" s="380"/>
    </row>
    <row r="117" spans="1:12">
      <c r="A117" s="386"/>
      <c r="B117" s="381"/>
      <c r="C117" s="370"/>
      <c r="D117" s="370"/>
      <c r="E117" s="370"/>
      <c r="F117" s="370"/>
      <c r="G117" s="370"/>
      <c r="H117" s="370"/>
      <c r="I117" s="370"/>
      <c r="J117" s="370"/>
      <c r="K117" s="370"/>
      <c r="L117" s="380"/>
    </row>
    <row r="118" spans="1:12">
      <c r="A118" s="386"/>
      <c r="B118" s="381"/>
      <c r="C118" s="370"/>
      <c r="D118" s="370"/>
      <c r="E118" s="370"/>
      <c r="F118" s="370"/>
      <c r="G118" s="370"/>
      <c r="H118" s="370"/>
      <c r="I118" s="370"/>
      <c r="J118" s="370"/>
      <c r="K118" s="370"/>
      <c r="L118" s="380"/>
    </row>
    <row r="119" spans="1:12">
      <c r="A119" s="386"/>
      <c r="B119" s="381"/>
      <c r="C119" s="370"/>
      <c r="D119" s="370"/>
      <c r="E119" s="370"/>
      <c r="F119" s="370"/>
      <c r="G119" s="370"/>
      <c r="H119" s="370"/>
      <c r="I119" s="370"/>
      <c r="J119" s="370"/>
      <c r="K119" s="370"/>
      <c r="L119" s="380"/>
    </row>
    <row r="120" spans="1:12">
      <c r="A120" s="386"/>
      <c r="B120" s="381"/>
      <c r="C120" s="370"/>
      <c r="D120" s="370"/>
      <c r="E120" s="370"/>
      <c r="F120" s="370"/>
      <c r="G120" s="370"/>
      <c r="H120" s="370"/>
      <c r="I120" s="370"/>
      <c r="J120" s="370"/>
      <c r="K120" s="370"/>
      <c r="L120" s="380"/>
    </row>
    <row r="121" spans="1:12">
      <c r="A121" s="386"/>
      <c r="B121" s="381"/>
      <c r="C121" s="370"/>
      <c r="D121" s="370"/>
      <c r="E121" s="370"/>
      <c r="F121" s="370"/>
      <c r="G121" s="370"/>
      <c r="H121" s="370"/>
      <c r="I121" s="370"/>
      <c r="J121" s="370"/>
      <c r="K121" s="370"/>
      <c r="L121" s="380"/>
    </row>
    <row r="122" spans="1:12">
      <c r="A122" s="386"/>
      <c r="B122" s="381"/>
      <c r="C122" s="370"/>
      <c r="D122" s="370"/>
      <c r="E122" s="370"/>
      <c r="F122" s="370"/>
      <c r="G122" s="370"/>
      <c r="H122" s="370"/>
      <c r="I122" s="370"/>
      <c r="J122" s="370"/>
      <c r="K122" s="370"/>
      <c r="L122" s="380"/>
    </row>
    <row r="123" spans="1:12">
      <c r="A123" s="386"/>
      <c r="B123" s="381"/>
      <c r="C123" s="370"/>
      <c r="D123" s="370"/>
      <c r="E123" s="370"/>
      <c r="F123" s="370"/>
      <c r="G123" s="370"/>
      <c r="H123" s="370"/>
      <c r="I123" s="370"/>
      <c r="J123" s="370"/>
      <c r="K123" s="370"/>
      <c r="L123" s="380"/>
    </row>
    <row r="124" spans="1:12">
      <c r="A124" s="386"/>
      <c r="B124" s="381"/>
      <c r="C124" s="370"/>
      <c r="D124" s="370"/>
      <c r="E124" s="370"/>
      <c r="F124" s="370"/>
      <c r="G124" s="370"/>
      <c r="H124" s="370"/>
      <c r="I124" s="370"/>
      <c r="J124" s="370"/>
      <c r="K124" s="370"/>
      <c r="L124" s="380"/>
    </row>
    <row r="125" spans="1:12">
      <c r="A125" s="386"/>
      <c r="B125" s="381"/>
      <c r="C125" s="370"/>
      <c r="D125" s="370"/>
      <c r="E125" s="370"/>
      <c r="F125" s="370"/>
      <c r="G125" s="370"/>
      <c r="H125" s="370"/>
      <c r="I125" s="370"/>
      <c r="J125" s="370"/>
      <c r="K125" s="370"/>
      <c r="L125" s="380"/>
    </row>
    <row r="126" spans="1:12">
      <c r="A126" s="386"/>
      <c r="B126" s="381"/>
      <c r="C126" s="370"/>
      <c r="D126" s="370"/>
      <c r="E126" s="370"/>
      <c r="F126" s="370"/>
      <c r="G126" s="370"/>
      <c r="H126" s="370"/>
      <c r="I126" s="370"/>
      <c r="J126" s="370"/>
      <c r="K126" s="370"/>
      <c r="L126" s="380"/>
    </row>
    <row r="127" spans="1:12">
      <c r="A127" s="386"/>
      <c r="B127" s="381"/>
      <c r="C127" s="370"/>
      <c r="D127" s="370"/>
      <c r="E127" s="370"/>
      <c r="F127" s="370"/>
      <c r="G127" s="370"/>
      <c r="H127" s="370"/>
      <c r="I127" s="370"/>
      <c r="J127" s="370"/>
      <c r="K127" s="370"/>
      <c r="L127" s="380"/>
    </row>
    <row r="128" spans="1:12">
      <c r="A128" s="386"/>
      <c r="B128" s="381"/>
      <c r="C128" s="370"/>
      <c r="D128" s="370"/>
      <c r="E128" s="370"/>
      <c r="F128" s="370"/>
      <c r="G128" s="370"/>
      <c r="H128" s="370"/>
      <c r="I128" s="370"/>
      <c r="J128" s="370"/>
      <c r="K128" s="370"/>
      <c r="L128" s="380"/>
    </row>
    <row r="129" spans="1:12">
      <c r="A129" s="386"/>
      <c r="B129" s="381"/>
      <c r="C129" s="370"/>
      <c r="D129" s="370"/>
      <c r="E129" s="370"/>
      <c r="F129" s="370"/>
      <c r="G129" s="370"/>
      <c r="H129" s="370"/>
      <c r="I129" s="370"/>
      <c r="J129" s="370"/>
      <c r="K129" s="370"/>
      <c r="L129" s="380"/>
    </row>
    <row r="130" spans="1:12">
      <c r="A130" s="386"/>
      <c r="B130" s="381"/>
      <c r="C130" s="370"/>
      <c r="D130" s="370"/>
      <c r="E130" s="370"/>
      <c r="F130" s="370"/>
      <c r="G130" s="370"/>
      <c r="H130" s="370"/>
      <c r="I130" s="370"/>
      <c r="J130" s="370"/>
      <c r="K130" s="370"/>
      <c r="L130" s="380"/>
    </row>
    <row r="131" spans="1:12">
      <c r="A131" s="386"/>
      <c r="B131" s="381"/>
      <c r="C131" s="370"/>
      <c r="D131" s="370"/>
      <c r="E131" s="370"/>
      <c r="F131" s="370"/>
      <c r="G131" s="370"/>
      <c r="H131" s="370"/>
      <c r="I131" s="370"/>
      <c r="J131" s="370"/>
      <c r="K131" s="370"/>
      <c r="L131" s="380"/>
    </row>
    <row r="132" spans="1:12">
      <c r="A132" s="386"/>
      <c r="B132" s="381"/>
      <c r="C132" s="370"/>
      <c r="D132" s="370"/>
      <c r="E132" s="370"/>
      <c r="F132" s="370"/>
      <c r="G132" s="370"/>
      <c r="H132" s="370"/>
      <c r="I132" s="370"/>
      <c r="J132" s="370"/>
      <c r="K132" s="370"/>
      <c r="L132" s="380"/>
    </row>
    <row r="133" spans="1:12">
      <c r="A133" s="386"/>
      <c r="B133" s="381"/>
      <c r="C133" s="370"/>
      <c r="D133" s="370"/>
      <c r="E133" s="370"/>
      <c r="F133" s="370"/>
      <c r="G133" s="370"/>
      <c r="H133" s="370"/>
      <c r="I133" s="370"/>
      <c r="J133" s="370"/>
      <c r="K133" s="370"/>
      <c r="L133" s="380"/>
    </row>
    <row r="134" spans="1:12">
      <c r="A134" s="386"/>
      <c r="B134" s="381"/>
      <c r="C134" s="370"/>
      <c r="D134" s="370"/>
      <c r="E134" s="370"/>
      <c r="F134" s="370"/>
      <c r="G134" s="370"/>
      <c r="H134" s="370"/>
      <c r="I134" s="370"/>
      <c r="J134" s="370"/>
      <c r="K134" s="370"/>
      <c r="L134" s="380"/>
    </row>
    <row r="135" spans="1:12">
      <c r="A135" s="386"/>
      <c r="B135" s="381"/>
      <c r="C135" s="370"/>
      <c r="D135" s="370"/>
      <c r="E135" s="370"/>
      <c r="F135" s="370"/>
      <c r="G135" s="370"/>
      <c r="H135" s="370"/>
      <c r="I135" s="370"/>
      <c r="J135" s="370"/>
      <c r="K135" s="370"/>
      <c r="L135" s="380"/>
    </row>
    <row r="136" spans="1:12">
      <c r="A136" s="386"/>
      <c r="B136" s="381"/>
      <c r="C136" s="370"/>
      <c r="D136" s="370"/>
      <c r="E136" s="370"/>
      <c r="F136" s="370"/>
      <c r="G136" s="370"/>
      <c r="H136" s="370"/>
      <c r="I136" s="370"/>
      <c r="J136" s="370"/>
      <c r="K136" s="370"/>
      <c r="L136" s="380"/>
    </row>
    <row r="137" spans="1:12">
      <c r="A137" s="386"/>
      <c r="B137" s="381"/>
      <c r="C137" s="370"/>
      <c r="D137" s="370"/>
      <c r="E137" s="370"/>
      <c r="F137" s="370"/>
      <c r="G137" s="370"/>
      <c r="H137" s="370"/>
      <c r="I137" s="370"/>
      <c r="J137" s="370"/>
      <c r="K137" s="370"/>
      <c r="L137" s="380"/>
    </row>
    <row r="138" spans="1:12">
      <c r="A138" s="386"/>
      <c r="B138" s="381"/>
      <c r="C138" s="370"/>
      <c r="D138" s="370"/>
      <c r="E138" s="370"/>
      <c r="F138" s="370"/>
      <c r="G138" s="370"/>
      <c r="H138" s="370"/>
      <c r="I138" s="370"/>
      <c r="J138" s="370"/>
      <c r="K138" s="370"/>
      <c r="L138" s="380"/>
    </row>
    <row r="139" spans="1:12">
      <c r="A139" s="386"/>
      <c r="B139" s="381"/>
      <c r="C139" s="370"/>
      <c r="D139" s="370"/>
      <c r="E139" s="370"/>
      <c r="F139" s="370"/>
      <c r="G139" s="370"/>
      <c r="H139" s="370"/>
      <c r="I139" s="370"/>
      <c r="J139" s="370"/>
      <c r="K139" s="370"/>
      <c r="L139" s="380"/>
    </row>
    <row r="140" spans="1:12">
      <c r="A140" s="386"/>
      <c r="B140" s="381"/>
      <c r="C140" s="370"/>
      <c r="D140" s="370"/>
      <c r="E140" s="370"/>
      <c r="F140" s="370"/>
      <c r="G140" s="370"/>
      <c r="H140" s="370"/>
      <c r="I140" s="370"/>
      <c r="J140" s="370"/>
      <c r="K140" s="370"/>
      <c r="L140" s="380"/>
    </row>
    <row r="141" spans="1:12">
      <c r="A141" s="386"/>
      <c r="B141" s="381"/>
      <c r="C141" s="370"/>
      <c r="D141" s="370"/>
      <c r="E141" s="370"/>
      <c r="F141" s="370"/>
      <c r="G141" s="370"/>
      <c r="H141" s="370"/>
      <c r="I141" s="370"/>
      <c r="J141" s="370"/>
      <c r="K141" s="370"/>
      <c r="L141" s="380"/>
    </row>
    <row r="142" spans="1:12">
      <c r="A142" s="386"/>
      <c r="B142" s="381"/>
      <c r="C142" s="370"/>
      <c r="D142" s="370"/>
      <c r="E142" s="370"/>
      <c r="F142" s="370"/>
      <c r="G142" s="370"/>
      <c r="H142" s="370"/>
      <c r="I142" s="370"/>
      <c r="J142" s="370"/>
      <c r="K142" s="370"/>
      <c r="L142" s="380"/>
    </row>
    <row r="143" spans="1:12">
      <c r="A143" s="386"/>
      <c r="B143" s="381"/>
      <c r="C143" s="370"/>
      <c r="D143" s="370"/>
      <c r="E143" s="370"/>
      <c r="F143" s="370"/>
      <c r="G143" s="370"/>
      <c r="H143" s="370"/>
      <c r="I143" s="370"/>
      <c r="J143" s="370"/>
      <c r="K143" s="370"/>
      <c r="L143" s="380"/>
    </row>
    <row r="144" spans="1:12">
      <c r="A144" s="386"/>
      <c r="B144" s="381"/>
      <c r="C144" s="370"/>
      <c r="D144" s="370"/>
      <c r="E144" s="370"/>
      <c r="F144" s="370"/>
      <c r="G144" s="370"/>
      <c r="H144" s="370"/>
      <c r="I144" s="370"/>
      <c r="J144" s="370"/>
      <c r="K144" s="370"/>
      <c r="L144" s="380"/>
    </row>
    <row r="145" spans="1:12">
      <c r="A145" s="386"/>
      <c r="B145" s="381"/>
      <c r="C145" s="370"/>
      <c r="D145" s="370"/>
      <c r="E145" s="370"/>
      <c r="F145" s="370"/>
      <c r="G145" s="370"/>
      <c r="H145" s="370"/>
      <c r="I145" s="370"/>
      <c r="J145" s="370"/>
      <c r="K145" s="370"/>
      <c r="L145" s="380"/>
    </row>
    <row r="146" spans="1:12">
      <c r="A146" s="386"/>
      <c r="B146" s="381"/>
      <c r="C146" s="370"/>
      <c r="D146" s="370"/>
      <c r="E146" s="370"/>
      <c r="F146" s="370"/>
      <c r="G146" s="370"/>
      <c r="H146" s="370"/>
      <c r="I146" s="370"/>
      <c r="J146" s="370"/>
      <c r="K146" s="370"/>
      <c r="L146" s="380"/>
    </row>
    <row r="147" spans="1:12">
      <c r="A147" s="386"/>
      <c r="B147" s="381"/>
      <c r="C147" s="370"/>
      <c r="D147" s="370"/>
      <c r="E147" s="370"/>
      <c r="F147" s="370"/>
      <c r="G147" s="370"/>
      <c r="H147" s="370"/>
      <c r="I147" s="370"/>
      <c r="J147" s="370"/>
      <c r="K147" s="370"/>
      <c r="L147" s="380"/>
    </row>
    <row r="148" spans="1:12">
      <c r="A148" s="386"/>
      <c r="B148" s="381"/>
      <c r="C148" s="370"/>
      <c r="D148" s="370"/>
      <c r="E148" s="370"/>
      <c r="F148" s="370"/>
      <c r="G148" s="370"/>
      <c r="H148" s="370"/>
      <c r="I148" s="370"/>
      <c r="J148" s="370"/>
      <c r="K148" s="370"/>
      <c r="L148" s="380"/>
    </row>
    <row r="149" spans="1:12">
      <c r="A149" s="386"/>
      <c r="B149" s="381"/>
      <c r="C149" s="370"/>
      <c r="D149" s="370"/>
      <c r="E149" s="370"/>
      <c r="F149" s="370"/>
      <c r="G149" s="370"/>
      <c r="H149" s="370"/>
      <c r="I149" s="370"/>
      <c r="J149" s="370"/>
      <c r="K149" s="370"/>
      <c r="L149" s="380"/>
    </row>
    <row r="150" spans="1:12">
      <c r="A150" s="386"/>
      <c r="B150" s="381"/>
      <c r="C150" s="370"/>
      <c r="D150" s="370"/>
      <c r="E150" s="370"/>
      <c r="F150" s="370"/>
      <c r="G150" s="370"/>
      <c r="H150" s="370"/>
      <c r="I150" s="370"/>
      <c r="J150" s="370"/>
      <c r="K150" s="370"/>
      <c r="L150" s="380"/>
    </row>
    <row r="151" spans="1:12">
      <c r="A151" s="386"/>
      <c r="B151" s="381"/>
      <c r="C151" s="370"/>
      <c r="D151" s="370"/>
      <c r="E151" s="370"/>
      <c r="F151" s="370"/>
      <c r="G151" s="370"/>
      <c r="H151" s="370"/>
      <c r="I151" s="370"/>
      <c r="J151" s="370"/>
      <c r="K151" s="370"/>
      <c r="L151" s="380"/>
    </row>
    <row r="152" spans="1:12">
      <c r="A152" s="386"/>
      <c r="B152" s="381"/>
      <c r="C152" s="370"/>
      <c r="D152" s="370"/>
      <c r="E152" s="370"/>
      <c r="F152" s="370"/>
      <c r="G152" s="370"/>
      <c r="H152" s="370"/>
      <c r="I152" s="370"/>
      <c r="J152" s="370"/>
      <c r="K152" s="370"/>
      <c r="L152" s="380"/>
    </row>
    <row r="153" spans="1:12">
      <c r="A153" s="386"/>
      <c r="B153" s="381"/>
      <c r="C153" s="370"/>
      <c r="D153" s="370"/>
      <c r="E153" s="370"/>
      <c r="F153" s="370"/>
      <c r="G153" s="370"/>
      <c r="H153" s="370"/>
      <c r="I153" s="370"/>
      <c r="J153" s="370"/>
      <c r="K153" s="370"/>
      <c r="L153" s="380"/>
    </row>
    <row r="154" spans="1:12">
      <c r="A154" s="386"/>
      <c r="B154" s="381"/>
      <c r="C154" s="370"/>
      <c r="D154" s="370"/>
      <c r="E154" s="370"/>
      <c r="F154" s="370"/>
      <c r="G154" s="370"/>
      <c r="H154" s="370"/>
      <c r="I154" s="370"/>
      <c r="J154" s="370"/>
      <c r="K154" s="370"/>
      <c r="L154" s="380"/>
    </row>
    <row r="155" spans="1:12">
      <c r="A155" s="386"/>
      <c r="B155" s="381"/>
      <c r="C155" s="370"/>
      <c r="D155" s="370"/>
      <c r="E155" s="370"/>
      <c r="F155" s="370"/>
      <c r="G155" s="370"/>
      <c r="H155" s="370"/>
      <c r="I155" s="370"/>
      <c r="J155" s="370"/>
      <c r="K155" s="370"/>
      <c r="L155" s="380"/>
    </row>
    <row r="156" spans="1:12">
      <c r="A156" s="386"/>
      <c r="B156" s="381"/>
      <c r="C156" s="370"/>
      <c r="D156" s="370"/>
      <c r="E156" s="370"/>
      <c r="F156" s="370"/>
      <c r="G156" s="370"/>
      <c r="H156" s="370"/>
      <c r="I156" s="370"/>
      <c r="J156" s="370"/>
      <c r="K156" s="370"/>
      <c r="L156" s="380"/>
    </row>
    <row r="157" spans="1:12">
      <c r="A157" s="386"/>
      <c r="B157" s="381"/>
      <c r="C157" s="370"/>
      <c r="D157" s="370"/>
      <c r="E157" s="370"/>
      <c r="F157" s="370"/>
      <c r="G157" s="370"/>
      <c r="H157" s="370"/>
      <c r="I157" s="370"/>
      <c r="J157" s="370"/>
      <c r="K157" s="370"/>
      <c r="L157" s="380"/>
    </row>
    <row r="158" spans="1:12">
      <c r="A158" s="386"/>
      <c r="B158" s="381"/>
      <c r="C158" s="370"/>
      <c r="D158" s="370"/>
      <c r="E158" s="370"/>
      <c r="F158" s="370"/>
      <c r="G158" s="370"/>
      <c r="H158" s="370"/>
      <c r="I158" s="370"/>
      <c r="J158" s="370"/>
      <c r="K158" s="370"/>
      <c r="L158" s="380"/>
    </row>
    <row r="159" spans="1:12">
      <c r="A159" s="386"/>
      <c r="B159" s="381"/>
      <c r="C159" s="370"/>
      <c r="D159" s="370"/>
      <c r="E159" s="370"/>
      <c r="F159" s="370"/>
      <c r="G159" s="370"/>
      <c r="H159" s="370"/>
      <c r="I159" s="370"/>
      <c r="J159" s="370"/>
      <c r="K159" s="370"/>
      <c r="L159" s="380"/>
    </row>
    <row r="160" spans="1:12">
      <c r="A160" s="386"/>
      <c r="B160" s="381"/>
      <c r="C160" s="370"/>
      <c r="D160" s="370"/>
      <c r="E160" s="370"/>
      <c r="F160" s="370"/>
      <c r="G160" s="370"/>
      <c r="H160" s="370"/>
      <c r="I160" s="370"/>
      <c r="J160" s="370"/>
      <c r="K160" s="370"/>
      <c r="L160" s="380"/>
    </row>
    <row r="161" spans="1:12">
      <c r="A161" s="386"/>
      <c r="B161" s="381"/>
      <c r="C161" s="370"/>
      <c r="D161" s="370"/>
      <c r="E161" s="370"/>
      <c r="F161" s="370"/>
      <c r="G161" s="370"/>
      <c r="H161" s="370"/>
      <c r="I161" s="370"/>
      <c r="J161" s="370"/>
      <c r="K161" s="370"/>
      <c r="L161" s="380"/>
    </row>
    <row r="162" spans="1:12">
      <c r="A162" s="386"/>
      <c r="B162" s="381"/>
      <c r="C162" s="370"/>
      <c r="D162" s="370"/>
      <c r="E162" s="370"/>
      <c r="F162" s="370"/>
      <c r="G162" s="370"/>
      <c r="H162" s="370"/>
      <c r="I162" s="370"/>
      <c r="J162" s="370"/>
      <c r="K162" s="370"/>
      <c r="L162" s="380"/>
    </row>
    <row r="163" spans="1:12">
      <c r="A163" s="386"/>
      <c r="B163" s="381"/>
      <c r="C163" s="370"/>
      <c r="D163" s="370"/>
      <c r="E163" s="370"/>
      <c r="F163" s="370"/>
      <c r="G163" s="370"/>
      <c r="H163" s="370"/>
      <c r="I163" s="370"/>
      <c r="J163" s="370"/>
      <c r="K163" s="370"/>
      <c r="L163" s="380"/>
    </row>
    <row r="164" spans="1:12">
      <c r="A164" s="386"/>
      <c r="B164" s="381"/>
      <c r="C164" s="370"/>
      <c r="D164" s="370"/>
      <c r="E164" s="370"/>
      <c r="F164" s="370"/>
      <c r="G164" s="370"/>
      <c r="H164" s="370"/>
      <c r="I164" s="370"/>
      <c r="J164" s="370"/>
      <c r="K164" s="370"/>
      <c r="L164" s="380"/>
    </row>
    <row r="165" spans="1:12">
      <c r="A165" s="386"/>
      <c r="B165" s="381"/>
      <c r="C165" s="370"/>
      <c r="D165" s="370"/>
      <c r="E165" s="370"/>
      <c r="F165" s="370"/>
      <c r="G165" s="370"/>
      <c r="H165" s="370"/>
      <c r="I165" s="370"/>
      <c r="J165" s="370"/>
      <c r="K165" s="370"/>
      <c r="L165" s="380"/>
    </row>
    <row r="166" spans="1:12">
      <c r="A166" s="386"/>
      <c r="B166" s="381"/>
      <c r="C166" s="370"/>
      <c r="D166" s="370"/>
      <c r="E166" s="370"/>
      <c r="F166" s="370"/>
      <c r="G166" s="370"/>
      <c r="H166" s="370"/>
      <c r="I166" s="370"/>
      <c r="J166" s="370"/>
      <c r="K166" s="370"/>
      <c r="L166" s="380"/>
    </row>
    <row r="167" spans="1:12">
      <c r="A167" s="386"/>
      <c r="B167" s="381"/>
      <c r="C167" s="370"/>
      <c r="D167" s="370"/>
      <c r="E167" s="370"/>
      <c r="F167" s="370"/>
      <c r="G167" s="370"/>
      <c r="H167" s="370"/>
      <c r="I167" s="370"/>
      <c r="J167" s="370"/>
      <c r="K167" s="370"/>
      <c r="L167" s="380"/>
    </row>
    <row r="168" spans="1:12">
      <c r="A168" s="386"/>
      <c r="B168" s="381"/>
      <c r="C168" s="370"/>
      <c r="D168" s="370"/>
      <c r="E168" s="370"/>
      <c r="F168" s="370"/>
      <c r="G168" s="370"/>
      <c r="H168" s="370"/>
      <c r="I168" s="370"/>
      <c r="J168" s="370"/>
      <c r="K168" s="370"/>
      <c r="L168" s="380"/>
    </row>
    <row r="169" spans="1:12">
      <c r="A169" s="386"/>
      <c r="B169" s="381"/>
      <c r="C169" s="370"/>
      <c r="D169" s="370"/>
      <c r="E169" s="370"/>
      <c r="F169" s="370"/>
      <c r="G169" s="370"/>
      <c r="H169" s="370"/>
      <c r="I169" s="370"/>
      <c r="J169" s="370"/>
      <c r="K169" s="370"/>
      <c r="L169" s="380"/>
    </row>
    <row r="170" spans="1:12">
      <c r="A170" s="386"/>
      <c r="B170" s="381"/>
      <c r="C170" s="370"/>
      <c r="D170" s="370"/>
      <c r="E170" s="370"/>
      <c r="F170" s="370"/>
      <c r="G170" s="370"/>
      <c r="H170" s="370"/>
      <c r="I170" s="370"/>
      <c r="J170" s="370"/>
      <c r="K170" s="370"/>
      <c r="L170" s="380"/>
    </row>
    <row r="171" spans="1:12">
      <c r="A171" s="386"/>
      <c r="B171" s="381"/>
      <c r="C171" s="370"/>
      <c r="D171" s="370"/>
      <c r="E171" s="370"/>
      <c r="F171" s="370"/>
      <c r="G171" s="370"/>
      <c r="H171" s="370"/>
      <c r="I171" s="370"/>
      <c r="J171" s="370"/>
      <c r="K171" s="370"/>
      <c r="L171" s="380"/>
    </row>
    <row r="172" spans="1:12">
      <c r="A172" s="386"/>
      <c r="B172" s="381"/>
      <c r="C172" s="370"/>
      <c r="D172" s="370"/>
      <c r="E172" s="370"/>
      <c r="F172" s="370"/>
      <c r="G172" s="370"/>
      <c r="H172" s="370"/>
      <c r="I172" s="370"/>
      <c r="J172" s="370"/>
      <c r="K172" s="370"/>
      <c r="L172" s="380"/>
    </row>
    <row r="173" spans="1:12">
      <c r="A173" s="386"/>
      <c r="B173" s="381"/>
      <c r="C173" s="370"/>
      <c r="D173" s="370"/>
      <c r="E173" s="370"/>
      <c r="F173" s="370"/>
      <c r="G173" s="370"/>
      <c r="H173" s="370"/>
      <c r="I173" s="370"/>
      <c r="J173" s="370"/>
      <c r="K173" s="370"/>
      <c r="L173" s="380"/>
    </row>
    <row r="174" spans="1:12">
      <c r="A174" s="386"/>
      <c r="B174" s="381"/>
      <c r="C174" s="370"/>
      <c r="D174" s="370"/>
      <c r="E174" s="370"/>
      <c r="F174" s="370"/>
      <c r="G174" s="370"/>
      <c r="H174" s="370"/>
      <c r="I174" s="370"/>
      <c r="J174" s="370"/>
      <c r="K174" s="370"/>
      <c r="L174" s="380"/>
    </row>
    <row r="175" spans="1:12">
      <c r="A175" s="386"/>
      <c r="B175" s="381"/>
      <c r="C175" s="370"/>
      <c r="D175" s="370"/>
      <c r="E175" s="370"/>
      <c r="F175" s="370"/>
      <c r="G175" s="370"/>
      <c r="H175" s="370"/>
      <c r="I175" s="370"/>
      <c r="J175" s="370"/>
      <c r="K175" s="370"/>
      <c r="L175" s="380"/>
    </row>
    <row r="176" spans="1:12">
      <c r="A176" s="386"/>
      <c r="B176" s="381"/>
      <c r="C176" s="370"/>
      <c r="D176" s="370"/>
      <c r="E176" s="370"/>
      <c r="F176" s="370"/>
      <c r="G176" s="370"/>
      <c r="H176" s="370"/>
      <c r="I176" s="370"/>
      <c r="J176" s="370"/>
      <c r="K176" s="370"/>
      <c r="L176" s="380"/>
    </row>
    <row r="177" spans="1:12">
      <c r="A177" s="386"/>
      <c r="B177" s="381"/>
      <c r="C177" s="370"/>
      <c r="D177" s="370"/>
      <c r="E177" s="370"/>
      <c r="F177" s="370"/>
      <c r="G177" s="370"/>
      <c r="H177" s="370"/>
      <c r="I177" s="370"/>
      <c r="J177" s="370"/>
      <c r="K177" s="370"/>
      <c r="L177" s="380"/>
    </row>
    <row r="178" spans="1:12">
      <c r="A178" s="386"/>
      <c r="B178" s="381"/>
      <c r="C178" s="370"/>
      <c r="D178" s="370"/>
      <c r="E178" s="370"/>
      <c r="F178" s="370"/>
      <c r="G178" s="370"/>
      <c r="H178" s="370"/>
      <c r="I178" s="370"/>
      <c r="J178" s="370"/>
      <c r="K178" s="370"/>
      <c r="L178" s="380"/>
    </row>
    <row r="179" spans="1:12">
      <c r="A179" s="386"/>
      <c r="B179" s="381"/>
      <c r="C179" s="370"/>
      <c r="D179" s="370"/>
      <c r="E179" s="370"/>
      <c r="F179" s="370"/>
      <c r="G179" s="370"/>
      <c r="H179" s="370"/>
      <c r="I179" s="370"/>
      <c r="J179" s="370"/>
      <c r="K179" s="370"/>
      <c r="L179" s="380"/>
    </row>
    <row r="180" spans="1:12">
      <c r="A180" s="386"/>
      <c r="B180" s="381"/>
      <c r="C180" s="370"/>
      <c r="D180" s="370"/>
      <c r="E180" s="370"/>
      <c r="F180" s="370"/>
      <c r="G180" s="370"/>
      <c r="H180" s="370"/>
      <c r="I180" s="370"/>
      <c r="J180" s="370"/>
      <c r="K180" s="370"/>
      <c r="L180" s="380"/>
    </row>
    <row r="181" spans="1:12">
      <c r="A181" s="386"/>
      <c r="B181" s="381"/>
      <c r="C181" s="370"/>
      <c r="D181" s="370"/>
      <c r="E181" s="370"/>
      <c r="F181" s="370"/>
      <c r="G181" s="370"/>
      <c r="H181" s="370"/>
      <c r="I181" s="370"/>
      <c r="J181" s="370"/>
      <c r="K181" s="370"/>
      <c r="L181" s="380"/>
    </row>
    <row r="182" spans="1:12">
      <c r="A182" s="386"/>
      <c r="B182" s="381"/>
      <c r="C182" s="370"/>
      <c r="D182" s="370"/>
      <c r="E182" s="370"/>
      <c r="F182" s="370"/>
      <c r="G182" s="370"/>
      <c r="H182" s="370"/>
      <c r="I182" s="370"/>
      <c r="J182" s="370"/>
      <c r="K182" s="370"/>
      <c r="L182" s="380"/>
    </row>
    <row r="183" spans="1:12">
      <c r="A183" s="386"/>
      <c r="B183" s="381"/>
      <c r="C183" s="370"/>
      <c r="D183" s="370"/>
      <c r="E183" s="370"/>
      <c r="F183" s="370"/>
      <c r="G183" s="370"/>
      <c r="H183" s="370"/>
      <c r="I183" s="370"/>
      <c r="J183" s="370"/>
      <c r="K183" s="370"/>
      <c r="L183" s="380"/>
    </row>
    <row r="184" spans="1:12">
      <c r="A184" s="386"/>
      <c r="B184" s="381"/>
      <c r="C184" s="370"/>
      <c r="D184" s="370"/>
      <c r="E184" s="370"/>
      <c r="F184" s="370"/>
      <c r="G184" s="370"/>
      <c r="H184" s="370"/>
      <c r="I184" s="370"/>
      <c r="J184" s="370"/>
      <c r="K184" s="370"/>
      <c r="L184" s="380"/>
    </row>
    <row r="185" spans="1:12">
      <c r="A185" s="386"/>
      <c r="B185" s="381"/>
      <c r="C185" s="370"/>
      <c r="D185" s="370"/>
      <c r="E185" s="370"/>
      <c r="F185" s="370"/>
      <c r="G185" s="370"/>
      <c r="H185" s="370"/>
      <c r="I185" s="370"/>
      <c r="J185" s="370"/>
      <c r="K185" s="370"/>
      <c r="L185" s="380"/>
    </row>
    <row r="186" spans="1:12">
      <c r="A186" s="386"/>
      <c r="B186" s="381"/>
      <c r="C186" s="370"/>
      <c r="D186" s="370"/>
      <c r="E186" s="370"/>
      <c r="F186" s="370"/>
      <c r="G186" s="370"/>
      <c r="H186" s="370"/>
      <c r="I186" s="370"/>
      <c r="J186" s="370"/>
      <c r="K186" s="370"/>
      <c r="L186" s="380"/>
    </row>
    <row r="187" spans="1:12">
      <c r="A187" s="386"/>
      <c r="B187" s="381"/>
      <c r="C187" s="370"/>
      <c r="D187" s="370"/>
      <c r="E187" s="370"/>
      <c r="F187" s="370"/>
      <c r="G187" s="370"/>
      <c r="H187" s="370"/>
      <c r="I187" s="370"/>
      <c r="J187" s="370"/>
      <c r="K187" s="370"/>
      <c r="L187" s="380"/>
    </row>
    <row r="188" spans="1:12">
      <c r="A188" s="386"/>
      <c r="B188" s="381"/>
      <c r="C188" s="370"/>
      <c r="D188" s="370"/>
      <c r="E188" s="370"/>
      <c r="F188" s="370"/>
      <c r="G188" s="370"/>
      <c r="H188" s="370"/>
      <c r="I188" s="370"/>
      <c r="J188" s="370"/>
      <c r="K188" s="370"/>
      <c r="L188" s="380"/>
    </row>
    <row r="189" spans="1:12">
      <c r="A189" s="386"/>
      <c r="B189" s="381"/>
      <c r="C189" s="370"/>
      <c r="D189" s="370"/>
      <c r="E189" s="370"/>
      <c r="F189" s="370"/>
      <c r="G189" s="370"/>
      <c r="H189" s="370"/>
      <c r="I189" s="370"/>
      <c r="J189" s="370"/>
      <c r="K189" s="370"/>
      <c r="L189" s="380"/>
    </row>
    <row r="190" spans="1:12">
      <c r="A190" s="386"/>
      <c r="B190" s="381"/>
      <c r="C190" s="370"/>
      <c r="D190" s="370"/>
      <c r="E190" s="370"/>
      <c r="F190" s="370"/>
      <c r="G190" s="370"/>
      <c r="H190" s="370"/>
      <c r="I190" s="370"/>
      <c r="J190" s="370"/>
      <c r="K190" s="370"/>
      <c r="L190" s="380"/>
    </row>
    <row r="191" spans="1:12">
      <c r="A191" s="386"/>
      <c r="B191" s="381"/>
      <c r="C191" s="370"/>
      <c r="D191" s="370"/>
      <c r="E191" s="370"/>
      <c r="F191" s="370"/>
      <c r="G191" s="370"/>
      <c r="H191" s="370"/>
      <c r="I191" s="370"/>
      <c r="J191" s="370"/>
      <c r="K191" s="370"/>
      <c r="L191" s="380"/>
    </row>
    <row r="192" spans="1:12">
      <c r="A192" s="386"/>
      <c r="B192" s="381"/>
      <c r="C192" s="370"/>
      <c r="D192" s="370"/>
      <c r="E192" s="370"/>
      <c r="F192" s="370"/>
      <c r="G192" s="370"/>
      <c r="H192" s="370"/>
      <c r="I192" s="370"/>
      <c r="J192" s="370"/>
      <c r="K192" s="370"/>
      <c r="L192" s="380"/>
    </row>
    <row r="193" spans="1:12">
      <c r="A193" s="386"/>
      <c r="B193" s="381"/>
      <c r="C193" s="370"/>
      <c r="D193" s="370"/>
      <c r="E193" s="370"/>
      <c r="F193" s="370"/>
      <c r="G193" s="370"/>
      <c r="H193" s="370"/>
      <c r="I193" s="370"/>
      <c r="J193" s="370"/>
      <c r="K193" s="370"/>
      <c r="L193" s="380"/>
    </row>
    <row r="194" spans="1:12">
      <c r="A194" s="386"/>
      <c r="B194" s="381"/>
      <c r="C194" s="370"/>
      <c r="D194" s="370"/>
      <c r="E194" s="370"/>
      <c r="F194" s="370"/>
      <c r="G194" s="370"/>
      <c r="H194" s="370"/>
      <c r="I194" s="370"/>
      <c r="J194" s="370"/>
      <c r="K194" s="370"/>
      <c r="L194" s="380"/>
    </row>
    <row r="195" spans="1:12">
      <c r="A195" s="386"/>
      <c r="B195" s="381"/>
      <c r="C195" s="370"/>
      <c r="D195" s="370"/>
      <c r="E195" s="370"/>
      <c r="F195" s="370"/>
      <c r="G195" s="370"/>
      <c r="H195" s="370"/>
      <c r="I195" s="370"/>
      <c r="J195" s="370"/>
      <c r="K195" s="370"/>
      <c r="L195" s="380"/>
    </row>
    <row r="196" spans="1:12">
      <c r="A196" s="386"/>
      <c r="B196" s="381"/>
      <c r="C196" s="370"/>
      <c r="D196" s="370"/>
      <c r="E196" s="370"/>
      <c r="F196" s="370"/>
      <c r="G196" s="370"/>
      <c r="H196" s="370"/>
      <c r="I196" s="370"/>
      <c r="J196" s="370"/>
      <c r="K196" s="370"/>
      <c r="L196" s="380"/>
    </row>
    <row r="197" spans="1:12">
      <c r="A197" s="386"/>
      <c r="B197" s="381"/>
      <c r="C197" s="370"/>
      <c r="D197" s="370"/>
      <c r="E197" s="370"/>
      <c r="F197" s="370"/>
      <c r="G197" s="370"/>
      <c r="H197" s="370"/>
      <c r="I197" s="370"/>
      <c r="J197" s="370"/>
      <c r="K197" s="370"/>
      <c r="L197" s="380"/>
    </row>
    <row r="198" spans="1:12">
      <c r="A198" s="386"/>
      <c r="B198" s="381"/>
      <c r="C198" s="370"/>
      <c r="D198" s="370"/>
      <c r="E198" s="370"/>
      <c r="F198" s="370"/>
      <c r="G198" s="370"/>
      <c r="H198" s="370"/>
      <c r="I198" s="370"/>
      <c r="J198" s="370"/>
      <c r="K198" s="370"/>
      <c r="L198" s="380"/>
    </row>
    <row r="199" spans="1:12">
      <c r="A199" s="386"/>
      <c r="B199" s="381"/>
      <c r="C199" s="370"/>
      <c r="D199" s="370"/>
      <c r="E199" s="370"/>
      <c r="F199" s="370"/>
      <c r="G199" s="370"/>
      <c r="H199" s="370"/>
      <c r="I199" s="370"/>
      <c r="J199" s="370"/>
      <c r="K199" s="370"/>
      <c r="L199" s="380"/>
    </row>
    <row r="200" spans="1:12">
      <c r="A200" s="386"/>
      <c r="B200" s="381"/>
      <c r="C200" s="370"/>
      <c r="D200" s="370"/>
      <c r="E200" s="370"/>
      <c r="F200" s="370"/>
      <c r="G200" s="370"/>
      <c r="H200" s="370"/>
      <c r="I200" s="370"/>
      <c r="J200" s="370"/>
      <c r="K200" s="370"/>
      <c r="L200" s="380"/>
    </row>
    <row r="201" spans="1:12">
      <c r="A201" s="386"/>
      <c r="B201" s="381"/>
      <c r="C201" s="370"/>
      <c r="D201" s="370"/>
      <c r="E201" s="370"/>
      <c r="F201" s="370"/>
      <c r="G201" s="370"/>
      <c r="H201" s="370"/>
      <c r="I201" s="370"/>
      <c r="J201" s="370"/>
      <c r="K201" s="370"/>
      <c r="L201" s="380"/>
    </row>
    <row r="202" spans="1:12">
      <c r="A202" s="386"/>
      <c r="B202" s="381"/>
      <c r="C202" s="370"/>
      <c r="D202" s="370"/>
      <c r="E202" s="370"/>
      <c r="F202" s="370"/>
      <c r="G202" s="370"/>
      <c r="H202" s="370"/>
      <c r="I202" s="370"/>
      <c r="J202" s="370"/>
      <c r="K202" s="370"/>
      <c r="L202" s="380"/>
    </row>
    <row r="203" spans="1:12">
      <c r="A203" s="386"/>
      <c r="B203" s="381"/>
      <c r="C203" s="370"/>
      <c r="D203" s="370"/>
      <c r="E203" s="370"/>
      <c r="F203" s="370"/>
      <c r="G203" s="370"/>
      <c r="H203" s="370"/>
      <c r="I203" s="370"/>
      <c r="J203" s="370"/>
      <c r="K203" s="370"/>
      <c r="L203" s="380"/>
    </row>
    <row r="204" spans="1:12">
      <c r="A204" s="386"/>
      <c r="B204" s="381"/>
      <c r="C204" s="370"/>
      <c r="D204" s="370"/>
      <c r="E204" s="370"/>
      <c r="F204" s="370"/>
      <c r="G204" s="370"/>
      <c r="H204" s="370"/>
      <c r="I204" s="370"/>
      <c r="J204" s="370"/>
      <c r="K204" s="370"/>
      <c r="L204" s="380"/>
    </row>
    <row r="205" spans="1:12">
      <c r="A205" s="386"/>
      <c r="B205" s="381"/>
      <c r="C205" s="370"/>
      <c r="D205" s="370"/>
      <c r="E205" s="370"/>
      <c r="F205" s="370"/>
      <c r="G205" s="370"/>
      <c r="H205" s="370"/>
      <c r="I205" s="370"/>
      <c r="J205" s="370"/>
      <c r="K205" s="370"/>
      <c r="L205" s="380"/>
    </row>
    <row r="206" spans="1:12">
      <c r="A206" s="386"/>
      <c r="B206" s="381"/>
      <c r="C206" s="370"/>
      <c r="D206" s="370"/>
      <c r="E206" s="370"/>
      <c r="F206" s="370"/>
      <c r="G206" s="370"/>
      <c r="H206" s="370"/>
      <c r="I206" s="370"/>
      <c r="J206" s="370"/>
      <c r="K206" s="370"/>
      <c r="L206" s="380"/>
    </row>
    <row r="207" spans="1:12">
      <c r="A207" s="386"/>
      <c r="B207" s="381"/>
      <c r="C207" s="370"/>
      <c r="D207" s="370"/>
      <c r="E207" s="370"/>
      <c r="F207" s="370"/>
      <c r="G207" s="370"/>
      <c r="H207" s="370"/>
      <c r="I207" s="370"/>
      <c r="J207" s="370"/>
      <c r="K207" s="370"/>
      <c r="L207" s="380"/>
    </row>
    <row r="208" spans="1:12">
      <c r="A208" s="386"/>
      <c r="B208" s="381"/>
      <c r="C208" s="370"/>
      <c r="D208" s="370"/>
      <c r="E208" s="370"/>
      <c r="F208" s="370"/>
      <c r="G208" s="370"/>
      <c r="H208" s="370"/>
      <c r="I208" s="370"/>
      <c r="J208" s="370"/>
      <c r="K208" s="370"/>
      <c r="L208" s="380"/>
    </row>
    <row r="209" spans="1:12">
      <c r="A209" s="386"/>
      <c r="B209" s="381"/>
      <c r="C209" s="370"/>
      <c r="D209" s="370"/>
      <c r="E209" s="370"/>
      <c r="F209" s="370"/>
      <c r="G209" s="370"/>
      <c r="H209" s="370"/>
      <c r="I209" s="370"/>
      <c r="J209" s="370"/>
      <c r="K209" s="370"/>
      <c r="L209" s="380"/>
    </row>
    <row r="210" spans="1:12">
      <c r="A210" s="386"/>
      <c r="B210" s="381"/>
      <c r="C210" s="370"/>
      <c r="D210" s="370"/>
      <c r="E210" s="370"/>
      <c r="F210" s="370"/>
      <c r="G210" s="370"/>
      <c r="H210" s="370"/>
      <c r="I210" s="370"/>
      <c r="J210" s="370"/>
      <c r="K210" s="370"/>
      <c r="L210" s="380"/>
    </row>
    <row r="211" spans="1:12">
      <c r="A211" s="386"/>
      <c r="B211" s="381"/>
      <c r="C211" s="370"/>
      <c r="D211" s="370"/>
      <c r="E211" s="370"/>
      <c r="F211" s="370"/>
      <c r="G211" s="370"/>
      <c r="H211" s="370"/>
      <c r="I211" s="370"/>
      <c r="J211" s="370"/>
      <c r="K211" s="370"/>
      <c r="L211" s="380"/>
    </row>
    <row r="212" spans="1:12">
      <c r="A212" s="386"/>
      <c r="B212" s="381"/>
      <c r="C212" s="370"/>
      <c r="D212" s="370"/>
      <c r="E212" s="370"/>
      <c r="F212" s="370"/>
      <c r="G212" s="370"/>
      <c r="H212" s="370"/>
      <c r="I212" s="370"/>
      <c r="J212" s="370"/>
      <c r="K212" s="370"/>
      <c r="L212" s="380"/>
    </row>
    <row r="213" spans="1:12">
      <c r="A213" s="386"/>
      <c r="B213" s="381"/>
      <c r="C213" s="370"/>
      <c r="D213" s="370"/>
      <c r="E213" s="370"/>
      <c r="F213" s="370"/>
      <c r="G213" s="370"/>
      <c r="H213" s="370"/>
      <c r="I213" s="370"/>
      <c r="J213" s="370"/>
      <c r="K213" s="370"/>
      <c r="L213" s="380"/>
    </row>
    <row r="214" spans="1:12">
      <c r="A214" s="386"/>
      <c r="B214" s="381"/>
      <c r="C214" s="370"/>
      <c r="D214" s="370"/>
      <c r="E214" s="370"/>
      <c r="F214" s="370"/>
      <c r="G214" s="370"/>
      <c r="H214" s="370"/>
      <c r="I214" s="370"/>
      <c r="J214" s="370"/>
      <c r="K214" s="370"/>
      <c r="L214" s="380"/>
    </row>
    <row r="215" spans="1:12">
      <c r="A215" s="386"/>
      <c r="B215" s="381"/>
      <c r="C215" s="370"/>
      <c r="D215" s="370"/>
      <c r="E215" s="370"/>
      <c r="F215" s="370"/>
      <c r="G215" s="370"/>
      <c r="H215" s="370"/>
      <c r="I215" s="370"/>
      <c r="J215" s="370"/>
      <c r="K215" s="370"/>
      <c r="L215" s="380"/>
    </row>
    <row r="216" spans="1:12">
      <c r="A216" s="386"/>
      <c r="B216" s="381"/>
      <c r="C216" s="370"/>
      <c r="D216" s="370"/>
      <c r="E216" s="370"/>
      <c r="F216" s="370"/>
      <c r="G216" s="370"/>
      <c r="H216" s="370"/>
      <c r="I216" s="370"/>
      <c r="J216" s="370"/>
      <c r="K216" s="370"/>
      <c r="L216" s="380"/>
    </row>
    <row r="217" spans="1:12">
      <c r="A217" s="386"/>
      <c r="B217" s="381"/>
      <c r="C217" s="370"/>
      <c r="D217" s="370"/>
      <c r="E217" s="370"/>
      <c r="F217" s="370"/>
      <c r="G217" s="370"/>
      <c r="H217" s="370"/>
      <c r="I217" s="370"/>
      <c r="J217" s="370"/>
      <c r="K217" s="370"/>
      <c r="L217" s="380"/>
    </row>
    <row r="218" spans="1:12">
      <c r="A218" s="386"/>
      <c r="B218" s="381"/>
      <c r="C218" s="370"/>
      <c r="D218" s="370"/>
      <c r="E218" s="370"/>
      <c r="F218" s="370"/>
      <c r="G218" s="370"/>
      <c r="H218" s="370"/>
      <c r="I218" s="370"/>
      <c r="J218" s="370"/>
      <c r="K218" s="370"/>
      <c r="L218" s="380"/>
    </row>
    <row r="219" spans="1:12">
      <c r="A219" s="386"/>
      <c r="B219" s="381"/>
      <c r="C219" s="370"/>
      <c r="D219" s="370"/>
      <c r="E219" s="370"/>
      <c r="F219" s="370"/>
      <c r="G219" s="370"/>
      <c r="H219" s="370"/>
      <c r="I219" s="370"/>
      <c r="J219" s="370"/>
      <c r="K219" s="370"/>
      <c r="L219" s="380"/>
    </row>
    <row r="220" spans="1:12">
      <c r="A220" s="386"/>
      <c r="B220" s="381"/>
      <c r="C220" s="370"/>
      <c r="D220" s="370"/>
      <c r="E220" s="370"/>
      <c r="F220" s="370"/>
      <c r="G220" s="370"/>
      <c r="H220" s="370"/>
      <c r="I220" s="370"/>
      <c r="J220" s="370"/>
      <c r="K220" s="370"/>
      <c r="L220" s="380"/>
    </row>
    <row r="221" spans="1:12">
      <c r="A221" s="386"/>
      <c r="B221" s="381"/>
      <c r="C221" s="370"/>
      <c r="D221" s="370"/>
      <c r="E221" s="370"/>
      <c r="F221" s="370"/>
      <c r="G221" s="370"/>
      <c r="H221" s="370"/>
      <c r="I221" s="370"/>
      <c r="J221" s="370"/>
      <c r="K221" s="370"/>
      <c r="L221" s="380"/>
    </row>
    <row r="222" spans="1:12">
      <c r="A222" s="386"/>
      <c r="B222" s="381"/>
      <c r="C222" s="370"/>
      <c r="D222" s="370"/>
      <c r="E222" s="370"/>
      <c r="F222" s="370"/>
      <c r="G222" s="370"/>
      <c r="H222" s="370"/>
      <c r="I222" s="370"/>
      <c r="J222" s="370"/>
      <c r="K222" s="370"/>
      <c r="L222" s="380"/>
    </row>
    <row r="223" spans="1:12">
      <c r="A223" s="386"/>
      <c r="B223" s="381"/>
      <c r="C223" s="370"/>
      <c r="D223" s="370"/>
      <c r="E223" s="370"/>
      <c r="F223" s="370"/>
      <c r="G223" s="370"/>
      <c r="H223" s="370"/>
      <c r="I223" s="370"/>
      <c r="J223" s="370"/>
      <c r="K223" s="370"/>
      <c r="L223" s="380"/>
    </row>
    <row r="224" spans="1:12">
      <c r="A224" s="386"/>
      <c r="B224" s="381"/>
      <c r="C224" s="370"/>
      <c r="D224" s="370"/>
      <c r="E224" s="370"/>
      <c r="F224" s="370"/>
      <c r="G224" s="370"/>
      <c r="H224" s="370"/>
      <c r="I224" s="370"/>
      <c r="J224" s="370"/>
      <c r="K224" s="370"/>
      <c r="L224" s="380"/>
    </row>
    <row r="225" spans="1:12">
      <c r="A225" s="386"/>
      <c r="B225" s="381"/>
      <c r="C225" s="370"/>
      <c r="D225" s="370"/>
      <c r="E225" s="370"/>
      <c r="F225" s="370"/>
      <c r="G225" s="370"/>
      <c r="H225" s="370"/>
      <c r="I225" s="370"/>
      <c r="J225" s="370"/>
      <c r="K225" s="370"/>
      <c r="L225" s="380"/>
    </row>
    <row r="226" spans="1:12">
      <c r="A226" s="386"/>
      <c r="B226" s="381"/>
      <c r="C226" s="370"/>
      <c r="D226" s="370"/>
      <c r="E226" s="370"/>
      <c r="F226" s="370"/>
      <c r="G226" s="370"/>
      <c r="H226" s="370"/>
      <c r="I226" s="370"/>
      <c r="J226" s="370"/>
      <c r="K226" s="370"/>
      <c r="L226" s="380"/>
    </row>
    <row r="227" spans="1:12">
      <c r="A227" s="386"/>
      <c r="B227" s="381"/>
      <c r="C227" s="370"/>
      <c r="D227" s="370"/>
      <c r="E227" s="370"/>
      <c r="F227" s="370"/>
      <c r="G227" s="370"/>
      <c r="H227" s="370"/>
      <c r="I227" s="370"/>
      <c r="J227" s="370"/>
      <c r="K227" s="370"/>
      <c r="L227" s="380"/>
    </row>
    <row r="228" spans="1:12">
      <c r="A228" s="386"/>
      <c r="B228" s="381"/>
      <c r="C228" s="370"/>
      <c r="D228" s="370"/>
      <c r="E228" s="370"/>
      <c r="F228" s="370"/>
      <c r="G228" s="370"/>
      <c r="H228" s="370"/>
      <c r="I228" s="370"/>
      <c r="J228" s="370"/>
      <c r="K228" s="370"/>
      <c r="L228" s="380"/>
    </row>
    <row r="229" spans="1:12">
      <c r="A229" s="386"/>
      <c r="B229" s="381"/>
      <c r="C229" s="370"/>
      <c r="D229" s="370"/>
      <c r="E229" s="370"/>
      <c r="F229" s="370"/>
      <c r="G229" s="370"/>
      <c r="H229" s="370"/>
      <c r="I229" s="370"/>
      <c r="J229" s="370"/>
      <c r="K229" s="370"/>
      <c r="L229" s="380"/>
    </row>
    <row r="230" spans="1:12">
      <c r="A230" s="386"/>
      <c r="B230" s="381"/>
      <c r="C230" s="370"/>
      <c r="D230" s="370"/>
      <c r="E230" s="370"/>
      <c r="F230" s="370"/>
      <c r="G230" s="370"/>
      <c r="H230" s="370"/>
      <c r="I230" s="370"/>
      <c r="J230" s="370"/>
      <c r="K230" s="370"/>
      <c r="L230" s="380"/>
    </row>
    <row r="231" spans="1:12">
      <c r="A231" s="386"/>
      <c r="B231" s="381"/>
      <c r="C231" s="370"/>
      <c r="D231" s="370"/>
      <c r="E231" s="370"/>
      <c r="F231" s="370"/>
      <c r="G231" s="370"/>
      <c r="H231" s="370"/>
      <c r="I231" s="370"/>
      <c r="J231" s="370"/>
      <c r="K231" s="370"/>
      <c r="L231" s="380"/>
    </row>
    <row r="232" spans="1:12">
      <c r="A232" s="386"/>
      <c r="B232" s="381"/>
      <c r="C232" s="370"/>
      <c r="D232" s="370"/>
      <c r="E232" s="370"/>
      <c r="F232" s="370"/>
      <c r="G232" s="370"/>
      <c r="H232" s="370"/>
      <c r="I232" s="370"/>
      <c r="J232" s="370"/>
      <c r="K232" s="370"/>
      <c r="L232" s="380"/>
    </row>
    <row r="233" spans="1:12">
      <c r="A233" s="386"/>
      <c r="B233" s="381"/>
      <c r="C233" s="370"/>
      <c r="D233" s="370"/>
      <c r="E233" s="370"/>
      <c r="F233" s="370"/>
      <c r="G233" s="370"/>
      <c r="H233" s="370"/>
      <c r="I233" s="370"/>
      <c r="J233" s="370"/>
      <c r="K233" s="370"/>
      <c r="L233" s="380"/>
    </row>
    <row r="234" spans="1:12">
      <c r="A234" s="386"/>
      <c r="B234" s="381"/>
      <c r="C234" s="370"/>
      <c r="D234" s="370"/>
      <c r="E234" s="370"/>
      <c r="F234" s="370"/>
      <c r="G234" s="370"/>
      <c r="H234" s="370"/>
      <c r="I234" s="370"/>
      <c r="J234" s="370"/>
      <c r="K234" s="370"/>
      <c r="L234" s="380"/>
    </row>
    <row r="235" spans="1:12">
      <c r="A235" s="386"/>
      <c r="B235" s="381"/>
      <c r="C235" s="370"/>
      <c r="D235" s="370"/>
      <c r="E235" s="370"/>
      <c r="F235" s="370"/>
      <c r="G235" s="370"/>
      <c r="H235" s="370"/>
      <c r="I235" s="370"/>
      <c r="J235" s="370"/>
      <c r="K235" s="370"/>
      <c r="L235" s="380"/>
    </row>
    <row r="236" spans="1:12">
      <c r="A236" s="386"/>
      <c r="B236" s="381"/>
      <c r="C236" s="370"/>
      <c r="D236" s="370"/>
      <c r="E236" s="370"/>
      <c r="F236" s="370"/>
      <c r="G236" s="370"/>
      <c r="H236" s="370"/>
      <c r="I236" s="370"/>
      <c r="J236" s="370"/>
      <c r="K236" s="370"/>
      <c r="L236" s="380"/>
    </row>
    <row r="237" spans="1:12">
      <c r="A237" s="386"/>
      <c r="B237" s="381"/>
      <c r="C237" s="370"/>
      <c r="D237" s="370"/>
      <c r="E237" s="370"/>
      <c r="F237" s="370"/>
      <c r="G237" s="370"/>
      <c r="H237" s="370"/>
      <c r="I237" s="370"/>
      <c r="J237" s="370"/>
      <c r="K237" s="370"/>
      <c r="L237" s="380"/>
    </row>
    <row r="238" spans="1:12">
      <c r="A238" s="386"/>
      <c r="B238" s="381"/>
      <c r="C238" s="370"/>
      <c r="D238" s="370"/>
      <c r="E238" s="370"/>
      <c r="F238" s="370"/>
      <c r="G238" s="370"/>
      <c r="H238" s="370"/>
      <c r="I238" s="370"/>
      <c r="J238" s="370"/>
      <c r="K238" s="370"/>
      <c r="L238" s="380"/>
    </row>
    <row r="239" spans="1:12">
      <c r="A239" s="386"/>
      <c r="B239" s="381"/>
      <c r="C239" s="370"/>
      <c r="D239" s="370"/>
      <c r="E239" s="370"/>
      <c r="F239" s="370"/>
      <c r="G239" s="370"/>
      <c r="H239" s="370"/>
      <c r="I239" s="370"/>
      <c r="J239" s="370"/>
      <c r="K239" s="370"/>
      <c r="L239" s="380"/>
    </row>
    <row r="240" spans="1:12">
      <c r="A240" s="386"/>
      <c r="B240" s="381"/>
      <c r="C240" s="370"/>
      <c r="D240" s="370"/>
      <c r="E240" s="370"/>
      <c r="F240" s="370"/>
      <c r="G240" s="370"/>
      <c r="H240" s="370"/>
      <c r="I240" s="370"/>
      <c r="J240" s="370"/>
      <c r="K240" s="370"/>
      <c r="L240" s="380"/>
    </row>
    <row r="241" spans="1:12">
      <c r="A241" s="386"/>
      <c r="B241" s="381"/>
      <c r="C241" s="370"/>
      <c r="D241" s="370"/>
      <c r="E241" s="370"/>
      <c r="F241" s="370"/>
      <c r="G241" s="370"/>
      <c r="H241" s="370"/>
      <c r="I241" s="370"/>
      <c r="J241" s="370"/>
      <c r="K241" s="370"/>
      <c r="L241" s="380"/>
    </row>
    <row r="242" spans="1:12">
      <c r="A242" s="386"/>
      <c r="B242" s="381"/>
      <c r="C242" s="370"/>
      <c r="D242" s="370"/>
      <c r="E242" s="370"/>
      <c r="F242" s="370"/>
      <c r="G242" s="370"/>
      <c r="H242" s="370"/>
      <c r="I242" s="370"/>
      <c r="J242" s="370"/>
      <c r="K242" s="370"/>
      <c r="L242" s="380"/>
    </row>
    <row r="243" spans="1:12">
      <c r="A243" s="386"/>
      <c r="B243" s="381"/>
      <c r="C243" s="370"/>
      <c r="D243" s="370"/>
      <c r="E243" s="370"/>
      <c r="F243" s="370"/>
      <c r="G243" s="370"/>
      <c r="H243" s="370"/>
      <c r="I243" s="370"/>
      <c r="J243" s="370"/>
      <c r="K243" s="370"/>
      <c r="L243" s="380"/>
    </row>
    <row r="244" spans="1:12">
      <c r="A244" s="386"/>
      <c r="B244" s="381"/>
      <c r="C244" s="370"/>
      <c r="D244" s="370"/>
      <c r="E244" s="370"/>
      <c r="F244" s="370"/>
      <c r="G244" s="370"/>
      <c r="H244" s="370"/>
      <c r="I244" s="370"/>
      <c r="J244" s="370"/>
      <c r="K244" s="370"/>
      <c r="L244" s="380"/>
    </row>
    <row r="245" spans="1:12">
      <c r="A245" s="386"/>
      <c r="B245" s="381"/>
      <c r="C245" s="370"/>
      <c r="D245" s="370"/>
      <c r="E245" s="370"/>
      <c r="F245" s="370"/>
      <c r="G245" s="370"/>
      <c r="H245" s="370"/>
      <c r="I245" s="370"/>
      <c r="J245" s="370"/>
      <c r="K245" s="370"/>
      <c r="L245" s="380"/>
    </row>
    <row r="246" spans="1:12">
      <c r="A246" s="386"/>
      <c r="B246" s="381"/>
      <c r="C246" s="370"/>
      <c r="D246" s="370"/>
      <c r="E246" s="370"/>
      <c r="F246" s="370"/>
      <c r="G246" s="370"/>
      <c r="H246" s="370"/>
      <c r="I246" s="370"/>
      <c r="J246" s="370"/>
      <c r="K246" s="370"/>
      <c r="L246" s="380"/>
    </row>
    <row r="247" spans="1:12">
      <c r="A247" s="386"/>
      <c r="B247" s="381"/>
      <c r="C247" s="370"/>
      <c r="D247" s="370"/>
      <c r="E247" s="370"/>
      <c r="F247" s="370"/>
      <c r="G247" s="370"/>
      <c r="H247" s="370"/>
      <c r="I247" s="370"/>
      <c r="J247" s="370"/>
      <c r="K247" s="370"/>
      <c r="L247" s="380"/>
    </row>
    <row r="248" spans="1:12">
      <c r="A248" s="386"/>
      <c r="B248" s="381"/>
      <c r="C248" s="370"/>
      <c r="D248" s="370"/>
      <c r="E248" s="370"/>
      <c r="F248" s="370"/>
      <c r="G248" s="370"/>
      <c r="H248" s="370"/>
      <c r="I248" s="370"/>
      <c r="J248" s="370"/>
      <c r="K248" s="370"/>
      <c r="L248" s="380"/>
    </row>
    <row r="249" spans="1:12">
      <c r="A249" s="386"/>
      <c r="B249" s="381"/>
      <c r="C249" s="370"/>
      <c r="D249" s="370"/>
      <c r="E249" s="370"/>
      <c r="F249" s="370"/>
      <c r="G249" s="370"/>
      <c r="H249" s="370"/>
      <c r="I249" s="370"/>
      <c r="J249" s="370"/>
      <c r="K249" s="370"/>
      <c r="L249" s="380"/>
    </row>
    <row r="250" spans="1:12">
      <c r="A250" s="386"/>
      <c r="B250" s="381"/>
      <c r="C250" s="370"/>
      <c r="D250" s="370"/>
      <c r="E250" s="370"/>
      <c r="F250" s="370"/>
      <c r="G250" s="370"/>
      <c r="H250" s="370"/>
      <c r="I250" s="370"/>
      <c r="J250" s="370"/>
      <c r="K250" s="370"/>
      <c r="L250" s="380"/>
    </row>
    <row r="251" spans="1:12">
      <c r="A251" s="386"/>
      <c r="B251" s="381"/>
      <c r="C251" s="370"/>
      <c r="D251" s="370"/>
      <c r="E251" s="370"/>
      <c r="F251" s="370"/>
      <c r="G251" s="370"/>
      <c r="H251" s="370"/>
      <c r="I251" s="370"/>
      <c r="J251" s="370"/>
      <c r="K251" s="370"/>
      <c r="L251" s="380"/>
    </row>
    <row r="252" spans="1:12">
      <c r="A252" s="386"/>
      <c r="B252" s="381"/>
      <c r="C252" s="370"/>
      <c r="D252" s="370"/>
      <c r="E252" s="370"/>
      <c r="F252" s="370"/>
      <c r="G252" s="370"/>
      <c r="H252" s="370"/>
      <c r="I252" s="370"/>
      <c r="J252" s="370"/>
      <c r="K252" s="370"/>
      <c r="L252" s="380"/>
    </row>
    <row r="253" spans="1:12">
      <c r="A253" s="386"/>
      <c r="B253" s="381"/>
      <c r="C253" s="370"/>
      <c r="D253" s="370"/>
      <c r="E253" s="370"/>
      <c r="F253" s="370"/>
      <c r="G253" s="370"/>
      <c r="H253" s="370"/>
      <c r="I253" s="370"/>
      <c r="J253" s="370"/>
      <c r="K253" s="370"/>
      <c r="L253" s="380"/>
    </row>
    <row r="254" spans="1:12">
      <c r="A254" s="386"/>
      <c r="B254" s="381"/>
      <c r="C254" s="370"/>
      <c r="D254" s="370"/>
      <c r="E254" s="370"/>
      <c r="F254" s="370"/>
      <c r="G254" s="370"/>
      <c r="H254" s="370"/>
      <c r="I254" s="370"/>
      <c r="J254" s="370"/>
      <c r="K254" s="370"/>
      <c r="L254" s="380"/>
    </row>
    <row r="255" spans="1:12">
      <c r="A255" s="386"/>
      <c r="B255" s="381"/>
      <c r="C255" s="370"/>
      <c r="D255" s="370"/>
      <c r="E255" s="370"/>
      <c r="F255" s="370"/>
      <c r="G255" s="370"/>
      <c r="H255" s="370"/>
      <c r="I255" s="370"/>
      <c r="J255" s="370"/>
      <c r="K255" s="370"/>
      <c r="L255" s="380"/>
    </row>
    <row r="256" spans="1:12">
      <c r="A256" s="386"/>
      <c r="B256" s="381"/>
      <c r="C256" s="370"/>
      <c r="D256" s="370"/>
      <c r="E256" s="370"/>
      <c r="F256" s="370"/>
      <c r="G256" s="370"/>
      <c r="H256" s="370"/>
      <c r="I256" s="370"/>
      <c r="J256" s="370"/>
      <c r="K256" s="370"/>
      <c r="L256" s="380"/>
    </row>
    <row r="257" spans="1:12">
      <c r="A257" s="386"/>
      <c r="B257" s="381"/>
      <c r="C257" s="370"/>
      <c r="D257" s="370"/>
      <c r="E257" s="370"/>
      <c r="F257" s="370"/>
      <c r="G257" s="370"/>
      <c r="H257" s="370"/>
      <c r="I257" s="370"/>
      <c r="J257" s="370"/>
      <c r="K257" s="370"/>
      <c r="L257" s="380"/>
    </row>
    <row r="258" spans="1:12">
      <c r="A258" s="386"/>
      <c r="B258" s="381"/>
      <c r="C258" s="370"/>
      <c r="D258" s="370"/>
      <c r="E258" s="370"/>
      <c r="F258" s="370"/>
      <c r="G258" s="370"/>
      <c r="H258" s="370"/>
      <c r="I258" s="370"/>
      <c r="J258" s="370"/>
      <c r="K258" s="370"/>
      <c r="L258" s="380"/>
    </row>
    <row r="259" spans="1:12">
      <c r="A259" s="386"/>
      <c r="B259" s="381"/>
      <c r="C259" s="370"/>
      <c r="D259" s="370"/>
      <c r="E259" s="370"/>
      <c r="F259" s="370"/>
      <c r="G259" s="370"/>
      <c r="H259" s="370"/>
      <c r="I259" s="370"/>
      <c r="J259" s="370"/>
      <c r="K259" s="370"/>
      <c r="L259" s="380"/>
    </row>
    <row r="260" spans="1:12">
      <c r="A260" s="386"/>
      <c r="B260" s="381"/>
      <c r="C260" s="370"/>
      <c r="D260" s="370"/>
      <c r="E260" s="370"/>
      <c r="F260" s="370"/>
      <c r="G260" s="370"/>
      <c r="H260" s="370"/>
      <c r="I260" s="370"/>
      <c r="J260" s="370"/>
      <c r="K260" s="370"/>
      <c r="L260" s="380"/>
    </row>
    <row r="261" spans="1:12">
      <c r="A261" s="386"/>
      <c r="B261" s="381"/>
      <c r="C261" s="370"/>
      <c r="D261" s="370"/>
      <c r="E261" s="370"/>
      <c r="F261" s="370"/>
      <c r="G261" s="370"/>
      <c r="H261" s="370"/>
      <c r="I261" s="370"/>
      <c r="J261" s="370"/>
      <c r="K261" s="370"/>
      <c r="L261" s="380"/>
    </row>
    <row r="262" spans="1:12">
      <c r="A262" s="386"/>
      <c r="B262" s="381"/>
      <c r="C262" s="370"/>
      <c r="D262" s="370"/>
      <c r="E262" s="370"/>
      <c r="F262" s="370"/>
      <c r="G262" s="370"/>
      <c r="H262" s="370"/>
      <c r="I262" s="370"/>
      <c r="J262" s="370"/>
      <c r="K262" s="370"/>
      <c r="L262" s="380"/>
    </row>
    <row r="263" spans="1:12">
      <c r="A263" s="386"/>
      <c r="B263" s="381"/>
      <c r="C263" s="370"/>
      <c r="D263" s="370"/>
      <c r="E263" s="370"/>
      <c r="F263" s="370"/>
      <c r="G263" s="370"/>
      <c r="H263" s="370"/>
      <c r="I263" s="370"/>
      <c r="J263" s="370"/>
      <c r="K263" s="370"/>
      <c r="L263" s="380"/>
    </row>
    <row r="264" spans="1:12">
      <c r="A264" s="386"/>
      <c r="B264" s="381"/>
      <c r="C264" s="370"/>
      <c r="D264" s="370"/>
      <c r="E264" s="370"/>
      <c r="F264" s="370"/>
      <c r="G264" s="370"/>
      <c r="H264" s="370"/>
      <c r="I264" s="370"/>
      <c r="J264" s="370"/>
      <c r="K264" s="370"/>
      <c r="L264" s="380"/>
    </row>
    <row r="265" spans="1:12">
      <c r="A265" s="386"/>
      <c r="B265" s="381"/>
      <c r="C265" s="370"/>
      <c r="D265" s="370"/>
      <c r="E265" s="370"/>
      <c r="F265" s="370"/>
      <c r="G265" s="370"/>
      <c r="H265" s="370"/>
      <c r="I265" s="370"/>
      <c r="J265" s="370"/>
      <c r="K265" s="370"/>
      <c r="L265" s="380"/>
    </row>
    <row r="266" spans="1:12">
      <c r="A266" s="386"/>
      <c r="B266" s="381"/>
      <c r="C266" s="370"/>
      <c r="D266" s="370"/>
      <c r="E266" s="370"/>
      <c r="F266" s="370"/>
      <c r="G266" s="370"/>
      <c r="H266" s="370"/>
      <c r="I266" s="370"/>
      <c r="J266" s="370"/>
      <c r="K266" s="370"/>
      <c r="L266" s="380"/>
    </row>
    <row r="267" spans="1:12">
      <c r="A267" s="386"/>
      <c r="B267" s="381"/>
      <c r="C267" s="370"/>
      <c r="D267" s="370"/>
      <c r="E267" s="370"/>
      <c r="F267" s="370"/>
      <c r="G267" s="370"/>
      <c r="H267" s="370"/>
      <c r="I267" s="370"/>
      <c r="J267" s="370"/>
      <c r="K267" s="370"/>
      <c r="L267" s="380"/>
    </row>
    <row r="268" spans="1:12">
      <c r="A268" s="386"/>
      <c r="B268" s="381"/>
      <c r="C268" s="370"/>
      <c r="D268" s="370"/>
      <c r="E268" s="370"/>
      <c r="F268" s="370"/>
      <c r="G268" s="370"/>
      <c r="H268" s="370"/>
      <c r="I268" s="370"/>
      <c r="J268" s="370"/>
      <c r="K268" s="370"/>
      <c r="L268" s="380"/>
    </row>
    <row r="269" spans="1:12">
      <c r="A269" s="386"/>
      <c r="B269" s="381"/>
      <c r="C269" s="370"/>
      <c r="D269" s="370"/>
      <c r="E269" s="370"/>
      <c r="F269" s="370"/>
      <c r="G269" s="370"/>
      <c r="H269" s="370"/>
      <c r="I269" s="370"/>
      <c r="J269" s="370"/>
      <c r="K269" s="370"/>
      <c r="L269" s="380"/>
    </row>
    <row r="270" spans="1:12">
      <c r="A270" s="386"/>
      <c r="B270" s="381"/>
      <c r="C270" s="370"/>
      <c r="D270" s="370"/>
      <c r="E270" s="370"/>
      <c r="F270" s="370"/>
      <c r="G270" s="370"/>
      <c r="H270" s="370"/>
      <c r="I270" s="370"/>
      <c r="J270" s="370"/>
      <c r="K270" s="370"/>
      <c r="L270" s="380"/>
    </row>
    <row r="271" spans="1:12">
      <c r="A271" s="386"/>
      <c r="B271" s="381"/>
      <c r="C271" s="370"/>
      <c r="D271" s="370"/>
      <c r="E271" s="370"/>
      <c r="F271" s="370"/>
      <c r="G271" s="370"/>
      <c r="H271" s="370"/>
      <c r="I271" s="370"/>
      <c r="J271" s="370"/>
      <c r="K271" s="370"/>
      <c r="L271" s="380"/>
    </row>
    <row r="272" spans="1:12">
      <c r="A272" s="386"/>
      <c r="B272" s="381"/>
      <c r="C272" s="370"/>
      <c r="D272" s="370"/>
      <c r="E272" s="370"/>
      <c r="F272" s="370"/>
      <c r="G272" s="370"/>
      <c r="H272" s="370"/>
      <c r="I272" s="370"/>
      <c r="J272" s="370"/>
      <c r="K272" s="370"/>
      <c r="L272" s="380"/>
    </row>
    <row r="273" spans="1:12">
      <c r="A273" s="386"/>
      <c r="B273" s="381"/>
      <c r="C273" s="370"/>
      <c r="D273" s="370"/>
      <c r="E273" s="370"/>
      <c r="F273" s="370"/>
      <c r="G273" s="370"/>
      <c r="H273" s="370"/>
      <c r="I273" s="370"/>
      <c r="J273" s="370"/>
      <c r="K273" s="370"/>
      <c r="L273" s="380"/>
    </row>
    <row r="274" spans="1:12">
      <c r="A274" s="386"/>
      <c r="B274" s="381"/>
      <c r="C274" s="370"/>
      <c r="D274" s="370"/>
      <c r="E274" s="370"/>
      <c r="F274" s="370"/>
      <c r="G274" s="370"/>
      <c r="H274" s="370"/>
      <c r="I274" s="370"/>
      <c r="J274" s="370"/>
      <c r="K274" s="370"/>
      <c r="L274" s="380"/>
    </row>
    <row r="275" spans="1:12">
      <c r="A275" s="386"/>
      <c r="B275" s="381"/>
      <c r="C275" s="370"/>
      <c r="D275" s="370"/>
      <c r="E275" s="370"/>
      <c r="F275" s="370"/>
      <c r="G275" s="370"/>
      <c r="H275" s="370"/>
      <c r="I275" s="370"/>
      <c r="J275" s="370"/>
      <c r="K275" s="370"/>
      <c r="L275" s="380"/>
    </row>
    <row r="276" spans="1:12">
      <c r="A276" s="386"/>
      <c r="B276" s="381"/>
      <c r="C276" s="370"/>
      <c r="D276" s="370"/>
      <c r="E276" s="370"/>
      <c r="F276" s="370"/>
      <c r="G276" s="370"/>
      <c r="H276" s="370"/>
      <c r="I276" s="370"/>
      <c r="J276" s="370"/>
      <c r="K276" s="370"/>
      <c r="L276" s="380"/>
    </row>
    <row r="277" spans="1:12">
      <c r="A277" s="386"/>
      <c r="B277" s="381"/>
      <c r="C277" s="370"/>
      <c r="D277" s="370"/>
      <c r="E277" s="370"/>
      <c r="F277" s="370"/>
      <c r="G277" s="370"/>
      <c r="H277" s="370"/>
      <c r="I277" s="370"/>
      <c r="J277" s="370"/>
      <c r="K277" s="370"/>
      <c r="L277" s="380"/>
    </row>
    <row r="278" spans="1:12">
      <c r="A278" s="386"/>
      <c r="B278" s="381"/>
      <c r="C278" s="370"/>
      <c r="D278" s="370"/>
      <c r="E278" s="370"/>
      <c r="F278" s="370"/>
      <c r="G278" s="370"/>
      <c r="H278" s="370"/>
      <c r="I278" s="370"/>
      <c r="J278" s="370"/>
      <c r="K278" s="370"/>
      <c r="L278" s="380"/>
    </row>
    <row r="279" spans="1:12">
      <c r="A279" s="386"/>
      <c r="B279" s="381"/>
      <c r="C279" s="370"/>
      <c r="D279" s="370"/>
      <c r="E279" s="370"/>
      <c r="F279" s="370"/>
      <c r="G279" s="370"/>
      <c r="H279" s="370"/>
      <c r="I279" s="370"/>
      <c r="J279" s="370"/>
      <c r="K279" s="370"/>
      <c r="L279" s="380"/>
    </row>
    <row r="280" spans="1:12">
      <c r="A280" s="386"/>
      <c r="B280" s="381"/>
      <c r="C280" s="370"/>
      <c r="D280" s="370"/>
      <c r="E280" s="370"/>
      <c r="F280" s="370"/>
      <c r="G280" s="370"/>
      <c r="H280" s="370"/>
      <c r="I280" s="370"/>
      <c r="J280" s="370"/>
      <c r="K280" s="370"/>
      <c r="L280" s="380"/>
    </row>
    <row r="281" spans="1:12">
      <c r="A281" s="386"/>
      <c r="B281" s="381"/>
      <c r="C281" s="370"/>
      <c r="D281" s="370"/>
      <c r="E281" s="370"/>
      <c r="F281" s="370"/>
      <c r="G281" s="370"/>
      <c r="H281" s="370"/>
      <c r="I281" s="370"/>
      <c r="J281" s="370"/>
      <c r="K281" s="370"/>
      <c r="L281" s="380"/>
    </row>
    <row r="282" spans="1:12">
      <c r="A282" s="386"/>
      <c r="B282" s="381"/>
      <c r="C282" s="370"/>
      <c r="D282" s="370"/>
      <c r="E282" s="370"/>
      <c r="F282" s="370"/>
      <c r="G282" s="370"/>
      <c r="H282" s="370"/>
      <c r="I282" s="370"/>
      <c r="J282" s="370"/>
      <c r="K282" s="370"/>
      <c r="L282" s="380"/>
    </row>
    <row r="283" spans="1:12">
      <c r="A283" s="386"/>
      <c r="B283" s="381"/>
      <c r="C283" s="370"/>
      <c r="D283" s="370"/>
      <c r="E283" s="370"/>
      <c r="F283" s="370"/>
      <c r="G283" s="370"/>
      <c r="H283" s="370"/>
      <c r="I283" s="370"/>
      <c r="J283" s="370"/>
      <c r="K283" s="370"/>
      <c r="L283" s="380"/>
    </row>
    <row r="284" spans="1:12">
      <c r="A284" s="386"/>
      <c r="B284" s="381"/>
      <c r="C284" s="370"/>
      <c r="D284" s="370"/>
      <c r="E284" s="370"/>
      <c r="F284" s="370"/>
      <c r="G284" s="370"/>
      <c r="H284" s="370"/>
      <c r="I284" s="370"/>
      <c r="J284" s="370"/>
      <c r="K284" s="370"/>
      <c r="L284" s="380"/>
    </row>
    <row r="285" spans="1:12">
      <c r="A285" s="386"/>
      <c r="B285" s="381"/>
      <c r="C285" s="370"/>
      <c r="D285" s="370"/>
      <c r="E285" s="370"/>
      <c r="F285" s="370"/>
      <c r="G285" s="370"/>
      <c r="H285" s="370"/>
      <c r="I285" s="370"/>
      <c r="J285" s="370"/>
      <c r="K285" s="370"/>
      <c r="L285" s="380"/>
    </row>
    <row r="286" spans="1:12">
      <c r="A286" s="386"/>
      <c r="B286" s="381"/>
      <c r="C286" s="370"/>
      <c r="D286" s="370"/>
      <c r="E286" s="370"/>
      <c r="F286" s="370"/>
      <c r="G286" s="370"/>
      <c r="H286" s="370"/>
      <c r="I286" s="370"/>
      <c r="J286" s="370"/>
      <c r="K286" s="370"/>
      <c r="L286" s="380"/>
    </row>
    <row r="287" spans="1:12">
      <c r="A287" s="386"/>
      <c r="B287" s="381"/>
      <c r="C287" s="370"/>
      <c r="D287" s="370"/>
      <c r="E287" s="370"/>
      <c r="F287" s="370"/>
      <c r="G287" s="370"/>
      <c r="H287" s="370"/>
      <c r="I287" s="370"/>
      <c r="J287" s="370"/>
      <c r="K287" s="370"/>
      <c r="L287" s="380"/>
    </row>
    <row r="288" spans="1:12">
      <c r="A288" s="386"/>
      <c r="B288" s="381"/>
      <c r="C288" s="370"/>
      <c r="D288" s="370"/>
      <c r="E288" s="370"/>
      <c r="F288" s="370"/>
      <c r="G288" s="370"/>
      <c r="H288" s="370"/>
      <c r="I288" s="370"/>
      <c r="J288" s="370"/>
      <c r="K288" s="370"/>
      <c r="L288" s="380"/>
    </row>
    <row r="289" spans="1:12">
      <c r="A289" s="386"/>
      <c r="B289" s="381"/>
      <c r="C289" s="370"/>
      <c r="D289" s="370"/>
      <c r="E289" s="370"/>
      <c r="F289" s="370"/>
      <c r="G289" s="370"/>
      <c r="H289" s="370"/>
      <c r="I289" s="370"/>
      <c r="J289" s="370"/>
      <c r="K289" s="370"/>
      <c r="L289" s="380"/>
    </row>
    <row r="290" spans="1:12">
      <c r="A290" s="386"/>
      <c r="B290" s="381"/>
      <c r="C290" s="370"/>
      <c r="D290" s="370"/>
      <c r="E290" s="370"/>
      <c r="F290" s="370"/>
      <c r="G290" s="370"/>
      <c r="H290" s="370"/>
      <c r="I290" s="370"/>
      <c r="J290" s="370"/>
      <c r="K290" s="370"/>
      <c r="L290" s="380"/>
    </row>
    <row r="291" spans="1:12">
      <c r="A291" s="386"/>
      <c r="B291" s="381"/>
      <c r="C291" s="370"/>
      <c r="D291" s="370"/>
      <c r="E291" s="370"/>
      <c r="F291" s="370"/>
      <c r="G291" s="370"/>
      <c r="H291" s="370"/>
      <c r="I291" s="370"/>
      <c r="J291" s="370"/>
      <c r="K291" s="370"/>
      <c r="L291" s="380"/>
    </row>
    <row r="292" spans="1:12">
      <c r="A292" s="386"/>
      <c r="B292" s="381"/>
      <c r="C292" s="370"/>
      <c r="D292" s="370"/>
      <c r="E292" s="370"/>
      <c r="F292" s="370"/>
      <c r="G292" s="370"/>
      <c r="H292" s="370"/>
      <c r="I292" s="370"/>
      <c r="J292" s="370"/>
      <c r="K292" s="370"/>
      <c r="L292" s="380"/>
    </row>
    <row r="293" spans="1:12">
      <c r="A293" s="386"/>
      <c r="B293" s="381"/>
      <c r="C293" s="370"/>
      <c r="D293" s="370"/>
      <c r="E293" s="370"/>
      <c r="F293" s="370"/>
      <c r="G293" s="370"/>
      <c r="H293" s="370"/>
      <c r="I293" s="370"/>
      <c r="J293" s="370"/>
      <c r="K293" s="370"/>
      <c r="L293" s="380"/>
    </row>
    <row r="294" spans="1:12">
      <c r="A294" s="386"/>
      <c r="B294" s="381"/>
      <c r="C294" s="370"/>
      <c r="D294" s="370"/>
      <c r="E294" s="370"/>
      <c r="F294" s="370"/>
      <c r="G294" s="370"/>
      <c r="H294" s="370"/>
      <c r="I294" s="370"/>
      <c r="J294" s="370"/>
      <c r="K294" s="370"/>
      <c r="L294" s="380"/>
    </row>
    <row r="295" spans="1:12">
      <c r="A295" s="386"/>
      <c r="B295" s="381"/>
      <c r="C295" s="370"/>
      <c r="D295" s="370"/>
      <c r="E295" s="370"/>
      <c r="F295" s="370"/>
      <c r="G295" s="370"/>
      <c r="H295" s="370"/>
      <c r="I295" s="370"/>
      <c r="J295" s="370"/>
      <c r="K295" s="370"/>
      <c r="L295" s="380"/>
    </row>
    <row r="296" spans="1:12">
      <c r="A296" s="386"/>
      <c r="B296" s="381"/>
      <c r="C296" s="370"/>
      <c r="D296" s="370"/>
      <c r="E296" s="370"/>
      <c r="F296" s="370"/>
      <c r="G296" s="370"/>
      <c r="H296" s="370"/>
      <c r="I296" s="370"/>
      <c r="J296" s="370"/>
      <c r="K296" s="370"/>
      <c r="L296" s="380"/>
    </row>
    <row r="297" spans="1:12">
      <c r="A297" s="386"/>
      <c r="B297" s="381"/>
      <c r="C297" s="370"/>
      <c r="D297" s="370"/>
      <c r="E297" s="370"/>
      <c r="F297" s="370"/>
      <c r="G297" s="370"/>
      <c r="H297" s="370"/>
      <c r="I297" s="370"/>
      <c r="J297" s="370"/>
      <c r="K297" s="370"/>
      <c r="L297" s="380"/>
    </row>
    <row r="298" spans="1:12">
      <c r="A298" s="386"/>
      <c r="B298" s="381"/>
      <c r="C298" s="370"/>
      <c r="D298" s="370"/>
      <c r="E298" s="370"/>
      <c r="F298" s="370"/>
      <c r="G298" s="370"/>
      <c r="H298" s="370"/>
      <c r="I298" s="370"/>
      <c r="J298" s="370"/>
      <c r="K298" s="370"/>
      <c r="L298" s="380"/>
    </row>
    <row r="299" spans="1:12">
      <c r="A299" s="386"/>
      <c r="B299" s="381"/>
      <c r="C299" s="370"/>
      <c r="D299" s="370"/>
      <c r="E299" s="370"/>
      <c r="F299" s="370"/>
      <c r="G299" s="370"/>
      <c r="H299" s="370"/>
      <c r="I299" s="370"/>
      <c r="J299" s="370"/>
      <c r="K299" s="370"/>
      <c r="L299" s="380"/>
    </row>
    <row r="300" spans="1:12">
      <c r="A300" s="386"/>
      <c r="B300" s="381"/>
      <c r="C300" s="370"/>
      <c r="D300" s="370"/>
      <c r="E300" s="370"/>
      <c r="F300" s="370"/>
      <c r="G300" s="370"/>
      <c r="H300" s="370"/>
      <c r="I300" s="370"/>
      <c r="J300" s="370"/>
      <c r="K300" s="370"/>
      <c r="L300" s="380"/>
    </row>
    <row r="301" spans="1:12">
      <c r="A301" s="386"/>
      <c r="B301" s="381"/>
      <c r="C301" s="370"/>
      <c r="D301" s="370"/>
      <c r="E301" s="370"/>
      <c r="F301" s="370"/>
      <c r="G301" s="370"/>
      <c r="H301" s="370"/>
      <c r="I301" s="370"/>
      <c r="J301" s="370"/>
      <c r="K301" s="370"/>
      <c r="L301" s="380"/>
    </row>
    <row r="302" spans="1:12">
      <c r="A302" s="386"/>
      <c r="B302" s="381"/>
      <c r="C302" s="370"/>
      <c r="D302" s="370"/>
      <c r="E302" s="370"/>
      <c r="F302" s="370"/>
      <c r="G302" s="370"/>
      <c r="H302" s="370"/>
      <c r="I302" s="370"/>
      <c r="J302" s="370"/>
      <c r="K302" s="370"/>
      <c r="L302" s="380"/>
    </row>
    <row r="303" spans="1:12">
      <c r="A303" s="386"/>
      <c r="B303" s="381"/>
      <c r="C303" s="370"/>
      <c r="D303" s="370"/>
      <c r="E303" s="370"/>
      <c r="F303" s="370"/>
      <c r="G303" s="370"/>
      <c r="H303" s="370"/>
      <c r="I303" s="370"/>
      <c r="J303" s="370"/>
      <c r="K303" s="370"/>
      <c r="L303" s="380"/>
    </row>
    <row r="304" spans="1:12">
      <c r="A304" s="386"/>
      <c r="B304" s="381"/>
      <c r="C304" s="370"/>
      <c r="D304" s="370"/>
      <c r="E304" s="370"/>
      <c r="F304" s="370"/>
      <c r="G304" s="370"/>
      <c r="H304" s="370"/>
      <c r="I304" s="370"/>
      <c r="J304" s="370"/>
      <c r="K304" s="370"/>
      <c r="L304" s="380"/>
    </row>
    <row r="305" spans="1:12">
      <c r="A305" s="386"/>
      <c r="B305" s="381"/>
      <c r="C305" s="370"/>
      <c r="D305" s="370"/>
      <c r="E305" s="370"/>
      <c r="F305" s="370"/>
      <c r="G305" s="370"/>
      <c r="H305" s="370"/>
      <c r="I305" s="370"/>
      <c r="J305" s="370"/>
      <c r="K305" s="370"/>
      <c r="L305" s="380"/>
    </row>
    <row r="306" spans="1:12">
      <c r="A306" s="386"/>
      <c r="B306" s="381"/>
      <c r="C306" s="370"/>
      <c r="D306" s="370"/>
      <c r="E306" s="370"/>
      <c r="F306" s="370"/>
      <c r="G306" s="370"/>
      <c r="H306" s="370"/>
      <c r="I306" s="370"/>
      <c r="J306" s="370"/>
      <c r="K306" s="370"/>
      <c r="L306" s="380"/>
    </row>
    <row r="307" spans="1:12">
      <c r="A307" s="386"/>
      <c r="B307" s="381"/>
      <c r="C307" s="370"/>
      <c r="D307" s="370"/>
      <c r="E307" s="370"/>
      <c r="F307" s="370"/>
      <c r="G307" s="370"/>
      <c r="H307" s="370"/>
      <c r="I307" s="370"/>
      <c r="J307" s="370"/>
      <c r="K307" s="370"/>
      <c r="L307" s="380"/>
    </row>
    <row r="308" spans="1:12">
      <c r="A308" s="386"/>
      <c r="B308" s="381"/>
      <c r="C308" s="370"/>
      <c r="D308" s="370"/>
      <c r="E308" s="370"/>
      <c r="F308" s="370"/>
      <c r="G308" s="370"/>
      <c r="H308" s="370"/>
      <c r="I308" s="370"/>
      <c r="J308" s="370"/>
      <c r="K308" s="370"/>
      <c r="L308" s="380"/>
    </row>
    <row r="309" spans="1:12">
      <c r="A309" s="386"/>
      <c r="B309" s="381"/>
      <c r="C309" s="370"/>
      <c r="D309" s="370"/>
      <c r="E309" s="370"/>
      <c r="F309" s="370"/>
      <c r="G309" s="370"/>
      <c r="H309" s="370"/>
      <c r="I309" s="370"/>
      <c r="J309" s="370"/>
      <c r="K309" s="370"/>
      <c r="L309" s="380"/>
    </row>
    <row r="310" spans="1:12">
      <c r="A310" s="386"/>
      <c r="B310" s="381"/>
      <c r="C310" s="370"/>
      <c r="D310" s="370"/>
      <c r="E310" s="370"/>
      <c r="F310" s="370"/>
      <c r="G310" s="370"/>
      <c r="H310" s="370"/>
      <c r="I310" s="370"/>
      <c r="J310" s="370"/>
      <c r="K310" s="370"/>
      <c r="L310" s="380"/>
    </row>
    <row r="311" spans="1:12">
      <c r="A311" s="386"/>
      <c r="B311" s="381"/>
      <c r="C311" s="370"/>
      <c r="D311" s="370"/>
      <c r="E311" s="370"/>
      <c r="F311" s="370"/>
      <c r="G311" s="370"/>
      <c r="H311" s="370"/>
      <c r="I311" s="370"/>
      <c r="J311" s="370"/>
      <c r="K311" s="370"/>
      <c r="L311" s="380"/>
    </row>
    <row r="312" spans="1:12">
      <c r="A312" s="386"/>
      <c r="B312" s="381"/>
      <c r="C312" s="370"/>
      <c r="D312" s="370"/>
      <c r="E312" s="370"/>
      <c r="F312" s="370"/>
      <c r="G312" s="370"/>
      <c r="H312" s="370"/>
      <c r="I312" s="370"/>
      <c r="J312" s="370"/>
      <c r="K312" s="370"/>
      <c r="L312" s="380"/>
    </row>
    <row r="313" spans="1:12">
      <c r="A313" s="386"/>
      <c r="B313" s="381"/>
      <c r="C313" s="370"/>
      <c r="D313" s="370"/>
      <c r="E313" s="370"/>
      <c r="F313" s="370"/>
      <c r="G313" s="370"/>
      <c r="H313" s="370"/>
      <c r="I313" s="370"/>
      <c r="J313" s="370"/>
      <c r="K313" s="370"/>
      <c r="L313" s="380"/>
    </row>
    <row r="314" spans="1:12">
      <c r="A314" s="386"/>
      <c r="B314" s="381"/>
      <c r="C314" s="370"/>
      <c r="D314" s="370"/>
      <c r="E314" s="370"/>
      <c r="F314" s="370"/>
      <c r="G314" s="370"/>
      <c r="H314" s="370"/>
      <c r="I314" s="370"/>
      <c r="J314" s="370"/>
      <c r="K314" s="370"/>
      <c r="L314" s="380"/>
    </row>
    <row r="315" spans="1:12">
      <c r="A315" s="386"/>
      <c r="B315" s="381"/>
      <c r="C315" s="370"/>
      <c r="D315" s="370"/>
      <c r="E315" s="370"/>
      <c r="F315" s="370"/>
      <c r="G315" s="370"/>
      <c r="H315" s="370"/>
      <c r="I315" s="370"/>
      <c r="J315" s="370"/>
      <c r="K315" s="370"/>
      <c r="L315" s="380"/>
    </row>
    <row r="316" spans="1:12">
      <c r="A316" s="386"/>
      <c r="B316" s="381"/>
      <c r="C316" s="370"/>
      <c r="D316" s="370"/>
      <c r="E316" s="370"/>
      <c r="F316" s="370"/>
      <c r="G316" s="370"/>
      <c r="H316" s="370"/>
      <c r="I316" s="370"/>
      <c r="J316" s="370"/>
      <c r="K316" s="370"/>
      <c r="L316" s="380"/>
    </row>
    <row r="317" spans="1:12">
      <c r="A317" s="386"/>
      <c r="B317" s="381"/>
      <c r="C317" s="370"/>
      <c r="D317" s="370"/>
      <c r="E317" s="370"/>
      <c r="F317" s="370"/>
      <c r="G317" s="370"/>
      <c r="H317" s="370"/>
      <c r="I317" s="370"/>
      <c r="J317" s="370"/>
      <c r="K317" s="370"/>
      <c r="L317" s="380"/>
    </row>
    <row r="318" spans="1:12">
      <c r="A318" s="386"/>
      <c r="B318" s="381"/>
      <c r="C318" s="370"/>
      <c r="D318" s="370"/>
      <c r="E318" s="370"/>
      <c r="F318" s="370"/>
      <c r="G318" s="370"/>
      <c r="H318" s="370"/>
      <c r="I318" s="370"/>
      <c r="J318" s="370"/>
      <c r="K318" s="370"/>
      <c r="L318" s="380"/>
    </row>
    <row r="319" spans="1:12">
      <c r="A319" s="386"/>
      <c r="B319" s="381"/>
      <c r="C319" s="370"/>
      <c r="D319" s="370"/>
      <c r="E319" s="370"/>
      <c r="F319" s="370"/>
      <c r="G319" s="370"/>
      <c r="H319" s="370"/>
      <c r="I319" s="370"/>
      <c r="J319" s="370"/>
      <c r="K319" s="370"/>
      <c r="L319" s="380"/>
    </row>
    <row r="320" spans="1:12">
      <c r="A320" s="386"/>
      <c r="B320" s="381"/>
      <c r="C320" s="370"/>
      <c r="D320" s="370"/>
      <c r="E320" s="370"/>
      <c r="F320" s="370"/>
      <c r="G320" s="370"/>
      <c r="H320" s="370"/>
      <c r="I320" s="370"/>
      <c r="J320" s="370"/>
      <c r="K320" s="370"/>
      <c r="L320" s="380"/>
    </row>
    <row r="321" spans="1:12">
      <c r="A321" s="386"/>
      <c r="B321" s="381"/>
      <c r="C321" s="370"/>
      <c r="D321" s="370"/>
      <c r="E321" s="370"/>
      <c r="F321" s="370"/>
      <c r="G321" s="370"/>
      <c r="H321" s="370"/>
      <c r="I321" s="370"/>
      <c r="J321" s="370"/>
      <c r="K321" s="370"/>
      <c r="L321" s="380"/>
    </row>
    <row r="322" spans="1:12">
      <c r="A322" s="386"/>
      <c r="B322" s="381"/>
      <c r="C322" s="370"/>
      <c r="D322" s="370"/>
      <c r="E322" s="370"/>
      <c r="F322" s="370"/>
      <c r="G322" s="370"/>
      <c r="H322" s="370"/>
      <c r="I322" s="370"/>
      <c r="J322" s="370"/>
      <c r="K322" s="370"/>
      <c r="L322" s="380"/>
    </row>
    <row r="323" spans="1:12">
      <c r="A323" s="386"/>
      <c r="B323" s="381"/>
      <c r="C323" s="370"/>
      <c r="D323" s="370"/>
      <c r="E323" s="370"/>
      <c r="F323" s="370"/>
      <c r="G323" s="370"/>
      <c r="H323" s="370"/>
      <c r="I323" s="370"/>
      <c r="J323" s="370"/>
      <c r="K323" s="370"/>
      <c r="L323" s="380"/>
    </row>
    <row r="324" spans="1:12">
      <c r="A324" s="386"/>
      <c r="B324" s="381"/>
      <c r="C324" s="370"/>
      <c r="D324" s="370"/>
      <c r="E324" s="370"/>
      <c r="F324" s="370"/>
      <c r="G324" s="370"/>
      <c r="H324" s="370"/>
      <c r="I324" s="370"/>
      <c r="J324" s="370"/>
      <c r="K324" s="370"/>
      <c r="L324" s="380"/>
    </row>
    <row r="325" spans="1:12">
      <c r="A325" s="386"/>
      <c r="B325" s="381"/>
      <c r="C325" s="370"/>
      <c r="D325" s="370"/>
      <c r="E325" s="370"/>
      <c r="F325" s="370"/>
      <c r="G325" s="370"/>
      <c r="H325" s="370"/>
      <c r="I325" s="370"/>
      <c r="J325" s="370"/>
      <c r="K325" s="370"/>
      <c r="L325" s="380"/>
    </row>
    <row r="326" spans="1:12">
      <c r="A326" s="386"/>
      <c r="B326" s="381"/>
      <c r="C326" s="370"/>
      <c r="D326" s="370"/>
      <c r="E326" s="370"/>
      <c r="F326" s="370"/>
      <c r="G326" s="370"/>
      <c r="H326" s="370"/>
      <c r="I326" s="370"/>
      <c r="J326" s="370"/>
      <c r="K326" s="370"/>
      <c r="L326" s="380"/>
    </row>
    <row r="327" spans="1:12">
      <c r="A327" s="386"/>
      <c r="B327" s="381"/>
      <c r="C327" s="370"/>
      <c r="D327" s="370"/>
      <c r="E327" s="370"/>
      <c r="F327" s="370"/>
      <c r="G327" s="370"/>
      <c r="H327" s="370"/>
      <c r="I327" s="370"/>
      <c r="J327" s="370"/>
      <c r="K327" s="370"/>
      <c r="L327" s="380"/>
    </row>
    <row r="328" spans="1:12">
      <c r="A328" s="386"/>
      <c r="B328" s="381"/>
      <c r="C328" s="370"/>
      <c r="D328" s="370"/>
      <c r="E328" s="370"/>
      <c r="F328" s="370"/>
      <c r="G328" s="370"/>
      <c r="H328" s="370"/>
      <c r="I328" s="370"/>
      <c r="J328" s="370"/>
      <c r="K328" s="370"/>
      <c r="L328" s="380"/>
    </row>
    <row r="329" spans="1:12">
      <c r="A329" s="386"/>
      <c r="B329" s="381"/>
      <c r="C329" s="370"/>
      <c r="D329" s="370"/>
      <c r="E329" s="370"/>
      <c r="F329" s="370"/>
      <c r="G329" s="370"/>
      <c r="H329" s="370"/>
      <c r="I329" s="370"/>
      <c r="J329" s="370"/>
      <c r="K329" s="370"/>
      <c r="L329" s="380"/>
    </row>
    <row r="330" spans="1:12">
      <c r="A330" s="386"/>
      <c r="B330" s="381"/>
      <c r="C330" s="370"/>
      <c r="D330" s="370"/>
      <c r="E330" s="370"/>
      <c r="F330" s="370"/>
      <c r="G330" s="370"/>
      <c r="H330" s="370"/>
      <c r="I330" s="370"/>
      <c r="J330" s="370"/>
      <c r="K330" s="370"/>
      <c r="L330" s="380"/>
    </row>
    <row r="331" spans="1:12">
      <c r="A331" s="386"/>
      <c r="B331" s="381"/>
      <c r="C331" s="370"/>
      <c r="D331" s="370"/>
      <c r="E331" s="370"/>
      <c r="F331" s="370"/>
      <c r="G331" s="370"/>
      <c r="H331" s="370"/>
      <c r="I331" s="370"/>
      <c r="J331" s="370"/>
      <c r="K331" s="370"/>
      <c r="L331" s="380"/>
    </row>
    <row r="332" spans="1:12">
      <c r="A332" s="386"/>
      <c r="B332" s="381"/>
      <c r="C332" s="370"/>
      <c r="D332" s="370"/>
      <c r="E332" s="370"/>
      <c r="F332" s="370"/>
      <c r="G332" s="370"/>
      <c r="H332" s="370"/>
      <c r="I332" s="370"/>
      <c r="J332" s="370"/>
      <c r="K332" s="370"/>
      <c r="L332" s="380"/>
    </row>
    <row r="333" spans="1:12">
      <c r="A333" s="386"/>
      <c r="B333" s="381"/>
      <c r="C333" s="370"/>
      <c r="D333" s="370"/>
      <c r="E333" s="370"/>
      <c r="F333" s="370"/>
      <c r="G333" s="370"/>
      <c r="H333" s="370"/>
      <c r="I333" s="370"/>
      <c r="J333" s="370"/>
      <c r="K333" s="370"/>
      <c r="L333" s="380"/>
    </row>
    <row r="334" spans="1:12">
      <c r="A334" s="386"/>
      <c r="B334" s="381"/>
      <c r="C334" s="370"/>
      <c r="D334" s="370"/>
      <c r="E334" s="370"/>
      <c r="F334" s="370"/>
      <c r="G334" s="370"/>
      <c r="H334" s="370"/>
      <c r="I334" s="370"/>
      <c r="J334" s="370"/>
      <c r="K334" s="370"/>
      <c r="L334" s="380"/>
    </row>
    <row r="335" spans="1:12">
      <c r="A335" s="386"/>
      <c r="B335" s="381"/>
      <c r="C335" s="370"/>
      <c r="D335" s="370"/>
      <c r="E335" s="370"/>
      <c r="F335" s="370"/>
      <c r="G335" s="370"/>
      <c r="H335" s="370"/>
      <c r="I335" s="370"/>
      <c r="J335" s="370"/>
      <c r="K335" s="370"/>
      <c r="L335" s="380"/>
    </row>
    <row r="336" spans="1:12">
      <c r="A336" s="386"/>
      <c r="B336" s="381"/>
      <c r="C336" s="370"/>
      <c r="D336" s="370"/>
      <c r="E336" s="370"/>
      <c r="F336" s="370"/>
      <c r="G336" s="370"/>
      <c r="H336" s="370"/>
      <c r="I336" s="370"/>
      <c r="J336" s="370"/>
      <c r="K336" s="370"/>
      <c r="L336" s="380"/>
    </row>
    <row r="337" spans="1:12">
      <c r="A337" s="386"/>
      <c r="B337" s="381"/>
      <c r="C337" s="370"/>
      <c r="D337" s="370"/>
      <c r="E337" s="370"/>
      <c r="F337" s="370"/>
      <c r="G337" s="370"/>
      <c r="H337" s="370"/>
      <c r="I337" s="370"/>
      <c r="J337" s="370"/>
      <c r="K337" s="370"/>
      <c r="L337" s="380"/>
    </row>
    <row r="338" spans="1:12">
      <c r="A338" s="386"/>
      <c r="B338" s="381"/>
      <c r="C338" s="370"/>
      <c r="D338" s="370"/>
      <c r="E338" s="370"/>
      <c r="F338" s="370"/>
      <c r="G338" s="370"/>
      <c r="H338" s="370"/>
      <c r="I338" s="370"/>
      <c r="J338" s="370"/>
      <c r="K338" s="370"/>
      <c r="L338" s="380"/>
    </row>
    <row r="339" spans="1:12">
      <c r="A339" s="386"/>
      <c r="B339" s="381"/>
      <c r="C339" s="370"/>
      <c r="D339" s="370"/>
      <c r="E339" s="370"/>
      <c r="F339" s="370"/>
      <c r="G339" s="370"/>
      <c r="H339" s="370"/>
      <c r="I339" s="370"/>
      <c r="J339" s="370"/>
      <c r="K339" s="370"/>
      <c r="L339" s="380"/>
    </row>
    <row r="340" spans="1:12">
      <c r="A340" s="386"/>
      <c r="B340" s="381"/>
      <c r="C340" s="370"/>
      <c r="D340" s="370"/>
      <c r="E340" s="370"/>
      <c r="F340" s="370"/>
      <c r="G340" s="370"/>
      <c r="H340" s="370"/>
      <c r="I340" s="370"/>
      <c r="J340" s="370"/>
      <c r="K340" s="370"/>
      <c r="L340" s="380"/>
    </row>
    <row r="341" spans="1:12">
      <c r="A341" s="386"/>
      <c r="B341" s="381"/>
      <c r="C341" s="370"/>
      <c r="D341" s="370"/>
      <c r="E341" s="370"/>
      <c r="F341" s="370"/>
      <c r="G341" s="370"/>
      <c r="H341" s="370"/>
      <c r="I341" s="370"/>
      <c r="J341" s="370"/>
      <c r="K341" s="370"/>
      <c r="L341" s="380"/>
    </row>
    <row r="342" spans="1:12">
      <c r="A342" s="386"/>
      <c r="B342" s="381"/>
      <c r="C342" s="370"/>
      <c r="D342" s="370"/>
      <c r="E342" s="370"/>
      <c r="F342" s="370"/>
      <c r="G342" s="370"/>
      <c r="H342" s="370"/>
      <c r="I342" s="370"/>
      <c r="J342" s="370"/>
      <c r="K342" s="370"/>
      <c r="L342" s="380"/>
    </row>
    <row r="343" spans="1:12">
      <c r="A343" s="386"/>
      <c r="B343" s="381"/>
      <c r="C343" s="370"/>
      <c r="D343" s="370"/>
      <c r="E343" s="370"/>
      <c r="F343" s="370"/>
      <c r="G343" s="370"/>
      <c r="H343" s="370"/>
      <c r="I343" s="370"/>
      <c r="J343" s="370"/>
      <c r="K343" s="370"/>
      <c r="L343" s="380"/>
    </row>
    <row r="344" spans="1:12">
      <c r="A344" s="386"/>
      <c r="B344" s="381"/>
      <c r="C344" s="370"/>
      <c r="D344" s="370"/>
      <c r="E344" s="370"/>
      <c r="F344" s="370"/>
      <c r="G344" s="370"/>
      <c r="H344" s="370"/>
      <c r="I344" s="370"/>
      <c r="J344" s="370"/>
      <c r="K344" s="370"/>
      <c r="L344" s="380"/>
    </row>
    <row r="345" spans="1:12">
      <c r="A345" s="386"/>
      <c r="B345" s="381"/>
      <c r="C345" s="370"/>
      <c r="D345" s="370"/>
      <c r="E345" s="370"/>
      <c r="F345" s="370"/>
      <c r="G345" s="370"/>
      <c r="H345" s="370"/>
      <c r="I345" s="370"/>
      <c r="J345" s="370"/>
      <c r="K345" s="370"/>
      <c r="L345" s="380"/>
    </row>
    <row r="346" spans="1:12">
      <c r="A346" s="386"/>
      <c r="B346" s="381"/>
      <c r="C346" s="370"/>
      <c r="D346" s="370"/>
      <c r="E346" s="370"/>
      <c r="F346" s="370"/>
      <c r="G346" s="370"/>
      <c r="H346" s="370"/>
      <c r="I346" s="370"/>
      <c r="J346" s="370"/>
      <c r="K346" s="370"/>
      <c r="L346" s="380"/>
    </row>
    <row r="347" spans="1:12">
      <c r="A347" s="386"/>
      <c r="B347" s="381"/>
      <c r="C347" s="370"/>
      <c r="D347" s="370"/>
      <c r="E347" s="370"/>
      <c r="F347" s="370"/>
      <c r="G347" s="370"/>
      <c r="H347" s="370"/>
      <c r="I347" s="370"/>
      <c r="J347" s="370"/>
      <c r="K347" s="370"/>
      <c r="L347" s="380"/>
    </row>
    <row r="348" spans="1:12">
      <c r="A348" s="386"/>
      <c r="B348" s="381"/>
      <c r="C348" s="370"/>
      <c r="D348" s="370"/>
      <c r="E348" s="370"/>
      <c r="F348" s="370"/>
      <c r="G348" s="370"/>
      <c r="H348" s="370"/>
      <c r="I348" s="370"/>
      <c r="J348" s="370"/>
      <c r="K348" s="370"/>
      <c r="L348" s="380"/>
    </row>
    <row r="349" spans="1:12">
      <c r="A349" s="386"/>
      <c r="B349" s="381"/>
      <c r="C349" s="370"/>
      <c r="D349" s="370"/>
      <c r="E349" s="370"/>
      <c r="F349" s="370"/>
      <c r="G349" s="370"/>
      <c r="H349" s="370"/>
      <c r="I349" s="370"/>
      <c r="J349" s="370"/>
      <c r="K349" s="370"/>
      <c r="L349" s="380"/>
    </row>
    <row r="350" spans="1:12">
      <c r="A350" s="386"/>
      <c r="B350" s="381"/>
      <c r="C350" s="370"/>
      <c r="D350" s="370"/>
      <c r="E350" s="370"/>
      <c r="F350" s="370"/>
      <c r="G350" s="370"/>
      <c r="H350" s="370"/>
      <c r="I350" s="370"/>
      <c r="J350" s="370"/>
      <c r="K350" s="370"/>
      <c r="L350" s="380"/>
    </row>
    <row r="351" spans="1:12">
      <c r="A351" s="386"/>
      <c r="B351" s="381"/>
      <c r="C351" s="370"/>
      <c r="D351" s="370"/>
      <c r="E351" s="370"/>
      <c r="F351" s="370"/>
      <c r="G351" s="370"/>
      <c r="H351" s="370"/>
      <c r="I351" s="370"/>
      <c r="J351" s="370"/>
      <c r="K351" s="370"/>
      <c r="L351" s="380"/>
    </row>
    <row r="352" spans="1:12">
      <c r="A352" s="386"/>
      <c r="B352" s="381"/>
      <c r="C352" s="370"/>
      <c r="D352" s="370"/>
      <c r="E352" s="370"/>
      <c r="F352" s="370"/>
      <c r="G352" s="370"/>
      <c r="H352" s="370"/>
      <c r="I352" s="370"/>
      <c r="J352" s="370"/>
      <c r="K352" s="370"/>
      <c r="L352" s="380"/>
    </row>
    <row r="353" spans="1:12">
      <c r="A353" s="386"/>
      <c r="B353" s="381"/>
      <c r="C353" s="370"/>
      <c r="D353" s="370"/>
      <c r="E353" s="370"/>
      <c r="F353" s="370"/>
      <c r="G353" s="370"/>
      <c r="H353" s="370"/>
      <c r="I353" s="370"/>
      <c r="J353" s="370"/>
      <c r="K353" s="370"/>
      <c r="L353" s="380"/>
    </row>
    <row r="354" spans="1:12">
      <c r="A354" s="386"/>
      <c r="B354" s="381"/>
      <c r="C354" s="370"/>
      <c r="D354" s="370"/>
      <c r="E354" s="370"/>
      <c r="F354" s="370"/>
      <c r="G354" s="370"/>
      <c r="H354" s="370"/>
      <c r="I354" s="370"/>
      <c r="J354" s="370"/>
      <c r="K354" s="370"/>
      <c r="L354" s="380"/>
    </row>
    <row r="355" spans="1:12">
      <c r="A355" s="386"/>
      <c r="B355" s="381"/>
      <c r="C355" s="370"/>
      <c r="D355" s="370"/>
      <c r="E355" s="370"/>
      <c r="F355" s="370"/>
      <c r="G355" s="370"/>
      <c r="H355" s="370"/>
      <c r="I355" s="370"/>
      <c r="J355" s="370"/>
      <c r="K355" s="370"/>
      <c r="L355" s="380"/>
    </row>
    <row r="356" spans="1:12">
      <c r="A356" s="386"/>
      <c r="B356" s="381"/>
      <c r="C356" s="370"/>
      <c r="D356" s="370"/>
      <c r="E356" s="370"/>
      <c r="F356" s="370"/>
      <c r="G356" s="370"/>
      <c r="H356" s="370"/>
      <c r="I356" s="370"/>
      <c r="J356" s="370"/>
      <c r="K356" s="370"/>
      <c r="L356" s="380"/>
    </row>
    <row r="357" spans="1:12">
      <c r="A357" s="386"/>
      <c r="B357" s="381"/>
      <c r="C357" s="370"/>
      <c r="D357" s="370"/>
      <c r="E357" s="370"/>
      <c r="F357" s="370"/>
      <c r="G357" s="370"/>
      <c r="H357" s="370"/>
      <c r="I357" s="370"/>
      <c r="J357" s="370"/>
      <c r="K357" s="370"/>
      <c r="L357" s="380"/>
    </row>
    <row r="358" spans="1:12">
      <c r="A358" s="386"/>
      <c r="B358" s="381"/>
      <c r="C358" s="370"/>
      <c r="D358" s="370"/>
      <c r="E358" s="370"/>
      <c r="F358" s="370"/>
      <c r="G358" s="370"/>
      <c r="H358" s="370"/>
      <c r="I358" s="370"/>
      <c r="J358" s="370"/>
      <c r="K358" s="370"/>
      <c r="L358" s="380"/>
    </row>
    <row r="359" spans="1:12">
      <c r="A359" s="386"/>
      <c r="B359" s="381"/>
      <c r="C359" s="370"/>
      <c r="D359" s="370"/>
      <c r="E359" s="370"/>
      <c r="F359" s="370"/>
      <c r="G359" s="370"/>
      <c r="H359" s="370"/>
      <c r="I359" s="370"/>
      <c r="J359" s="370"/>
      <c r="K359" s="370"/>
      <c r="L359" s="380"/>
    </row>
    <row r="360" spans="1:12">
      <c r="A360" s="386"/>
      <c r="B360" s="381"/>
      <c r="C360" s="370"/>
      <c r="D360" s="370"/>
      <c r="E360" s="370"/>
      <c r="F360" s="370"/>
      <c r="G360" s="370"/>
      <c r="H360" s="370"/>
      <c r="I360" s="370"/>
      <c r="J360" s="370"/>
      <c r="K360" s="370"/>
      <c r="L360" s="380"/>
    </row>
    <row r="361" spans="1:12">
      <c r="A361" s="386"/>
      <c r="B361" s="381"/>
      <c r="C361" s="370"/>
      <c r="D361" s="370"/>
      <c r="E361" s="370"/>
      <c r="F361" s="370"/>
      <c r="G361" s="370"/>
      <c r="H361" s="370"/>
      <c r="I361" s="370"/>
      <c r="J361" s="370"/>
      <c r="K361" s="370"/>
      <c r="L361" s="380"/>
    </row>
    <row r="362" spans="1:12">
      <c r="A362" s="386"/>
      <c r="B362" s="381"/>
      <c r="C362" s="370"/>
      <c r="D362" s="370"/>
      <c r="E362" s="370"/>
      <c r="F362" s="370"/>
      <c r="G362" s="370"/>
      <c r="H362" s="370"/>
      <c r="I362" s="370"/>
      <c r="J362" s="370"/>
      <c r="K362" s="370"/>
      <c r="L362" s="380"/>
    </row>
    <row r="363" spans="1:12">
      <c r="A363" s="386"/>
      <c r="B363" s="381"/>
      <c r="C363" s="370"/>
      <c r="D363" s="370"/>
      <c r="E363" s="370"/>
      <c r="F363" s="370"/>
      <c r="G363" s="370"/>
      <c r="H363" s="370"/>
      <c r="I363" s="370"/>
      <c r="J363" s="370"/>
      <c r="K363" s="370"/>
      <c r="L363" s="380"/>
    </row>
    <row r="364" spans="1:12">
      <c r="A364" s="386"/>
      <c r="B364" s="381"/>
      <c r="C364" s="370"/>
      <c r="D364" s="370"/>
      <c r="E364" s="370"/>
      <c r="F364" s="370"/>
      <c r="G364" s="370"/>
      <c r="H364" s="370"/>
      <c r="I364" s="370"/>
      <c r="J364" s="370"/>
      <c r="K364" s="370"/>
      <c r="L364" s="380"/>
    </row>
    <row r="365" spans="1:12">
      <c r="A365" s="386"/>
      <c r="B365" s="381"/>
      <c r="C365" s="370"/>
      <c r="D365" s="370"/>
      <c r="E365" s="370"/>
      <c r="F365" s="370"/>
      <c r="G365" s="370"/>
      <c r="H365" s="370"/>
      <c r="I365" s="370"/>
      <c r="J365" s="370"/>
      <c r="K365" s="370"/>
      <c r="L365" s="380"/>
    </row>
    <row r="366" spans="1:12">
      <c r="A366" s="386"/>
      <c r="B366" s="381"/>
      <c r="C366" s="370"/>
      <c r="D366" s="370"/>
      <c r="E366" s="370"/>
      <c r="F366" s="370"/>
      <c r="G366" s="370"/>
      <c r="H366" s="370"/>
      <c r="I366" s="370"/>
      <c r="J366" s="370"/>
      <c r="K366" s="370"/>
      <c r="L366" s="380"/>
    </row>
    <row r="367" spans="1:12">
      <c r="A367" s="386"/>
      <c r="B367" s="381"/>
      <c r="C367" s="370"/>
      <c r="D367" s="370"/>
      <c r="E367" s="370"/>
      <c r="F367" s="370"/>
      <c r="G367" s="370"/>
      <c r="H367" s="370"/>
      <c r="I367" s="370"/>
      <c r="J367" s="370"/>
      <c r="K367" s="370"/>
      <c r="L367" s="380"/>
    </row>
    <row r="368" spans="1:12">
      <c r="A368" s="386"/>
      <c r="B368" s="381"/>
      <c r="C368" s="370"/>
      <c r="D368" s="370"/>
      <c r="E368" s="370"/>
      <c r="F368" s="370"/>
      <c r="G368" s="370"/>
      <c r="H368" s="370"/>
      <c r="I368" s="370"/>
      <c r="J368" s="370"/>
      <c r="K368" s="370"/>
      <c r="L368" s="380"/>
    </row>
    <row r="369" spans="1:12">
      <c r="A369" s="386"/>
      <c r="B369" s="381"/>
      <c r="C369" s="370"/>
      <c r="D369" s="370"/>
      <c r="E369" s="370"/>
      <c r="F369" s="370"/>
      <c r="G369" s="370"/>
      <c r="H369" s="370"/>
      <c r="I369" s="370"/>
      <c r="J369" s="370"/>
      <c r="K369" s="370"/>
      <c r="L369" s="380"/>
    </row>
    <row r="370" spans="1:12">
      <c r="A370" s="386"/>
      <c r="B370" s="381"/>
      <c r="C370" s="370"/>
      <c r="D370" s="370"/>
      <c r="E370" s="370"/>
      <c r="F370" s="370"/>
      <c r="G370" s="370"/>
      <c r="H370" s="370"/>
      <c r="I370" s="370"/>
      <c r="J370" s="370"/>
      <c r="K370" s="370"/>
      <c r="L370" s="380"/>
    </row>
    <row r="371" spans="1:12">
      <c r="A371" s="386"/>
      <c r="B371" s="381"/>
      <c r="C371" s="370"/>
      <c r="D371" s="370"/>
      <c r="E371" s="370"/>
      <c r="F371" s="370"/>
      <c r="G371" s="370"/>
      <c r="H371" s="370"/>
      <c r="I371" s="370"/>
      <c r="J371" s="370"/>
      <c r="K371" s="370"/>
      <c r="L371" s="380"/>
    </row>
    <row r="372" spans="1:12">
      <c r="A372" s="386"/>
      <c r="B372" s="381"/>
      <c r="C372" s="370"/>
      <c r="D372" s="370"/>
      <c r="E372" s="370"/>
      <c r="F372" s="370"/>
      <c r="G372" s="370"/>
      <c r="H372" s="370"/>
      <c r="I372" s="370"/>
      <c r="J372" s="370"/>
      <c r="K372" s="370"/>
      <c r="L372" s="380"/>
    </row>
    <row r="373" spans="1:12">
      <c r="A373" s="386"/>
      <c r="B373" s="381"/>
      <c r="C373" s="370"/>
      <c r="D373" s="370"/>
      <c r="E373" s="370"/>
      <c r="F373" s="370"/>
      <c r="G373" s="370"/>
      <c r="H373" s="370"/>
      <c r="I373" s="370"/>
      <c r="J373" s="370"/>
      <c r="K373" s="370"/>
      <c r="L373" s="380"/>
    </row>
    <row r="374" spans="1:12">
      <c r="A374" s="386"/>
      <c r="B374" s="381"/>
      <c r="C374" s="370"/>
      <c r="D374" s="370"/>
      <c r="E374" s="370"/>
      <c r="F374" s="370"/>
      <c r="G374" s="370"/>
      <c r="H374" s="370"/>
      <c r="I374" s="370"/>
      <c r="J374" s="370"/>
      <c r="K374" s="370"/>
      <c r="L374" s="380"/>
    </row>
    <row r="375" spans="1:12">
      <c r="A375" s="386"/>
      <c r="B375" s="381"/>
      <c r="C375" s="370"/>
      <c r="D375" s="370"/>
      <c r="E375" s="370"/>
      <c r="F375" s="370"/>
      <c r="G375" s="370"/>
      <c r="H375" s="370"/>
      <c r="I375" s="370"/>
      <c r="J375" s="370"/>
      <c r="K375" s="370"/>
      <c r="L375" s="380"/>
    </row>
    <row r="376" spans="1:12">
      <c r="A376" s="386"/>
      <c r="B376" s="381"/>
      <c r="C376" s="370"/>
      <c r="D376" s="370"/>
      <c r="E376" s="370"/>
      <c r="F376" s="370"/>
      <c r="G376" s="370"/>
      <c r="H376" s="370"/>
      <c r="I376" s="370"/>
      <c r="J376" s="370"/>
      <c r="K376" s="370"/>
      <c r="L376" s="380"/>
    </row>
    <row r="377" spans="1:12">
      <c r="A377" s="386"/>
      <c r="B377" s="381"/>
      <c r="C377" s="370"/>
      <c r="D377" s="370"/>
      <c r="E377" s="370"/>
      <c r="F377" s="370"/>
      <c r="G377" s="370"/>
      <c r="H377" s="370"/>
      <c r="I377" s="370"/>
      <c r="J377" s="370"/>
      <c r="K377" s="370"/>
      <c r="L377" s="380"/>
    </row>
    <row r="378" spans="1:12">
      <c r="A378" s="386"/>
      <c r="B378" s="381"/>
      <c r="C378" s="370"/>
      <c r="D378" s="370"/>
      <c r="E378" s="370"/>
      <c r="F378" s="370"/>
      <c r="G378" s="370"/>
      <c r="H378" s="370"/>
      <c r="I378" s="370"/>
      <c r="J378" s="370"/>
      <c r="K378" s="370"/>
      <c r="L378" s="380"/>
    </row>
    <row r="379" spans="1:12">
      <c r="A379" s="386"/>
      <c r="B379" s="381"/>
      <c r="C379" s="370"/>
      <c r="D379" s="370"/>
      <c r="E379" s="370"/>
      <c r="F379" s="370"/>
      <c r="G379" s="370"/>
      <c r="H379" s="370"/>
      <c r="I379" s="370"/>
      <c r="J379" s="370"/>
      <c r="K379" s="370"/>
      <c r="L379" s="380"/>
    </row>
    <row r="380" spans="1:12">
      <c r="A380" s="386"/>
      <c r="B380" s="381"/>
      <c r="C380" s="370"/>
      <c r="D380" s="370"/>
      <c r="E380" s="370"/>
      <c r="F380" s="370"/>
      <c r="G380" s="370"/>
      <c r="H380" s="370"/>
      <c r="I380" s="370"/>
      <c r="J380" s="370"/>
      <c r="K380" s="370"/>
      <c r="L380" s="380"/>
    </row>
    <row r="381" spans="1:12">
      <c r="A381" s="386"/>
      <c r="B381" s="381"/>
      <c r="C381" s="370"/>
      <c r="D381" s="370"/>
      <c r="E381" s="370"/>
      <c r="F381" s="370"/>
      <c r="G381" s="370"/>
      <c r="H381" s="370"/>
      <c r="I381" s="370"/>
      <c r="J381" s="370"/>
      <c r="K381" s="370"/>
      <c r="L381" s="380"/>
    </row>
    <row r="382" spans="1:12">
      <c r="A382" s="386"/>
      <c r="B382" s="381"/>
      <c r="C382" s="370"/>
      <c r="D382" s="370"/>
      <c r="E382" s="370"/>
      <c r="F382" s="370"/>
      <c r="G382" s="370"/>
      <c r="H382" s="370"/>
      <c r="I382" s="370"/>
      <c r="J382" s="370"/>
      <c r="K382" s="370"/>
      <c r="L382" s="380"/>
    </row>
    <row r="383" spans="1:12">
      <c r="A383" s="386"/>
      <c r="B383" s="381"/>
      <c r="C383" s="370"/>
      <c r="D383" s="370"/>
      <c r="E383" s="370"/>
      <c r="F383" s="370"/>
      <c r="G383" s="370"/>
      <c r="H383" s="370"/>
      <c r="I383" s="370"/>
      <c r="J383" s="370"/>
      <c r="K383" s="370"/>
      <c r="L383" s="380"/>
    </row>
    <row r="384" spans="1:12">
      <c r="A384" s="386"/>
      <c r="B384" s="381"/>
      <c r="C384" s="370"/>
      <c r="D384" s="370"/>
      <c r="E384" s="370"/>
      <c r="F384" s="370"/>
      <c r="G384" s="370"/>
      <c r="H384" s="370"/>
      <c r="I384" s="370"/>
      <c r="J384" s="370"/>
      <c r="K384" s="370"/>
      <c r="L384" s="380"/>
    </row>
    <row r="385" spans="1:12">
      <c r="A385" s="386"/>
      <c r="B385" s="381"/>
      <c r="C385" s="370"/>
      <c r="D385" s="370"/>
      <c r="E385" s="370"/>
      <c r="F385" s="370"/>
      <c r="G385" s="370"/>
      <c r="H385" s="370"/>
      <c r="I385" s="370"/>
      <c r="J385" s="370"/>
      <c r="K385" s="370"/>
      <c r="L385" s="380"/>
    </row>
    <row r="386" spans="1:12">
      <c r="A386" s="386"/>
      <c r="B386" s="381"/>
      <c r="C386" s="370"/>
      <c r="D386" s="370"/>
      <c r="E386" s="370"/>
      <c r="F386" s="370"/>
      <c r="G386" s="370"/>
      <c r="H386" s="370"/>
      <c r="I386" s="370"/>
      <c r="J386" s="370"/>
      <c r="K386" s="370"/>
      <c r="L386" s="380"/>
    </row>
    <row r="387" spans="1:12">
      <c r="A387" s="386"/>
      <c r="B387" s="381"/>
      <c r="C387" s="370"/>
      <c r="D387" s="370"/>
      <c r="E387" s="370"/>
      <c r="F387" s="370"/>
      <c r="G387" s="370"/>
      <c r="H387" s="370"/>
      <c r="I387" s="370"/>
      <c r="J387" s="370"/>
      <c r="K387" s="370"/>
      <c r="L387" s="380"/>
    </row>
    <row r="388" spans="1:12">
      <c r="A388" s="386"/>
      <c r="B388" s="381"/>
      <c r="C388" s="370"/>
      <c r="D388" s="370"/>
      <c r="E388" s="370"/>
      <c r="F388" s="370"/>
      <c r="G388" s="370"/>
      <c r="H388" s="370"/>
      <c r="I388" s="370"/>
      <c r="J388" s="370"/>
      <c r="K388" s="370"/>
      <c r="L388" s="380"/>
    </row>
    <row r="389" spans="1:12">
      <c r="A389" s="386"/>
      <c r="B389" s="381"/>
      <c r="C389" s="370"/>
      <c r="D389" s="370"/>
      <c r="E389" s="370"/>
      <c r="F389" s="370"/>
      <c r="G389" s="370"/>
      <c r="H389" s="370"/>
      <c r="I389" s="370"/>
      <c r="J389" s="370"/>
      <c r="K389" s="370"/>
      <c r="L389" s="380"/>
    </row>
    <row r="390" spans="1:12">
      <c r="A390" s="386"/>
      <c r="B390" s="381"/>
      <c r="C390" s="370"/>
      <c r="D390" s="370"/>
      <c r="E390" s="370"/>
      <c r="F390" s="370"/>
      <c r="G390" s="370"/>
      <c r="H390" s="370"/>
      <c r="I390" s="370"/>
      <c r="J390" s="370"/>
      <c r="K390" s="370"/>
      <c r="L390" s="380"/>
    </row>
    <row r="391" spans="1:12">
      <c r="A391" s="386"/>
      <c r="B391" s="381"/>
      <c r="C391" s="370"/>
      <c r="D391" s="370"/>
      <c r="E391" s="370"/>
      <c r="F391" s="370"/>
      <c r="G391" s="370"/>
      <c r="H391" s="370"/>
      <c r="I391" s="370"/>
      <c r="J391" s="370"/>
      <c r="K391" s="370"/>
      <c r="L391" s="380"/>
    </row>
    <row r="392" spans="1:12">
      <c r="A392" s="386"/>
      <c r="B392" s="381"/>
      <c r="C392" s="370"/>
      <c r="D392" s="370"/>
      <c r="E392" s="370"/>
      <c r="F392" s="370"/>
      <c r="G392" s="370"/>
      <c r="H392" s="370"/>
      <c r="I392" s="370"/>
      <c r="J392" s="370"/>
      <c r="K392" s="370"/>
      <c r="L392" s="380"/>
    </row>
    <row r="393" spans="1:12">
      <c r="A393" s="386"/>
      <c r="B393" s="381"/>
      <c r="C393" s="370"/>
      <c r="D393" s="370"/>
      <c r="E393" s="370"/>
      <c r="F393" s="370"/>
      <c r="G393" s="370"/>
      <c r="H393" s="370"/>
      <c r="I393" s="370"/>
      <c r="J393" s="370"/>
      <c r="K393" s="370"/>
      <c r="L393" s="380"/>
    </row>
    <row r="394" spans="1:12">
      <c r="A394" s="386"/>
      <c r="B394" s="381"/>
      <c r="C394" s="370"/>
      <c r="D394" s="370"/>
      <c r="E394" s="370"/>
      <c r="F394" s="370"/>
      <c r="G394" s="370"/>
      <c r="H394" s="370"/>
      <c r="I394" s="370"/>
      <c r="J394" s="370"/>
      <c r="K394" s="370"/>
      <c r="L394" s="380"/>
    </row>
    <row r="395" spans="1:12">
      <c r="A395" s="386"/>
      <c r="B395" s="381"/>
      <c r="C395" s="370"/>
      <c r="D395" s="370"/>
      <c r="E395" s="370"/>
      <c r="F395" s="370"/>
      <c r="G395" s="370"/>
      <c r="H395" s="370"/>
      <c r="I395" s="370"/>
      <c r="J395" s="370"/>
      <c r="K395" s="370"/>
      <c r="L395" s="380"/>
    </row>
    <row r="396" spans="1:12">
      <c r="A396" s="386"/>
      <c r="B396" s="381"/>
      <c r="C396" s="370"/>
      <c r="D396" s="370"/>
      <c r="E396" s="370"/>
      <c r="F396" s="370"/>
      <c r="G396" s="370"/>
      <c r="H396" s="370"/>
      <c r="I396" s="370"/>
      <c r="J396" s="370"/>
      <c r="K396" s="370"/>
      <c r="L396" s="380"/>
    </row>
    <row r="397" spans="1:12">
      <c r="A397" s="386"/>
      <c r="B397" s="381"/>
      <c r="C397" s="370"/>
      <c r="D397" s="370"/>
      <c r="E397" s="370"/>
      <c r="F397" s="370"/>
      <c r="G397" s="370"/>
      <c r="H397" s="370"/>
      <c r="I397" s="370"/>
      <c r="J397" s="370"/>
      <c r="K397" s="370"/>
      <c r="L397" s="380"/>
    </row>
    <row r="398" spans="1:12">
      <c r="A398" s="386"/>
      <c r="B398" s="381"/>
      <c r="C398" s="370"/>
      <c r="D398" s="370"/>
      <c r="E398" s="370"/>
      <c r="F398" s="370"/>
      <c r="G398" s="370"/>
      <c r="H398" s="370"/>
      <c r="I398" s="370"/>
      <c r="J398" s="370"/>
      <c r="K398" s="370"/>
      <c r="L398" s="380"/>
    </row>
    <row r="399" spans="1:12">
      <c r="A399" s="386"/>
      <c r="B399" s="381"/>
      <c r="C399" s="370"/>
      <c r="D399" s="370"/>
      <c r="E399" s="370"/>
      <c r="F399" s="370"/>
      <c r="G399" s="370"/>
      <c r="H399" s="370"/>
      <c r="I399" s="370"/>
      <c r="J399" s="370"/>
      <c r="K399" s="370"/>
      <c r="L399" s="380"/>
    </row>
    <row r="400" spans="1:12">
      <c r="A400" s="386"/>
      <c r="B400" s="381"/>
      <c r="C400" s="370"/>
      <c r="D400" s="370"/>
      <c r="E400" s="370"/>
      <c r="F400" s="370"/>
      <c r="G400" s="370"/>
      <c r="H400" s="370"/>
      <c r="I400" s="370"/>
      <c r="J400" s="370"/>
      <c r="K400" s="370"/>
      <c r="L400" s="380"/>
    </row>
    <row r="401" spans="1:12">
      <c r="A401" s="386"/>
      <c r="B401" s="381"/>
      <c r="C401" s="370"/>
      <c r="D401" s="370"/>
      <c r="E401" s="370"/>
      <c r="F401" s="370"/>
      <c r="G401" s="370"/>
      <c r="H401" s="370"/>
      <c r="I401" s="370"/>
      <c r="J401" s="370"/>
      <c r="K401" s="370"/>
      <c r="L401" s="380"/>
    </row>
    <row r="402" spans="1:12">
      <c r="A402" s="386"/>
      <c r="B402" s="381"/>
      <c r="C402" s="370"/>
      <c r="D402" s="370"/>
      <c r="E402" s="370"/>
      <c r="F402" s="370"/>
      <c r="G402" s="370"/>
      <c r="H402" s="370"/>
      <c r="I402" s="370"/>
      <c r="J402" s="370"/>
      <c r="K402" s="370"/>
      <c r="L402" s="380"/>
    </row>
    <row r="403" spans="1:12">
      <c r="A403" s="386"/>
      <c r="B403" s="381"/>
      <c r="C403" s="370"/>
      <c r="D403" s="370"/>
      <c r="E403" s="370"/>
      <c r="F403" s="370"/>
      <c r="G403" s="370"/>
      <c r="H403" s="370"/>
      <c r="I403" s="370"/>
      <c r="J403" s="370"/>
      <c r="K403" s="370"/>
      <c r="L403" s="380"/>
    </row>
    <row r="404" spans="1:12">
      <c r="A404" s="386"/>
      <c r="B404" s="381"/>
      <c r="C404" s="370"/>
      <c r="D404" s="370"/>
      <c r="E404" s="370"/>
      <c r="F404" s="370"/>
      <c r="G404" s="370"/>
      <c r="H404" s="370"/>
      <c r="I404" s="370"/>
      <c r="J404" s="370"/>
      <c r="K404" s="370"/>
      <c r="L404" s="380"/>
    </row>
    <row r="405" spans="1:12">
      <c r="A405" s="386"/>
      <c r="B405" s="381"/>
      <c r="C405" s="370"/>
      <c r="D405" s="370"/>
      <c r="E405" s="370"/>
      <c r="F405" s="370"/>
      <c r="G405" s="370"/>
      <c r="H405" s="370"/>
      <c r="I405" s="370"/>
      <c r="J405" s="370"/>
      <c r="K405" s="370"/>
      <c r="L405" s="380"/>
    </row>
    <row r="406" spans="1:12">
      <c r="A406" s="386"/>
      <c r="B406" s="381"/>
      <c r="C406" s="370"/>
      <c r="D406" s="370"/>
      <c r="E406" s="370"/>
      <c r="F406" s="370"/>
      <c r="G406" s="370"/>
      <c r="H406" s="370"/>
      <c r="I406" s="370"/>
      <c r="J406" s="370"/>
      <c r="K406" s="370"/>
      <c r="L406" s="380"/>
    </row>
    <row r="407" spans="1:12">
      <c r="A407" s="386"/>
      <c r="B407" s="381"/>
      <c r="C407" s="370"/>
      <c r="D407" s="370"/>
      <c r="E407" s="370"/>
      <c r="F407" s="370"/>
      <c r="G407" s="370"/>
      <c r="H407" s="370"/>
      <c r="I407" s="370"/>
      <c r="J407" s="370"/>
      <c r="K407" s="370"/>
      <c r="L407" s="380"/>
    </row>
    <row r="408" spans="1:12">
      <c r="A408" s="386"/>
      <c r="B408" s="381"/>
      <c r="C408" s="370"/>
      <c r="D408" s="370"/>
      <c r="E408" s="370"/>
      <c r="F408" s="370"/>
      <c r="G408" s="370"/>
      <c r="H408" s="370"/>
      <c r="I408" s="370"/>
      <c r="J408" s="370"/>
      <c r="K408" s="370"/>
      <c r="L408" s="380"/>
    </row>
    <row r="409" spans="1:12">
      <c r="A409" s="386"/>
      <c r="B409" s="381"/>
      <c r="C409" s="370"/>
      <c r="D409" s="370"/>
      <c r="E409" s="370"/>
      <c r="F409" s="370"/>
      <c r="G409" s="370"/>
      <c r="H409" s="370"/>
      <c r="I409" s="370"/>
      <c r="J409" s="370"/>
      <c r="K409" s="370"/>
      <c r="L409" s="380"/>
    </row>
    <row r="410" spans="1:12">
      <c r="A410" s="386"/>
      <c r="B410" s="381"/>
      <c r="C410" s="370"/>
      <c r="D410" s="370"/>
      <c r="E410" s="370"/>
      <c r="F410" s="370"/>
      <c r="G410" s="370"/>
      <c r="H410" s="370"/>
      <c r="I410" s="370"/>
      <c r="J410" s="370"/>
      <c r="K410" s="370"/>
      <c r="L410" s="380"/>
    </row>
    <row r="411" spans="1:12">
      <c r="A411" s="386"/>
      <c r="B411" s="381"/>
      <c r="C411" s="370"/>
      <c r="D411" s="370"/>
      <c r="E411" s="370"/>
      <c r="F411" s="370"/>
      <c r="G411" s="370"/>
      <c r="H411" s="370"/>
      <c r="I411" s="370"/>
      <c r="J411" s="370"/>
      <c r="K411" s="370"/>
      <c r="L411" s="380"/>
    </row>
    <row r="412" spans="1:12">
      <c r="A412" s="386"/>
      <c r="B412" s="381"/>
      <c r="C412" s="370"/>
      <c r="D412" s="370"/>
      <c r="E412" s="370"/>
      <c r="F412" s="370"/>
      <c r="G412" s="370"/>
      <c r="H412" s="370"/>
      <c r="I412" s="370"/>
      <c r="J412" s="370"/>
      <c r="K412" s="370"/>
      <c r="L412" s="380"/>
    </row>
    <row r="413" spans="1:12">
      <c r="A413" s="386"/>
      <c r="B413" s="381"/>
      <c r="C413" s="370"/>
      <c r="D413" s="370"/>
      <c r="E413" s="370"/>
      <c r="F413" s="370"/>
      <c r="G413" s="370"/>
      <c r="H413" s="370"/>
      <c r="I413" s="370"/>
      <c r="J413" s="370"/>
      <c r="K413" s="370"/>
      <c r="L413" s="380"/>
    </row>
    <row r="414" spans="1:12">
      <c r="A414" s="386"/>
      <c r="B414" s="381"/>
      <c r="C414" s="370"/>
      <c r="D414" s="370"/>
      <c r="E414" s="370"/>
      <c r="F414" s="370"/>
      <c r="G414" s="370"/>
      <c r="H414" s="370"/>
      <c r="I414" s="370"/>
      <c r="J414" s="370"/>
      <c r="K414" s="370"/>
      <c r="L414" s="380"/>
    </row>
    <row r="415" spans="1:12">
      <c r="A415" s="386"/>
      <c r="B415" s="381"/>
      <c r="C415" s="370"/>
      <c r="D415" s="370"/>
      <c r="E415" s="370"/>
      <c r="F415" s="370"/>
      <c r="G415" s="370"/>
      <c r="H415" s="370"/>
      <c r="I415" s="370"/>
      <c r="J415" s="370"/>
      <c r="K415" s="370"/>
      <c r="L415" s="380"/>
    </row>
    <row r="416" spans="1:12">
      <c r="A416" s="386"/>
      <c r="B416" s="381"/>
      <c r="C416" s="370"/>
      <c r="D416" s="370"/>
      <c r="E416" s="370"/>
      <c r="F416" s="370"/>
      <c r="G416" s="370"/>
      <c r="H416" s="370"/>
      <c r="I416" s="370"/>
      <c r="J416" s="370"/>
      <c r="K416" s="370"/>
      <c r="L416" s="380"/>
    </row>
    <row r="417" spans="1:12">
      <c r="A417" s="386"/>
      <c r="B417" s="381"/>
      <c r="C417" s="370"/>
      <c r="D417" s="370"/>
      <c r="E417" s="370"/>
      <c r="F417" s="370"/>
      <c r="G417" s="370"/>
      <c r="H417" s="370"/>
      <c r="I417" s="370"/>
      <c r="J417" s="370"/>
      <c r="K417" s="370"/>
      <c r="L417" s="380"/>
    </row>
    <row r="418" spans="1:12">
      <c r="A418" s="386"/>
      <c r="B418" s="381"/>
      <c r="C418" s="370"/>
      <c r="D418" s="370"/>
      <c r="E418" s="370"/>
      <c r="F418" s="370"/>
      <c r="G418" s="370"/>
      <c r="H418" s="370"/>
      <c r="I418" s="370"/>
      <c r="J418" s="370"/>
      <c r="K418" s="370"/>
      <c r="L418" s="380"/>
    </row>
    <row r="419" spans="1:12">
      <c r="A419" s="386"/>
      <c r="B419" s="381"/>
      <c r="C419" s="370"/>
      <c r="D419" s="370"/>
      <c r="E419" s="370"/>
      <c r="F419" s="370"/>
      <c r="G419" s="370"/>
      <c r="H419" s="370"/>
      <c r="I419" s="370"/>
      <c r="J419" s="370"/>
      <c r="K419" s="370"/>
      <c r="L419" s="380"/>
    </row>
    <row r="420" spans="1:12">
      <c r="A420" s="386"/>
      <c r="B420" s="381"/>
      <c r="C420" s="370"/>
      <c r="D420" s="370"/>
      <c r="E420" s="370"/>
      <c r="F420" s="370"/>
      <c r="G420" s="370"/>
      <c r="H420" s="370"/>
      <c r="I420" s="370"/>
      <c r="J420" s="370"/>
      <c r="K420" s="370"/>
      <c r="L420" s="380"/>
    </row>
    <row r="421" spans="1:12">
      <c r="A421" s="386"/>
      <c r="B421" s="381"/>
      <c r="C421" s="370"/>
      <c r="D421" s="370"/>
      <c r="E421" s="370"/>
      <c r="F421" s="370"/>
      <c r="G421" s="370"/>
      <c r="H421" s="370"/>
      <c r="I421" s="370"/>
      <c r="J421" s="370"/>
      <c r="K421" s="370"/>
      <c r="L421" s="380"/>
    </row>
    <row r="422" spans="1:12">
      <c r="A422" s="386"/>
      <c r="B422" s="381"/>
      <c r="C422" s="370"/>
      <c r="D422" s="370"/>
      <c r="E422" s="370"/>
      <c r="F422" s="370"/>
      <c r="G422" s="370"/>
      <c r="H422" s="370"/>
      <c r="I422" s="370"/>
      <c r="J422" s="370"/>
      <c r="K422" s="370"/>
      <c r="L422" s="380"/>
    </row>
    <row r="423" spans="1:12">
      <c r="A423" s="386"/>
      <c r="B423" s="381"/>
      <c r="C423" s="370"/>
      <c r="D423" s="370"/>
      <c r="E423" s="370"/>
      <c r="F423" s="370"/>
      <c r="G423" s="370"/>
      <c r="H423" s="370"/>
      <c r="I423" s="370"/>
      <c r="J423" s="370"/>
      <c r="K423" s="370"/>
      <c r="L423" s="380"/>
    </row>
    <row r="424" spans="1:12">
      <c r="A424" s="386"/>
      <c r="B424" s="381"/>
      <c r="C424" s="370"/>
      <c r="D424" s="370"/>
      <c r="E424" s="370"/>
      <c r="F424" s="370"/>
      <c r="G424" s="370"/>
      <c r="H424" s="370"/>
      <c r="I424" s="370"/>
      <c r="J424" s="370"/>
      <c r="K424" s="370"/>
      <c r="L424" s="380"/>
    </row>
    <row r="425" spans="1:12">
      <c r="A425" s="386"/>
      <c r="B425" s="381"/>
      <c r="C425" s="370"/>
      <c r="D425" s="370"/>
      <c r="E425" s="370"/>
      <c r="F425" s="370"/>
      <c r="G425" s="370"/>
      <c r="H425" s="370"/>
      <c r="I425" s="370"/>
      <c r="J425" s="370"/>
      <c r="K425" s="370"/>
      <c r="L425" s="380"/>
    </row>
    <row r="426" spans="1:12">
      <c r="A426" s="386"/>
      <c r="B426" s="381"/>
      <c r="C426" s="370"/>
      <c r="D426" s="370"/>
      <c r="E426" s="370"/>
      <c r="F426" s="370"/>
      <c r="G426" s="370"/>
      <c r="H426" s="370"/>
      <c r="I426" s="370"/>
      <c r="J426" s="370"/>
      <c r="K426" s="370"/>
      <c r="L426" s="380"/>
    </row>
    <row r="427" spans="1:12">
      <c r="A427" s="386"/>
      <c r="B427" s="381"/>
      <c r="C427" s="370"/>
      <c r="D427" s="370"/>
      <c r="E427" s="370"/>
      <c r="F427" s="370"/>
      <c r="G427" s="370"/>
      <c r="H427" s="370"/>
      <c r="I427" s="370"/>
      <c r="J427" s="370"/>
      <c r="K427" s="370"/>
      <c r="L427" s="380"/>
    </row>
    <row r="428" spans="1:12">
      <c r="A428" s="386"/>
      <c r="B428" s="381"/>
      <c r="C428" s="370"/>
      <c r="D428" s="370"/>
      <c r="E428" s="370"/>
      <c r="F428" s="370"/>
      <c r="G428" s="370"/>
      <c r="H428" s="370"/>
      <c r="I428" s="370"/>
      <c r="J428" s="370"/>
      <c r="K428" s="370"/>
      <c r="L428" s="380"/>
    </row>
    <row r="429" spans="1:12">
      <c r="A429" s="386"/>
      <c r="B429" s="381"/>
      <c r="C429" s="370"/>
      <c r="D429" s="370"/>
      <c r="E429" s="370"/>
      <c r="F429" s="370"/>
      <c r="G429" s="370"/>
      <c r="H429" s="370"/>
      <c r="I429" s="370"/>
      <c r="J429" s="370"/>
      <c r="K429" s="370"/>
      <c r="L429" s="380"/>
    </row>
    <row r="430" spans="1:12">
      <c r="A430" s="386"/>
      <c r="B430" s="381"/>
      <c r="C430" s="370"/>
      <c r="D430" s="370"/>
      <c r="E430" s="370"/>
      <c r="F430" s="370"/>
      <c r="G430" s="370"/>
      <c r="H430" s="370"/>
      <c r="I430" s="370"/>
      <c r="J430" s="370"/>
      <c r="K430" s="370"/>
      <c r="L430" s="380"/>
    </row>
    <row r="431" spans="1:12">
      <c r="A431" s="386"/>
      <c r="B431" s="381"/>
      <c r="C431" s="370"/>
      <c r="D431" s="370"/>
      <c r="E431" s="370"/>
      <c r="F431" s="370"/>
      <c r="G431" s="370"/>
      <c r="H431" s="370"/>
      <c r="I431" s="370"/>
      <c r="J431" s="370"/>
      <c r="K431" s="370"/>
      <c r="L431" s="380"/>
    </row>
    <row r="432" spans="1:12">
      <c r="A432" s="386"/>
      <c r="B432" s="381"/>
      <c r="C432" s="370"/>
      <c r="D432" s="370"/>
      <c r="E432" s="370"/>
      <c r="F432" s="370"/>
      <c r="G432" s="370"/>
      <c r="H432" s="370"/>
      <c r="I432" s="370"/>
      <c r="J432" s="370"/>
      <c r="K432" s="370"/>
      <c r="L432" s="380"/>
    </row>
    <row r="433" spans="1:12">
      <c r="A433" s="386"/>
      <c r="B433" s="381"/>
      <c r="C433" s="370"/>
      <c r="D433" s="370"/>
      <c r="E433" s="370"/>
      <c r="F433" s="370"/>
      <c r="G433" s="370"/>
      <c r="H433" s="370"/>
      <c r="I433" s="370"/>
      <c r="J433" s="370"/>
      <c r="K433" s="370"/>
      <c r="L433" s="380"/>
    </row>
    <row r="434" spans="1:12">
      <c r="A434" s="386"/>
      <c r="B434" s="381"/>
      <c r="C434" s="370"/>
      <c r="D434" s="370"/>
      <c r="E434" s="370"/>
      <c r="F434" s="370"/>
      <c r="G434" s="370"/>
      <c r="H434" s="370"/>
      <c r="I434" s="370"/>
      <c r="J434" s="370"/>
      <c r="K434" s="370"/>
      <c r="L434" s="380"/>
    </row>
    <row r="435" spans="1:12">
      <c r="A435" s="386"/>
      <c r="B435" s="381"/>
      <c r="C435" s="370"/>
      <c r="D435" s="370"/>
      <c r="E435" s="370"/>
      <c r="F435" s="370"/>
      <c r="G435" s="370"/>
      <c r="H435" s="370"/>
      <c r="I435" s="370"/>
      <c r="J435" s="370"/>
      <c r="K435" s="370"/>
      <c r="L435" s="380"/>
    </row>
    <row r="436" spans="1:12">
      <c r="A436" s="386"/>
      <c r="B436" s="381"/>
      <c r="C436" s="370"/>
      <c r="D436" s="370"/>
      <c r="E436" s="370"/>
      <c r="F436" s="370"/>
      <c r="G436" s="370"/>
      <c r="H436" s="370"/>
      <c r="I436" s="370"/>
      <c r="J436" s="370"/>
      <c r="K436" s="370"/>
      <c r="L436" s="380"/>
    </row>
    <row r="437" spans="1:12">
      <c r="A437" s="386"/>
      <c r="B437" s="381"/>
      <c r="C437" s="370"/>
      <c r="D437" s="370"/>
      <c r="E437" s="370"/>
      <c r="F437" s="370"/>
      <c r="G437" s="370"/>
      <c r="H437" s="370"/>
      <c r="I437" s="370"/>
      <c r="J437" s="370"/>
      <c r="K437" s="370"/>
      <c r="L437" s="380"/>
    </row>
    <row r="438" spans="1:12">
      <c r="A438" s="386"/>
      <c r="B438" s="381"/>
      <c r="C438" s="370"/>
      <c r="D438" s="370"/>
      <c r="E438" s="370"/>
      <c r="F438" s="370"/>
      <c r="G438" s="370"/>
      <c r="H438" s="370"/>
      <c r="I438" s="370"/>
      <c r="J438" s="370"/>
      <c r="K438" s="370"/>
      <c r="L438" s="380"/>
    </row>
    <row r="439" spans="1:12">
      <c r="A439" s="386"/>
      <c r="B439" s="381"/>
      <c r="C439" s="370"/>
      <c r="D439" s="370"/>
      <c r="E439" s="370"/>
      <c r="F439" s="370"/>
      <c r="G439" s="370"/>
      <c r="H439" s="370"/>
      <c r="I439" s="370"/>
      <c r="J439" s="370"/>
      <c r="K439" s="370"/>
      <c r="L439" s="380"/>
    </row>
    <row r="440" spans="1:12">
      <c r="A440" s="386"/>
      <c r="B440" s="381"/>
      <c r="C440" s="370"/>
      <c r="D440" s="370"/>
      <c r="E440" s="370"/>
      <c r="F440" s="370"/>
      <c r="G440" s="370"/>
      <c r="H440" s="370"/>
      <c r="I440" s="370"/>
      <c r="J440" s="370"/>
      <c r="K440" s="370"/>
      <c r="L440" s="380"/>
    </row>
    <row r="441" spans="1:12">
      <c r="A441" s="386"/>
      <c r="B441" s="381"/>
      <c r="C441" s="370"/>
      <c r="D441" s="370"/>
      <c r="E441" s="370"/>
      <c r="F441" s="370"/>
      <c r="G441" s="370"/>
      <c r="H441" s="370"/>
      <c r="I441" s="370"/>
      <c r="J441" s="370"/>
      <c r="K441" s="370"/>
      <c r="L441" s="380"/>
    </row>
    <row r="442" spans="1:12">
      <c r="A442" s="386"/>
      <c r="B442" s="381"/>
      <c r="C442" s="370"/>
      <c r="D442" s="370"/>
      <c r="E442" s="370"/>
      <c r="F442" s="370"/>
      <c r="G442" s="370"/>
      <c r="H442" s="370"/>
      <c r="I442" s="370"/>
      <c r="J442" s="370"/>
      <c r="K442" s="370"/>
      <c r="L442" s="380"/>
    </row>
    <row r="443" spans="1:12">
      <c r="A443" s="386"/>
      <c r="B443" s="381"/>
      <c r="C443" s="370"/>
      <c r="D443" s="370"/>
      <c r="E443" s="370"/>
      <c r="F443" s="370"/>
      <c r="G443" s="370"/>
      <c r="H443" s="370"/>
      <c r="I443" s="370"/>
      <c r="J443" s="370"/>
      <c r="K443" s="370"/>
      <c r="L443" s="380"/>
    </row>
    <row r="444" spans="1:12">
      <c r="A444" s="386"/>
      <c r="B444" s="381"/>
      <c r="C444" s="370"/>
      <c r="D444" s="370"/>
      <c r="E444" s="370"/>
      <c r="F444" s="370"/>
      <c r="G444" s="370"/>
      <c r="H444" s="370"/>
      <c r="I444" s="370"/>
      <c r="J444" s="370"/>
      <c r="K444" s="370"/>
      <c r="L444" s="380"/>
    </row>
    <row r="445" spans="1:12">
      <c r="A445" s="386"/>
      <c r="B445" s="381"/>
      <c r="C445" s="370"/>
      <c r="D445" s="370"/>
      <c r="E445" s="370"/>
      <c r="F445" s="370"/>
      <c r="G445" s="370"/>
      <c r="H445" s="370"/>
      <c r="I445" s="370"/>
      <c r="J445" s="370"/>
      <c r="K445" s="370"/>
      <c r="L445" s="380"/>
    </row>
    <row r="446" spans="1:12">
      <c r="A446" s="386"/>
      <c r="B446" s="381"/>
      <c r="C446" s="370"/>
      <c r="D446" s="370"/>
      <c r="E446" s="370"/>
      <c r="F446" s="370"/>
      <c r="G446" s="370"/>
      <c r="H446" s="370"/>
      <c r="I446" s="370"/>
      <c r="J446" s="370"/>
      <c r="K446" s="370"/>
      <c r="L446" s="380"/>
    </row>
    <row r="447" spans="1:12">
      <c r="A447" s="386"/>
      <c r="B447" s="381"/>
      <c r="C447" s="370"/>
      <c r="D447" s="370"/>
      <c r="E447" s="370"/>
      <c r="F447" s="370"/>
      <c r="G447" s="370"/>
      <c r="H447" s="370"/>
      <c r="I447" s="370"/>
      <c r="J447" s="370"/>
      <c r="K447" s="370"/>
      <c r="L447" s="380"/>
    </row>
    <row r="448" spans="1:12">
      <c r="A448" s="386"/>
      <c r="B448" s="381"/>
      <c r="C448" s="370"/>
      <c r="D448" s="370"/>
      <c r="E448" s="370"/>
      <c r="F448" s="370"/>
      <c r="G448" s="370"/>
      <c r="H448" s="370"/>
      <c r="I448" s="370"/>
      <c r="J448" s="370"/>
      <c r="K448" s="370"/>
      <c r="L448" s="380"/>
    </row>
    <row r="449" spans="1:12">
      <c r="A449" s="386"/>
      <c r="B449" s="381"/>
      <c r="C449" s="370"/>
      <c r="D449" s="370"/>
      <c r="E449" s="370"/>
      <c r="F449" s="370"/>
      <c r="G449" s="370"/>
      <c r="H449" s="370"/>
      <c r="I449" s="370"/>
      <c r="J449" s="370"/>
      <c r="K449" s="370"/>
      <c r="L449" s="380"/>
    </row>
    <row r="450" spans="1:12">
      <c r="A450" s="386"/>
      <c r="B450" s="381"/>
      <c r="C450" s="370"/>
      <c r="D450" s="370"/>
      <c r="E450" s="370"/>
      <c r="F450" s="370"/>
      <c r="G450" s="370"/>
      <c r="H450" s="370"/>
      <c r="I450" s="370"/>
      <c r="J450" s="370"/>
      <c r="K450" s="370"/>
      <c r="L450" s="380"/>
    </row>
    <row r="451" spans="1:12">
      <c r="A451" s="386"/>
      <c r="B451" s="381"/>
      <c r="C451" s="370"/>
      <c r="D451" s="370"/>
      <c r="E451" s="370"/>
      <c r="F451" s="370"/>
      <c r="G451" s="370"/>
      <c r="H451" s="370"/>
      <c r="I451" s="370"/>
      <c r="J451" s="370"/>
      <c r="K451" s="370"/>
      <c r="L451" s="380"/>
    </row>
    <row r="452" spans="1:12">
      <c r="A452" s="386"/>
      <c r="B452" s="381"/>
      <c r="C452" s="370"/>
      <c r="D452" s="370"/>
      <c r="E452" s="370"/>
      <c r="F452" s="370"/>
      <c r="G452" s="370"/>
      <c r="H452" s="370"/>
      <c r="I452" s="370"/>
      <c r="J452" s="370"/>
      <c r="K452" s="370"/>
      <c r="L452" s="380"/>
    </row>
    <row r="453" spans="1:12">
      <c r="A453" s="386"/>
      <c r="B453" s="381"/>
      <c r="C453" s="370"/>
      <c r="D453" s="370"/>
      <c r="E453" s="370"/>
      <c r="F453" s="370"/>
      <c r="G453" s="370"/>
      <c r="H453" s="370"/>
      <c r="I453" s="370"/>
      <c r="J453" s="370"/>
      <c r="K453" s="370"/>
      <c r="L453" s="380"/>
    </row>
    <row r="454" spans="1:12">
      <c r="A454" s="386"/>
      <c r="B454" s="381"/>
      <c r="C454" s="370"/>
      <c r="D454" s="370"/>
      <c r="E454" s="370"/>
      <c r="F454" s="370"/>
      <c r="G454" s="370"/>
      <c r="H454" s="370"/>
      <c r="I454" s="370"/>
      <c r="J454" s="370"/>
      <c r="K454" s="370"/>
      <c r="L454" s="380"/>
    </row>
    <row r="455" spans="1:12">
      <c r="A455" s="386"/>
      <c r="B455" s="381"/>
      <c r="C455" s="370"/>
      <c r="D455" s="370"/>
      <c r="E455" s="370"/>
      <c r="F455" s="370"/>
      <c r="G455" s="370"/>
      <c r="H455" s="370"/>
      <c r="I455" s="370"/>
      <c r="J455" s="370"/>
      <c r="K455" s="370"/>
      <c r="L455" s="380"/>
    </row>
    <row r="456" spans="1:12">
      <c r="A456" s="386"/>
      <c r="B456" s="381"/>
      <c r="C456" s="370"/>
      <c r="D456" s="370"/>
      <c r="E456" s="370"/>
      <c r="F456" s="370"/>
      <c r="G456" s="370"/>
      <c r="H456" s="370"/>
      <c r="I456" s="370"/>
      <c r="J456" s="370"/>
      <c r="K456" s="370"/>
      <c r="L456" s="380"/>
    </row>
    <row r="457" spans="1:12">
      <c r="A457" s="386"/>
      <c r="B457" s="381"/>
      <c r="C457" s="370"/>
      <c r="D457" s="370"/>
      <c r="E457" s="370"/>
      <c r="F457" s="370"/>
      <c r="G457" s="370"/>
      <c r="H457" s="370"/>
      <c r="I457" s="370"/>
      <c r="J457" s="370"/>
      <c r="K457" s="370"/>
      <c r="L457" s="380"/>
    </row>
    <row r="458" spans="1:12">
      <c r="A458" s="386"/>
      <c r="B458" s="381"/>
      <c r="C458" s="370"/>
      <c r="D458" s="370"/>
      <c r="E458" s="370"/>
      <c r="F458" s="370"/>
      <c r="G458" s="370"/>
      <c r="H458" s="370"/>
      <c r="I458" s="370"/>
      <c r="J458" s="370"/>
      <c r="K458" s="370"/>
      <c r="L458" s="380"/>
    </row>
    <row r="459" spans="1:12">
      <c r="A459" s="386"/>
      <c r="B459" s="381"/>
      <c r="C459" s="370"/>
      <c r="D459" s="370"/>
      <c r="E459" s="370"/>
      <c r="F459" s="370"/>
      <c r="G459" s="370"/>
      <c r="H459" s="370"/>
      <c r="I459" s="370"/>
      <c r="J459" s="370"/>
      <c r="K459" s="370"/>
      <c r="L459" s="380"/>
    </row>
    <row r="460" spans="1:12">
      <c r="A460" s="386"/>
      <c r="B460" s="381"/>
      <c r="C460" s="370"/>
      <c r="D460" s="370"/>
      <c r="E460" s="370"/>
      <c r="F460" s="370"/>
      <c r="G460" s="370"/>
      <c r="H460" s="370"/>
      <c r="I460" s="370"/>
      <c r="J460" s="370"/>
      <c r="K460" s="370"/>
      <c r="L460" s="380"/>
    </row>
    <row r="461" spans="1:12">
      <c r="A461" s="386"/>
      <c r="B461" s="381"/>
      <c r="C461" s="370"/>
      <c r="D461" s="370"/>
      <c r="E461" s="370"/>
      <c r="F461" s="370"/>
      <c r="G461" s="370"/>
      <c r="H461" s="370"/>
      <c r="I461" s="370"/>
      <c r="J461" s="370"/>
      <c r="K461" s="370"/>
      <c r="L461" s="380"/>
    </row>
    <row r="462" spans="1:12">
      <c r="A462" s="386"/>
      <c r="B462" s="381"/>
      <c r="C462" s="370"/>
      <c r="D462" s="370"/>
      <c r="E462" s="370"/>
      <c r="F462" s="370"/>
      <c r="G462" s="370"/>
      <c r="H462" s="370"/>
      <c r="I462" s="370"/>
      <c r="J462" s="370"/>
      <c r="K462" s="370"/>
      <c r="L462" s="380"/>
    </row>
    <row r="463" spans="1:12">
      <c r="A463" s="386"/>
      <c r="B463" s="381"/>
      <c r="C463" s="370"/>
      <c r="D463" s="370"/>
      <c r="E463" s="370"/>
      <c r="F463" s="370"/>
      <c r="G463" s="370"/>
      <c r="H463" s="370"/>
      <c r="I463" s="370"/>
      <c r="J463" s="370"/>
      <c r="K463" s="370"/>
      <c r="L463" s="380"/>
    </row>
    <row r="464" spans="1:12">
      <c r="A464" s="386"/>
      <c r="B464" s="381"/>
      <c r="C464" s="370"/>
      <c r="D464" s="370"/>
      <c r="E464" s="370"/>
      <c r="F464" s="370"/>
      <c r="G464" s="370"/>
      <c r="H464" s="370"/>
      <c r="I464" s="370"/>
      <c r="J464" s="370"/>
      <c r="K464" s="370"/>
      <c r="L464" s="380"/>
    </row>
    <row r="465" spans="1:12">
      <c r="A465" s="386"/>
      <c r="B465" s="381"/>
      <c r="C465" s="370"/>
      <c r="D465" s="370"/>
      <c r="E465" s="370"/>
      <c r="F465" s="370"/>
      <c r="G465" s="370"/>
      <c r="H465" s="370"/>
      <c r="I465" s="370"/>
      <c r="J465" s="370"/>
      <c r="K465" s="370"/>
      <c r="L465" s="380"/>
    </row>
    <row r="466" spans="1:12">
      <c r="A466" s="386"/>
      <c r="B466" s="381"/>
      <c r="C466" s="370"/>
      <c r="D466" s="370"/>
      <c r="E466" s="370"/>
      <c r="F466" s="370"/>
      <c r="G466" s="370"/>
      <c r="H466" s="370"/>
      <c r="I466" s="370"/>
      <c r="J466" s="370"/>
      <c r="K466" s="370"/>
      <c r="L466" s="380"/>
    </row>
    <row r="467" spans="1:12">
      <c r="A467" s="386"/>
      <c r="B467" s="381"/>
      <c r="C467" s="370"/>
      <c r="D467" s="370"/>
      <c r="E467" s="370"/>
      <c r="F467" s="370"/>
      <c r="G467" s="370"/>
      <c r="H467" s="370"/>
      <c r="I467" s="370"/>
      <c r="J467" s="370"/>
      <c r="K467" s="370"/>
      <c r="L467" s="380"/>
    </row>
    <row r="468" spans="1:12">
      <c r="A468" s="386"/>
      <c r="B468" s="381"/>
      <c r="C468" s="370"/>
      <c r="D468" s="370"/>
      <c r="E468" s="370"/>
      <c r="F468" s="370"/>
      <c r="G468" s="370"/>
      <c r="H468" s="370"/>
      <c r="I468" s="370"/>
      <c r="J468" s="370"/>
      <c r="K468" s="370"/>
      <c r="L468" s="380"/>
    </row>
    <row r="469" spans="1:12">
      <c r="A469" s="386"/>
      <c r="B469" s="381"/>
      <c r="C469" s="370"/>
      <c r="D469" s="370"/>
      <c r="E469" s="370"/>
      <c r="F469" s="370"/>
      <c r="G469" s="370"/>
      <c r="H469" s="370"/>
      <c r="I469" s="370"/>
      <c r="J469" s="370"/>
      <c r="K469" s="370"/>
      <c r="L469" s="380"/>
    </row>
    <row r="470" spans="1:12">
      <c r="A470" s="386"/>
      <c r="B470" s="381"/>
      <c r="C470" s="370"/>
      <c r="D470" s="370"/>
      <c r="E470" s="370"/>
      <c r="F470" s="370"/>
      <c r="G470" s="370"/>
      <c r="H470" s="370"/>
      <c r="I470" s="370"/>
      <c r="J470" s="370"/>
      <c r="K470" s="370"/>
      <c r="L470" s="380"/>
    </row>
    <row r="471" spans="1:12">
      <c r="A471" s="386"/>
      <c r="B471" s="381"/>
      <c r="C471" s="370"/>
      <c r="D471" s="370"/>
      <c r="E471" s="370"/>
      <c r="F471" s="370"/>
      <c r="G471" s="370"/>
      <c r="H471" s="370"/>
      <c r="I471" s="370"/>
      <c r="J471" s="370"/>
      <c r="K471" s="370"/>
      <c r="L471" s="380"/>
    </row>
    <row r="472" spans="1:12">
      <c r="A472" s="386"/>
      <c r="B472" s="381"/>
      <c r="C472" s="370"/>
      <c r="D472" s="370"/>
      <c r="E472" s="370"/>
      <c r="F472" s="370"/>
      <c r="G472" s="370"/>
      <c r="H472" s="370"/>
      <c r="I472" s="370"/>
      <c r="J472" s="370"/>
      <c r="K472" s="370"/>
      <c r="L472" s="380"/>
    </row>
    <row r="473" spans="1:12">
      <c r="A473" s="386"/>
      <c r="B473" s="381"/>
      <c r="C473" s="370"/>
      <c r="D473" s="370"/>
      <c r="E473" s="370"/>
      <c r="F473" s="370"/>
      <c r="G473" s="370"/>
      <c r="H473" s="370"/>
      <c r="I473" s="370"/>
      <c r="J473" s="370"/>
      <c r="K473" s="370"/>
      <c r="L473" s="380"/>
    </row>
    <row r="474" spans="1:12">
      <c r="A474" s="386"/>
      <c r="B474" s="381"/>
      <c r="C474" s="370"/>
      <c r="D474" s="370"/>
      <c r="E474" s="370"/>
      <c r="F474" s="370"/>
      <c r="G474" s="370"/>
      <c r="H474" s="370"/>
      <c r="I474" s="370"/>
      <c r="J474" s="370"/>
      <c r="K474" s="370"/>
      <c r="L474" s="380"/>
    </row>
    <row r="475" spans="1:12">
      <c r="A475" s="386"/>
      <c r="B475" s="381"/>
      <c r="C475" s="370"/>
      <c r="D475" s="370"/>
      <c r="E475" s="370"/>
      <c r="F475" s="370"/>
      <c r="G475" s="370"/>
      <c r="H475" s="370"/>
      <c r="I475" s="370"/>
      <c r="J475" s="370"/>
      <c r="K475" s="370"/>
      <c r="L475" s="380"/>
    </row>
    <row r="476" spans="1:12">
      <c r="A476" s="386"/>
      <c r="B476" s="381"/>
      <c r="C476" s="370"/>
      <c r="D476" s="370"/>
      <c r="E476" s="370"/>
      <c r="F476" s="370"/>
      <c r="G476" s="370"/>
      <c r="H476" s="370"/>
      <c r="I476" s="370"/>
      <c r="J476" s="370"/>
      <c r="K476" s="370"/>
      <c r="L476" s="380"/>
    </row>
    <row r="477" spans="1:12">
      <c r="A477" s="386"/>
      <c r="B477" s="381"/>
      <c r="C477" s="370"/>
      <c r="D477" s="370"/>
      <c r="E477" s="370"/>
      <c r="F477" s="370"/>
      <c r="G477" s="370"/>
      <c r="H477" s="370"/>
      <c r="I477" s="370"/>
      <c r="J477" s="370"/>
      <c r="K477" s="370"/>
      <c r="L477" s="380"/>
    </row>
    <row r="478" spans="1:12">
      <c r="A478" s="386"/>
      <c r="B478" s="381"/>
      <c r="C478" s="370"/>
      <c r="D478" s="370"/>
      <c r="E478" s="370"/>
      <c r="F478" s="370"/>
      <c r="G478" s="370"/>
      <c r="H478" s="370"/>
      <c r="I478" s="370"/>
      <c r="J478" s="370"/>
      <c r="K478" s="370"/>
      <c r="L478" s="380"/>
    </row>
    <row r="479" spans="1:12">
      <c r="A479" s="386"/>
      <c r="B479" s="381"/>
      <c r="C479" s="370"/>
      <c r="D479" s="370"/>
      <c r="E479" s="370"/>
      <c r="F479" s="370"/>
      <c r="G479" s="370"/>
      <c r="H479" s="370"/>
      <c r="I479" s="370"/>
      <c r="J479" s="370"/>
      <c r="K479" s="370"/>
      <c r="L479" s="380"/>
    </row>
    <row r="480" spans="1:12">
      <c r="A480" s="386"/>
      <c r="B480" s="381"/>
      <c r="C480" s="370"/>
      <c r="D480" s="370"/>
      <c r="E480" s="370"/>
      <c r="F480" s="370"/>
      <c r="G480" s="370"/>
      <c r="H480" s="370"/>
      <c r="I480" s="370"/>
      <c r="J480" s="370"/>
      <c r="K480" s="370"/>
      <c r="L480" s="380"/>
    </row>
    <row r="481" spans="1:12">
      <c r="A481" s="386"/>
      <c r="B481" s="381"/>
      <c r="C481" s="370"/>
      <c r="D481" s="370"/>
      <c r="E481" s="370"/>
      <c r="F481" s="370"/>
      <c r="G481" s="370"/>
      <c r="H481" s="370"/>
      <c r="I481" s="370"/>
      <c r="J481" s="370"/>
      <c r="K481" s="370"/>
      <c r="L481" s="380"/>
    </row>
    <row r="482" spans="1:12">
      <c r="A482" s="386"/>
      <c r="B482" s="381"/>
      <c r="C482" s="370"/>
      <c r="D482" s="370"/>
      <c r="E482" s="370"/>
      <c r="F482" s="370"/>
      <c r="G482" s="370"/>
      <c r="H482" s="370"/>
      <c r="I482" s="370"/>
      <c r="J482" s="370"/>
      <c r="K482" s="370"/>
      <c r="L482" s="380"/>
    </row>
    <row r="483" spans="1:12">
      <c r="A483" s="386"/>
      <c r="B483" s="381"/>
      <c r="C483" s="370"/>
      <c r="D483" s="370"/>
      <c r="E483" s="370"/>
      <c r="F483" s="370"/>
      <c r="G483" s="370"/>
      <c r="H483" s="370"/>
      <c r="I483" s="370"/>
      <c r="J483" s="370"/>
      <c r="K483" s="370"/>
      <c r="L483" s="380"/>
    </row>
    <row r="484" spans="1:12">
      <c r="A484" s="386"/>
      <c r="B484" s="381"/>
      <c r="C484" s="370"/>
      <c r="D484" s="370"/>
      <c r="E484" s="370"/>
      <c r="F484" s="370"/>
      <c r="G484" s="370"/>
      <c r="H484" s="370"/>
      <c r="I484" s="370"/>
      <c r="J484" s="370"/>
      <c r="K484" s="370"/>
      <c r="L484" s="380"/>
    </row>
    <row r="485" spans="1:12">
      <c r="A485" s="386"/>
      <c r="B485" s="381"/>
      <c r="C485" s="370"/>
      <c r="D485" s="370"/>
      <c r="E485" s="370"/>
      <c r="F485" s="370"/>
      <c r="G485" s="370"/>
      <c r="H485" s="370"/>
      <c r="I485" s="370"/>
      <c r="J485" s="370"/>
      <c r="K485" s="370"/>
      <c r="L485" s="380"/>
    </row>
    <row r="486" spans="1:12">
      <c r="A486" s="386"/>
      <c r="B486" s="381"/>
      <c r="C486" s="370"/>
      <c r="D486" s="370"/>
      <c r="E486" s="370"/>
      <c r="F486" s="370"/>
      <c r="G486" s="370"/>
      <c r="H486" s="370"/>
      <c r="I486" s="370"/>
      <c r="J486" s="370"/>
      <c r="K486" s="370"/>
      <c r="L486" s="380"/>
    </row>
    <row r="487" spans="1:12">
      <c r="A487" s="386"/>
      <c r="B487" s="381"/>
      <c r="C487" s="370"/>
      <c r="D487" s="370"/>
      <c r="E487" s="370"/>
      <c r="F487" s="370"/>
      <c r="G487" s="370"/>
      <c r="H487" s="370"/>
      <c r="I487" s="370"/>
      <c r="J487" s="370"/>
      <c r="K487" s="370"/>
      <c r="L487" s="380"/>
    </row>
    <row r="488" spans="1:12">
      <c r="A488" s="386"/>
      <c r="B488" s="381"/>
      <c r="C488" s="370"/>
      <c r="D488" s="370"/>
      <c r="E488" s="370"/>
      <c r="F488" s="370"/>
      <c r="G488" s="370"/>
      <c r="H488" s="370"/>
      <c r="I488" s="370"/>
      <c r="J488" s="370"/>
      <c r="K488" s="370"/>
      <c r="L488" s="380"/>
    </row>
    <row r="489" spans="1:12">
      <c r="A489" s="386"/>
      <c r="B489" s="381"/>
      <c r="C489" s="370"/>
      <c r="D489" s="370"/>
      <c r="E489" s="370"/>
      <c r="F489" s="370"/>
      <c r="G489" s="370"/>
      <c r="H489" s="370"/>
      <c r="I489" s="370"/>
      <c r="J489" s="370"/>
      <c r="K489" s="370"/>
      <c r="L489" s="380"/>
    </row>
    <row r="490" spans="1:12">
      <c r="A490" s="386"/>
      <c r="B490" s="381"/>
      <c r="C490" s="370"/>
      <c r="D490" s="370"/>
      <c r="E490" s="370"/>
      <c r="F490" s="370"/>
      <c r="G490" s="370"/>
      <c r="H490" s="370"/>
      <c r="I490" s="370"/>
      <c r="J490" s="370"/>
      <c r="K490" s="370"/>
      <c r="L490" s="380"/>
    </row>
    <row r="491" spans="1:12">
      <c r="A491" s="386"/>
      <c r="B491" s="381"/>
      <c r="C491" s="370"/>
      <c r="D491" s="370"/>
      <c r="E491" s="370"/>
      <c r="F491" s="370"/>
      <c r="G491" s="370"/>
      <c r="H491" s="370"/>
      <c r="I491" s="370"/>
      <c r="J491" s="370"/>
      <c r="K491" s="370"/>
      <c r="L491" s="380"/>
    </row>
    <row r="492" spans="1:12">
      <c r="A492" s="386"/>
      <c r="B492" s="381"/>
      <c r="C492" s="370"/>
      <c r="D492" s="370"/>
      <c r="E492" s="370"/>
      <c r="F492" s="370"/>
      <c r="G492" s="370"/>
      <c r="H492" s="370"/>
      <c r="I492" s="370"/>
      <c r="J492" s="370"/>
      <c r="K492" s="370"/>
      <c r="L492" s="380"/>
    </row>
    <row r="493" spans="1:12">
      <c r="A493" s="386"/>
      <c r="B493" s="381"/>
      <c r="C493" s="370"/>
      <c r="D493" s="370"/>
      <c r="E493" s="370"/>
      <c r="F493" s="370"/>
      <c r="G493" s="370"/>
      <c r="H493" s="370"/>
      <c r="I493" s="370"/>
      <c r="J493" s="370"/>
      <c r="K493" s="370"/>
      <c r="L493" s="380"/>
    </row>
    <row r="494" spans="1:12">
      <c r="A494" s="386"/>
      <c r="B494" s="381"/>
      <c r="C494" s="370"/>
      <c r="D494" s="370"/>
      <c r="E494" s="370"/>
      <c r="F494" s="370"/>
      <c r="G494" s="370"/>
      <c r="H494" s="370"/>
      <c r="I494" s="370"/>
      <c r="J494" s="370"/>
      <c r="K494" s="370"/>
      <c r="L494" s="380"/>
    </row>
    <row r="495" spans="1:12">
      <c r="A495" s="386"/>
      <c r="B495" s="381"/>
      <c r="C495" s="370"/>
      <c r="D495" s="370"/>
      <c r="E495" s="370"/>
      <c r="F495" s="370"/>
      <c r="G495" s="370"/>
      <c r="H495" s="370"/>
      <c r="I495" s="370"/>
      <c r="J495" s="370"/>
      <c r="K495" s="370"/>
      <c r="L495" s="380"/>
    </row>
    <row r="496" spans="1:12">
      <c r="A496" s="386"/>
      <c r="B496" s="381"/>
      <c r="C496" s="370"/>
      <c r="D496" s="370"/>
      <c r="E496" s="370"/>
      <c r="F496" s="370"/>
      <c r="G496" s="370"/>
      <c r="H496" s="370"/>
      <c r="I496" s="370"/>
      <c r="J496" s="370"/>
      <c r="K496" s="370"/>
      <c r="L496" s="380"/>
    </row>
    <row r="497" spans="1:12">
      <c r="A497" s="386"/>
      <c r="B497" s="381"/>
      <c r="C497" s="370"/>
      <c r="D497" s="370"/>
      <c r="E497" s="370"/>
      <c r="F497" s="370"/>
      <c r="G497" s="370"/>
      <c r="H497" s="370"/>
      <c r="I497" s="370"/>
      <c r="J497" s="370"/>
      <c r="K497" s="370"/>
      <c r="L497" s="380"/>
    </row>
    <row r="498" spans="1:12">
      <c r="A498" s="386"/>
      <c r="B498" s="381"/>
      <c r="C498" s="370"/>
      <c r="D498" s="370"/>
      <c r="E498" s="370"/>
      <c r="F498" s="370"/>
      <c r="G498" s="370"/>
      <c r="H498" s="370"/>
      <c r="I498" s="370"/>
      <c r="J498" s="370"/>
      <c r="K498" s="370"/>
      <c r="L498" s="380"/>
    </row>
    <row r="499" spans="1:12">
      <c r="A499" s="386"/>
      <c r="B499" s="381"/>
      <c r="C499" s="370"/>
      <c r="D499" s="370"/>
      <c r="E499" s="370"/>
      <c r="F499" s="370"/>
      <c r="G499" s="370"/>
      <c r="H499" s="370"/>
      <c r="I499" s="370"/>
      <c r="J499" s="370"/>
      <c r="K499" s="370"/>
      <c r="L499" s="380"/>
    </row>
    <row r="500" spans="1:12">
      <c r="A500" s="386"/>
      <c r="B500" s="381"/>
      <c r="C500" s="370"/>
      <c r="D500" s="370"/>
      <c r="E500" s="370"/>
      <c r="F500" s="370"/>
      <c r="G500" s="370"/>
      <c r="H500" s="370"/>
      <c r="I500" s="370"/>
      <c r="J500" s="370"/>
      <c r="K500" s="370"/>
      <c r="L500" s="380"/>
    </row>
    <row r="501" spans="1:12">
      <c r="A501" s="386"/>
      <c r="B501" s="381"/>
      <c r="C501" s="370"/>
      <c r="D501" s="370"/>
      <c r="E501" s="370"/>
      <c r="F501" s="370"/>
      <c r="G501" s="370"/>
      <c r="H501" s="370"/>
      <c r="I501" s="370"/>
      <c r="J501" s="370"/>
      <c r="K501" s="370"/>
      <c r="L501" s="380"/>
    </row>
    <row r="502" spans="1:12">
      <c r="A502" s="386"/>
      <c r="B502" s="381"/>
      <c r="C502" s="370"/>
      <c r="D502" s="370"/>
      <c r="E502" s="370"/>
      <c r="F502" s="370"/>
      <c r="G502" s="370"/>
      <c r="H502" s="370"/>
      <c r="I502" s="370"/>
      <c r="J502" s="370"/>
      <c r="K502" s="370"/>
      <c r="L502" s="380"/>
    </row>
    <row r="503" spans="1:12">
      <c r="A503" s="386"/>
      <c r="B503" s="381"/>
      <c r="C503" s="370"/>
      <c r="D503" s="370"/>
      <c r="E503" s="370"/>
      <c r="F503" s="370"/>
      <c r="G503" s="370"/>
      <c r="H503" s="370"/>
      <c r="I503" s="370"/>
      <c r="J503" s="370"/>
      <c r="K503" s="370"/>
      <c r="L503" s="380"/>
    </row>
    <row r="504" spans="1:12">
      <c r="A504" s="386"/>
      <c r="B504" s="381"/>
      <c r="C504" s="370"/>
      <c r="D504" s="370"/>
      <c r="E504" s="370"/>
      <c r="F504" s="370"/>
      <c r="G504" s="370"/>
      <c r="H504" s="370"/>
      <c r="I504" s="370"/>
      <c r="J504" s="370"/>
      <c r="K504" s="370"/>
      <c r="L504" s="380"/>
    </row>
    <row r="505" spans="1:12">
      <c r="A505" s="386"/>
      <c r="B505" s="381"/>
      <c r="C505" s="370"/>
      <c r="D505" s="370"/>
      <c r="E505" s="370"/>
      <c r="F505" s="370"/>
      <c r="G505" s="370"/>
      <c r="H505" s="370"/>
      <c r="I505" s="370"/>
      <c r="J505" s="370"/>
      <c r="K505" s="370"/>
      <c r="L505" s="380"/>
    </row>
    <row r="506" spans="1:12">
      <c r="A506" s="386"/>
      <c r="B506" s="381"/>
      <c r="C506" s="370"/>
      <c r="D506" s="370"/>
      <c r="E506" s="370"/>
      <c r="F506" s="370"/>
      <c r="G506" s="370"/>
      <c r="H506" s="370"/>
      <c r="I506" s="370"/>
      <c r="J506" s="370"/>
      <c r="K506" s="370"/>
      <c r="L506" s="380"/>
    </row>
    <row r="507" spans="1:12">
      <c r="A507" s="386"/>
      <c r="B507" s="381"/>
      <c r="C507" s="370"/>
      <c r="D507" s="370"/>
      <c r="E507" s="370"/>
      <c r="F507" s="370"/>
      <c r="G507" s="370"/>
      <c r="H507" s="370"/>
      <c r="I507" s="370"/>
      <c r="J507" s="370"/>
      <c r="K507" s="370"/>
      <c r="L507" s="380"/>
    </row>
    <row r="508" spans="1:12">
      <c r="A508" s="386"/>
      <c r="B508" s="381"/>
      <c r="C508" s="370"/>
      <c r="D508" s="370"/>
      <c r="E508" s="370"/>
      <c r="F508" s="370"/>
      <c r="G508" s="370"/>
      <c r="H508" s="370"/>
      <c r="I508" s="370"/>
      <c r="J508" s="370"/>
      <c r="K508" s="370"/>
      <c r="L508" s="380"/>
    </row>
    <row r="509" spans="1:12">
      <c r="A509" s="386"/>
      <c r="B509" s="381"/>
      <c r="C509" s="370"/>
      <c r="D509" s="370"/>
      <c r="E509" s="370"/>
      <c r="F509" s="370"/>
      <c r="G509" s="370"/>
      <c r="H509" s="370"/>
      <c r="I509" s="370"/>
      <c r="J509" s="370"/>
      <c r="K509" s="370"/>
      <c r="L509" s="380"/>
    </row>
    <row r="510" spans="1:12">
      <c r="A510" s="386"/>
      <c r="B510" s="381"/>
      <c r="C510" s="370"/>
      <c r="D510" s="370"/>
      <c r="E510" s="370"/>
      <c r="F510" s="370"/>
      <c r="G510" s="370"/>
      <c r="H510" s="370"/>
      <c r="I510" s="370"/>
      <c r="J510" s="370"/>
      <c r="K510" s="370"/>
      <c r="L510" s="380"/>
    </row>
    <row r="511" spans="1:12">
      <c r="A511" s="386"/>
      <c r="B511" s="381"/>
      <c r="C511" s="370"/>
      <c r="D511" s="370"/>
      <c r="E511" s="370"/>
      <c r="F511" s="370"/>
      <c r="G511" s="370"/>
      <c r="H511" s="370"/>
      <c r="I511" s="370"/>
      <c r="J511" s="370"/>
      <c r="K511" s="370"/>
      <c r="L511" s="380"/>
    </row>
    <row r="512" spans="1:12">
      <c r="A512" s="386"/>
      <c r="B512" s="381"/>
      <c r="C512" s="370"/>
      <c r="D512" s="370"/>
      <c r="E512" s="370"/>
      <c r="F512" s="370"/>
      <c r="G512" s="370"/>
      <c r="H512" s="370"/>
      <c r="I512" s="370"/>
      <c r="J512" s="370"/>
      <c r="K512" s="370"/>
      <c r="L512" s="380"/>
    </row>
    <row r="513" spans="1:12">
      <c r="A513" s="386"/>
      <c r="B513" s="381"/>
      <c r="C513" s="370"/>
      <c r="D513" s="370"/>
      <c r="E513" s="370"/>
      <c r="F513" s="370"/>
      <c r="G513" s="370"/>
      <c r="H513" s="370"/>
      <c r="I513" s="370"/>
      <c r="J513" s="370"/>
      <c r="K513" s="370"/>
      <c r="L513" s="380"/>
    </row>
    <row r="514" spans="1:12">
      <c r="A514" s="386"/>
      <c r="B514" s="381"/>
      <c r="C514" s="370"/>
      <c r="D514" s="370"/>
      <c r="E514" s="370"/>
      <c r="F514" s="370"/>
      <c r="G514" s="370"/>
      <c r="H514" s="370"/>
      <c r="I514" s="370"/>
      <c r="J514" s="370"/>
      <c r="K514" s="370"/>
      <c r="L514" s="380"/>
    </row>
    <row r="515" spans="1:12">
      <c r="A515" s="386"/>
      <c r="B515" s="381"/>
      <c r="C515" s="370"/>
      <c r="D515" s="370"/>
      <c r="E515" s="370"/>
      <c r="F515" s="370"/>
      <c r="G515" s="370"/>
      <c r="H515" s="370"/>
      <c r="I515" s="370"/>
      <c r="J515" s="370"/>
      <c r="K515" s="370"/>
      <c r="L515" s="380"/>
    </row>
    <row r="516" spans="1:12">
      <c r="A516" s="386"/>
      <c r="B516" s="381"/>
      <c r="C516" s="370"/>
      <c r="D516" s="370"/>
      <c r="E516" s="370"/>
      <c r="F516" s="370"/>
      <c r="G516" s="370"/>
      <c r="H516" s="370"/>
      <c r="I516" s="370"/>
      <c r="J516" s="370"/>
      <c r="K516" s="370"/>
      <c r="L516" s="380"/>
    </row>
    <row r="517" spans="1:12">
      <c r="A517" s="386"/>
      <c r="B517" s="381"/>
      <c r="C517" s="370"/>
      <c r="D517" s="370"/>
      <c r="E517" s="370"/>
      <c r="F517" s="370"/>
      <c r="G517" s="370"/>
      <c r="H517" s="370"/>
      <c r="I517" s="370"/>
      <c r="J517" s="370"/>
      <c r="K517" s="370"/>
      <c r="L517" s="380"/>
    </row>
    <row r="518" spans="1:12">
      <c r="A518" s="386"/>
      <c r="B518" s="381"/>
      <c r="C518" s="370"/>
      <c r="D518" s="370"/>
      <c r="E518" s="370"/>
      <c r="F518" s="370"/>
      <c r="G518" s="370"/>
      <c r="H518" s="370"/>
      <c r="I518" s="370"/>
      <c r="J518" s="370"/>
      <c r="K518" s="370"/>
      <c r="L518" s="380"/>
    </row>
    <row r="519" spans="1:12">
      <c r="A519" s="386"/>
      <c r="B519" s="381"/>
      <c r="C519" s="370"/>
      <c r="D519" s="370"/>
      <c r="E519" s="370"/>
      <c r="F519" s="370"/>
      <c r="G519" s="370"/>
      <c r="H519" s="370"/>
      <c r="I519" s="370"/>
      <c r="J519" s="370"/>
      <c r="K519" s="370"/>
      <c r="L519" s="380"/>
    </row>
    <row r="520" spans="1:12">
      <c r="A520" s="386"/>
      <c r="B520" s="381"/>
      <c r="C520" s="370"/>
      <c r="D520" s="370"/>
      <c r="E520" s="370"/>
      <c r="F520" s="370"/>
      <c r="G520" s="370"/>
      <c r="H520" s="370"/>
      <c r="I520" s="370"/>
      <c r="J520" s="370"/>
      <c r="K520" s="370"/>
      <c r="L520" s="380"/>
    </row>
    <row r="521" spans="1:12">
      <c r="A521" s="386"/>
      <c r="B521" s="381"/>
      <c r="C521" s="370"/>
      <c r="D521" s="370"/>
      <c r="E521" s="370"/>
      <c r="F521" s="370"/>
      <c r="G521" s="370"/>
      <c r="H521" s="370"/>
      <c r="I521" s="370"/>
      <c r="J521" s="370"/>
      <c r="K521" s="370"/>
      <c r="L521" s="380"/>
    </row>
    <row r="522" spans="1:12">
      <c r="A522" s="386"/>
      <c r="B522" s="381"/>
      <c r="C522" s="370"/>
      <c r="D522" s="370"/>
      <c r="E522" s="370"/>
      <c r="F522" s="370"/>
      <c r="G522" s="370"/>
      <c r="H522" s="370"/>
      <c r="I522" s="370"/>
      <c r="J522" s="370"/>
      <c r="K522" s="370"/>
      <c r="L522" s="380"/>
    </row>
    <row r="523" spans="1:12">
      <c r="A523" s="386"/>
      <c r="B523" s="381"/>
      <c r="C523" s="370"/>
      <c r="D523" s="370"/>
      <c r="E523" s="370"/>
      <c r="F523" s="370"/>
      <c r="G523" s="370"/>
      <c r="H523" s="370"/>
      <c r="I523" s="370"/>
      <c r="J523" s="370"/>
      <c r="K523" s="370"/>
      <c r="L523" s="380"/>
    </row>
    <row r="524" spans="1:12">
      <c r="A524" s="386"/>
      <c r="B524" s="381"/>
      <c r="C524" s="370"/>
      <c r="D524" s="370"/>
      <c r="E524" s="370"/>
      <c r="F524" s="370"/>
      <c r="G524" s="370"/>
      <c r="H524" s="370"/>
      <c r="I524" s="370"/>
      <c r="J524" s="370"/>
      <c r="K524" s="370"/>
      <c r="L524" s="380"/>
    </row>
    <row r="525" spans="1:12">
      <c r="A525" s="386"/>
      <c r="B525" s="381"/>
      <c r="C525" s="370"/>
      <c r="D525" s="370"/>
      <c r="E525" s="370"/>
      <c r="F525" s="370"/>
      <c r="G525" s="370"/>
      <c r="H525" s="370"/>
      <c r="I525" s="370"/>
      <c r="J525" s="370"/>
      <c r="K525" s="370"/>
      <c r="L525" s="380"/>
    </row>
    <row r="526" spans="1:12">
      <c r="A526" s="386"/>
      <c r="B526" s="381"/>
      <c r="C526" s="370"/>
      <c r="D526" s="370"/>
      <c r="E526" s="370"/>
      <c r="F526" s="370"/>
      <c r="G526" s="370"/>
      <c r="H526" s="370"/>
      <c r="I526" s="370"/>
      <c r="J526" s="370"/>
      <c r="K526" s="370"/>
      <c r="L526" s="380"/>
    </row>
    <row r="527" spans="1:12">
      <c r="A527" s="386"/>
      <c r="B527" s="381"/>
      <c r="C527" s="370"/>
      <c r="D527" s="370"/>
      <c r="E527" s="370"/>
      <c r="F527" s="370"/>
      <c r="G527" s="370"/>
      <c r="H527" s="370"/>
      <c r="I527" s="370"/>
      <c r="J527" s="370"/>
      <c r="K527" s="370"/>
      <c r="L527" s="380"/>
    </row>
    <row r="528" spans="1:12">
      <c r="A528" s="386"/>
      <c r="B528" s="381"/>
      <c r="C528" s="370"/>
      <c r="D528" s="370"/>
      <c r="E528" s="370"/>
      <c r="F528" s="370"/>
      <c r="G528" s="370"/>
      <c r="H528" s="370"/>
      <c r="I528" s="370"/>
      <c r="J528" s="370"/>
      <c r="K528" s="370"/>
      <c r="L528" s="380"/>
    </row>
    <row r="529" spans="1:12">
      <c r="A529" s="386"/>
      <c r="B529" s="381"/>
      <c r="C529" s="370"/>
      <c r="D529" s="370"/>
      <c r="E529" s="370"/>
      <c r="F529" s="370"/>
      <c r="G529" s="370"/>
      <c r="H529" s="370"/>
      <c r="I529" s="370"/>
      <c r="J529" s="370"/>
      <c r="K529" s="370"/>
      <c r="L529" s="380"/>
    </row>
    <row r="530" spans="1:12">
      <c r="A530" s="386"/>
      <c r="B530" s="381"/>
      <c r="C530" s="370"/>
      <c r="D530" s="370"/>
      <c r="E530" s="370"/>
      <c r="F530" s="370"/>
      <c r="G530" s="370"/>
      <c r="H530" s="370"/>
      <c r="I530" s="370"/>
      <c r="J530" s="370"/>
      <c r="K530" s="370"/>
      <c r="L530" s="380"/>
    </row>
    <row r="531" spans="1:12">
      <c r="A531" s="386"/>
      <c r="B531" s="381"/>
      <c r="C531" s="370"/>
      <c r="D531" s="370"/>
      <c r="E531" s="370"/>
      <c r="F531" s="370"/>
      <c r="G531" s="370"/>
      <c r="H531" s="370"/>
      <c r="I531" s="370"/>
      <c r="J531" s="370"/>
      <c r="K531" s="370"/>
      <c r="L531" s="380"/>
    </row>
    <row r="532" spans="1:12">
      <c r="A532" s="386"/>
      <c r="B532" s="381"/>
      <c r="C532" s="370"/>
      <c r="D532" s="370"/>
      <c r="E532" s="370"/>
      <c r="F532" s="370"/>
      <c r="G532" s="370"/>
      <c r="H532" s="370"/>
      <c r="I532" s="370"/>
      <c r="J532" s="370"/>
      <c r="K532" s="370"/>
      <c r="L532" s="380"/>
    </row>
    <row r="533" spans="1:12">
      <c r="A533" s="386"/>
      <c r="B533" s="381"/>
      <c r="C533" s="370"/>
      <c r="D533" s="370"/>
      <c r="E533" s="370"/>
      <c r="F533" s="370"/>
      <c r="G533" s="370"/>
      <c r="H533" s="370"/>
      <c r="I533" s="370"/>
      <c r="J533" s="370"/>
      <c r="K533" s="370"/>
      <c r="L533" s="380"/>
    </row>
    <row r="534" spans="1:12">
      <c r="A534" s="386"/>
      <c r="B534" s="381"/>
      <c r="C534" s="370"/>
      <c r="D534" s="370"/>
      <c r="E534" s="370"/>
      <c r="F534" s="370"/>
      <c r="G534" s="370"/>
      <c r="H534" s="370"/>
      <c r="I534" s="370"/>
      <c r="J534" s="370"/>
      <c r="K534" s="370"/>
      <c r="L534" s="380"/>
    </row>
    <row r="535" spans="1:12">
      <c r="A535" s="386"/>
      <c r="B535" s="381"/>
      <c r="C535" s="370"/>
      <c r="D535" s="370"/>
      <c r="E535" s="370"/>
      <c r="F535" s="370"/>
      <c r="G535" s="370"/>
      <c r="H535" s="370"/>
      <c r="I535" s="370"/>
      <c r="J535" s="370"/>
      <c r="K535" s="370"/>
      <c r="L535" s="380"/>
    </row>
    <row r="536" spans="1:12">
      <c r="A536" s="386"/>
      <c r="B536" s="381"/>
      <c r="C536" s="370"/>
      <c r="D536" s="370"/>
      <c r="E536" s="370"/>
      <c r="F536" s="370"/>
      <c r="G536" s="370"/>
      <c r="H536" s="370"/>
      <c r="I536" s="370"/>
      <c r="J536" s="370"/>
      <c r="K536" s="370"/>
      <c r="L536" s="380"/>
    </row>
    <row r="537" spans="1:12">
      <c r="A537" s="386"/>
      <c r="B537" s="381"/>
      <c r="C537" s="370"/>
      <c r="D537" s="370"/>
      <c r="E537" s="370"/>
      <c r="F537" s="370"/>
      <c r="G537" s="370"/>
      <c r="H537" s="370"/>
      <c r="I537" s="370"/>
      <c r="J537" s="370"/>
      <c r="K537" s="370"/>
      <c r="L537" s="380"/>
    </row>
    <row r="538" spans="1:12">
      <c r="A538" s="386"/>
      <c r="B538" s="381"/>
      <c r="C538" s="370"/>
      <c r="D538" s="370"/>
      <c r="E538" s="370"/>
      <c r="F538" s="370"/>
      <c r="G538" s="370"/>
      <c r="H538" s="370"/>
      <c r="I538" s="370"/>
      <c r="J538" s="370"/>
      <c r="K538" s="370"/>
      <c r="L538" s="380"/>
    </row>
    <row r="539" spans="1:12">
      <c r="A539" s="386"/>
      <c r="B539" s="381"/>
      <c r="C539" s="370"/>
      <c r="D539" s="370"/>
      <c r="E539" s="370"/>
      <c r="F539" s="370"/>
      <c r="G539" s="370"/>
      <c r="H539" s="370"/>
      <c r="I539" s="370"/>
      <c r="J539" s="370"/>
      <c r="K539" s="370"/>
      <c r="L539" s="380"/>
    </row>
    <row r="540" spans="1:12">
      <c r="A540" s="386"/>
      <c r="B540" s="381"/>
      <c r="C540" s="370"/>
      <c r="D540" s="370"/>
      <c r="E540" s="370"/>
      <c r="F540" s="370"/>
      <c r="G540" s="370"/>
      <c r="H540" s="370"/>
      <c r="I540" s="370"/>
      <c r="J540" s="370"/>
      <c r="K540" s="370"/>
      <c r="L540" s="380"/>
    </row>
    <row r="541" spans="1:12">
      <c r="A541" s="386"/>
      <c r="B541" s="381"/>
      <c r="C541" s="370"/>
      <c r="D541" s="370"/>
      <c r="E541" s="370"/>
      <c r="F541" s="370"/>
      <c r="G541" s="370"/>
      <c r="H541" s="370"/>
      <c r="I541" s="370"/>
      <c r="J541" s="370"/>
      <c r="K541" s="370"/>
      <c r="L541" s="380"/>
    </row>
    <row r="542" spans="1:12">
      <c r="A542" s="386"/>
      <c r="B542" s="381"/>
      <c r="C542" s="370"/>
      <c r="D542" s="370"/>
      <c r="E542" s="370"/>
      <c r="F542" s="370"/>
      <c r="G542" s="370"/>
      <c r="H542" s="370"/>
      <c r="I542" s="370"/>
      <c r="J542" s="370"/>
      <c r="K542" s="370"/>
      <c r="L542" s="380"/>
    </row>
    <row r="543" spans="1:12">
      <c r="A543" s="386"/>
      <c r="B543" s="381"/>
      <c r="C543" s="370"/>
      <c r="D543" s="370"/>
      <c r="E543" s="370"/>
      <c r="F543" s="370"/>
      <c r="G543" s="370"/>
      <c r="H543" s="370"/>
      <c r="I543" s="370"/>
      <c r="J543" s="370"/>
      <c r="K543" s="370"/>
      <c r="L543" s="380"/>
    </row>
    <row r="544" spans="1:12">
      <c r="A544" s="386"/>
      <c r="B544" s="381"/>
      <c r="C544" s="370"/>
      <c r="D544" s="370"/>
      <c r="E544" s="370"/>
      <c r="F544" s="370"/>
      <c r="G544" s="370"/>
      <c r="H544" s="370"/>
      <c r="I544" s="370"/>
      <c r="J544" s="370"/>
      <c r="K544" s="370"/>
      <c r="L544" s="380"/>
    </row>
    <row r="545" spans="1:12">
      <c r="A545" s="386"/>
      <c r="B545" s="381"/>
      <c r="C545" s="370"/>
      <c r="D545" s="370"/>
      <c r="E545" s="370"/>
      <c r="F545" s="370"/>
      <c r="G545" s="370"/>
      <c r="H545" s="370"/>
      <c r="I545" s="370"/>
      <c r="J545" s="370"/>
      <c r="K545" s="370"/>
      <c r="L545" s="380"/>
    </row>
  </sheetData>
  <mergeCells count="11">
    <mergeCell ref="A4:A7"/>
    <mergeCell ref="A1:L1"/>
    <mergeCell ref="A2:L2"/>
    <mergeCell ref="B4:F4"/>
    <mergeCell ref="G4:K4"/>
    <mergeCell ref="L4:L7"/>
    <mergeCell ref="M4:M7"/>
    <mergeCell ref="B5:B6"/>
    <mergeCell ref="D5:F5"/>
    <mergeCell ref="G5:G6"/>
    <mergeCell ref="I5:K5"/>
  </mergeCells>
  <pageMargins left="0.7" right="0.7" top="0.75" bottom="0.75" header="0.3" footer="0.3"/>
  <pageSetup paperSize="9" orientation="portrait" horizontalDpi="4294967295" verticalDpi="4294967295" r:id="rId1"/>
  <ignoredErrors>
    <ignoredError sqref="E8:G8 D9:D19" formulaRange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35"/>
  <sheetViews>
    <sheetView topLeftCell="A13" zoomScale="112" zoomScaleNormal="112" workbookViewId="0">
      <selection activeCell="P13" sqref="P1:S1048576"/>
    </sheetView>
  </sheetViews>
  <sheetFormatPr defaultColWidth="9.140625" defaultRowHeight="19.5" customHeight="1"/>
  <cols>
    <col min="1" max="1" width="15.28515625" style="398" customWidth="1"/>
    <col min="2" max="8" width="11.28515625" style="398" hidden="1" customWidth="1"/>
    <col min="9" max="11" width="19" style="398" customWidth="1"/>
    <col min="12" max="12" width="31.42578125" style="398" customWidth="1"/>
    <col min="13" max="16384" width="9.140625" style="398"/>
  </cols>
  <sheetData>
    <row r="1" spans="1:32" ht="21">
      <c r="A1" s="1182"/>
      <c r="B1" s="1182"/>
      <c r="C1" s="1182"/>
      <c r="D1" s="1182"/>
      <c r="E1" s="1182"/>
      <c r="F1" s="1182"/>
      <c r="G1" s="1182"/>
      <c r="H1" s="1182"/>
      <c r="I1" s="1182"/>
      <c r="J1" s="1182"/>
      <c r="K1" s="1182"/>
      <c r="L1" s="1182"/>
    </row>
    <row r="2" spans="1:32" ht="21">
      <c r="A2" s="1183" t="s">
        <v>287</v>
      </c>
      <c r="B2" s="1183"/>
      <c r="C2" s="1183"/>
      <c r="D2" s="1183"/>
      <c r="E2" s="1183"/>
      <c r="F2" s="1183"/>
      <c r="G2" s="1183"/>
      <c r="H2" s="1183"/>
      <c r="I2" s="1183"/>
      <c r="J2" s="1183"/>
      <c r="K2" s="1183"/>
      <c r="L2" s="1183"/>
      <c r="M2" s="399"/>
      <c r="N2" s="399"/>
      <c r="O2" s="400"/>
      <c r="P2" s="400"/>
      <c r="Q2" s="400"/>
      <c r="R2" s="400"/>
      <c r="S2" s="400"/>
      <c r="T2" s="400"/>
      <c r="U2" s="400"/>
      <c r="V2" s="400"/>
      <c r="W2" s="400"/>
      <c r="X2" s="400"/>
      <c r="Y2" s="400"/>
      <c r="Z2" s="400"/>
      <c r="AA2" s="400"/>
      <c r="AB2" s="400"/>
      <c r="AC2" s="400"/>
      <c r="AD2" s="400"/>
      <c r="AE2" s="400"/>
      <c r="AF2" s="400"/>
    </row>
    <row r="3" spans="1:32" s="331" customFormat="1" ht="23.25" customHeight="1">
      <c r="A3" s="1184" t="s">
        <v>286</v>
      </c>
      <c r="B3" s="1185"/>
      <c r="C3" s="1185"/>
      <c r="D3" s="1185"/>
      <c r="E3" s="1185"/>
      <c r="F3" s="1185"/>
      <c r="G3" s="1185"/>
      <c r="H3" s="1185"/>
      <c r="I3" s="1185"/>
      <c r="J3" s="1185"/>
      <c r="K3" s="1185"/>
      <c r="L3" s="1185"/>
      <c r="M3" s="191"/>
      <c r="N3" s="191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</row>
    <row r="4" spans="1:32" ht="25.5">
      <c r="A4" s="401" t="s">
        <v>283</v>
      </c>
      <c r="B4" s="402">
        <v>2009</v>
      </c>
      <c r="C4" s="402">
        <v>2010</v>
      </c>
      <c r="D4" s="402">
        <v>2011</v>
      </c>
      <c r="E4" s="402">
        <v>2012</v>
      </c>
      <c r="F4" s="402">
        <v>2013</v>
      </c>
      <c r="G4" s="402">
        <v>2014</v>
      </c>
      <c r="H4" s="402">
        <v>2015</v>
      </c>
      <c r="I4" s="402">
        <v>2016</v>
      </c>
      <c r="J4" s="402">
        <v>2017</v>
      </c>
      <c r="K4" s="402">
        <v>2018</v>
      </c>
      <c r="L4" s="403" t="s">
        <v>284</v>
      </c>
      <c r="M4" s="404"/>
      <c r="N4" s="404"/>
      <c r="O4" s="400"/>
      <c r="P4" s="400"/>
      <c r="Q4" s="400"/>
      <c r="R4" s="400"/>
      <c r="S4" s="400"/>
      <c r="T4" s="400"/>
      <c r="U4" s="400"/>
      <c r="V4" s="400"/>
      <c r="W4" s="400"/>
      <c r="X4" s="400"/>
      <c r="Y4" s="400"/>
      <c r="Z4" s="400"/>
      <c r="AA4" s="400"/>
      <c r="AB4" s="400"/>
      <c r="AC4" s="400"/>
      <c r="AD4" s="400"/>
      <c r="AE4" s="400"/>
      <c r="AF4" s="400"/>
    </row>
    <row r="5" spans="1:32" ht="21">
      <c r="A5" s="405" t="s">
        <v>8</v>
      </c>
      <c r="B5" s="252">
        <f>SUM(B6:B15)</f>
        <v>5081</v>
      </c>
      <c r="C5" s="252">
        <f>SUM(C6:C15)</f>
        <v>4140</v>
      </c>
      <c r="D5" s="252">
        <f>SUM(D6:D15)</f>
        <v>5279</v>
      </c>
      <c r="E5" s="252">
        <f>SUM(E6:E15)</f>
        <v>6339</v>
      </c>
      <c r="F5" s="252">
        <f>SUM(F6:F18)</f>
        <v>6981</v>
      </c>
      <c r="G5" s="252">
        <f>SUM(G6:G18)</f>
        <v>6983</v>
      </c>
      <c r="H5" s="252">
        <f>SUM(H6:H18)</f>
        <v>5831</v>
      </c>
      <c r="I5" s="252">
        <f>SUM(I6:I18)</f>
        <v>5511</v>
      </c>
      <c r="J5" s="252">
        <f>SUM(J6:J18)</f>
        <v>3961</v>
      </c>
      <c r="K5" s="252">
        <f>SUM(K6:K20)</f>
        <v>2878</v>
      </c>
      <c r="L5" s="406" t="s">
        <v>141</v>
      </c>
      <c r="M5" s="407"/>
      <c r="N5" s="400"/>
      <c r="O5" s="400"/>
      <c r="P5" s="400"/>
      <c r="Q5" s="400"/>
      <c r="R5" s="400"/>
      <c r="S5" s="400"/>
      <c r="T5" s="400"/>
      <c r="U5" s="400"/>
      <c r="V5" s="400"/>
      <c r="W5" s="400"/>
      <c r="X5" s="400"/>
      <c r="Y5" s="400"/>
      <c r="Z5" s="400"/>
      <c r="AA5" s="400"/>
      <c r="AB5" s="400"/>
      <c r="AC5" s="400"/>
      <c r="AD5" s="400"/>
      <c r="AE5" s="400"/>
      <c r="AF5" s="400"/>
    </row>
    <row r="6" spans="1:32" ht="19.5" customHeight="1">
      <c r="A6" s="408">
        <v>1</v>
      </c>
      <c r="B6" s="409">
        <v>3700</v>
      </c>
      <c r="C6" s="409">
        <v>3347</v>
      </c>
      <c r="D6" s="409">
        <v>4086</v>
      </c>
      <c r="E6" s="335">
        <v>4710</v>
      </c>
      <c r="F6" s="409">
        <v>4666</v>
      </c>
      <c r="G6" s="409">
        <v>4443</v>
      </c>
      <c r="H6" s="409">
        <v>4122</v>
      </c>
      <c r="I6" s="409">
        <v>4018</v>
      </c>
      <c r="J6" s="409">
        <v>3064</v>
      </c>
      <c r="K6" s="409">
        <v>2285</v>
      </c>
      <c r="L6" s="410">
        <v>1</v>
      </c>
      <c r="M6" s="407"/>
      <c r="N6" s="407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</row>
    <row r="7" spans="1:32" ht="19.5" customHeight="1">
      <c r="A7" s="408">
        <v>2</v>
      </c>
      <c r="B7" s="411">
        <v>840</v>
      </c>
      <c r="C7" s="411">
        <v>569</v>
      </c>
      <c r="D7" s="411">
        <v>810</v>
      </c>
      <c r="E7" s="335">
        <v>1031</v>
      </c>
      <c r="F7" s="411">
        <v>1255</v>
      </c>
      <c r="G7" s="411">
        <v>1274</v>
      </c>
      <c r="H7" s="411">
        <v>1002</v>
      </c>
      <c r="I7" s="411">
        <v>870</v>
      </c>
      <c r="J7" s="411">
        <v>572</v>
      </c>
      <c r="K7" s="409">
        <v>392</v>
      </c>
      <c r="L7" s="410">
        <v>2</v>
      </c>
      <c r="M7" s="407"/>
      <c r="N7" s="412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</row>
    <row r="8" spans="1:32" ht="19.5" customHeight="1">
      <c r="A8" s="408">
        <v>3</v>
      </c>
      <c r="B8" s="411">
        <v>326</v>
      </c>
      <c r="C8" s="411">
        <v>158</v>
      </c>
      <c r="D8" s="411">
        <v>263</v>
      </c>
      <c r="E8" s="335">
        <v>367</v>
      </c>
      <c r="F8" s="411">
        <v>543</v>
      </c>
      <c r="G8" s="411">
        <v>594</v>
      </c>
      <c r="H8" s="411">
        <v>362</v>
      </c>
      <c r="I8" s="411">
        <v>322</v>
      </c>
      <c r="J8" s="411">
        <v>189</v>
      </c>
      <c r="K8" s="409">
        <v>130</v>
      </c>
      <c r="L8" s="410">
        <v>3</v>
      </c>
      <c r="M8" s="407"/>
      <c r="N8" s="412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</row>
    <row r="9" spans="1:32" ht="19.5" customHeight="1">
      <c r="A9" s="408">
        <v>4</v>
      </c>
      <c r="B9" s="411">
        <v>141</v>
      </c>
      <c r="C9" s="411">
        <v>47</v>
      </c>
      <c r="D9" s="411">
        <v>84</v>
      </c>
      <c r="E9" s="335">
        <v>148</v>
      </c>
      <c r="F9" s="411">
        <v>258</v>
      </c>
      <c r="G9" s="411">
        <v>308</v>
      </c>
      <c r="H9" s="411">
        <v>157</v>
      </c>
      <c r="I9" s="411">
        <v>146</v>
      </c>
      <c r="J9" s="411">
        <v>77</v>
      </c>
      <c r="K9" s="409">
        <v>39</v>
      </c>
      <c r="L9" s="410">
        <v>4</v>
      </c>
      <c r="M9" s="407"/>
      <c r="N9" s="412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</row>
    <row r="10" spans="1:32" ht="19.5" customHeight="1">
      <c r="A10" s="408">
        <v>5</v>
      </c>
      <c r="B10" s="411">
        <v>51</v>
      </c>
      <c r="C10" s="411">
        <v>13</v>
      </c>
      <c r="D10" s="411">
        <v>26</v>
      </c>
      <c r="E10" s="335">
        <v>59</v>
      </c>
      <c r="F10" s="411">
        <v>124</v>
      </c>
      <c r="G10" s="411">
        <v>168</v>
      </c>
      <c r="H10" s="411">
        <v>81</v>
      </c>
      <c r="I10" s="411">
        <v>76</v>
      </c>
      <c r="J10" s="411">
        <v>30</v>
      </c>
      <c r="K10" s="409">
        <v>13</v>
      </c>
      <c r="L10" s="410">
        <v>5</v>
      </c>
      <c r="M10" s="407"/>
      <c r="N10" s="412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</row>
    <row r="11" spans="1:32" ht="19.5" customHeight="1">
      <c r="A11" s="408">
        <v>6</v>
      </c>
      <c r="B11" s="411">
        <v>14</v>
      </c>
      <c r="C11" s="411">
        <v>5</v>
      </c>
      <c r="D11" s="411">
        <v>7</v>
      </c>
      <c r="E11" s="335">
        <v>17</v>
      </c>
      <c r="F11" s="411">
        <v>68</v>
      </c>
      <c r="G11" s="411">
        <v>85</v>
      </c>
      <c r="H11" s="411">
        <v>47</v>
      </c>
      <c r="I11" s="411">
        <v>39</v>
      </c>
      <c r="J11" s="411">
        <v>14</v>
      </c>
      <c r="K11" s="409">
        <v>6</v>
      </c>
      <c r="L11" s="410">
        <v>6</v>
      </c>
      <c r="M11" s="407"/>
      <c r="N11" s="412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</row>
    <row r="12" spans="1:32" ht="19.5" customHeight="1">
      <c r="A12" s="408">
        <v>7</v>
      </c>
      <c r="B12" s="411">
        <v>6</v>
      </c>
      <c r="C12" s="411">
        <v>1</v>
      </c>
      <c r="D12" s="411">
        <v>2</v>
      </c>
      <c r="E12" s="335">
        <v>4</v>
      </c>
      <c r="F12" s="411">
        <v>33</v>
      </c>
      <c r="G12" s="411">
        <v>52</v>
      </c>
      <c r="H12" s="411">
        <v>26</v>
      </c>
      <c r="I12" s="411">
        <v>17</v>
      </c>
      <c r="J12" s="411">
        <v>8</v>
      </c>
      <c r="K12" s="409">
        <v>4</v>
      </c>
      <c r="L12" s="410">
        <v>7</v>
      </c>
      <c r="M12" s="407"/>
      <c r="N12" s="412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</row>
    <row r="13" spans="1:32" ht="19.5" customHeight="1">
      <c r="A13" s="408">
        <v>8</v>
      </c>
      <c r="B13" s="411">
        <v>2</v>
      </c>
      <c r="C13" s="411">
        <v>0</v>
      </c>
      <c r="D13" s="411">
        <v>1</v>
      </c>
      <c r="E13" s="335">
        <v>1</v>
      </c>
      <c r="F13" s="411">
        <v>15</v>
      </c>
      <c r="G13" s="411">
        <v>27</v>
      </c>
      <c r="H13" s="411">
        <v>13</v>
      </c>
      <c r="I13" s="411">
        <v>13</v>
      </c>
      <c r="J13" s="411">
        <v>3</v>
      </c>
      <c r="K13" s="409">
        <v>2</v>
      </c>
      <c r="L13" s="410">
        <v>8</v>
      </c>
      <c r="M13" s="407"/>
      <c r="N13" s="412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</row>
    <row r="14" spans="1:32" ht="19.5" customHeight="1">
      <c r="A14" s="408">
        <v>9</v>
      </c>
      <c r="B14" s="411">
        <v>1</v>
      </c>
      <c r="C14" s="411">
        <v>0</v>
      </c>
      <c r="D14" s="411">
        <v>0</v>
      </c>
      <c r="E14" s="335">
        <v>1</v>
      </c>
      <c r="F14" s="411">
        <v>9</v>
      </c>
      <c r="G14" s="411">
        <v>18</v>
      </c>
      <c r="H14" s="411">
        <v>12</v>
      </c>
      <c r="I14" s="411">
        <v>7</v>
      </c>
      <c r="J14" s="411">
        <v>3</v>
      </c>
      <c r="K14" s="409">
        <v>1</v>
      </c>
      <c r="L14" s="410">
        <v>9</v>
      </c>
      <c r="M14" s="407"/>
      <c r="N14" s="412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</row>
    <row r="15" spans="1:32" ht="19.5" customHeight="1">
      <c r="A15" s="408">
        <v>10</v>
      </c>
      <c r="B15" s="413">
        <v>0</v>
      </c>
      <c r="C15" s="413">
        <v>0</v>
      </c>
      <c r="D15" s="413">
        <v>0</v>
      </c>
      <c r="E15" s="335">
        <v>1</v>
      </c>
      <c r="F15" s="411">
        <v>6</v>
      </c>
      <c r="G15" s="411">
        <v>8</v>
      </c>
      <c r="H15" s="411">
        <v>5</v>
      </c>
      <c r="I15" s="411">
        <v>2</v>
      </c>
      <c r="J15" s="411">
        <v>1</v>
      </c>
      <c r="K15" s="409">
        <v>1</v>
      </c>
      <c r="L15" s="410">
        <v>10</v>
      </c>
      <c r="M15" s="407"/>
      <c r="N15" s="412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</row>
    <row r="16" spans="1:32" ht="18.75">
      <c r="A16" s="408">
        <v>11</v>
      </c>
      <c r="B16" s="413">
        <v>0</v>
      </c>
      <c r="C16" s="413">
        <v>0</v>
      </c>
      <c r="D16" s="413">
        <v>0</v>
      </c>
      <c r="E16" s="411">
        <v>0</v>
      </c>
      <c r="F16" s="411">
        <v>2</v>
      </c>
      <c r="G16" s="411">
        <v>4</v>
      </c>
      <c r="H16" s="411">
        <v>3</v>
      </c>
      <c r="I16" s="411">
        <v>1</v>
      </c>
      <c r="J16" s="411">
        <v>0</v>
      </c>
      <c r="K16" s="409">
        <v>1</v>
      </c>
      <c r="L16" s="410">
        <v>11</v>
      </c>
      <c r="M16" s="407"/>
      <c r="N16" s="414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</row>
    <row r="17" spans="1:38" ht="18.75">
      <c r="A17" s="408">
        <v>12</v>
      </c>
      <c r="B17" s="413">
        <v>0</v>
      </c>
      <c r="C17" s="413">
        <v>0</v>
      </c>
      <c r="D17" s="413">
        <v>0</v>
      </c>
      <c r="E17" s="411">
        <v>0</v>
      </c>
      <c r="F17" s="411">
        <v>1</v>
      </c>
      <c r="G17" s="411">
        <v>2</v>
      </c>
      <c r="H17" s="411">
        <v>1</v>
      </c>
      <c r="I17" s="411">
        <v>0</v>
      </c>
      <c r="J17" s="411">
        <v>0</v>
      </c>
      <c r="K17" s="409">
        <v>1</v>
      </c>
      <c r="L17" s="410">
        <v>12</v>
      </c>
      <c r="M17" s="407"/>
      <c r="N17" s="414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</row>
    <row r="18" spans="1:38" ht="18.75">
      <c r="A18" s="408">
        <v>13</v>
      </c>
      <c r="B18" s="413">
        <v>0</v>
      </c>
      <c r="C18" s="413">
        <v>0</v>
      </c>
      <c r="D18" s="413">
        <v>0</v>
      </c>
      <c r="E18" s="411">
        <v>0</v>
      </c>
      <c r="F18" s="411">
        <v>1</v>
      </c>
      <c r="G18" s="411">
        <v>0</v>
      </c>
      <c r="H18" s="411">
        <v>0</v>
      </c>
      <c r="I18" s="411">
        <v>0</v>
      </c>
      <c r="J18" s="411">
        <v>0</v>
      </c>
      <c r="K18" s="409">
        <v>1</v>
      </c>
      <c r="L18" s="410">
        <v>13</v>
      </c>
      <c r="M18" s="407"/>
      <c r="N18" s="414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</row>
    <row r="19" spans="1:38" ht="18.75">
      <c r="A19" s="408">
        <v>14</v>
      </c>
      <c r="B19" s="413"/>
      <c r="C19" s="413"/>
      <c r="D19" s="413"/>
      <c r="E19" s="411"/>
      <c r="F19" s="411">
        <v>0</v>
      </c>
      <c r="G19" s="411">
        <v>0</v>
      </c>
      <c r="H19" s="411">
        <v>0</v>
      </c>
      <c r="I19" s="411">
        <v>0</v>
      </c>
      <c r="J19" s="411">
        <v>0</v>
      </c>
      <c r="K19" s="409">
        <v>1</v>
      </c>
      <c r="L19" s="410">
        <v>14</v>
      </c>
      <c r="M19" s="407"/>
      <c r="N19" s="414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</row>
    <row r="20" spans="1:38" ht="18.75">
      <c r="A20" s="415">
        <v>15</v>
      </c>
      <c r="B20" s="416"/>
      <c r="C20" s="416"/>
      <c r="D20" s="416"/>
      <c r="E20" s="416"/>
      <c r="F20" s="417">
        <v>0</v>
      </c>
      <c r="G20" s="417">
        <v>0</v>
      </c>
      <c r="H20" s="417">
        <v>0</v>
      </c>
      <c r="I20" s="417">
        <v>0</v>
      </c>
      <c r="J20" s="417">
        <v>0</v>
      </c>
      <c r="K20" s="424">
        <v>1</v>
      </c>
      <c r="L20" s="418">
        <v>15</v>
      </c>
      <c r="M20" s="407"/>
      <c r="N20" s="414"/>
      <c r="O20" s="400"/>
      <c r="P20" s="400"/>
      <c r="Q20" s="400"/>
      <c r="R20" s="400"/>
      <c r="S20" s="400"/>
      <c r="T20" s="400"/>
      <c r="U20" s="400"/>
      <c r="V20" s="400"/>
      <c r="W20" s="400"/>
      <c r="X20" s="400"/>
      <c r="Y20" s="400"/>
      <c r="Z20" s="400"/>
      <c r="AA20" s="400"/>
      <c r="AB20" s="400"/>
      <c r="AC20" s="400"/>
      <c r="AD20" s="400"/>
      <c r="AE20" s="400"/>
    </row>
    <row r="21" spans="1:38" ht="18.75">
      <c r="A21" s="419" t="s">
        <v>60</v>
      </c>
      <c r="B21" s="412"/>
      <c r="D21" s="420"/>
      <c r="E21" s="420"/>
      <c r="F21" s="420"/>
      <c r="G21" s="420"/>
      <c r="H21" s="420"/>
      <c r="I21" s="420"/>
      <c r="J21" s="420"/>
      <c r="K21" s="420"/>
      <c r="L21" s="420" t="s">
        <v>178</v>
      </c>
      <c r="M21" s="407"/>
      <c r="N21" s="412"/>
    </row>
    <row r="22" spans="1:38" ht="6.75" hidden="1" customHeight="1">
      <c r="A22" s="400"/>
      <c r="B22" s="412"/>
      <c r="C22" s="412"/>
      <c r="D22" s="412"/>
      <c r="E22" s="412"/>
      <c r="F22" s="412"/>
      <c r="G22" s="412"/>
      <c r="H22" s="412"/>
      <c r="I22" s="412"/>
      <c r="J22" s="412"/>
      <c r="K22" s="412"/>
      <c r="L22" s="412"/>
      <c r="M22" s="412"/>
      <c r="N22" s="412"/>
    </row>
    <row r="23" spans="1:38" ht="19.5" customHeight="1">
      <c r="A23" s="400"/>
      <c r="B23" s="412"/>
      <c r="C23" s="412"/>
      <c r="D23" s="412"/>
      <c r="E23" s="412"/>
      <c r="F23" s="412"/>
      <c r="G23" s="412"/>
      <c r="H23" s="412"/>
      <c r="I23" s="412"/>
      <c r="J23" s="412"/>
      <c r="K23" s="412"/>
      <c r="L23" s="412"/>
      <c r="M23" s="412"/>
      <c r="N23" s="412"/>
    </row>
    <row r="24" spans="1:38" ht="19.5" customHeight="1">
      <c r="A24" s="353"/>
      <c r="B24" s="412"/>
      <c r="C24" s="412"/>
      <c r="D24" s="412"/>
      <c r="E24" s="412"/>
      <c r="F24" s="412"/>
      <c r="G24" s="412"/>
      <c r="H24" s="412"/>
      <c r="I24" s="412"/>
      <c r="J24" s="412"/>
      <c r="K24" s="412"/>
      <c r="L24" s="412"/>
      <c r="M24" s="412"/>
      <c r="N24" s="400"/>
    </row>
    <row r="25" spans="1:38" ht="19.5" customHeight="1">
      <c r="A25" s="400"/>
      <c r="B25" s="400"/>
      <c r="C25" s="400"/>
      <c r="D25" s="400"/>
      <c r="E25" s="400"/>
      <c r="F25" s="400"/>
      <c r="G25" s="400"/>
      <c r="H25" s="400"/>
      <c r="I25" s="400"/>
      <c r="J25" s="400"/>
      <c r="K25" s="400"/>
      <c r="L25" s="400"/>
      <c r="M25" s="400"/>
      <c r="N25" s="400"/>
    </row>
    <row r="27" spans="1:38" ht="19.5" customHeight="1">
      <c r="C27" s="421"/>
      <c r="D27" s="421"/>
      <c r="E27" s="421"/>
      <c r="F27" s="421"/>
      <c r="G27" s="421"/>
      <c r="H27" s="421"/>
      <c r="I27" s="421"/>
      <c r="J27" s="421"/>
      <c r="K27" s="421"/>
    </row>
    <row r="28" spans="1:38" ht="19.5" customHeight="1">
      <c r="B28" s="422"/>
      <c r="C28" s="422"/>
      <c r="D28" s="422"/>
      <c r="E28" s="422"/>
      <c r="F28" s="422"/>
      <c r="G28" s="422"/>
      <c r="H28" s="422"/>
      <c r="I28" s="422"/>
      <c r="J28" s="422"/>
      <c r="K28" s="422"/>
      <c r="L28" s="421"/>
    </row>
    <row r="29" spans="1:38" ht="19.5" customHeight="1">
      <c r="B29" s="422"/>
      <c r="C29" s="422"/>
      <c r="D29" s="422"/>
      <c r="E29" s="422"/>
      <c r="F29" s="422"/>
      <c r="G29" s="422"/>
      <c r="H29" s="422"/>
      <c r="I29" s="422"/>
      <c r="J29" s="422"/>
      <c r="K29" s="422"/>
      <c r="L29" s="421"/>
    </row>
    <row r="30" spans="1:38" ht="19.5" customHeight="1">
      <c r="B30" s="422"/>
      <c r="C30" s="422"/>
      <c r="D30" s="422"/>
      <c r="E30" s="422"/>
      <c r="F30" s="422"/>
      <c r="G30" s="422"/>
      <c r="H30" s="422"/>
      <c r="I30" s="422"/>
      <c r="J30" s="422"/>
      <c r="K30" s="422"/>
      <c r="L30" s="421"/>
      <c r="AK30" s="408">
        <v>1</v>
      </c>
      <c r="AL30" s="409">
        <f>K6</f>
        <v>2285</v>
      </c>
    </row>
    <row r="31" spans="1:38" ht="19.5" customHeight="1">
      <c r="B31" s="422"/>
      <c r="C31" s="422"/>
      <c r="D31" s="422"/>
      <c r="E31" s="422"/>
      <c r="F31" s="422"/>
      <c r="G31" s="422"/>
      <c r="H31" s="422"/>
      <c r="I31" s="422"/>
      <c r="J31" s="422"/>
      <c r="K31" s="422"/>
      <c r="L31" s="421"/>
      <c r="AK31" s="408">
        <v>2</v>
      </c>
      <c r="AL31" s="409">
        <f>K7</f>
        <v>392</v>
      </c>
    </row>
    <row r="32" spans="1:38" ht="19.5" customHeight="1">
      <c r="B32" s="422"/>
      <c r="C32" s="422"/>
      <c r="D32" s="422"/>
      <c r="E32" s="422"/>
      <c r="F32" s="422"/>
      <c r="G32" s="422"/>
      <c r="H32" s="422"/>
      <c r="I32" s="422"/>
      <c r="J32" s="422"/>
      <c r="K32" s="422"/>
      <c r="L32" s="421"/>
      <c r="AK32" s="408">
        <v>3</v>
      </c>
      <c r="AL32" s="409">
        <f>K8</f>
        <v>130</v>
      </c>
    </row>
    <row r="33" spans="2:38" ht="19.5" customHeight="1">
      <c r="B33" s="422"/>
      <c r="C33" s="422"/>
      <c r="D33" s="422"/>
      <c r="E33" s="422"/>
      <c r="F33" s="422"/>
      <c r="G33" s="422"/>
      <c r="H33" s="422"/>
      <c r="I33" s="422"/>
      <c r="J33" s="422"/>
      <c r="K33" s="422"/>
      <c r="L33" s="421"/>
      <c r="AK33" s="408">
        <v>4</v>
      </c>
      <c r="AL33" s="409">
        <f>K9</f>
        <v>39</v>
      </c>
    </row>
    <row r="34" spans="2:38" ht="19.5" customHeight="1">
      <c r="AK34" s="408">
        <v>5</v>
      </c>
      <c r="AL34" s="409">
        <f>K10</f>
        <v>13</v>
      </c>
    </row>
    <row r="35" spans="2:38" ht="19.5" customHeight="1">
      <c r="AK35" s="423" t="s">
        <v>285</v>
      </c>
      <c r="AL35" s="425">
        <f>SUM(K11:K20)</f>
        <v>19</v>
      </c>
    </row>
  </sheetData>
  <mergeCells count="3">
    <mergeCell ref="A1:L1"/>
    <mergeCell ref="A2:L2"/>
    <mergeCell ref="A3:L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3"/>
  <sheetViews>
    <sheetView tabSelected="1" topLeftCell="K1" zoomScaleNormal="100" workbookViewId="0">
      <selection activeCell="T12" sqref="T12"/>
    </sheetView>
  </sheetViews>
  <sheetFormatPr defaultColWidth="9.140625" defaultRowHeight="15"/>
  <cols>
    <col min="1" max="1" width="54.140625" style="398" customWidth="1"/>
    <col min="2" max="2" width="13" style="398" customWidth="1"/>
    <col min="3" max="3" width="12.28515625" style="398" customWidth="1"/>
    <col min="4" max="5" width="13.85546875" style="398" customWidth="1"/>
    <col min="6" max="6" width="0.140625" style="398" customWidth="1"/>
    <col min="7" max="10" width="13.7109375" style="398" customWidth="1"/>
    <col min="11" max="11" width="0.140625" style="398" customWidth="1"/>
    <col min="12" max="13" width="12.28515625" style="398" customWidth="1"/>
    <col min="14" max="15" width="14.28515625" style="398" customWidth="1"/>
    <col min="16" max="16" width="34.28515625" style="398" customWidth="1"/>
    <col min="17" max="17" width="3.28515625" style="398" customWidth="1"/>
    <col min="18" max="24" width="9.140625" style="398"/>
    <col min="25" max="25" width="33.85546875" style="398" customWidth="1"/>
    <col min="26" max="26" width="9.140625" style="398"/>
    <col min="27" max="27" width="11.28515625" style="398" customWidth="1"/>
    <col min="28" max="28" width="12.140625" style="398" customWidth="1"/>
    <col min="29" max="16384" width="9.140625" style="398"/>
  </cols>
  <sheetData>
    <row r="1" spans="1:29" ht="9" customHeight="1"/>
    <row r="2" spans="1:29" s="426" customFormat="1" ht="19.5" customHeight="1">
      <c r="A2" s="1186" t="s">
        <v>288</v>
      </c>
      <c r="B2" s="1186"/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Z2" s="398"/>
      <c r="AA2" s="398"/>
      <c r="AB2" s="398"/>
    </row>
    <row r="3" spans="1:29">
      <c r="A3" s="1187" t="s">
        <v>289</v>
      </c>
      <c r="B3" s="1188"/>
      <c r="C3" s="1188"/>
      <c r="D3" s="1188"/>
      <c r="E3" s="1188"/>
      <c r="F3" s="1188"/>
      <c r="G3" s="1188"/>
      <c r="H3" s="1188"/>
      <c r="I3" s="1188"/>
      <c r="J3" s="1188"/>
      <c r="K3" s="1188"/>
      <c r="L3" s="1188"/>
      <c r="M3" s="1188"/>
      <c r="N3" s="1188"/>
      <c r="O3" s="1188"/>
      <c r="P3" s="1188"/>
      <c r="Z3" s="427" t="s">
        <v>290</v>
      </c>
      <c r="AA3" s="427" t="s">
        <v>291</v>
      </c>
      <c r="AB3" s="398" t="s">
        <v>292</v>
      </c>
      <c r="AC3" s="428" t="s">
        <v>293</v>
      </c>
    </row>
    <row r="4" spans="1:29" ht="9.75" customHeight="1">
      <c r="A4" s="331"/>
      <c r="B4" s="331"/>
      <c r="C4" s="331"/>
      <c r="D4" s="331"/>
      <c r="E4" s="331"/>
      <c r="F4" s="331"/>
      <c r="G4" s="331"/>
      <c r="H4" s="331"/>
      <c r="I4" s="331"/>
      <c r="J4" s="331"/>
      <c r="K4" s="429"/>
      <c r="L4" s="429"/>
      <c r="M4" s="331"/>
      <c r="N4" s="331"/>
      <c r="O4" s="331"/>
      <c r="P4" s="331"/>
      <c r="Y4" s="434">
        <v>2878</v>
      </c>
      <c r="Z4" s="430">
        <f>C9</f>
        <v>164</v>
      </c>
      <c r="AA4" s="430">
        <f>D9</f>
        <v>2087</v>
      </c>
      <c r="AB4" s="430">
        <f>E9</f>
        <v>593</v>
      </c>
      <c r="AC4" s="425">
        <f>AA9</f>
        <v>34</v>
      </c>
    </row>
    <row r="5" spans="1:29" s="432" customFormat="1" ht="13.5" customHeight="1">
      <c r="A5" s="1189" t="s">
        <v>269</v>
      </c>
      <c r="B5" s="1192" t="s">
        <v>294</v>
      </c>
      <c r="C5" s="1192"/>
      <c r="D5" s="1192"/>
      <c r="E5" s="1192"/>
      <c r="F5" s="431"/>
      <c r="G5" s="1193" t="s">
        <v>274</v>
      </c>
      <c r="H5" s="1192"/>
      <c r="I5" s="1192"/>
      <c r="J5" s="1192"/>
      <c r="K5" s="465"/>
      <c r="L5" s="1193" t="s">
        <v>275</v>
      </c>
      <c r="M5" s="1192"/>
      <c r="N5" s="1192"/>
      <c r="O5" s="1192"/>
      <c r="P5" s="1194" t="s">
        <v>270</v>
      </c>
      <c r="Z5" s="398"/>
      <c r="AA5" s="398"/>
      <c r="AB5" s="398"/>
    </row>
    <row r="6" spans="1:29" s="432" customFormat="1" ht="18.75" customHeight="1">
      <c r="A6" s="1190"/>
      <c r="B6" s="1195" t="s">
        <v>277</v>
      </c>
      <c r="C6" s="1195"/>
      <c r="D6" s="1195"/>
      <c r="E6" s="1195"/>
      <c r="F6" s="433"/>
      <c r="G6" s="1196" t="s">
        <v>278</v>
      </c>
      <c r="H6" s="1195"/>
      <c r="I6" s="1195"/>
      <c r="J6" s="1195"/>
      <c r="K6" s="466"/>
      <c r="L6" s="1196" t="s">
        <v>279</v>
      </c>
      <c r="M6" s="1195"/>
      <c r="N6" s="1195"/>
      <c r="O6" s="1195"/>
      <c r="P6" s="1180"/>
      <c r="Z6" s="428"/>
      <c r="AB6" s="428" t="s">
        <v>304</v>
      </c>
    </row>
    <row r="7" spans="1:29" s="438" customFormat="1" ht="12.75" customHeight="1">
      <c r="A7" s="1190"/>
      <c r="B7" s="435" t="s">
        <v>8</v>
      </c>
      <c r="C7" s="435" t="s">
        <v>295</v>
      </c>
      <c r="D7" s="435" t="s">
        <v>296</v>
      </c>
      <c r="E7" s="435" t="s">
        <v>297</v>
      </c>
      <c r="F7" s="435"/>
      <c r="G7" s="436" t="s">
        <v>8</v>
      </c>
      <c r="H7" s="435" t="s">
        <v>295</v>
      </c>
      <c r="I7" s="435" t="s">
        <v>296</v>
      </c>
      <c r="J7" s="435" t="s">
        <v>298</v>
      </c>
      <c r="K7" s="437"/>
      <c r="L7" s="436" t="s">
        <v>8</v>
      </c>
      <c r="M7" s="435" t="s">
        <v>295</v>
      </c>
      <c r="N7" s="435" t="s">
        <v>296</v>
      </c>
      <c r="O7" s="435" t="s">
        <v>298</v>
      </c>
      <c r="P7" s="1180"/>
      <c r="Z7" s="439" t="s">
        <v>274</v>
      </c>
      <c r="AA7" s="440">
        <f>G9</f>
        <v>2767</v>
      </c>
      <c r="AB7" s="441">
        <f>AA7/Y4*100</f>
        <v>96.143154968728282</v>
      </c>
    </row>
    <row r="8" spans="1:29" ht="37.5">
      <c r="A8" s="1191"/>
      <c r="B8" s="442" t="s">
        <v>141</v>
      </c>
      <c r="C8" s="442" t="s">
        <v>299</v>
      </c>
      <c r="D8" s="442" t="s">
        <v>300</v>
      </c>
      <c r="E8" s="442" t="s">
        <v>301</v>
      </c>
      <c r="F8" s="443"/>
      <c r="G8" s="444" t="s">
        <v>141</v>
      </c>
      <c r="H8" s="442" t="s">
        <v>299</v>
      </c>
      <c r="I8" s="442" t="s">
        <v>300</v>
      </c>
      <c r="J8" s="442" t="s">
        <v>301</v>
      </c>
      <c r="K8" s="467"/>
      <c r="L8" s="444" t="s">
        <v>141</v>
      </c>
      <c r="M8" s="442" t="s">
        <v>299</v>
      </c>
      <c r="N8" s="442" t="s">
        <v>300</v>
      </c>
      <c r="O8" s="442" t="s">
        <v>301</v>
      </c>
      <c r="P8" s="1181"/>
      <c r="Z8" s="445" t="s">
        <v>275</v>
      </c>
      <c r="AA8" s="434">
        <f>L9</f>
        <v>77</v>
      </c>
      <c r="AB8" s="441">
        <f>AA8/Y4*100</f>
        <v>2.6754690757470465</v>
      </c>
    </row>
    <row r="9" spans="1:29" s="439" customFormat="1" ht="21.75" customHeight="1">
      <c r="A9" s="245" t="s">
        <v>8</v>
      </c>
      <c r="B9" s="430">
        <f>G9+L9</f>
        <v>2844</v>
      </c>
      <c r="C9" s="430">
        <f t="shared" ref="C9:E24" si="0">H9+M9</f>
        <v>164</v>
      </c>
      <c r="D9" s="430">
        <f t="shared" si="0"/>
        <v>2087</v>
      </c>
      <c r="E9" s="430">
        <f t="shared" si="0"/>
        <v>593</v>
      </c>
      <c r="F9" s="446"/>
      <c r="G9" s="447">
        <f>SUM(H9:J9)</f>
        <v>2767</v>
      </c>
      <c r="H9" s="430">
        <f>SUM(H10:H21)</f>
        <v>163</v>
      </c>
      <c r="I9" s="430">
        <f>SUM(I10:I21)</f>
        <v>2030</v>
      </c>
      <c r="J9" s="430">
        <f>SUM(J10:J21)</f>
        <v>574</v>
      </c>
      <c r="K9" s="468"/>
      <c r="L9" s="447">
        <f>SUM(M9:O9)</f>
        <v>77</v>
      </c>
      <c r="M9" s="430">
        <f>SUM(M10:M21)</f>
        <v>1</v>
      </c>
      <c r="N9" s="430">
        <f t="shared" ref="N9:O9" si="1">SUM(N10:N21)</f>
        <v>57</v>
      </c>
      <c r="O9" s="430">
        <f t="shared" si="1"/>
        <v>19</v>
      </c>
      <c r="P9" s="448" t="s">
        <v>141</v>
      </c>
      <c r="R9" s="440"/>
      <c r="Z9" s="428" t="s">
        <v>293</v>
      </c>
      <c r="AA9" s="434">
        <f>Y4-(AA7+AA8)</f>
        <v>34</v>
      </c>
      <c r="AB9" s="441">
        <f>AA9/Y4*100</f>
        <v>1.1813759555246699</v>
      </c>
    </row>
    <row r="10" spans="1:29" s="428" customFormat="1" ht="21.75" customHeight="1">
      <c r="A10" s="449" t="s">
        <v>14</v>
      </c>
      <c r="B10" s="450">
        <f>G10+L10</f>
        <v>403</v>
      </c>
      <c r="C10" s="450">
        <f>H10+M10</f>
        <v>56</v>
      </c>
      <c r="D10" s="450">
        <f>I10+N10</f>
        <v>294</v>
      </c>
      <c r="E10" s="450">
        <f t="shared" si="0"/>
        <v>53</v>
      </c>
      <c r="F10" s="450"/>
      <c r="G10" s="451">
        <f>SUM(H10:J10)</f>
        <v>399</v>
      </c>
      <c r="H10" s="450">
        <v>55</v>
      </c>
      <c r="I10" s="450">
        <v>291</v>
      </c>
      <c r="J10" s="450">
        <v>53</v>
      </c>
      <c r="K10" s="456"/>
      <c r="L10" s="451">
        <f>SUM(M10:O10)</f>
        <v>4</v>
      </c>
      <c r="M10" s="450">
        <v>1</v>
      </c>
      <c r="N10" s="450">
        <v>3</v>
      </c>
      <c r="O10" s="450">
        <v>0</v>
      </c>
      <c r="P10" s="360" t="s">
        <v>20</v>
      </c>
      <c r="Q10" s="452"/>
      <c r="R10" s="453"/>
      <c r="Z10" s="454"/>
      <c r="AA10" s="454"/>
      <c r="AB10" s="454"/>
    </row>
    <row r="11" spans="1:29" s="428" customFormat="1" ht="21.75" customHeight="1">
      <c r="A11" s="449" t="s">
        <v>7</v>
      </c>
      <c r="B11" s="450">
        <f t="shared" ref="B11:B20" si="2">G11+L11</f>
        <v>697</v>
      </c>
      <c r="C11" s="450">
        <f t="shared" si="0"/>
        <v>12</v>
      </c>
      <c r="D11" s="450">
        <f t="shared" si="0"/>
        <v>520</v>
      </c>
      <c r="E11" s="450">
        <f t="shared" si="0"/>
        <v>165</v>
      </c>
      <c r="F11" s="450"/>
      <c r="G11" s="451">
        <f t="shared" ref="G11:G20" si="3">SUM(H11:J11)</f>
        <v>690</v>
      </c>
      <c r="H11" s="450">
        <v>12</v>
      </c>
      <c r="I11" s="450">
        <v>514</v>
      </c>
      <c r="J11" s="450">
        <v>164</v>
      </c>
      <c r="K11" s="456"/>
      <c r="L11" s="451">
        <f t="shared" ref="L11:L34" si="4">SUM(M11:O11)</f>
        <v>7</v>
      </c>
      <c r="M11" s="450">
        <v>0</v>
      </c>
      <c r="N11" s="450">
        <v>6</v>
      </c>
      <c r="O11" s="450">
        <v>1</v>
      </c>
      <c r="P11" s="360" t="s">
        <v>11</v>
      </c>
      <c r="Q11" s="455"/>
      <c r="R11" s="453"/>
      <c r="W11" s="190"/>
      <c r="X11" s="190"/>
      <c r="Y11" s="398"/>
      <c r="AA11" s="428">
        <v>2801</v>
      </c>
      <c r="AB11" s="428">
        <v>77</v>
      </c>
      <c r="AC11" s="398"/>
    </row>
    <row r="12" spans="1:29" s="428" customFormat="1" ht="21.75" customHeight="1">
      <c r="A12" s="449" t="s">
        <v>19</v>
      </c>
      <c r="B12" s="450">
        <f t="shared" si="2"/>
        <v>96</v>
      </c>
      <c r="C12" s="450">
        <f t="shared" si="0"/>
        <v>3</v>
      </c>
      <c r="D12" s="450">
        <f t="shared" si="0"/>
        <v>78</v>
      </c>
      <c r="E12" s="450">
        <f t="shared" si="0"/>
        <v>15</v>
      </c>
      <c r="F12" s="450"/>
      <c r="G12" s="451">
        <f t="shared" si="3"/>
        <v>88</v>
      </c>
      <c r="H12" s="450">
        <v>3</v>
      </c>
      <c r="I12" s="450">
        <v>70</v>
      </c>
      <c r="J12" s="450">
        <v>15</v>
      </c>
      <c r="K12" s="456"/>
      <c r="L12" s="451">
        <f t="shared" si="4"/>
        <v>8</v>
      </c>
      <c r="M12" s="450">
        <v>0</v>
      </c>
      <c r="N12" s="450">
        <v>8</v>
      </c>
      <c r="O12" s="450">
        <v>0</v>
      </c>
      <c r="P12" s="360" t="s">
        <v>25</v>
      </c>
      <c r="Q12" s="455"/>
      <c r="R12" s="453"/>
      <c r="W12" s="439"/>
      <c r="X12" s="439"/>
      <c r="Y12" s="432"/>
      <c r="Z12" s="400"/>
      <c r="AA12" s="190" t="s">
        <v>274</v>
      </c>
      <c r="AB12" s="190" t="s">
        <v>275</v>
      </c>
      <c r="AC12" s="432"/>
    </row>
    <row r="13" spans="1:29" s="428" customFormat="1" ht="21.75" customHeight="1">
      <c r="A13" s="449" t="s">
        <v>12</v>
      </c>
      <c r="B13" s="450">
        <f>G13+L13</f>
        <v>1040</v>
      </c>
      <c r="C13" s="450">
        <f t="shared" si="0"/>
        <v>67</v>
      </c>
      <c r="D13" s="450">
        <f t="shared" si="0"/>
        <v>762</v>
      </c>
      <c r="E13" s="450">
        <f t="shared" si="0"/>
        <v>211</v>
      </c>
      <c r="F13" s="450"/>
      <c r="G13" s="451">
        <f>SUM(H13:J13)</f>
        <v>1005</v>
      </c>
      <c r="H13" s="450">
        <v>67</v>
      </c>
      <c r="I13" s="450">
        <v>737</v>
      </c>
      <c r="J13" s="450">
        <v>201</v>
      </c>
      <c r="K13" s="456"/>
      <c r="L13" s="451">
        <f t="shared" si="4"/>
        <v>35</v>
      </c>
      <c r="M13" s="450">
        <v>0</v>
      </c>
      <c r="N13" s="450">
        <v>25</v>
      </c>
      <c r="O13" s="450">
        <v>10</v>
      </c>
      <c r="P13" s="360" t="s">
        <v>16</v>
      </c>
      <c r="Q13" s="455"/>
      <c r="R13" s="453"/>
      <c r="Y13" s="432"/>
      <c r="Z13" s="427" t="s">
        <v>290</v>
      </c>
      <c r="AA13" s="252">
        <f>H9</f>
        <v>163</v>
      </c>
      <c r="AB13" s="252">
        <f>M9</f>
        <v>1</v>
      </c>
      <c r="AC13" s="432"/>
    </row>
    <row r="14" spans="1:29" s="428" customFormat="1" ht="21.75" customHeight="1">
      <c r="A14" s="449" t="s">
        <v>23</v>
      </c>
      <c r="B14" s="450">
        <f t="shared" si="2"/>
        <v>134</v>
      </c>
      <c r="C14" s="450">
        <f t="shared" si="0"/>
        <v>4</v>
      </c>
      <c r="D14" s="450">
        <f t="shared" si="0"/>
        <v>90</v>
      </c>
      <c r="E14" s="450">
        <f t="shared" si="0"/>
        <v>40</v>
      </c>
      <c r="F14" s="450"/>
      <c r="G14" s="451">
        <f t="shared" si="3"/>
        <v>126</v>
      </c>
      <c r="H14" s="450">
        <v>4</v>
      </c>
      <c r="I14" s="450">
        <v>83</v>
      </c>
      <c r="J14" s="450">
        <v>39</v>
      </c>
      <c r="K14" s="456"/>
      <c r="L14" s="451">
        <f t="shared" si="4"/>
        <v>8</v>
      </c>
      <c r="M14" s="450">
        <v>0</v>
      </c>
      <c r="N14" s="450">
        <v>7</v>
      </c>
      <c r="O14" s="450">
        <v>1</v>
      </c>
      <c r="P14" s="360" t="s">
        <v>280</v>
      </c>
      <c r="Q14" s="455"/>
      <c r="R14" s="453"/>
      <c r="Y14" s="331"/>
      <c r="Z14" s="427" t="s">
        <v>291</v>
      </c>
      <c r="AA14" s="252">
        <f>I9</f>
        <v>2030</v>
      </c>
      <c r="AB14" s="252">
        <f>N9</f>
        <v>57</v>
      </c>
      <c r="AC14" s="331"/>
    </row>
    <row r="15" spans="1:29" s="428" customFormat="1" ht="21.75" customHeight="1">
      <c r="A15" s="449" t="s">
        <v>10</v>
      </c>
      <c r="B15" s="450">
        <f t="shared" si="2"/>
        <v>3</v>
      </c>
      <c r="C15" s="450">
        <f t="shared" si="0"/>
        <v>0</v>
      </c>
      <c r="D15" s="450">
        <f t="shared" si="0"/>
        <v>3</v>
      </c>
      <c r="E15" s="450">
        <f t="shared" si="0"/>
        <v>0</v>
      </c>
      <c r="F15" s="450"/>
      <c r="G15" s="451">
        <f t="shared" si="3"/>
        <v>3</v>
      </c>
      <c r="H15" s="450">
        <v>0</v>
      </c>
      <c r="I15" s="450">
        <v>3</v>
      </c>
      <c r="J15" s="450">
        <v>0</v>
      </c>
      <c r="K15" s="456"/>
      <c r="L15" s="451">
        <f t="shared" si="4"/>
        <v>0</v>
      </c>
      <c r="M15" s="450">
        <v>0</v>
      </c>
      <c r="N15" s="450">
        <v>0</v>
      </c>
      <c r="O15" s="450">
        <v>0</v>
      </c>
      <c r="P15" s="360" t="s">
        <v>13</v>
      </c>
      <c r="Q15" s="455"/>
      <c r="R15" s="453"/>
      <c r="W15" s="434"/>
      <c r="X15" s="434"/>
      <c r="Z15" s="398" t="s">
        <v>292</v>
      </c>
      <c r="AA15" s="252">
        <f>J9</f>
        <v>574</v>
      </c>
      <c r="AB15" s="252">
        <f>O9</f>
        <v>19</v>
      </c>
    </row>
    <row r="16" spans="1:29" s="428" customFormat="1" ht="21.75" customHeight="1">
      <c r="A16" s="449" t="s">
        <v>30</v>
      </c>
      <c r="B16" s="450">
        <f t="shared" si="2"/>
        <v>12</v>
      </c>
      <c r="C16" s="450">
        <f t="shared" si="0"/>
        <v>0</v>
      </c>
      <c r="D16" s="450">
        <f t="shared" si="0"/>
        <v>6</v>
      </c>
      <c r="E16" s="450">
        <f t="shared" si="0"/>
        <v>6</v>
      </c>
      <c r="F16" s="450"/>
      <c r="G16" s="451">
        <f t="shared" si="3"/>
        <v>10</v>
      </c>
      <c r="H16" s="450">
        <v>0</v>
      </c>
      <c r="I16" s="450">
        <v>4</v>
      </c>
      <c r="J16" s="450">
        <v>6</v>
      </c>
      <c r="K16" s="456"/>
      <c r="L16" s="451">
        <f t="shared" si="4"/>
        <v>2</v>
      </c>
      <c r="M16" s="450">
        <v>0</v>
      </c>
      <c r="N16" s="450">
        <v>2</v>
      </c>
      <c r="O16" s="450">
        <v>0</v>
      </c>
      <c r="P16" s="360" t="s">
        <v>33</v>
      </c>
      <c r="Q16" s="455"/>
      <c r="R16" s="453"/>
      <c r="Z16" s="428" t="s">
        <v>293</v>
      </c>
      <c r="AA16" s="252">
        <f>AA11-AA13-AA14-AA15</f>
        <v>34</v>
      </c>
      <c r="AB16" s="252">
        <f>AB11-AB13-AB14-AB15</f>
        <v>0</v>
      </c>
    </row>
    <row r="17" spans="1:28" s="428" customFormat="1" ht="21.75" customHeight="1">
      <c r="A17" s="449" t="s">
        <v>32</v>
      </c>
      <c r="B17" s="450">
        <f t="shared" si="2"/>
        <v>1</v>
      </c>
      <c r="C17" s="450">
        <f t="shared" si="0"/>
        <v>0</v>
      </c>
      <c r="D17" s="450">
        <f t="shared" si="0"/>
        <v>1</v>
      </c>
      <c r="E17" s="450">
        <f t="shared" si="0"/>
        <v>0</v>
      </c>
      <c r="F17" s="450"/>
      <c r="G17" s="451">
        <f t="shared" si="3"/>
        <v>1</v>
      </c>
      <c r="H17" s="450">
        <v>0</v>
      </c>
      <c r="I17" s="450">
        <v>1</v>
      </c>
      <c r="J17" s="450">
        <v>0</v>
      </c>
      <c r="K17" s="456"/>
      <c r="L17" s="451">
        <f t="shared" si="4"/>
        <v>0</v>
      </c>
      <c r="M17" s="450">
        <v>0</v>
      </c>
      <c r="N17" s="450">
        <v>0</v>
      </c>
      <c r="O17" s="450">
        <v>0</v>
      </c>
      <c r="P17" s="360" t="s">
        <v>143</v>
      </c>
      <c r="Q17" s="455"/>
      <c r="R17" s="453"/>
      <c r="Z17" s="427"/>
      <c r="AA17" s="252"/>
      <c r="AB17" s="252"/>
    </row>
    <row r="18" spans="1:28" s="428" customFormat="1" ht="21.75" customHeight="1">
      <c r="A18" s="449" t="s">
        <v>21</v>
      </c>
      <c r="B18" s="450">
        <f t="shared" si="2"/>
        <v>62</v>
      </c>
      <c r="C18" s="450">
        <f t="shared" si="0"/>
        <v>4</v>
      </c>
      <c r="D18" s="450">
        <f t="shared" si="0"/>
        <v>51</v>
      </c>
      <c r="E18" s="450">
        <f t="shared" si="0"/>
        <v>7</v>
      </c>
      <c r="F18" s="450"/>
      <c r="G18" s="451">
        <f t="shared" si="3"/>
        <v>62</v>
      </c>
      <c r="H18" s="450">
        <v>4</v>
      </c>
      <c r="I18" s="450">
        <v>51</v>
      </c>
      <c r="J18" s="450">
        <v>7</v>
      </c>
      <c r="K18" s="456"/>
      <c r="L18" s="451">
        <f t="shared" si="4"/>
        <v>0</v>
      </c>
      <c r="M18" s="450">
        <v>0</v>
      </c>
      <c r="N18" s="450">
        <v>0</v>
      </c>
      <c r="O18" s="450">
        <v>0</v>
      </c>
      <c r="P18" s="360" t="s">
        <v>22</v>
      </c>
      <c r="Q18" s="455"/>
      <c r="R18" s="453"/>
    </row>
    <row r="19" spans="1:28" s="428" customFormat="1" ht="21.75" customHeight="1">
      <c r="A19" s="449" t="s">
        <v>27</v>
      </c>
      <c r="B19" s="450">
        <f t="shared" si="2"/>
        <v>18</v>
      </c>
      <c r="C19" s="450">
        <f t="shared" si="0"/>
        <v>0</v>
      </c>
      <c r="D19" s="450">
        <f t="shared" si="0"/>
        <v>14</v>
      </c>
      <c r="E19" s="450">
        <f t="shared" si="0"/>
        <v>4</v>
      </c>
      <c r="F19" s="450"/>
      <c r="G19" s="451">
        <f t="shared" si="3"/>
        <v>18</v>
      </c>
      <c r="H19" s="450">
        <v>0</v>
      </c>
      <c r="I19" s="450">
        <v>14</v>
      </c>
      <c r="J19" s="450">
        <v>4</v>
      </c>
      <c r="K19" s="456"/>
      <c r="L19" s="451">
        <f t="shared" si="4"/>
        <v>0</v>
      </c>
      <c r="M19" s="450">
        <v>0</v>
      </c>
      <c r="N19" s="450">
        <v>0</v>
      </c>
      <c r="O19" s="450">
        <v>0</v>
      </c>
      <c r="P19" s="360" t="s">
        <v>31</v>
      </c>
      <c r="Q19" s="455"/>
      <c r="R19" s="453"/>
      <c r="S19" s="449"/>
    </row>
    <row r="20" spans="1:28" s="428" customFormat="1" ht="21.75" customHeight="1">
      <c r="A20" s="449" t="s">
        <v>40</v>
      </c>
      <c r="B20" s="450">
        <f t="shared" si="2"/>
        <v>0</v>
      </c>
      <c r="C20" s="450">
        <f t="shared" si="0"/>
        <v>0</v>
      </c>
      <c r="D20" s="450">
        <f t="shared" si="0"/>
        <v>0</v>
      </c>
      <c r="E20" s="450">
        <f t="shared" si="0"/>
        <v>0</v>
      </c>
      <c r="F20" s="450"/>
      <c r="G20" s="451">
        <f t="shared" si="3"/>
        <v>0</v>
      </c>
      <c r="H20" s="450">
        <v>0</v>
      </c>
      <c r="I20" s="450">
        <v>0</v>
      </c>
      <c r="J20" s="450">
        <v>0</v>
      </c>
      <c r="K20" s="456"/>
      <c r="L20" s="451">
        <f t="shared" si="4"/>
        <v>0</v>
      </c>
      <c r="M20" s="450">
        <v>0</v>
      </c>
      <c r="N20" s="450">
        <v>0</v>
      </c>
      <c r="O20" s="450">
        <v>0</v>
      </c>
      <c r="P20" s="360" t="s">
        <v>18</v>
      </c>
      <c r="Q20" s="455"/>
      <c r="R20" s="453"/>
      <c r="S20" s="449"/>
    </row>
    <row r="21" spans="1:28" s="428" customFormat="1" ht="21.75" customHeight="1">
      <c r="A21" s="449" t="s">
        <v>15</v>
      </c>
      <c r="B21" s="450">
        <f>G21+L21</f>
        <v>378</v>
      </c>
      <c r="C21" s="450">
        <f>H21+M21</f>
        <v>18</v>
      </c>
      <c r="D21" s="450">
        <f t="shared" si="0"/>
        <v>268</v>
      </c>
      <c r="E21" s="450">
        <f t="shared" si="0"/>
        <v>92</v>
      </c>
      <c r="F21" s="450"/>
      <c r="G21" s="451">
        <f>SUM(H21:J21)</f>
        <v>365</v>
      </c>
      <c r="H21" s="450">
        <v>18</v>
      </c>
      <c r="I21" s="450">
        <v>262</v>
      </c>
      <c r="J21" s="450">
        <v>85</v>
      </c>
      <c r="K21" s="456"/>
      <c r="L21" s="451">
        <f t="shared" si="4"/>
        <v>13</v>
      </c>
      <c r="M21" s="450">
        <v>0</v>
      </c>
      <c r="N21" s="450">
        <v>6</v>
      </c>
      <c r="O21" s="450">
        <v>7</v>
      </c>
      <c r="P21" s="360" t="s">
        <v>37</v>
      </c>
      <c r="Q21" s="455"/>
      <c r="R21" s="453"/>
      <c r="S21" s="449"/>
    </row>
    <row r="22" spans="1:28" ht="18.75" customHeight="1">
      <c r="A22" s="457" t="s">
        <v>38</v>
      </c>
      <c r="B22" s="450">
        <f t="shared" ref="B22:E34" si="5">G22+L22</f>
        <v>7</v>
      </c>
      <c r="C22" s="450">
        <f t="shared" si="5"/>
        <v>0</v>
      </c>
      <c r="D22" s="450">
        <f t="shared" si="0"/>
        <v>5</v>
      </c>
      <c r="E22" s="450">
        <f t="shared" si="0"/>
        <v>2</v>
      </c>
      <c r="F22" s="450"/>
      <c r="G22" s="451">
        <f t="shared" ref="G22:G34" si="6">SUM(H22:J22)</f>
        <v>7</v>
      </c>
      <c r="H22" s="450">
        <v>0</v>
      </c>
      <c r="I22" s="450">
        <v>5</v>
      </c>
      <c r="J22" s="450">
        <v>2</v>
      </c>
      <c r="K22" s="456"/>
      <c r="L22" s="451">
        <f t="shared" si="4"/>
        <v>0</v>
      </c>
      <c r="M22" s="450">
        <v>0</v>
      </c>
      <c r="N22" s="450">
        <v>0</v>
      </c>
      <c r="O22" s="450">
        <v>0</v>
      </c>
      <c r="P22" s="37" t="s">
        <v>39</v>
      </c>
      <c r="Q22" s="455"/>
      <c r="R22" s="400"/>
      <c r="S22" s="400"/>
    </row>
    <row r="23" spans="1:28" ht="18.75" customHeight="1">
      <c r="A23" s="457" t="s">
        <v>41</v>
      </c>
      <c r="B23" s="450">
        <f t="shared" si="5"/>
        <v>3</v>
      </c>
      <c r="C23" s="450">
        <f t="shared" si="5"/>
        <v>0</v>
      </c>
      <c r="D23" s="450">
        <f t="shared" si="0"/>
        <v>1</v>
      </c>
      <c r="E23" s="450">
        <f t="shared" si="0"/>
        <v>2</v>
      </c>
      <c r="F23" s="450"/>
      <c r="G23" s="451">
        <f t="shared" si="6"/>
        <v>3</v>
      </c>
      <c r="H23" s="450">
        <v>0</v>
      </c>
      <c r="I23" s="450">
        <v>1</v>
      </c>
      <c r="J23" s="450">
        <v>2</v>
      </c>
      <c r="K23" s="456"/>
      <c r="L23" s="451">
        <f t="shared" si="4"/>
        <v>0</v>
      </c>
      <c r="M23" s="450">
        <v>0</v>
      </c>
      <c r="N23" s="450">
        <v>0</v>
      </c>
      <c r="O23" s="450">
        <v>0</v>
      </c>
      <c r="P23" s="37" t="s">
        <v>42</v>
      </c>
      <c r="Q23" s="455"/>
      <c r="R23" s="400"/>
      <c r="S23" s="400"/>
      <c r="Z23" s="398">
        <v>3961</v>
      </c>
      <c r="AA23" s="398">
        <v>3811</v>
      </c>
      <c r="AB23" s="398">
        <v>150</v>
      </c>
    </row>
    <row r="24" spans="1:28" ht="18.75" customHeight="1">
      <c r="A24" s="457" t="s">
        <v>44</v>
      </c>
      <c r="B24" s="450">
        <f t="shared" si="5"/>
        <v>0</v>
      </c>
      <c r="C24" s="450">
        <f t="shared" si="5"/>
        <v>0</v>
      </c>
      <c r="D24" s="450">
        <f t="shared" si="0"/>
        <v>0</v>
      </c>
      <c r="E24" s="450">
        <f t="shared" si="0"/>
        <v>0</v>
      </c>
      <c r="F24" s="450"/>
      <c r="G24" s="451">
        <f t="shared" si="6"/>
        <v>0</v>
      </c>
      <c r="H24" s="450">
        <v>0</v>
      </c>
      <c r="I24" s="450">
        <v>0</v>
      </c>
      <c r="J24" s="450">
        <v>0</v>
      </c>
      <c r="K24" s="456"/>
      <c r="L24" s="451">
        <f t="shared" si="4"/>
        <v>0</v>
      </c>
      <c r="M24" s="450">
        <v>0</v>
      </c>
      <c r="N24" s="450">
        <v>0</v>
      </c>
      <c r="O24" s="450">
        <v>0</v>
      </c>
      <c r="P24" s="37" t="s">
        <v>45</v>
      </c>
      <c r="Q24" s="455"/>
      <c r="R24" s="400"/>
      <c r="S24" s="400"/>
    </row>
    <row r="25" spans="1:28" ht="18.75" customHeight="1">
      <c r="A25" s="457" t="s">
        <v>46</v>
      </c>
      <c r="B25" s="450">
        <f t="shared" si="5"/>
        <v>4</v>
      </c>
      <c r="C25" s="450">
        <f t="shared" si="5"/>
        <v>0</v>
      </c>
      <c r="D25" s="450">
        <f t="shared" si="5"/>
        <v>2</v>
      </c>
      <c r="E25" s="450">
        <f t="shared" si="5"/>
        <v>2</v>
      </c>
      <c r="F25" s="450"/>
      <c r="G25" s="451">
        <f t="shared" si="6"/>
        <v>2</v>
      </c>
      <c r="H25" s="450">
        <v>0</v>
      </c>
      <c r="I25" s="450">
        <v>1</v>
      </c>
      <c r="J25" s="450">
        <v>1</v>
      </c>
      <c r="K25" s="456"/>
      <c r="L25" s="451">
        <f t="shared" si="4"/>
        <v>2</v>
      </c>
      <c r="M25" s="450">
        <v>0</v>
      </c>
      <c r="N25" s="450">
        <v>1</v>
      </c>
      <c r="O25" s="450">
        <v>1</v>
      </c>
      <c r="P25" s="37" t="s">
        <v>47</v>
      </c>
      <c r="Q25" s="455"/>
      <c r="R25" s="400"/>
      <c r="S25" s="400"/>
      <c r="AA25" s="425">
        <f>AA23-AA13-AA14-AA15</f>
        <v>1044</v>
      </c>
      <c r="AB25" s="425">
        <f>AB23-AB13-AB14-AB15</f>
        <v>73</v>
      </c>
    </row>
    <row r="26" spans="1:28" ht="18.75" customHeight="1">
      <c r="A26" s="457" t="s">
        <v>36</v>
      </c>
      <c r="B26" s="450">
        <f t="shared" si="5"/>
        <v>0</v>
      </c>
      <c r="C26" s="450">
        <f t="shared" si="5"/>
        <v>0</v>
      </c>
      <c r="D26" s="450">
        <f t="shared" si="5"/>
        <v>0</v>
      </c>
      <c r="E26" s="450">
        <f t="shared" si="5"/>
        <v>0</v>
      </c>
      <c r="F26" s="450"/>
      <c r="G26" s="451">
        <f t="shared" si="6"/>
        <v>0</v>
      </c>
      <c r="H26" s="450">
        <v>0</v>
      </c>
      <c r="I26" s="450">
        <v>0</v>
      </c>
      <c r="J26" s="450">
        <v>0</v>
      </c>
      <c r="K26" s="456"/>
      <c r="L26" s="451">
        <f t="shared" si="4"/>
        <v>0</v>
      </c>
      <c r="M26" s="450">
        <v>0</v>
      </c>
      <c r="N26" s="450">
        <v>0</v>
      </c>
      <c r="O26" s="450">
        <v>0</v>
      </c>
      <c r="P26" s="37" t="s">
        <v>48</v>
      </c>
      <c r="Q26" s="455"/>
      <c r="R26" s="400"/>
      <c r="S26" s="400"/>
    </row>
    <row r="27" spans="1:28" ht="18.75" customHeight="1">
      <c r="A27" s="457" t="s">
        <v>34</v>
      </c>
      <c r="B27" s="450">
        <f t="shared" si="5"/>
        <v>13</v>
      </c>
      <c r="C27" s="450">
        <f t="shared" si="5"/>
        <v>0</v>
      </c>
      <c r="D27" s="450">
        <f t="shared" si="5"/>
        <v>6</v>
      </c>
      <c r="E27" s="450">
        <f t="shared" si="5"/>
        <v>7</v>
      </c>
      <c r="F27" s="450"/>
      <c r="G27" s="451">
        <f t="shared" si="6"/>
        <v>12</v>
      </c>
      <c r="H27" s="450">
        <v>0</v>
      </c>
      <c r="I27" s="450">
        <v>6</v>
      </c>
      <c r="J27" s="450">
        <v>6</v>
      </c>
      <c r="K27" s="456"/>
      <c r="L27" s="451">
        <f t="shared" si="4"/>
        <v>1</v>
      </c>
      <c r="M27" s="450">
        <v>0</v>
      </c>
      <c r="N27" s="450">
        <v>0</v>
      </c>
      <c r="O27" s="450">
        <v>1</v>
      </c>
      <c r="P27" s="37" t="s">
        <v>49</v>
      </c>
      <c r="Q27" s="455"/>
      <c r="R27" s="400"/>
      <c r="S27" s="400"/>
    </row>
    <row r="28" spans="1:28" ht="18.75" customHeight="1">
      <c r="A28" s="457" t="s">
        <v>43</v>
      </c>
      <c r="B28" s="450">
        <f t="shared" si="5"/>
        <v>37</v>
      </c>
      <c r="C28" s="450">
        <f t="shared" si="5"/>
        <v>0</v>
      </c>
      <c r="D28" s="450">
        <f t="shared" si="5"/>
        <v>31</v>
      </c>
      <c r="E28" s="450">
        <f t="shared" si="5"/>
        <v>6</v>
      </c>
      <c r="F28" s="450"/>
      <c r="G28" s="451">
        <f t="shared" si="6"/>
        <v>37</v>
      </c>
      <c r="H28" s="450">
        <v>0</v>
      </c>
      <c r="I28" s="450">
        <v>31</v>
      </c>
      <c r="J28" s="450">
        <v>6</v>
      </c>
      <c r="K28" s="456"/>
      <c r="L28" s="451">
        <f t="shared" si="4"/>
        <v>0</v>
      </c>
      <c r="M28" s="450">
        <v>0</v>
      </c>
      <c r="N28" s="450">
        <v>0</v>
      </c>
      <c r="O28" s="450">
        <v>0</v>
      </c>
      <c r="P28" s="37" t="s">
        <v>50</v>
      </c>
      <c r="Q28" s="455"/>
      <c r="R28" s="400"/>
      <c r="S28" s="400"/>
    </row>
    <row r="29" spans="1:28" ht="18.75" customHeight="1">
      <c r="A29" s="457" t="s">
        <v>51</v>
      </c>
      <c r="B29" s="450">
        <f t="shared" si="5"/>
        <v>15</v>
      </c>
      <c r="C29" s="450">
        <f t="shared" si="5"/>
        <v>0</v>
      </c>
      <c r="D29" s="450">
        <f t="shared" si="5"/>
        <v>14</v>
      </c>
      <c r="E29" s="450">
        <f t="shared" si="5"/>
        <v>1</v>
      </c>
      <c r="F29" s="450"/>
      <c r="G29" s="451">
        <f t="shared" si="6"/>
        <v>15</v>
      </c>
      <c r="H29" s="450">
        <v>0</v>
      </c>
      <c r="I29" s="450">
        <v>14</v>
      </c>
      <c r="J29" s="450">
        <v>1</v>
      </c>
      <c r="K29" s="456"/>
      <c r="L29" s="451">
        <f t="shared" si="4"/>
        <v>0</v>
      </c>
      <c r="M29" s="450">
        <v>0</v>
      </c>
      <c r="N29" s="450">
        <v>0</v>
      </c>
      <c r="O29" s="450">
        <v>0</v>
      </c>
      <c r="P29" s="37" t="s">
        <v>52</v>
      </c>
      <c r="Q29" s="455"/>
      <c r="R29" s="400"/>
      <c r="S29" s="400"/>
    </row>
    <row r="30" spans="1:28" ht="18.75" customHeight="1">
      <c r="A30" s="457" t="s">
        <v>53</v>
      </c>
      <c r="B30" s="450">
        <f t="shared" si="5"/>
        <v>1</v>
      </c>
      <c r="C30" s="450">
        <f t="shared" si="5"/>
        <v>0</v>
      </c>
      <c r="D30" s="450">
        <f t="shared" si="5"/>
        <v>1</v>
      </c>
      <c r="E30" s="450">
        <f t="shared" si="5"/>
        <v>0</v>
      </c>
      <c r="F30" s="450"/>
      <c r="G30" s="451">
        <f t="shared" si="6"/>
        <v>1</v>
      </c>
      <c r="H30" s="450">
        <v>0</v>
      </c>
      <c r="I30" s="450">
        <v>1</v>
      </c>
      <c r="J30" s="450">
        <v>0</v>
      </c>
      <c r="K30" s="456"/>
      <c r="L30" s="451">
        <f t="shared" si="4"/>
        <v>0</v>
      </c>
      <c r="M30" s="450">
        <v>0</v>
      </c>
      <c r="N30" s="450">
        <v>0</v>
      </c>
      <c r="O30" s="450">
        <v>0</v>
      </c>
      <c r="P30" s="37" t="s">
        <v>54</v>
      </c>
      <c r="Q30" s="455"/>
      <c r="R30" s="400"/>
      <c r="S30" s="400"/>
    </row>
    <row r="31" spans="1:28" ht="18.75" customHeight="1">
      <c r="A31" s="457" t="s">
        <v>24</v>
      </c>
      <c r="B31" s="450">
        <f t="shared" si="5"/>
        <v>61</v>
      </c>
      <c r="C31" s="450">
        <f t="shared" si="5"/>
        <v>4</v>
      </c>
      <c r="D31" s="450">
        <f t="shared" si="5"/>
        <v>43</v>
      </c>
      <c r="E31" s="450">
        <f t="shared" si="5"/>
        <v>14</v>
      </c>
      <c r="F31" s="450"/>
      <c r="G31" s="451">
        <f t="shared" si="6"/>
        <v>60</v>
      </c>
      <c r="H31" s="450">
        <v>4</v>
      </c>
      <c r="I31" s="450">
        <v>42</v>
      </c>
      <c r="J31" s="450">
        <v>14</v>
      </c>
      <c r="K31" s="456"/>
      <c r="L31" s="451">
        <f t="shared" si="4"/>
        <v>1</v>
      </c>
      <c r="M31" s="450">
        <v>0</v>
      </c>
      <c r="N31" s="450">
        <v>1</v>
      </c>
      <c r="O31" s="450">
        <v>0</v>
      </c>
      <c r="P31" s="37" t="s">
        <v>55</v>
      </c>
      <c r="Q31" s="455"/>
      <c r="R31" s="400"/>
      <c r="S31" s="400"/>
    </row>
    <row r="32" spans="1:28" ht="29.25" customHeight="1">
      <c r="A32" s="458" t="s">
        <v>56</v>
      </c>
      <c r="B32" s="450">
        <f t="shared" si="5"/>
        <v>31</v>
      </c>
      <c r="C32" s="450">
        <f t="shared" si="5"/>
        <v>5</v>
      </c>
      <c r="D32" s="450">
        <f t="shared" si="5"/>
        <v>25</v>
      </c>
      <c r="E32" s="450">
        <f t="shared" si="5"/>
        <v>1</v>
      </c>
      <c r="F32" s="450"/>
      <c r="G32" s="451">
        <f t="shared" si="6"/>
        <v>30</v>
      </c>
      <c r="H32" s="450">
        <v>5</v>
      </c>
      <c r="I32" s="450">
        <v>24</v>
      </c>
      <c r="J32" s="450">
        <v>1</v>
      </c>
      <c r="K32" s="456"/>
      <c r="L32" s="451">
        <f t="shared" si="4"/>
        <v>1</v>
      </c>
      <c r="M32" s="450">
        <v>0</v>
      </c>
      <c r="N32" s="450">
        <v>1</v>
      </c>
      <c r="O32" s="450">
        <v>0</v>
      </c>
      <c r="P32" s="37" t="s">
        <v>57</v>
      </c>
      <c r="Q32" s="455"/>
      <c r="R32" s="400"/>
      <c r="S32" s="400"/>
    </row>
    <row r="33" spans="1:19" ht="18.75" customHeight="1">
      <c r="A33" s="457" t="s">
        <v>58</v>
      </c>
      <c r="B33" s="450">
        <f t="shared" si="5"/>
        <v>12</v>
      </c>
      <c r="C33" s="450">
        <f t="shared" si="5"/>
        <v>0</v>
      </c>
      <c r="D33" s="450">
        <f t="shared" si="5"/>
        <v>12</v>
      </c>
      <c r="E33" s="450">
        <f t="shared" si="5"/>
        <v>0</v>
      </c>
      <c r="F33" s="450"/>
      <c r="G33" s="451">
        <f t="shared" si="6"/>
        <v>12</v>
      </c>
      <c r="H33" s="450">
        <v>0</v>
      </c>
      <c r="I33" s="450">
        <v>12</v>
      </c>
      <c r="J33" s="450">
        <v>0</v>
      </c>
      <c r="K33" s="456"/>
      <c r="L33" s="451">
        <f t="shared" si="4"/>
        <v>0</v>
      </c>
      <c r="M33" s="450">
        <v>0</v>
      </c>
      <c r="N33" s="450">
        <v>0</v>
      </c>
      <c r="O33" s="450">
        <v>0</v>
      </c>
      <c r="P33" s="37" t="s">
        <v>59</v>
      </c>
      <c r="Q33" s="455"/>
      <c r="R33" s="400"/>
      <c r="S33" s="400"/>
    </row>
    <row r="34" spans="1:19" ht="18.75" customHeight="1">
      <c r="A34" s="459" t="s">
        <v>15</v>
      </c>
      <c r="B34" s="460">
        <f t="shared" si="5"/>
        <v>194</v>
      </c>
      <c r="C34" s="460">
        <f t="shared" si="5"/>
        <v>9</v>
      </c>
      <c r="D34" s="460">
        <f t="shared" si="5"/>
        <v>128</v>
      </c>
      <c r="E34" s="460">
        <f t="shared" si="5"/>
        <v>57</v>
      </c>
      <c r="F34" s="460"/>
      <c r="G34" s="461">
        <f t="shared" si="6"/>
        <v>186</v>
      </c>
      <c r="H34" s="460">
        <v>9</v>
      </c>
      <c r="I34" s="460">
        <v>125</v>
      </c>
      <c r="J34" s="460">
        <v>52</v>
      </c>
      <c r="K34" s="464"/>
      <c r="L34" s="461">
        <f t="shared" si="4"/>
        <v>8</v>
      </c>
      <c r="M34" s="460">
        <v>0</v>
      </c>
      <c r="N34" s="460">
        <v>3</v>
      </c>
      <c r="O34" s="460">
        <v>5</v>
      </c>
      <c r="P34" s="53" t="s">
        <v>37</v>
      </c>
      <c r="Q34" s="455"/>
      <c r="R34" s="400"/>
      <c r="S34" s="400"/>
    </row>
    <row r="35" spans="1:19" ht="18.75" customHeight="1">
      <c r="A35" s="462" t="s">
        <v>302</v>
      </c>
      <c r="B35" s="450"/>
      <c r="C35" s="450"/>
      <c r="D35" s="450"/>
      <c r="E35" s="450"/>
      <c r="F35" s="450"/>
      <c r="G35" s="450"/>
      <c r="N35" s="420"/>
      <c r="O35" s="420"/>
      <c r="P35" s="420" t="s">
        <v>303</v>
      </c>
      <c r="Q35" s="455"/>
      <c r="R35" s="400"/>
      <c r="S35" s="400"/>
    </row>
    <row r="36" spans="1:19" ht="18.75" customHeight="1">
      <c r="A36" s="419" t="s">
        <v>60</v>
      </c>
      <c r="C36" s="425"/>
      <c r="N36" s="463"/>
      <c r="O36" s="463"/>
      <c r="P36" s="420" t="s">
        <v>178</v>
      </c>
      <c r="Q36" s="455"/>
      <c r="R36" s="400"/>
      <c r="S36" s="400"/>
    </row>
    <row r="37" spans="1:19" ht="18.75" customHeight="1">
      <c r="N37" s="463"/>
      <c r="O37" s="463"/>
      <c r="P37" s="463"/>
      <c r="Q37" s="455"/>
      <c r="R37" s="400"/>
      <c r="S37" s="400"/>
    </row>
    <row r="38" spans="1:19" ht="18.75" customHeight="1">
      <c r="A38" s="419"/>
      <c r="N38" s="463"/>
      <c r="O38" s="463"/>
      <c r="P38" s="463"/>
      <c r="Q38" s="455"/>
      <c r="R38" s="400"/>
      <c r="S38" s="400"/>
    </row>
    <row r="39" spans="1:19" ht="18.75" customHeight="1">
      <c r="A39" s="419"/>
      <c r="N39" s="463"/>
      <c r="O39" s="463"/>
      <c r="P39" s="463"/>
      <c r="Q39" s="455"/>
      <c r="R39" s="400"/>
      <c r="S39" s="400"/>
    </row>
    <row r="40" spans="1:19" ht="18.75" customHeight="1">
      <c r="A40" s="419"/>
      <c r="N40" s="463"/>
      <c r="O40" s="463"/>
      <c r="P40" s="463"/>
      <c r="Q40" s="455"/>
      <c r="R40" s="400"/>
      <c r="S40" s="400"/>
    </row>
    <row r="41" spans="1:19" ht="18.75" customHeight="1">
      <c r="Q41" s="455"/>
      <c r="R41" s="400"/>
      <c r="S41" s="400"/>
    </row>
    <row r="42" spans="1:19" ht="18.75" customHeight="1">
      <c r="A42" s="419"/>
      <c r="N42" s="463"/>
      <c r="O42" s="463"/>
      <c r="P42" s="463"/>
      <c r="Q42" s="455"/>
      <c r="R42" s="400"/>
      <c r="S42" s="400"/>
    </row>
    <row r="43" spans="1:19" ht="18.75" customHeight="1">
      <c r="A43" s="419"/>
      <c r="N43" s="463"/>
      <c r="O43" s="463"/>
      <c r="P43" s="463"/>
      <c r="Q43" s="455"/>
      <c r="R43" s="400"/>
      <c r="S43" s="400"/>
    </row>
    <row r="44" spans="1:19" ht="18.75" customHeight="1">
      <c r="A44" s="419"/>
      <c r="N44" s="463"/>
      <c r="O44" s="463"/>
      <c r="P44" s="463"/>
      <c r="Q44" s="455"/>
      <c r="R44" s="400"/>
      <c r="S44" s="400"/>
    </row>
    <row r="45" spans="1:19" ht="18.75" customHeight="1">
      <c r="A45" s="419"/>
      <c r="N45" s="463"/>
      <c r="O45" s="463"/>
      <c r="P45" s="463"/>
      <c r="Q45" s="455"/>
      <c r="R45" s="400"/>
      <c r="S45" s="400"/>
    </row>
    <row r="46" spans="1:19" ht="18.75" customHeight="1">
      <c r="Q46" s="455"/>
      <c r="R46" s="400"/>
      <c r="S46" s="400"/>
    </row>
    <row r="47" spans="1:19" ht="18.75">
      <c r="Q47" s="455"/>
      <c r="R47" s="400"/>
      <c r="S47" s="400"/>
    </row>
    <row r="48" spans="1:19" ht="9" customHeight="1"/>
    <row r="49" spans="17:28" ht="4.5" customHeight="1">
      <c r="Q49" s="455"/>
    </row>
    <row r="50" spans="17:28" ht="18.75" hidden="1">
      <c r="Q50" s="455"/>
    </row>
    <row r="51" spans="17:28" ht="9" customHeight="1"/>
    <row r="52" spans="17:28" ht="18.75">
      <c r="Q52" s="455"/>
      <c r="Z52" s="427"/>
      <c r="AA52" s="252"/>
      <c r="AB52" s="252"/>
    </row>
    <row r="53" spans="17:28" ht="18.75">
      <c r="Q53" s="455"/>
      <c r="Z53" s="427"/>
      <c r="AA53" s="252"/>
      <c r="AB53" s="252"/>
    </row>
  </sheetData>
  <mergeCells count="10">
    <mergeCell ref="A2:P2"/>
    <mergeCell ref="A3:P3"/>
    <mergeCell ref="A5:A8"/>
    <mergeCell ref="B5:E5"/>
    <mergeCell ref="G5:J5"/>
    <mergeCell ref="L5:O5"/>
    <mergeCell ref="P5:P8"/>
    <mergeCell ref="B6:E6"/>
    <mergeCell ref="G6:J6"/>
    <mergeCell ref="L6:O6"/>
  </mergeCells>
  <pageMargins left="0.7" right="0.7" top="0.75" bottom="0.75" header="0.3" footer="0.3"/>
  <ignoredErrors>
    <ignoredError sqref="M9 H9:J9" formulaRange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H382"/>
  <sheetViews>
    <sheetView workbookViewId="0">
      <selection activeCell="A2" sqref="A2:AC2"/>
    </sheetView>
  </sheetViews>
  <sheetFormatPr defaultColWidth="21" defaultRowHeight="15"/>
  <cols>
    <col min="1" max="1" width="45" style="1" customWidth="1"/>
    <col min="2" max="2" width="11.5703125" style="500" hidden="1" customWidth="1"/>
    <col min="3" max="3" width="13.28515625" style="500" hidden="1" customWidth="1"/>
    <col min="4" max="4" width="14" style="500" hidden="1" customWidth="1"/>
    <col min="5" max="19" width="10" style="500" hidden="1" customWidth="1"/>
    <col min="20" max="28" width="10" style="500" customWidth="1"/>
    <col min="29" max="29" width="34.28515625" style="1" customWidth="1"/>
    <col min="30" max="30" width="2.42578125" style="45" customWidth="1"/>
    <col min="31" max="78" width="21" style="45"/>
    <col min="79" max="79" width="21" style="516"/>
    <col min="80" max="138" width="21" style="169"/>
    <col min="139" max="16384" width="21" style="1"/>
  </cols>
  <sheetData>
    <row r="1" spans="1:138" ht="21.75">
      <c r="A1" s="1200" t="s">
        <v>313</v>
      </c>
      <c r="B1" s="1201"/>
      <c r="C1" s="1201"/>
      <c r="D1" s="1201"/>
      <c r="E1" s="1201"/>
      <c r="F1" s="1201"/>
      <c r="G1" s="1201"/>
      <c r="H1" s="1201"/>
      <c r="I1" s="1201"/>
      <c r="J1" s="1201"/>
      <c r="K1" s="1201"/>
      <c r="L1" s="1201"/>
      <c r="M1" s="1201"/>
      <c r="N1" s="1201"/>
      <c r="O1" s="1201"/>
      <c r="P1" s="1201"/>
      <c r="Q1" s="1201"/>
      <c r="R1" s="1201"/>
      <c r="S1" s="1201"/>
      <c r="T1" s="1201"/>
      <c r="U1" s="1201"/>
      <c r="V1" s="1201"/>
      <c r="W1" s="1201"/>
      <c r="X1" s="1201"/>
      <c r="Y1" s="1201"/>
      <c r="Z1" s="1201"/>
      <c r="AA1" s="1201"/>
      <c r="AB1" s="1201"/>
      <c r="AC1" s="120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</row>
    <row r="2" spans="1:138">
      <c r="A2" s="1202" t="s">
        <v>312</v>
      </c>
      <c r="B2" s="1203"/>
      <c r="C2" s="1203"/>
      <c r="D2" s="1204"/>
      <c r="E2" s="1204"/>
      <c r="F2" s="1204"/>
      <c r="G2" s="1204"/>
      <c r="H2" s="1204"/>
      <c r="I2" s="1204"/>
      <c r="J2" s="1204"/>
      <c r="K2" s="1204"/>
      <c r="L2" s="1204"/>
      <c r="M2" s="1204"/>
      <c r="N2" s="1204"/>
      <c r="O2" s="1204"/>
      <c r="P2" s="1204"/>
      <c r="Q2" s="1204"/>
      <c r="R2" s="1204"/>
      <c r="S2" s="1204"/>
      <c r="T2" s="1204"/>
      <c r="U2" s="1204"/>
      <c r="V2" s="1204"/>
      <c r="W2" s="1204"/>
      <c r="X2" s="1204"/>
      <c r="Y2" s="1204"/>
      <c r="Z2" s="1204"/>
      <c r="AA2" s="1204"/>
      <c r="AB2" s="1204"/>
      <c r="AC2" s="1204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</row>
    <row r="3" spans="1:138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475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</row>
    <row r="4" spans="1:138" ht="18.75">
      <c r="A4" s="1205" t="s">
        <v>305</v>
      </c>
      <c r="B4" s="476" t="s">
        <v>141</v>
      </c>
      <c r="C4" s="476" t="s">
        <v>306</v>
      </c>
      <c r="D4" s="477" t="s">
        <v>307</v>
      </c>
      <c r="E4" s="476" t="s">
        <v>141</v>
      </c>
      <c r="F4" s="476" t="s">
        <v>306</v>
      </c>
      <c r="G4" s="477" t="s">
        <v>307</v>
      </c>
      <c r="H4" s="478" t="s">
        <v>141</v>
      </c>
      <c r="I4" s="476" t="s">
        <v>306</v>
      </c>
      <c r="J4" s="477" t="s">
        <v>307</v>
      </c>
      <c r="K4" s="476" t="s">
        <v>141</v>
      </c>
      <c r="L4" s="476" t="s">
        <v>306</v>
      </c>
      <c r="M4" s="476" t="s">
        <v>307</v>
      </c>
      <c r="N4" s="478" t="s">
        <v>141</v>
      </c>
      <c r="O4" s="476" t="s">
        <v>306</v>
      </c>
      <c r="P4" s="477" t="s">
        <v>307</v>
      </c>
      <c r="Q4" s="476" t="s">
        <v>141</v>
      </c>
      <c r="R4" s="476" t="s">
        <v>306</v>
      </c>
      <c r="S4" s="476" t="s">
        <v>307</v>
      </c>
      <c r="T4" s="478" t="s">
        <v>141</v>
      </c>
      <c r="U4" s="476" t="s">
        <v>306</v>
      </c>
      <c r="V4" s="477" t="s">
        <v>307</v>
      </c>
      <c r="W4" s="476" t="s">
        <v>141</v>
      </c>
      <c r="X4" s="476" t="s">
        <v>306</v>
      </c>
      <c r="Y4" s="476" t="s">
        <v>307</v>
      </c>
      <c r="Z4" s="478" t="s">
        <v>141</v>
      </c>
      <c r="AA4" s="476" t="s">
        <v>306</v>
      </c>
      <c r="AB4" s="476" t="s">
        <v>307</v>
      </c>
      <c r="AC4" s="1208" t="s">
        <v>270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</row>
    <row r="5" spans="1:138" ht="15" customHeight="1">
      <c r="A5" s="1206"/>
      <c r="B5" s="479" t="s">
        <v>308</v>
      </c>
      <c r="C5" s="479" t="s">
        <v>309</v>
      </c>
      <c r="D5" s="480" t="s">
        <v>310</v>
      </c>
      <c r="E5" s="479" t="s">
        <v>308</v>
      </c>
      <c r="F5" s="479" t="s">
        <v>309</v>
      </c>
      <c r="G5" s="480" t="s">
        <v>310</v>
      </c>
      <c r="H5" s="481" t="s">
        <v>308</v>
      </c>
      <c r="I5" s="479" t="s">
        <v>309</v>
      </c>
      <c r="J5" s="480" t="s">
        <v>310</v>
      </c>
      <c r="K5" s="479" t="s">
        <v>308</v>
      </c>
      <c r="L5" s="479" t="s">
        <v>309</v>
      </c>
      <c r="M5" s="479" t="s">
        <v>310</v>
      </c>
      <c r="N5" s="481" t="s">
        <v>8</v>
      </c>
      <c r="O5" s="479" t="s">
        <v>311</v>
      </c>
      <c r="P5" s="480" t="s">
        <v>310</v>
      </c>
      <c r="Q5" s="479" t="s">
        <v>8</v>
      </c>
      <c r="R5" s="479" t="s">
        <v>311</v>
      </c>
      <c r="S5" s="479" t="s">
        <v>310</v>
      </c>
      <c r="T5" s="481" t="s">
        <v>8</v>
      </c>
      <c r="U5" s="479" t="s">
        <v>311</v>
      </c>
      <c r="V5" s="480" t="s">
        <v>310</v>
      </c>
      <c r="W5" s="479" t="s">
        <v>8</v>
      </c>
      <c r="X5" s="479" t="s">
        <v>311</v>
      </c>
      <c r="Y5" s="479" t="s">
        <v>310</v>
      </c>
      <c r="Z5" s="481" t="s">
        <v>8</v>
      </c>
      <c r="AA5" s="479" t="s">
        <v>311</v>
      </c>
      <c r="AB5" s="479" t="s">
        <v>310</v>
      </c>
      <c r="AC5" s="1209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</row>
    <row r="6" spans="1:138" ht="17.25" customHeight="1">
      <c r="A6" s="1207"/>
      <c r="B6" s="1198">
        <v>2010</v>
      </c>
      <c r="C6" s="1198"/>
      <c r="D6" s="1199"/>
      <c r="E6" s="1198">
        <v>2011</v>
      </c>
      <c r="F6" s="1198"/>
      <c r="G6" s="1199"/>
      <c r="H6" s="1197">
        <v>2012</v>
      </c>
      <c r="I6" s="1198"/>
      <c r="J6" s="1199"/>
      <c r="K6" s="1198">
        <v>2013</v>
      </c>
      <c r="L6" s="1198"/>
      <c r="M6" s="1198"/>
      <c r="N6" s="1197">
        <v>2014</v>
      </c>
      <c r="O6" s="1198"/>
      <c r="P6" s="1199"/>
      <c r="Q6" s="1198">
        <v>2015</v>
      </c>
      <c r="R6" s="1198"/>
      <c r="S6" s="1198"/>
      <c r="T6" s="1197">
        <v>2016</v>
      </c>
      <c r="U6" s="1198"/>
      <c r="V6" s="1199"/>
      <c r="W6" s="1198">
        <v>2017</v>
      </c>
      <c r="X6" s="1198"/>
      <c r="Y6" s="1198"/>
      <c r="Z6" s="1197">
        <v>2018</v>
      </c>
      <c r="AA6" s="1198"/>
      <c r="AB6" s="1198"/>
      <c r="AC6" s="1210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</row>
    <row r="7" spans="1:138" ht="18.75">
      <c r="A7" s="482" t="s">
        <v>8</v>
      </c>
      <c r="B7" s="483">
        <v>4141</v>
      </c>
      <c r="C7" s="483">
        <v>3533</v>
      </c>
      <c r="D7" s="484">
        <f>SUM(D8:D19)</f>
        <v>608</v>
      </c>
      <c r="E7" s="485">
        <f>SUM(E8:E19)</f>
        <v>5279</v>
      </c>
      <c r="F7" s="485">
        <f>SUM(F8:F19)</f>
        <v>4554</v>
      </c>
      <c r="G7" s="486">
        <f>SUM(G8:G19)</f>
        <v>725</v>
      </c>
      <c r="H7" s="487">
        <f>I7+J7</f>
        <v>6339</v>
      </c>
      <c r="I7" s="485">
        <f>SUM(I8:I19)</f>
        <v>5734</v>
      </c>
      <c r="J7" s="486">
        <f>SUM(J8:J19)</f>
        <v>605</v>
      </c>
      <c r="K7" s="488">
        <f>L7+M7</f>
        <v>6981</v>
      </c>
      <c r="L7" s="488">
        <f>SUM(L8:L19)</f>
        <v>6422</v>
      </c>
      <c r="M7" s="489">
        <f>SUM(M8:M19)</f>
        <v>559</v>
      </c>
      <c r="N7" s="487">
        <f>O7+P7</f>
        <v>6986</v>
      </c>
      <c r="O7" s="485">
        <f>SUM(O8:O19)</f>
        <v>6558</v>
      </c>
      <c r="P7" s="490">
        <f>SUM(P8:P19)</f>
        <v>428</v>
      </c>
      <c r="Q7" s="485">
        <f>R7+S7</f>
        <v>5831</v>
      </c>
      <c r="R7" s="485">
        <f>SUM(R8:R19)</f>
        <v>5450</v>
      </c>
      <c r="S7" s="489">
        <f>SUM(S8:S19)</f>
        <v>381</v>
      </c>
      <c r="T7" s="487">
        <f>U7+V7</f>
        <v>5511</v>
      </c>
      <c r="U7" s="485">
        <f>SUM(U8:U19)</f>
        <v>4914</v>
      </c>
      <c r="V7" s="490">
        <f>SUM(V8:V19)</f>
        <v>597</v>
      </c>
      <c r="W7" s="485">
        <f>X7+Y7</f>
        <v>3961</v>
      </c>
      <c r="X7" s="485">
        <f>SUM(X8:X19)</f>
        <v>3481</v>
      </c>
      <c r="Y7" s="489">
        <f>SUM(Y8:Y19)</f>
        <v>480</v>
      </c>
      <c r="Z7" s="487">
        <f>AA7+AB7</f>
        <v>2878</v>
      </c>
      <c r="AA7" s="485">
        <f>SUM(AA8:AA19)</f>
        <v>2604</v>
      </c>
      <c r="AB7" s="489">
        <f>SUM(AB8:AB19)</f>
        <v>274</v>
      </c>
      <c r="AC7" s="491" t="s">
        <v>141</v>
      </c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</row>
    <row r="8" spans="1:138" ht="18.75">
      <c r="A8" s="492" t="s">
        <v>14</v>
      </c>
      <c r="B8" s="493">
        <v>945</v>
      </c>
      <c r="C8" s="493">
        <v>857</v>
      </c>
      <c r="D8" s="494">
        <v>88</v>
      </c>
      <c r="E8" s="495">
        <v>967</v>
      </c>
      <c r="F8" s="495">
        <v>884</v>
      </c>
      <c r="G8" s="496">
        <v>83</v>
      </c>
      <c r="H8" s="497">
        <f>I8+J8</f>
        <v>677</v>
      </c>
      <c r="I8" s="495">
        <v>624</v>
      </c>
      <c r="J8" s="496">
        <v>53</v>
      </c>
      <c r="K8" s="498">
        <f>L8+M8</f>
        <v>668</v>
      </c>
      <c r="L8" s="495">
        <v>620</v>
      </c>
      <c r="M8" s="498">
        <v>48</v>
      </c>
      <c r="N8" s="497">
        <f>O8+P8</f>
        <v>566</v>
      </c>
      <c r="O8" s="495">
        <v>524</v>
      </c>
      <c r="P8" s="499">
        <v>42</v>
      </c>
      <c r="Q8" s="498">
        <f>R8+S8</f>
        <v>576</v>
      </c>
      <c r="R8" s="495">
        <v>537</v>
      </c>
      <c r="S8" s="495">
        <v>39</v>
      </c>
      <c r="T8" s="497">
        <f>U8+V8</f>
        <v>487</v>
      </c>
      <c r="U8" s="495">
        <v>435</v>
      </c>
      <c r="V8" s="499">
        <v>52</v>
      </c>
      <c r="W8" s="498">
        <f>X8+Y8</f>
        <v>505</v>
      </c>
      <c r="X8" s="495">
        <v>433</v>
      </c>
      <c r="Y8" s="498">
        <v>72</v>
      </c>
      <c r="Z8" s="497">
        <f t="shared" ref="Z8:Z19" si="0">AA8+AB8</f>
        <v>411</v>
      </c>
      <c r="AA8" s="498">
        <v>375</v>
      </c>
      <c r="AB8" s="498">
        <v>36</v>
      </c>
      <c r="AC8" s="414" t="s">
        <v>20</v>
      </c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</row>
    <row r="9" spans="1:138" ht="18.75">
      <c r="A9" s="492" t="s">
        <v>7</v>
      </c>
      <c r="B9" s="493">
        <v>774</v>
      </c>
      <c r="C9" s="493">
        <v>663</v>
      </c>
      <c r="D9" s="494">
        <v>111</v>
      </c>
      <c r="E9" s="495">
        <v>1149</v>
      </c>
      <c r="F9" s="495">
        <v>1034</v>
      </c>
      <c r="G9" s="496">
        <v>115</v>
      </c>
      <c r="H9" s="497">
        <f t="shared" ref="H9:H19" si="1">I9+J9</f>
        <v>1474</v>
      </c>
      <c r="I9" s="495">
        <v>1379</v>
      </c>
      <c r="J9" s="496">
        <v>95</v>
      </c>
      <c r="K9" s="498">
        <f t="shared" ref="K9:K19" si="2">L9+M9</f>
        <v>1613</v>
      </c>
      <c r="L9" s="495">
        <v>1523</v>
      </c>
      <c r="M9" s="498">
        <v>90</v>
      </c>
      <c r="N9" s="517">
        <f t="shared" ref="N9:N19" si="3">O9+P9</f>
        <v>1608</v>
      </c>
      <c r="O9" s="495">
        <v>1516</v>
      </c>
      <c r="P9" s="499">
        <v>92</v>
      </c>
      <c r="Q9" s="498">
        <f t="shared" ref="Q9:Q19" si="4">R9+S9</f>
        <v>1194</v>
      </c>
      <c r="R9" s="495">
        <v>1128</v>
      </c>
      <c r="S9" s="495">
        <v>66</v>
      </c>
      <c r="T9" s="497">
        <f t="shared" ref="T9:T19" si="5">U9+V9</f>
        <v>958</v>
      </c>
      <c r="U9" s="495">
        <v>869</v>
      </c>
      <c r="V9" s="499">
        <v>89</v>
      </c>
      <c r="W9" s="498">
        <f t="shared" ref="W9:W19" si="6">X9+Y9</f>
        <v>772</v>
      </c>
      <c r="X9" s="495">
        <v>718</v>
      </c>
      <c r="Y9" s="498">
        <v>54</v>
      </c>
      <c r="Z9" s="497">
        <f t="shared" si="0"/>
        <v>707</v>
      </c>
      <c r="AA9" s="498">
        <v>668</v>
      </c>
      <c r="AB9" s="498">
        <v>39</v>
      </c>
      <c r="AC9" s="414" t="s">
        <v>11</v>
      </c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</row>
    <row r="10" spans="1:138" ht="18.75">
      <c r="A10" s="492" t="s">
        <v>19</v>
      </c>
      <c r="B10" s="493">
        <v>199</v>
      </c>
      <c r="C10" s="493">
        <v>186</v>
      </c>
      <c r="D10" s="494">
        <v>13</v>
      </c>
      <c r="E10" s="495">
        <v>292</v>
      </c>
      <c r="F10" s="495">
        <v>263</v>
      </c>
      <c r="G10" s="496">
        <v>29</v>
      </c>
      <c r="H10" s="497">
        <f t="shared" si="1"/>
        <v>277</v>
      </c>
      <c r="I10" s="495">
        <v>272</v>
      </c>
      <c r="J10" s="496">
        <v>5</v>
      </c>
      <c r="K10" s="498">
        <f t="shared" si="2"/>
        <v>268</v>
      </c>
      <c r="L10" s="495">
        <v>258</v>
      </c>
      <c r="M10" s="498">
        <v>10</v>
      </c>
      <c r="N10" s="497">
        <f t="shared" si="3"/>
        <v>243</v>
      </c>
      <c r="O10" s="495">
        <v>240</v>
      </c>
      <c r="P10" s="499">
        <v>3</v>
      </c>
      <c r="Q10" s="498">
        <f t="shared" si="4"/>
        <v>143</v>
      </c>
      <c r="R10" s="495">
        <v>141</v>
      </c>
      <c r="S10" s="495">
        <v>2</v>
      </c>
      <c r="T10" s="497">
        <f t="shared" si="5"/>
        <v>165</v>
      </c>
      <c r="U10" s="495">
        <v>161</v>
      </c>
      <c r="V10" s="499">
        <v>4</v>
      </c>
      <c r="W10" s="498">
        <f t="shared" si="6"/>
        <v>167</v>
      </c>
      <c r="X10" s="495">
        <v>162</v>
      </c>
      <c r="Y10" s="498">
        <v>5</v>
      </c>
      <c r="Z10" s="497">
        <f t="shared" si="0"/>
        <v>98</v>
      </c>
      <c r="AA10" s="498">
        <v>96</v>
      </c>
      <c r="AB10" s="498">
        <v>2</v>
      </c>
      <c r="AC10" s="414" t="s">
        <v>25</v>
      </c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</row>
    <row r="11" spans="1:138" ht="18.75">
      <c r="A11" s="492" t="s">
        <v>12</v>
      </c>
      <c r="B11" s="493">
        <v>1160</v>
      </c>
      <c r="C11" s="493">
        <v>1104</v>
      </c>
      <c r="D11" s="494">
        <v>56</v>
      </c>
      <c r="E11" s="495">
        <v>1453</v>
      </c>
      <c r="F11" s="495">
        <v>1394</v>
      </c>
      <c r="G11" s="496">
        <v>59</v>
      </c>
      <c r="H11" s="497">
        <f t="shared" si="1"/>
        <v>2073</v>
      </c>
      <c r="I11" s="495">
        <v>1969</v>
      </c>
      <c r="J11" s="496">
        <v>104</v>
      </c>
      <c r="K11" s="498">
        <f t="shared" si="2"/>
        <v>2906</v>
      </c>
      <c r="L11" s="495">
        <v>2799</v>
      </c>
      <c r="M11" s="498">
        <v>107</v>
      </c>
      <c r="N11" s="517">
        <f t="shared" si="3"/>
        <v>3315</v>
      </c>
      <c r="O11" s="495">
        <v>3208</v>
      </c>
      <c r="P11" s="499">
        <v>107</v>
      </c>
      <c r="Q11" s="498">
        <f t="shared" si="4"/>
        <v>2352</v>
      </c>
      <c r="R11" s="495">
        <v>2265</v>
      </c>
      <c r="S11" s="495">
        <v>87</v>
      </c>
      <c r="T11" s="497">
        <f t="shared" si="5"/>
        <v>2732</v>
      </c>
      <c r="U11" s="495">
        <v>2579</v>
      </c>
      <c r="V11" s="499">
        <v>153</v>
      </c>
      <c r="W11" s="498">
        <f t="shared" si="6"/>
        <v>1690</v>
      </c>
      <c r="X11" s="495">
        <v>1547</v>
      </c>
      <c r="Y11" s="498">
        <v>143</v>
      </c>
      <c r="Z11" s="497">
        <f t="shared" si="0"/>
        <v>1043</v>
      </c>
      <c r="AA11" s="498">
        <v>940</v>
      </c>
      <c r="AB11" s="498">
        <v>103</v>
      </c>
      <c r="AC11" s="414" t="s">
        <v>16</v>
      </c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</row>
    <row r="12" spans="1:138" ht="18.75">
      <c r="A12" s="492" t="s">
        <v>23</v>
      </c>
      <c r="B12" s="493">
        <v>299</v>
      </c>
      <c r="C12" s="493">
        <v>221</v>
      </c>
      <c r="D12" s="494">
        <v>78</v>
      </c>
      <c r="E12" s="495">
        <v>447</v>
      </c>
      <c r="F12" s="495">
        <v>328</v>
      </c>
      <c r="G12" s="496">
        <v>119</v>
      </c>
      <c r="H12" s="497">
        <f t="shared" si="1"/>
        <v>423</v>
      </c>
      <c r="I12" s="495">
        <v>290</v>
      </c>
      <c r="J12" s="496">
        <v>133</v>
      </c>
      <c r="K12" s="498">
        <f t="shared" si="2"/>
        <v>404</v>
      </c>
      <c r="L12" s="495">
        <v>302</v>
      </c>
      <c r="M12" s="498">
        <v>102</v>
      </c>
      <c r="N12" s="517">
        <f t="shared" si="3"/>
        <v>318</v>
      </c>
      <c r="O12" s="495">
        <v>243</v>
      </c>
      <c r="P12" s="499">
        <v>75</v>
      </c>
      <c r="Q12" s="498">
        <f t="shared" si="4"/>
        <v>326</v>
      </c>
      <c r="R12" s="495">
        <v>259</v>
      </c>
      <c r="S12" s="495">
        <v>67</v>
      </c>
      <c r="T12" s="497">
        <f t="shared" si="5"/>
        <v>309</v>
      </c>
      <c r="U12" s="495">
        <v>205</v>
      </c>
      <c r="V12" s="499">
        <v>104</v>
      </c>
      <c r="W12" s="498">
        <f t="shared" si="6"/>
        <v>190</v>
      </c>
      <c r="X12" s="495">
        <v>129</v>
      </c>
      <c r="Y12" s="498">
        <v>61</v>
      </c>
      <c r="Z12" s="497">
        <f t="shared" si="0"/>
        <v>137</v>
      </c>
      <c r="AA12" s="498">
        <v>92</v>
      </c>
      <c r="AB12" s="498">
        <v>45</v>
      </c>
      <c r="AC12" s="414" t="s">
        <v>280</v>
      </c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</row>
    <row r="13" spans="1:138" ht="18.75">
      <c r="A13" s="492" t="s">
        <v>26</v>
      </c>
      <c r="B13" s="493">
        <v>9</v>
      </c>
      <c r="C13" s="493">
        <v>9</v>
      </c>
      <c r="D13" s="496">
        <v>0</v>
      </c>
      <c r="E13" s="495">
        <v>9</v>
      </c>
      <c r="F13" s="495">
        <v>8</v>
      </c>
      <c r="G13" s="496">
        <v>1</v>
      </c>
      <c r="H13" s="497">
        <f t="shared" si="1"/>
        <v>12</v>
      </c>
      <c r="I13" s="495">
        <v>12</v>
      </c>
      <c r="J13" s="496">
        <v>0</v>
      </c>
      <c r="K13" s="498">
        <f t="shared" si="2"/>
        <v>6</v>
      </c>
      <c r="L13" s="495">
        <v>6</v>
      </c>
      <c r="M13" s="498">
        <v>0</v>
      </c>
      <c r="N13" s="497">
        <v>11</v>
      </c>
      <c r="O13" s="495">
        <v>11</v>
      </c>
      <c r="P13" s="499">
        <v>0</v>
      </c>
      <c r="Q13" s="498">
        <v>8</v>
      </c>
      <c r="R13" s="495">
        <v>8</v>
      </c>
      <c r="S13" s="495">
        <v>0</v>
      </c>
      <c r="T13" s="497">
        <f t="shared" si="5"/>
        <v>14</v>
      </c>
      <c r="U13" s="495">
        <v>13</v>
      </c>
      <c r="V13" s="499">
        <v>1</v>
      </c>
      <c r="W13" s="498">
        <f t="shared" si="6"/>
        <v>3</v>
      </c>
      <c r="X13" s="495">
        <v>2</v>
      </c>
      <c r="Y13" s="498">
        <v>1</v>
      </c>
      <c r="Z13" s="497">
        <f t="shared" si="0"/>
        <v>3</v>
      </c>
      <c r="AA13" s="498">
        <v>3</v>
      </c>
      <c r="AB13" s="498">
        <v>0</v>
      </c>
      <c r="AC13" s="414" t="s">
        <v>13</v>
      </c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</row>
    <row r="14" spans="1:138" ht="18.75">
      <c r="A14" s="492" t="s">
        <v>30</v>
      </c>
      <c r="B14" s="493">
        <v>11</v>
      </c>
      <c r="C14" s="493">
        <v>11</v>
      </c>
      <c r="D14" s="496">
        <v>0</v>
      </c>
      <c r="E14" s="495">
        <v>34</v>
      </c>
      <c r="F14" s="495">
        <v>30</v>
      </c>
      <c r="G14" s="496">
        <v>4</v>
      </c>
      <c r="H14" s="497">
        <f t="shared" si="1"/>
        <v>36</v>
      </c>
      <c r="I14" s="495">
        <v>35</v>
      </c>
      <c r="J14" s="496">
        <v>1</v>
      </c>
      <c r="K14" s="498">
        <f t="shared" si="2"/>
        <v>33</v>
      </c>
      <c r="L14" s="495">
        <v>33</v>
      </c>
      <c r="M14" s="498">
        <v>0</v>
      </c>
      <c r="N14" s="497">
        <f t="shared" si="3"/>
        <v>38</v>
      </c>
      <c r="O14" s="495">
        <v>37</v>
      </c>
      <c r="P14" s="499">
        <v>1</v>
      </c>
      <c r="Q14" s="498">
        <f t="shared" si="4"/>
        <v>57</v>
      </c>
      <c r="R14" s="495">
        <v>54</v>
      </c>
      <c r="S14" s="495">
        <v>3</v>
      </c>
      <c r="T14" s="497">
        <f t="shared" si="5"/>
        <v>42</v>
      </c>
      <c r="U14" s="495">
        <v>39</v>
      </c>
      <c r="V14" s="499">
        <v>3</v>
      </c>
      <c r="W14" s="498">
        <f t="shared" si="6"/>
        <v>23</v>
      </c>
      <c r="X14" s="495">
        <v>21</v>
      </c>
      <c r="Y14" s="498">
        <v>2</v>
      </c>
      <c r="Z14" s="497">
        <f t="shared" si="0"/>
        <v>12</v>
      </c>
      <c r="AA14" s="498">
        <v>11</v>
      </c>
      <c r="AB14" s="498">
        <v>1</v>
      </c>
      <c r="AC14" s="414" t="s">
        <v>33</v>
      </c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</row>
    <row r="15" spans="1:138" ht="18.75">
      <c r="A15" s="492" t="s">
        <v>32</v>
      </c>
      <c r="B15" s="493">
        <v>31</v>
      </c>
      <c r="C15" s="493">
        <v>19</v>
      </c>
      <c r="D15" s="494">
        <v>12</v>
      </c>
      <c r="E15" s="495">
        <v>52</v>
      </c>
      <c r="F15" s="495">
        <v>25</v>
      </c>
      <c r="G15" s="496">
        <v>27</v>
      </c>
      <c r="H15" s="497">
        <f t="shared" si="1"/>
        <v>24</v>
      </c>
      <c r="I15" s="495">
        <v>16</v>
      </c>
      <c r="J15" s="496">
        <v>8</v>
      </c>
      <c r="K15" s="498">
        <f t="shared" si="2"/>
        <v>30</v>
      </c>
      <c r="L15" s="495">
        <v>23</v>
      </c>
      <c r="M15" s="498">
        <v>7</v>
      </c>
      <c r="N15" s="497">
        <f t="shared" si="3"/>
        <v>10</v>
      </c>
      <c r="O15" s="495">
        <v>9</v>
      </c>
      <c r="P15" s="499">
        <v>1</v>
      </c>
      <c r="Q15" s="498">
        <f t="shared" si="4"/>
        <v>12</v>
      </c>
      <c r="R15" s="495">
        <v>8</v>
      </c>
      <c r="S15" s="495">
        <v>4</v>
      </c>
      <c r="T15" s="497">
        <f t="shared" si="5"/>
        <v>24</v>
      </c>
      <c r="U15" s="495">
        <v>16</v>
      </c>
      <c r="V15" s="499">
        <v>8</v>
      </c>
      <c r="W15" s="498">
        <f t="shared" si="6"/>
        <v>7</v>
      </c>
      <c r="X15" s="495">
        <v>2</v>
      </c>
      <c r="Y15" s="498">
        <v>5</v>
      </c>
      <c r="Z15" s="497">
        <f t="shared" si="0"/>
        <v>1</v>
      </c>
      <c r="AA15" s="498">
        <v>1</v>
      </c>
      <c r="AB15" s="498">
        <v>0</v>
      </c>
      <c r="AC15" s="414" t="s">
        <v>143</v>
      </c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</row>
    <row r="16" spans="1:138" ht="18.75">
      <c r="A16" s="492" t="s">
        <v>21</v>
      </c>
      <c r="B16" s="493">
        <v>79</v>
      </c>
      <c r="C16" s="493">
        <v>78</v>
      </c>
      <c r="D16" s="494">
        <v>1</v>
      </c>
      <c r="E16" s="495">
        <v>106</v>
      </c>
      <c r="F16" s="495">
        <v>104</v>
      </c>
      <c r="G16" s="496">
        <v>2</v>
      </c>
      <c r="H16" s="497">
        <f t="shared" si="1"/>
        <v>149</v>
      </c>
      <c r="I16" s="495">
        <v>135</v>
      </c>
      <c r="J16" s="496">
        <v>14</v>
      </c>
      <c r="K16" s="498">
        <f t="shared" si="2"/>
        <v>122</v>
      </c>
      <c r="L16" s="495">
        <v>121</v>
      </c>
      <c r="M16" s="498">
        <v>1</v>
      </c>
      <c r="N16" s="517">
        <f t="shared" si="3"/>
        <v>146</v>
      </c>
      <c r="O16" s="495">
        <v>144</v>
      </c>
      <c r="P16" s="499">
        <v>2</v>
      </c>
      <c r="Q16" s="498">
        <f t="shared" si="4"/>
        <v>127</v>
      </c>
      <c r="R16" s="495">
        <v>124</v>
      </c>
      <c r="S16" s="495">
        <v>3</v>
      </c>
      <c r="T16" s="497">
        <f t="shared" si="5"/>
        <v>73</v>
      </c>
      <c r="U16" s="495">
        <v>71</v>
      </c>
      <c r="V16" s="499">
        <v>2</v>
      </c>
      <c r="W16" s="498">
        <f t="shared" si="6"/>
        <v>73</v>
      </c>
      <c r="X16" s="495">
        <v>68</v>
      </c>
      <c r="Y16" s="498">
        <v>5</v>
      </c>
      <c r="Z16" s="497">
        <f t="shared" si="0"/>
        <v>62</v>
      </c>
      <c r="AA16" s="498">
        <v>62</v>
      </c>
      <c r="AB16" s="498">
        <v>0</v>
      </c>
      <c r="AC16" s="414" t="s">
        <v>22</v>
      </c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</row>
    <row r="17" spans="1:138" ht="18.75">
      <c r="A17" s="492" t="s">
        <v>27</v>
      </c>
      <c r="B17" s="493">
        <v>52</v>
      </c>
      <c r="C17" s="493">
        <v>29</v>
      </c>
      <c r="D17" s="494">
        <v>23</v>
      </c>
      <c r="E17" s="495">
        <v>60</v>
      </c>
      <c r="F17" s="495">
        <v>39</v>
      </c>
      <c r="G17" s="496">
        <v>21</v>
      </c>
      <c r="H17" s="497">
        <f t="shared" si="1"/>
        <v>40</v>
      </c>
      <c r="I17" s="495">
        <v>29</v>
      </c>
      <c r="J17" s="496">
        <v>11</v>
      </c>
      <c r="K17" s="498">
        <f t="shared" si="2"/>
        <v>59</v>
      </c>
      <c r="L17" s="495">
        <v>51</v>
      </c>
      <c r="M17" s="498">
        <v>8</v>
      </c>
      <c r="N17" s="497">
        <f t="shared" si="3"/>
        <v>80</v>
      </c>
      <c r="O17" s="495">
        <v>60</v>
      </c>
      <c r="P17" s="499">
        <v>20</v>
      </c>
      <c r="Q17" s="498">
        <f t="shared" si="4"/>
        <v>64</v>
      </c>
      <c r="R17" s="495">
        <v>45</v>
      </c>
      <c r="S17" s="495">
        <v>19</v>
      </c>
      <c r="T17" s="497">
        <f t="shared" si="5"/>
        <v>75</v>
      </c>
      <c r="U17" s="495">
        <v>54</v>
      </c>
      <c r="V17" s="499">
        <v>21</v>
      </c>
      <c r="W17" s="498">
        <f t="shared" si="6"/>
        <v>29</v>
      </c>
      <c r="X17" s="495">
        <v>17</v>
      </c>
      <c r="Y17" s="498">
        <v>12</v>
      </c>
      <c r="Z17" s="497">
        <f t="shared" si="0"/>
        <v>19</v>
      </c>
      <c r="AA17" s="498">
        <v>14</v>
      </c>
      <c r="AB17" s="498">
        <v>5</v>
      </c>
      <c r="AC17" s="414" t="s">
        <v>31</v>
      </c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</row>
    <row r="18" spans="1:138" ht="18.75">
      <c r="A18" s="492" t="s">
        <v>40</v>
      </c>
      <c r="B18" s="493">
        <v>12</v>
      </c>
      <c r="C18" s="493">
        <v>10</v>
      </c>
      <c r="D18" s="494">
        <v>2</v>
      </c>
      <c r="E18" s="495">
        <v>7</v>
      </c>
      <c r="F18" s="495">
        <v>5</v>
      </c>
      <c r="G18" s="496">
        <v>2</v>
      </c>
      <c r="H18" s="497">
        <f t="shared" si="1"/>
        <v>7</v>
      </c>
      <c r="I18" s="495">
        <v>4</v>
      </c>
      <c r="J18" s="496">
        <v>3</v>
      </c>
      <c r="K18" s="498">
        <f t="shared" si="2"/>
        <v>3</v>
      </c>
      <c r="L18" s="495">
        <v>3</v>
      </c>
      <c r="M18" s="498">
        <v>0</v>
      </c>
      <c r="N18" s="517">
        <f t="shared" si="3"/>
        <v>0</v>
      </c>
      <c r="O18" s="495">
        <v>0</v>
      </c>
      <c r="P18" s="499">
        <v>0</v>
      </c>
      <c r="Q18" s="498">
        <f t="shared" si="4"/>
        <v>0</v>
      </c>
      <c r="R18" s="495">
        <v>0</v>
      </c>
      <c r="S18" s="495">
        <v>0</v>
      </c>
      <c r="T18" s="497">
        <f t="shared" si="5"/>
        <v>0</v>
      </c>
      <c r="U18" s="495">
        <v>0</v>
      </c>
      <c r="V18" s="499">
        <v>0</v>
      </c>
      <c r="W18" s="498">
        <f t="shared" si="6"/>
        <v>0</v>
      </c>
      <c r="X18" s="495">
        <v>0</v>
      </c>
      <c r="Y18" s="498">
        <v>0</v>
      </c>
      <c r="Z18" s="497">
        <f t="shared" si="0"/>
        <v>0</v>
      </c>
      <c r="AA18" s="498">
        <v>0</v>
      </c>
      <c r="AB18" s="498">
        <v>0</v>
      </c>
      <c r="AC18" s="414" t="s">
        <v>18</v>
      </c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</row>
    <row r="19" spans="1:138" ht="18.75">
      <c r="A19" s="492" t="s">
        <v>15</v>
      </c>
      <c r="B19" s="493">
        <v>570</v>
      </c>
      <c r="C19" s="493">
        <v>346</v>
      </c>
      <c r="D19" s="363">
        <v>224</v>
      </c>
      <c r="E19" s="495">
        <v>703</v>
      </c>
      <c r="F19" s="495">
        <v>440</v>
      </c>
      <c r="G19" s="498">
        <v>263</v>
      </c>
      <c r="H19" s="498">
        <f t="shared" si="1"/>
        <v>1147</v>
      </c>
      <c r="I19" s="495">
        <v>969</v>
      </c>
      <c r="J19" s="498">
        <v>178</v>
      </c>
      <c r="K19" s="498">
        <f t="shared" si="2"/>
        <v>869</v>
      </c>
      <c r="L19" s="495">
        <v>683</v>
      </c>
      <c r="M19" s="498">
        <v>186</v>
      </c>
      <c r="N19" s="517">
        <f t="shared" si="3"/>
        <v>651</v>
      </c>
      <c r="O19" s="495">
        <v>566</v>
      </c>
      <c r="P19" s="499">
        <v>85</v>
      </c>
      <c r="Q19" s="498">
        <f t="shared" si="4"/>
        <v>972</v>
      </c>
      <c r="R19" s="495">
        <v>881</v>
      </c>
      <c r="S19" s="495">
        <v>91</v>
      </c>
      <c r="T19" s="497">
        <f t="shared" si="5"/>
        <v>632</v>
      </c>
      <c r="U19" s="495">
        <v>472</v>
      </c>
      <c r="V19" s="499">
        <v>160</v>
      </c>
      <c r="W19" s="498">
        <f t="shared" si="6"/>
        <v>502</v>
      </c>
      <c r="X19" s="495">
        <v>382</v>
      </c>
      <c r="Y19" s="498">
        <v>120</v>
      </c>
      <c r="Z19" s="497">
        <f t="shared" si="0"/>
        <v>385</v>
      </c>
      <c r="AA19" s="495">
        <v>342</v>
      </c>
      <c r="AB19" s="495">
        <v>43</v>
      </c>
      <c r="AC19" s="414" t="s">
        <v>37</v>
      </c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</row>
    <row r="20" spans="1:138" ht="18" customHeight="1">
      <c r="A20" s="457" t="s">
        <v>38</v>
      </c>
      <c r="N20" s="497">
        <f>P20+O20</f>
        <v>13</v>
      </c>
      <c r="O20" s="495">
        <v>13</v>
      </c>
      <c r="P20" s="499">
        <v>0</v>
      </c>
      <c r="Q20" s="498">
        <f>S20+R20</f>
        <v>23</v>
      </c>
      <c r="R20" s="495">
        <v>21</v>
      </c>
      <c r="S20" s="495">
        <v>2</v>
      </c>
      <c r="T20" s="497">
        <f>V20+U20</f>
        <v>16</v>
      </c>
      <c r="U20" s="495">
        <v>16</v>
      </c>
      <c r="V20" s="499">
        <v>0</v>
      </c>
      <c r="W20" s="498">
        <f>Y20+X20</f>
        <v>11</v>
      </c>
      <c r="X20" s="495">
        <v>11</v>
      </c>
      <c r="Y20" s="498">
        <v>0</v>
      </c>
      <c r="Z20" s="497">
        <f>AB20+AA20</f>
        <v>7</v>
      </c>
      <c r="AA20" s="498">
        <v>7</v>
      </c>
      <c r="AB20" s="498">
        <v>0</v>
      </c>
      <c r="AC20" s="37" t="s">
        <v>39</v>
      </c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</row>
    <row r="21" spans="1:138" ht="18" customHeight="1">
      <c r="A21" s="457" t="s">
        <v>41</v>
      </c>
      <c r="N21" s="497">
        <f t="shared" ref="N21:N32" si="7">P21+O21</f>
        <v>13</v>
      </c>
      <c r="O21" s="495">
        <v>13</v>
      </c>
      <c r="P21" s="499">
        <v>0</v>
      </c>
      <c r="Q21" s="498">
        <f t="shared" ref="Q21:Q32" si="8">S21+R21</f>
        <v>17</v>
      </c>
      <c r="R21" s="495">
        <v>15</v>
      </c>
      <c r="S21" s="495">
        <v>2</v>
      </c>
      <c r="T21" s="497">
        <f t="shared" ref="T21:T32" si="9">V21+U21</f>
        <v>12</v>
      </c>
      <c r="U21" s="495">
        <v>12</v>
      </c>
      <c r="V21" s="499">
        <v>0</v>
      </c>
      <c r="W21" s="498">
        <f t="shared" ref="W21:W32" si="10">Y21+X21</f>
        <v>15</v>
      </c>
      <c r="X21" s="495">
        <v>11</v>
      </c>
      <c r="Y21" s="498">
        <v>4</v>
      </c>
      <c r="Z21" s="497">
        <f t="shared" ref="Z21:Z32" si="11">AB21+AA21</f>
        <v>3</v>
      </c>
      <c r="AA21" s="498">
        <v>2</v>
      </c>
      <c r="AB21" s="498">
        <v>1</v>
      </c>
      <c r="AC21" s="37" t="s">
        <v>42</v>
      </c>
      <c r="CA21" s="501"/>
      <c r="CB21" s="502"/>
      <c r="CC21" s="502"/>
      <c r="CD21" s="502"/>
      <c r="CE21" s="502"/>
      <c r="CF21" s="502"/>
      <c r="CG21" s="502"/>
      <c r="CH21" s="502"/>
      <c r="CI21" s="502"/>
      <c r="CJ21" s="502"/>
      <c r="CK21" s="502"/>
      <c r="CL21" s="502"/>
      <c r="CM21" s="502"/>
      <c r="CN21" s="502"/>
      <c r="CO21" s="502"/>
      <c r="CP21" s="502"/>
      <c r="CQ21" s="502"/>
      <c r="CR21" s="502"/>
      <c r="CS21" s="502"/>
      <c r="CT21" s="502"/>
      <c r="CU21" s="502"/>
      <c r="CV21" s="502"/>
      <c r="CW21" s="502"/>
      <c r="CX21" s="502"/>
      <c r="CY21" s="502"/>
      <c r="CZ21" s="502"/>
      <c r="DA21" s="502"/>
      <c r="DB21" s="502"/>
      <c r="DC21" s="502"/>
      <c r="DD21" s="502"/>
      <c r="DE21" s="502"/>
      <c r="DF21" s="502"/>
      <c r="DG21" s="502"/>
      <c r="DH21" s="502"/>
      <c r="DI21" s="502"/>
      <c r="DJ21" s="502"/>
      <c r="DK21" s="502"/>
      <c r="DL21" s="502"/>
      <c r="DM21" s="502"/>
      <c r="DN21" s="502"/>
      <c r="DO21" s="502"/>
      <c r="DP21" s="502"/>
      <c r="DQ21" s="502"/>
      <c r="DR21" s="502"/>
      <c r="DS21" s="502"/>
      <c r="DT21" s="502"/>
      <c r="DU21" s="502"/>
      <c r="DV21" s="502"/>
      <c r="DW21" s="502"/>
      <c r="DX21" s="502"/>
      <c r="DY21" s="502"/>
      <c r="DZ21" s="502"/>
      <c r="EA21" s="502"/>
      <c r="EB21" s="502"/>
      <c r="EC21" s="502"/>
      <c r="ED21" s="502"/>
      <c r="EE21" s="502"/>
      <c r="EF21" s="502"/>
      <c r="EG21" s="502"/>
      <c r="EH21" s="502"/>
    </row>
    <row r="22" spans="1:138" s="503" customFormat="1" ht="18" customHeight="1">
      <c r="A22" s="457" t="s">
        <v>44</v>
      </c>
      <c r="H22" s="504"/>
      <c r="I22" s="505"/>
      <c r="N22" s="497">
        <f t="shared" si="7"/>
        <v>0</v>
      </c>
      <c r="O22" s="495">
        <v>0</v>
      </c>
      <c r="P22" s="499">
        <v>0</v>
      </c>
      <c r="Q22" s="498">
        <f t="shared" si="8"/>
        <v>0</v>
      </c>
      <c r="R22" s="495">
        <v>0</v>
      </c>
      <c r="S22" s="495">
        <v>0</v>
      </c>
      <c r="T22" s="497">
        <f t="shared" si="9"/>
        <v>6</v>
      </c>
      <c r="U22" s="495">
        <v>6</v>
      </c>
      <c r="V22" s="499">
        <v>0</v>
      </c>
      <c r="W22" s="498">
        <f t="shared" si="10"/>
        <v>0</v>
      </c>
      <c r="X22" s="495">
        <v>0</v>
      </c>
      <c r="Y22" s="498">
        <v>0</v>
      </c>
      <c r="Z22" s="497">
        <f t="shared" si="11"/>
        <v>0</v>
      </c>
      <c r="AA22" s="498">
        <v>0</v>
      </c>
      <c r="AB22" s="498">
        <v>0</v>
      </c>
      <c r="AC22" s="37" t="s">
        <v>45</v>
      </c>
    </row>
    <row r="23" spans="1:138" s="45" customFormat="1" ht="18" customHeight="1">
      <c r="A23" s="457" t="s">
        <v>46</v>
      </c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497">
        <f t="shared" si="7"/>
        <v>1</v>
      </c>
      <c r="O23" s="495">
        <v>1</v>
      </c>
      <c r="P23" s="499">
        <v>0</v>
      </c>
      <c r="Q23" s="498">
        <f t="shared" si="8"/>
        <v>7</v>
      </c>
      <c r="R23" s="495">
        <v>7</v>
      </c>
      <c r="S23" s="495">
        <v>0</v>
      </c>
      <c r="T23" s="497">
        <f t="shared" si="9"/>
        <v>1</v>
      </c>
      <c r="U23" s="495">
        <v>1</v>
      </c>
      <c r="V23" s="499">
        <v>0</v>
      </c>
      <c r="W23" s="498">
        <f t="shared" si="10"/>
        <v>3</v>
      </c>
      <c r="X23" s="495">
        <v>3</v>
      </c>
      <c r="Y23" s="498">
        <v>0</v>
      </c>
      <c r="Z23" s="497">
        <f t="shared" si="11"/>
        <v>4</v>
      </c>
      <c r="AA23" s="498">
        <v>4</v>
      </c>
      <c r="AB23" s="498">
        <v>0</v>
      </c>
      <c r="AC23" s="37" t="s">
        <v>47</v>
      </c>
    </row>
    <row r="24" spans="1:138" s="45" customFormat="1" ht="18" customHeight="1">
      <c r="A24" s="457" t="s">
        <v>36</v>
      </c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497">
        <f t="shared" si="7"/>
        <v>1</v>
      </c>
      <c r="O24" s="495">
        <v>1</v>
      </c>
      <c r="P24" s="499">
        <v>0</v>
      </c>
      <c r="Q24" s="498">
        <f t="shared" si="8"/>
        <v>3</v>
      </c>
      <c r="R24" s="495">
        <v>2</v>
      </c>
      <c r="S24" s="495">
        <v>1</v>
      </c>
      <c r="T24" s="497">
        <f t="shared" si="9"/>
        <v>4</v>
      </c>
      <c r="U24" s="495">
        <v>3</v>
      </c>
      <c r="V24" s="499">
        <v>1</v>
      </c>
      <c r="W24" s="498">
        <f t="shared" si="10"/>
        <v>3</v>
      </c>
      <c r="X24" s="495">
        <v>0</v>
      </c>
      <c r="Y24" s="498">
        <v>3</v>
      </c>
      <c r="Z24" s="497">
        <f t="shared" si="11"/>
        <v>0</v>
      </c>
      <c r="AA24" s="498">
        <v>0</v>
      </c>
      <c r="AB24" s="498">
        <v>0</v>
      </c>
      <c r="AC24" s="37" t="s">
        <v>48</v>
      </c>
    </row>
    <row r="25" spans="1:138" s="45" customFormat="1" ht="18" customHeight="1">
      <c r="A25" s="457" t="s">
        <v>34</v>
      </c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497">
        <f t="shared" si="7"/>
        <v>5</v>
      </c>
      <c r="O25" s="495">
        <v>4</v>
      </c>
      <c r="P25" s="499">
        <v>1</v>
      </c>
      <c r="Q25" s="498">
        <f t="shared" si="8"/>
        <v>21</v>
      </c>
      <c r="R25" s="495">
        <v>20</v>
      </c>
      <c r="S25" s="495">
        <v>1</v>
      </c>
      <c r="T25" s="497">
        <f t="shared" si="9"/>
        <v>19</v>
      </c>
      <c r="U25" s="495">
        <v>15</v>
      </c>
      <c r="V25" s="499">
        <v>4</v>
      </c>
      <c r="W25" s="498">
        <f t="shared" si="10"/>
        <v>9</v>
      </c>
      <c r="X25" s="495">
        <v>8</v>
      </c>
      <c r="Y25" s="498">
        <v>1</v>
      </c>
      <c r="Z25" s="497">
        <f t="shared" si="11"/>
        <v>13</v>
      </c>
      <c r="AA25" s="498">
        <v>10</v>
      </c>
      <c r="AB25" s="498">
        <v>3</v>
      </c>
      <c r="AC25" s="37" t="s">
        <v>49</v>
      </c>
    </row>
    <row r="26" spans="1:138" s="45" customFormat="1" ht="18" customHeight="1">
      <c r="A26" s="457" t="s">
        <v>43</v>
      </c>
      <c r="B26" s="506"/>
      <c r="C26" s="506"/>
      <c r="D26" s="506"/>
      <c r="E26" s="506"/>
      <c r="F26" s="506"/>
      <c r="G26" s="506"/>
      <c r="H26" s="506"/>
      <c r="I26" s="506"/>
      <c r="J26" s="506"/>
      <c r="K26" s="506"/>
      <c r="L26" s="506"/>
      <c r="M26" s="506"/>
      <c r="N26" s="497">
        <f t="shared" si="7"/>
        <v>73</v>
      </c>
      <c r="O26" s="495">
        <v>71</v>
      </c>
      <c r="P26" s="499">
        <v>2</v>
      </c>
      <c r="Q26" s="498">
        <f t="shared" si="8"/>
        <v>123</v>
      </c>
      <c r="R26" s="495">
        <v>120</v>
      </c>
      <c r="S26" s="495">
        <v>3</v>
      </c>
      <c r="T26" s="497">
        <f t="shared" si="9"/>
        <v>95</v>
      </c>
      <c r="U26" s="495">
        <v>87</v>
      </c>
      <c r="V26" s="499">
        <v>8</v>
      </c>
      <c r="W26" s="498">
        <f t="shared" si="10"/>
        <v>54</v>
      </c>
      <c r="X26" s="495">
        <v>52</v>
      </c>
      <c r="Y26" s="498">
        <v>2</v>
      </c>
      <c r="Z26" s="497">
        <f t="shared" si="11"/>
        <v>39</v>
      </c>
      <c r="AA26" s="498">
        <v>36</v>
      </c>
      <c r="AB26" s="498">
        <v>3</v>
      </c>
      <c r="AC26" s="37" t="s">
        <v>50</v>
      </c>
    </row>
    <row r="27" spans="1:138" s="45" customFormat="1" ht="18" customHeight="1">
      <c r="A27" s="457" t="s">
        <v>51</v>
      </c>
      <c r="B27" s="506"/>
      <c r="C27" s="506"/>
      <c r="D27" s="506"/>
      <c r="E27" s="506"/>
      <c r="F27" s="506"/>
      <c r="G27" s="506"/>
      <c r="H27" s="506"/>
      <c r="I27" s="506"/>
      <c r="J27" s="506"/>
      <c r="K27" s="506"/>
      <c r="L27" s="506"/>
      <c r="M27" s="506"/>
      <c r="N27" s="497">
        <f t="shared" si="7"/>
        <v>33</v>
      </c>
      <c r="O27" s="495">
        <v>28</v>
      </c>
      <c r="P27" s="499">
        <v>5</v>
      </c>
      <c r="Q27" s="498">
        <f t="shared" si="8"/>
        <v>30</v>
      </c>
      <c r="R27" s="495">
        <v>26</v>
      </c>
      <c r="S27" s="495">
        <v>4</v>
      </c>
      <c r="T27" s="497">
        <f t="shared" si="9"/>
        <v>13</v>
      </c>
      <c r="U27" s="495">
        <v>9</v>
      </c>
      <c r="V27" s="499">
        <v>4</v>
      </c>
      <c r="W27" s="498">
        <f t="shared" si="10"/>
        <v>7</v>
      </c>
      <c r="X27" s="495">
        <v>7</v>
      </c>
      <c r="Y27" s="498">
        <v>0</v>
      </c>
      <c r="Z27" s="497">
        <f t="shared" si="11"/>
        <v>15</v>
      </c>
      <c r="AA27" s="498">
        <v>9</v>
      </c>
      <c r="AB27" s="498">
        <v>6</v>
      </c>
      <c r="AC27" s="37" t="s">
        <v>52</v>
      </c>
    </row>
    <row r="28" spans="1:138" s="45" customFormat="1" ht="18" customHeight="1">
      <c r="A28" s="457" t="s">
        <v>53</v>
      </c>
      <c r="B28" s="506"/>
      <c r="C28" s="506"/>
      <c r="D28" s="506"/>
      <c r="E28" s="506"/>
      <c r="F28" s="506"/>
      <c r="G28" s="506"/>
      <c r="H28" s="506"/>
      <c r="I28" s="506"/>
      <c r="J28" s="506"/>
      <c r="K28" s="506"/>
      <c r="L28" s="506"/>
      <c r="M28" s="506"/>
      <c r="N28" s="497">
        <f t="shared" si="7"/>
        <v>17</v>
      </c>
      <c r="O28" s="495">
        <v>17</v>
      </c>
      <c r="P28" s="499">
        <v>0</v>
      </c>
      <c r="Q28" s="498">
        <f t="shared" si="8"/>
        <v>4</v>
      </c>
      <c r="R28" s="495">
        <v>4</v>
      </c>
      <c r="S28" s="495">
        <v>0</v>
      </c>
      <c r="T28" s="497">
        <f t="shared" si="9"/>
        <v>13</v>
      </c>
      <c r="U28" s="495">
        <v>9</v>
      </c>
      <c r="V28" s="499">
        <v>4</v>
      </c>
      <c r="W28" s="498">
        <f t="shared" si="10"/>
        <v>5</v>
      </c>
      <c r="X28" s="495">
        <v>5</v>
      </c>
      <c r="Y28" s="498">
        <v>0</v>
      </c>
      <c r="Z28" s="497">
        <f t="shared" si="11"/>
        <v>1</v>
      </c>
      <c r="AA28" s="498">
        <v>1</v>
      </c>
      <c r="AB28" s="498">
        <v>0</v>
      </c>
      <c r="AC28" s="37" t="s">
        <v>54</v>
      </c>
    </row>
    <row r="29" spans="1:138" s="45" customFormat="1" ht="18" customHeight="1">
      <c r="A29" s="457" t="s">
        <v>24</v>
      </c>
      <c r="B29" s="506"/>
      <c r="C29" s="506"/>
      <c r="D29" s="506"/>
      <c r="E29" s="506"/>
      <c r="F29" s="506"/>
      <c r="G29" s="506"/>
      <c r="H29" s="506"/>
      <c r="I29" s="506"/>
      <c r="J29" s="506"/>
      <c r="K29" s="506"/>
      <c r="L29" s="506"/>
      <c r="M29" s="506"/>
      <c r="N29" s="497">
        <f t="shared" si="7"/>
        <v>154</v>
      </c>
      <c r="O29" s="495">
        <v>150</v>
      </c>
      <c r="P29" s="499">
        <v>4</v>
      </c>
      <c r="Q29" s="498">
        <f t="shared" si="8"/>
        <v>132</v>
      </c>
      <c r="R29" s="495">
        <v>131</v>
      </c>
      <c r="S29" s="495">
        <v>1</v>
      </c>
      <c r="T29" s="497">
        <f t="shared" si="9"/>
        <v>108</v>
      </c>
      <c r="U29" s="495">
        <v>104</v>
      </c>
      <c r="V29" s="499">
        <v>4</v>
      </c>
      <c r="W29" s="498">
        <f t="shared" si="10"/>
        <v>65</v>
      </c>
      <c r="X29" s="495">
        <v>63</v>
      </c>
      <c r="Y29" s="498">
        <v>2</v>
      </c>
      <c r="Z29" s="497">
        <f t="shared" si="11"/>
        <v>61</v>
      </c>
      <c r="AA29" s="498">
        <v>58</v>
      </c>
      <c r="AB29" s="498">
        <v>3</v>
      </c>
      <c r="AC29" s="37" t="s">
        <v>55</v>
      </c>
    </row>
    <row r="30" spans="1:138" s="45" customFormat="1" ht="30" customHeight="1">
      <c r="A30" s="458" t="s">
        <v>56</v>
      </c>
      <c r="B30" s="506"/>
      <c r="C30" s="506"/>
      <c r="D30" s="506"/>
      <c r="E30" s="506"/>
      <c r="F30" s="506"/>
      <c r="G30" s="506"/>
      <c r="H30" s="506"/>
      <c r="I30" s="506"/>
      <c r="J30" s="506"/>
      <c r="K30" s="506"/>
      <c r="L30" s="506"/>
      <c r="M30" s="506"/>
      <c r="N30" s="497">
        <f t="shared" si="7"/>
        <v>62</v>
      </c>
      <c r="O30" s="495">
        <v>61</v>
      </c>
      <c r="P30" s="499">
        <v>1</v>
      </c>
      <c r="Q30" s="498">
        <f t="shared" si="8"/>
        <v>53</v>
      </c>
      <c r="R30" s="495">
        <v>53</v>
      </c>
      <c r="S30" s="495">
        <v>0</v>
      </c>
      <c r="T30" s="497">
        <f t="shared" si="9"/>
        <v>34</v>
      </c>
      <c r="U30" s="495">
        <v>33</v>
      </c>
      <c r="V30" s="499">
        <v>1</v>
      </c>
      <c r="W30" s="498">
        <f t="shared" si="10"/>
        <v>38</v>
      </c>
      <c r="X30" s="495">
        <v>38</v>
      </c>
      <c r="Y30" s="498">
        <v>0</v>
      </c>
      <c r="Z30" s="497">
        <f t="shared" si="11"/>
        <v>31</v>
      </c>
      <c r="AA30" s="498">
        <v>31</v>
      </c>
      <c r="AB30" s="498">
        <v>0</v>
      </c>
      <c r="AC30" s="37" t="s">
        <v>57</v>
      </c>
    </row>
    <row r="31" spans="1:138" s="45" customFormat="1" ht="18" customHeight="1">
      <c r="A31" s="457" t="s">
        <v>58</v>
      </c>
      <c r="B31" s="506"/>
      <c r="C31" s="506"/>
      <c r="D31" s="506"/>
      <c r="E31" s="506"/>
      <c r="F31" s="506"/>
      <c r="G31" s="506"/>
      <c r="H31" s="506"/>
      <c r="I31" s="506"/>
      <c r="J31" s="506"/>
      <c r="K31" s="506"/>
      <c r="L31" s="506"/>
      <c r="M31" s="506"/>
      <c r="N31" s="497">
        <f t="shared" si="7"/>
        <v>33</v>
      </c>
      <c r="O31" s="495">
        <v>31</v>
      </c>
      <c r="P31" s="499">
        <v>2</v>
      </c>
      <c r="Q31" s="498">
        <f t="shared" si="8"/>
        <v>21</v>
      </c>
      <c r="R31" s="495">
        <v>19</v>
      </c>
      <c r="S31" s="495">
        <v>2</v>
      </c>
      <c r="T31" s="497">
        <f t="shared" si="9"/>
        <v>11</v>
      </c>
      <c r="U31" s="495">
        <v>11</v>
      </c>
      <c r="V31" s="499">
        <v>0</v>
      </c>
      <c r="W31" s="498">
        <f t="shared" si="10"/>
        <v>9</v>
      </c>
      <c r="X31" s="495">
        <v>9</v>
      </c>
      <c r="Y31" s="498">
        <v>0</v>
      </c>
      <c r="Z31" s="497">
        <f t="shared" si="11"/>
        <v>12</v>
      </c>
      <c r="AA31" s="498">
        <v>12</v>
      </c>
      <c r="AB31" s="498">
        <v>0</v>
      </c>
      <c r="AC31" s="37" t="s">
        <v>59</v>
      </c>
    </row>
    <row r="32" spans="1:138" s="45" customFormat="1" ht="18" customHeight="1">
      <c r="A32" s="459" t="s">
        <v>15</v>
      </c>
      <c r="B32" s="507"/>
      <c r="C32" s="507"/>
      <c r="D32" s="507"/>
      <c r="E32" s="507"/>
      <c r="F32" s="507"/>
      <c r="G32" s="507"/>
      <c r="H32" s="507"/>
      <c r="I32" s="507"/>
      <c r="J32" s="507"/>
      <c r="K32" s="507"/>
      <c r="L32" s="507"/>
      <c r="M32" s="507"/>
      <c r="N32" s="508">
        <f t="shared" si="7"/>
        <v>246</v>
      </c>
      <c r="O32" s="509">
        <v>176</v>
      </c>
      <c r="P32" s="510">
        <v>70</v>
      </c>
      <c r="Q32" s="511">
        <f t="shared" si="8"/>
        <v>538</v>
      </c>
      <c r="R32" s="509">
        <v>463</v>
      </c>
      <c r="S32" s="509">
        <v>75</v>
      </c>
      <c r="T32" s="508">
        <f t="shared" si="9"/>
        <v>300</v>
      </c>
      <c r="U32" s="509">
        <v>166</v>
      </c>
      <c r="V32" s="510">
        <v>134</v>
      </c>
      <c r="W32" s="511">
        <f t="shared" si="10"/>
        <v>283</v>
      </c>
      <c r="X32" s="509">
        <v>175</v>
      </c>
      <c r="Y32" s="511">
        <v>108</v>
      </c>
      <c r="Z32" s="508">
        <f t="shared" si="11"/>
        <v>199</v>
      </c>
      <c r="AA32" s="511">
        <v>172</v>
      </c>
      <c r="AB32" s="511">
        <v>27</v>
      </c>
      <c r="AC32" s="53" t="s">
        <v>37</v>
      </c>
    </row>
    <row r="33" spans="1:29" s="45" customFormat="1" ht="18" customHeight="1">
      <c r="A33" s="512" t="s">
        <v>60</v>
      </c>
      <c r="B33" s="506"/>
      <c r="C33" s="506"/>
      <c r="D33" s="506"/>
      <c r="E33" s="506"/>
      <c r="F33" s="506"/>
      <c r="G33" s="506"/>
      <c r="H33" s="506"/>
      <c r="I33" s="506"/>
      <c r="J33" s="506"/>
      <c r="K33" s="506"/>
      <c r="L33" s="506"/>
      <c r="M33" s="506"/>
      <c r="N33" s="506"/>
      <c r="O33" s="506"/>
      <c r="P33" s="506"/>
      <c r="Q33" s="506"/>
      <c r="R33" s="506"/>
      <c r="S33" s="506"/>
      <c r="T33" s="506"/>
      <c r="U33" s="506"/>
      <c r="V33" s="506"/>
      <c r="W33" s="506"/>
      <c r="X33" s="506"/>
      <c r="Y33" s="506"/>
      <c r="Z33" s="506"/>
      <c r="AA33" s="506"/>
      <c r="AB33" s="506"/>
      <c r="AC33" s="463" t="s">
        <v>178</v>
      </c>
    </row>
    <row r="34" spans="1:29" s="45" customFormat="1">
      <c r="B34" s="506"/>
      <c r="C34" s="506"/>
      <c r="D34" s="506"/>
      <c r="E34" s="506"/>
      <c r="F34" s="506"/>
      <c r="G34" s="506"/>
      <c r="H34" s="506"/>
      <c r="I34" s="506"/>
      <c r="J34" s="506"/>
      <c r="K34" s="506"/>
      <c r="L34" s="506"/>
      <c r="M34" s="506"/>
      <c r="N34" s="506"/>
      <c r="O34" s="506"/>
      <c r="P34" s="506"/>
      <c r="Q34" s="506"/>
      <c r="R34" s="506"/>
      <c r="S34" s="506"/>
      <c r="T34" s="506"/>
      <c r="U34" s="506"/>
      <c r="V34" s="506"/>
      <c r="W34" s="506"/>
      <c r="X34" s="506"/>
      <c r="Y34" s="506"/>
      <c r="Z34" s="506"/>
      <c r="AA34" s="506"/>
      <c r="AB34" s="506"/>
    </row>
    <row r="35" spans="1:29" s="45" customFormat="1">
      <c r="B35" s="506"/>
      <c r="C35" s="506"/>
      <c r="D35" s="506"/>
      <c r="E35" s="506"/>
      <c r="F35" s="506"/>
      <c r="G35" s="506"/>
      <c r="H35" s="506"/>
      <c r="I35" s="506"/>
      <c r="J35" s="506"/>
      <c r="K35" s="506"/>
      <c r="L35" s="506"/>
      <c r="M35" s="506"/>
      <c r="N35" s="506"/>
      <c r="O35" s="506"/>
      <c r="P35" s="506"/>
      <c r="Q35" s="506"/>
      <c r="R35" s="506"/>
      <c r="S35" s="506"/>
      <c r="T35" s="506"/>
      <c r="U35" s="506"/>
      <c r="V35" s="506"/>
      <c r="W35" s="506"/>
      <c r="X35" s="506"/>
      <c r="Y35" s="506"/>
      <c r="Z35" s="506"/>
      <c r="AA35" s="506"/>
      <c r="AB35" s="506"/>
    </row>
    <row r="36" spans="1:29" s="45" customFormat="1">
      <c r="B36" s="506"/>
      <c r="C36" s="506"/>
      <c r="D36" s="506"/>
      <c r="E36" s="506"/>
      <c r="F36" s="506"/>
      <c r="G36" s="506"/>
      <c r="H36" s="506"/>
      <c r="I36" s="506"/>
      <c r="J36" s="506"/>
      <c r="K36" s="506"/>
      <c r="L36" s="506"/>
      <c r="M36" s="506"/>
      <c r="N36" s="506"/>
      <c r="O36" s="506"/>
      <c r="P36" s="506"/>
      <c r="Q36" s="506"/>
      <c r="R36" s="506"/>
      <c r="S36" s="506"/>
      <c r="T36" s="506"/>
      <c r="U36" s="506"/>
      <c r="V36" s="506"/>
      <c r="W36" s="506"/>
      <c r="X36" s="506"/>
      <c r="Y36" s="506"/>
      <c r="Z36" s="506"/>
      <c r="AA36" s="506"/>
      <c r="AB36" s="506"/>
    </row>
    <row r="37" spans="1:29" s="45" customFormat="1">
      <c r="B37" s="513"/>
      <c r="C37" s="513"/>
      <c r="D37" s="514"/>
      <c r="E37" s="513"/>
      <c r="F37" s="513"/>
      <c r="G37" s="514"/>
      <c r="H37" s="513"/>
      <c r="I37" s="513"/>
      <c r="J37" s="514"/>
      <c r="K37" s="513"/>
      <c r="L37" s="513"/>
      <c r="M37" s="515"/>
      <c r="N37" s="513"/>
      <c r="O37" s="513"/>
      <c r="P37" s="515"/>
      <c r="Q37" s="513"/>
      <c r="R37" s="513"/>
      <c r="S37" s="515"/>
      <c r="T37" s="513"/>
      <c r="U37" s="513"/>
      <c r="V37" s="515"/>
      <c r="W37" s="513"/>
      <c r="X37" s="513"/>
      <c r="Y37" s="515"/>
      <c r="Z37" s="513"/>
      <c r="AA37" s="513"/>
      <c r="AB37" s="515"/>
    </row>
    <row r="38" spans="1:29" s="45" customFormat="1">
      <c r="B38" s="506"/>
      <c r="C38" s="506"/>
      <c r="D38" s="506"/>
      <c r="E38" s="506"/>
      <c r="F38" s="506"/>
      <c r="G38" s="506"/>
      <c r="H38" s="506"/>
      <c r="I38" s="506"/>
      <c r="J38" s="506"/>
      <c r="K38" s="506"/>
      <c r="L38" s="506"/>
      <c r="M38" s="506"/>
      <c r="N38" s="506"/>
      <c r="O38" s="506"/>
      <c r="P38" s="506"/>
      <c r="Q38" s="506"/>
      <c r="R38" s="506"/>
      <c r="S38" s="506"/>
      <c r="T38" s="506"/>
      <c r="U38" s="506"/>
      <c r="V38" s="506"/>
      <c r="W38" s="506"/>
      <c r="X38" s="506"/>
      <c r="Y38" s="506"/>
      <c r="Z38" s="506"/>
      <c r="AA38" s="506"/>
      <c r="AB38" s="506"/>
    </row>
    <row r="39" spans="1:29" s="45" customFormat="1">
      <c r="B39" s="506"/>
      <c r="C39" s="506"/>
      <c r="D39" s="506"/>
      <c r="E39" s="506"/>
      <c r="F39" s="506"/>
      <c r="G39" s="506"/>
      <c r="H39" s="506"/>
      <c r="I39" s="506"/>
      <c r="J39" s="506"/>
      <c r="K39" s="506"/>
      <c r="L39" s="506"/>
      <c r="M39" s="506"/>
      <c r="N39" s="506"/>
      <c r="O39" s="506"/>
      <c r="P39" s="506"/>
      <c r="Q39" s="506"/>
      <c r="R39" s="506"/>
      <c r="S39" s="506"/>
      <c r="T39" s="506"/>
      <c r="U39" s="506"/>
      <c r="V39" s="506"/>
      <c r="W39" s="506"/>
      <c r="X39" s="506"/>
      <c r="Y39" s="506"/>
      <c r="Z39" s="506"/>
      <c r="AA39" s="506"/>
      <c r="AB39" s="506"/>
    </row>
    <row r="40" spans="1:29" s="45" customFormat="1">
      <c r="B40" s="506"/>
      <c r="C40" s="506"/>
      <c r="D40" s="506"/>
      <c r="E40" s="506"/>
      <c r="F40" s="506"/>
      <c r="G40" s="506"/>
      <c r="H40" s="506"/>
      <c r="I40" s="506"/>
      <c r="J40" s="506"/>
      <c r="K40" s="506"/>
      <c r="L40" s="506"/>
      <c r="M40" s="506"/>
      <c r="N40" s="506"/>
      <c r="O40" s="506"/>
      <c r="P40" s="506"/>
      <c r="Q40" s="506"/>
      <c r="R40" s="506"/>
      <c r="S40" s="506"/>
      <c r="T40" s="506"/>
      <c r="U40" s="506"/>
      <c r="V40" s="506"/>
      <c r="W40" s="506"/>
      <c r="X40" s="506"/>
      <c r="Y40" s="506"/>
      <c r="Z40" s="506"/>
      <c r="AA40" s="506"/>
      <c r="AB40" s="506"/>
    </row>
    <row r="41" spans="1:29" s="45" customFormat="1">
      <c r="B41" s="506"/>
      <c r="C41" s="506"/>
      <c r="D41" s="506"/>
      <c r="E41" s="506"/>
      <c r="F41" s="506"/>
      <c r="G41" s="506"/>
      <c r="H41" s="506"/>
      <c r="I41" s="506"/>
      <c r="J41" s="506"/>
      <c r="K41" s="506"/>
      <c r="L41" s="506"/>
      <c r="M41" s="506"/>
      <c r="N41" s="506"/>
      <c r="O41" s="506"/>
      <c r="P41" s="506"/>
      <c r="Q41" s="506"/>
      <c r="R41" s="506"/>
      <c r="S41" s="506"/>
      <c r="T41" s="506"/>
      <c r="U41" s="506"/>
      <c r="V41" s="506"/>
      <c r="W41" s="506"/>
      <c r="X41" s="506"/>
      <c r="Y41" s="506"/>
      <c r="Z41" s="506"/>
      <c r="AA41" s="506"/>
      <c r="AB41" s="506"/>
    </row>
    <row r="42" spans="1:29" s="45" customFormat="1">
      <c r="B42" s="506"/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6"/>
      <c r="N42" s="506"/>
      <c r="O42" s="506"/>
      <c r="P42" s="506"/>
      <c r="Q42" s="506"/>
      <c r="R42" s="506"/>
      <c r="S42" s="506"/>
      <c r="T42" s="506"/>
      <c r="U42" s="506"/>
      <c r="V42" s="506"/>
      <c r="W42" s="506"/>
      <c r="X42" s="506"/>
      <c r="Y42" s="506"/>
      <c r="Z42" s="506"/>
      <c r="AA42" s="506"/>
      <c r="AB42" s="506"/>
    </row>
    <row r="43" spans="1:29" s="45" customFormat="1">
      <c r="B43" s="506"/>
      <c r="C43" s="506"/>
      <c r="D43" s="506"/>
      <c r="E43" s="506"/>
      <c r="F43" s="506"/>
      <c r="G43" s="506"/>
      <c r="H43" s="506"/>
      <c r="I43" s="506"/>
      <c r="J43" s="506"/>
      <c r="K43" s="506"/>
      <c r="L43" s="506"/>
      <c r="M43" s="506"/>
      <c r="N43" s="506"/>
      <c r="O43" s="506"/>
      <c r="P43" s="506"/>
      <c r="Q43" s="506"/>
      <c r="R43" s="506"/>
      <c r="S43" s="506"/>
      <c r="T43" s="506"/>
      <c r="U43" s="506"/>
      <c r="V43" s="506"/>
      <c r="W43" s="506"/>
      <c r="X43" s="506"/>
      <c r="Y43" s="506"/>
      <c r="Z43" s="506"/>
      <c r="AA43" s="506"/>
      <c r="AB43" s="506"/>
    </row>
    <row r="44" spans="1:29" s="45" customFormat="1">
      <c r="B44" s="506"/>
      <c r="C44" s="506"/>
      <c r="D44" s="506"/>
      <c r="E44" s="506"/>
      <c r="F44" s="506"/>
      <c r="G44" s="506"/>
      <c r="H44" s="506"/>
      <c r="I44" s="506"/>
      <c r="J44" s="506"/>
      <c r="K44" s="506"/>
      <c r="L44" s="506"/>
      <c r="M44" s="506"/>
      <c r="N44" s="506"/>
      <c r="O44" s="506"/>
      <c r="P44" s="506"/>
      <c r="Q44" s="506"/>
      <c r="R44" s="506"/>
      <c r="S44" s="506"/>
      <c r="T44" s="506"/>
      <c r="U44" s="506"/>
      <c r="V44" s="506"/>
      <c r="W44" s="506"/>
      <c r="X44" s="506"/>
      <c r="Y44" s="506"/>
      <c r="Z44" s="506"/>
      <c r="AA44" s="506"/>
      <c r="AB44" s="506"/>
    </row>
    <row r="45" spans="1:29" s="45" customFormat="1">
      <c r="B45" s="506"/>
      <c r="C45" s="506"/>
      <c r="D45" s="506"/>
      <c r="E45" s="506"/>
      <c r="F45" s="506"/>
      <c r="G45" s="506"/>
      <c r="H45" s="506"/>
      <c r="I45" s="506"/>
      <c r="J45" s="506"/>
      <c r="K45" s="506"/>
      <c r="L45" s="506"/>
      <c r="M45" s="506"/>
      <c r="N45" s="506"/>
      <c r="O45" s="506"/>
      <c r="P45" s="506"/>
      <c r="Q45" s="506"/>
      <c r="R45" s="506"/>
      <c r="S45" s="506"/>
      <c r="T45" s="506"/>
      <c r="U45" s="506"/>
      <c r="V45" s="506"/>
      <c r="W45" s="506"/>
      <c r="X45" s="506"/>
      <c r="Y45" s="506"/>
      <c r="Z45" s="506"/>
      <c r="AA45" s="506"/>
      <c r="AB45" s="506"/>
    </row>
    <row r="46" spans="1:29" s="45" customFormat="1">
      <c r="B46" s="506"/>
      <c r="C46" s="506"/>
      <c r="D46" s="506"/>
      <c r="E46" s="506"/>
      <c r="F46" s="506"/>
      <c r="G46" s="506"/>
      <c r="H46" s="506"/>
      <c r="I46" s="506"/>
      <c r="J46" s="506"/>
      <c r="K46" s="506"/>
      <c r="L46" s="506"/>
      <c r="M46" s="506"/>
      <c r="N46" s="506"/>
      <c r="O46" s="506"/>
      <c r="P46" s="506"/>
      <c r="Q46" s="506"/>
      <c r="R46" s="506"/>
      <c r="S46" s="506"/>
      <c r="T46" s="506"/>
      <c r="U46" s="506"/>
      <c r="V46" s="506"/>
      <c r="W46" s="506"/>
      <c r="X46" s="506"/>
      <c r="Y46" s="506"/>
      <c r="Z46" s="506"/>
      <c r="AA46" s="506"/>
      <c r="AB46" s="506"/>
    </row>
    <row r="47" spans="1:29" s="45" customFormat="1">
      <c r="B47" s="506"/>
      <c r="C47" s="506"/>
      <c r="D47" s="506"/>
      <c r="E47" s="506"/>
      <c r="F47" s="506"/>
      <c r="G47" s="506"/>
      <c r="H47" s="506"/>
      <c r="I47" s="506"/>
      <c r="J47" s="506"/>
      <c r="K47" s="506"/>
      <c r="L47" s="506"/>
      <c r="M47" s="506"/>
      <c r="N47" s="506"/>
      <c r="O47" s="506"/>
      <c r="P47" s="506"/>
      <c r="Q47" s="506"/>
      <c r="R47" s="506"/>
      <c r="S47" s="506"/>
      <c r="T47" s="506"/>
      <c r="U47" s="506"/>
      <c r="V47" s="506"/>
      <c r="W47" s="506"/>
      <c r="X47" s="506"/>
      <c r="Y47" s="506"/>
      <c r="Z47" s="506"/>
      <c r="AA47" s="506"/>
      <c r="AB47" s="506"/>
    </row>
    <row r="48" spans="1:29" s="45" customFormat="1">
      <c r="B48" s="506"/>
      <c r="C48" s="506"/>
      <c r="D48" s="506"/>
      <c r="E48" s="506"/>
      <c r="F48" s="506"/>
      <c r="G48" s="506"/>
      <c r="H48" s="506"/>
      <c r="I48" s="506"/>
      <c r="J48" s="506"/>
      <c r="K48" s="506"/>
      <c r="L48" s="506"/>
      <c r="M48" s="506"/>
      <c r="N48" s="506"/>
      <c r="O48" s="506"/>
      <c r="P48" s="506"/>
      <c r="Q48" s="506"/>
      <c r="R48" s="506"/>
      <c r="S48" s="506"/>
      <c r="T48" s="506"/>
      <c r="U48" s="506"/>
      <c r="V48" s="506"/>
      <c r="W48" s="506"/>
      <c r="X48" s="506"/>
      <c r="Y48" s="506"/>
      <c r="Z48" s="506"/>
      <c r="AA48" s="506"/>
      <c r="AB48" s="506"/>
    </row>
    <row r="49" spans="2:28" s="45" customFormat="1">
      <c r="B49" s="506"/>
      <c r="C49" s="506"/>
      <c r="D49" s="506"/>
      <c r="E49" s="506"/>
      <c r="F49" s="506"/>
      <c r="G49" s="506"/>
      <c r="H49" s="506"/>
      <c r="I49" s="506"/>
      <c r="J49" s="506"/>
      <c r="K49" s="506"/>
      <c r="L49" s="506"/>
      <c r="M49" s="506"/>
      <c r="N49" s="506"/>
      <c r="O49" s="506"/>
      <c r="P49" s="506"/>
      <c r="Q49" s="506"/>
      <c r="R49" s="506"/>
      <c r="S49" s="506"/>
      <c r="T49" s="506"/>
      <c r="U49" s="506"/>
      <c r="V49" s="506"/>
      <c r="W49" s="506"/>
      <c r="X49" s="506"/>
      <c r="Y49" s="506"/>
      <c r="Z49" s="506"/>
      <c r="AA49" s="506"/>
      <c r="AB49" s="506"/>
    </row>
    <row r="50" spans="2:28" s="45" customFormat="1">
      <c r="B50" s="506"/>
      <c r="C50" s="506"/>
      <c r="D50" s="506"/>
      <c r="E50" s="506"/>
      <c r="F50" s="506"/>
      <c r="G50" s="506"/>
      <c r="H50" s="506"/>
      <c r="I50" s="506"/>
      <c r="J50" s="506"/>
      <c r="K50" s="506"/>
      <c r="L50" s="506"/>
      <c r="M50" s="506"/>
      <c r="N50" s="506"/>
      <c r="O50" s="506"/>
      <c r="P50" s="506"/>
      <c r="Q50" s="506"/>
      <c r="R50" s="506"/>
      <c r="S50" s="506"/>
      <c r="T50" s="506"/>
      <c r="U50" s="506"/>
      <c r="V50" s="506"/>
      <c r="W50" s="506"/>
      <c r="X50" s="506"/>
      <c r="Y50" s="506"/>
      <c r="Z50" s="506"/>
      <c r="AA50" s="506"/>
      <c r="AB50" s="506"/>
    </row>
    <row r="51" spans="2:28" s="45" customFormat="1">
      <c r="B51" s="506"/>
      <c r="C51" s="506"/>
      <c r="D51" s="506"/>
      <c r="E51" s="506"/>
      <c r="F51" s="506"/>
      <c r="G51" s="506"/>
      <c r="H51" s="506"/>
      <c r="I51" s="506"/>
      <c r="J51" s="506"/>
      <c r="K51" s="506"/>
      <c r="L51" s="506"/>
      <c r="M51" s="506"/>
      <c r="N51" s="506"/>
      <c r="O51" s="506"/>
      <c r="P51" s="506"/>
      <c r="Q51" s="506"/>
      <c r="R51" s="506"/>
      <c r="S51" s="506"/>
      <c r="T51" s="506"/>
      <c r="U51" s="506"/>
      <c r="V51" s="506"/>
      <c r="W51" s="506"/>
      <c r="X51" s="506"/>
      <c r="Y51" s="506"/>
      <c r="Z51" s="506"/>
      <c r="AA51" s="506"/>
      <c r="AB51" s="506"/>
    </row>
    <row r="52" spans="2:28" s="45" customFormat="1">
      <c r="B52" s="506"/>
      <c r="C52" s="506"/>
      <c r="D52" s="506"/>
      <c r="E52" s="506"/>
      <c r="F52" s="506"/>
      <c r="G52" s="506"/>
      <c r="H52" s="506"/>
      <c r="I52" s="506"/>
      <c r="J52" s="506"/>
      <c r="K52" s="506"/>
      <c r="L52" s="506"/>
      <c r="M52" s="506"/>
      <c r="N52" s="506"/>
      <c r="O52" s="506"/>
      <c r="P52" s="506"/>
      <c r="Q52" s="506"/>
      <c r="R52" s="506"/>
      <c r="S52" s="506"/>
      <c r="T52" s="506"/>
      <c r="U52" s="506"/>
      <c r="V52" s="506"/>
      <c r="W52" s="506"/>
      <c r="X52" s="506"/>
      <c r="Y52" s="506"/>
      <c r="Z52" s="506"/>
      <c r="AA52" s="506"/>
      <c r="AB52" s="506"/>
    </row>
    <row r="53" spans="2:28" s="45" customFormat="1">
      <c r="B53" s="506"/>
      <c r="C53" s="506"/>
      <c r="D53" s="506"/>
      <c r="E53" s="506"/>
      <c r="F53" s="506"/>
      <c r="G53" s="506"/>
      <c r="H53" s="506"/>
      <c r="I53" s="506"/>
      <c r="J53" s="506"/>
      <c r="K53" s="506"/>
      <c r="L53" s="506"/>
      <c r="M53" s="506"/>
      <c r="N53" s="506"/>
      <c r="O53" s="506"/>
      <c r="P53" s="506"/>
      <c r="Q53" s="506"/>
      <c r="R53" s="506"/>
      <c r="S53" s="506"/>
      <c r="T53" s="506"/>
      <c r="U53" s="506"/>
      <c r="V53" s="506"/>
      <c r="W53" s="506"/>
      <c r="X53" s="506"/>
      <c r="Y53" s="506"/>
      <c r="Z53" s="506"/>
      <c r="AA53" s="506"/>
      <c r="AB53" s="506"/>
    </row>
    <row r="54" spans="2:28" s="45" customFormat="1">
      <c r="B54" s="506"/>
      <c r="C54" s="506"/>
      <c r="D54" s="506"/>
      <c r="E54" s="506"/>
      <c r="F54" s="506"/>
      <c r="G54" s="506"/>
      <c r="H54" s="506"/>
      <c r="I54" s="506"/>
      <c r="J54" s="506"/>
      <c r="K54" s="506"/>
      <c r="L54" s="506"/>
      <c r="M54" s="506"/>
      <c r="N54" s="506"/>
      <c r="O54" s="506"/>
      <c r="P54" s="506"/>
      <c r="Q54" s="506"/>
      <c r="R54" s="506"/>
      <c r="S54" s="506"/>
      <c r="T54" s="506"/>
      <c r="U54" s="506"/>
      <c r="V54" s="506"/>
      <c r="W54" s="506"/>
      <c r="X54" s="506"/>
      <c r="Y54" s="506"/>
      <c r="Z54" s="506"/>
      <c r="AA54" s="506"/>
      <c r="AB54" s="506"/>
    </row>
    <row r="55" spans="2:28" s="45" customFormat="1">
      <c r="B55" s="506"/>
      <c r="C55" s="506"/>
      <c r="D55" s="506"/>
      <c r="E55" s="506"/>
      <c r="F55" s="506"/>
      <c r="G55" s="506"/>
      <c r="H55" s="506"/>
      <c r="I55" s="506"/>
      <c r="J55" s="506"/>
      <c r="K55" s="506"/>
      <c r="L55" s="506"/>
      <c r="M55" s="506"/>
      <c r="N55" s="506"/>
      <c r="O55" s="506"/>
      <c r="P55" s="506"/>
      <c r="Q55" s="506"/>
      <c r="R55" s="506"/>
      <c r="S55" s="506"/>
      <c r="T55" s="506"/>
      <c r="U55" s="506"/>
      <c r="V55" s="506"/>
      <c r="W55" s="506"/>
      <c r="X55" s="506"/>
      <c r="Y55" s="506"/>
      <c r="Z55" s="506"/>
      <c r="AA55" s="506"/>
      <c r="AB55" s="506"/>
    </row>
    <row r="56" spans="2:28" s="45" customFormat="1">
      <c r="B56" s="506"/>
      <c r="C56" s="506"/>
      <c r="D56" s="506"/>
      <c r="E56" s="506"/>
      <c r="F56" s="506"/>
      <c r="G56" s="506"/>
      <c r="H56" s="506"/>
      <c r="I56" s="506"/>
      <c r="J56" s="506"/>
      <c r="K56" s="506"/>
      <c r="L56" s="506"/>
      <c r="M56" s="506"/>
      <c r="N56" s="506"/>
      <c r="O56" s="506"/>
      <c r="P56" s="506"/>
      <c r="Q56" s="506"/>
      <c r="R56" s="506"/>
      <c r="S56" s="506"/>
      <c r="T56" s="506"/>
      <c r="U56" s="506"/>
      <c r="V56" s="506"/>
      <c r="W56" s="506"/>
      <c r="X56" s="506"/>
      <c r="Y56" s="506"/>
      <c r="Z56" s="506"/>
      <c r="AA56" s="506"/>
      <c r="AB56" s="506"/>
    </row>
    <row r="57" spans="2:28" s="45" customFormat="1">
      <c r="B57" s="506"/>
      <c r="C57" s="506"/>
      <c r="D57" s="506"/>
      <c r="E57" s="506"/>
      <c r="F57" s="506"/>
      <c r="G57" s="506"/>
      <c r="H57" s="506"/>
      <c r="I57" s="506"/>
      <c r="J57" s="506"/>
      <c r="K57" s="506"/>
      <c r="L57" s="506"/>
      <c r="M57" s="506"/>
      <c r="N57" s="506"/>
      <c r="O57" s="506"/>
      <c r="P57" s="506"/>
      <c r="Q57" s="506"/>
      <c r="R57" s="506"/>
      <c r="S57" s="506"/>
      <c r="T57" s="506"/>
      <c r="U57" s="506"/>
      <c r="V57" s="506"/>
      <c r="W57" s="506"/>
      <c r="X57" s="506"/>
      <c r="Y57" s="506"/>
      <c r="Z57" s="506"/>
      <c r="AA57" s="506"/>
      <c r="AB57" s="506"/>
    </row>
    <row r="58" spans="2:28" s="45" customFormat="1">
      <c r="B58" s="506"/>
      <c r="C58" s="506"/>
      <c r="D58" s="506"/>
      <c r="E58" s="506"/>
      <c r="F58" s="506"/>
      <c r="G58" s="506"/>
      <c r="H58" s="506"/>
      <c r="I58" s="506"/>
      <c r="J58" s="506"/>
      <c r="K58" s="506"/>
      <c r="L58" s="506"/>
      <c r="M58" s="506"/>
      <c r="N58" s="506"/>
      <c r="O58" s="506"/>
      <c r="P58" s="506"/>
      <c r="Q58" s="506"/>
      <c r="R58" s="506"/>
      <c r="S58" s="506"/>
      <c r="T58" s="506"/>
      <c r="U58" s="506"/>
      <c r="V58" s="506"/>
      <c r="W58" s="506"/>
      <c r="X58" s="506"/>
      <c r="Y58" s="506"/>
      <c r="Z58" s="506"/>
      <c r="AA58" s="506"/>
      <c r="AB58" s="506"/>
    </row>
    <row r="59" spans="2:28" s="45" customFormat="1">
      <c r="B59" s="506"/>
      <c r="C59" s="506"/>
      <c r="D59" s="506"/>
      <c r="E59" s="506"/>
      <c r="F59" s="506"/>
      <c r="G59" s="506"/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  <c r="Z59" s="506"/>
      <c r="AA59" s="506"/>
      <c r="AB59" s="506"/>
    </row>
    <row r="60" spans="2:28" s="45" customFormat="1">
      <c r="B60" s="506"/>
      <c r="C60" s="506"/>
      <c r="D60" s="506"/>
      <c r="E60" s="506"/>
      <c r="F60" s="506"/>
      <c r="G60" s="506"/>
      <c r="H60" s="506"/>
      <c r="I60" s="506"/>
      <c r="J60" s="506"/>
      <c r="K60" s="506"/>
      <c r="L60" s="506"/>
      <c r="M60" s="506"/>
      <c r="N60" s="506"/>
      <c r="O60" s="506"/>
      <c r="P60" s="506"/>
      <c r="Q60" s="506"/>
      <c r="R60" s="506"/>
      <c r="S60" s="506"/>
      <c r="T60" s="506"/>
      <c r="U60" s="506"/>
      <c r="V60" s="506"/>
      <c r="W60" s="506"/>
      <c r="X60" s="506"/>
      <c r="Y60" s="506"/>
      <c r="Z60" s="506"/>
      <c r="AA60" s="506"/>
      <c r="AB60" s="506"/>
    </row>
    <row r="61" spans="2:28" s="45" customFormat="1">
      <c r="B61" s="506"/>
      <c r="C61" s="506"/>
      <c r="D61" s="506"/>
      <c r="E61" s="506"/>
      <c r="F61" s="506"/>
      <c r="G61" s="506"/>
      <c r="H61" s="506"/>
      <c r="I61" s="506"/>
      <c r="J61" s="506"/>
      <c r="K61" s="506"/>
      <c r="L61" s="506"/>
      <c r="M61" s="506"/>
      <c r="N61" s="506"/>
      <c r="O61" s="506"/>
      <c r="P61" s="506"/>
      <c r="Q61" s="506"/>
      <c r="R61" s="506"/>
      <c r="S61" s="506"/>
      <c r="T61" s="506"/>
      <c r="U61" s="506"/>
      <c r="V61" s="506"/>
      <c r="W61" s="506"/>
      <c r="X61" s="506"/>
      <c r="Y61" s="506"/>
      <c r="Z61" s="506"/>
      <c r="AA61" s="506"/>
      <c r="AB61" s="506"/>
    </row>
    <row r="62" spans="2:28" s="45" customFormat="1">
      <c r="B62" s="506"/>
      <c r="C62" s="506"/>
      <c r="D62" s="506"/>
      <c r="E62" s="506"/>
      <c r="F62" s="506"/>
      <c r="G62" s="506"/>
      <c r="H62" s="506"/>
      <c r="I62" s="506"/>
      <c r="J62" s="506"/>
      <c r="K62" s="506"/>
      <c r="L62" s="506"/>
      <c r="M62" s="506"/>
      <c r="N62" s="506"/>
      <c r="O62" s="506"/>
      <c r="P62" s="506"/>
      <c r="Q62" s="506"/>
      <c r="R62" s="506"/>
      <c r="S62" s="506"/>
      <c r="T62" s="506"/>
      <c r="U62" s="506"/>
      <c r="V62" s="506"/>
      <c r="W62" s="506"/>
      <c r="X62" s="506"/>
      <c r="Y62" s="506"/>
      <c r="Z62" s="506"/>
      <c r="AA62" s="506"/>
      <c r="AB62" s="506"/>
    </row>
    <row r="63" spans="2:28" s="45" customFormat="1">
      <c r="B63" s="506"/>
      <c r="C63" s="506"/>
      <c r="D63" s="506"/>
      <c r="E63" s="506"/>
      <c r="F63" s="506"/>
      <c r="G63" s="506"/>
      <c r="H63" s="506"/>
      <c r="I63" s="506"/>
      <c r="J63" s="506"/>
      <c r="K63" s="506"/>
      <c r="L63" s="506"/>
      <c r="M63" s="506"/>
      <c r="N63" s="506"/>
      <c r="O63" s="506"/>
      <c r="P63" s="506"/>
      <c r="Q63" s="506"/>
      <c r="R63" s="506"/>
      <c r="S63" s="506"/>
      <c r="T63" s="506"/>
      <c r="U63" s="506"/>
      <c r="V63" s="506"/>
      <c r="W63" s="506"/>
      <c r="X63" s="506"/>
      <c r="Y63" s="506"/>
      <c r="Z63" s="506"/>
      <c r="AA63" s="506"/>
      <c r="AB63" s="506"/>
    </row>
    <row r="64" spans="2:28" s="45" customFormat="1">
      <c r="B64" s="506"/>
      <c r="C64" s="506"/>
      <c r="D64" s="506"/>
      <c r="E64" s="506"/>
      <c r="F64" s="506"/>
      <c r="G64" s="506"/>
      <c r="H64" s="506"/>
      <c r="I64" s="506"/>
      <c r="J64" s="506"/>
      <c r="K64" s="506"/>
      <c r="L64" s="506"/>
      <c r="M64" s="506"/>
      <c r="N64" s="506"/>
      <c r="O64" s="506"/>
      <c r="P64" s="506"/>
      <c r="Q64" s="506"/>
      <c r="R64" s="506"/>
      <c r="S64" s="506"/>
      <c r="T64" s="506"/>
      <c r="U64" s="506"/>
      <c r="V64" s="506"/>
      <c r="W64" s="506"/>
      <c r="X64" s="506"/>
      <c r="Y64" s="506"/>
      <c r="Z64" s="506"/>
      <c r="AA64" s="506"/>
      <c r="AB64" s="506"/>
    </row>
    <row r="65" spans="2:28" s="45" customFormat="1">
      <c r="B65" s="506"/>
      <c r="C65" s="506"/>
      <c r="D65" s="506"/>
      <c r="E65" s="506"/>
      <c r="F65" s="506"/>
      <c r="G65" s="506"/>
      <c r="H65" s="506"/>
      <c r="I65" s="506"/>
      <c r="J65" s="506"/>
      <c r="K65" s="506"/>
      <c r="L65" s="506"/>
      <c r="M65" s="506"/>
      <c r="N65" s="506"/>
      <c r="O65" s="506"/>
      <c r="P65" s="506"/>
      <c r="Q65" s="506"/>
      <c r="R65" s="506"/>
      <c r="S65" s="506"/>
      <c r="T65" s="506"/>
      <c r="U65" s="506"/>
      <c r="V65" s="506"/>
      <c r="W65" s="506"/>
      <c r="X65" s="506"/>
      <c r="Y65" s="506"/>
      <c r="Z65" s="506"/>
      <c r="AA65" s="506"/>
      <c r="AB65" s="506"/>
    </row>
    <row r="66" spans="2:28" s="45" customFormat="1">
      <c r="B66" s="506"/>
      <c r="C66" s="506"/>
      <c r="D66" s="506"/>
      <c r="E66" s="506"/>
      <c r="F66" s="506"/>
      <c r="G66" s="506"/>
      <c r="H66" s="506"/>
      <c r="I66" s="506"/>
      <c r="J66" s="506"/>
      <c r="K66" s="506"/>
      <c r="L66" s="506"/>
      <c r="M66" s="506"/>
      <c r="N66" s="506"/>
      <c r="O66" s="506"/>
      <c r="P66" s="506"/>
      <c r="Q66" s="506"/>
      <c r="R66" s="506"/>
      <c r="S66" s="506"/>
      <c r="T66" s="506"/>
      <c r="U66" s="506"/>
      <c r="V66" s="506"/>
      <c r="W66" s="506"/>
      <c r="X66" s="506"/>
      <c r="Y66" s="506"/>
      <c r="Z66" s="506"/>
      <c r="AA66" s="506"/>
      <c r="AB66" s="506"/>
    </row>
    <row r="67" spans="2:28" s="45" customFormat="1">
      <c r="B67" s="506"/>
      <c r="C67" s="506"/>
      <c r="D67" s="506"/>
      <c r="E67" s="506"/>
      <c r="F67" s="506"/>
      <c r="G67" s="506"/>
      <c r="H67" s="506"/>
      <c r="I67" s="506"/>
      <c r="J67" s="506"/>
      <c r="K67" s="506"/>
      <c r="L67" s="506"/>
      <c r="M67" s="506"/>
      <c r="N67" s="506"/>
      <c r="O67" s="506"/>
      <c r="P67" s="506"/>
      <c r="Q67" s="506"/>
      <c r="R67" s="506"/>
      <c r="S67" s="506"/>
      <c r="T67" s="506"/>
      <c r="U67" s="506"/>
      <c r="V67" s="506"/>
      <c r="W67" s="506"/>
      <c r="X67" s="506"/>
      <c r="Y67" s="506"/>
      <c r="Z67" s="506"/>
      <c r="AA67" s="506"/>
      <c r="AB67" s="506"/>
    </row>
    <row r="68" spans="2:28" s="45" customFormat="1">
      <c r="B68" s="506"/>
      <c r="C68" s="506"/>
      <c r="D68" s="506"/>
      <c r="E68" s="506"/>
      <c r="F68" s="506"/>
      <c r="G68" s="506"/>
      <c r="H68" s="506"/>
      <c r="I68" s="506"/>
      <c r="J68" s="506"/>
      <c r="K68" s="506"/>
      <c r="L68" s="506"/>
      <c r="M68" s="506"/>
      <c r="N68" s="506"/>
      <c r="O68" s="506"/>
      <c r="P68" s="506"/>
      <c r="Q68" s="506"/>
      <c r="R68" s="506"/>
      <c r="S68" s="506"/>
      <c r="T68" s="506"/>
      <c r="U68" s="506"/>
      <c r="V68" s="506"/>
      <c r="W68" s="506"/>
      <c r="X68" s="506"/>
      <c r="Y68" s="506"/>
      <c r="Z68" s="506"/>
      <c r="AA68" s="506"/>
      <c r="AB68" s="506"/>
    </row>
    <row r="69" spans="2:28" s="45" customFormat="1">
      <c r="B69" s="506"/>
      <c r="C69" s="506"/>
      <c r="D69" s="506"/>
      <c r="E69" s="506"/>
      <c r="F69" s="506"/>
      <c r="G69" s="506"/>
      <c r="H69" s="506"/>
      <c r="I69" s="506"/>
      <c r="J69" s="506"/>
      <c r="K69" s="506"/>
      <c r="L69" s="506"/>
      <c r="M69" s="506"/>
      <c r="N69" s="506"/>
      <c r="O69" s="506"/>
      <c r="P69" s="506"/>
      <c r="Q69" s="506"/>
      <c r="R69" s="506"/>
      <c r="S69" s="506"/>
      <c r="T69" s="506"/>
      <c r="U69" s="506"/>
      <c r="V69" s="506"/>
      <c r="W69" s="506"/>
      <c r="X69" s="506"/>
      <c r="Y69" s="506"/>
      <c r="Z69" s="506"/>
      <c r="AA69" s="506"/>
      <c r="AB69" s="506"/>
    </row>
    <row r="70" spans="2:28" s="45" customFormat="1">
      <c r="B70" s="506"/>
      <c r="C70" s="506"/>
      <c r="D70" s="506"/>
      <c r="E70" s="506"/>
      <c r="F70" s="506"/>
      <c r="G70" s="506"/>
      <c r="H70" s="506"/>
      <c r="I70" s="506"/>
      <c r="J70" s="506"/>
      <c r="K70" s="506"/>
      <c r="L70" s="506"/>
      <c r="M70" s="506"/>
      <c r="N70" s="506"/>
      <c r="O70" s="506"/>
      <c r="P70" s="506"/>
      <c r="Q70" s="506"/>
      <c r="R70" s="506"/>
      <c r="S70" s="506"/>
      <c r="T70" s="506"/>
      <c r="U70" s="506"/>
      <c r="V70" s="506"/>
      <c r="W70" s="506"/>
      <c r="X70" s="506"/>
      <c r="Y70" s="506"/>
      <c r="Z70" s="506"/>
      <c r="AA70" s="506"/>
      <c r="AB70" s="506"/>
    </row>
    <row r="71" spans="2:28" s="45" customFormat="1">
      <c r="B71" s="506"/>
      <c r="C71" s="506"/>
      <c r="D71" s="506"/>
      <c r="E71" s="506"/>
      <c r="F71" s="506"/>
      <c r="G71" s="506"/>
      <c r="H71" s="506"/>
      <c r="I71" s="506"/>
      <c r="J71" s="506"/>
      <c r="K71" s="506"/>
      <c r="L71" s="506"/>
      <c r="M71" s="506"/>
      <c r="N71" s="506"/>
      <c r="O71" s="506"/>
      <c r="P71" s="506"/>
      <c r="Q71" s="506"/>
      <c r="R71" s="506"/>
      <c r="S71" s="506"/>
      <c r="T71" s="506"/>
      <c r="U71" s="506"/>
      <c r="V71" s="506"/>
      <c r="W71" s="506"/>
      <c r="X71" s="506"/>
      <c r="Y71" s="506"/>
      <c r="Z71" s="506"/>
      <c r="AA71" s="506"/>
      <c r="AB71" s="506"/>
    </row>
    <row r="72" spans="2:28" s="45" customFormat="1">
      <c r="B72" s="506"/>
      <c r="C72" s="506"/>
      <c r="D72" s="506"/>
      <c r="E72" s="506"/>
      <c r="F72" s="506"/>
      <c r="G72" s="506"/>
      <c r="H72" s="506"/>
      <c r="I72" s="506"/>
      <c r="J72" s="506"/>
      <c r="K72" s="506"/>
      <c r="L72" s="506"/>
      <c r="M72" s="506"/>
      <c r="N72" s="506"/>
      <c r="O72" s="506"/>
      <c r="P72" s="506"/>
      <c r="Q72" s="506"/>
      <c r="R72" s="506"/>
      <c r="S72" s="506"/>
      <c r="T72" s="506"/>
      <c r="U72" s="506"/>
      <c r="V72" s="506"/>
      <c r="W72" s="506"/>
      <c r="X72" s="506"/>
      <c r="Y72" s="506"/>
      <c r="Z72" s="506"/>
      <c r="AA72" s="506"/>
      <c r="AB72" s="506"/>
    </row>
    <row r="73" spans="2:28" s="45" customFormat="1">
      <c r="B73" s="506"/>
      <c r="C73" s="506"/>
      <c r="D73" s="506"/>
      <c r="E73" s="506"/>
      <c r="F73" s="506"/>
      <c r="G73" s="506"/>
      <c r="H73" s="506"/>
      <c r="I73" s="506"/>
      <c r="J73" s="506"/>
      <c r="K73" s="506"/>
      <c r="L73" s="506"/>
      <c r="M73" s="506"/>
      <c r="N73" s="506"/>
      <c r="O73" s="506"/>
      <c r="P73" s="506"/>
      <c r="Q73" s="506"/>
      <c r="R73" s="506"/>
      <c r="S73" s="506"/>
      <c r="T73" s="506"/>
      <c r="U73" s="506"/>
      <c r="V73" s="506"/>
      <c r="W73" s="506"/>
      <c r="X73" s="506"/>
      <c r="Y73" s="506"/>
      <c r="Z73" s="506"/>
      <c r="AA73" s="506"/>
      <c r="AB73" s="506"/>
    </row>
    <row r="74" spans="2:28" s="45" customFormat="1">
      <c r="B74" s="506"/>
      <c r="C74" s="506"/>
      <c r="D74" s="506"/>
      <c r="E74" s="506"/>
      <c r="F74" s="506"/>
      <c r="G74" s="506"/>
      <c r="H74" s="506"/>
      <c r="I74" s="506"/>
      <c r="J74" s="506"/>
      <c r="K74" s="506"/>
      <c r="L74" s="506"/>
      <c r="M74" s="506"/>
      <c r="N74" s="506"/>
      <c r="O74" s="506"/>
      <c r="P74" s="506"/>
      <c r="Q74" s="506"/>
      <c r="R74" s="506"/>
      <c r="S74" s="506"/>
      <c r="T74" s="506"/>
      <c r="U74" s="506"/>
      <c r="V74" s="506"/>
      <c r="W74" s="506"/>
      <c r="X74" s="506"/>
      <c r="Y74" s="506"/>
      <c r="Z74" s="506"/>
      <c r="AA74" s="506"/>
      <c r="AB74" s="506"/>
    </row>
    <row r="75" spans="2:28" s="45" customFormat="1">
      <c r="B75" s="506"/>
      <c r="C75" s="506"/>
      <c r="D75" s="506"/>
      <c r="E75" s="506"/>
      <c r="F75" s="506"/>
      <c r="G75" s="506"/>
      <c r="H75" s="506"/>
      <c r="I75" s="506"/>
      <c r="J75" s="506"/>
      <c r="K75" s="506"/>
      <c r="L75" s="506"/>
      <c r="M75" s="506"/>
      <c r="N75" s="506"/>
      <c r="O75" s="506"/>
      <c r="P75" s="506"/>
      <c r="Q75" s="506"/>
      <c r="R75" s="506"/>
      <c r="S75" s="506"/>
      <c r="T75" s="506"/>
      <c r="U75" s="506"/>
      <c r="V75" s="506"/>
      <c r="W75" s="506"/>
      <c r="X75" s="506"/>
      <c r="Y75" s="506"/>
      <c r="Z75" s="506"/>
      <c r="AA75" s="506"/>
      <c r="AB75" s="506"/>
    </row>
    <row r="76" spans="2:28" s="45" customFormat="1">
      <c r="B76" s="506"/>
      <c r="C76" s="506"/>
      <c r="D76" s="506"/>
      <c r="E76" s="506"/>
      <c r="F76" s="506"/>
      <c r="G76" s="506"/>
      <c r="H76" s="506"/>
      <c r="I76" s="506"/>
      <c r="J76" s="506"/>
      <c r="K76" s="506"/>
      <c r="L76" s="506"/>
      <c r="M76" s="506"/>
      <c r="N76" s="506"/>
      <c r="O76" s="506"/>
      <c r="P76" s="506"/>
      <c r="Q76" s="506"/>
      <c r="R76" s="506"/>
      <c r="S76" s="506"/>
      <c r="T76" s="506"/>
      <c r="U76" s="506"/>
      <c r="V76" s="506"/>
      <c r="W76" s="506"/>
      <c r="X76" s="506"/>
      <c r="Y76" s="506"/>
      <c r="Z76" s="506"/>
      <c r="AA76" s="506"/>
      <c r="AB76" s="506"/>
    </row>
    <row r="77" spans="2:28" s="45" customFormat="1">
      <c r="B77" s="506"/>
      <c r="C77" s="506"/>
      <c r="D77" s="506"/>
      <c r="E77" s="506"/>
      <c r="F77" s="506"/>
      <c r="G77" s="506"/>
      <c r="H77" s="506"/>
      <c r="I77" s="506"/>
      <c r="J77" s="506"/>
      <c r="K77" s="506"/>
      <c r="L77" s="506"/>
      <c r="M77" s="506"/>
      <c r="N77" s="506"/>
      <c r="O77" s="506"/>
      <c r="P77" s="506"/>
      <c r="Q77" s="506"/>
      <c r="R77" s="506"/>
      <c r="S77" s="506"/>
      <c r="T77" s="506"/>
      <c r="U77" s="506"/>
      <c r="V77" s="506"/>
      <c r="W77" s="506"/>
      <c r="X77" s="506"/>
      <c r="Y77" s="506"/>
      <c r="Z77" s="506"/>
      <c r="AA77" s="506"/>
      <c r="AB77" s="506"/>
    </row>
    <row r="78" spans="2:28" s="45" customFormat="1">
      <c r="B78" s="506"/>
      <c r="C78" s="506"/>
      <c r="D78" s="506"/>
      <c r="E78" s="506"/>
      <c r="F78" s="506"/>
      <c r="G78" s="506"/>
      <c r="H78" s="506"/>
      <c r="I78" s="506"/>
      <c r="J78" s="506"/>
      <c r="K78" s="506"/>
      <c r="L78" s="506"/>
      <c r="M78" s="506"/>
      <c r="N78" s="506"/>
      <c r="O78" s="506"/>
      <c r="P78" s="506"/>
      <c r="Q78" s="506"/>
      <c r="R78" s="506"/>
      <c r="S78" s="506"/>
      <c r="T78" s="506"/>
      <c r="U78" s="506"/>
      <c r="V78" s="506"/>
      <c r="W78" s="506"/>
      <c r="X78" s="506"/>
      <c r="Y78" s="506"/>
      <c r="Z78" s="506"/>
      <c r="AA78" s="506"/>
      <c r="AB78" s="506"/>
    </row>
    <row r="79" spans="2:28" s="45" customFormat="1">
      <c r="B79" s="506"/>
      <c r="C79" s="506"/>
      <c r="D79" s="506"/>
      <c r="E79" s="506"/>
      <c r="F79" s="506"/>
      <c r="G79" s="506"/>
      <c r="H79" s="506"/>
      <c r="I79" s="506"/>
      <c r="J79" s="506"/>
      <c r="K79" s="506"/>
      <c r="L79" s="506"/>
      <c r="M79" s="506"/>
      <c r="N79" s="506"/>
      <c r="O79" s="506"/>
      <c r="P79" s="506"/>
      <c r="Q79" s="506"/>
      <c r="R79" s="506"/>
      <c r="S79" s="506"/>
      <c r="T79" s="506"/>
      <c r="U79" s="506"/>
      <c r="V79" s="506"/>
      <c r="W79" s="506"/>
      <c r="X79" s="506"/>
      <c r="Y79" s="506"/>
      <c r="Z79" s="506"/>
      <c r="AA79" s="506"/>
      <c r="AB79" s="506"/>
    </row>
    <row r="80" spans="2:28" s="45" customFormat="1">
      <c r="B80" s="506"/>
      <c r="C80" s="506"/>
      <c r="D80" s="506"/>
      <c r="E80" s="506"/>
      <c r="F80" s="506"/>
      <c r="G80" s="506"/>
      <c r="H80" s="506"/>
      <c r="I80" s="506"/>
      <c r="J80" s="506"/>
      <c r="K80" s="506"/>
      <c r="L80" s="506"/>
      <c r="M80" s="506"/>
      <c r="N80" s="506"/>
      <c r="O80" s="506"/>
      <c r="P80" s="506"/>
      <c r="Q80" s="506"/>
      <c r="R80" s="506"/>
      <c r="S80" s="506"/>
      <c r="T80" s="506"/>
      <c r="U80" s="506"/>
      <c r="V80" s="506"/>
      <c r="W80" s="506"/>
      <c r="X80" s="506"/>
      <c r="Y80" s="506"/>
      <c r="Z80" s="506"/>
      <c r="AA80" s="506"/>
      <c r="AB80" s="506"/>
    </row>
    <row r="81" spans="2:28" s="45" customFormat="1">
      <c r="B81" s="506"/>
      <c r="C81" s="506"/>
      <c r="D81" s="506"/>
      <c r="E81" s="506"/>
      <c r="F81" s="506"/>
      <c r="G81" s="506"/>
      <c r="H81" s="506"/>
      <c r="I81" s="506"/>
      <c r="J81" s="506"/>
      <c r="K81" s="506"/>
      <c r="L81" s="506"/>
      <c r="M81" s="506"/>
      <c r="N81" s="506"/>
      <c r="O81" s="506"/>
      <c r="P81" s="506"/>
      <c r="Q81" s="506"/>
      <c r="R81" s="506"/>
      <c r="S81" s="506"/>
      <c r="T81" s="506"/>
      <c r="U81" s="506"/>
      <c r="V81" s="506"/>
      <c r="W81" s="506"/>
      <c r="X81" s="506"/>
      <c r="Y81" s="506"/>
      <c r="Z81" s="506"/>
      <c r="AA81" s="506"/>
      <c r="AB81" s="506"/>
    </row>
    <row r="82" spans="2:28" s="45" customFormat="1">
      <c r="B82" s="506"/>
      <c r="C82" s="506"/>
      <c r="D82" s="506"/>
      <c r="E82" s="506"/>
      <c r="F82" s="506"/>
      <c r="G82" s="506"/>
      <c r="H82" s="506"/>
      <c r="I82" s="506"/>
      <c r="J82" s="506"/>
      <c r="K82" s="506"/>
      <c r="L82" s="506"/>
      <c r="M82" s="506"/>
      <c r="N82" s="506"/>
      <c r="O82" s="506"/>
      <c r="P82" s="506"/>
      <c r="Q82" s="506"/>
      <c r="R82" s="506"/>
      <c r="S82" s="506"/>
      <c r="T82" s="506"/>
      <c r="U82" s="506"/>
      <c r="V82" s="506"/>
      <c r="W82" s="506"/>
      <c r="X82" s="506"/>
      <c r="Y82" s="506"/>
      <c r="Z82" s="506"/>
      <c r="AA82" s="506"/>
      <c r="AB82" s="506"/>
    </row>
    <row r="83" spans="2:28" s="45" customFormat="1">
      <c r="B83" s="506"/>
      <c r="C83" s="506"/>
      <c r="D83" s="506"/>
      <c r="E83" s="506"/>
      <c r="F83" s="506"/>
      <c r="G83" s="506"/>
      <c r="H83" s="506"/>
      <c r="I83" s="506"/>
      <c r="J83" s="506"/>
      <c r="K83" s="506"/>
      <c r="L83" s="506"/>
      <c r="M83" s="506"/>
      <c r="N83" s="506"/>
      <c r="O83" s="506"/>
      <c r="P83" s="506"/>
      <c r="Q83" s="506"/>
      <c r="R83" s="506"/>
      <c r="S83" s="506"/>
      <c r="T83" s="506"/>
      <c r="U83" s="506"/>
      <c r="V83" s="506"/>
      <c r="W83" s="506"/>
      <c r="X83" s="506"/>
      <c r="Y83" s="506"/>
      <c r="Z83" s="506"/>
      <c r="AA83" s="506"/>
      <c r="AB83" s="506"/>
    </row>
    <row r="84" spans="2:28" s="45" customFormat="1">
      <c r="B84" s="506"/>
      <c r="C84" s="506"/>
      <c r="D84" s="506"/>
      <c r="E84" s="506"/>
      <c r="F84" s="506"/>
      <c r="G84" s="506"/>
      <c r="H84" s="506"/>
      <c r="I84" s="506"/>
      <c r="J84" s="506"/>
      <c r="K84" s="506"/>
      <c r="L84" s="506"/>
      <c r="M84" s="506"/>
      <c r="N84" s="506"/>
      <c r="O84" s="506"/>
      <c r="P84" s="506"/>
      <c r="Q84" s="506"/>
      <c r="R84" s="506"/>
      <c r="S84" s="506"/>
      <c r="T84" s="506"/>
      <c r="U84" s="506"/>
      <c r="V84" s="506"/>
      <c r="W84" s="506"/>
      <c r="X84" s="506"/>
      <c r="Y84" s="506"/>
      <c r="Z84" s="506"/>
      <c r="AA84" s="506"/>
      <c r="AB84" s="506"/>
    </row>
    <row r="85" spans="2:28" s="45" customFormat="1">
      <c r="B85" s="506"/>
      <c r="C85" s="506"/>
      <c r="D85" s="506"/>
      <c r="E85" s="506"/>
      <c r="F85" s="506"/>
      <c r="G85" s="506"/>
      <c r="H85" s="506"/>
      <c r="I85" s="506"/>
      <c r="J85" s="506"/>
      <c r="K85" s="506"/>
      <c r="L85" s="506"/>
      <c r="M85" s="506"/>
      <c r="N85" s="506"/>
      <c r="O85" s="506"/>
      <c r="P85" s="506"/>
      <c r="Q85" s="506"/>
      <c r="R85" s="506"/>
      <c r="S85" s="506"/>
      <c r="T85" s="506"/>
      <c r="U85" s="506"/>
      <c r="V85" s="506"/>
      <c r="W85" s="506"/>
      <c r="X85" s="506"/>
      <c r="Y85" s="506"/>
      <c r="Z85" s="506"/>
      <c r="AA85" s="506"/>
      <c r="AB85" s="506"/>
    </row>
    <row r="86" spans="2:28" s="45" customFormat="1">
      <c r="B86" s="506"/>
      <c r="C86" s="506"/>
      <c r="D86" s="506"/>
      <c r="E86" s="506"/>
      <c r="F86" s="506"/>
      <c r="G86" s="506"/>
      <c r="H86" s="506"/>
      <c r="I86" s="506"/>
      <c r="J86" s="506"/>
      <c r="K86" s="506"/>
      <c r="L86" s="506"/>
      <c r="M86" s="506"/>
      <c r="N86" s="506"/>
      <c r="O86" s="506"/>
      <c r="P86" s="506"/>
      <c r="Q86" s="506"/>
      <c r="R86" s="506"/>
      <c r="S86" s="506"/>
      <c r="T86" s="506"/>
      <c r="U86" s="506"/>
      <c r="V86" s="506"/>
      <c r="W86" s="506"/>
      <c r="X86" s="506"/>
      <c r="Y86" s="506"/>
      <c r="Z86" s="506"/>
      <c r="AA86" s="506"/>
      <c r="AB86" s="506"/>
    </row>
    <row r="87" spans="2:28" s="45" customFormat="1">
      <c r="B87" s="506"/>
      <c r="C87" s="506"/>
      <c r="D87" s="506"/>
      <c r="E87" s="506"/>
      <c r="F87" s="506"/>
      <c r="G87" s="506"/>
      <c r="H87" s="506"/>
      <c r="I87" s="506"/>
      <c r="J87" s="506"/>
      <c r="K87" s="506"/>
      <c r="L87" s="506"/>
      <c r="M87" s="506"/>
      <c r="N87" s="506"/>
      <c r="O87" s="506"/>
      <c r="P87" s="506"/>
      <c r="Q87" s="506"/>
      <c r="R87" s="506"/>
      <c r="S87" s="506"/>
      <c r="T87" s="506"/>
      <c r="U87" s="506"/>
      <c r="V87" s="506"/>
      <c r="W87" s="506"/>
      <c r="X87" s="506"/>
      <c r="Y87" s="506"/>
      <c r="Z87" s="506"/>
      <c r="AA87" s="506"/>
      <c r="AB87" s="506"/>
    </row>
    <row r="88" spans="2:28" s="45" customFormat="1">
      <c r="B88" s="506"/>
      <c r="C88" s="506"/>
      <c r="D88" s="506"/>
      <c r="E88" s="506"/>
      <c r="F88" s="506"/>
      <c r="G88" s="506"/>
      <c r="H88" s="506"/>
      <c r="I88" s="506"/>
      <c r="J88" s="506"/>
      <c r="K88" s="506"/>
      <c r="L88" s="506"/>
      <c r="M88" s="506"/>
      <c r="N88" s="506"/>
      <c r="O88" s="506"/>
      <c r="P88" s="506"/>
      <c r="Q88" s="506"/>
      <c r="R88" s="506"/>
      <c r="S88" s="506"/>
      <c r="T88" s="506"/>
      <c r="U88" s="506"/>
      <c r="V88" s="506"/>
      <c r="W88" s="506"/>
      <c r="X88" s="506"/>
      <c r="Y88" s="506"/>
      <c r="Z88" s="506"/>
      <c r="AA88" s="506"/>
      <c r="AB88" s="506"/>
    </row>
    <row r="89" spans="2:28" s="45" customFormat="1">
      <c r="B89" s="506"/>
      <c r="C89" s="506"/>
      <c r="D89" s="506"/>
      <c r="E89" s="506"/>
      <c r="F89" s="506"/>
      <c r="G89" s="506"/>
      <c r="H89" s="506"/>
      <c r="I89" s="506"/>
      <c r="J89" s="506"/>
      <c r="K89" s="506"/>
      <c r="L89" s="506"/>
      <c r="M89" s="506"/>
      <c r="N89" s="506"/>
      <c r="O89" s="506"/>
      <c r="P89" s="506"/>
      <c r="Q89" s="506"/>
      <c r="R89" s="506"/>
      <c r="S89" s="506"/>
      <c r="T89" s="506"/>
      <c r="U89" s="506"/>
      <c r="V89" s="506"/>
      <c r="W89" s="506"/>
      <c r="X89" s="506"/>
      <c r="Y89" s="506"/>
      <c r="Z89" s="506"/>
      <c r="AA89" s="506"/>
      <c r="AB89" s="506"/>
    </row>
    <row r="90" spans="2:28" s="45" customFormat="1">
      <c r="B90" s="506"/>
      <c r="C90" s="506"/>
      <c r="D90" s="506"/>
      <c r="E90" s="506"/>
      <c r="F90" s="506"/>
      <c r="G90" s="506"/>
      <c r="H90" s="506"/>
      <c r="I90" s="506"/>
      <c r="J90" s="506"/>
      <c r="K90" s="506"/>
      <c r="L90" s="506"/>
      <c r="M90" s="506"/>
      <c r="N90" s="506"/>
      <c r="O90" s="506"/>
      <c r="P90" s="506"/>
      <c r="Q90" s="506"/>
      <c r="R90" s="506"/>
      <c r="S90" s="506"/>
      <c r="T90" s="506"/>
      <c r="U90" s="506"/>
      <c r="V90" s="506"/>
      <c r="W90" s="506"/>
      <c r="X90" s="506"/>
      <c r="Y90" s="506"/>
      <c r="Z90" s="506"/>
      <c r="AA90" s="506"/>
      <c r="AB90" s="506"/>
    </row>
    <row r="91" spans="2:28" s="45" customFormat="1">
      <c r="B91" s="506"/>
      <c r="C91" s="506"/>
      <c r="D91" s="506"/>
      <c r="E91" s="506"/>
      <c r="F91" s="506"/>
      <c r="G91" s="506"/>
      <c r="H91" s="506"/>
      <c r="I91" s="506"/>
      <c r="J91" s="506"/>
      <c r="K91" s="506"/>
      <c r="L91" s="506"/>
      <c r="M91" s="506"/>
      <c r="N91" s="506"/>
      <c r="O91" s="506"/>
      <c r="P91" s="506"/>
      <c r="Q91" s="506"/>
      <c r="R91" s="506"/>
      <c r="S91" s="506"/>
      <c r="T91" s="506"/>
      <c r="U91" s="506"/>
      <c r="V91" s="506"/>
      <c r="W91" s="506"/>
      <c r="X91" s="506"/>
      <c r="Y91" s="506"/>
      <c r="Z91" s="506"/>
      <c r="AA91" s="506"/>
      <c r="AB91" s="506"/>
    </row>
    <row r="92" spans="2:28" s="45" customFormat="1">
      <c r="B92" s="506"/>
      <c r="C92" s="506"/>
      <c r="D92" s="506"/>
      <c r="E92" s="506"/>
      <c r="F92" s="506"/>
      <c r="G92" s="506"/>
      <c r="H92" s="506"/>
      <c r="I92" s="506"/>
      <c r="J92" s="506"/>
      <c r="K92" s="506"/>
      <c r="L92" s="506"/>
      <c r="M92" s="506"/>
      <c r="N92" s="506"/>
      <c r="O92" s="506"/>
      <c r="P92" s="506"/>
      <c r="Q92" s="506"/>
      <c r="R92" s="506"/>
      <c r="S92" s="506"/>
      <c r="T92" s="506"/>
      <c r="U92" s="506"/>
      <c r="V92" s="506"/>
      <c r="W92" s="506"/>
      <c r="X92" s="506"/>
      <c r="Y92" s="506"/>
      <c r="Z92" s="506"/>
      <c r="AA92" s="506"/>
      <c r="AB92" s="506"/>
    </row>
    <row r="93" spans="2:28" s="45" customFormat="1">
      <c r="B93" s="506"/>
      <c r="C93" s="506"/>
      <c r="D93" s="506"/>
      <c r="E93" s="506"/>
      <c r="F93" s="506"/>
      <c r="G93" s="506"/>
      <c r="H93" s="506"/>
      <c r="I93" s="506"/>
      <c r="J93" s="506"/>
      <c r="K93" s="506"/>
      <c r="L93" s="506"/>
      <c r="M93" s="506"/>
      <c r="N93" s="506"/>
      <c r="O93" s="506"/>
      <c r="P93" s="506"/>
      <c r="Q93" s="506"/>
      <c r="R93" s="506"/>
      <c r="S93" s="506"/>
      <c r="T93" s="506"/>
      <c r="U93" s="506"/>
      <c r="V93" s="506"/>
      <c r="W93" s="506"/>
      <c r="X93" s="506"/>
      <c r="Y93" s="506"/>
      <c r="Z93" s="506"/>
      <c r="AA93" s="506"/>
      <c r="AB93" s="506"/>
    </row>
    <row r="94" spans="2:28" s="45" customFormat="1">
      <c r="B94" s="506"/>
      <c r="C94" s="506"/>
      <c r="D94" s="506"/>
      <c r="E94" s="506"/>
      <c r="F94" s="506"/>
      <c r="G94" s="506"/>
      <c r="H94" s="506"/>
      <c r="I94" s="506"/>
      <c r="J94" s="506"/>
      <c r="K94" s="506"/>
      <c r="L94" s="506"/>
      <c r="M94" s="506"/>
      <c r="N94" s="506"/>
      <c r="O94" s="506"/>
      <c r="P94" s="506"/>
      <c r="Q94" s="506"/>
      <c r="R94" s="506"/>
      <c r="S94" s="506"/>
      <c r="T94" s="506"/>
      <c r="U94" s="506"/>
      <c r="V94" s="506"/>
      <c r="W94" s="506"/>
      <c r="X94" s="506"/>
      <c r="Y94" s="506"/>
      <c r="Z94" s="506"/>
      <c r="AA94" s="506"/>
      <c r="AB94" s="506"/>
    </row>
    <row r="95" spans="2:28" s="45" customFormat="1">
      <c r="B95" s="506"/>
      <c r="C95" s="506"/>
      <c r="D95" s="506"/>
      <c r="E95" s="506"/>
      <c r="F95" s="506"/>
      <c r="G95" s="506"/>
      <c r="H95" s="506"/>
      <c r="I95" s="506"/>
      <c r="J95" s="506"/>
      <c r="K95" s="506"/>
      <c r="L95" s="506"/>
      <c r="M95" s="506"/>
      <c r="N95" s="506"/>
      <c r="O95" s="506"/>
      <c r="P95" s="506"/>
      <c r="Q95" s="506"/>
      <c r="R95" s="506"/>
      <c r="S95" s="506"/>
      <c r="T95" s="506"/>
      <c r="U95" s="506"/>
      <c r="V95" s="506"/>
      <c r="W95" s="506"/>
      <c r="X95" s="506"/>
      <c r="Y95" s="506"/>
      <c r="Z95" s="506"/>
      <c r="AA95" s="506"/>
      <c r="AB95" s="506"/>
    </row>
    <row r="96" spans="2:28" s="45" customFormat="1">
      <c r="B96" s="506"/>
      <c r="C96" s="506"/>
      <c r="D96" s="506"/>
      <c r="E96" s="506"/>
      <c r="F96" s="506"/>
      <c r="G96" s="506"/>
      <c r="H96" s="506"/>
      <c r="I96" s="506"/>
      <c r="J96" s="506"/>
      <c r="K96" s="506"/>
      <c r="L96" s="506"/>
      <c r="M96" s="506"/>
      <c r="N96" s="506"/>
      <c r="O96" s="506"/>
      <c r="P96" s="506"/>
      <c r="Q96" s="506"/>
      <c r="R96" s="506"/>
      <c r="S96" s="506"/>
      <c r="T96" s="506"/>
      <c r="U96" s="506"/>
      <c r="V96" s="506"/>
      <c r="W96" s="506"/>
      <c r="X96" s="506"/>
      <c r="Y96" s="506"/>
      <c r="Z96" s="506"/>
      <c r="AA96" s="506"/>
      <c r="AB96" s="506"/>
    </row>
    <row r="97" spans="2:28" s="45" customFormat="1"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6"/>
      <c r="Q97" s="506"/>
      <c r="R97" s="506"/>
      <c r="S97" s="506"/>
      <c r="T97" s="506"/>
      <c r="U97" s="506"/>
      <c r="V97" s="506"/>
      <c r="W97" s="506"/>
      <c r="X97" s="506"/>
      <c r="Y97" s="506"/>
      <c r="Z97" s="506"/>
      <c r="AA97" s="506"/>
      <c r="AB97" s="506"/>
    </row>
    <row r="98" spans="2:28" s="45" customFormat="1">
      <c r="B98" s="506"/>
      <c r="C98" s="506"/>
      <c r="D98" s="506"/>
      <c r="E98" s="506"/>
      <c r="F98" s="506"/>
      <c r="G98" s="506"/>
      <c r="H98" s="506"/>
      <c r="I98" s="506"/>
      <c r="J98" s="506"/>
      <c r="K98" s="506"/>
      <c r="L98" s="506"/>
      <c r="M98" s="506"/>
      <c r="N98" s="506"/>
      <c r="O98" s="506"/>
      <c r="P98" s="506"/>
      <c r="Q98" s="506"/>
      <c r="R98" s="506"/>
      <c r="S98" s="506"/>
      <c r="T98" s="506"/>
      <c r="U98" s="506"/>
      <c r="V98" s="506"/>
      <c r="W98" s="506"/>
      <c r="X98" s="506"/>
      <c r="Y98" s="506"/>
      <c r="Z98" s="506"/>
      <c r="AA98" s="506"/>
      <c r="AB98" s="506"/>
    </row>
    <row r="99" spans="2:28" s="45" customFormat="1">
      <c r="B99" s="506"/>
      <c r="C99" s="506"/>
      <c r="D99" s="506"/>
      <c r="E99" s="506"/>
      <c r="F99" s="506"/>
      <c r="G99" s="506"/>
      <c r="H99" s="506"/>
      <c r="I99" s="506"/>
      <c r="J99" s="506"/>
      <c r="K99" s="506"/>
      <c r="L99" s="506"/>
      <c r="M99" s="506"/>
      <c r="N99" s="506"/>
      <c r="O99" s="506"/>
      <c r="P99" s="506"/>
      <c r="Q99" s="506"/>
      <c r="R99" s="506"/>
      <c r="S99" s="506"/>
      <c r="T99" s="506"/>
      <c r="U99" s="506"/>
      <c r="V99" s="506"/>
      <c r="W99" s="506"/>
      <c r="X99" s="506"/>
      <c r="Y99" s="506"/>
      <c r="Z99" s="506"/>
      <c r="AA99" s="506"/>
      <c r="AB99" s="506"/>
    </row>
    <row r="100" spans="2:28" s="45" customFormat="1">
      <c r="B100" s="506"/>
      <c r="C100" s="506"/>
      <c r="D100" s="506"/>
      <c r="E100" s="506"/>
      <c r="F100" s="506"/>
      <c r="G100" s="506"/>
      <c r="H100" s="506"/>
      <c r="I100" s="506"/>
      <c r="J100" s="506"/>
      <c r="K100" s="506"/>
      <c r="L100" s="506"/>
      <c r="M100" s="506"/>
      <c r="N100" s="506"/>
      <c r="O100" s="506"/>
      <c r="P100" s="506"/>
      <c r="Q100" s="506"/>
      <c r="R100" s="506"/>
      <c r="S100" s="506"/>
      <c r="T100" s="506"/>
      <c r="U100" s="506"/>
      <c r="V100" s="506"/>
      <c r="W100" s="506"/>
      <c r="X100" s="506"/>
      <c r="Y100" s="506"/>
      <c r="Z100" s="506"/>
      <c r="AA100" s="506"/>
      <c r="AB100" s="506"/>
    </row>
    <row r="101" spans="2:28" s="45" customFormat="1">
      <c r="B101" s="506"/>
      <c r="C101" s="506"/>
      <c r="D101" s="506"/>
      <c r="E101" s="506"/>
      <c r="F101" s="506"/>
      <c r="G101" s="506"/>
      <c r="H101" s="506"/>
      <c r="I101" s="506"/>
      <c r="J101" s="506"/>
      <c r="K101" s="506"/>
      <c r="L101" s="506"/>
      <c r="M101" s="506"/>
      <c r="N101" s="506"/>
      <c r="O101" s="506"/>
      <c r="P101" s="506"/>
      <c r="Q101" s="506"/>
      <c r="R101" s="506"/>
      <c r="S101" s="506"/>
      <c r="T101" s="506"/>
      <c r="U101" s="506"/>
      <c r="V101" s="506"/>
      <c r="W101" s="506"/>
      <c r="X101" s="506"/>
      <c r="Y101" s="506"/>
      <c r="Z101" s="506"/>
      <c r="AA101" s="506"/>
      <c r="AB101" s="506"/>
    </row>
    <row r="102" spans="2:28" s="45" customFormat="1">
      <c r="B102" s="506"/>
      <c r="C102" s="506"/>
      <c r="D102" s="506"/>
      <c r="E102" s="506"/>
      <c r="F102" s="506"/>
      <c r="G102" s="506"/>
      <c r="H102" s="506"/>
      <c r="I102" s="506"/>
      <c r="J102" s="506"/>
      <c r="K102" s="506"/>
      <c r="L102" s="506"/>
      <c r="M102" s="506"/>
      <c r="N102" s="506"/>
      <c r="O102" s="506"/>
      <c r="P102" s="506"/>
      <c r="Q102" s="506"/>
      <c r="R102" s="506"/>
      <c r="S102" s="506"/>
      <c r="T102" s="506"/>
      <c r="U102" s="506"/>
      <c r="V102" s="506"/>
      <c r="W102" s="506"/>
      <c r="X102" s="506"/>
      <c r="Y102" s="506"/>
      <c r="Z102" s="506"/>
      <c r="AA102" s="506"/>
      <c r="AB102" s="506"/>
    </row>
    <row r="103" spans="2:28" s="45" customFormat="1">
      <c r="B103" s="506"/>
      <c r="C103" s="506"/>
      <c r="D103" s="506"/>
      <c r="E103" s="506"/>
      <c r="F103" s="506"/>
      <c r="G103" s="506"/>
      <c r="H103" s="506"/>
      <c r="I103" s="506"/>
      <c r="J103" s="506"/>
      <c r="K103" s="506"/>
      <c r="L103" s="506"/>
      <c r="M103" s="506"/>
      <c r="N103" s="506"/>
      <c r="O103" s="506"/>
      <c r="P103" s="506"/>
      <c r="Q103" s="506"/>
      <c r="R103" s="506"/>
      <c r="S103" s="506"/>
      <c r="T103" s="506"/>
      <c r="U103" s="506"/>
      <c r="V103" s="506"/>
      <c r="W103" s="506"/>
      <c r="X103" s="506"/>
      <c r="Y103" s="506"/>
      <c r="Z103" s="506"/>
      <c r="AA103" s="506"/>
      <c r="AB103" s="506"/>
    </row>
    <row r="104" spans="2:28" s="45" customFormat="1">
      <c r="B104" s="506"/>
      <c r="C104" s="506"/>
      <c r="D104" s="506"/>
      <c r="E104" s="506"/>
      <c r="F104" s="506"/>
      <c r="G104" s="506"/>
      <c r="H104" s="506"/>
      <c r="I104" s="506"/>
      <c r="J104" s="506"/>
      <c r="K104" s="506"/>
      <c r="L104" s="506"/>
      <c r="M104" s="506"/>
      <c r="N104" s="506"/>
      <c r="O104" s="506"/>
      <c r="P104" s="506"/>
      <c r="Q104" s="506"/>
      <c r="R104" s="506"/>
      <c r="S104" s="506"/>
      <c r="T104" s="506"/>
      <c r="U104" s="506"/>
      <c r="V104" s="506"/>
      <c r="W104" s="506"/>
      <c r="X104" s="506"/>
      <c r="Y104" s="506"/>
      <c r="Z104" s="506"/>
      <c r="AA104" s="506"/>
      <c r="AB104" s="506"/>
    </row>
    <row r="105" spans="2:28" s="45" customFormat="1">
      <c r="B105" s="506"/>
      <c r="C105" s="506"/>
      <c r="D105" s="506"/>
      <c r="E105" s="506"/>
      <c r="F105" s="506"/>
      <c r="G105" s="506"/>
      <c r="H105" s="506"/>
      <c r="I105" s="506"/>
      <c r="J105" s="506"/>
      <c r="K105" s="506"/>
      <c r="L105" s="506"/>
      <c r="M105" s="506"/>
      <c r="N105" s="506"/>
      <c r="O105" s="506"/>
      <c r="P105" s="506"/>
      <c r="Q105" s="506"/>
      <c r="R105" s="506"/>
      <c r="S105" s="506"/>
      <c r="T105" s="506"/>
      <c r="U105" s="506"/>
      <c r="V105" s="506"/>
      <c r="W105" s="506"/>
      <c r="X105" s="506"/>
      <c r="Y105" s="506"/>
      <c r="Z105" s="506"/>
      <c r="AA105" s="506"/>
      <c r="AB105" s="506"/>
    </row>
    <row r="106" spans="2:28" s="45" customFormat="1">
      <c r="B106" s="506"/>
      <c r="C106" s="506"/>
      <c r="D106" s="506"/>
      <c r="E106" s="506"/>
      <c r="F106" s="506"/>
      <c r="G106" s="506"/>
      <c r="H106" s="506"/>
      <c r="I106" s="506"/>
      <c r="J106" s="506"/>
      <c r="K106" s="506"/>
      <c r="L106" s="506"/>
      <c r="M106" s="506"/>
      <c r="N106" s="506"/>
      <c r="O106" s="506"/>
      <c r="P106" s="506"/>
      <c r="Q106" s="506"/>
      <c r="R106" s="506"/>
      <c r="S106" s="506"/>
      <c r="T106" s="506"/>
      <c r="U106" s="506"/>
      <c r="V106" s="506"/>
      <c r="W106" s="506"/>
      <c r="X106" s="506"/>
      <c r="Y106" s="506"/>
      <c r="Z106" s="506"/>
      <c r="AA106" s="506"/>
      <c r="AB106" s="506"/>
    </row>
    <row r="107" spans="2:28" s="45" customFormat="1">
      <c r="B107" s="506"/>
      <c r="C107" s="506"/>
      <c r="D107" s="506"/>
      <c r="E107" s="506"/>
      <c r="F107" s="506"/>
      <c r="G107" s="506"/>
      <c r="H107" s="506"/>
      <c r="I107" s="506"/>
      <c r="J107" s="506"/>
      <c r="K107" s="506"/>
      <c r="L107" s="506"/>
      <c r="M107" s="506"/>
      <c r="N107" s="506"/>
      <c r="O107" s="506"/>
      <c r="P107" s="506"/>
      <c r="Q107" s="506"/>
      <c r="R107" s="506"/>
      <c r="S107" s="506"/>
      <c r="T107" s="506"/>
      <c r="U107" s="506"/>
      <c r="V107" s="506"/>
      <c r="W107" s="506"/>
      <c r="X107" s="506"/>
      <c r="Y107" s="506"/>
      <c r="Z107" s="506"/>
      <c r="AA107" s="506"/>
      <c r="AB107" s="506"/>
    </row>
    <row r="108" spans="2:28" s="45" customFormat="1">
      <c r="B108" s="506"/>
      <c r="C108" s="506"/>
      <c r="D108" s="506"/>
      <c r="E108" s="506"/>
      <c r="F108" s="506"/>
      <c r="G108" s="506"/>
      <c r="H108" s="506"/>
      <c r="I108" s="506"/>
      <c r="J108" s="506"/>
      <c r="K108" s="506"/>
      <c r="L108" s="506"/>
      <c r="M108" s="506"/>
      <c r="N108" s="506"/>
      <c r="O108" s="506"/>
      <c r="P108" s="506"/>
      <c r="Q108" s="506"/>
      <c r="R108" s="506"/>
      <c r="S108" s="506"/>
      <c r="T108" s="506"/>
      <c r="U108" s="506"/>
      <c r="V108" s="506"/>
      <c r="W108" s="506"/>
      <c r="X108" s="506"/>
      <c r="Y108" s="506"/>
      <c r="Z108" s="506"/>
      <c r="AA108" s="506"/>
      <c r="AB108" s="506"/>
    </row>
    <row r="109" spans="2:28" s="45" customFormat="1">
      <c r="B109" s="506"/>
      <c r="C109" s="506"/>
      <c r="D109" s="506"/>
      <c r="E109" s="506"/>
      <c r="F109" s="506"/>
      <c r="G109" s="506"/>
      <c r="H109" s="506"/>
      <c r="I109" s="506"/>
      <c r="J109" s="506"/>
      <c r="K109" s="506"/>
      <c r="L109" s="506"/>
      <c r="M109" s="506"/>
      <c r="N109" s="506"/>
      <c r="O109" s="506"/>
      <c r="P109" s="506"/>
      <c r="Q109" s="506"/>
      <c r="R109" s="506"/>
      <c r="S109" s="506"/>
      <c r="T109" s="506"/>
      <c r="U109" s="506"/>
      <c r="V109" s="506"/>
      <c r="W109" s="506"/>
      <c r="X109" s="506"/>
      <c r="Y109" s="506"/>
      <c r="Z109" s="506"/>
      <c r="AA109" s="506"/>
      <c r="AB109" s="506"/>
    </row>
    <row r="110" spans="2:28" s="45" customFormat="1">
      <c r="B110" s="506"/>
      <c r="C110" s="506"/>
      <c r="D110" s="506"/>
      <c r="E110" s="506"/>
      <c r="F110" s="506"/>
      <c r="G110" s="506"/>
      <c r="H110" s="506"/>
      <c r="I110" s="506"/>
      <c r="J110" s="506"/>
      <c r="K110" s="506"/>
      <c r="L110" s="506"/>
      <c r="M110" s="506"/>
      <c r="N110" s="506"/>
      <c r="O110" s="506"/>
      <c r="P110" s="506"/>
      <c r="Q110" s="506"/>
      <c r="R110" s="506"/>
      <c r="S110" s="506"/>
      <c r="T110" s="506"/>
      <c r="U110" s="506"/>
      <c r="V110" s="506"/>
      <c r="W110" s="506"/>
      <c r="X110" s="506"/>
      <c r="Y110" s="506"/>
      <c r="Z110" s="506"/>
      <c r="AA110" s="506"/>
      <c r="AB110" s="506"/>
    </row>
    <row r="111" spans="2:28" s="45" customFormat="1">
      <c r="B111" s="506"/>
      <c r="C111" s="506"/>
      <c r="D111" s="506"/>
      <c r="E111" s="506"/>
      <c r="F111" s="506"/>
      <c r="G111" s="506"/>
      <c r="H111" s="506"/>
      <c r="I111" s="506"/>
      <c r="J111" s="506"/>
      <c r="K111" s="506"/>
      <c r="L111" s="506"/>
      <c r="M111" s="506"/>
      <c r="N111" s="506"/>
      <c r="O111" s="506"/>
      <c r="P111" s="506"/>
      <c r="Q111" s="506"/>
      <c r="R111" s="506"/>
      <c r="S111" s="506"/>
      <c r="T111" s="506"/>
      <c r="U111" s="506"/>
      <c r="V111" s="506"/>
      <c r="W111" s="506"/>
      <c r="X111" s="506"/>
      <c r="Y111" s="506"/>
      <c r="Z111" s="506"/>
      <c r="AA111" s="506"/>
      <c r="AB111" s="506"/>
    </row>
    <row r="112" spans="2:28" s="45" customFormat="1">
      <c r="B112" s="506"/>
      <c r="C112" s="506"/>
      <c r="D112" s="506"/>
      <c r="E112" s="506"/>
      <c r="F112" s="506"/>
      <c r="G112" s="506"/>
      <c r="H112" s="506"/>
      <c r="I112" s="506"/>
      <c r="J112" s="506"/>
      <c r="K112" s="506"/>
      <c r="L112" s="506"/>
      <c r="M112" s="506"/>
      <c r="N112" s="506"/>
      <c r="O112" s="506"/>
      <c r="P112" s="506"/>
      <c r="Q112" s="506"/>
      <c r="R112" s="506"/>
      <c r="S112" s="506"/>
      <c r="T112" s="506"/>
      <c r="U112" s="506"/>
      <c r="V112" s="506"/>
      <c r="W112" s="506"/>
      <c r="X112" s="506"/>
      <c r="Y112" s="506"/>
      <c r="Z112" s="506"/>
      <c r="AA112" s="506"/>
      <c r="AB112" s="506"/>
    </row>
    <row r="113" spans="2:28" s="45" customFormat="1">
      <c r="B113" s="506"/>
      <c r="C113" s="506"/>
      <c r="D113" s="506"/>
      <c r="E113" s="506"/>
      <c r="F113" s="506"/>
      <c r="G113" s="506"/>
      <c r="H113" s="506"/>
      <c r="I113" s="506"/>
      <c r="J113" s="506"/>
      <c r="K113" s="506"/>
      <c r="L113" s="506"/>
      <c r="M113" s="506"/>
      <c r="N113" s="506"/>
      <c r="O113" s="506"/>
      <c r="P113" s="506"/>
      <c r="Q113" s="506"/>
      <c r="R113" s="506"/>
      <c r="S113" s="506"/>
      <c r="T113" s="506"/>
      <c r="U113" s="506"/>
      <c r="V113" s="506"/>
      <c r="W113" s="506"/>
      <c r="X113" s="506"/>
      <c r="Y113" s="506"/>
      <c r="Z113" s="506"/>
      <c r="AA113" s="506"/>
      <c r="AB113" s="506"/>
    </row>
    <row r="114" spans="2:28" s="45" customFormat="1">
      <c r="B114" s="506"/>
      <c r="C114" s="506"/>
      <c r="D114" s="506"/>
      <c r="E114" s="506"/>
      <c r="F114" s="506"/>
      <c r="G114" s="506"/>
      <c r="H114" s="506"/>
      <c r="I114" s="506"/>
      <c r="J114" s="506"/>
      <c r="K114" s="506"/>
      <c r="L114" s="506"/>
      <c r="M114" s="506"/>
      <c r="N114" s="506"/>
      <c r="O114" s="506"/>
      <c r="P114" s="506"/>
      <c r="Q114" s="506"/>
      <c r="R114" s="506"/>
      <c r="S114" s="506"/>
      <c r="T114" s="506"/>
      <c r="U114" s="506"/>
      <c r="V114" s="506"/>
      <c r="W114" s="506"/>
      <c r="X114" s="506"/>
      <c r="Y114" s="506"/>
      <c r="Z114" s="506"/>
      <c r="AA114" s="506"/>
      <c r="AB114" s="506"/>
    </row>
    <row r="115" spans="2:28" s="45" customFormat="1">
      <c r="B115" s="506"/>
      <c r="C115" s="506"/>
      <c r="D115" s="506"/>
      <c r="E115" s="506"/>
      <c r="F115" s="506"/>
      <c r="G115" s="506"/>
      <c r="H115" s="506"/>
      <c r="I115" s="506"/>
      <c r="J115" s="506"/>
      <c r="K115" s="506"/>
      <c r="L115" s="506"/>
      <c r="M115" s="506"/>
      <c r="N115" s="506"/>
      <c r="O115" s="506"/>
      <c r="P115" s="506"/>
      <c r="Q115" s="506"/>
      <c r="R115" s="506"/>
      <c r="S115" s="506"/>
      <c r="T115" s="506"/>
      <c r="U115" s="506"/>
      <c r="V115" s="506"/>
      <c r="W115" s="506"/>
      <c r="X115" s="506"/>
      <c r="Y115" s="506"/>
      <c r="Z115" s="506"/>
      <c r="AA115" s="506"/>
      <c r="AB115" s="506"/>
    </row>
    <row r="116" spans="2:28" s="45" customFormat="1">
      <c r="B116" s="506"/>
      <c r="C116" s="506"/>
      <c r="D116" s="506"/>
      <c r="E116" s="506"/>
      <c r="F116" s="506"/>
      <c r="G116" s="506"/>
      <c r="H116" s="506"/>
      <c r="I116" s="506"/>
      <c r="J116" s="506"/>
      <c r="K116" s="506"/>
      <c r="L116" s="506"/>
      <c r="M116" s="506"/>
      <c r="N116" s="506"/>
      <c r="O116" s="506"/>
      <c r="P116" s="506"/>
      <c r="Q116" s="506"/>
      <c r="R116" s="506"/>
      <c r="S116" s="506"/>
      <c r="T116" s="506"/>
      <c r="U116" s="506"/>
      <c r="V116" s="506"/>
      <c r="W116" s="506"/>
      <c r="X116" s="506"/>
      <c r="Y116" s="506"/>
      <c r="Z116" s="506"/>
      <c r="AA116" s="506"/>
      <c r="AB116" s="506"/>
    </row>
    <row r="117" spans="2:28" s="45" customFormat="1">
      <c r="B117" s="506"/>
      <c r="C117" s="506"/>
      <c r="D117" s="506"/>
      <c r="E117" s="506"/>
      <c r="F117" s="506"/>
      <c r="G117" s="506"/>
      <c r="H117" s="506"/>
      <c r="I117" s="506"/>
      <c r="J117" s="506"/>
      <c r="K117" s="506"/>
      <c r="L117" s="506"/>
      <c r="M117" s="506"/>
      <c r="N117" s="506"/>
      <c r="O117" s="506"/>
      <c r="P117" s="506"/>
      <c r="Q117" s="506"/>
      <c r="R117" s="506"/>
      <c r="S117" s="506"/>
      <c r="T117" s="506"/>
      <c r="U117" s="506"/>
      <c r="V117" s="506"/>
      <c r="W117" s="506"/>
      <c r="X117" s="506"/>
      <c r="Y117" s="506"/>
      <c r="Z117" s="506"/>
      <c r="AA117" s="506"/>
      <c r="AB117" s="506"/>
    </row>
    <row r="118" spans="2:28" s="45" customFormat="1">
      <c r="B118" s="506"/>
      <c r="C118" s="506"/>
      <c r="D118" s="506"/>
      <c r="E118" s="506"/>
      <c r="F118" s="506"/>
      <c r="G118" s="506"/>
      <c r="H118" s="506"/>
      <c r="I118" s="506"/>
      <c r="J118" s="506"/>
      <c r="K118" s="506"/>
      <c r="L118" s="506"/>
      <c r="M118" s="506"/>
      <c r="N118" s="506"/>
      <c r="O118" s="506"/>
      <c r="P118" s="506"/>
      <c r="Q118" s="506"/>
      <c r="R118" s="506"/>
      <c r="S118" s="506"/>
      <c r="T118" s="506"/>
      <c r="U118" s="506"/>
      <c r="V118" s="506"/>
      <c r="W118" s="506"/>
      <c r="X118" s="506"/>
      <c r="Y118" s="506"/>
      <c r="Z118" s="506"/>
      <c r="AA118" s="506"/>
      <c r="AB118" s="506"/>
    </row>
    <row r="119" spans="2:28" s="45" customFormat="1">
      <c r="B119" s="506"/>
      <c r="C119" s="506"/>
      <c r="D119" s="506"/>
      <c r="E119" s="506"/>
      <c r="F119" s="506"/>
      <c r="G119" s="506"/>
      <c r="H119" s="506"/>
      <c r="I119" s="506"/>
      <c r="J119" s="506"/>
      <c r="K119" s="506"/>
      <c r="L119" s="506"/>
      <c r="M119" s="506"/>
      <c r="N119" s="506"/>
      <c r="O119" s="506"/>
      <c r="P119" s="506"/>
      <c r="Q119" s="506"/>
      <c r="R119" s="506"/>
      <c r="S119" s="506"/>
      <c r="T119" s="506"/>
      <c r="U119" s="506"/>
      <c r="V119" s="506"/>
      <c r="W119" s="506"/>
      <c r="X119" s="506"/>
      <c r="Y119" s="506"/>
      <c r="Z119" s="506"/>
      <c r="AA119" s="506"/>
      <c r="AB119" s="506"/>
    </row>
    <row r="120" spans="2:28" s="45" customFormat="1">
      <c r="B120" s="506"/>
      <c r="C120" s="506"/>
      <c r="D120" s="506"/>
      <c r="E120" s="506"/>
      <c r="F120" s="506"/>
      <c r="G120" s="506"/>
      <c r="H120" s="506"/>
      <c r="I120" s="506"/>
      <c r="J120" s="506"/>
      <c r="K120" s="506"/>
      <c r="L120" s="506"/>
      <c r="M120" s="506"/>
      <c r="N120" s="506"/>
      <c r="O120" s="506"/>
      <c r="P120" s="506"/>
      <c r="Q120" s="506"/>
      <c r="R120" s="506"/>
      <c r="S120" s="506"/>
      <c r="T120" s="506"/>
      <c r="U120" s="506"/>
      <c r="V120" s="506"/>
      <c r="W120" s="506"/>
      <c r="X120" s="506"/>
      <c r="Y120" s="506"/>
      <c r="Z120" s="506"/>
      <c r="AA120" s="506"/>
      <c r="AB120" s="506"/>
    </row>
    <row r="121" spans="2:28" s="45" customFormat="1">
      <c r="B121" s="506"/>
      <c r="C121" s="506"/>
      <c r="D121" s="506"/>
      <c r="E121" s="506"/>
      <c r="F121" s="506"/>
      <c r="G121" s="506"/>
      <c r="H121" s="506"/>
      <c r="I121" s="506"/>
      <c r="J121" s="506"/>
      <c r="K121" s="506"/>
      <c r="L121" s="506"/>
      <c r="M121" s="506"/>
      <c r="N121" s="506"/>
      <c r="O121" s="506"/>
      <c r="P121" s="506"/>
      <c r="Q121" s="506"/>
      <c r="R121" s="506"/>
      <c r="S121" s="506"/>
      <c r="T121" s="506"/>
      <c r="U121" s="506"/>
      <c r="V121" s="506"/>
      <c r="W121" s="506"/>
      <c r="X121" s="506"/>
      <c r="Y121" s="506"/>
      <c r="Z121" s="506"/>
      <c r="AA121" s="506"/>
      <c r="AB121" s="506"/>
    </row>
    <row r="122" spans="2:28" s="45" customFormat="1">
      <c r="B122" s="506"/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506"/>
      <c r="N122" s="506"/>
      <c r="O122" s="506"/>
      <c r="P122" s="506"/>
      <c r="Q122" s="506"/>
      <c r="R122" s="506"/>
      <c r="S122" s="506"/>
      <c r="T122" s="506"/>
      <c r="U122" s="506"/>
      <c r="V122" s="506"/>
      <c r="W122" s="506"/>
      <c r="X122" s="506"/>
      <c r="Y122" s="506"/>
      <c r="Z122" s="506"/>
      <c r="AA122" s="506"/>
      <c r="AB122" s="506"/>
    </row>
    <row r="123" spans="2:28" s="45" customFormat="1">
      <c r="B123" s="506"/>
      <c r="C123" s="506"/>
      <c r="D123" s="506"/>
      <c r="E123" s="506"/>
      <c r="F123" s="506"/>
      <c r="G123" s="506"/>
      <c r="H123" s="506"/>
      <c r="I123" s="506"/>
      <c r="J123" s="506"/>
      <c r="K123" s="506"/>
      <c r="L123" s="506"/>
      <c r="M123" s="506"/>
      <c r="N123" s="506"/>
      <c r="O123" s="506"/>
      <c r="P123" s="506"/>
      <c r="Q123" s="506"/>
      <c r="R123" s="506"/>
      <c r="S123" s="506"/>
      <c r="T123" s="506"/>
      <c r="U123" s="506"/>
      <c r="V123" s="506"/>
      <c r="W123" s="506"/>
      <c r="X123" s="506"/>
      <c r="Y123" s="506"/>
      <c r="Z123" s="506"/>
      <c r="AA123" s="506"/>
      <c r="AB123" s="506"/>
    </row>
    <row r="124" spans="2:28" s="45" customFormat="1">
      <c r="B124" s="506"/>
      <c r="C124" s="506"/>
      <c r="D124" s="506"/>
      <c r="E124" s="506"/>
      <c r="F124" s="506"/>
      <c r="G124" s="506"/>
      <c r="H124" s="506"/>
      <c r="I124" s="506"/>
      <c r="J124" s="506"/>
      <c r="K124" s="506"/>
      <c r="L124" s="506"/>
      <c r="M124" s="506"/>
      <c r="N124" s="506"/>
      <c r="O124" s="506"/>
      <c r="P124" s="506"/>
      <c r="Q124" s="506"/>
      <c r="R124" s="506"/>
      <c r="S124" s="506"/>
      <c r="T124" s="506"/>
      <c r="U124" s="506"/>
      <c r="V124" s="506"/>
      <c r="W124" s="506"/>
      <c r="X124" s="506"/>
      <c r="Y124" s="506"/>
      <c r="Z124" s="506"/>
      <c r="AA124" s="506"/>
      <c r="AB124" s="506"/>
    </row>
    <row r="125" spans="2:28" s="45" customFormat="1">
      <c r="B125" s="506"/>
      <c r="C125" s="506"/>
      <c r="D125" s="506"/>
      <c r="E125" s="506"/>
      <c r="F125" s="506"/>
      <c r="G125" s="506"/>
      <c r="H125" s="506"/>
      <c r="I125" s="506"/>
      <c r="J125" s="506"/>
      <c r="K125" s="506"/>
      <c r="L125" s="506"/>
      <c r="M125" s="506"/>
      <c r="N125" s="506"/>
      <c r="O125" s="506"/>
      <c r="P125" s="506"/>
      <c r="Q125" s="506"/>
      <c r="R125" s="506"/>
      <c r="S125" s="506"/>
      <c r="T125" s="506"/>
      <c r="U125" s="506"/>
      <c r="V125" s="506"/>
      <c r="W125" s="506"/>
      <c r="X125" s="506"/>
      <c r="Y125" s="506"/>
      <c r="Z125" s="506"/>
      <c r="AA125" s="506"/>
      <c r="AB125" s="506"/>
    </row>
    <row r="126" spans="2:28" s="45" customFormat="1">
      <c r="B126" s="506"/>
      <c r="C126" s="506"/>
      <c r="D126" s="506"/>
      <c r="E126" s="506"/>
      <c r="F126" s="506"/>
      <c r="G126" s="506"/>
      <c r="H126" s="506"/>
      <c r="I126" s="506"/>
      <c r="J126" s="506"/>
      <c r="K126" s="506"/>
      <c r="L126" s="506"/>
      <c r="M126" s="506"/>
      <c r="N126" s="506"/>
      <c r="O126" s="506"/>
      <c r="P126" s="506"/>
      <c r="Q126" s="506"/>
      <c r="R126" s="506"/>
      <c r="S126" s="506"/>
      <c r="T126" s="506"/>
      <c r="U126" s="506"/>
      <c r="V126" s="506"/>
      <c r="W126" s="506"/>
      <c r="X126" s="506"/>
      <c r="Y126" s="506"/>
      <c r="Z126" s="506"/>
      <c r="AA126" s="506"/>
      <c r="AB126" s="506"/>
    </row>
    <row r="127" spans="2:28" s="45" customFormat="1">
      <c r="B127" s="506"/>
      <c r="C127" s="506"/>
      <c r="D127" s="506"/>
      <c r="E127" s="506"/>
      <c r="F127" s="506"/>
      <c r="G127" s="506"/>
      <c r="H127" s="506"/>
      <c r="I127" s="506"/>
      <c r="J127" s="506"/>
      <c r="K127" s="506"/>
      <c r="L127" s="506"/>
      <c r="M127" s="506"/>
      <c r="N127" s="506"/>
      <c r="O127" s="506"/>
      <c r="P127" s="506"/>
      <c r="Q127" s="506"/>
      <c r="R127" s="506"/>
      <c r="S127" s="506"/>
      <c r="T127" s="506"/>
      <c r="U127" s="506"/>
      <c r="V127" s="506"/>
      <c r="W127" s="506"/>
      <c r="X127" s="506"/>
      <c r="Y127" s="506"/>
      <c r="Z127" s="506"/>
      <c r="AA127" s="506"/>
      <c r="AB127" s="506"/>
    </row>
    <row r="128" spans="2:28" s="45" customFormat="1">
      <c r="B128" s="506"/>
      <c r="C128" s="506"/>
      <c r="D128" s="506"/>
      <c r="E128" s="506"/>
      <c r="F128" s="506"/>
      <c r="G128" s="506"/>
      <c r="H128" s="506"/>
      <c r="I128" s="506"/>
      <c r="J128" s="506"/>
      <c r="K128" s="506"/>
      <c r="L128" s="506"/>
      <c r="M128" s="506"/>
      <c r="N128" s="506"/>
      <c r="O128" s="506"/>
      <c r="P128" s="506"/>
      <c r="Q128" s="506"/>
      <c r="R128" s="506"/>
      <c r="S128" s="506"/>
      <c r="T128" s="506"/>
      <c r="U128" s="506"/>
      <c r="V128" s="506"/>
      <c r="W128" s="506"/>
      <c r="X128" s="506"/>
      <c r="Y128" s="506"/>
      <c r="Z128" s="506"/>
      <c r="AA128" s="506"/>
      <c r="AB128" s="506"/>
    </row>
    <row r="129" spans="2:28" s="45" customFormat="1">
      <c r="B129" s="506"/>
      <c r="C129" s="506"/>
      <c r="D129" s="506"/>
      <c r="E129" s="506"/>
      <c r="F129" s="506"/>
      <c r="G129" s="506"/>
      <c r="H129" s="506"/>
      <c r="I129" s="506"/>
      <c r="J129" s="506"/>
      <c r="K129" s="506"/>
      <c r="L129" s="506"/>
      <c r="M129" s="506"/>
      <c r="N129" s="506"/>
      <c r="O129" s="506"/>
      <c r="P129" s="506"/>
      <c r="Q129" s="506"/>
      <c r="R129" s="506"/>
      <c r="S129" s="506"/>
      <c r="T129" s="506"/>
      <c r="U129" s="506"/>
      <c r="V129" s="506"/>
      <c r="W129" s="506"/>
      <c r="X129" s="506"/>
      <c r="Y129" s="506"/>
      <c r="Z129" s="506"/>
      <c r="AA129" s="506"/>
      <c r="AB129" s="506"/>
    </row>
    <row r="130" spans="2:28" s="45" customFormat="1">
      <c r="B130" s="506"/>
      <c r="C130" s="506"/>
      <c r="D130" s="506"/>
      <c r="E130" s="506"/>
      <c r="F130" s="506"/>
      <c r="G130" s="506"/>
      <c r="H130" s="506"/>
      <c r="I130" s="506"/>
      <c r="J130" s="506"/>
      <c r="K130" s="506"/>
      <c r="L130" s="506"/>
      <c r="M130" s="506"/>
      <c r="N130" s="506"/>
      <c r="O130" s="506"/>
      <c r="P130" s="506"/>
      <c r="Q130" s="506"/>
      <c r="R130" s="506"/>
      <c r="S130" s="506"/>
      <c r="T130" s="506"/>
      <c r="U130" s="506"/>
      <c r="V130" s="506"/>
      <c r="W130" s="506"/>
      <c r="X130" s="506"/>
      <c r="Y130" s="506"/>
      <c r="Z130" s="506"/>
      <c r="AA130" s="506"/>
      <c r="AB130" s="506"/>
    </row>
    <row r="131" spans="2:28" s="45" customFormat="1">
      <c r="B131" s="506"/>
      <c r="C131" s="506"/>
      <c r="D131" s="506"/>
      <c r="E131" s="506"/>
      <c r="F131" s="506"/>
      <c r="G131" s="506"/>
      <c r="H131" s="506"/>
      <c r="I131" s="506"/>
      <c r="J131" s="506"/>
      <c r="K131" s="506"/>
      <c r="L131" s="506"/>
      <c r="M131" s="506"/>
      <c r="N131" s="506"/>
      <c r="O131" s="506"/>
      <c r="P131" s="506"/>
      <c r="Q131" s="506"/>
      <c r="R131" s="506"/>
      <c r="S131" s="506"/>
      <c r="T131" s="506"/>
      <c r="U131" s="506"/>
      <c r="V131" s="506"/>
      <c r="W131" s="506"/>
      <c r="X131" s="506"/>
      <c r="Y131" s="506"/>
      <c r="Z131" s="506"/>
      <c r="AA131" s="506"/>
      <c r="AB131" s="506"/>
    </row>
    <row r="132" spans="2:28" s="45" customFormat="1">
      <c r="B132" s="506"/>
      <c r="C132" s="506"/>
      <c r="D132" s="506"/>
      <c r="E132" s="506"/>
      <c r="F132" s="506"/>
      <c r="G132" s="506"/>
      <c r="H132" s="506"/>
      <c r="I132" s="506"/>
      <c r="J132" s="506"/>
      <c r="K132" s="506"/>
      <c r="L132" s="506"/>
      <c r="M132" s="506"/>
      <c r="N132" s="506"/>
      <c r="O132" s="506"/>
      <c r="P132" s="506"/>
      <c r="Q132" s="506"/>
      <c r="R132" s="506"/>
      <c r="S132" s="506"/>
      <c r="T132" s="506"/>
      <c r="U132" s="506"/>
      <c r="V132" s="506"/>
      <c r="W132" s="506"/>
      <c r="X132" s="506"/>
      <c r="Y132" s="506"/>
      <c r="Z132" s="506"/>
      <c r="AA132" s="506"/>
      <c r="AB132" s="506"/>
    </row>
    <row r="133" spans="2:28" s="45" customFormat="1">
      <c r="B133" s="506"/>
      <c r="C133" s="506"/>
      <c r="D133" s="506"/>
      <c r="E133" s="506"/>
      <c r="F133" s="506"/>
      <c r="G133" s="506"/>
      <c r="H133" s="506"/>
      <c r="I133" s="506"/>
      <c r="J133" s="506"/>
      <c r="K133" s="506"/>
      <c r="L133" s="506"/>
      <c r="M133" s="506"/>
      <c r="N133" s="506"/>
      <c r="O133" s="506"/>
      <c r="P133" s="506"/>
      <c r="Q133" s="506"/>
      <c r="R133" s="506"/>
      <c r="S133" s="506"/>
      <c r="T133" s="506"/>
      <c r="U133" s="506"/>
      <c r="V133" s="506"/>
      <c r="W133" s="506"/>
      <c r="X133" s="506"/>
      <c r="Y133" s="506"/>
      <c r="Z133" s="506"/>
      <c r="AA133" s="506"/>
      <c r="AB133" s="506"/>
    </row>
    <row r="134" spans="2:28" s="45" customFormat="1">
      <c r="B134" s="506"/>
      <c r="C134" s="506"/>
      <c r="D134" s="506"/>
      <c r="E134" s="506"/>
      <c r="F134" s="506"/>
      <c r="G134" s="506"/>
      <c r="H134" s="506"/>
      <c r="I134" s="506"/>
      <c r="J134" s="506"/>
      <c r="K134" s="506"/>
      <c r="L134" s="506"/>
      <c r="M134" s="506"/>
      <c r="N134" s="506"/>
      <c r="O134" s="506"/>
      <c r="P134" s="506"/>
      <c r="Q134" s="506"/>
      <c r="R134" s="506"/>
      <c r="S134" s="506"/>
      <c r="T134" s="506"/>
      <c r="U134" s="506"/>
      <c r="V134" s="506"/>
      <c r="W134" s="506"/>
      <c r="X134" s="506"/>
      <c r="Y134" s="506"/>
      <c r="Z134" s="506"/>
      <c r="AA134" s="506"/>
      <c r="AB134" s="506"/>
    </row>
    <row r="135" spans="2:28" s="45" customFormat="1">
      <c r="B135" s="506"/>
      <c r="C135" s="506"/>
      <c r="D135" s="506"/>
      <c r="E135" s="506"/>
      <c r="F135" s="506"/>
      <c r="G135" s="506"/>
      <c r="H135" s="506"/>
      <c r="I135" s="506"/>
      <c r="J135" s="506"/>
      <c r="K135" s="506"/>
      <c r="L135" s="506"/>
      <c r="M135" s="506"/>
      <c r="N135" s="506"/>
      <c r="O135" s="506"/>
      <c r="P135" s="506"/>
      <c r="Q135" s="506"/>
      <c r="R135" s="506"/>
      <c r="S135" s="506"/>
      <c r="T135" s="506"/>
      <c r="U135" s="506"/>
      <c r="V135" s="506"/>
      <c r="W135" s="506"/>
      <c r="X135" s="506"/>
      <c r="Y135" s="506"/>
      <c r="Z135" s="506"/>
      <c r="AA135" s="506"/>
      <c r="AB135" s="506"/>
    </row>
    <row r="136" spans="2:28" s="45" customFormat="1">
      <c r="B136" s="506"/>
      <c r="C136" s="506"/>
      <c r="D136" s="506"/>
      <c r="E136" s="506"/>
      <c r="F136" s="506"/>
      <c r="G136" s="506"/>
      <c r="H136" s="506"/>
      <c r="I136" s="506"/>
      <c r="J136" s="506"/>
      <c r="K136" s="506"/>
      <c r="L136" s="506"/>
      <c r="M136" s="506"/>
      <c r="N136" s="506"/>
      <c r="O136" s="506"/>
      <c r="P136" s="506"/>
      <c r="Q136" s="506"/>
      <c r="R136" s="506"/>
      <c r="S136" s="506"/>
      <c r="T136" s="506"/>
      <c r="U136" s="506"/>
      <c r="V136" s="506"/>
      <c r="W136" s="506"/>
      <c r="X136" s="506"/>
      <c r="Y136" s="506"/>
      <c r="Z136" s="506"/>
      <c r="AA136" s="506"/>
      <c r="AB136" s="506"/>
    </row>
    <row r="137" spans="2:28" s="45" customFormat="1">
      <c r="B137" s="506"/>
      <c r="C137" s="506"/>
      <c r="D137" s="506"/>
      <c r="E137" s="506"/>
      <c r="F137" s="506"/>
      <c r="G137" s="506"/>
      <c r="H137" s="506"/>
      <c r="I137" s="506"/>
      <c r="J137" s="506"/>
      <c r="K137" s="506"/>
      <c r="L137" s="506"/>
      <c r="M137" s="506"/>
      <c r="N137" s="506"/>
      <c r="O137" s="506"/>
      <c r="P137" s="506"/>
      <c r="Q137" s="506"/>
      <c r="R137" s="506"/>
      <c r="S137" s="506"/>
      <c r="T137" s="506"/>
      <c r="U137" s="506"/>
      <c r="V137" s="506"/>
      <c r="W137" s="506"/>
      <c r="X137" s="506"/>
      <c r="Y137" s="506"/>
      <c r="Z137" s="506"/>
      <c r="AA137" s="506"/>
      <c r="AB137" s="506"/>
    </row>
    <row r="138" spans="2:28" s="45" customFormat="1">
      <c r="B138" s="506"/>
      <c r="C138" s="506"/>
      <c r="D138" s="506"/>
      <c r="E138" s="506"/>
      <c r="F138" s="506"/>
      <c r="G138" s="506"/>
      <c r="H138" s="506"/>
      <c r="I138" s="506"/>
      <c r="J138" s="506"/>
      <c r="K138" s="506"/>
      <c r="L138" s="506"/>
      <c r="M138" s="506"/>
      <c r="N138" s="506"/>
      <c r="O138" s="506"/>
      <c r="P138" s="506"/>
      <c r="Q138" s="506"/>
      <c r="R138" s="506"/>
      <c r="S138" s="506"/>
      <c r="T138" s="506"/>
      <c r="U138" s="506"/>
      <c r="V138" s="506"/>
      <c r="W138" s="506"/>
      <c r="X138" s="506"/>
      <c r="Y138" s="506"/>
      <c r="Z138" s="506"/>
      <c r="AA138" s="506"/>
      <c r="AB138" s="506"/>
    </row>
    <row r="139" spans="2:28" s="45" customFormat="1">
      <c r="B139" s="506"/>
      <c r="C139" s="506"/>
      <c r="D139" s="506"/>
      <c r="E139" s="506"/>
      <c r="F139" s="506"/>
      <c r="G139" s="506"/>
      <c r="H139" s="506"/>
      <c r="I139" s="506"/>
      <c r="J139" s="506"/>
      <c r="K139" s="506"/>
      <c r="L139" s="506"/>
      <c r="M139" s="506"/>
      <c r="N139" s="506"/>
      <c r="O139" s="506"/>
      <c r="P139" s="506"/>
      <c r="Q139" s="506"/>
      <c r="R139" s="506"/>
      <c r="S139" s="506"/>
      <c r="T139" s="506"/>
      <c r="U139" s="506"/>
      <c r="V139" s="506"/>
      <c r="W139" s="506"/>
      <c r="X139" s="506"/>
      <c r="Y139" s="506"/>
      <c r="Z139" s="506"/>
      <c r="AA139" s="506"/>
      <c r="AB139" s="506"/>
    </row>
    <row r="140" spans="2:28" s="45" customFormat="1">
      <c r="B140" s="506"/>
      <c r="C140" s="506"/>
      <c r="D140" s="506"/>
      <c r="E140" s="506"/>
      <c r="F140" s="506"/>
      <c r="G140" s="506"/>
      <c r="H140" s="506"/>
      <c r="I140" s="506"/>
      <c r="J140" s="506"/>
      <c r="K140" s="506"/>
      <c r="L140" s="506"/>
      <c r="M140" s="506"/>
      <c r="N140" s="506"/>
      <c r="O140" s="506"/>
      <c r="P140" s="506"/>
      <c r="Q140" s="506"/>
      <c r="R140" s="506"/>
      <c r="S140" s="506"/>
      <c r="T140" s="506"/>
      <c r="U140" s="506"/>
      <c r="V140" s="506"/>
      <c r="W140" s="506"/>
      <c r="X140" s="506"/>
      <c r="Y140" s="506"/>
      <c r="Z140" s="506"/>
      <c r="AA140" s="506"/>
      <c r="AB140" s="506"/>
    </row>
    <row r="141" spans="2:28" s="45" customFormat="1">
      <c r="B141" s="506"/>
      <c r="C141" s="506"/>
      <c r="D141" s="506"/>
      <c r="E141" s="506"/>
      <c r="F141" s="506"/>
      <c r="G141" s="506"/>
      <c r="H141" s="506"/>
      <c r="I141" s="506"/>
      <c r="J141" s="506"/>
      <c r="K141" s="506"/>
      <c r="L141" s="506"/>
      <c r="M141" s="506"/>
      <c r="N141" s="506"/>
      <c r="O141" s="506"/>
      <c r="P141" s="506"/>
      <c r="Q141" s="506"/>
      <c r="R141" s="506"/>
      <c r="S141" s="506"/>
      <c r="T141" s="506"/>
      <c r="U141" s="506"/>
      <c r="V141" s="506"/>
      <c r="W141" s="506"/>
      <c r="X141" s="506"/>
      <c r="Y141" s="506"/>
      <c r="Z141" s="506"/>
      <c r="AA141" s="506"/>
      <c r="AB141" s="506"/>
    </row>
    <row r="142" spans="2:28" s="45" customFormat="1">
      <c r="B142" s="506"/>
      <c r="C142" s="506"/>
      <c r="D142" s="506"/>
      <c r="E142" s="506"/>
      <c r="F142" s="506"/>
      <c r="G142" s="506"/>
      <c r="H142" s="506"/>
      <c r="I142" s="506"/>
      <c r="J142" s="506"/>
      <c r="K142" s="506"/>
      <c r="L142" s="506"/>
      <c r="M142" s="506"/>
      <c r="N142" s="506"/>
      <c r="O142" s="506"/>
      <c r="P142" s="506"/>
      <c r="Q142" s="506"/>
      <c r="R142" s="506"/>
      <c r="S142" s="506"/>
      <c r="T142" s="506"/>
      <c r="U142" s="506"/>
      <c r="V142" s="506"/>
      <c r="W142" s="506"/>
      <c r="X142" s="506"/>
      <c r="Y142" s="506"/>
      <c r="Z142" s="506"/>
      <c r="AA142" s="506"/>
      <c r="AB142" s="506"/>
    </row>
    <row r="143" spans="2:28" s="45" customFormat="1">
      <c r="B143" s="506"/>
      <c r="C143" s="506"/>
      <c r="D143" s="506"/>
      <c r="E143" s="506"/>
      <c r="F143" s="506"/>
      <c r="G143" s="506"/>
      <c r="H143" s="506"/>
      <c r="I143" s="506"/>
      <c r="J143" s="506"/>
      <c r="K143" s="506"/>
      <c r="L143" s="506"/>
      <c r="M143" s="506"/>
      <c r="N143" s="506"/>
      <c r="O143" s="506"/>
      <c r="P143" s="506"/>
      <c r="Q143" s="506"/>
      <c r="R143" s="506"/>
      <c r="S143" s="506"/>
      <c r="T143" s="506"/>
      <c r="U143" s="506"/>
      <c r="V143" s="506"/>
      <c r="W143" s="506"/>
      <c r="X143" s="506"/>
      <c r="Y143" s="506"/>
      <c r="Z143" s="506"/>
      <c r="AA143" s="506"/>
      <c r="AB143" s="506"/>
    </row>
    <row r="144" spans="2:28" s="45" customFormat="1">
      <c r="B144" s="506"/>
      <c r="C144" s="506"/>
      <c r="D144" s="506"/>
      <c r="E144" s="506"/>
      <c r="F144" s="506"/>
      <c r="G144" s="506"/>
      <c r="H144" s="506"/>
      <c r="I144" s="506"/>
      <c r="J144" s="506"/>
      <c r="K144" s="506"/>
      <c r="L144" s="506"/>
      <c r="M144" s="506"/>
      <c r="N144" s="506"/>
      <c r="O144" s="506"/>
      <c r="P144" s="506"/>
      <c r="Q144" s="506"/>
      <c r="R144" s="506"/>
      <c r="S144" s="506"/>
      <c r="T144" s="506"/>
      <c r="U144" s="506"/>
      <c r="V144" s="506"/>
      <c r="W144" s="506"/>
      <c r="X144" s="506"/>
      <c r="Y144" s="506"/>
      <c r="Z144" s="506"/>
      <c r="AA144" s="506"/>
      <c r="AB144" s="506"/>
    </row>
    <row r="145" spans="2:28" s="45" customFormat="1">
      <c r="B145" s="506"/>
      <c r="C145" s="506"/>
      <c r="D145" s="506"/>
      <c r="E145" s="506"/>
      <c r="F145" s="506"/>
      <c r="G145" s="506"/>
      <c r="H145" s="506"/>
      <c r="I145" s="506"/>
      <c r="J145" s="506"/>
      <c r="K145" s="506"/>
      <c r="L145" s="506"/>
      <c r="M145" s="506"/>
      <c r="N145" s="506"/>
      <c r="O145" s="506"/>
      <c r="P145" s="506"/>
      <c r="Q145" s="506"/>
      <c r="R145" s="506"/>
      <c r="S145" s="506"/>
      <c r="T145" s="506"/>
      <c r="U145" s="506"/>
      <c r="V145" s="506"/>
      <c r="W145" s="506"/>
      <c r="X145" s="506"/>
      <c r="Y145" s="506"/>
      <c r="Z145" s="506"/>
      <c r="AA145" s="506"/>
      <c r="AB145" s="506"/>
    </row>
    <row r="146" spans="2:28" s="45" customFormat="1">
      <c r="B146" s="506"/>
      <c r="C146" s="506"/>
      <c r="D146" s="506"/>
      <c r="E146" s="506"/>
      <c r="F146" s="506"/>
      <c r="G146" s="506"/>
      <c r="H146" s="506"/>
      <c r="I146" s="506"/>
      <c r="J146" s="506"/>
      <c r="K146" s="506"/>
      <c r="L146" s="506"/>
      <c r="M146" s="506"/>
      <c r="N146" s="506"/>
      <c r="O146" s="506"/>
      <c r="P146" s="506"/>
      <c r="Q146" s="506"/>
      <c r="R146" s="506"/>
      <c r="S146" s="506"/>
      <c r="T146" s="506"/>
      <c r="U146" s="506"/>
      <c r="V146" s="506"/>
      <c r="W146" s="506"/>
      <c r="X146" s="506"/>
      <c r="Y146" s="506"/>
      <c r="Z146" s="506"/>
      <c r="AA146" s="506"/>
      <c r="AB146" s="506"/>
    </row>
    <row r="147" spans="2:28" s="45" customFormat="1">
      <c r="B147" s="506"/>
      <c r="C147" s="506"/>
      <c r="D147" s="506"/>
      <c r="E147" s="506"/>
      <c r="F147" s="506"/>
      <c r="G147" s="506"/>
      <c r="H147" s="506"/>
      <c r="I147" s="506"/>
      <c r="J147" s="506"/>
      <c r="K147" s="506"/>
      <c r="L147" s="506"/>
      <c r="M147" s="506"/>
      <c r="N147" s="506"/>
      <c r="O147" s="506"/>
      <c r="P147" s="506"/>
      <c r="Q147" s="506"/>
      <c r="R147" s="506"/>
      <c r="S147" s="506"/>
      <c r="T147" s="506"/>
      <c r="U147" s="506"/>
      <c r="V147" s="506"/>
      <c r="W147" s="506"/>
      <c r="X147" s="506"/>
      <c r="Y147" s="506"/>
      <c r="Z147" s="506"/>
      <c r="AA147" s="506"/>
      <c r="AB147" s="506"/>
    </row>
    <row r="148" spans="2:28" s="45" customFormat="1">
      <c r="B148" s="506"/>
      <c r="C148" s="506"/>
      <c r="D148" s="506"/>
      <c r="E148" s="506"/>
      <c r="F148" s="506"/>
      <c r="G148" s="506"/>
      <c r="H148" s="506"/>
      <c r="I148" s="506"/>
      <c r="J148" s="506"/>
      <c r="K148" s="506"/>
      <c r="L148" s="506"/>
      <c r="M148" s="506"/>
      <c r="N148" s="506"/>
      <c r="O148" s="506"/>
      <c r="P148" s="506"/>
      <c r="Q148" s="506"/>
      <c r="R148" s="506"/>
      <c r="S148" s="506"/>
      <c r="T148" s="506"/>
      <c r="U148" s="506"/>
      <c r="V148" s="506"/>
      <c r="W148" s="506"/>
      <c r="X148" s="506"/>
      <c r="Y148" s="506"/>
      <c r="Z148" s="506"/>
      <c r="AA148" s="506"/>
      <c r="AB148" s="506"/>
    </row>
    <row r="149" spans="2:28" s="45" customFormat="1">
      <c r="B149" s="506"/>
      <c r="C149" s="506"/>
      <c r="D149" s="506"/>
      <c r="E149" s="506"/>
      <c r="F149" s="506"/>
      <c r="G149" s="506"/>
      <c r="H149" s="506"/>
      <c r="I149" s="506"/>
      <c r="J149" s="506"/>
      <c r="K149" s="506"/>
      <c r="L149" s="506"/>
      <c r="M149" s="506"/>
      <c r="N149" s="506"/>
      <c r="O149" s="506"/>
      <c r="P149" s="506"/>
      <c r="Q149" s="506"/>
      <c r="R149" s="506"/>
      <c r="S149" s="506"/>
      <c r="T149" s="506"/>
      <c r="U149" s="506"/>
      <c r="V149" s="506"/>
      <c r="W149" s="506"/>
      <c r="X149" s="506"/>
      <c r="Y149" s="506"/>
      <c r="Z149" s="506"/>
      <c r="AA149" s="506"/>
      <c r="AB149" s="506"/>
    </row>
    <row r="150" spans="2:28" s="45" customFormat="1">
      <c r="B150" s="506"/>
      <c r="C150" s="506"/>
      <c r="D150" s="506"/>
      <c r="E150" s="506"/>
      <c r="F150" s="506"/>
      <c r="G150" s="506"/>
      <c r="H150" s="506"/>
      <c r="I150" s="506"/>
      <c r="J150" s="506"/>
      <c r="K150" s="506"/>
      <c r="L150" s="506"/>
      <c r="M150" s="506"/>
      <c r="N150" s="506"/>
      <c r="O150" s="506"/>
      <c r="P150" s="506"/>
      <c r="Q150" s="506"/>
      <c r="R150" s="506"/>
      <c r="S150" s="506"/>
      <c r="T150" s="506"/>
      <c r="U150" s="506"/>
      <c r="V150" s="506"/>
      <c r="W150" s="506"/>
      <c r="X150" s="506"/>
      <c r="Y150" s="506"/>
      <c r="Z150" s="506"/>
      <c r="AA150" s="506"/>
      <c r="AB150" s="506"/>
    </row>
    <row r="151" spans="2:28" s="45" customFormat="1">
      <c r="B151" s="506"/>
      <c r="C151" s="506"/>
      <c r="D151" s="506"/>
      <c r="E151" s="506"/>
      <c r="F151" s="506"/>
      <c r="G151" s="506"/>
      <c r="H151" s="506"/>
      <c r="I151" s="506"/>
      <c r="J151" s="506"/>
      <c r="K151" s="506"/>
      <c r="L151" s="506"/>
      <c r="M151" s="506"/>
      <c r="N151" s="506"/>
      <c r="O151" s="506"/>
      <c r="P151" s="506"/>
      <c r="Q151" s="506"/>
      <c r="R151" s="506"/>
      <c r="S151" s="506"/>
      <c r="T151" s="506"/>
      <c r="U151" s="506"/>
      <c r="V151" s="506"/>
      <c r="W151" s="506"/>
      <c r="X151" s="506"/>
      <c r="Y151" s="506"/>
      <c r="Z151" s="506"/>
      <c r="AA151" s="506"/>
      <c r="AB151" s="506"/>
    </row>
    <row r="152" spans="2:28" s="45" customFormat="1">
      <c r="B152" s="506"/>
      <c r="C152" s="506"/>
      <c r="D152" s="506"/>
      <c r="E152" s="506"/>
      <c r="F152" s="506"/>
      <c r="G152" s="506"/>
      <c r="H152" s="506"/>
      <c r="I152" s="506"/>
      <c r="J152" s="506"/>
      <c r="K152" s="506"/>
      <c r="L152" s="506"/>
      <c r="M152" s="506"/>
      <c r="N152" s="506"/>
      <c r="O152" s="506"/>
      <c r="P152" s="506"/>
      <c r="Q152" s="506"/>
      <c r="R152" s="506"/>
      <c r="S152" s="506"/>
      <c r="T152" s="506"/>
      <c r="U152" s="506"/>
      <c r="V152" s="506"/>
      <c r="W152" s="506"/>
      <c r="X152" s="506"/>
      <c r="Y152" s="506"/>
      <c r="Z152" s="506"/>
      <c r="AA152" s="506"/>
      <c r="AB152" s="506"/>
    </row>
    <row r="153" spans="2:28" s="45" customFormat="1">
      <c r="B153" s="506"/>
      <c r="C153" s="506"/>
      <c r="D153" s="506"/>
      <c r="E153" s="506"/>
      <c r="F153" s="506"/>
      <c r="G153" s="506"/>
      <c r="H153" s="506"/>
      <c r="I153" s="506"/>
      <c r="J153" s="506"/>
      <c r="K153" s="506"/>
      <c r="L153" s="506"/>
      <c r="M153" s="506"/>
      <c r="N153" s="506"/>
      <c r="O153" s="506"/>
      <c r="P153" s="506"/>
      <c r="Q153" s="506"/>
      <c r="R153" s="506"/>
      <c r="S153" s="506"/>
      <c r="T153" s="506"/>
      <c r="U153" s="506"/>
      <c r="V153" s="506"/>
      <c r="W153" s="506"/>
      <c r="X153" s="506"/>
      <c r="Y153" s="506"/>
      <c r="Z153" s="506"/>
      <c r="AA153" s="506"/>
      <c r="AB153" s="506"/>
    </row>
    <row r="154" spans="2:28" s="45" customFormat="1">
      <c r="B154" s="506"/>
      <c r="C154" s="506"/>
      <c r="D154" s="506"/>
      <c r="E154" s="506"/>
      <c r="F154" s="506"/>
      <c r="G154" s="506"/>
      <c r="H154" s="506"/>
      <c r="I154" s="506"/>
      <c r="J154" s="506"/>
      <c r="K154" s="506"/>
      <c r="L154" s="506"/>
      <c r="M154" s="506"/>
      <c r="N154" s="506"/>
      <c r="O154" s="506"/>
      <c r="P154" s="506"/>
      <c r="Q154" s="506"/>
      <c r="R154" s="506"/>
      <c r="S154" s="506"/>
      <c r="T154" s="506"/>
      <c r="U154" s="506"/>
      <c r="V154" s="506"/>
      <c r="W154" s="506"/>
      <c r="X154" s="506"/>
      <c r="Y154" s="506"/>
      <c r="Z154" s="506"/>
      <c r="AA154" s="506"/>
      <c r="AB154" s="506"/>
    </row>
    <row r="155" spans="2:28" s="45" customFormat="1">
      <c r="B155" s="506"/>
      <c r="C155" s="506"/>
      <c r="D155" s="506"/>
      <c r="E155" s="506"/>
      <c r="F155" s="506"/>
      <c r="G155" s="506"/>
      <c r="H155" s="506"/>
      <c r="I155" s="506"/>
      <c r="J155" s="506"/>
      <c r="K155" s="506"/>
      <c r="L155" s="506"/>
      <c r="M155" s="506"/>
      <c r="N155" s="506"/>
      <c r="O155" s="506"/>
      <c r="P155" s="506"/>
      <c r="Q155" s="506"/>
      <c r="R155" s="506"/>
      <c r="S155" s="506"/>
      <c r="T155" s="506"/>
      <c r="U155" s="506"/>
      <c r="V155" s="506"/>
      <c r="W155" s="506"/>
      <c r="X155" s="506"/>
      <c r="Y155" s="506"/>
      <c r="Z155" s="506"/>
      <c r="AA155" s="506"/>
      <c r="AB155" s="506"/>
    </row>
    <row r="156" spans="2:28" s="45" customFormat="1">
      <c r="B156" s="506"/>
      <c r="C156" s="506"/>
      <c r="D156" s="506"/>
      <c r="E156" s="506"/>
      <c r="F156" s="506"/>
      <c r="G156" s="506"/>
      <c r="H156" s="506"/>
      <c r="I156" s="506"/>
      <c r="J156" s="506"/>
      <c r="K156" s="506"/>
      <c r="L156" s="506"/>
      <c r="M156" s="506"/>
      <c r="N156" s="506"/>
      <c r="O156" s="506"/>
      <c r="P156" s="506"/>
      <c r="Q156" s="506"/>
      <c r="R156" s="506"/>
      <c r="S156" s="506"/>
      <c r="T156" s="506"/>
      <c r="U156" s="506"/>
      <c r="V156" s="506"/>
      <c r="W156" s="506"/>
      <c r="X156" s="506"/>
      <c r="Y156" s="506"/>
      <c r="Z156" s="506"/>
      <c r="AA156" s="506"/>
      <c r="AB156" s="506"/>
    </row>
    <row r="157" spans="2:28" s="45" customFormat="1">
      <c r="B157" s="506"/>
      <c r="C157" s="506"/>
      <c r="D157" s="506"/>
      <c r="E157" s="506"/>
      <c r="F157" s="506"/>
      <c r="G157" s="506"/>
      <c r="H157" s="506"/>
      <c r="I157" s="506"/>
      <c r="J157" s="506"/>
      <c r="K157" s="506"/>
      <c r="L157" s="506"/>
      <c r="M157" s="506"/>
      <c r="N157" s="506"/>
      <c r="O157" s="506"/>
      <c r="P157" s="506"/>
      <c r="Q157" s="506"/>
      <c r="R157" s="506"/>
      <c r="S157" s="506"/>
      <c r="T157" s="506"/>
      <c r="U157" s="506"/>
      <c r="V157" s="506"/>
      <c r="W157" s="506"/>
      <c r="X157" s="506"/>
      <c r="Y157" s="506"/>
      <c r="Z157" s="506"/>
      <c r="AA157" s="506"/>
      <c r="AB157" s="506"/>
    </row>
    <row r="158" spans="2:28" s="45" customFormat="1">
      <c r="B158" s="506"/>
      <c r="C158" s="506"/>
      <c r="D158" s="506"/>
      <c r="E158" s="506"/>
      <c r="F158" s="506"/>
      <c r="G158" s="506"/>
      <c r="H158" s="506"/>
      <c r="I158" s="506"/>
      <c r="J158" s="506"/>
      <c r="K158" s="506"/>
      <c r="L158" s="506"/>
      <c r="M158" s="506"/>
      <c r="N158" s="506"/>
      <c r="O158" s="506"/>
      <c r="P158" s="506"/>
      <c r="Q158" s="506"/>
      <c r="R158" s="506"/>
      <c r="S158" s="506"/>
      <c r="T158" s="506"/>
      <c r="U158" s="506"/>
      <c r="V158" s="506"/>
      <c r="W158" s="506"/>
      <c r="X158" s="506"/>
      <c r="Y158" s="506"/>
      <c r="Z158" s="506"/>
      <c r="AA158" s="506"/>
      <c r="AB158" s="506"/>
    </row>
    <row r="159" spans="2:28" s="45" customFormat="1">
      <c r="B159" s="506"/>
      <c r="C159" s="506"/>
      <c r="D159" s="506"/>
      <c r="E159" s="506"/>
      <c r="F159" s="506"/>
      <c r="G159" s="506"/>
      <c r="H159" s="506"/>
      <c r="I159" s="506"/>
      <c r="J159" s="506"/>
      <c r="K159" s="506"/>
      <c r="L159" s="506"/>
      <c r="M159" s="506"/>
      <c r="N159" s="506"/>
      <c r="O159" s="506"/>
      <c r="P159" s="506"/>
      <c r="Q159" s="506"/>
      <c r="R159" s="506"/>
      <c r="S159" s="506"/>
      <c r="T159" s="506"/>
      <c r="U159" s="506"/>
      <c r="V159" s="506"/>
      <c r="W159" s="506"/>
      <c r="X159" s="506"/>
      <c r="Y159" s="506"/>
      <c r="Z159" s="506"/>
      <c r="AA159" s="506"/>
      <c r="AB159" s="506"/>
    </row>
    <row r="160" spans="2:28" s="45" customFormat="1">
      <c r="B160" s="506"/>
      <c r="C160" s="506"/>
      <c r="D160" s="506"/>
      <c r="E160" s="506"/>
      <c r="F160" s="506"/>
      <c r="G160" s="506"/>
      <c r="H160" s="506"/>
      <c r="I160" s="506"/>
      <c r="J160" s="506"/>
      <c r="K160" s="506"/>
      <c r="L160" s="506"/>
      <c r="M160" s="506"/>
      <c r="N160" s="506"/>
      <c r="O160" s="506"/>
      <c r="P160" s="506"/>
      <c r="Q160" s="506"/>
      <c r="R160" s="506"/>
      <c r="S160" s="506"/>
      <c r="T160" s="506"/>
      <c r="U160" s="506"/>
      <c r="V160" s="506"/>
      <c r="W160" s="506"/>
      <c r="X160" s="506"/>
      <c r="Y160" s="506"/>
      <c r="Z160" s="506"/>
      <c r="AA160" s="506"/>
      <c r="AB160" s="506"/>
    </row>
    <row r="161" spans="2:28" s="45" customFormat="1">
      <c r="B161" s="506"/>
      <c r="C161" s="506"/>
      <c r="D161" s="506"/>
      <c r="E161" s="506"/>
      <c r="F161" s="506"/>
      <c r="G161" s="506"/>
      <c r="H161" s="506"/>
      <c r="I161" s="506"/>
      <c r="J161" s="506"/>
      <c r="K161" s="506"/>
      <c r="L161" s="506"/>
      <c r="M161" s="506"/>
      <c r="N161" s="506"/>
      <c r="O161" s="506"/>
      <c r="P161" s="506"/>
      <c r="Q161" s="506"/>
      <c r="R161" s="506"/>
      <c r="S161" s="506"/>
      <c r="T161" s="506"/>
      <c r="U161" s="506"/>
      <c r="V161" s="506"/>
      <c r="W161" s="506"/>
      <c r="X161" s="506"/>
      <c r="Y161" s="506"/>
      <c r="Z161" s="506"/>
      <c r="AA161" s="506"/>
      <c r="AB161" s="506"/>
    </row>
    <row r="162" spans="2:28" s="45" customFormat="1">
      <c r="B162" s="506"/>
      <c r="C162" s="506"/>
      <c r="D162" s="506"/>
      <c r="E162" s="506"/>
      <c r="F162" s="506"/>
      <c r="G162" s="506"/>
      <c r="H162" s="506"/>
      <c r="I162" s="506"/>
      <c r="J162" s="506"/>
      <c r="K162" s="506"/>
      <c r="L162" s="506"/>
      <c r="M162" s="506"/>
      <c r="N162" s="506"/>
      <c r="O162" s="506"/>
      <c r="P162" s="506"/>
      <c r="Q162" s="506"/>
      <c r="R162" s="506"/>
      <c r="S162" s="506"/>
      <c r="T162" s="506"/>
      <c r="U162" s="506"/>
      <c r="V162" s="506"/>
      <c r="W162" s="506"/>
      <c r="X162" s="506"/>
      <c r="Y162" s="506"/>
      <c r="Z162" s="506"/>
      <c r="AA162" s="506"/>
      <c r="AB162" s="506"/>
    </row>
    <row r="163" spans="2:28" s="45" customFormat="1">
      <c r="B163" s="506"/>
      <c r="C163" s="506"/>
      <c r="D163" s="506"/>
      <c r="E163" s="506"/>
      <c r="F163" s="506"/>
      <c r="G163" s="506"/>
      <c r="H163" s="506"/>
      <c r="I163" s="506"/>
      <c r="J163" s="506"/>
      <c r="K163" s="506"/>
      <c r="L163" s="506"/>
      <c r="M163" s="506"/>
      <c r="N163" s="506"/>
      <c r="O163" s="506"/>
      <c r="P163" s="506"/>
      <c r="Q163" s="506"/>
      <c r="R163" s="506"/>
      <c r="S163" s="506"/>
      <c r="T163" s="506"/>
      <c r="U163" s="506"/>
      <c r="V163" s="506"/>
      <c r="W163" s="506"/>
      <c r="X163" s="506"/>
      <c r="Y163" s="506"/>
      <c r="Z163" s="506"/>
      <c r="AA163" s="506"/>
      <c r="AB163" s="506"/>
    </row>
    <row r="164" spans="2:28" s="45" customFormat="1">
      <c r="B164" s="506"/>
      <c r="C164" s="506"/>
      <c r="D164" s="506"/>
      <c r="E164" s="506"/>
      <c r="F164" s="506"/>
      <c r="G164" s="506"/>
      <c r="H164" s="506"/>
      <c r="I164" s="506"/>
      <c r="J164" s="506"/>
      <c r="K164" s="506"/>
      <c r="L164" s="506"/>
      <c r="M164" s="506"/>
      <c r="N164" s="506"/>
      <c r="O164" s="506"/>
      <c r="P164" s="506"/>
      <c r="Q164" s="506"/>
      <c r="R164" s="506"/>
      <c r="S164" s="506"/>
      <c r="T164" s="506"/>
      <c r="U164" s="506"/>
      <c r="V164" s="506"/>
      <c r="W164" s="506"/>
      <c r="X164" s="506"/>
      <c r="Y164" s="506"/>
      <c r="Z164" s="506"/>
      <c r="AA164" s="506"/>
      <c r="AB164" s="506"/>
    </row>
    <row r="165" spans="2:28" s="45" customFormat="1">
      <c r="B165" s="506"/>
      <c r="C165" s="506"/>
      <c r="D165" s="506"/>
      <c r="E165" s="506"/>
      <c r="F165" s="506"/>
      <c r="G165" s="506"/>
      <c r="H165" s="506"/>
      <c r="I165" s="506"/>
      <c r="J165" s="506"/>
      <c r="K165" s="506"/>
      <c r="L165" s="506"/>
      <c r="M165" s="506"/>
      <c r="N165" s="506"/>
      <c r="O165" s="506"/>
      <c r="P165" s="506"/>
      <c r="Q165" s="506"/>
      <c r="R165" s="506"/>
      <c r="S165" s="506"/>
      <c r="T165" s="506"/>
      <c r="U165" s="506"/>
      <c r="V165" s="506"/>
      <c r="W165" s="506"/>
      <c r="X165" s="506"/>
      <c r="Y165" s="506"/>
      <c r="Z165" s="506"/>
      <c r="AA165" s="506"/>
      <c r="AB165" s="506"/>
    </row>
    <row r="166" spans="2:28" s="45" customFormat="1">
      <c r="B166" s="506"/>
      <c r="C166" s="506"/>
      <c r="D166" s="506"/>
      <c r="E166" s="506"/>
      <c r="F166" s="506"/>
      <c r="G166" s="506"/>
      <c r="H166" s="506"/>
      <c r="I166" s="506"/>
      <c r="J166" s="506"/>
      <c r="K166" s="506"/>
      <c r="L166" s="506"/>
      <c r="M166" s="506"/>
      <c r="N166" s="506"/>
      <c r="O166" s="506"/>
      <c r="P166" s="506"/>
      <c r="Q166" s="506"/>
      <c r="R166" s="506"/>
      <c r="S166" s="506"/>
      <c r="T166" s="506"/>
      <c r="U166" s="506"/>
      <c r="V166" s="506"/>
      <c r="W166" s="506"/>
      <c r="X166" s="506"/>
      <c r="Y166" s="506"/>
      <c r="Z166" s="506"/>
      <c r="AA166" s="506"/>
      <c r="AB166" s="506"/>
    </row>
    <row r="167" spans="2:28" s="45" customFormat="1">
      <c r="B167" s="506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6"/>
      <c r="N167" s="506"/>
      <c r="O167" s="506"/>
      <c r="P167" s="506"/>
      <c r="Q167" s="506"/>
      <c r="R167" s="506"/>
      <c r="S167" s="506"/>
      <c r="T167" s="506"/>
      <c r="U167" s="506"/>
      <c r="V167" s="506"/>
      <c r="W167" s="506"/>
      <c r="X167" s="506"/>
      <c r="Y167" s="506"/>
      <c r="Z167" s="506"/>
      <c r="AA167" s="506"/>
      <c r="AB167" s="506"/>
    </row>
    <row r="168" spans="2:28" s="45" customFormat="1">
      <c r="B168" s="506"/>
      <c r="C168" s="506"/>
      <c r="D168" s="506"/>
      <c r="E168" s="506"/>
      <c r="F168" s="506"/>
      <c r="G168" s="506"/>
      <c r="H168" s="506"/>
      <c r="I168" s="506"/>
      <c r="J168" s="506"/>
      <c r="K168" s="506"/>
      <c r="L168" s="506"/>
      <c r="M168" s="506"/>
      <c r="N168" s="506"/>
      <c r="O168" s="506"/>
      <c r="P168" s="506"/>
      <c r="Q168" s="506"/>
      <c r="R168" s="506"/>
      <c r="S168" s="506"/>
      <c r="T168" s="506"/>
      <c r="U168" s="506"/>
      <c r="V168" s="506"/>
      <c r="W168" s="506"/>
      <c r="X168" s="506"/>
      <c r="Y168" s="506"/>
      <c r="Z168" s="506"/>
      <c r="AA168" s="506"/>
      <c r="AB168" s="506"/>
    </row>
    <row r="169" spans="2:28" s="45" customFormat="1">
      <c r="B169" s="506"/>
      <c r="C169" s="506"/>
      <c r="D169" s="506"/>
      <c r="E169" s="506"/>
      <c r="F169" s="506"/>
      <c r="G169" s="506"/>
      <c r="H169" s="506"/>
      <c r="I169" s="506"/>
      <c r="J169" s="506"/>
      <c r="K169" s="506"/>
      <c r="L169" s="506"/>
      <c r="M169" s="506"/>
      <c r="N169" s="506"/>
      <c r="O169" s="506"/>
      <c r="P169" s="506"/>
      <c r="Q169" s="506"/>
      <c r="R169" s="506"/>
      <c r="S169" s="506"/>
      <c r="T169" s="506"/>
      <c r="U169" s="506"/>
      <c r="V169" s="506"/>
      <c r="W169" s="506"/>
      <c r="X169" s="506"/>
      <c r="Y169" s="506"/>
      <c r="Z169" s="506"/>
      <c r="AA169" s="506"/>
      <c r="AB169" s="506"/>
    </row>
    <row r="170" spans="2:28" s="45" customFormat="1">
      <c r="B170" s="506"/>
      <c r="C170" s="506"/>
      <c r="D170" s="506"/>
      <c r="E170" s="506"/>
      <c r="F170" s="506"/>
      <c r="G170" s="506"/>
      <c r="H170" s="506"/>
      <c r="I170" s="506"/>
      <c r="J170" s="506"/>
      <c r="K170" s="506"/>
      <c r="L170" s="506"/>
      <c r="M170" s="506"/>
      <c r="N170" s="506"/>
      <c r="O170" s="506"/>
      <c r="P170" s="506"/>
      <c r="Q170" s="506"/>
      <c r="R170" s="506"/>
      <c r="S170" s="506"/>
      <c r="T170" s="506"/>
      <c r="U170" s="506"/>
      <c r="V170" s="506"/>
      <c r="W170" s="506"/>
      <c r="X170" s="506"/>
      <c r="Y170" s="506"/>
      <c r="Z170" s="506"/>
      <c r="AA170" s="506"/>
      <c r="AB170" s="506"/>
    </row>
    <row r="171" spans="2:28" s="45" customFormat="1">
      <c r="B171" s="506"/>
      <c r="C171" s="506"/>
      <c r="D171" s="506"/>
      <c r="E171" s="506"/>
      <c r="F171" s="506"/>
      <c r="G171" s="506"/>
      <c r="H171" s="506"/>
      <c r="I171" s="506"/>
      <c r="J171" s="506"/>
      <c r="K171" s="506"/>
      <c r="L171" s="506"/>
      <c r="M171" s="506"/>
      <c r="N171" s="506"/>
      <c r="O171" s="506"/>
      <c r="P171" s="506"/>
      <c r="Q171" s="506"/>
      <c r="R171" s="506"/>
      <c r="S171" s="506"/>
      <c r="T171" s="506"/>
      <c r="U171" s="506"/>
      <c r="V171" s="506"/>
      <c r="W171" s="506"/>
      <c r="X171" s="506"/>
      <c r="Y171" s="506"/>
      <c r="Z171" s="506"/>
      <c r="AA171" s="506"/>
      <c r="AB171" s="506"/>
    </row>
    <row r="172" spans="2:28" s="45" customFormat="1">
      <c r="B172" s="506"/>
      <c r="C172" s="506"/>
      <c r="D172" s="506"/>
      <c r="E172" s="506"/>
      <c r="F172" s="506"/>
      <c r="G172" s="506"/>
      <c r="H172" s="506"/>
      <c r="I172" s="506"/>
      <c r="J172" s="506"/>
      <c r="K172" s="506"/>
      <c r="L172" s="506"/>
      <c r="M172" s="506"/>
      <c r="N172" s="506"/>
      <c r="O172" s="506"/>
      <c r="P172" s="506"/>
      <c r="Q172" s="506"/>
      <c r="R172" s="506"/>
      <c r="S172" s="506"/>
      <c r="T172" s="506"/>
      <c r="U172" s="506"/>
      <c r="V172" s="506"/>
      <c r="W172" s="506"/>
      <c r="X172" s="506"/>
      <c r="Y172" s="506"/>
      <c r="Z172" s="506"/>
      <c r="AA172" s="506"/>
      <c r="AB172" s="506"/>
    </row>
    <row r="173" spans="2:28" s="45" customFormat="1">
      <c r="B173" s="506"/>
      <c r="C173" s="506"/>
      <c r="D173" s="506"/>
      <c r="E173" s="506"/>
      <c r="F173" s="506"/>
      <c r="G173" s="506"/>
      <c r="H173" s="506"/>
      <c r="I173" s="506"/>
      <c r="J173" s="506"/>
      <c r="K173" s="506"/>
      <c r="L173" s="506"/>
      <c r="M173" s="506"/>
      <c r="N173" s="506"/>
      <c r="O173" s="506"/>
      <c r="P173" s="506"/>
      <c r="Q173" s="506"/>
      <c r="R173" s="506"/>
      <c r="S173" s="506"/>
      <c r="T173" s="506"/>
      <c r="U173" s="506"/>
      <c r="V173" s="506"/>
      <c r="W173" s="506"/>
      <c r="X173" s="506"/>
      <c r="Y173" s="506"/>
      <c r="Z173" s="506"/>
      <c r="AA173" s="506"/>
      <c r="AB173" s="506"/>
    </row>
    <row r="174" spans="2:28" s="45" customFormat="1">
      <c r="B174" s="506"/>
      <c r="C174" s="506"/>
      <c r="D174" s="506"/>
      <c r="E174" s="506"/>
      <c r="F174" s="506"/>
      <c r="G174" s="506"/>
      <c r="H174" s="506"/>
      <c r="I174" s="506"/>
      <c r="J174" s="506"/>
      <c r="K174" s="506"/>
      <c r="L174" s="506"/>
      <c r="M174" s="506"/>
      <c r="N174" s="506"/>
      <c r="O174" s="506"/>
      <c r="P174" s="506"/>
      <c r="Q174" s="506"/>
      <c r="R174" s="506"/>
      <c r="S174" s="506"/>
      <c r="T174" s="506"/>
      <c r="U174" s="506"/>
      <c r="V174" s="506"/>
      <c r="W174" s="506"/>
      <c r="X174" s="506"/>
      <c r="Y174" s="506"/>
      <c r="Z174" s="506"/>
      <c r="AA174" s="506"/>
      <c r="AB174" s="506"/>
    </row>
    <row r="175" spans="2:28" s="45" customFormat="1">
      <c r="B175" s="506"/>
      <c r="C175" s="506"/>
      <c r="D175" s="506"/>
      <c r="E175" s="506"/>
      <c r="F175" s="506"/>
      <c r="G175" s="506"/>
      <c r="H175" s="506"/>
      <c r="I175" s="506"/>
      <c r="J175" s="506"/>
      <c r="K175" s="506"/>
      <c r="L175" s="506"/>
      <c r="M175" s="506"/>
      <c r="N175" s="506"/>
      <c r="O175" s="506"/>
      <c r="P175" s="506"/>
      <c r="Q175" s="506"/>
      <c r="R175" s="506"/>
      <c r="S175" s="506"/>
      <c r="T175" s="506"/>
      <c r="U175" s="506"/>
      <c r="V175" s="506"/>
      <c r="W175" s="506"/>
      <c r="X175" s="506"/>
      <c r="Y175" s="506"/>
      <c r="Z175" s="506"/>
      <c r="AA175" s="506"/>
      <c r="AB175" s="506"/>
    </row>
    <row r="176" spans="2:28" s="45" customFormat="1">
      <c r="B176" s="506"/>
      <c r="C176" s="506"/>
      <c r="D176" s="506"/>
      <c r="E176" s="506"/>
      <c r="F176" s="506"/>
      <c r="G176" s="506"/>
      <c r="H176" s="506"/>
      <c r="I176" s="506"/>
      <c r="J176" s="506"/>
      <c r="K176" s="506"/>
      <c r="L176" s="506"/>
      <c r="M176" s="506"/>
      <c r="N176" s="506"/>
      <c r="O176" s="506"/>
      <c r="P176" s="506"/>
      <c r="Q176" s="506"/>
      <c r="R176" s="506"/>
      <c r="S176" s="506"/>
      <c r="T176" s="506"/>
      <c r="U176" s="506"/>
      <c r="V176" s="506"/>
      <c r="W176" s="506"/>
      <c r="X176" s="506"/>
      <c r="Y176" s="506"/>
      <c r="Z176" s="506"/>
      <c r="AA176" s="506"/>
      <c r="AB176" s="506"/>
    </row>
    <row r="177" spans="2:28" s="45" customFormat="1">
      <c r="B177" s="506"/>
      <c r="C177" s="506"/>
      <c r="D177" s="506"/>
      <c r="E177" s="506"/>
      <c r="F177" s="506"/>
      <c r="G177" s="506"/>
      <c r="H177" s="506"/>
      <c r="I177" s="506"/>
      <c r="J177" s="506"/>
      <c r="K177" s="506"/>
      <c r="L177" s="506"/>
      <c r="M177" s="506"/>
      <c r="N177" s="506"/>
      <c r="O177" s="506"/>
      <c r="P177" s="506"/>
      <c r="Q177" s="506"/>
      <c r="R177" s="506"/>
      <c r="S177" s="506"/>
      <c r="T177" s="506"/>
      <c r="U177" s="506"/>
      <c r="V177" s="506"/>
      <c r="W177" s="506"/>
      <c r="X177" s="506"/>
      <c r="Y177" s="506"/>
      <c r="Z177" s="506"/>
      <c r="AA177" s="506"/>
      <c r="AB177" s="506"/>
    </row>
    <row r="178" spans="2:28" s="45" customFormat="1">
      <c r="B178" s="506"/>
      <c r="C178" s="506"/>
      <c r="D178" s="506"/>
      <c r="E178" s="506"/>
      <c r="F178" s="506"/>
      <c r="G178" s="506"/>
      <c r="H178" s="506"/>
      <c r="I178" s="506"/>
      <c r="J178" s="506"/>
      <c r="K178" s="506"/>
      <c r="L178" s="506"/>
      <c r="M178" s="506"/>
      <c r="N178" s="506"/>
      <c r="O178" s="506"/>
      <c r="P178" s="506"/>
      <c r="Q178" s="506"/>
      <c r="R178" s="506"/>
      <c r="S178" s="506"/>
      <c r="T178" s="506"/>
      <c r="U178" s="506"/>
      <c r="V178" s="506"/>
      <c r="W178" s="506"/>
      <c r="X178" s="506"/>
      <c r="Y178" s="506"/>
      <c r="Z178" s="506"/>
      <c r="AA178" s="506"/>
      <c r="AB178" s="506"/>
    </row>
    <row r="179" spans="2:28" s="45" customFormat="1">
      <c r="B179" s="506"/>
      <c r="C179" s="506"/>
      <c r="D179" s="506"/>
      <c r="E179" s="506"/>
      <c r="F179" s="506"/>
      <c r="G179" s="506"/>
      <c r="H179" s="506"/>
      <c r="I179" s="506"/>
      <c r="J179" s="506"/>
      <c r="K179" s="506"/>
      <c r="L179" s="506"/>
      <c r="M179" s="506"/>
      <c r="N179" s="506"/>
      <c r="O179" s="506"/>
      <c r="P179" s="506"/>
      <c r="Q179" s="506"/>
      <c r="R179" s="506"/>
      <c r="S179" s="506"/>
      <c r="T179" s="506"/>
      <c r="U179" s="506"/>
      <c r="V179" s="506"/>
      <c r="W179" s="506"/>
      <c r="X179" s="506"/>
      <c r="Y179" s="506"/>
      <c r="Z179" s="506"/>
      <c r="AA179" s="506"/>
      <c r="AB179" s="506"/>
    </row>
    <row r="180" spans="2:28" s="45" customFormat="1">
      <c r="B180" s="506"/>
      <c r="C180" s="506"/>
      <c r="D180" s="506"/>
      <c r="E180" s="506"/>
      <c r="F180" s="506"/>
      <c r="G180" s="506"/>
      <c r="H180" s="506"/>
      <c r="I180" s="506"/>
      <c r="J180" s="506"/>
      <c r="K180" s="506"/>
      <c r="L180" s="506"/>
      <c r="M180" s="506"/>
      <c r="N180" s="506"/>
      <c r="O180" s="506"/>
      <c r="P180" s="506"/>
      <c r="Q180" s="506"/>
      <c r="R180" s="506"/>
      <c r="S180" s="506"/>
      <c r="T180" s="506"/>
      <c r="U180" s="506"/>
      <c r="V180" s="506"/>
      <c r="W180" s="506"/>
      <c r="X180" s="506"/>
      <c r="Y180" s="506"/>
      <c r="Z180" s="506"/>
      <c r="AA180" s="506"/>
      <c r="AB180" s="506"/>
    </row>
    <row r="181" spans="2:28" s="45" customFormat="1">
      <c r="B181" s="506"/>
      <c r="C181" s="506"/>
      <c r="D181" s="506"/>
      <c r="E181" s="506"/>
      <c r="F181" s="506"/>
      <c r="G181" s="506"/>
      <c r="H181" s="506"/>
      <c r="I181" s="506"/>
      <c r="J181" s="506"/>
      <c r="K181" s="506"/>
      <c r="L181" s="506"/>
      <c r="M181" s="506"/>
      <c r="N181" s="506"/>
      <c r="O181" s="506"/>
      <c r="P181" s="506"/>
      <c r="Q181" s="506"/>
      <c r="R181" s="506"/>
      <c r="S181" s="506"/>
      <c r="T181" s="506"/>
      <c r="U181" s="506"/>
      <c r="V181" s="506"/>
      <c r="W181" s="506"/>
      <c r="X181" s="506"/>
      <c r="Y181" s="506"/>
      <c r="Z181" s="506"/>
      <c r="AA181" s="506"/>
      <c r="AB181" s="506"/>
    </row>
    <row r="182" spans="2:28" s="45" customFormat="1">
      <c r="B182" s="506"/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6"/>
      <c r="N182" s="506"/>
      <c r="O182" s="506"/>
      <c r="P182" s="506"/>
      <c r="Q182" s="506"/>
      <c r="R182" s="506"/>
      <c r="S182" s="506"/>
      <c r="T182" s="506"/>
      <c r="U182" s="506"/>
      <c r="V182" s="506"/>
      <c r="W182" s="506"/>
      <c r="X182" s="506"/>
      <c r="Y182" s="506"/>
      <c r="Z182" s="506"/>
      <c r="AA182" s="506"/>
      <c r="AB182" s="506"/>
    </row>
    <row r="183" spans="2:28" s="45" customFormat="1">
      <c r="B183" s="506"/>
      <c r="C183" s="506"/>
      <c r="D183" s="506"/>
      <c r="E183" s="506"/>
      <c r="F183" s="506"/>
      <c r="G183" s="506"/>
      <c r="H183" s="506"/>
      <c r="I183" s="506"/>
      <c r="J183" s="506"/>
      <c r="K183" s="506"/>
      <c r="L183" s="506"/>
      <c r="M183" s="506"/>
      <c r="N183" s="506"/>
      <c r="O183" s="506"/>
      <c r="P183" s="506"/>
      <c r="Q183" s="506"/>
      <c r="R183" s="506"/>
      <c r="S183" s="506"/>
      <c r="T183" s="506"/>
      <c r="U183" s="506"/>
      <c r="V183" s="506"/>
      <c r="W183" s="506"/>
      <c r="X183" s="506"/>
      <c r="Y183" s="506"/>
      <c r="Z183" s="506"/>
      <c r="AA183" s="506"/>
      <c r="AB183" s="506"/>
    </row>
    <row r="184" spans="2:28" s="45" customFormat="1">
      <c r="B184" s="506"/>
      <c r="C184" s="506"/>
      <c r="D184" s="506"/>
      <c r="E184" s="506"/>
      <c r="F184" s="506"/>
      <c r="G184" s="506"/>
      <c r="H184" s="506"/>
      <c r="I184" s="506"/>
      <c r="J184" s="506"/>
      <c r="K184" s="506"/>
      <c r="L184" s="506"/>
      <c r="M184" s="506"/>
      <c r="N184" s="506"/>
      <c r="O184" s="506"/>
      <c r="P184" s="506"/>
      <c r="Q184" s="506"/>
      <c r="R184" s="506"/>
      <c r="S184" s="506"/>
      <c r="T184" s="506"/>
      <c r="U184" s="506"/>
      <c r="V184" s="506"/>
      <c r="W184" s="506"/>
      <c r="X184" s="506"/>
      <c r="Y184" s="506"/>
      <c r="Z184" s="506"/>
      <c r="AA184" s="506"/>
      <c r="AB184" s="506"/>
    </row>
    <row r="185" spans="2:28" s="45" customFormat="1">
      <c r="B185" s="506"/>
      <c r="C185" s="506"/>
      <c r="D185" s="506"/>
      <c r="E185" s="506"/>
      <c r="F185" s="506"/>
      <c r="G185" s="506"/>
      <c r="H185" s="506"/>
      <c r="I185" s="506"/>
      <c r="J185" s="506"/>
      <c r="K185" s="506"/>
      <c r="L185" s="506"/>
      <c r="M185" s="506"/>
      <c r="N185" s="506"/>
      <c r="O185" s="506"/>
      <c r="P185" s="506"/>
      <c r="Q185" s="506"/>
      <c r="R185" s="506"/>
      <c r="S185" s="506"/>
      <c r="T185" s="506"/>
      <c r="U185" s="506"/>
      <c r="V185" s="506"/>
      <c r="W185" s="506"/>
      <c r="X185" s="506"/>
      <c r="Y185" s="506"/>
      <c r="Z185" s="506"/>
      <c r="AA185" s="506"/>
      <c r="AB185" s="506"/>
    </row>
    <row r="186" spans="2:28" s="45" customFormat="1">
      <c r="B186" s="506"/>
      <c r="C186" s="506"/>
      <c r="D186" s="506"/>
      <c r="E186" s="506"/>
      <c r="F186" s="506"/>
      <c r="G186" s="506"/>
      <c r="H186" s="506"/>
      <c r="I186" s="506"/>
      <c r="J186" s="506"/>
      <c r="K186" s="506"/>
      <c r="L186" s="506"/>
      <c r="M186" s="506"/>
      <c r="N186" s="506"/>
      <c r="O186" s="506"/>
      <c r="P186" s="506"/>
      <c r="Q186" s="506"/>
      <c r="R186" s="506"/>
      <c r="S186" s="506"/>
      <c r="T186" s="506"/>
      <c r="U186" s="506"/>
      <c r="V186" s="506"/>
      <c r="W186" s="506"/>
      <c r="X186" s="506"/>
      <c r="Y186" s="506"/>
      <c r="Z186" s="506"/>
      <c r="AA186" s="506"/>
      <c r="AB186" s="506"/>
    </row>
    <row r="187" spans="2:28" s="45" customFormat="1">
      <c r="B187" s="506"/>
      <c r="C187" s="506"/>
      <c r="D187" s="506"/>
      <c r="E187" s="506"/>
      <c r="F187" s="506"/>
      <c r="G187" s="506"/>
      <c r="H187" s="506"/>
      <c r="I187" s="506"/>
      <c r="J187" s="506"/>
      <c r="K187" s="506"/>
      <c r="L187" s="506"/>
      <c r="M187" s="506"/>
      <c r="N187" s="506"/>
      <c r="O187" s="506"/>
      <c r="P187" s="506"/>
      <c r="Q187" s="506"/>
      <c r="R187" s="506"/>
      <c r="S187" s="506"/>
      <c r="T187" s="506"/>
      <c r="U187" s="506"/>
      <c r="V187" s="506"/>
      <c r="W187" s="506"/>
      <c r="X187" s="506"/>
      <c r="Y187" s="506"/>
      <c r="Z187" s="506"/>
      <c r="AA187" s="506"/>
      <c r="AB187" s="506"/>
    </row>
    <row r="188" spans="2:28" s="45" customFormat="1">
      <c r="B188" s="506"/>
      <c r="C188" s="506"/>
      <c r="D188" s="506"/>
      <c r="E188" s="506"/>
      <c r="F188" s="506"/>
      <c r="G188" s="506"/>
      <c r="H188" s="506"/>
      <c r="I188" s="506"/>
      <c r="J188" s="506"/>
      <c r="K188" s="506"/>
      <c r="L188" s="506"/>
      <c r="M188" s="506"/>
      <c r="N188" s="506"/>
      <c r="O188" s="506"/>
      <c r="P188" s="506"/>
      <c r="Q188" s="506"/>
      <c r="R188" s="506"/>
      <c r="S188" s="506"/>
      <c r="T188" s="506"/>
      <c r="U188" s="506"/>
      <c r="V188" s="506"/>
      <c r="W188" s="506"/>
      <c r="X188" s="506"/>
      <c r="Y188" s="506"/>
      <c r="Z188" s="506"/>
      <c r="AA188" s="506"/>
      <c r="AB188" s="506"/>
    </row>
    <row r="189" spans="2:28" s="45" customFormat="1">
      <c r="B189" s="506"/>
      <c r="C189" s="506"/>
      <c r="D189" s="506"/>
      <c r="E189" s="506"/>
      <c r="F189" s="506"/>
      <c r="G189" s="506"/>
      <c r="H189" s="506"/>
      <c r="I189" s="506"/>
      <c r="J189" s="506"/>
      <c r="K189" s="506"/>
      <c r="L189" s="506"/>
      <c r="M189" s="506"/>
      <c r="N189" s="506"/>
      <c r="O189" s="506"/>
      <c r="P189" s="506"/>
      <c r="Q189" s="506"/>
      <c r="R189" s="506"/>
      <c r="S189" s="506"/>
      <c r="T189" s="506"/>
      <c r="U189" s="506"/>
      <c r="V189" s="506"/>
      <c r="W189" s="506"/>
      <c r="X189" s="506"/>
      <c r="Y189" s="506"/>
      <c r="Z189" s="506"/>
      <c r="AA189" s="506"/>
      <c r="AB189" s="506"/>
    </row>
    <row r="190" spans="2:28" s="45" customFormat="1">
      <c r="B190" s="506"/>
      <c r="C190" s="506"/>
      <c r="D190" s="506"/>
      <c r="E190" s="506"/>
      <c r="F190" s="506"/>
      <c r="G190" s="506"/>
      <c r="H190" s="506"/>
      <c r="I190" s="506"/>
      <c r="J190" s="506"/>
      <c r="K190" s="506"/>
      <c r="L190" s="506"/>
      <c r="M190" s="506"/>
      <c r="N190" s="506"/>
      <c r="O190" s="506"/>
      <c r="P190" s="506"/>
      <c r="Q190" s="506"/>
      <c r="R190" s="506"/>
      <c r="S190" s="506"/>
      <c r="T190" s="506"/>
      <c r="U190" s="506"/>
      <c r="V190" s="506"/>
      <c r="W190" s="506"/>
      <c r="X190" s="506"/>
      <c r="Y190" s="506"/>
      <c r="Z190" s="506"/>
      <c r="AA190" s="506"/>
      <c r="AB190" s="506"/>
    </row>
    <row r="191" spans="2:28" s="45" customFormat="1">
      <c r="B191" s="506"/>
      <c r="C191" s="506"/>
      <c r="D191" s="506"/>
      <c r="E191" s="506"/>
      <c r="F191" s="506"/>
      <c r="G191" s="506"/>
      <c r="H191" s="506"/>
      <c r="I191" s="506"/>
      <c r="J191" s="506"/>
      <c r="K191" s="506"/>
      <c r="L191" s="506"/>
      <c r="M191" s="506"/>
      <c r="N191" s="506"/>
      <c r="O191" s="506"/>
      <c r="P191" s="506"/>
      <c r="Q191" s="506"/>
      <c r="R191" s="506"/>
      <c r="S191" s="506"/>
      <c r="T191" s="506"/>
      <c r="U191" s="506"/>
      <c r="V191" s="506"/>
      <c r="W191" s="506"/>
      <c r="X191" s="506"/>
      <c r="Y191" s="506"/>
      <c r="Z191" s="506"/>
      <c r="AA191" s="506"/>
      <c r="AB191" s="506"/>
    </row>
    <row r="192" spans="2:28" s="45" customFormat="1">
      <c r="B192" s="506"/>
      <c r="C192" s="506"/>
      <c r="D192" s="506"/>
      <c r="E192" s="506"/>
      <c r="F192" s="506"/>
      <c r="G192" s="506"/>
      <c r="H192" s="506"/>
      <c r="I192" s="506"/>
      <c r="J192" s="506"/>
      <c r="K192" s="506"/>
      <c r="L192" s="506"/>
      <c r="M192" s="506"/>
      <c r="N192" s="506"/>
      <c r="O192" s="506"/>
      <c r="P192" s="506"/>
      <c r="Q192" s="506"/>
      <c r="R192" s="506"/>
      <c r="S192" s="506"/>
      <c r="T192" s="506"/>
      <c r="U192" s="506"/>
      <c r="V192" s="506"/>
      <c r="W192" s="506"/>
      <c r="X192" s="506"/>
      <c r="Y192" s="506"/>
      <c r="Z192" s="506"/>
      <c r="AA192" s="506"/>
      <c r="AB192" s="506"/>
    </row>
    <row r="193" spans="2:28" s="45" customFormat="1">
      <c r="B193" s="506"/>
      <c r="C193" s="506"/>
      <c r="D193" s="506"/>
      <c r="E193" s="506"/>
      <c r="F193" s="506"/>
      <c r="G193" s="506"/>
      <c r="H193" s="506"/>
      <c r="I193" s="506"/>
      <c r="J193" s="506"/>
      <c r="K193" s="506"/>
      <c r="L193" s="506"/>
      <c r="M193" s="506"/>
      <c r="N193" s="506"/>
      <c r="O193" s="506"/>
      <c r="P193" s="506"/>
      <c r="Q193" s="506"/>
      <c r="R193" s="506"/>
      <c r="S193" s="506"/>
      <c r="T193" s="506"/>
      <c r="U193" s="506"/>
      <c r="V193" s="506"/>
      <c r="W193" s="506"/>
      <c r="X193" s="506"/>
      <c r="Y193" s="506"/>
      <c r="Z193" s="506"/>
      <c r="AA193" s="506"/>
      <c r="AB193" s="506"/>
    </row>
    <row r="194" spans="2:28" s="45" customFormat="1">
      <c r="B194" s="506"/>
      <c r="C194" s="506"/>
      <c r="D194" s="506"/>
      <c r="E194" s="506"/>
      <c r="F194" s="506"/>
      <c r="G194" s="506"/>
      <c r="H194" s="506"/>
      <c r="I194" s="506"/>
      <c r="J194" s="506"/>
      <c r="K194" s="506"/>
      <c r="L194" s="506"/>
      <c r="M194" s="506"/>
      <c r="N194" s="506"/>
      <c r="O194" s="506"/>
      <c r="P194" s="506"/>
      <c r="Q194" s="506"/>
      <c r="R194" s="506"/>
      <c r="S194" s="506"/>
      <c r="T194" s="506"/>
      <c r="U194" s="506"/>
      <c r="V194" s="506"/>
      <c r="W194" s="506"/>
      <c r="X194" s="506"/>
      <c r="Y194" s="506"/>
      <c r="Z194" s="506"/>
      <c r="AA194" s="506"/>
      <c r="AB194" s="506"/>
    </row>
    <row r="195" spans="2:28" s="45" customFormat="1">
      <c r="B195" s="506"/>
      <c r="C195" s="506"/>
      <c r="D195" s="506"/>
      <c r="E195" s="506"/>
      <c r="F195" s="506"/>
      <c r="G195" s="506"/>
      <c r="H195" s="506"/>
      <c r="I195" s="506"/>
      <c r="J195" s="506"/>
      <c r="K195" s="506"/>
      <c r="L195" s="506"/>
      <c r="M195" s="506"/>
      <c r="N195" s="506"/>
      <c r="O195" s="506"/>
      <c r="P195" s="506"/>
      <c r="Q195" s="506"/>
      <c r="R195" s="506"/>
      <c r="S195" s="506"/>
      <c r="T195" s="506"/>
      <c r="U195" s="506"/>
      <c r="V195" s="506"/>
      <c r="W195" s="506"/>
      <c r="X195" s="506"/>
      <c r="Y195" s="506"/>
      <c r="Z195" s="506"/>
      <c r="AA195" s="506"/>
      <c r="AB195" s="506"/>
    </row>
    <row r="196" spans="2:28" s="45" customFormat="1">
      <c r="B196" s="506"/>
      <c r="C196" s="506"/>
      <c r="D196" s="506"/>
      <c r="E196" s="506"/>
      <c r="F196" s="506"/>
      <c r="G196" s="506"/>
      <c r="H196" s="506"/>
      <c r="I196" s="506"/>
      <c r="J196" s="506"/>
      <c r="K196" s="506"/>
      <c r="L196" s="506"/>
      <c r="M196" s="506"/>
      <c r="N196" s="506"/>
      <c r="O196" s="506"/>
      <c r="P196" s="506"/>
      <c r="Q196" s="506"/>
      <c r="R196" s="506"/>
      <c r="S196" s="506"/>
      <c r="T196" s="506"/>
      <c r="U196" s="506"/>
      <c r="V196" s="506"/>
      <c r="W196" s="506"/>
      <c r="X196" s="506"/>
      <c r="Y196" s="506"/>
      <c r="Z196" s="506"/>
      <c r="AA196" s="506"/>
      <c r="AB196" s="506"/>
    </row>
    <row r="197" spans="2:28" s="45" customFormat="1">
      <c r="B197" s="506"/>
      <c r="C197" s="506"/>
      <c r="D197" s="506"/>
      <c r="E197" s="506"/>
      <c r="F197" s="506"/>
      <c r="G197" s="506"/>
      <c r="H197" s="506"/>
      <c r="I197" s="506"/>
      <c r="J197" s="506"/>
      <c r="K197" s="506"/>
      <c r="L197" s="506"/>
      <c r="M197" s="506"/>
      <c r="N197" s="506"/>
      <c r="O197" s="506"/>
      <c r="P197" s="506"/>
      <c r="Q197" s="506"/>
      <c r="R197" s="506"/>
      <c r="S197" s="506"/>
      <c r="T197" s="506"/>
      <c r="U197" s="506"/>
      <c r="V197" s="506"/>
      <c r="W197" s="506"/>
      <c r="X197" s="506"/>
      <c r="Y197" s="506"/>
      <c r="Z197" s="506"/>
      <c r="AA197" s="506"/>
      <c r="AB197" s="506"/>
    </row>
    <row r="198" spans="2:28" s="45" customFormat="1">
      <c r="B198" s="506"/>
      <c r="C198" s="506"/>
      <c r="D198" s="506"/>
      <c r="E198" s="506"/>
      <c r="F198" s="506"/>
      <c r="G198" s="506"/>
      <c r="H198" s="506"/>
      <c r="I198" s="506"/>
      <c r="J198" s="506"/>
      <c r="K198" s="506"/>
      <c r="L198" s="506"/>
      <c r="M198" s="506"/>
      <c r="N198" s="506"/>
      <c r="O198" s="506"/>
      <c r="P198" s="506"/>
      <c r="Q198" s="506"/>
      <c r="R198" s="506"/>
      <c r="S198" s="506"/>
      <c r="T198" s="506"/>
      <c r="U198" s="506"/>
      <c r="V198" s="506"/>
      <c r="W198" s="506"/>
      <c r="X198" s="506"/>
      <c r="Y198" s="506"/>
      <c r="Z198" s="506"/>
      <c r="AA198" s="506"/>
      <c r="AB198" s="506"/>
    </row>
    <row r="199" spans="2:28" s="45" customFormat="1">
      <c r="B199" s="506"/>
      <c r="C199" s="506"/>
      <c r="D199" s="506"/>
      <c r="E199" s="506"/>
      <c r="F199" s="506"/>
      <c r="G199" s="506"/>
      <c r="H199" s="506"/>
      <c r="I199" s="506"/>
      <c r="J199" s="506"/>
      <c r="K199" s="506"/>
      <c r="L199" s="506"/>
      <c r="M199" s="506"/>
      <c r="N199" s="506"/>
      <c r="O199" s="506"/>
      <c r="P199" s="506"/>
      <c r="Q199" s="506"/>
      <c r="R199" s="506"/>
      <c r="S199" s="506"/>
      <c r="T199" s="506"/>
      <c r="U199" s="506"/>
      <c r="V199" s="506"/>
      <c r="W199" s="506"/>
      <c r="X199" s="506"/>
      <c r="Y199" s="506"/>
      <c r="Z199" s="506"/>
      <c r="AA199" s="506"/>
      <c r="AB199" s="506"/>
    </row>
    <row r="200" spans="2:28" s="45" customFormat="1">
      <c r="B200" s="506"/>
      <c r="C200" s="506"/>
      <c r="D200" s="506"/>
      <c r="E200" s="506"/>
      <c r="F200" s="506"/>
      <c r="G200" s="506"/>
      <c r="H200" s="506"/>
      <c r="I200" s="506"/>
      <c r="J200" s="506"/>
      <c r="K200" s="506"/>
      <c r="L200" s="506"/>
      <c r="M200" s="506"/>
      <c r="N200" s="506"/>
      <c r="O200" s="506"/>
      <c r="P200" s="506"/>
      <c r="Q200" s="506"/>
      <c r="R200" s="506"/>
      <c r="S200" s="506"/>
      <c r="T200" s="506"/>
      <c r="U200" s="506"/>
      <c r="V200" s="506"/>
      <c r="W200" s="506"/>
      <c r="X200" s="506"/>
      <c r="Y200" s="506"/>
      <c r="Z200" s="506"/>
      <c r="AA200" s="506"/>
      <c r="AB200" s="506"/>
    </row>
    <row r="201" spans="2:28" s="45" customFormat="1">
      <c r="B201" s="506"/>
      <c r="C201" s="506"/>
      <c r="D201" s="506"/>
      <c r="E201" s="506"/>
      <c r="F201" s="506"/>
      <c r="G201" s="506"/>
      <c r="H201" s="506"/>
      <c r="I201" s="506"/>
      <c r="J201" s="506"/>
      <c r="K201" s="506"/>
      <c r="L201" s="506"/>
      <c r="M201" s="506"/>
      <c r="N201" s="506"/>
      <c r="O201" s="506"/>
      <c r="P201" s="506"/>
      <c r="Q201" s="506"/>
      <c r="R201" s="506"/>
      <c r="S201" s="506"/>
      <c r="T201" s="506"/>
      <c r="U201" s="506"/>
      <c r="V201" s="506"/>
      <c r="W201" s="506"/>
      <c r="X201" s="506"/>
      <c r="Y201" s="506"/>
      <c r="Z201" s="506"/>
      <c r="AA201" s="506"/>
      <c r="AB201" s="506"/>
    </row>
    <row r="202" spans="2:28" s="45" customFormat="1">
      <c r="B202" s="506"/>
      <c r="C202" s="506"/>
      <c r="D202" s="506"/>
      <c r="E202" s="506"/>
      <c r="F202" s="506"/>
      <c r="G202" s="506"/>
      <c r="H202" s="506"/>
      <c r="I202" s="506"/>
      <c r="J202" s="506"/>
      <c r="K202" s="506"/>
      <c r="L202" s="506"/>
      <c r="M202" s="506"/>
      <c r="N202" s="506"/>
      <c r="O202" s="506"/>
      <c r="P202" s="506"/>
      <c r="Q202" s="506"/>
      <c r="R202" s="506"/>
      <c r="S202" s="506"/>
      <c r="T202" s="506"/>
      <c r="U202" s="506"/>
      <c r="V202" s="506"/>
      <c r="W202" s="506"/>
      <c r="X202" s="506"/>
      <c r="Y202" s="506"/>
      <c r="Z202" s="506"/>
      <c r="AA202" s="506"/>
      <c r="AB202" s="506"/>
    </row>
    <row r="203" spans="2:28" s="45" customFormat="1">
      <c r="B203" s="506"/>
      <c r="C203" s="506"/>
      <c r="D203" s="506"/>
      <c r="E203" s="506"/>
      <c r="F203" s="506"/>
      <c r="G203" s="506"/>
      <c r="H203" s="506"/>
      <c r="I203" s="506"/>
      <c r="J203" s="506"/>
      <c r="K203" s="506"/>
      <c r="L203" s="506"/>
      <c r="M203" s="506"/>
      <c r="N203" s="506"/>
      <c r="O203" s="506"/>
      <c r="P203" s="506"/>
      <c r="Q203" s="506"/>
      <c r="R203" s="506"/>
      <c r="S203" s="506"/>
      <c r="T203" s="506"/>
      <c r="U203" s="506"/>
      <c r="V203" s="506"/>
      <c r="W203" s="506"/>
      <c r="X203" s="506"/>
      <c r="Y203" s="506"/>
      <c r="Z203" s="506"/>
      <c r="AA203" s="506"/>
      <c r="AB203" s="506"/>
    </row>
    <row r="204" spans="2:28" s="45" customFormat="1">
      <c r="B204" s="506"/>
      <c r="C204" s="506"/>
      <c r="D204" s="506"/>
      <c r="E204" s="506"/>
      <c r="F204" s="506"/>
      <c r="G204" s="506"/>
      <c r="H204" s="506"/>
      <c r="I204" s="506"/>
      <c r="J204" s="506"/>
      <c r="K204" s="506"/>
      <c r="L204" s="506"/>
      <c r="M204" s="506"/>
      <c r="N204" s="506"/>
      <c r="O204" s="506"/>
      <c r="P204" s="506"/>
      <c r="Q204" s="506"/>
      <c r="R204" s="506"/>
      <c r="S204" s="506"/>
      <c r="T204" s="506"/>
      <c r="U204" s="506"/>
      <c r="V204" s="506"/>
      <c r="W204" s="506"/>
      <c r="X204" s="506"/>
      <c r="Y204" s="506"/>
      <c r="Z204" s="506"/>
      <c r="AA204" s="506"/>
      <c r="AB204" s="506"/>
    </row>
    <row r="205" spans="2:28" s="45" customFormat="1">
      <c r="B205" s="506"/>
      <c r="C205" s="506"/>
      <c r="D205" s="506"/>
      <c r="E205" s="506"/>
      <c r="F205" s="506"/>
      <c r="G205" s="506"/>
      <c r="H205" s="506"/>
      <c r="I205" s="506"/>
      <c r="J205" s="506"/>
      <c r="K205" s="506"/>
      <c r="L205" s="506"/>
      <c r="M205" s="506"/>
      <c r="N205" s="506"/>
      <c r="O205" s="506"/>
      <c r="P205" s="506"/>
      <c r="Q205" s="506"/>
      <c r="R205" s="506"/>
      <c r="S205" s="506"/>
      <c r="T205" s="506"/>
      <c r="U205" s="506"/>
      <c r="V205" s="506"/>
      <c r="W205" s="506"/>
      <c r="X205" s="506"/>
      <c r="Y205" s="506"/>
      <c r="Z205" s="506"/>
      <c r="AA205" s="506"/>
      <c r="AB205" s="506"/>
    </row>
    <row r="206" spans="2:28" s="45" customFormat="1">
      <c r="B206" s="506"/>
      <c r="C206" s="506"/>
      <c r="D206" s="506"/>
      <c r="E206" s="506"/>
      <c r="F206" s="506"/>
      <c r="G206" s="506"/>
      <c r="H206" s="506"/>
      <c r="I206" s="506"/>
      <c r="J206" s="506"/>
      <c r="K206" s="506"/>
      <c r="L206" s="506"/>
      <c r="M206" s="506"/>
      <c r="N206" s="506"/>
      <c r="O206" s="506"/>
      <c r="P206" s="506"/>
      <c r="Q206" s="506"/>
      <c r="R206" s="506"/>
      <c r="S206" s="506"/>
      <c r="T206" s="506"/>
      <c r="U206" s="506"/>
      <c r="V206" s="506"/>
      <c r="W206" s="506"/>
      <c r="X206" s="506"/>
      <c r="Y206" s="506"/>
      <c r="Z206" s="506"/>
      <c r="AA206" s="506"/>
      <c r="AB206" s="506"/>
    </row>
    <row r="207" spans="2:28" s="45" customFormat="1">
      <c r="B207" s="506"/>
      <c r="C207" s="506"/>
      <c r="D207" s="506"/>
      <c r="E207" s="506"/>
      <c r="F207" s="506"/>
      <c r="G207" s="506"/>
      <c r="H207" s="506"/>
      <c r="I207" s="506"/>
      <c r="J207" s="506"/>
      <c r="K207" s="506"/>
      <c r="L207" s="506"/>
      <c r="M207" s="506"/>
      <c r="N207" s="506"/>
      <c r="O207" s="506"/>
      <c r="P207" s="506"/>
      <c r="Q207" s="506"/>
      <c r="R207" s="506"/>
      <c r="S207" s="506"/>
      <c r="T207" s="506"/>
      <c r="U207" s="506"/>
      <c r="V207" s="506"/>
      <c r="W207" s="506"/>
      <c r="X207" s="506"/>
      <c r="Y207" s="506"/>
      <c r="Z207" s="506"/>
      <c r="AA207" s="506"/>
      <c r="AB207" s="506"/>
    </row>
    <row r="208" spans="2:28" s="45" customFormat="1">
      <c r="B208" s="506"/>
      <c r="C208" s="506"/>
      <c r="D208" s="506"/>
      <c r="E208" s="506"/>
      <c r="F208" s="506"/>
      <c r="G208" s="506"/>
      <c r="H208" s="506"/>
      <c r="I208" s="506"/>
      <c r="J208" s="506"/>
      <c r="K208" s="506"/>
      <c r="L208" s="506"/>
      <c r="M208" s="506"/>
      <c r="N208" s="506"/>
      <c r="O208" s="506"/>
      <c r="P208" s="506"/>
      <c r="Q208" s="506"/>
      <c r="R208" s="506"/>
      <c r="S208" s="506"/>
      <c r="T208" s="506"/>
      <c r="U208" s="506"/>
      <c r="V208" s="506"/>
      <c r="W208" s="506"/>
      <c r="X208" s="506"/>
      <c r="Y208" s="506"/>
      <c r="Z208" s="506"/>
      <c r="AA208" s="506"/>
      <c r="AB208" s="506"/>
    </row>
    <row r="209" spans="2:28" s="45" customFormat="1">
      <c r="B209" s="506"/>
      <c r="C209" s="506"/>
      <c r="D209" s="506"/>
      <c r="E209" s="506"/>
      <c r="F209" s="506"/>
      <c r="G209" s="506"/>
      <c r="H209" s="506"/>
      <c r="I209" s="506"/>
      <c r="J209" s="506"/>
      <c r="K209" s="506"/>
      <c r="L209" s="506"/>
      <c r="M209" s="506"/>
      <c r="N209" s="506"/>
      <c r="O209" s="506"/>
      <c r="P209" s="506"/>
      <c r="Q209" s="506"/>
      <c r="R209" s="506"/>
      <c r="S209" s="506"/>
      <c r="T209" s="506"/>
      <c r="U209" s="506"/>
      <c r="V209" s="506"/>
      <c r="W209" s="506"/>
      <c r="X209" s="506"/>
      <c r="Y209" s="506"/>
      <c r="Z209" s="506"/>
      <c r="AA209" s="506"/>
      <c r="AB209" s="506"/>
    </row>
    <row r="210" spans="2:28" s="45" customFormat="1">
      <c r="B210" s="506"/>
      <c r="C210" s="506"/>
      <c r="D210" s="506"/>
      <c r="E210" s="506"/>
      <c r="F210" s="506"/>
      <c r="G210" s="506"/>
      <c r="H210" s="506"/>
      <c r="I210" s="506"/>
      <c r="J210" s="506"/>
      <c r="K210" s="506"/>
      <c r="L210" s="506"/>
      <c r="M210" s="506"/>
      <c r="N210" s="506"/>
      <c r="O210" s="506"/>
      <c r="P210" s="506"/>
      <c r="Q210" s="506"/>
      <c r="R210" s="506"/>
      <c r="S210" s="506"/>
      <c r="T210" s="506"/>
      <c r="U210" s="506"/>
      <c r="V210" s="506"/>
      <c r="W210" s="506"/>
      <c r="X210" s="506"/>
      <c r="Y210" s="506"/>
      <c r="Z210" s="506"/>
      <c r="AA210" s="506"/>
      <c r="AB210" s="506"/>
    </row>
    <row r="211" spans="2:28" s="45" customFormat="1">
      <c r="B211" s="506"/>
      <c r="C211" s="506"/>
      <c r="D211" s="506"/>
      <c r="E211" s="506"/>
      <c r="F211" s="506"/>
      <c r="G211" s="506"/>
      <c r="H211" s="506"/>
      <c r="I211" s="506"/>
      <c r="J211" s="506"/>
      <c r="K211" s="506"/>
      <c r="L211" s="506"/>
      <c r="M211" s="506"/>
      <c r="N211" s="506"/>
      <c r="O211" s="506"/>
      <c r="P211" s="506"/>
      <c r="Q211" s="506"/>
      <c r="R211" s="506"/>
      <c r="S211" s="506"/>
      <c r="T211" s="506"/>
      <c r="U211" s="506"/>
      <c r="V211" s="506"/>
      <c r="W211" s="506"/>
      <c r="X211" s="506"/>
      <c r="Y211" s="506"/>
      <c r="Z211" s="506"/>
      <c r="AA211" s="506"/>
      <c r="AB211" s="506"/>
    </row>
    <row r="212" spans="2:28" s="45" customFormat="1">
      <c r="B212" s="506"/>
      <c r="C212" s="506"/>
      <c r="D212" s="506"/>
      <c r="E212" s="506"/>
      <c r="F212" s="506"/>
      <c r="G212" s="506"/>
      <c r="H212" s="506"/>
      <c r="I212" s="506"/>
      <c r="J212" s="506"/>
      <c r="K212" s="506"/>
      <c r="L212" s="506"/>
      <c r="M212" s="506"/>
      <c r="N212" s="506"/>
      <c r="O212" s="506"/>
      <c r="P212" s="506"/>
      <c r="Q212" s="506"/>
      <c r="R212" s="506"/>
      <c r="S212" s="506"/>
      <c r="T212" s="506"/>
      <c r="U212" s="506"/>
      <c r="V212" s="506"/>
      <c r="W212" s="506"/>
      <c r="X212" s="506"/>
      <c r="Y212" s="506"/>
      <c r="Z212" s="506"/>
      <c r="AA212" s="506"/>
      <c r="AB212" s="506"/>
    </row>
    <row r="213" spans="2:28" s="45" customFormat="1">
      <c r="B213" s="506"/>
      <c r="C213" s="506"/>
      <c r="D213" s="506"/>
      <c r="E213" s="506"/>
      <c r="F213" s="506"/>
      <c r="G213" s="506"/>
      <c r="H213" s="506"/>
      <c r="I213" s="506"/>
      <c r="J213" s="506"/>
      <c r="K213" s="506"/>
      <c r="L213" s="506"/>
      <c r="M213" s="506"/>
      <c r="N213" s="506"/>
      <c r="O213" s="506"/>
      <c r="P213" s="506"/>
      <c r="Q213" s="506"/>
      <c r="R213" s="506"/>
      <c r="S213" s="506"/>
      <c r="T213" s="506"/>
      <c r="U213" s="506"/>
      <c r="V213" s="506"/>
      <c r="W213" s="506"/>
      <c r="X213" s="506"/>
      <c r="Y213" s="506"/>
      <c r="Z213" s="506"/>
      <c r="AA213" s="506"/>
      <c r="AB213" s="506"/>
    </row>
    <row r="214" spans="2:28" s="45" customFormat="1">
      <c r="B214" s="506"/>
      <c r="C214" s="506"/>
      <c r="D214" s="506"/>
      <c r="E214" s="506"/>
      <c r="F214" s="506"/>
      <c r="G214" s="506"/>
      <c r="H214" s="506"/>
      <c r="I214" s="506"/>
      <c r="J214" s="506"/>
      <c r="K214" s="506"/>
      <c r="L214" s="506"/>
      <c r="M214" s="506"/>
      <c r="N214" s="506"/>
      <c r="O214" s="506"/>
      <c r="P214" s="506"/>
      <c r="Q214" s="506"/>
      <c r="R214" s="506"/>
      <c r="S214" s="506"/>
      <c r="T214" s="506"/>
      <c r="U214" s="506"/>
      <c r="V214" s="506"/>
      <c r="W214" s="506"/>
      <c r="X214" s="506"/>
      <c r="Y214" s="506"/>
      <c r="Z214" s="506"/>
      <c r="AA214" s="506"/>
      <c r="AB214" s="506"/>
    </row>
    <row r="215" spans="2:28" s="45" customFormat="1">
      <c r="B215" s="506"/>
      <c r="C215" s="506"/>
      <c r="D215" s="506"/>
      <c r="E215" s="506"/>
      <c r="F215" s="506"/>
      <c r="G215" s="506"/>
      <c r="H215" s="506"/>
      <c r="I215" s="506"/>
      <c r="J215" s="506"/>
      <c r="K215" s="506"/>
      <c r="L215" s="506"/>
      <c r="M215" s="506"/>
      <c r="N215" s="506"/>
      <c r="O215" s="506"/>
      <c r="P215" s="506"/>
      <c r="Q215" s="506"/>
      <c r="R215" s="506"/>
      <c r="S215" s="506"/>
      <c r="T215" s="506"/>
      <c r="U215" s="506"/>
      <c r="V215" s="506"/>
      <c r="W215" s="506"/>
      <c r="X215" s="506"/>
      <c r="Y215" s="506"/>
      <c r="Z215" s="506"/>
      <c r="AA215" s="506"/>
      <c r="AB215" s="506"/>
    </row>
    <row r="216" spans="2:28" s="45" customFormat="1">
      <c r="B216" s="506"/>
      <c r="C216" s="506"/>
      <c r="D216" s="506"/>
      <c r="E216" s="506"/>
      <c r="F216" s="506"/>
      <c r="G216" s="506"/>
      <c r="H216" s="506"/>
      <c r="I216" s="506"/>
      <c r="J216" s="506"/>
      <c r="K216" s="506"/>
      <c r="L216" s="506"/>
      <c r="M216" s="506"/>
      <c r="N216" s="506"/>
      <c r="O216" s="506"/>
      <c r="P216" s="506"/>
      <c r="Q216" s="506"/>
      <c r="R216" s="506"/>
      <c r="S216" s="506"/>
      <c r="T216" s="506"/>
      <c r="U216" s="506"/>
      <c r="V216" s="506"/>
      <c r="W216" s="506"/>
      <c r="X216" s="506"/>
      <c r="Y216" s="506"/>
      <c r="Z216" s="506"/>
      <c r="AA216" s="506"/>
      <c r="AB216" s="506"/>
    </row>
    <row r="217" spans="2:28" s="45" customFormat="1">
      <c r="B217" s="506"/>
      <c r="C217" s="506"/>
      <c r="D217" s="506"/>
      <c r="E217" s="506"/>
      <c r="F217" s="506"/>
      <c r="G217" s="506"/>
      <c r="H217" s="506"/>
      <c r="I217" s="506"/>
      <c r="J217" s="506"/>
      <c r="K217" s="506"/>
      <c r="L217" s="506"/>
      <c r="M217" s="506"/>
      <c r="N217" s="506"/>
      <c r="O217" s="506"/>
      <c r="P217" s="506"/>
      <c r="Q217" s="506"/>
      <c r="R217" s="506"/>
      <c r="S217" s="506"/>
      <c r="T217" s="506"/>
      <c r="U217" s="506"/>
      <c r="V217" s="506"/>
      <c r="W217" s="506"/>
      <c r="X217" s="506"/>
      <c r="Y217" s="506"/>
      <c r="Z217" s="506"/>
      <c r="AA217" s="506"/>
      <c r="AB217" s="506"/>
    </row>
    <row r="218" spans="2:28" s="45" customFormat="1">
      <c r="B218" s="506"/>
      <c r="C218" s="506"/>
      <c r="D218" s="506"/>
      <c r="E218" s="506"/>
      <c r="F218" s="506"/>
      <c r="G218" s="506"/>
      <c r="H218" s="506"/>
      <c r="I218" s="506"/>
      <c r="J218" s="506"/>
      <c r="K218" s="506"/>
      <c r="L218" s="506"/>
      <c r="M218" s="506"/>
      <c r="N218" s="506"/>
      <c r="O218" s="506"/>
      <c r="P218" s="506"/>
      <c r="Q218" s="506"/>
      <c r="R218" s="506"/>
      <c r="S218" s="506"/>
      <c r="T218" s="506"/>
      <c r="U218" s="506"/>
      <c r="V218" s="506"/>
      <c r="W218" s="506"/>
      <c r="X218" s="506"/>
      <c r="Y218" s="506"/>
      <c r="Z218" s="506"/>
      <c r="AA218" s="506"/>
      <c r="AB218" s="506"/>
    </row>
    <row r="219" spans="2:28" s="45" customFormat="1">
      <c r="B219" s="506"/>
      <c r="C219" s="506"/>
      <c r="D219" s="506"/>
      <c r="E219" s="506"/>
      <c r="F219" s="506"/>
      <c r="G219" s="506"/>
      <c r="H219" s="506"/>
      <c r="I219" s="506"/>
      <c r="J219" s="506"/>
      <c r="K219" s="506"/>
      <c r="L219" s="506"/>
      <c r="M219" s="506"/>
      <c r="N219" s="506"/>
      <c r="O219" s="506"/>
      <c r="P219" s="506"/>
      <c r="Q219" s="506"/>
      <c r="R219" s="506"/>
      <c r="S219" s="506"/>
      <c r="T219" s="506"/>
      <c r="U219" s="506"/>
      <c r="V219" s="506"/>
      <c r="W219" s="506"/>
      <c r="X219" s="506"/>
      <c r="Y219" s="506"/>
      <c r="Z219" s="506"/>
      <c r="AA219" s="506"/>
      <c r="AB219" s="506"/>
    </row>
    <row r="220" spans="2:28" s="45" customFormat="1">
      <c r="B220" s="506"/>
      <c r="C220" s="506"/>
      <c r="D220" s="506"/>
      <c r="E220" s="506"/>
      <c r="F220" s="506"/>
      <c r="G220" s="506"/>
      <c r="H220" s="506"/>
      <c r="I220" s="506"/>
      <c r="J220" s="506"/>
      <c r="K220" s="506"/>
      <c r="L220" s="506"/>
      <c r="M220" s="506"/>
      <c r="N220" s="506"/>
      <c r="O220" s="506"/>
      <c r="P220" s="506"/>
      <c r="Q220" s="506"/>
      <c r="R220" s="506"/>
      <c r="S220" s="506"/>
      <c r="T220" s="506"/>
      <c r="U220" s="506"/>
      <c r="V220" s="506"/>
      <c r="W220" s="506"/>
      <c r="X220" s="506"/>
      <c r="Y220" s="506"/>
      <c r="Z220" s="506"/>
      <c r="AA220" s="506"/>
      <c r="AB220" s="506"/>
    </row>
    <row r="221" spans="2:28" s="45" customFormat="1">
      <c r="B221" s="506"/>
      <c r="C221" s="506"/>
      <c r="D221" s="506"/>
      <c r="E221" s="506"/>
      <c r="F221" s="506"/>
      <c r="G221" s="506"/>
      <c r="H221" s="506"/>
      <c r="I221" s="506"/>
      <c r="J221" s="506"/>
      <c r="K221" s="506"/>
      <c r="L221" s="506"/>
      <c r="M221" s="506"/>
      <c r="N221" s="506"/>
      <c r="O221" s="506"/>
      <c r="P221" s="506"/>
      <c r="Q221" s="506"/>
      <c r="R221" s="506"/>
      <c r="S221" s="506"/>
      <c r="T221" s="506"/>
      <c r="U221" s="506"/>
      <c r="V221" s="506"/>
      <c r="W221" s="506"/>
      <c r="X221" s="506"/>
      <c r="Y221" s="506"/>
      <c r="Z221" s="506"/>
      <c r="AA221" s="506"/>
      <c r="AB221" s="506"/>
    </row>
    <row r="222" spans="2:28" s="45" customFormat="1">
      <c r="B222" s="506"/>
      <c r="C222" s="506"/>
      <c r="D222" s="506"/>
      <c r="E222" s="506"/>
      <c r="F222" s="506"/>
      <c r="G222" s="506"/>
      <c r="H222" s="506"/>
      <c r="I222" s="506"/>
      <c r="J222" s="506"/>
      <c r="K222" s="506"/>
      <c r="L222" s="506"/>
      <c r="M222" s="506"/>
      <c r="N222" s="506"/>
      <c r="O222" s="506"/>
      <c r="P222" s="506"/>
      <c r="Q222" s="506"/>
      <c r="R222" s="506"/>
      <c r="S222" s="506"/>
      <c r="T222" s="506"/>
      <c r="U222" s="506"/>
      <c r="V222" s="506"/>
      <c r="W222" s="506"/>
      <c r="X222" s="506"/>
      <c r="Y222" s="506"/>
      <c r="Z222" s="506"/>
      <c r="AA222" s="506"/>
      <c r="AB222" s="506"/>
    </row>
    <row r="223" spans="2:28" s="45" customFormat="1">
      <c r="B223" s="506"/>
      <c r="C223" s="506"/>
      <c r="D223" s="506"/>
      <c r="E223" s="506"/>
      <c r="F223" s="506"/>
      <c r="G223" s="506"/>
      <c r="H223" s="506"/>
      <c r="I223" s="506"/>
      <c r="J223" s="506"/>
      <c r="K223" s="506"/>
      <c r="L223" s="506"/>
      <c r="M223" s="506"/>
      <c r="N223" s="506"/>
      <c r="O223" s="506"/>
      <c r="P223" s="506"/>
      <c r="Q223" s="506"/>
      <c r="R223" s="506"/>
      <c r="S223" s="506"/>
      <c r="T223" s="506"/>
      <c r="U223" s="506"/>
      <c r="V223" s="506"/>
      <c r="W223" s="506"/>
      <c r="X223" s="506"/>
      <c r="Y223" s="506"/>
      <c r="Z223" s="506"/>
      <c r="AA223" s="506"/>
      <c r="AB223" s="506"/>
    </row>
    <row r="224" spans="2:28" s="45" customFormat="1">
      <c r="B224" s="506"/>
      <c r="C224" s="506"/>
      <c r="D224" s="506"/>
      <c r="E224" s="506"/>
      <c r="F224" s="506"/>
      <c r="G224" s="506"/>
      <c r="H224" s="506"/>
      <c r="I224" s="506"/>
      <c r="J224" s="506"/>
      <c r="K224" s="506"/>
      <c r="L224" s="506"/>
      <c r="M224" s="506"/>
      <c r="N224" s="506"/>
      <c r="O224" s="506"/>
      <c r="P224" s="506"/>
      <c r="Q224" s="506"/>
      <c r="R224" s="506"/>
      <c r="S224" s="506"/>
      <c r="T224" s="506"/>
      <c r="U224" s="506"/>
      <c r="V224" s="506"/>
      <c r="W224" s="506"/>
      <c r="X224" s="506"/>
      <c r="Y224" s="506"/>
      <c r="Z224" s="506"/>
      <c r="AA224" s="506"/>
      <c r="AB224" s="506"/>
    </row>
    <row r="225" spans="2:28" s="45" customFormat="1">
      <c r="B225" s="506"/>
      <c r="C225" s="506"/>
      <c r="D225" s="506"/>
      <c r="E225" s="506"/>
      <c r="F225" s="506"/>
      <c r="G225" s="506"/>
      <c r="H225" s="506"/>
      <c r="I225" s="506"/>
      <c r="J225" s="506"/>
      <c r="K225" s="506"/>
      <c r="L225" s="506"/>
      <c r="M225" s="506"/>
      <c r="N225" s="506"/>
      <c r="O225" s="506"/>
      <c r="P225" s="506"/>
      <c r="Q225" s="506"/>
      <c r="R225" s="506"/>
      <c r="S225" s="506"/>
      <c r="T225" s="506"/>
      <c r="U225" s="506"/>
      <c r="V225" s="506"/>
      <c r="W225" s="506"/>
      <c r="X225" s="506"/>
      <c r="Y225" s="506"/>
      <c r="Z225" s="506"/>
      <c r="AA225" s="506"/>
      <c r="AB225" s="506"/>
    </row>
    <row r="226" spans="2:28" s="45" customFormat="1">
      <c r="B226" s="506"/>
      <c r="C226" s="506"/>
      <c r="D226" s="506"/>
      <c r="E226" s="506"/>
      <c r="F226" s="506"/>
      <c r="G226" s="506"/>
      <c r="H226" s="506"/>
      <c r="I226" s="506"/>
      <c r="J226" s="506"/>
      <c r="K226" s="506"/>
      <c r="L226" s="506"/>
      <c r="M226" s="506"/>
      <c r="N226" s="506"/>
      <c r="O226" s="506"/>
      <c r="P226" s="506"/>
      <c r="Q226" s="506"/>
      <c r="R226" s="506"/>
      <c r="S226" s="506"/>
      <c r="T226" s="506"/>
      <c r="U226" s="506"/>
      <c r="V226" s="506"/>
      <c r="W226" s="506"/>
      <c r="X226" s="506"/>
      <c r="Y226" s="506"/>
      <c r="Z226" s="506"/>
      <c r="AA226" s="506"/>
      <c r="AB226" s="506"/>
    </row>
    <row r="227" spans="2:28" s="45" customFormat="1">
      <c r="B227" s="506"/>
      <c r="C227" s="506"/>
      <c r="D227" s="506"/>
      <c r="E227" s="506"/>
      <c r="F227" s="506"/>
      <c r="G227" s="506"/>
      <c r="H227" s="506"/>
      <c r="I227" s="506"/>
      <c r="J227" s="506"/>
      <c r="K227" s="506"/>
      <c r="L227" s="506"/>
      <c r="M227" s="506"/>
      <c r="N227" s="506"/>
      <c r="O227" s="506"/>
      <c r="P227" s="506"/>
      <c r="Q227" s="506"/>
      <c r="R227" s="506"/>
      <c r="S227" s="506"/>
      <c r="T227" s="506"/>
      <c r="U227" s="506"/>
      <c r="V227" s="506"/>
      <c r="W227" s="506"/>
      <c r="X227" s="506"/>
      <c r="Y227" s="506"/>
      <c r="Z227" s="506"/>
      <c r="AA227" s="506"/>
      <c r="AB227" s="506"/>
    </row>
    <row r="228" spans="2:28" s="45" customFormat="1">
      <c r="B228" s="506"/>
      <c r="C228" s="506"/>
      <c r="D228" s="506"/>
      <c r="E228" s="506"/>
      <c r="F228" s="506"/>
      <c r="G228" s="506"/>
      <c r="H228" s="506"/>
      <c r="I228" s="506"/>
      <c r="J228" s="506"/>
      <c r="K228" s="506"/>
      <c r="L228" s="506"/>
      <c r="M228" s="506"/>
      <c r="N228" s="506"/>
      <c r="O228" s="506"/>
      <c r="P228" s="506"/>
      <c r="Q228" s="506"/>
      <c r="R228" s="506"/>
      <c r="S228" s="506"/>
      <c r="T228" s="506"/>
      <c r="U228" s="506"/>
      <c r="V228" s="506"/>
      <c r="W228" s="506"/>
      <c r="X228" s="506"/>
      <c r="Y228" s="506"/>
      <c r="Z228" s="506"/>
      <c r="AA228" s="506"/>
      <c r="AB228" s="506"/>
    </row>
    <row r="229" spans="2:28" s="45" customFormat="1">
      <c r="B229" s="506"/>
      <c r="C229" s="506"/>
      <c r="D229" s="506"/>
      <c r="E229" s="506"/>
      <c r="F229" s="506"/>
      <c r="G229" s="506"/>
      <c r="H229" s="506"/>
      <c r="I229" s="506"/>
      <c r="J229" s="506"/>
      <c r="K229" s="506"/>
      <c r="L229" s="506"/>
      <c r="M229" s="506"/>
      <c r="N229" s="506"/>
      <c r="O229" s="506"/>
      <c r="P229" s="506"/>
      <c r="Q229" s="506"/>
      <c r="R229" s="506"/>
      <c r="S229" s="506"/>
      <c r="T229" s="506"/>
      <c r="U229" s="506"/>
      <c r="V229" s="506"/>
      <c r="W229" s="506"/>
      <c r="X229" s="506"/>
      <c r="Y229" s="506"/>
      <c r="Z229" s="506"/>
      <c r="AA229" s="506"/>
      <c r="AB229" s="506"/>
    </row>
    <row r="230" spans="2:28" s="45" customFormat="1">
      <c r="B230" s="506"/>
      <c r="C230" s="506"/>
      <c r="D230" s="506"/>
      <c r="E230" s="506"/>
      <c r="F230" s="506"/>
      <c r="G230" s="506"/>
      <c r="H230" s="506"/>
      <c r="I230" s="506"/>
      <c r="J230" s="506"/>
      <c r="K230" s="506"/>
      <c r="L230" s="506"/>
      <c r="M230" s="506"/>
      <c r="N230" s="506"/>
      <c r="O230" s="506"/>
      <c r="P230" s="506"/>
      <c r="Q230" s="506"/>
      <c r="R230" s="506"/>
      <c r="S230" s="506"/>
      <c r="T230" s="506"/>
      <c r="U230" s="506"/>
      <c r="V230" s="506"/>
      <c r="W230" s="506"/>
      <c r="X230" s="506"/>
      <c r="Y230" s="506"/>
      <c r="Z230" s="506"/>
      <c r="AA230" s="506"/>
      <c r="AB230" s="506"/>
    </row>
    <row r="231" spans="2:28" s="45" customFormat="1">
      <c r="B231" s="506"/>
      <c r="C231" s="506"/>
      <c r="D231" s="506"/>
      <c r="E231" s="506"/>
      <c r="F231" s="506"/>
      <c r="G231" s="506"/>
      <c r="H231" s="506"/>
      <c r="I231" s="506"/>
      <c r="J231" s="506"/>
      <c r="K231" s="506"/>
      <c r="L231" s="506"/>
      <c r="M231" s="506"/>
      <c r="N231" s="506"/>
      <c r="O231" s="506"/>
      <c r="P231" s="506"/>
      <c r="Q231" s="506"/>
      <c r="R231" s="506"/>
      <c r="S231" s="506"/>
      <c r="T231" s="506"/>
      <c r="U231" s="506"/>
      <c r="V231" s="506"/>
      <c r="W231" s="506"/>
      <c r="X231" s="506"/>
      <c r="Y231" s="506"/>
      <c r="Z231" s="506"/>
      <c r="AA231" s="506"/>
      <c r="AB231" s="506"/>
    </row>
    <row r="232" spans="2:28" s="45" customFormat="1">
      <c r="B232" s="506"/>
      <c r="C232" s="506"/>
      <c r="D232" s="506"/>
      <c r="E232" s="506"/>
      <c r="F232" s="506"/>
      <c r="G232" s="506"/>
      <c r="H232" s="506"/>
      <c r="I232" s="506"/>
      <c r="J232" s="506"/>
      <c r="K232" s="506"/>
      <c r="L232" s="506"/>
      <c r="M232" s="506"/>
      <c r="N232" s="506"/>
      <c r="O232" s="506"/>
      <c r="P232" s="506"/>
      <c r="Q232" s="506"/>
      <c r="R232" s="506"/>
      <c r="S232" s="506"/>
      <c r="T232" s="506"/>
      <c r="U232" s="506"/>
      <c r="V232" s="506"/>
      <c r="W232" s="506"/>
      <c r="X232" s="506"/>
      <c r="Y232" s="506"/>
      <c r="Z232" s="506"/>
      <c r="AA232" s="506"/>
      <c r="AB232" s="506"/>
    </row>
    <row r="233" spans="2:28" s="45" customFormat="1">
      <c r="B233" s="506"/>
      <c r="C233" s="506"/>
      <c r="D233" s="506"/>
      <c r="E233" s="506"/>
      <c r="F233" s="506"/>
      <c r="G233" s="506"/>
      <c r="H233" s="506"/>
      <c r="I233" s="506"/>
      <c r="J233" s="506"/>
      <c r="K233" s="506"/>
      <c r="L233" s="506"/>
      <c r="M233" s="506"/>
      <c r="N233" s="506"/>
      <c r="O233" s="506"/>
      <c r="P233" s="506"/>
      <c r="Q233" s="506"/>
      <c r="R233" s="506"/>
      <c r="S233" s="506"/>
      <c r="T233" s="506"/>
      <c r="U233" s="506"/>
      <c r="V233" s="506"/>
      <c r="W233" s="506"/>
      <c r="X233" s="506"/>
      <c r="Y233" s="506"/>
      <c r="Z233" s="506"/>
      <c r="AA233" s="506"/>
      <c r="AB233" s="506"/>
    </row>
    <row r="234" spans="2:28" s="45" customFormat="1">
      <c r="B234" s="506"/>
      <c r="C234" s="506"/>
      <c r="D234" s="506"/>
      <c r="E234" s="506"/>
      <c r="F234" s="506"/>
      <c r="G234" s="506"/>
      <c r="H234" s="506"/>
      <c r="I234" s="506"/>
      <c r="J234" s="506"/>
      <c r="K234" s="506"/>
      <c r="L234" s="506"/>
      <c r="M234" s="506"/>
      <c r="N234" s="506"/>
      <c r="O234" s="506"/>
      <c r="P234" s="506"/>
      <c r="Q234" s="506"/>
      <c r="R234" s="506"/>
      <c r="S234" s="506"/>
      <c r="T234" s="506"/>
      <c r="U234" s="506"/>
      <c r="V234" s="506"/>
      <c r="W234" s="506"/>
      <c r="X234" s="506"/>
      <c r="Y234" s="506"/>
      <c r="Z234" s="506"/>
      <c r="AA234" s="506"/>
      <c r="AB234" s="506"/>
    </row>
    <row r="235" spans="2:28" s="45" customFormat="1">
      <c r="B235" s="506"/>
      <c r="C235" s="506"/>
      <c r="D235" s="506"/>
      <c r="E235" s="506"/>
      <c r="F235" s="506"/>
      <c r="G235" s="506"/>
      <c r="H235" s="506"/>
      <c r="I235" s="506"/>
      <c r="J235" s="506"/>
      <c r="K235" s="506"/>
      <c r="L235" s="506"/>
      <c r="M235" s="506"/>
      <c r="N235" s="506"/>
      <c r="O235" s="506"/>
      <c r="P235" s="506"/>
      <c r="Q235" s="506"/>
      <c r="R235" s="506"/>
      <c r="S235" s="506"/>
      <c r="T235" s="506"/>
      <c r="U235" s="506"/>
      <c r="V235" s="506"/>
      <c r="W235" s="506"/>
      <c r="X235" s="506"/>
      <c r="Y235" s="506"/>
      <c r="Z235" s="506"/>
      <c r="AA235" s="506"/>
      <c r="AB235" s="506"/>
    </row>
    <row r="236" spans="2:28" s="45" customFormat="1">
      <c r="B236" s="506"/>
      <c r="C236" s="506"/>
      <c r="D236" s="506"/>
      <c r="E236" s="506"/>
      <c r="F236" s="506"/>
      <c r="G236" s="506"/>
      <c r="H236" s="506"/>
      <c r="I236" s="506"/>
      <c r="J236" s="506"/>
      <c r="K236" s="506"/>
      <c r="L236" s="506"/>
      <c r="M236" s="506"/>
      <c r="N236" s="506"/>
      <c r="O236" s="506"/>
      <c r="P236" s="506"/>
      <c r="Q236" s="506"/>
      <c r="R236" s="506"/>
      <c r="S236" s="506"/>
      <c r="T236" s="506"/>
      <c r="U236" s="506"/>
      <c r="V236" s="506"/>
      <c r="W236" s="506"/>
      <c r="X236" s="506"/>
      <c r="Y236" s="506"/>
      <c r="Z236" s="506"/>
      <c r="AA236" s="506"/>
      <c r="AB236" s="506"/>
    </row>
    <row r="237" spans="2:28" s="45" customFormat="1">
      <c r="B237" s="506"/>
      <c r="C237" s="506"/>
      <c r="D237" s="506"/>
      <c r="E237" s="506"/>
      <c r="F237" s="506"/>
      <c r="G237" s="506"/>
      <c r="H237" s="506"/>
      <c r="I237" s="506"/>
      <c r="J237" s="506"/>
      <c r="K237" s="506"/>
      <c r="L237" s="506"/>
      <c r="M237" s="506"/>
      <c r="N237" s="506"/>
      <c r="O237" s="506"/>
      <c r="P237" s="506"/>
      <c r="Q237" s="506"/>
      <c r="R237" s="506"/>
      <c r="S237" s="506"/>
      <c r="T237" s="506"/>
      <c r="U237" s="506"/>
      <c r="V237" s="506"/>
      <c r="W237" s="506"/>
      <c r="X237" s="506"/>
      <c r="Y237" s="506"/>
      <c r="Z237" s="506"/>
      <c r="AA237" s="506"/>
      <c r="AB237" s="506"/>
    </row>
    <row r="238" spans="2:28" s="45" customFormat="1">
      <c r="B238" s="506"/>
      <c r="C238" s="506"/>
      <c r="D238" s="506"/>
      <c r="E238" s="506"/>
      <c r="F238" s="506"/>
      <c r="G238" s="506"/>
      <c r="H238" s="506"/>
      <c r="I238" s="506"/>
      <c r="J238" s="506"/>
      <c r="K238" s="506"/>
      <c r="L238" s="506"/>
      <c r="M238" s="506"/>
      <c r="N238" s="506"/>
      <c r="O238" s="506"/>
      <c r="P238" s="506"/>
      <c r="Q238" s="506"/>
      <c r="R238" s="506"/>
      <c r="S238" s="506"/>
      <c r="T238" s="506"/>
      <c r="U238" s="506"/>
      <c r="V238" s="506"/>
      <c r="W238" s="506"/>
      <c r="X238" s="506"/>
      <c r="Y238" s="506"/>
      <c r="Z238" s="506"/>
      <c r="AA238" s="506"/>
      <c r="AB238" s="506"/>
    </row>
    <row r="239" spans="2:28" s="45" customFormat="1">
      <c r="B239" s="506"/>
      <c r="C239" s="506"/>
      <c r="D239" s="506"/>
      <c r="E239" s="506"/>
      <c r="F239" s="506"/>
      <c r="G239" s="506"/>
      <c r="H239" s="506"/>
      <c r="I239" s="506"/>
      <c r="J239" s="506"/>
      <c r="K239" s="506"/>
      <c r="L239" s="506"/>
      <c r="M239" s="506"/>
      <c r="N239" s="506"/>
      <c r="O239" s="506"/>
      <c r="P239" s="506"/>
      <c r="Q239" s="506"/>
      <c r="R239" s="506"/>
      <c r="S239" s="506"/>
      <c r="T239" s="506"/>
      <c r="U239" s="506"/>
      <c r="V239" s="506"/>
      <c r="W239" s="506"/>
      <c r="X239" s="506"/>
      <c r="Y239" s="506"/>
      <c r="Z239" s="506"/>
      <c r="AA239" s="506"/>
      <c r="AB239" s="506"/>
    </row>
    <row r="240" spans="2:28" s="45" customFormat="1">
      <c r="B240" s="506"/>
      <c r="C240" s="506"/>
      <c r="D240" s="506"/>
      <c r="E240" s="506"/>
      <c r="F240" s="506"/>
      <c r="G240" s="506"/>
      <c r="H240" s="506"/>
      <c r="I240" s="506"/>
      <c r="J240" s="506"/>
      <c r="K240" s="506"/>
      <c r="L240" s="506"/>
      <c r="M240" s="506"/>
      <c r="N240" s="506"/>
      <c r="O240" s="506"/>
      <c r="P240" s="506"/>
      <c r="Q240" s="506"/>
      <c r="R240" s="506"/>
      <c r="S240" s="506"/>
      <c r="T240" s="506"/>
      <c r="U240" s="506"/>
      <c r="V240" s="506"/>
      <c r="W240" s="506"/>
      <c r="X240" s="506"/>
      <c r="Y240" s="506"/>
      <c r="Z240" s="506"/>
      <c r="AA240" s="506"/>
      <c r="AB240" s="506"/>
    </row>
    <row r="241" spans="2:28" s="45" customFormat="1">
      <c r="B241" s="506"/>
      <c r="C241" s="506"/>
      <c r="D241" s="506"/>
      <c r="E241" s="506"/>
      <c r="F241" s="506"/>
      <c r="G241" s="506"/>
      <c r="H241" s="506"/>
      <c r="I241" s="506"/>
      <c r="J241" s="506"/>
      <c r="K241" s="506"/>
      <c r="L241" s="506"/>
      <c r="M241" s="506"/>
      <c r="N241" s="506"/>
      <c r="O241" s="506"/>
      <c r="P241" s="506"/>
      <c r="Q241" s="506"/>
      <c r="R241" s="506"/>
      <c r="S241" s="506"/>
      <c r="T241" s="506"/>
      <c r="U241" s="506"/>
      <c r="V241" s="506"/>
      <c r="W241" s="506"/>
      <c r="X241" s="506"/>
      <c r="Y241" s="506"/>
      <c r="Z241" s="506"/>
      <c r="AA241" s="506"/>
      <c r="AB241" s="506"/>
    </row>
    <row r="242" spans="2:28" s="45" customFormat="1">
      <c r="B242" s="506"/>
      <c r="C242" s="506"/>
      <c r="D242" s="506"/>
      <c r="E242" s="506"/>
      <c r="F242" s="506"/>
      <c r="G242" s="506"/>
      <c r="H242" s="506"/>
      <c r="I242" s="506"/>
      <c r="J242" s="506"/>
      <c r="K242" s="506"/>
      <c r="L242" s="506"/>
      <c r="M242" s="506"/>
      <c r="N242" s="506"/>
      <c r="O242" s="506"/>
      <c r="P242" s="506"/>
      <c r="Q242" s="506"/>
      <c r="R242" s="506"/>
      <c r="S242" s="506"/>
      <c r="T242" s="506"/>
      <c r="U242" s="506"/>
      <c r="V242" s="506"/>
      <c r="W242" s="506"/>
      <c r="X242" s="506"/>
      <c r="Y242" s="506"/>
      <c r="Z242" s="506"/>
      <c r="AA242" s="506"/>
      <c r="AB242" s="506"/>
    </row>
    <row r="243" spans="2:28" s="45" customFormat="1">
      <c r="B243" s="506"/>
      <c r="C243" s="506"/>
      <c r="D243" s="506"/>
      <c r="E243" s="506"/>
      <c r="F243" s="506"/>
      <c r="G243" s="506"/>
      <c r="H243" s="506"/>
      <c r="I243" s="506"/>
      <c r="J243" s="506"/>
      <c r="K243" s="506"/>
      <c r="L243" s="506"/>
      <c r="M243" s="506"/>
      <c r="N243" s="506"/>
      <c r="O243" s="506"/>
      <c r="P243" s="506"/>
      <c r="Q243" s="506"/>
      <c r="R243" s="506"/>
      <c r="S243" s="506"/>
      <c r="T243" s="506"/>
      <c r="U243" s="506"/>
      <c r="V243" s="506"/>
      <c r="W243" s="506"/>
      <c r="X243" s="506"/>
      <c r="Y243" s="506"/>
      <c r="Z243" s="506"/>
      <c r="AA243" s="506"/>
      <c r="AB243" s="506"/>
    </row>
    <row r="244" spans="2:28" s="45" customFormat="1">
      <c r="B244" s="506"/>
      <c r="C244" s="506"/>
      <c r="D244" s="506"/>
      <c r="E244" s="506"/>
      <c r="F244" s="506"/>
      <c r="G244" s="506"/>
      <c r="H244" s="506"/>
      <c r="I244" s="506"/>
      <c r="J244" s="506"/>
      <c r="K244" s="506"/>
      <c r="L244" s="506"/>
      <c r="M244" s="506"/>
      <c r="N244" s="506"/>
      <c r="O244" s="506"/>
      <c r="P244" s="506"/>
      <c r="Q244" s="506"/>
      <c r="R244" s="506"/>
      <c r="S244" s="506"/>
      <c r="T244" s="506"/>
      <c r="U244" s="506"/>
      <c r="V244" s="506"/>
      <c r="W244" s="506"/>
      <c r="X244" s="506"/>
      <c r="Y244" s="506"/>
      <c r="Z244" s="506"/>
      <c r="AA244" s="506"/>
      <c r="AB244" s="506"/>
    </row>
    <row r="245" spans="2:28" s="45" customFormat="1">
      <c r="B245" s="506"/>
      <c r="C245" s="506"/>
      <c r="D245" s="506"/>
      <c r="E245" s="506"/>
      <c r="F245" s="506"/>
      <c r="G245" s="506"/>
      <c r="H245" s="506"/>
      <c r="I245" s="506"/>
      <c r="J245" s="506"/>
      <c r="K245" s="506"/>
      <c r="L245" s="506"/>
      <c r="M245" s="506"/>
      <c r="N245" s="506"/>
      <c r="O245" s="506"/>
      <c r="P245" s="506"/>
      <c r="Q245" s="506"/>
      <c r="R245" s="506"/>
      <c r="S245" s="506"/>
      <c r="T245" s="506"/>
      <c r="U245" s="506"/>
      <c r="V245" s="506"/>
      <c r="W245" s="506"/>
      <c r="X245" s="506"/>
      <c r="Y245" s="506"/>
      <c r="Z245" s="506"/>
      <c r="AA245" s="506"/>
      <c r="AB245" s="506"/>
    </row>
    <row r="246" spans="2:28" s="45" customFormat="1">
      <c r="B246" s="506"/>
      <c r="C246" s="506"/>
      <c r="D246" s="506"/>
      <c r="E246" s="506"/>
      <c r="F246" s="506"/>
      <c r="G246" s="506"/>
      <c r="H246" s="506"/>
      <c r="I246" s="506"/>
      <c r="J246" s="506"/>
      <c r="K246" s="506"/>
      <c r="L246" s="506"/>
      <c r="M246" s="506"/>
      <c r="N246" s="506"/>
      <c r="O246" s="506"/>
      <c r="P246" s="506"/>
      <c r="Q246" s="506"/>
      <c r="R246" s="506"/>
      <c r="S246" s="506"/>
      <c r="T246" s="506"/>
      <c r="U246" s="506"/>
      <c r="V246" s="506"/>
      <c r="W246" s="506"/>
      <c r="X246" s="506"/>
      <c r="Y246" s="506"/>
      <c r="Z246" s="506"/>
      <c r="AA246" s="506"/>
      <c r="AB246" s="506"/>
    </row>
    <row r="247" spans="2:28" s="45" customFormat="1">
      <c r="B247" s="506"/>
      <c r="C247" s="506"/>
      <c r="D247" s="506"/>
      <c r="E247" s="506"/>
      <c r="F247" s="506"/>
      <c r="G247" s="506"/>
      <c r="H247" s="506"/>
      <c r="I247" s="506"/>
      <c r="J247" s="506"/>
      <c r="K247" s="506"/>
      <c r="L247" s="506"/>
      <c r="M247" s="506"/>
      <c r="N247" s="506"/>
      <c r="O247" s="506"/>
      <c r="P247" s="506"/>
      <c r="Q247" s="506"/>
      <c r="R247" s="506"/>
      <c r="S247" s="506"/>
      <c r="T247" s="506"/>
      <c r="U247" s="506"/>
      <c r="V247" s="506"/>
      <c r="W247" s="506"/>
      <c r="X247" s="506"/>
      <c r="Y247" s="506"/>
      <c r="Z247" s="506"/>
      <c r="AA247" s="506"/>
      <c r="AB247" s="506"/>
    </row>
    <row r="248" spans="2:28" s="45" customFormat="1">
      <c r="B248" s="506"/>
      <c r="C248" s="506"/>
      <c r="D248" s="506"/>
      <c r="E248" s="506"/>
      <c r="F248" s="506"/>
      <c r="G248" s="506"/>
      <c r="H248" s="506"/>
      <c r="I248" s="506"/>
      <c r="J248" s="506"/>
      <c r="K248" s="506"/>
      <c r="L248" s="506"/>
      <c r="M248" s="506"/>
      <c r="N248" s="506"/>
      <c r="O248" s="506"/>
      <c r="P248" s="506"/>
      <c r="Q248" s="506"/>
      <c r="R248" s="506"/>
      <c r="S248" s="506"/>
      <c r="T248" s="506"/>
      <c r="U248" s="506"/>
      <c r="V248" s="506"/>
      <c r="W248" s="506"/>
      <c r="X248" s="506"/>
      <c r="Y248" s="506"/>
      <c r="Z248" s="506"/>
      <c r="AA248" s="506"/>
      <c r="AB248" s="506"/>
    </row>
    <row r="249" spans="2:28" s="45" customFormat="1">
      <c r="B249" s="506"/>
      <c r="C249" s="506"/>
      <c r="D249" s="506"/>
      <c r="E249" s="506"/>
      <c r="F249" s="506"/>
      <c r="G249" s="506"/>
      <c r="H249" s="506"/>
      <c r="I249" s="506"/>
      <c r="J249" s="506"/>
      <c r="K249" s="506"/>
      <c r="L249" s="506"/>
      <c r="M249" s="506"/>
      <c r="N249" s="506"/>
      <c r="O249" s="506"/>
      <c r="P249" s="506"/>
      <c r="Q249" s="506"/>
      <c r="R249" s="506"/>
      <c r="S249" s="506"/>
      <c r="T249" s="506"/>
      <c r="U249" s="506"/>
      <c r="V249" s="506"/>
      <c r="W249" s="506"/>
      <c r="X249" s="506"/>
      <c r="Y249" s="506"/>
      <c r="Z249" s="506"/>
      <c r="AA249" s="506"/>
      <c r="AB249" s="506"/>
    </row>
    <row r="250" spans="2:28" s="45" customFormat="1">
      <c r="B250" s="506"/>
      <c r="C250" s="506"/>
      <c r="D250" s="506"/>
      <c r="E250" s="506"/>
      <c r="F250" s="506"/>
      <c r="G250" s="506"/>
      <c r="H250" s="506"/>
      <c r="I250" s="506"/>
      <c r="J250" s="506"/>
      <c r="K250" s="506"/>
      <c r="L250" s="506"/>
      <c r="M250" s="506"/>
      <c r="N250" s="506"/>
      <c r="O250" s="506"/>
      <c r="P250" s="506"/>
      <c r="Q250" s="506"/>
      <c r="R250" s="506"/>
      <c r="S250" s="506"/>
      <c r="T250" s="506"/>
      <c r="U250" s="506"/>
      <c r="V250" s="506"/>
      <c r="W250" s="506"/>
      <c r="X250" s="506"/>
      <c r="Y250" s="506"/>
      <c r="Z250" s="506"/>
      <c r="AA250" s="506"/>
      <c r="AB250" s="506"/>
    </row>
    <row r="251" spans="2:28" s="45" customFormat="1">
      <c r="B251" s="506"/>
      <c r="C251" s="506"/>
      <c r="D251" s="506"/>
      <c r="E251" s="506"/>
      <c r="F251" s="506"/>
      <c r="G251" s="506"/>
      <c r="H251" s="506"/>
      <c r="I251" s="506"/>
      <c r="J251" s="506"/>
      <c r="K251" s="506"/>
      <c r="L251" s="506"/>
      <c r="M251" s="506"/>
      <c r="N251" s="506"/>
      <c r="O251" s="506"/>
      <c r="P251" s="506"/>
      <c r="Q251" s="506"/>
      <c r="R251" s="506"/>
      <c r="S251" s="506"/>
      <c r="T251" s="506"/>
      <c r="U251" s="506"/>
      <c r="V251" s="506"/>
      <c r="W251" s="506"/>
      <c r="X251" s="506"/>
      <c r="Y251" s="506"/>
      <c r="Z251" s="506"/>
      <c r="AA251" s="506"/>
      <c r="AB251" s="506"/>
    </row>
    <row r="252" spans="2:28" s="45" customFormat="1">
      <c r="B252" s="506"/>
      <c r="C252" s="506"/>
      <c r="D252" s="506"/>
      <c r="E252" s="506"/>
      <c r="F252" s="506"/>
      <c r="G252" s="506"/>
      <c r="H252" s="506"/>
      <c r="I252" s="506"/>
      <c r="J252" s="506"/>
      <c r="K252" s="506"/>
      <c r="L252" s="506"/>
      <c r="M252" s="506"/>
      <c r="N252" s="506"/>
      <c r="O252" s="506"/>
      <c r="P252" s="506"/>
      <c r="Q252" s="506"/>
      <c r="R252" s="506"/>
      <c r="S252" s="506"/>
      <c r="T252" s="506"/>
      <c r="U252" s="506"/>
      <c r="V252" s="506"/>
      <c r="W252" s="506"/>
      <c r="X252" s="506"/>
      <c r="Y252" s="506"/>
      <c r="Z252" s="506"/>
      <c r="AA252" s="506"/>
      <c r="AB252" s="506"/>
    </row>
    <row r="253" spans="2:28" s="45" customFormat="1">
      <c r="B253" s="506"/>
      <c r="C253" s="506"/>
      <c r="D253" s="506"/>
      <c r="E253" s="506"/>
      <c r="F253" s="506"/>
      <c r="G253" s="506"/>
      <c r="H253" s="506"/>
      <c r="I253" s="506"/>
      <c r="J253" s="506"/>
      <c r="K253" s="506"/>
      <c r="L253" s="506"/>
      <c r="M253" s="506"/>
      <c r="N253" s="506"/>
      <c r="O253" s="506"/>
      <c r="P253" s="506"/>
      <c r="Q253" s="506"/>
      <c r="R253" s="506"/>
      <c r="S253" s="506"/>
      <c r="T253" s="506"/>
      <c r="U253" s="506"/>
      <c r="V253" s="506"/>
      <c r="W253" s="506"/>
      <c r="X253" s="506"/>
      <c r="Y253" s="506"/>
      <c r="Z253" s="506"/>
      <c r="AA253" s="506"/>
      <c r="AB253" s="506"/>
    </row>
    <row r="254" spans="2:28" s="45" customFormat="1">
      <c r="B254" s="506"/>
      <c r="C254" s="506"/>
      <c r="D254" s="506"/>
      <c r="E254" s="506"/>
      <c r="F254" s="506"/>
      <c r="G254" s="506"/>
      <c r="H254" s="506"/>
      <c r="I254" s="506"/>
      <c r="J254" s="506"/>
      <c r="K254" s="506"/>
      <c r="L254" s="506"/>
      <c r="M254" s="506"/>
      <c r="N254" s="506"/>
      <c r="O254" s="506"/>
      <c r="P254" s="506"/>
      <c r="Q254" s="506"/>
      <c r="R254" s="506"/>
      <c r="S254" s="506"/>
      <c r="T254" s="506"/>
      <c r="U254" s="506"/>
      <c r="V254" s="506"/>
      <c r="W254" s="506"/>
      <c r="X254" s="506"/>
      <c r="Y254" s="506"/>
      <c r="Z254" s="506"/>
      <c r="AA254" s="506"/>
      <c r="AB254" s="506"/>
    </row>
    <row r="255" spans="2:28" s="45" customFormat="1">
      <c r="B255" s="506"/>
      <c r="C255" s="506"/>
      <c r="D255" s="506"/>
      <c r="E255" s="506"/>
      <c r="F255" s="506"/>
      <c r="G255" s="506"/>
      <c r="H255" s="506"/>
      <c r="I255" s="506"/>
      <c r="J255" s="506"/>
      <c r="K255" s="506"/>
      <c r="L255" s="506"/>
      <c r="M255" s="506"/>
      <c r="N255" s="506"/>
      <c r="O255" s="506"/>
      <c r="P255" s="506"/>
      <c r="Q255" s="506"/>
      <c r="R255" s="506"/>
      <c r="S255" s="506"/>
      <c r="T255" s="506"/>
      <c r="U255" s="506"/>
      <c r="V255" s="506"/>
      <c r="W255" s="506"/>
      <c r="X255" s="506"/>
      <c r="Y255" s="506"/>
      <c r="Z255" s="506"/>
      <c r="AA255" s="506"/>
      <c r="AB255" s="506"/>
    </row>
    <row r="256" spans="2:28" s="45" customFormat="1">
      <c r="B256" s="506"/>
      <c r="C256" s="506"/>
      <c r="D256" s="506"/>
      <c r="E256" s="506"/>
      <c r="F256" s="506"/>
      <c r="G256" s="506"/>
      <c r="H256" s="506"/>
      <c r="I256" s="506"/>
      <c r="J256" s="506"/>
      <c r="K256" s="506"/>
      <c r="L256" s="506"/>
      <c r="M256" s="506"/>
      <c r="N256" s="506"/>
      <c r="O256" s="506"/>
      <c r="P256" s="506"/>
      <c r="Q256" s="506"/>
      <c r="R256" s="506"/>
      <c r="S256" s="506"/>
      <c r="T256" s="506"/>
      <c r="U256" s="506"/>
      <c r="V256" s="506"/>
      <c r="W256" s="506"/>
      <c r="X256" s="506"/>
      <c r="Y256" s="506"/>
      <c r="Z256" s="506"/>
      <c r="AA256" s="506"/>
      <c r="AB256" s="506"/>
    </row>
    <row r="257" spans="2:28" s="45" customFormat="1">
      <c r="B257" s="506"/>
      <c r="C257" s="506"/>
      <c r="D257" s="506"/>
      <c r="E257" s="506"/>
      <c r="F257" s="506"/>
      <c r="G257" s="506"/>
      <c r="H257" s="506"/>
      <c r="I257" s="506"/>
      <c r="J257" s="506"/>
      <c r="K257" s="506"/>
      <c r="L257" s="506"/>
      <c r="M257" s="506"/>
      <c r="N257" s="506"/>
      <c r="O257" s="506"/>
      <c r="P257" s="506"/>
      <c r="Q257" s="506"/>
      <c r="R257" s="506"/>
      <c r="S257" s="506"/>
      <c r="T257" s="506"/>
      <c r="U257" s="506"/>
      <c r="V257" s="506"/>
      <c r="W257" s="506"/>
      <c r="X257" s="506"/>
      <c r="Y257" s="506"/>
      <c r="Z257" s="506"/>
      <c r="AA257" s="506"/>
      <c r="AB257" s="506"/>
    </row>
    <row r="258" spans="2:28" s="45" customFormat="1">
      <c r="B258" s="506"/>
      <c r="C258" s="506"/>
      <c r="D258" s="506"/>
      <c r="E258" s="506"/>
      <c r="F258" s="506"/>
      <c r="G258" s="506"/>
      <c r="H258" s="506"/>
      <c r="I258" s="506"/>
      <c r="J258" s="506"/>
      <c r="K258" s="506"/>
      <c r="L258" s="506"/>
      <c r="M258" s="506"/>
      <c r="N258" s="506"/>
      <c r="O258" s="506"/>
      <c r="P258" s="506"/>
      <c r="Q258" s="506"/>
      <c r="R258" s="506"/>
      <c r="S258" s="506"/>
      <c r="T258" s="506"/>
      <c r="U258" s="506"/>
      <c r="V258" s="506"/>
      <c r="W258" s="506"/>
      <c r="X258" s="506"/>
      <c r="Y258" s="506"/>
      <c r="Z258" s="506"/>
      <c r="AA258" s="506"/>
      <c r="AB258" s="506"/>
    </row>
    <row r="259" spans="2:28" s="45" customFormat="1">
      <c r="B259" s="506"/>
      <c r="C259" s="506"/>
      <c r="D259" s="506"/>
      <c r="E259" s="506"/>
      <c r="F259" s="506"/>
      <c r="G259" s="506"/>
      <c r="H259" s="506"/>
      <c r="I259" s="506"/>
      <c r="J259" s="506"/>
      <c r="K259" s="506"/>
      <c r="L259" s="506"/>
      <c r="M259" s="506"/>
      <c r="N259" s="506"/>
      <c r="O259" s="506"/>
      <c r="P259" s="506"/>
      <c r="Q259" s="506"/>
      <c r="R259" s="506"/>
      <c r="S259" s="506"/>
      <c r="T259" s="506"/>
      <c r="U259" s="506"/>
      <c r="V259" s="506"/>
      <c r="W259" s="506"/>
      <c r="X259" s="506"/>
      <c r="Y259" s="506"/>
      <c r="Z259" s="506"/>
      <c r="AA259" s="506"/>
      <c r="AB259" s="506"/>
    </row>
    <row r="260" spans="2:28" s="45" customFormat="1">
      <c r="B260" s="506"/>
      <c r="C260" s="506"/>
      <c r="D260" s="506"/>
      <c r="E260" s="506"/>
      <c r="F260" s="506"/>
      <c r="G260" s="506"/>
      <c r="H260" s="506"/>
      <c r="I260" s="506"/>
      <c r="J260" s="506"/>
      <c r="K260" s="506"/>
      <c r="L260" s="506"/>
      <c r="M260" s="506"/>
      <c r="N260" s="506"/>
      <c r="O260" s="506"/>
      <c r="P260" s="506"/>
      <c r="Q260" s="506"/>
      <c r="R260" s="506"/>
      <c r="S260" s="506"/>
      <c r="T260" s="506"/>
      <c r="U260" s="506"/>
      <c r="V260" s="506"/>
      <c r="W260" s="506"/>
      <c r="X260" s="506"/>
      <c r="Y260" s="506"/>
      <c r="Z260" s="506"/>
      <c r="AA260" s="506"/>
      <c r="AB260" s="506"/>
    </row>
    <row r="261" spans="2:28" s="45" customFormat="1">
      <c r="B261" s="506"/>
      <c r="C261" s="506"/>
      <c r="D261" s="506"/>
      <c r="E261" s="506"/>
      <c r="F261" s="506"/>
      <c r="G261" s="506"/>
      <c r="H261" s="506"/>
      <c r="I261" s="506"/>
      <c r="J261" s="506"/>
      <c r="K261" s="506"/>
      <c r="L261" s="506"/>
      <c r="M261" s="506"/>
      <c r="N261" s="506"/>
      <c r="O261" s="506"/>
      <c r="P261" s="506"/>
      <c r="Q261" s="506"/>
      <c r="R261" s="506"/>
      <c r="S261" s="506"/>
      <c r="T261" s="506"/>
      <c r="U261" s="506"/>
      <c r="V261" s="506"/>
      <c r="W261" s="506"/>
      <c r="X261" s="506"/>
      <c r="Y261" s="506"/>
      <c r="Z261" s="506"/>
      <c r="AA261" s="506"/>
      <c r="AB261" s="506"/>
    </row>
    <row r="262" spans="2:28" s="45" customFormat="1">
      <c r="B262" s="506"/>
      <c r="C262" s="506"/>
      <c r="D262" s="506"/>
      <c r="E262" s="506"/>
      <c r="F262" s="506"/>
      <c r="G262" s="506"/>
      <c r="H262" s="506"/>
      <c r="I262" s="506"/>
      <c r="J262" s="506"/>
      <c r="K262" s="506"/>
      <c r="L262" s="506"/>
      <c r="M262" s="506"/>
      <c r="N262" s="506"/>
      <c r="O262" s="506"/>
      <c r="P262" s="506"/>
      <c r="Q262" s="506"/>
      <c r="R262" s="506"/>
      <c r="S262" s="506"/>
      <c r="T262" s="506"/>
      <c r="U262" s="506"/>
      <c r="V262" s="506"/>
      <c r="W262" s="506"/>
      <c r="X262" s="506"/>
      <c r="Y262" s="506"/>
      <c r="Z262" s="506"/>
      <c r="AA262" s="506"/>
      <c r="AB262" s="506"/>
    </row>
    <row r="263" spans="2:28" s="45" customFormat="1">
      <c r="B263" s="506"/>
      <c r="C263" s="506"/>
      <c r="D263" s="506"/>
      <c r="E263" s="506"/>
      <c r="F263" s="506"/>
      <c r="G263" s="506"/>
      <c r="H263" s="506"/>
      <c r="I263" s="506"/>
      <c r="J263" s="506"/>
      <c r="K263" s="506"/>
      <c r="L263" s="506"/>
      <c r="M263" s="506"/>
      <c r="N263" s="506"/>
      <c r="O263" s="506"/>
      <c r="P263" s="506"/>
      <c r="Q263" s="506"/>
      <c r="R263" s="506"/>
      <c r="S263" s="506"/>
      <c r="T263" s="506"/>
      <c r="U263" s="506"/>
      <c r="V263" s="506"/>
      <c r="W263" s="506"/>
      <c r="X263" s="506"/>
      <c r="Y263" s="506"/>
      <c r="Z263" s="506"/>
      <c r="AA263" s="506"/>
      <c r="AB263" s="506"/>
    </row>
    <row r="264" spans="2:28" s="45" customFormat="1">
      <c r="B264" s="506"/>
      <c r="C264" s="506"/>
      <c r="D264" s="506"/>
      <c r="E264" s="506"/>
      <c r="F264" s="506"/>
      <c r="G264" s="506"/>
      <c r="H264" s="506"/>
      <c r="I264" s="506"/>
      <c r="J264" s="506"/>
      <c r="K264" s="506"/>
      <c r="L264" s="506"/>
      <c r="M264" s="506"/>
      <c r="N264" s="506"/>
      <c r="O264" s="506"/>
      <c r="P264" s="506"/>
      <c r="Q264" s="506"/>
      <c r="R264" s="506"/>
      <c r="S264" s="506"/>
      <c r="T264" s="506"/>
      <c r="U264" s="506"/>
      <c r="V264" s="506"/>
      <c r="W264" s="506"/>
      <c r="X264" s="506"/>
      <c r="Y264" s="506"/>
      <c r="Z264" s="506"/>
      <c r="AA264" s="506"/>
      <c r="AB264" s="506"/>
    </row>
    <row r="265" spans="2:28" s="45" customFormat="1">
      <c r="B265" s="506"/>
      <c r="C265" s="506"/>
      <c r="D265" s="506"/>
      <c r="E265" s="506"/>
      <c r="F265" s="506"/>
      <c r="G265" s="506"/>
      <c r="H265" s="506"/>
      <c r="I265" s="506"/>
      <c r="J265" s="506"/>
      <c r="K265" s="506"/>
      <c r="L265" s="506"/>
      <c r="M265" s="506"/>
      <c r="N265" s="506"/>
      <c r="O265" s="506"/>
      <c r="P265" s="506"/>
      <c r="Q265" s="506"/>
      <c r="R265" s="506"/>
      <c r="S265" s="506"/>
      <c r="T265" s="506"/>
      <c r="U265" s="506"/>
      <c r="V265" s="506"/>
      <c r="W265" s="506"/>
      <c r="X265" s="506"/>
      <c r="Y265" s="506"/>
      <c r="Z265" s="506"/>
      <c r="AA265" s="506"/>
      <c r="AB265" s="506"/>
    </row>
    <row r="266" spans="2:28" s="45" customFormat="1">
      <c r="B266" s="506"/>
      <c r="C266" s="506"/>
      <c r="D266" s="506"/>
      <c r="E266" s="506"/>
      <c r="F266" s="506"/>
      <c r="G266" s="506"/>
      <c r="H266" s="506"/>
      <c r="I266" s="506"/>
      <c r="J266" s="506"/>
      <c r="K266" s="506"/>
      <c r="L266" s="506"/>
      <c r="M266" s="506"/>
      <c r="N266" s="506"/>
      <c r="O266" s="506"/>
      <c r="P266" s="506"/>
      <c r="Q266" s="506"/>
      <c r="R266" s="506"/>
      <c r="S266" s="506"/>
      <c r="T266" s="506"/>
      <c r="U266" s="506"/>
      <c r="V266" s="506"/>
      <c r="W266" s="506"/>
      <c r="X266" s="506"/>
      <c r="Y266" s="506"/>
      <c r="Z266" s="506"/>
      <c r="AA266" s="506"/>
      <c r="AB266" s="506"/>
    </row>
    <row r="267" spans="2:28" s="45" customFormat="1">
      <c r="B267" s="506"/>
      <c r="C267" s="506"/>
      <c r="D267" s="506"/>
      <c r="E267" s="506"/>
      <c r="F267" s="506"/>
      <c r="G267" s="506"/>
      <c r="H267" s="506"/>
      <c r="I267" s="506"/>
      <c r="J267" s="506"/>
      <c r="K267" s="506"/>
      <c r="L267" s="506"/>
      <c r="M267" s="506"/>
      <c r="N267" s="506"/>
      <c r="O267" s="506"/>
      <c r="P267" s="506"/>
      <c r="Q267" s="506"/>
      <c r="R267" s="506"/>
      <c r="S267" s="506"/>
      <c r="T267" s="506"/>
      <c r="U267" s="506"/>
      <c r="V267" s="506"/>
      <c r="W267" s="506"/>
      <c r="X267" s="506"/>
      <c r="Y267" s="506"/>
      <c r="Z267" s="506"/>
      <c r="AA267" s="506"/>
      <c r="AB267" s="506"/>
    </row>
    <row r="268" spans="2:28" s="45" customFormat="1">
      <c r="B268" s="506"/>
      <c r="C268" s="506"/>
      <c r="D268" s="506"/>
      <c r="E268" s="506"/>
      <c r="F268" s="506"/>
      <c r="G268" s="506"/>
      <c r="H268" s="506"/>
      <c r="I268" s="506"/>
      <c r="J268" s="506"/>
      <c r="K268" s="506"/>
      <c r="L268" s="506"/>
      <c r="M268" s="506"/>
      <c r="N268" s="506"/>
      <c r="O268" s="506"/>
      <c r="P268" s="506"/>
      <c r="Q268" s="506"/>
      <c r="R268" s="506"/>
      <c r="S268" s="506"/>
      <c r="T268" s="506"/>
      <c r="U268" s="506"/>
      <c r="V268" s="506"/>
      <c r="W268" s="506"/>
      <c r="X268" s="506"/>
      <c r="Y268" s="506"/>
      <c r="Z268" s="506"/>
      <c r="AA268" s="506"/>
      <c r="AB268" s="506"/>
    </row>
    <row r="269" spans="2:28" s="45" customFormat="1">
      <c r="B269" s="506"/>
      <c r="C269" s="506"/>
      <c r="D269" s="506"/>
      <c r="E269" s="506"/>
      <c r="F269" s="506"/>
      <c r="G269" s="506"/>
      <c r="H269" s="506"/>
      <c r="I269" s="506"/>
      <c r="J269" s="506"/>
      <c r="K269" s="506"/>
      <c r="L269" s="506"/>
      <c r="M269" s="506"/>
      <c r="N269" s="506"/>
      <c r="O269" s="506"/>
      <c r="P269" s="506"/>
      <c r="Q269" s="506"/>
      <c r="R269" s="506"/>
      <c r="S269" s="506"/>
      <c r="T269" s="506"/>
      <c r="U269" s="506"/>
      <c r="V269" s="506"/>
      <c r="W269" s="506"/>
      <c r="X269" s="506"/>
      <c r="Y269" s="506"/>
      <c r="Z269" s="506"/>
      <c r="AA269" s="506"/>
      <c r="AB269" s="506"/>
    </row>
    <row r="270" spans="2:28" s="45" customFormat="1">
      <c r="B270" s="506"/>
      <c r="C270" s="506"/>
      <c r="D270" s="506"/>
      <c r="E270" s="506"/>
      <c r="F270" s="506"/>
      <c r="G270" s="506"/>
      <c r="H270" s="506"/>
      <c r="I270" s="506"/>
      <c r="J270" s="506"/>
      <c r="K270" s="506"/>
      <c r="L270" s="506"/>
      <c r="M270" s="506"/>
      <c r="N270" s="506"/>
      <c r="O270" s="506"/>
      <c r="P270" s="506"/>
      <c r="Q270" s="506"/>
      <c r="R270" s="506"/>
      <c r="S270" s="506"/>
      <c r="T270" s="506"/>
      <c r="U270" s="506"/>
      <c r="V270" s="506"/>
      <c r="W270" s="506"/>
      <c r="X270" s="506"/>
      <c r="Y270" s="506"/>
      <c r="Z270" s="506"/>
      <c r="AA270" s="506"/>
      <c r="AB270" s="506"/>
    </row>
    <row r="271" spans="2:28" s="45" customFormat="1">
      <c r="B271" s="506"/>
      <c r="C271" s="506"/>
      <c r="D271" s="506"/>
      <c r="E271" s="506"/>
      <c r="F271" s="506"/>
      <c r="G271" s="506"/>
      <c r="H271" s="506"/>
      <c r="I271" s="506"/>
      <c r="J271" s="506"/>
      <c r="K271" s="506"/>
      <c r="L271" s="506"/>
      <c r="M271" s="506"/>
      <c r="N271" s="506"/>
      <c r="O271" s="506"/>
      <c r="P271" s="506"/>
      <c r="Q271" s="506"/>
      <c r="R271" s="506"/>
      <c r="S271" s="506"/>
      <c r="T271" s="506"/>
      <c r="U271" s="506"/>
      <c r="V271" s="506"/>
      <c r="W271" s="506"/>
      <c r="X271" s="506"/>
      <c r="Y271" s="506"/>
      <c r="Z271" s="506"/>
      <c r="AA271" s="506"/>
      <c r="AB271" s="506"/>
    </row>
    <row r="272" spans="2:28" s="45" customFormat="1">
      <c r="B272" s="506"/>
      <c r="C272" s="506"/>
      <c r="D272" s="506"/>
      <c r="E272" s="506"/>
      <c r="F272" s="506"/>
      <c r="G272" s="506"/>
      <c r="H272" s="506"/>
      <c r="I272" s="506"/>
      <c r="J272" s="506"/>
      <c r="K272" s="506"/>
      <c r="L272" s="506"/>
      <c r="M272" s="506"/>
      <c r="N272" s="506"/>
      <c r="O272" s="506"/>
      <c r="P272" s="506"/>
      <c r="Q272" s="506"/>
      <c r="R272" s="506"/>
      <c r="S272" s="506"/>
      <c r="T272" s="506"/>
      <c r="U272" s="506"/>
      <c r="V272" s="506"/>
      <c r="W272" s="506"/>
      <c r="X272" s="506"/>
      <c r="Y272" s="506"/>
      <c r="Z272" s="506"/>
      <c r="AA272" s="506"/>
      <c r="AB272" s="506"/>
    </row>
    <row r="273" spans="2:28" s="45" customFormat="1">
      <c r="B273" s="506"/>
      <c r="C273" s="506"/>
      <c r="D273" s="506"/>
      <c r="E273" s="506"/>
      <c r="F273" s="506"/>
      <c r="G273" s="506"/>
      <c r="H273" s="506"/>
      <c r="I273" s="506"/>
      <c r="J273" s="506"/>
      <c r="K273" s="506"/>
      <c r="L273" s="506"/>
      <c r="M273" s="506"/>
      <c r="N273" s="506"/>
      <c r="O273" s="506"/>
      <c r="P273" s="506"/>
      <c r="Q273" s="506"/>
      <c r="R273" s="506"/>
      <c r="S273" s="506"/>
      <c r="T273" s="506"/>
      <c r="U273" s="506"/>
      <c r="V273" s="506"/>
      <c r="W273" s="506"/>
      <c r="X273" s="506"/>
      <c r="Y273" s="506"/>
      <c r="Z273" s="506"/>
      <c r="AA273" s="506"/>
      <c r="AB273" s="506"/>
    </row>
    <row r="274" spans="2:28" s="45" customFormat="1">
      <c r="B274" s="506"/>
      <c r="C274" s="506"/>
      <c r="D274" s="506"/>
      <c r="E274" s="506"/>
      <c r="F274" s="506"/>
      <c r="G274" s="506"/>
      <c r="H274" s="506"/>
      <c r="I274" s="506"/>
      <c r="J274" s="506"/>
      <c r="K274" s="506"/>
      <c r="L274" s="506"/>
      <c r="M274" s="506"/>
      <c r="N274" s="506"/>
      <c r="O274" s="506"/>
      <c r="P274" s="506"/>
      <c r="Q274" s="506"/>
      <c r="R274" s="506"/>
      <c r="S274" s="506"/>
      <c r="T274" s="506"/>
      <c r="U274" s="506"/>
      <c r="V274" s="506"/>
      <c r="W274" s="506"/>
      <c r="X274" s="506"/>
      <c r="Y274" s="506"/>
      <c r="Z274" s="506"/>
      <c r="AA274" s="506"/>
      <c r="AB274" s="506"/>
    </row>
    <row r="275" spans="2:28" s="45" customFormat="1">
      <c r="B275" s="506"/>
      <c r="C275" s="506"/>
      <c r="D275" s="506"/>
      <c r="E275" s="506"/>
      <c r="F275" s="506"/>
      <c r="G275" s="506"/>
      <c r="H275" s="506"/>
      <c r="I275" s="506"/>
      <c r="J275" s="506"/>
      <c r="K275" s="506"/>
      <c r="L275" s="506"/>
      <c r="M275" s="506"/>
      <c r="N275" s="506"/>
      <c r="O275" s="506"/>
      <c r="P275" s="506"/>
      <c r="Q275" s="506"/>
      <c r="R275" s="506"/>
      <c r="S275" s="506"/>
      <c r="T275" s="506"/>
      <c r="U275" s="506"/>
      <c r="V275" s="506"/>
      <c r="W275" s="506"/>
      <c r="X275" s="506"/>
      <c r="Y275" s="506"/>
      <c r="Z275" s="506"/>
      <c r="AA275" s="506"/>
      <c r="AB275" s="506"/>
    </row>
    <row r="276" spans="2:28" s="45" customFormat="1">
      <c r="B276" s="506"/>
      <c r="C276" s="506"/>
      <c r="D276" s="506"/>
      <c r="E276" s="506"/>
      <c r="F276" s="506"/>
      <c r="G276" s="506"/>
      <c r="H276" s="506"/>
      <c r="I276" s="506"/>
      <c r="J276" s="506"/>
      <c r="K276" s="506"/>
      <c r="L276" s="506"/>
      <c r="M276" s="506"/>
      <c r="N276" s="506"/>
      <c r="O276" s="506"/>
      <c r="P276" s="506"/>
      <c r="Q276" s="506"/>
      <c r="R276" s="506"/>
      <c r="S276" s="506"/>
      <c r="T276" s="506"/>
      <c r="U276" s="506"/>
      <c r="V276" s="506"/>
      <c r="W276" s="506"/>
      <c r="X276" s="506"/>
      <c r="Y276" s="506"/>
      <c r="Z276" s="506"/>
      <c r="AA276" s="506"/>
      <c r="AB276" s="506"/>
    </row>
    <row r="277" spans="2:28" s="45" customFormat="1">
      <c r="B277" s="506"/>
      <c r="C277" s="506"/>
      <c r="D277" s="506"/>
      <c r="E277" s="506"/>
      <c r="F277" s="506"/>
      <c r="G277" s="506"/>
      <c r="H277" s="506"/>
      <c r="I277" s="506"/>
      <c r="J277" s="506"/>
      <c r="K277" s="506"/>
      <c r="L277" s="506"/>
      <c r="M277" s="506"/>
      <c r="N277" s="506"/>
      <c r="O277" s="506"/>
      <c r="P277" s="506"/>
      <c r="Q277" s="506"/>
      <c r="R277" s="506"/>
      <c r="S277" s="506"/>
      <c r="T277" s="506"/>
      <c r="U277" s="506"/>
      <c r="V277" s="506"/>
      <c r="W277" s="506"/>
      <c r="X277" s="506"/>
      <c r="Y277" s="506"/>
      <c r="Z277" s="506"/>
      <c r="AA277" s="506"/>
      <c r="AB277" s="506"/>
    </row>
    <row r="278" spans="2:28" s="45" customFormat="1">
      <c r="B278" s="506"/>
      <c r="C278" s="506"/>
      <c r="D278" s="506"/>
      <c r="E278" s="506"/>
      <c r="F278" s="506"/>
      <c r="G278" s="506"/>
      <c r="H278" s="506"/>
      <c r="I278" s="506"/>
      <c r="J278" s="506"/>
      <c r="K278" s="506"/>
      <c r="L278" s="506"/>
      <c r="M278" s="506"/>
      <c r="N278" s="506"/>
      <c r="O278" s="506"/>
      <c r="P278" s="506"/>
      <c r="Q278" s="506"/>
      <c r="R278" s="506"/>
      <c r="S278" s="506"/>
      <c r="T278" s="506"/>
      <c r="U278" s="506"/>
      <c r="V278" s="506"/>
      <c r="W278" s="506"/>
      <c r="X278" s="506"/>
      <c r="Y278" s="506"/>
      <c r="Z278" s="506"/>
      <c r="AA278" s="506"/>
      <c r="AB278" s="506"/>
    </row>
    <row r="279" spans="2:28" s="45" customFormat="1">
      <c r="B279" s="506"/>
      <c r="C279" s="506"/>
      <c r="D279" s="506"/>
      <c r="E279" s="506"/>
      <c r="F279" s="506"/>
      <c r="G279" s="506"/>
      <c r="H279" s="506"/>
      <c r="I279" s="506"/>
      <c r="J279" s="506"/>
      <c r="K279" s="506"/>
      <c r="L279" s="506"/>
      <c r="M279" s="506"/>
      <c r="N279" s="506"/>
      <c r="O279" s="506"/>
      <c r="P279" s="506"/>
      <c r="Q279" s="506"/>
      <c r="R279" s="506"/>
      <c r="S279" s="506"/>
      <c r="T279" s="506"/>
      <c r="U279" s="506"/>
      <c r="V279" s="506"/>
      <c r="W279" s="506"/>
      <c r="X279" s="506"/>
      <c r="Y279" s="506"/>
      <c r="Z279" s="506"/>
      <c r="AA279" s="506"/>
      <c r="AB279" s="506"/>
    </row>
    <row r="280" spans="2:28" s="45" customFormat="1">
      <c r="B280" s="506"/>
      <c r="C280" s="506"/>
      <c r="D280" s="506"/>
      <c r="E280" s="506"/>
      <c r="F280" s="506"/>
      <c r="G280" s="506"/>
      <c r="H280" s="506"/>
      <c r="I280" s="506"/>
      <c r="J280" s="506"/>
      <c r="K280" s="506"/>
      <c r="L280" s="506"/>
      <c r="M280" s="506"/>
      <c r="N280" s="506"/>
      <c r="O280" s="506"/>
      <c r="P280" s="506"/>
      <c r="Q280" s="506"/>
      <c r="R280" s="506"/>
      <c r="S280" s="506"/>
      <c r="T280" s="506"/>
      <c r="U280" s="506"/>
      <c r="V280" s="506"/>
      <c r="W280" s="506"/>
      <c r="X280" s="506"/>
      <c r="Y280" s="506"/>
      <c r="Z280" s="506"/>
      <c r="AA280" s="506"/>
      <c r="AB280" s="506"/>
    </row>
    <row r="281" spans="2:28" s="45" customFormat="1">
      <c r="B281" s="506"/>
      <c r="C281" s="506"/>
      <c r="D281" s="506"/>
      <c r="E281" s="506"/>
      <c r="F281" s="506"/>
      <c r="G281" s="506"/>
      <c r="H281" s="506"/>
      <c r="I281" s="506"/>
      <c r="J281" s="506"/>
      <c r="K281" s="506"/>
      <c r="L281" s="506"/>
      <c r="M281" s="506"/>
      <c r="N281" s="506"/>
      <c r="O281" s="506"/>
      <c r="P281" s="506"/>
      <c r="Q281" s="506"/>
      <c r="R281" s="506"/>
      <c r="S281" s="506"/>
      <c r="T281" s="506"/>
      <c r="U281" s="506"/>
      <c r="V281" s="506"/>
      <c r="W281" s="506"/>
      <c r="X281" s="506"/>
      <c r="Y281" s="506"/>
      <c r="Z281" s="506"/>
      <c r="AA281" s="506"/>
      <c r="AB281" s="506"/>
    </row>
    <row r="282" spans="2:28" s="45" customFormat="1">
      <c r="B282" s="506"/>
      <c r="C282" s="506"/>
      <c r="D282" s="506"/>
      <c r="E282" s="506"/>
      <c r="F282" s="506"/>
      <c r="G282" s="506"/>
      <c r="H282" s="506"/>
      <c r="I282" s="506"/>
      <c r="J282" s="506"/>
      <c r="K282" s="506"/>
      <c r="L282" s="506"/>
      <c r="M282" s="506"/>
      <c r="N282" s="506"/>
      <c r="O282" s="506"/>
      <c r="P282" s="506"/>
      <c r="Q282" s="506"/>
      <c r="R282" s="506"/>
      <c r="S282" s="506"/>
      <c r="T282" s="506"/>
      <c r="U282" s="506"/>
      <c r="V282" s="506"/>
      <c r="W282" s="506"/>
      <c r="X282" s="506"/>
      <c r="Y282" s="506"/>
      <c r="Z282" s="506"/>
      <c r="AA282" s="506"/>
      <c r="AB282" s="506"/>
    </row>
    <row r="283" spans="2:28" s="45" customFormat="1">
      <c r="B283" s="506"/>
      <c r="C283" s="506"/>
      <c r="D283" s="506"/>
      <c r="E283" s="506"/>
      <c r="F283" s="506"/>
      <c r="G283" s="506"/>
      <c r="H283" s="506"/>
      <c r="I283" s="506"/>
      <c r="J283" s="506"/>
      <c r="K283" s="506"/>
      <c r="L283" s="506"/>
      <c r="M283" s="506"/>
      <c r="N283" s="506"/>
      <c r="O283" s="506"/>
      <c r="P283" s="506"/>
      <c r="Q283" s="506"/>
      <c r="R283" s="506"/>
      <c r="S283" s="506"/>
      <c r="T283" s="506"/>
      <c r="U283" s="506"/>
      <c r="V283" s="506"/>
      <c r="W283" s="506"/>
      <c r="X283" s="506"/>
      <c r="Y283" s="506"/>
      <c r="Z283" s="506"/>
      <c r="AA283" s="506"/>
      <c r="AB283" s="506"/>
    </row>
    <row r="284" spans="2:28" s="45" customFormat="1">
      <c r="B284" s="506"/>
      <c r="C284" s="506"/>
      <c r="D284" s="506"/>
      <c r="E284" s="506"/>
      <c r="F284" s="506"/>
      <c r="G284" s="506"/>
      <c r="H284" s="506"/>
      <c r="I284" s="506"/>
      <c r="J284" s="506"/>
      <c r="K284" s="506"/>
      <c r="L284" s="506"/>
      <c r="M284" s="506"/>
      <c r="N284" s="506"/>
      <c r="O284" s="506"/>
      <c r="P284" s="506"/>
      <c r="Q284" s="506"/>
      <c r="R284" s="506"/>
      <c r="S284" s="506"/>
      <c r="T284" s="506"/>
      <c r="U284" s="506"/>
      <c r="V284" s="506"/>
      <c r="W284" s="506"/>
      <c r="X284" s="506"/>
      <c r="Y284" s="506"/>
      <c r="Z284" s="506"/>
      <c r="AA284" s="506"/>
      <c r="AB284" s="506"/>
    </row>
    <row r="285" spans="2:28" s="45" customFormat="1">
      <c r="B285" s="506"/>
      <c r="C285" s="506"/>
      <c r="D285" s="506"/>
      <c r="E285" s="506"/>
      <c r="F285" s="506"/>
      <c r="G285" s="506"/>
      <c r="H285" s="506"/>
      <c r="I285" s="506"/>
      <c r="J285" s="506"/>
      <c r="K285" s="506"/>
      <c r="L285" s="506"/>
      <c r="M285" s="506"/>
      <c r="N285" s="506"/>
      <c r="O285" s="506"/>
      <c r="P285" s="506"/>
      <c r="Q285" s="506"/>
      <c r="R285" s="506"/>
      <c r="S285" s="506"/>
      <c r="T285" s="506"/>
      <c r="U285" s="506"/>
      <c r="V285" s="506"/>
      <c r="W285" s="506"/>
      <c r="X285" s="506"/>
      <c r="Y285" s="506"/>
      <c r="Z285" s="506"/>
      <c r="AA285" s="506"/>
      <c r="AB285" s="506"/>
    </row>
    <row r="286" spans="2:28" s="45" customFormat="1">
      <c r="B286" s="506"/>
      <c r="C286" s="506"/>
      <c r="D286" s="506"/>
      <c r="E286" s="506"/>
      <c r="F286" s="506"/>
      <c r="G286" s="506"/>
      <c r="H286" s="506"/>
      <c r="I286" s="506"/>
      <c r="J286" s="506"/>
      <c r="K286" s="506"/>
      <c r="L286" s="506"/>
      <c r="M286" s="506"/>
      <c r="N286" s="506"/>
      <c r="O286" s="506"/>
      <c r="P286" s="506"/>
      <c r="Q286" s="506"/>
      <c r="R286" s="506"/>
      <c r="S286" s="506"/>
      <c r="T286" s="506"/>
      <c r="U286" s="506"/>
      <c r="V286" s="506"/>
      <c r="W286" s="506"/>
      <c r="X286" s="506"/>
      <c r="Y286" s="506"/>
      <c r="Z286" s="506"/>
      <c r="AA286" s="506"/>
      <c r="AB286" s="506"/>
    </row>
    <row r="287" spans="2:28" s="45" customFormat="1">
      <c r="B287" s="506"/>
      <c r="C287" s="506"/>
      <c r="D287" s="506"/>
      <c r="E287" s="506"/>
      <c r="F287" s="506"/>
      <c r="G287" s="506"/>
      <c r="H287" s="506"/>
      <c r="I287" s="506"/>
      <c r="J287" s="506"/>
      <c r="K287" s="506"/>
      <c r="L287" s="506"/>
      <c r="M287" s="506"/>
      <c r="N287" s="506"/>
      <c r="O287" s="506"/>
      <c r="P287" s="506"/>
      <c r="Q287" s="506"/>
      <c r="R287" s="506"/>
      <c r="S287" s="506"/>
      <c r="T287" s="506"/>
      <c r="U287" s="506"/>
      <c r="V287" s="506"/>
      <c r="W287" s="506"/>
      <c r="X287" s="506"/>
      <c r="Y287" s="506"/>
      <c r="Z287" s="506"/>
      <c r="AA287" s="506"/>
      <c r="AB287" s="506"/>
    </row>
    <row r="288" spans="2:28" s="45" customFormat="1">
      <c r="B288" s="506"/>
      <c r="C288" s="506"/>
      <c r="D288" s="506"/>
      <c r="E288" s="506"/>
      <c r="F288" s="506"/>
      <c r="G288" s="506"/>
      <c r="H288" s="506"/>
      <c r="I288" s="506"/>
      <c r="J288" s="506"/>
      <c r="K288" s="506"/>
      <c r="L288" s="506"/>
      <c r="M288" s="506"/>
      <c r="N288" s="506"/>
      <c r="O288" s="506"/>
      <c r="P288" s="506"/>
      <c r="Q288" s="506"/>
      <c r="R288" s="506"/>
      <c r="S288" s="506"/>
      <c r="T288" s="506"/>
      <c r="U288" s="506"/>
      <c r="V288" s="506"/>
      <c r="W288" s="506"/>
      <c r="X288" s="506"/>
      <c r="Y288" s="506"/>
      <c r="Z288" s="506"/>
      <c r="AA288" s="506"/>
      <c r="AB288" s="506"/>
    </row>
    <row r="289" spans="2:28" s="45" customFormat="1">
      <c r="B289" s="506"/>
      <c r="C289" s="506"/>
      <c r="D289" s="506"/>
      <c r="E289" s="506"/>
      <c r="F289" s="506"/>
      <c r="G289" s="506"/>
      <c r="H289" s="506"/>
      <c r="I289" s="506"/>
      <c r="J289" s="506"/>
      <c r="K289" s="506"/>
      <c r="L289" s="506"/>
      <c r="M289" s="506"/>
      <c r="N289" s="506"/>
      <c r="O289" s="506"/>
      <c r="P289" s="506"/>
      <c r="Q289" s="506"/>
      <c r="R289" s="506"/>
      <c r="S289" s="506"/>
      <c r="T289" s="506"/>
      <c r="U289" s="506"/>
      <c r="V289" s="506"/>
      <c r="W289" s="506"/>
      <c r="X289" s="506"/>
      <c r="Y289" s="506"/>
      <c r="Z289" s="506"/>
      <c r="AA289" s="506"/>
      <c r="AB289" s="506"/>
    </row>
    <row r="290" spans="2:28" s="45" customFormat="1">
      <c r="B290" s="506"/>
      <c r="C290" s="506"/>
      <c r="D290" s="506"/>
      <c r="E290" s="506"/>
      <c r="F290" s="506"/>
      <c r="G290" s="506"/>
      <c r="H290" s="506"/>
      <c r="I290" s="506"/>
      <c r="J290" s="506"/>
      <c r="K290" s="506"/>
      <c r="L290" s="506"/>
      <c r="M290" s="506"/>
      <c r="N290" s="506"/>
      <c r="O290" s="506"/>
      <c r="P290" s="506"/>
      <c r="Q290" s="506"/>
      <c r="R290" s="506"/>
      <c r="S290" s="506"/>
      <c r="T290" s="506"/>
      <c r="U290" s="506"/>
      <c r="V290" s="506"/>
      <c r="W290" s="506"/>
      <c r="X290" s="506"/>
      <c r="Y290" s="506"/>
      <c r="Z290" s="506"/>
      <c r="AA290" s="506"/>
      <c r="AB290" s="506"/>
    </row>
    <row r="291" spans="2:28" s="45" customFormat="1">
      <c r="B291" s="506"/>
      <c r="C291" s="506"/>
      <c r="D291" s="506"/>
      <c r="E291" s="506"/>
      <c r="F291" s="506"/>
      <c r="G291" s="506"/>
      <c r="H291" s="506"/>
      <c r="I291" s="506"/>
      <c r="J291" s="506"/>
      <c r="K291" s="506"/>
      <c r="L291" s="506"/>
      <c r="M291" s="506"/>
      <c r="N291" s="506"/>
      <c r="O291" s="506"/>
      <c r="P291" s="506"/>
      <c r="Q291" s="506"/>
      <c r="R291" s="506"/>
      <c r="S291" s="506"/>
      <c r="T291" s="506"/>
      <c r="U291" s="506"/>
      <c r="V291" s="506"/>
      <c r="W291" s="506"/>
      <c r="X291" s="506"/>
      <c r="Y291" s="506"/>
      <c r="Z291" s="506"/>
      <c r="AA291" s="506"/>
      <c r="AB291" s="506"/>
    </row>
    <row r="292" spans="2:28" s="45" customFormat="1">
      <c r="B292" s="506"/>
      <c r="C292" s="506"/>
      <c r="D292" s="506"/>
      <c r="E292" s="506"/>
      <c r="F292" s="506"/>
      <c r="G292" s="506"/>
      <c r="H292" s="506"/>
      <c r="I292" s="506"/>
      <c r="J292" s="506"/>
      <c r="K292" s="506"/>
      <c r="L292" s="506"/>
      <c r="M292" s="506"/>
      <c r="N292" s="506"/>
      <c r="O292" s="506"/>
      <c r="P292" s="506"/>
      <c r="Q292" s="506"/>
      <c r="R292" s="506"/>
      <c r="S292" s="506"/>
      <c r="T292" s="506"/>
      <c r="U292" s="506"/>
      <c r="V292" s="506"/>
      <c r="W292" s="506"/>
      <c r="X292" s="506"/>
      <c r="Y292" s="506"/>
      <c r="Z292" s="506"/>
      <c r="AA292" s="506"/>
      <c r="AB292" s="506"/>
    </row>
    <row r="293" spans="2:28" s="45" customFormat="1">
      <c r="B293" s="506"/>
      <c r="C293" s="506"/>
      <c r="D293" s="506"/>
      <c r="E293" s="506"/>
      <c r="F293" s="506"/>
      <c r="G293" s="506"/>
      <c r="H293" s="506"/>
      <c r="I293" s="506"/>
      <c r="J293" s="506"/>
      <c r="K293" s="506"/>
      <c r="L293" s="506"/>
      <c r="M293" s="506"/>
      <c r="N293" s="506"/>
      <c r="O293" s="506"/>
      <c r="P293" s="506"/>
      <c r="Q293" s="506"/>
      <c r="R293" s="506"/>
      <c r="S293" s="506"/>
      <c r="T293" s="506"/>
      <c r="U293" s="506"/>
      <c r="V293" s="506"/>
      <c r="W293" s="506"/>
      <c r="X293" s="506"/>
      <c r="Y293" s="506"/>
      <c r="Z293" s="506"/>
      <c r="AA293" s="506"/>
      <c r="AB293" s="506"/>
    </row>
    <row r="294" spans="2:28" s="45" customFormat="1">
      <c r="B294" s="506"/>
      <c r="C294" s="506"/>
      <c r="D294" s="506"/>
      <c r="E294" s="506"/>
      <c r="F294" s="506"/>
      <c r="G294" s="506"/>
      <c r="H294" s="506"/>
      <c r="I294" s="506"/>
      <c r="J294" s="506"/>
      <c r="K294" s="506"/>
      <c r="L294" s="506"/>
      <c r="M294" s="506"/>
      <c r="N294" s="506"/>
      <c r="O294" s="506"/>
      <c r="P294" s="506"/>
      <c r="Q294" s="506"/>
      <c r="R294" s="506"/>
      <c r="S294" s="506"/>
      <c r="T294" s="506"/>
      <c r="U294" s="506"/>
      <c r="V294" s="506"/>
      <c r="W294" s="506"/>
      <c r="X294" s="506"/>
      <c r="Y294" s="506"/>
      <c r="Z294" s="506"/>
      <c r="AA294" s="506"/>
      <c r="AB294" s="506"/>
    </row>
    <row r="295" spans="2:28" s="45" customFormat="1">
      <c r="B295" s="506"/>
      <c r="C295" s="506"/>
      <c r="D295" s="506"/>
      <c r="E295" s="506"/>
      <c r="F295" s="506"/>
      <c r="G295" s="506"/>
      <c r="H295" s="506"/>
      <c r="I295" s="506"/>
      <c r="J295" s="506"/>
      <c r="K295" s="506"/>
      <c r="L295" s="506"/>
      <c r="M295" s="506"/>
      <c r="N295" s="506"/>
      <c r="O295" s="506"/>
      <c r="P295" s="506"/>
      <c r="Q295" s="506"/>
      <c r="R295" s="506"/>
      <c r="S295" s="506"/>
      <c r="T295" s="506"/>
      <c r="U295" s="506"/>
      <c r="V295" s="506"/>
      <c r="W295" s="506"/>
      <c r="X295" s="506"/>
      <c r="Y295" s="506"/>
      <c r="Z295" s="506"/>
      <c r="AA295" s="506"/>
      <c r="AB295" s="506"/>
    </row>
    <row r="296" spans="2:28" s="45" customFormat="1">
      <c r="B296" s="506"/>
      <c r="C296" s="506"/>
      <c r="D296" s="506"/>
      <c r="E296" s="506"/>
      <c r="F296" s="506"/>
      <c r="G296" s="506"/>
      <c r="H296" s="506"/>
      <c r="I296" s="506"/>
      <c r="J296" s="506"/>
      <c r="K296" s="506"/>
      <c r="L296" s="506"/>
      <c r="M296" s="506"/>
      <c r="N296" s="506"/>
      <c r="O296" s="506"/>
      <c r="P296" s="506"/>
      <c r="Q296" s="506"/>
      <c r="R296" s="506"/>
      <c r="S296" s="506"/>
      <c r="T296" s="506"/>
      <c r="U296" s="506"/>
      <c r="V296" s="506"/>
      <c r="W296" s="506"/>
      <c r="X296" s="506"/>
      <c r="Y296" s="506"/>
      <c r="Z296" s="506"/>
      <c r="AA296" s="506"/>
      <c r="AB296" s="506"/>
    </row>
    <row r="297" spans="2:28" s="45" customFormat="1">
      <c r="B297" s="506"/>
      <c r="C297" s="506"/>
      <c r="D297" s="506"/>
      <c r="E297" s="506"/>
      <c r="F297" s="506"/>
      <c r="G297" s="506"/>
      <c r="H297" s="506"/>
      <c r="I297" s="506"/>
      <c r="J297" s="506"/>
      <c r="K297" s="506"/>
      <c r="L297" s="506"/>
      <c r="M297" s="506"/>
      <c r="N297" s="506"/>
      <c r="O297" s="506"/>
      <c r="P297" s="506"/>
      <c r="Q297" s="506"/>
      <c r="R297" s="506"/>
      <c r="S297" s="506"/>
      <c r="T297" s="506"/>
      <c r="U297" s="506"/>
      <c r="V297" s="506"/>
      <c r="W297" s="506"/>
      <c r="X297" s="506"/>
      <c r="Y297" s="506"/>
      <c r="Z297" s="506"/>
      <c r="AA297" s="506"/>
      <c r="AB297" s="506"/>
    </row>
    <row r="298" spans="2:28" s="45" customFormat="1">
      <c r="B298" s="506"/>
      <c r="C298" s="506"/>
      <c r="D298" s="506"/>
      <c r="E298" s="506"/>
      <c r="F298" s="506"/>
      <c r="G298" s="506"/>
      <c r="H298" s="506"/>
      <c r="I298" s="506"/>
      <c r="J298" s="506"/>
      <c r="K298" s="506"/>
      <c r="L298" s="506"/>
      <c r="M298" s="506"/>
      <c r="N298" s="506"/>
      <c r="O298" s="506"/>
      <c r="P298" s="506"/>
      <c r="Q298" s="506"/>
      <c r="R298" s="506"/>
      <c r="S298" s="506"/>
      <c r="T298" s="506"/>
      <c r="U298" s="506"/>
      <c r="V298" s="506"/>
      <c r="W298" s="506"/>
      <c r="X298" s="506"/>
      <c r="Y298" s="506"/>
      <c r="Z298" s="506"/>
      <c r="AA298" s="506"/>
      <c r="AB298" s="506"/>
    </row>
    <row r="299" spans="2:28" s="45" customFormat="1">
      <c r="B299" s="506"/>
      <c r="C299" s="506"/>
      <c r="D299" s="506"/>
      <c r="E299" s="506"/>
      <c r="F299" s="506"/>
      <c r="G299" s="506"/>
      <c r="H299" s="506"/>
      <c r="I299" s="506"/>
      <c r="J299" s="506"/>
      <c r="K299" s="506"/>
      <c r="L299" s="506"/>
      <c r="M299" s="506"/>
      <c r="N299" s="506"/>
      <c r="O299" s="506"/>
      <c r="P299" s="506"/>
      <c r="Q299" s="506"/>
      <c r="R299" s="506"/>
      <c r="S299" s="506"/>
      <c r="T299" s="506"/>
      <c r="U299" s="506"/>
      <c r="V299" s="506"/>
      <c r="W299" s="506"/>
      <c r="X299" s="506"/>
      <c r="Y299" s="506"/>
      <c r="Z299" s="506"/>
      <c r="AA299" s="506"/>
      <c r="AB299" s="506"/>
    </row>
    <row r="300" spans="2:28" s="45" customFormat="1">
      <c r="B300" s="506"/>
      <c r="C300" s="506"/>
      <c r="D300" s="506"/>
      <c r="E300" s="506"/>
      <c r="F300" s="506"/>
      <c r="G300" s="506"/>
      <c r="H300" s="506"/>
      <c r="I300" s="506"/>
      <c r="J300" s="506"/>
      <c r="K300" s="506"/>
      <c r="L300" s="506"/>
      <c r="M300" s="506"/>
      <c r="N300" s="506"/>
      <c r="O300" s="506"/>
      <c r="P300" s="506"/>
      <c r="Q300" s="506"/>
      <c r="R300" s="506"/>
      <c r="S300" s="506"/>
      <c r="T300" s="506"/>
      <c r="U300" s="506"/>
      <c r="V300" s="506"/>
      <c r="W300" s="506"/>
      <c r="X300" s="506"/>
      <c r="Y300" s="506"/>
      <c r="Z300" s="506"/>
      <c r="AA300" s="506"/>
      <c r="AB300" s="506"/>
    </row>
    <row r="301" spans="2:28" s="45" customFormat="1">
      <c r="B301" s="506"/>
      <c r="C301" s="506"/>
      <c r="D301" s="506"/>
      <c r="E301" s="506"/>
      <c r="F301" s="506"/>
      <c r="G301" s="506"/>
      <c r="H301" s="506"/>
      <c r="I301" s="506"/>
      <c r="J301" s="506"/>
      <c r="K301" s="506"/>
      <c r="L301" s="506"/>
      <c r="M301" s="506"/>
      <c r="N301" s="506"/>
      <c r="O301" s="506"/>
      <c r="P301" s="506"/>
      <c r="Q301" s="506"/>
      <c r="R301" s="506"/>
      <c r="S301" s="506"/>
      <c r="T301" s="506"/>
      <c r="U301" s="506"/>
      <c r="V301" s="506"/>
      <c r="W301" s="506"/>
      <c r="X301" s="506"/>
      <c r="Y301" s="506"/>
      <c r="Z301" s="506"/>
      <c r="AA301" s="506"/>
      <c r="AB301" s="506"/>
    </row>
    <row r="302" spans="2:28" s="45" customFormat="1">
      <c r="B302" s="506"/>
      <c r="C302" s="506"/>
      <c r="D302" s="506"/>
      <c r="E302" s="506"/>
      <c r="F302" s="506"/>
      <c r="G302" s="506"/>
      <c r="H302" s="506"/>
      <c r="I302" s="506"/>
      <c r="J302" s="506"/>
      <c r="K302" s="506"/>
      <c r="L302" s="506"/>
      <c r="M302" s="506"/>
      <c r="N302" s="506"/>
      <c r="O302" s="506"/>
      <c r="P302" s="506"/>
      <c r="Q302" s="506"/>
      <c r="R302" s="506"/>
      <c r="S302" s="506"/>
      <c r="T302" s="506"/>
      <c r="U302" s="506"/>
      <c r="V302" s="506"/>
      <c r="W302" s="506"/>
      <c r="X302" s="506"/>
      <c r="Y302" s="506"/>
      <c r="Z302" s="506"/>
      <c r="AA302" s="506"/>
      <c r="AB302" s="506"/>
    </row>
    <row r="303" spans="2:28" s="45" customFormat="1">
      <c r="B303" s="506"/>
      <c r="C303" s="506"/>
      <c r="D303" s="506"/>
      <c r="E303" s="506"/>
      <c r="F303" s="506"/>
      <c r="G303" s="506"/>
      <c r="H303" s="506"/>
      <c r="I303" s="506"/>
      <c r="J303" s="506"/>
      <c r="K303" s="506"/>
      <c r="L303" s="506"/>
      <c r="M303" s="506"/>
      <c r="N303" s="506"/>
      <c r="O303" s="506"/>
      <c r="P303" s="506"/>
      <c r="Q303" s="506"/>
      <c r="R303" s="506"/>
      <c r="S303" s="506"/>
      <c r="T303" s="506"/>
      <c r="U303" s="506"/>
      <c r="V303" s="506"/>
      <c r="W303" s="506"/>
      <c r="X303" s="506"/>
      <c r="Y303" s="506"/>
      <c r="Z303" s="506"/>
      <c r="AA303" s="506"/>
      <c r="AB303" s="506"/>
    </row>
    <row r="304" spans="2:28" s="45" customFormat="1">
      <c r="B304" s="506"/>
      <c r="C304" s="506"/>
      <c r="D304" s="506"/>
      <c r="E304" s="506"/>
      <c r="F304" s="506"/>
      <c r="G304" s="506"/>
      <c r="H304" s="506"/>
      <c r="I304" s="506"/>
      <c r="J304" s="506"/>
      <c r="K304" s="506"/>
      <c r="L304" s="506"/>
      <c r="M304" s="506"/>
      <c r="N304" s="506"/>
      <c r="O304" s="506"/>
      <c r="P304" s="506"/>
      <c r="Q304" s="506"/>
      <c r="R304" s="506"/>
      <c r="S304" s="506"/>
      <c r="T304" s="506"/>
      <c r="U304" s="506"/>
      <c r="V304" s="506"/>
      <c r="W304" s="506"/>
      <c r="X304" s="506"/>
      <c r="Y304" s="506"/>
      <c r="Z304" s="506"/>
      <c r="AA304" s="506"/>
      <c r="AB304" s="506"/>
    </row>
    <row r="305" spans="2:28" s="45" customFormat="1">
      <c r="B305" s="506"/>
      <c r="C305" s="506"/>
      <c r="D305" s="506"/>
      <c r="E305" s="506"/>
      <c r="F305" s="506"/>
      <c r="G305" s="506"/>
      <c r="H305" s="506"/>
      <c r="I305" s="506"/>
      <c r="J305" s="506"/>
      <c r="K305" s="506"/>
      <c r="L305" s="506"/>
      <c r="M305" s="506"/>
      <c r="N305" s="506"/>
      <c r="O305" s="506"/>
      <c r="P305" s="506"/>
      <c r="Q305" s="506"/>
      <c r="R305" s="506"/>
      <c r="S305" s="506"/>
      <c r="T305" s="506"/>
      <c r="U305" s="506"/>
      <c r="V305" s="506"/>
      <c r="W305" s="506"/>
      <c r="X305" s="506"/>
      <c r="Y305" s="506"/>
      <c r="Z305" s="506"/>
      <c r="AA305" s="506"/>
      <c r="AB305" s="506"/>
    </row>
    <row r="306" spans="2:28" s="45" customFormat="1">
      <c r="B306" s="506"/>
      <c r="C306" s="506"/>
      <c r="D306" s="506"/>
      <c r="E306" s="506"/>
      <c r="F306" s="506"/>
      <c r="G306" s="506"/>
      <c r="H306" s="506"/>
      <c r="I306" s="506"/>
      <c r="J306" s="506"/>
      <c r="K306" s="506"/>
      <c r="L306" s="506"/>
      <c r="M306" s="506"/>
      <c r="N306" s="506"/>
      <c r="O306" s="506"/>
      <c r="P306" s="506"/>
      <c r="Q306" s="506"/>
      <c r="R306" s="506"/>
      <c r="S306" s="506"/>
      <c r="T306" s="506"/>
      <c r="U306" s="506"/>
      <c r="V306" s="506"/>
      <c r="W306" s="506"/>
      <c r="X306" s="506"/>
      <c r="Y306" s="506"/>
      <c r="Z306" s="506"/>
      <c r="AA306" s="506"/>
      <c r="AB306" s="506"/>
    </row>
    <row r="307" spans="2:28" s="45" customFormat="1">
      <c r="B307" s="506"/>
      <c r="C307" s="506"/>
      <c r="D307" s="506"/>
      <c r="E307" s="506"/>
      <c r="F307" s="506"/>
      <c r="G307" s="506"/>
      <c r="H307" s="506"/>
      <c r="I307" s="506"/>
      <c r="J307" s="506"/>
      <c r="K307" s="506"/>
      <c r="L307" s="506"/>
      <c r="M307" s="506"/>
      <c r="N307" s="506"/>
      <c r="O307" s="506"/>
      <c r="P307" s="506"/>
      <c r="Q307" s="506"/>
      <c r="R307" s="506"/>
      <c r="S307" s="506"/>
      <c r="T307" s="506"/>
      <c r="U307" s="506"/>
      <c r="V307" s="506"/>
      <c r="W307" s="506"/>
      <c r="X307" s="506"/>
      <c r="Y307" s="506"/>
      <c r="Z307" s="506"/>
      <c r="AA307" s="506"/>
      <c r="AB307" s="506"/>
    </row>
    <row r="308" spans="2:28" s="45" customFormat="1">
      <c r="B308" s="506"/>
      <c r="C308" s="506"/>
      <c r="D308" s="506"/>
      <c r="E308" s="506"/>
      <c r="F308" s="506"/>
      <c r="G308" s="506"/>
      <c r="H308" s="506"/>
      <c r="I308" s="506"/>
      <c r="J308" s="506"/>
      <c r="K308" s="506"/>
      <c r="L308" s="506"/>
      <c r="M308" s="506"/>
      <c r="N308" s="506"/>
      <c r="O308" s="506"/>
      <c r="P308" s="506"/>
      <c r="Q308" s="506"/>
      <c r="R308" s="506"/>
      <c r="S308" s="506"/>
      <c r="T308" s="506"/>
      <c r="U308" s="506"/>
      <c r="V308" s="506"/>
      <c r="W308" s="506"/>
      <c r="X308" s="506"/>
      <c r="Y308" s="506"/>
      <c r="Z308" s="506"/>
      <c r="AA308" s="506"/>
      <c r="AB308" s="506"/>
    </row>
    <row r="309" spans="2:28" s="45" customFormat="1">
      <c r="B309" s="506"/>
      <c r="C309" s="506"/>
      <c r="D309" s="506"/>
      <c r="E309" s="506"/>
      <c r="F309" s="506"/>
      <c r="G309" s="506"/>
      <c r="H309" s="506"/>
      <c r="I309" s="506"/>
      <c r="J309" s="506"/>
      <c r="K309" s="506"/>
      <c r="L309" s="506"/>
      <c r="M309" s="506"/>
      <c r="N309" s="506"/>
      <c r="O309" s="506"/>
      <c r="P309" s="506"/>
      <c r="Q309" s="506"/>
      <c r="R309" s="506"/>
      <c r="S309" s="506"/>
      <c r="T309" s="506"/>
      <c r="U309" s="506"/>
      <c r="V309" s="506"/>
      <c r="W309" s="506"/>
      <c r="X309" s="506"/>
      <c r="Y309" s="506"/>
      <c r="Z309" s="506"/>
      <c r="AA309" s="506"/>
      <c r="AB309" s="506"/>
    </row>
    <row r="310" spans="2:28" s="45" customFormat="1">
      <c r="B310" s="506"/>
      <c r="C310" s="506"/>
      <c r="D310" s="506"/>
      <c r="E310" s="506"/>
      <c r="F310" s="506"/>
      <c r="G310" s="506"/>
      <c r="H310" s="506"/>
      <c r="I310" s="506"/>
      <c r="J310" s="506"/>
      <c r="K310" s="506"/>
      <c r="L310" s="506"/>
      <c r="M310" s="506"/>
      <c r="N310" s="506"/>
      <c r="O310" s="506"/>
      <c r="P310" s="506"/>
      <c r="Q310" s="506"/>
      <c r="R310" s="506"/>
      <c r="S310" s="506"/>
      <c r="T310" s="506"/>
      <c r="U310" s="506"/>
      <c r="V310" s="506"/>
      <c r="W310" s="506"/>
      <c r="X310" s="506"/>
      <c r="Y310" s="506"/>
      <c r="Z310" s="506"/>
      <c r="AA310" s="506"/>
      <c r="AB310" s="506"/>
    </row>
    <row r="311" spans="2:28" s="45" customFormat="1">
      <c r="B311" s="506"/>
      <c r="C311" s="506"/>
      <c r="D311" s="506"/>
      <c r="E311" s="506"/>
      <c r="F311" s="506"/>
      <c r="G311" s="506"/>
      <c r="H311" s="506"/>
      <c r="I311" s="506"/>
      <c r="J311" s="506"/>
      <c r="K311" s="506"/>
      <c r="L311" s="506"/>
      <c r="M311" s="506"/>
      <c r="N311" s="506"/>
      <c r="O311" s="506"/>
      <c r="P311" s="506"/>
      <c r="Q311" s="506"/>
      <c r="R311" s="506"/>
      <c r="S311" s="506"/>
      <c r="T311" s="506"/>
      <c r="U311" s="506"/>
      <c r="V311" s="506"/>
      <c r="W311" s="506"/>
      <c r="X311" s="506"/>
      <c r="Y311" s="506"/>
      <c r="Z311" s="506"/>
      <c r="AA311" s="506"/>
      <c r="AB311" s="506"/>
    </row>
    <row r="312" spans="2:28" s="45" customFormat="1">
      <c r="B312" s="506"/>
      <c r="C312" s="506"/>
      <c r="D312" s="506"/>
      <c r="E312" s="506"/>
      <c r="F312" s="506"/>
      <c r="G312" s="506"/>
      <c r="H312" s="506"/>
      <c r="I312" s="506"/>
      <c r="J312" s="506"/>
      <c r="K312" s="506"/>
      <c r="L312" s="506"/>
      <c r="M312" s="506"/>
      <c r="N312" s="506"/>
      <c r="O312" s="506"/>
      <c r="P312" s="506"/>
      <c r="Q312" s="506"/>
      <c r="R312" s="506"/>
      <c r="S312" s="506"/>
      <c r="T312" s="506"/>
      <c r="U312" s="506"/>
      <c r="V312" s="506"/>
      <c r="W312" s="506"/>
      <c r="X312" s="506"/>
      <c r="Y312" s="506"/>
      <c r="Z312" s="506"/>
      <c r="AA312" s="506"/>
      <c r="AB312" s="506"/>
    </row>
    <row r="313" spans="2:28" s="45" customFormat="1">
      <c r="B313" s="506"/>
      <c r="C313" s="506"/>
      <c r="D313" s="506"/>
      <c r="E313" s="506"/>
      <c r="F313" s="506"/>
      <c r="G313" s="506"/>
      <c r="H313" s="506"/>
      <c r="I313" s="506"/>
      <c r="J313" s="506"/>
      <c r="K313" s="506"/>
      <c r="L313" s="506"/>
      <c r="M313" s="506"/>
      <c r="N313" s="506"/>
      <c r="O313" s="506"/>
      <c r="P313" s="506"/>
      <c r="Q313" s="506"/>
      <c r="R313" s="506"/>
      <c r="S313" s="506"/>
      <c r="T313" s="506"/>
      <c r="U313" s="506"/>
      <c r="V313" s="506"/>
      <c r="W313" s="506"/>
      <c r="X313" s="506"/>
      <c r="Y313" s="506"/>
      <c r="Z313" s="506"/>
      <c r="AA313" s="506"/>
      <c r="AB313" s="506"/>
    </row>
    <row r="314" spans="2:28" s="45" customFormat="1">
      <c r="B314" s="506"/>
      <c r="C314" s="506"/>
      <c r="D314" s="506"/>
      <c r="E314" s="506"/>
      <c r="F314" s="506"/>
      <c r="G314" s="506"/>
      <c r="H314" s="506"/>
      <c r="I314" s="506"/>
      <c r="J314" s="506"/>
      <c r="K314" s="506"/>
      <c r="L314" s="506"/>
      <c r="M314" s="506"/>
      <c r="N314" s="506"/>
      <c r="O314" s="506"/>
      <c r="P314" s="506"/>
      <c r="Q314" s="506"/>
      <c r="R314" s="506"/>
      <c r="S314" s="506"/>
      <c r="T314" s="506"/>
      <c r="U314" s="506"/>
      <c r="V314" s="506"/>
      <c r="W314" s="506"/>
      <c r="X314" s="506"/>
      <c r="Y314" s="506"/>
      <c r="Z314" s="506"/>
      <c r="AA314" s="506"/>
      <c r="AB314" s="506"/>
    </row>
    <row r="315" spans="2:28" s="45" customFormat="1">
      <c r="B315" s="506"/>
      <c r="C315" s="506"/>
      <c r="D315" s="506"/>
      <c r="E315" s="506"/>
      <c r="F315" s="506"/>
      <c r="G315" s="506"/>
      <c r="H315" s="506"/>
      <c r="I315" s="506"/>
      <c r="J315" s="506"/>
      <c r="K315" s="506"/>
      <c r="L315" s="506"/>
      <c r="M315" s="506"/>
      <c r="N315" s="506"/>
      <c r="O315" s="506"/>
      <c r="P315" s="506"/>
      <c r="Q315" s="506"/>
      <c r="R315" s="506"/>
      <c r="S315" s="506"/>
      <c r="T315" s="506"/>
      <c r="U315" s="506"/>
      <c r="V315" s="506"/>
      <c r="W315" s="506"/>
      <c r="X315" s="506"/>
      <c r="Y315" s="506"/>
      <c r="Z315" s="506"/>
      <c r="AA315" s="506"/>
      <c r="AB315" s="506"/>
    </row>
    <row r="316" spans="2:28" s="45" customFormat="1">
      <c r="B316" s="506"/>
      <c r="C316" s="506"/>
      <c r="D316" s="506"/>
      <c r="E316" s="506"/>
      <c r="F316" s="506"/>
      <c r="G316" s="506"/>
      <c r="H316" s="506"/>
      <c r="I316" s="506"/>
      <c r="J316" s="506"/>
      <c r="K316" s="506"/>
      <c r="L316" s="506"/>
      <c r="M316" s="506"/>
      <c r="N316" s="506"/>
      <c r="O316" s="506"/>
      <c r="P316" s="506"/>
      <c r="Q316" s="506"/>
      <c r="R316" s="506"/>
      <c r="S316" s="506"/>
      <c r="T316" s="506"/>
      <c r="U316" s="506"/>
      <c r="V316" s="506"/>
      <c r="W316" s="506"/>
      <c r="X316" s="506"/>
      <c r="Y316" s="506"/>
      <c r="Z316" s="506"/>
      <c r="AA316" s="506"/>
      <c r="AB316" s="506"/>
    </row>
    <row r="317" spans="2:28" s="45" customFormat="1">
      <c r="B317" s="506"/>
      <c r="C317" s="506"/>
      <c r="D317" s="506"/>
      <c r="E317" s="506"/>
      <c r="F317" s="506"/>
      <c r="G317" s="506"/>
      <c r="H317" s="506"/>
      <c r="I317" s="506"/>
      <c r="J317" s="506"/>
      <c r="K317" s="506"/>
      <c r="L317" s="506"/>
      <c r="M317" s="506"/>
      <c r="N317" s="506"/>
      <c r="O317" s="506"/>
      <c r="P317" s="506"/>
      <c r="Q317" s="506"/>
      <c r="R317" s="506"/>
      <c r="S317" s="506"/>
      <c r="T317" s="506"/>
      <c r="U317" s="506"/>
      <c r="V317" s="506"/>
      <c r="W317" s="506"/>
      <c r="X317" s="506"/>
      <c r="Y317" s="506"/>
      <c r="Z317" s="506"/>
      <c r="AA317" s="506"/>
      <c r="AB317" s="506"/>
    </row>
    <row r="318" spans="2:28" s="45" customFormat="1">
      <c r="B318" s="506"/>
      <c r="C318" s="506"/>
      <c r="D318" s="506"/>
      <c r="E318" s="506"/>
      <c r="F318" s="506"/>
      <c r="G318" s="506"/>
      <c r="H318" s="506"/>
      <c r="I318" s="506"/>
      <c r="J318" s="506"/>
      <c r="K318" s="506"/>
      <c r="L318" s="506"/>
      <c r="M318" s="506"/>
      <c r="N318" s="506"/>
      <c r="O318" s="506"/>
      <c r="P318" s="506"/>
      <c r="Q318" s="506"/>
      <c r="R318" s="506"/>
      <c r="S318" s="506"/>
      <c r="T318" s="506"/>
      <c r="U318" s="506"/>
      <c r="V318" s="506"/>
      <c r="W318" s="506"/>
      <c r="X318" s="506"/>
      <c r="Y318" s="506"/>
      <c r="Z318" s="506"/>
      <c r="AA318" s="506"/>
      <c r="AB318" s="506"/>
    </row>
    <row r="319" spans="2:28" s="45" customFormat="1">
      <c r="B319" s="506"/>
      <c r="C319" s="506"/>
      <c r="D319" s="506"/>
      <c r="E319" s="506"/>
      <c r="F319" s="506"/>
      <c r="G319" s="506"/>
      <c r="H319" s="506"/>
      <c r="I319" s="506"/>
      <c r="J319" s="506"/>
      <c r="K319" s="506"/>
      <c r="L319" s="506"/>
      <c r="M319" s="506"/>
      <c r="N319" s="506"/>
      <c r="O319" s="506"/>
      <c r="P319" s="506"/>
      <c r="Q319" s="506"/>
      <c r="R319" s="506"/>
      <c r="S319" s="506"/>
      <c r="T319" s="506"/>
      <c r="U319" s="506"/>
      <c r="V319" s="506"/>
      <c r="W319" s="506"/>
      <c r="X319" s="506"/>
      <c r="Y319" s="506"/>
      <c r="Z319" s="506"/>
      <c r="AA319" s="506"/>
      <c r="AB319" s="506"/>
    </row>
    <row r="320" spans="2:28" s="45" customFormat="1">
      <c r="B320" s="506"/>
      <c r="C320" s="506"/>
      <c r="D320" s="506"/>
      <c r="E320" s="506"/>
      <c r="F320" s="506"/>
      <c r="G320" s="506"/>
      <c r="H320" s="506"/>
      <c r="I320" s="506"/>
      <c r="J320" s="506"/>
      <c r="K320" s="506"/>
      <c r="L320" s="506"/>
      <c r="M320" s="506"/>
      <c r="N320" s="506"/>
      <c r="O320" s="506"/>
      <c r="P320" s="506"/>
      <c r="Q320" s="506"/>
      <c r="R320" s="506"/>
      <c r="S320" s="506"/>
      <c r="T320" s="506"/>
      <c r="U320" s="506"/>
      <c r="V320" s="506"/>
      <c r="W320" s="506"/>
      <c r="X320" s="506"/>
      <c r="Y320" s="506"/>
      <c r="Z320" s="506"/>
      <c r="AA320" s="506"/>
      <c r="AB320" s="506"/>
    </row>
    <row r="321" spans="2:28" s="45" customFormat="1">
      <c r="B321" s="506"/>
      <c r="C321" s="506"/>
      <c r="D321" s="506"/>
      <c r="E321" s="506"/>
      <c r="F321" s="506"/>
      <c r="G321" s="506"/>
      <c r="H321" s="506"/>
      <c r="I321" s="506"/>
      <c r="J321" s="506"/>
      <c r="K321" s="506"/>
      <c r="L321" s="506"/>
      <c r="M321" s="506"/>
      <c r="N321" s="506"/>
      <c r="O321" s="506"/>
      <c r="P321" s="506"/>
      <c r="Q321" s="506"/>
      <c r="R321" s="506"/>
      <c r="S321" s="506"/>
      <c r="T321" s="506"/>
      <c r="U321" s="506"/>
      <c r="V321" s="506"/>
      <c r="W321" s="506"/>
      <c r="X321" s="506"/>
      <c r="Y321" s="506"/>
      <c r="Z321" s="506"/>
      <c r="AA321" s="506"/>
      <c r="AB321" s="506"/>
    </row>
    <row r="322" spans="2:28" s="45" customFormat="1">
      <c r="B322" s="506"/>
      <c r="C322" s="506"/>
      <c r="D322" s="506"/>
      <c r="E322" s="506"/>
      <c r="F322" s="506"/>
      <c r="G322" s="506"/>
      <c r="H322" s="506"/>
      <c r="I322" s="506"/>
      <c r="J322" s="506"/>
      <c r="K322" s="506"/>
      <c r="L322" s="506"/>
      <c r="M322" s="506"/>
      <c r="N322" s="506"/>
      <c r="O322" s="506"/>
      <c r="P322" s="506"/>
      <c r="Q322" s="506"/>
      <c r="R322" s="506"/>
      <c r="S322" s="506"/>
      <c r="T322" s="506"/>
      <c r="U322" s="506"/>
      <c r="V322" s="506"/>
      <c r="W322" s="506"/>
      <c r="X322" s="506"/>
      <c r="Y322" s="506"/>
      <c r="Z322" s="506"/>
      <c r="AA322" s="506"/>
      <c r="AB322" s="506"/>
    </row>
    <row r="323" spans="2:28" s="45" customFormat="1">
      <c r="B323" s="506"/>
      <c r="C323" s="506"/>
      <c r="D323" s="506"/>
      <c r="E323" s="506"/>
      <c r="F323" s="506"/>
      <c r="G323" s="506"/>
      <c r="H323" s="506"/>
      <c r="I323" s="506"/>
      <c r="J323" s="506"/>
      <c r="K323" s="506"/>
      <c r="L323" s="506"/>
      <c r="M323" s="506"/>
      <c r="N323" s="506"/>
      <c r="O323" s="506"/>
      <c r="P323" s="506"/>
      <c r="Q323" s="506"/>
      <c r="R323" s="506"/>
      <c r="S323" s="506"/>
      <c r="T323" s="506"/>
      <c r="U323" s="506"/>
      <c r="V323" s="506"/>
      <c r="W323" s="506"/>
      <c r="X323" s="506"/>
      <c r="Y323" s="506"/>
      <c r="Z323" s="506"/>
      <c r="AA323" s="506"/>
      <c r="AB323" s="506"/>
    </row>
    <row r="324" spans="2:28" s="45" customFormat="1">
      <c r="B324" s="506"/>
      <c r="C324" s="506"/>
      <c r="D324" s="506"/>
      <c r="E324" s="506"/>
      <c r="F324" s="506"/>
      <c r="G324" s="506"/>
      <c r="H324" s="506"/>
      <c r="I324" s="506"/>
      <c r="J324" s="506"/>
      <c r="K324" s="506"/>
      <c r="L324" s="506"/>
      <c r="M324" s="506"/>
      <c r="N324" s="506"/>
      <c r="O324" s="506"/>
      <c r="P324" s="506"/>
      <c r="Q324" s="506"/>
      <c r="R324" s="506"/>
      <c r="S324" s="506"/>
      <c r="T324" s="506"/>
      <c r="U324" s="506"/>
      <c r="V324" s="506"/>
      <c r="W324" s="506"/>
      <c r="X324" s="506"/>
      <c r="Y324" s="506"/>
      <c r="Z324" s="506"/>
      <c r="AA324" s="506"/>
      <c r="AB324" s="506"/>
    </row>
    <row r="325" spans="2:28" s="45" customFormat="1">
      <c r="B325" s="506"/>
      <c r="C325" s="506"/>
      <c r="D325" s="506"/>
      <c r="E325" s="506"/>
      <c r="F325" s="506"/>
      <c r="G325" s="506"/>
      <c r="H325" s="506"/>
      <c r="I325" s="506"/>
      <c r="J325" s="506"/>
      <c r="K325" s="506"/>
      <c r="L325" s="506"/>
      <c r="M325" s="506"/>
      <c r="N325" s="506"/>
      <c r="O325" s="506"/>
      <c r="P325" s="506"/>
      <c r="Q325" s="506"/>
      <c r="R325" s="506"/>
      <c r="S325" s="506"/>
      <c r="T325" s="506"/>
      <c r="U325" s="506"/>
      <c r="V325" s="506"/>
      <c r="W325" s="506"/>
      <c r="X325" s="506"/>
      <c r="Y325" s="506"/>
      <c r="Z325" s="506"/>
      <c r="AA325" s="506"/>
      <c r="AB325" s="506"/>
    </row>
    <row r="326" spans="2:28" s="45" customFormat="1">
      <c r="B326" s="506"/>
      <c r="C326" s="506"/>
      <c r="D326" s="506"/>
      <c r="E326" s="506"/>
      <c r="F326" s="506"/>
      <c r="G326" s="506"/>
      <c r="H326" s="506"/>
      <c r="I326" s="506"/>
      <c r="J326" s="506"/>
      <c r="K326" s="506"/>
      <c r="L326" s="506"/>
      <c r="M326" s="506"/>
      <c r="N326" s="506"/>
      <c r="O326" s="506"/>
      <c r="P326" s="506"/>
      <c r="Q326" s="506"/>
      <c r="R326" s="506"/>
      <c r="S326" s="506"/>
      <c r="T326" s="506"/>
      <c r="U326" s="506"/>
      <c r="V326" s="506"/>
      <c r="W326" s="506"/>
      <c r="X326" s="506"/>
      <c r="Y326" s="506"/>
      <c r="Z326" s="506"/>
      <c r="AA326" s="506"/>
      <c r="AB326" s="506"/>
    </row>
    <row r="327" spans="2:28" s="45" customFormat="1">
      <c r="B327" s="506"/>
      <c r="C327" s="506"/>
      <c r="D327" s="506"/>
      <c r="E327" s="506"/>
      <c r="F327" s="506"/>
      <c r="G327" s="506"/>
      <c r="H327" s="506"/>
      <c r="I327" s="506"/>
      <c r="J327" s="506"/>
      <c r="K327" s="506"/>
      <c r="L327" s="506"/>
      <c r="M327" s="506"/>
      <c r="N327" s="506"/>
      <c r="O327" s="506"/>
      <c r="P327" s="506"/>
      <c r="Q327" s="506"/>
      <c r="R327" s="506"/>
      <c r="S327" s="506"/>
      <c r="T327" s="506"/>
      <c r="U327" s="506"/>
      <c r="V327" s="506"/>
      <c r="W327" s="506"/>
      <c r="X327" s="506"/>
      <c r="Y327" s="506"/>
      <c r="Z327" s="506"/>
      <c r="AA327" s="506"/>
      <c r="AB327" s="506"/>
    </row>
    <row r="328" spans="2:28" s="45" customFormat="1">
      <c r="B328" s="506"/>
      <c r="C328" s="506"/>
      <c r="D328" s="506"/>
      <c r="E328" s="506"/>
      <c r="F328" s="506"/>
      <c r="G328" s="506"/>
      <c r="H328" s="506"/>
      <c r="I328" s="506"/>
      <c r="J328" s="506"/>
      <c r="K328" s="506"/>
      <c r="L328" s="506"/>
      <c r="M328" s="506"/>
      <c r="N328" s="506"/>
      <c r="O328" s="506"/>
      <c r="P328" s="506"/>
      <c r="Q328" s="506"/>
      <c r="R328" s="506"/>
      <c r="S328" s="506"/>
      <c r="T328" s="506"/>
      <c r="U328" s="506"/>
      <c r="V328" s="506"/>
      <c r="W328" s="506"/>
      <c r="X328" s="506"/>
      <c r="Y328" s="506"/>
      <c r="Z328" s="506"/>
      <c r="AA328" s="506"/>
      <c r="AB328" s="506"/>
    </row>
    <row r="329" spans="2:28" s="45" customFormat="1">
      <c r="B329" s="506"/>
      <c r="C329" s="506"/>
      <c r="D329" s="506"/>
      <c r="E329" s="506"/>
      <c r="F329" s="506"/>
      <c r="G329" s="506"/>
      <c r="H329" s="506"/>
      <c r="I329" s="506"/>
      <c r="J329" s="506"/>
      <c r="K329" s="506"/>
      <c r="L329" s="506"/>
      <c r="M329" s="506"/>
      <c r="N329" s="506"/>
      <c r="O329" s="506"/>
      <c r="P329" s="506"/>
      <c r="Q329" s="506"/>
      <c r="R329" s="506"/>
      <c r="S329" s="506"/>
      <c r="T329" s="506"/>
      <c r="U329" s="506"/>
      <c r="V329" s="506"/>
      <c r="W329" s="506"/>
      <c r="X329" s="506"/>
      <c r="Y329" s="506"/>
      <c r="Z329" s="506"/>
      <c r="AA329" s="506"/>
      <c r="AB329" s="506"/>
    </row>
    <row r="330" spans="2:28" s="45" customFormat="1">
      <c r="B330" s="506"/>
      <c r="C330" s="506"/>
      <c r="D330" s="506"/>
      <c r="E330" s="506"/>
      <c r="F330" s="506"/>
      <c r="G330" s="506"/>
      <c r="H330" s="506"/>
      <c r="I330" s="506"/>
      <c r="J330" s="506"/>
      <c r="K330" s="506"/>
      <c r="L330" s="506"/>
      <c r="M330" s="506"/>
      <c r="N330" s="506"/>
      <c r="O330" s="506"/>
      <c r="P330" s="506"/>
      <c r="Q330" s="506"/>
      <c r="R330" s="506"/>
      <c r="S330" s="506"/>
      <c r="T330" s="506"/>
      <c r="U330" s="506"/>
      <c r="V330" s="506"/>
      <c r="W330" s="506"/>
      <c r="X330" s="506"/>
      <c r="Y330" s="506"/>
      <c r="Z330" s="506"/>
      <c r="AA330" s="506"/>
      <c r="AB330" s="506"/>
    </row>
    <row r="331" spans="2:28" s="45" customFormat="1">
      <c r="B331" s="506"/>
      <c r="C331" s="506"/>
      <c r="D331" s="506"/>
      <c r="E331" s="506"/>
      <c r="F331" s="506"/>
      <c r="G331" s="506"/>
      <c r="H331" s="506"/>
      <c r="I331" s="506"/>
      <c r="J331" s="506"/>
      <c r="K331" s="506"/>
      <c r="L331" s="506"/>
      <c r="M331" s="506"/>
      <c r="N331" s="506"/>
      <c r="O331" s="506"/>
      <c r="P331" s="506"/>
      <c r="Q331" s="506"/>
      <c r="R331" s="506"/>
      <c r="S331" s="506"/>
      <c r="T331" s="506"/>
      <c r="U331" s="506"/>
      <c r="V331" s="506"/>
      <c r="W331" s="506"/>
      <c r="X331" s="506"/>
      <c r="Y331" s="506"/>
      <c r="Z331" s="506"/>
      <c r="AA331" s="506"/>
      <c r="AB331" s="506"/>
    </row>
    <row r="332" spans="2:28" s="45" customFormat="1">
      <c r="B332" s="506"/>
      <c r="C332" s="506"/>
      <c r="D332" s="506"/>
      <c r="E332" s="506"/>
      <c r="F332" s="506"/>
      <c r="G332" s="506"/>
      <c r="H332" s="506"/>
      <c r="I332" s="506"/>
      <c r="J332" s="506"/>
      <c r="K332" s="506"/>
      <c r="L332" s="506"/>
      <c r="M332" s="506"/>
      <c r="N332" s="506"/>
      <c r="O332" s="506"/>
      <c r="P332" s="506"/>
      <c r="Q332" s="506"/>
      <c r="R332" s="506"/>
      <c r="S332" s="506"/>
      <c r="T332" s="506"/>
      <c r="U332" s="506"/>
      <c r="V332" s="506"/>
      <c r="W332" s="506"/>
      <c r="X332" s="506"/>
      <c r="Y332" s="506"/>
      <c r="Z332" s="506"/>
      <c r="AA332" s="506"/>
      <c r="AB332" s="506"/>
    </row>
    <row r="333" spans="2:28" s="45" customFormat="1">
      <c r="B333" s="506"/>
      <c r="C333" s="506"/>
      <c r="D333" s="506"/>
      <c r="E333" s="506"/>
      <c r="F333" s="506"/>
      <c r="G333" s="506"/>
      <c r="H333" s="506"/>
      <c r="I333" s="506"/>
      <c r="J333" s="506"/>
      <c r="K333" s="506"/>
      <c r="L333" s="506"/>
      <c r="M333" s="506"/>
      <c r="N333" s="506"/>
      <c r="O333" s="506"/>
      <c r="P333" s="506"/>
      <c r="Q333" s="506"/>
      <c r="R333" s="506"/>
      <c r="S333" s="506"/>
      <c r="T333" s="506"/>
      <c r="U333" s="506"/>
      <c r="V333" s="506"/>
      <c r="W333" s="506"/>
      <c r="X333" s="506"/>
      <c r="Y333" s="506"/>
      <c r="Z333" s="506"/>
      <c r="AA333" s="506"/>
      <c r="AB333" s="506"/>
    </row>
    <row r="334" spans="2:28" s="45" customFormat="1">
      <c r="B334" s="506"/>
      <c r="C334" s="506"/>
      <c r="D334" s="506"/>
      <c r="E334" s="506"/>
      <c r="F334" s="506"/>
      <c r="G334" s="506"/>
      <c r="H334" s="506"/>
      <c r="I334" s="506"/>
      <c r="J334" s="506"/>
      <c r="K334" s="506"/>
      <c r="L334" s="506"/>
      <c r="M334" s="506"/>
      <c r="N334" s="506"/>
      <c r="O334" s="506"/>
      <c r="P334" s="506"/>
      <c r="Q334" s="506"/>
      <c r="R334" s="506"/>
      <c r="S334" s="506"/>
      <c r="T334" s="506"/>
      <c r="U334" s="506"/>
      <c r="V334" s="506"/>
      <c r="W334" s="506"/>
      <c r="X334" s="506"/>
      <c r="Y334" s="506"/>
      <c r="Z334" s="506"/>
      <c r="AA334" s="506"/>
      <c r="AB334" s="506"/>
    </row>
    <row r="335" spans="2:28" s="45" customFormat="1">
      <c r="B335" s="506"/>
      <c r="C335" s="506"/>
      <c r="D335" s="506"/>
      <c r="E335" s="506"/>
      <c r="F335" s="506"/>
      <c r="G335" s="506"/>
      <c r="H335" s="506"/>
      <c r="I335" s="506"/>
      <c r="J335" s="506"/>
      <c r="K335" s="506"/>
      <c r="L335" s="506"/>
      <c r="M335" s="506"/>
      <c r="N335" s="506"/>
      <c r="O335" s="506"/>
      <c r="P335" s="506"/>
      <c r="Q335" s="506"/>
      <c r="R335" s="506"/>
      <c r="S335" s="506"/>
      <c r="T335" s="506"/>
      <c r="U335" s="506"/>
      <c r="V335" s="506"/>
      <c r="W335" s="506"/>
      <c r="X335" s="506"/>
      <c r="Y335" s="506"/>
      <c r="Z335" s="506"/>
      <c r="AA335" s="506"/>
      <c r="AB335" s="506"/>
    </row>
    <row r="336" spans="2:28" s="45" customFormat="1">
      <c r="B336" s="506"/>
      <c r="C336" s="506"/>
      <c r="D336" s="506"/>
      <c r="E336" s="506"/>
      <c r="F336" s="506"/>
      <c r="G336" s="506"/>
      <c r="H336" s="506"/>
      <c r="I336" s="506"/>
      <c r="J336" s="506"/>
      <c r="K336" s="506"/>
      <c r="L336" s="506"/>
      <c r="M336" s="506"/>
      <c r="N336" s="506"/>
      <c r="O336" s="506"/>
      <c r="P336" s="506"/>
      <c r="Q336" s="506"/>
      <c r="R336" s="506"/>
      <c r="S336" s="506"/>
      <c r="T336" s="506"/>
      <c r="U336" s="506"/>
      <c r="V336" s="506"/>
      <c r="W336" s="506"/>
      <c r="X336" s="506"/>
      <c r="Y336" s="506"/>
      <c r="Z336" s="506"/>
      <c r="AA336" s="506"/>
      <c r="AB336" s="506"/>
    </row>
    <row r="337" spans="2:28" s="45" customFormat="1">
      <c r="B337" s="506"/>
      <c r="C337" s="506"/>
      <c r="D337" s="506"/>
      <c r="E337" s="506"/>
      <c r="F337" s="506"/>
      <c r="G337" s="506"/>
      <c r="H337" s="506"/>
      <c r="I337" s="506"/>
      <c r="J337" s="506"/>
      <c r="K337" s="506"/>
      <c r="L337" s="506"/>
      <c r="M337" s="506"/>
      <c r="N337" s="506"/>
      <c r="O337" s="506"/>
      <c r="P337" s="506"/>
      <c r="Q337" s="506"/>
      <c r="R337" s="506"/>
      <c r="S337" s="506"/>
      <c r="T337" s="506"/>
      <c r="U337" s="506"/>
      <c r="V337" s="506"/>
      <c r="W337" s="506"/>
      <c r="X337" s="506"/>
      <c r="Y337" s="506"/>
      <c r="Z337" s="506"/>
      <c r="AA337" s="506"/>
      <c r="AB337" s="506"/>
    </row>
    <row r="338" spans="2:28" s="45" customFormat="1">
      <c r="B338" s="506"/>
      <c r="C338" s="506"/>
      <c r="D338" s="506"/>
      <c r="E338" s="506"/>
      <c r="F338" s="506"/>
      <c r="G338" s="506"/>
      <c r="H338" s="506"/>
      <c r="I338" s="506"/>
      <c r="J338" s="506"/>
      <c r="K338" s="506"/>
      <c r="L338" s="506"/>
      <c r="M338" s="506"/>
      <c r="N338" s="506"/>
      <c r="O338" s="506"/>
      <c r="P338" s="506"/>
      <c r="Q338" s="506"/>
      <c r="R338" s="506"/>
      <c r="S338" s="506"/>
      <c r="T338" s="506"/>
      <c r="U338" s="506"/>
      <c r="V338" s="506"/>
      <c r="W338" s="506"/>
      <c r="X338" s="506"/>
      <c r="Y338" s="506"/>
      <c r="Z338" s="506"/>
      <c r="AA338" s="506"/>
      <c r="AB338" s="506"/>
    </row>
    <row r="339" spans="2:28" s="45" customFormat="1">
      <c r="B339" s="506"/>
      <c r="C339" s="506"/>
      <c r="D339" s="506"/>
      <c r="E339" s="506"/>
      <c r="F339" s="506"/>
      <c r="G339" s="506"/>
      <c r="H339" s="506"/>
      <c r="I339" s="506"/>
      <c r="J339" s="506"/>
      <c r="K339" s="506"/>
      <c r="L339" s="506"/>
      <c r="M339" s="506"/>
      <c r="N339" s="506"/>
      <c r="O339" s="506"/>
      <c r="P339" s="506"/>
      <c r="Q339" s="506"/>
      <c r="R339" s="506"/>
      <c r="S339" s="506"/>
      <c r="T339" s="506"/>
      <c r="U339" s="506"/>
      <c r="V339" s="506"/>
      <c r="W339" s="506"/>
      <c r="X339" s="506"/>
      <c r="Y339" s="506"/>
      <c r="Z339" s="506"/>
      <c r="AA339" s="506"/>
      <c r="AB339" s="506"/>
    </row>
    <row r="340" spans="2:28" s="45" customFormat="1">
      <c r="B340" s="506"/>
      <c r="C340" s="506"/>
      <c r="D340" s="506"/>
      <c r="E340" s="506"/>
      <c r="F340" s="506"/>
      <c r="G340" s="506"/>
      <c r="H340" s="506"/>
      <c r="I340" s="506"/>
      <c r="J340" s="506"/>
      <c r="K340" s="506"/>
      <c r="L340" s="506"/>
      <c r="M340" s="506"/>
      <c r="N340" s="506"/>
      <c r="O340" s="506"/>
      <c r="P340" s="506"/>
      <c r="Q340" s="506"/>
      <c r="R340" s="506"/>
      <c r="S340" s="506"/>
      <c r="T340" s="506"/>
      <c r="U340" s="506"/>
      <c r="V340" s="506"/>
      <c r="W340" s="506"/>
      <c r="X340" s="506"/>
      <c r="Y340" s="506"/>
      <c r="Z340" s="506"/>
      <c r="AA340" s="506"/>
      <c r="AB340" s="506"/>
    </row>
    <row r="341" spans="2:28" s="45" customFormat="1">
      <c r="B341" s="506"/>
      <c r="C341" s="506"/>
      <c r="D341" s="506"/>
      <c r="E341" s="506"/>
      <c r="F341" s="506"/>
      <c r="G341" s="506"/>
      <c r="H341" s="506"/>
      <c r="I341" s="506"/>
      <c r="J341" s="506"/>
      <c r="K341" s="506"/>
      <c r="L341" s="506"/>
      <c r="M341" s="506"/>
      <c r="N341" s="506"/>
      <c r="O341" s="506"/>
      <c r="P341" s="506"/>
      <c r="Q341" s="506"/>
      <c r="R341" s="506"/>
      <c r="S341" s="506"/>
      <c r="T341" s="506"/>
      <c r="U341" s="506"/>
      <c r="V341" s="506"/>
      <c r="W341" s="506"/>
      <c r="X341" s="506"/>
      <c r="Y341" s="506"/>
      <c r="Z341" s="506"/>
      <c r="AA341" s="506"/>
      <c r="AB341" s="506"/>
    </row>
    <row r="342" spans="2:28" s="45" customFormat="1">
      <c r="B342" s="506"/>
      <c r="C342" s="506"/>
      <c r="D342" s="506"/>
      <c r="E342" s="506"/>
      <c r="F342" s="506"/>
      <c r="G342" s="506"/>
      <c r="H342" s="506"/>
      <c r="I342" s="506"/>
      <c r="J342" s="506"/>
      <c r="K342" s="506"/>
      <c r="L342" s="506"/>
      <c r="M342" s="506"/>
      <c r="N342" s="506"/>
      <c r="O342" s="506"/>
      <c r="P342" s="506"/>
      <c r="Q342" s="506"/>
      <c r="R342" s="506"/>
      <c r="S342" s="506"/>
      <c r="T342" s="506"/>
      <c r="U342" s="506"/>
      <c r="V342" s="506"/>
      <c r="W342" s="506"/>
      <c r="X342" s="506"/>
      <c r="Y342" s="506"/>
      <c r="Z342" s="506"/>
      <c r="AA342" s="506"/>
      <c r="AB342" s="506"/>
    </row>
    <row r="343" spans="2:28" s="45" customFormat="1">
      <c r="B343" s="506"/>
      <c r="C343" s="506"/>
      <c r="D343" s="506"/>
      <c r="E343" s="506"/>
      <c r="F343" s="506"/>
      <c r="G343" s="506"/>
      <c r="H343" s="506"/>
      <c r="I343" s="506"/>
      <c r="J343" s="506"/>
      <c r="K343" s="506"/>
      <c r="L343" s="506"/>
      <c r="M343" s="506"/>
      <c r="N343" s="506"/>
      <c r="O343" s="506"/>
      <c r="P343" s="506"/>
      <c r="Q343" s="506"/>
      <c r="R343" s="506"/>
      <c r="S343" s="506"/>
      <c r="T343" s="506"/>
      <c r="U343" s="506"/>
      <c r="V343" s="506"/>
      <c r="W343" s="506"/>
      <c r="X343" s="506"/>
      <c r="Y343" s="506"/>
      <c r="Z343" s="506"/>
      <c r="AA343" s="506"/>
      <c r="AB343" s="506"/>
    </row>
    <row r="344" spans="2:28" s="45" customFormat="1">
      <c r="B344" s="506"/>
      <c r="C344" s="506"/>
      <c r="D344" s="506"/>
      <c r="E344" s="506"/>
      <c r="F344" s="506"/>
      <c r="G344" s="506"/>
      <c r="H344" s="506"/>
      <c r="I344" s="506"/>
      <c r="J344" s="506"/>
      <c r="K344" s="506"/>
      <c r="L344" s="506"/>
      <c r="M344" s="506"/>
      <c r="N344" s="506"/>
      <c r="O344" s="506"/>
      <c r="P344" s="506"/>
      <c r="Q344" s="506"/>
      <c r="R344" s="506"/>
      <c r="S344" s="506"/>
      <c r="T344" s="506"/>
      <c r="U344" s="506"/>
      <c r="V344" s="506"/>
      <c r="W344" s="506"/>
      <c r="X344" s="506"/>
      <c r="Y344" s="506"/>
      <c r="Z344" s="506"/>
      <c r="AA344" s="506"/>
      <c r="AB344" s="506"/>
    </row>
    <row r="345" spans="2:28" s="45" customFormat="1">
      <c r="B345" s="506"/>
      <c r="C345" s="506"/>
      <c r="D345" s="506"/>
      <c r="E345" s="506"/>
      <c r="F345" s="506"/>
      <c r="G345" s="506"/>
      <c r="H345" s="506"/>
      <c r="I345" s="506"/>
      <c r="J345" s="506"/>
      <c r="K345" s="506"/>
      <c r="L345" s="506"/>
      <c r="M345" s="506"/>
      <c r="N345" s="506"/>
      <c r="O345" s="506"/>
      <c r="P345" s="506"/>
      <c r="Q345" s="506"/>
      <c r="R345" s="506"/>
      <c r="S345" s="506"/>
      <c r="T345" s="506"/>
      <c r="U345" s="506"/>
      <c r="V345" s="506"/>
      <c r="W345" s="506"/>
      <c r="X345" s="506"/>
      <c r="Y345" s="506"/>
      <c r="Z345" s="506"/>
      <c r="AA345" s="506"/>
      <c r="AB345" s="506"/>
    </row>
    <row r="346" spans="2:28" s="45" customFormat="1">
      <c r="B346" s="506"/>
      <c r="C346" s="506"/>
      <c r="D346" s="506"/>
      <c r="E346" s="506"/>
      <c r="F346" s="506"/>
      <c r="G346" s="506"/>
      <c r="H346" s="506"/>
      <c r="I346" s="506"/>
      <c r="J346" s="506"/>
      <c r="K346" s="506"/>
      <c r="L346" s="506"/>
      <c r="M346" s="506"/>
      <c r="N346" s="506"/>
      <c r="O346" s="506"/>
      <c r="P346" s="506"/>
      <c r="Q346" s="506"/>
      <c r="R346" s="506"/>
      <c r="S346" s="506"/>
      <c r="T346" s="506"/>
      <c r="U346" s="506"/>
      <c r="V346" s="506"/>
      <c r="W346" s="506"/>
      <c r="X346" s="506"/>
      <c r="Y346" s="506"/>
      <c r="Z346" s="506"/>
      <c r="AA346" s="506"/>
      <c r="AB346" s="506"/>
    </row>
    <row r="347" spans="2:28" s="45" customFormat="1">
      <c r="B347" s="506"/>
      <c r="C347" s="506"/>
      <c r="D347" s="506"/>
      <c r="E347" s="506"/>
      <c r="F347" s="506"/>
      <c r="G347" s="506"/>
      <c r="H347" s="506"/>
      <c r="I347" s="506"/>
      <c r="J347" s="506"/>
      <c r="K347" s="506"/>
      <c r="L347" s="506"/>
      <c r="M347" s="506"/>
      <c r="N347" s="506"/>
      <c r="O347" s="506"/>
      <c r="P347" s="506"/>
      <c r="Q347" s="506"/>
      <c r="R347" s="506"/>
      <c r="S347" s="506"/>
      <c r="T347" s="506"/>
      <c r="U347" s="506"/>
      <c r="V347" s="506"/>
      <c r="W347" s="506"/>
      <c r="X347" s="506"/>
      <c r="Y347" s="506"/>
      <c r="Z347" s="506"/>
      <c r="AA347" s="506"/>
      <c r="AB347" s="506"/>
    </row>
    <row r="348" spans="2:28" s="45" customFormat="1">
      <c r="B348" s="506"/>
      <c r="C348" s="506"/>
      <c r="D348" s="506"/>
      <c r="E348" s="506"/>
      <c r="F348" s="506"/>
      <c r="G348" s="506"/>
      <c r="H348" s="506"/>
      <c r="I348" s="506"/>
      <c r="J348" s="506"/>
      <c r="K348" s="506"/>
      <c r="L348" s="506"/>
      <c r="M348" s="506"/>
      <c r="N348" s="506"/>
      <c r="O348" s="506"/>
      <c r="P348" s="506"/>
      <c r="Q348" s="506"/>
      <c r="R348" s="506"/>
      <c r="S348" s="506"/>
      <c r="T348" s="506"/>
      <c r="U348" s="506"/>
      <c r="V348" s="506"/>
      <c r="W348" s="506"/>
      <c r="X348" s="506"/>
      <c r="Y348" s="506"/>
      <c r="Z348" s="506"/>
      <c r="AA348" s="506"/>
      <c r="AB348" s="506"/>
    </row>
    <row r="349" spans="2:28" s="45" customFormat="1">
      <c r="B349" s="506"/>
      <c r="C349" s="506"/>
      <c r="D349" s="506"/>
      <c r="E349" s="506"/>
      <c r="F349" s="506"/>
      <c r="G349" s="506"/>
      <c r="H349" s="506"/>
      <c r="I349" s="506"/>
      <c r="J349" s="506"/>
      <c r="K349" s="506"/>
      <c r="L349" s="506"/>
      <c r="M349" s="506"/>
      <c r="N349" s="506"/>
      <c r="O349" s="506"/>
      <c r="P349" s="506"/>
      <c r="Q349" s="506"/>
      <c r="R349" s="506"/>
      <c r="S349" s="506"/>
      <c r="T349" s="506"/>
      <c r="U349" s="506"/>
      <c r="V349" s="506"/>
      <c r="W349" s="506"/>
      <c r="X349" s="506"/>
      <c r="Y349" s="506"/>
      <c r="Z349" s="506"/>
      <c r="AA349" s="506"/>
      <c r="AB349" s="506"/>
    </row>
    <row r="350" spans="2:28" s="45" customFormat="1">
      <c r="B350" s="506"/>
      <c r="C350" s="506"/>
      <c r="D350" s="506"/>
      <c r="E350" s="506"/>
      <c r="F350" s="506"/>
      <c r="G350" s="506"/>
      <c r="H350" s="506"/>
      <c r="I350" s="506"/>
      <c r="J350" s="506"/>
      <c r="K350" s="506"/>
      <c r="L350" s="506"/>
      <c r="M350" s="506"/>
      <c r="N350" s="506"/>
      <c r="O350" s="506"/>
      <c r="P350" s="506"/>
      <c r="Q350" s="506"/>
      <c r="R350" s="506"/>
      <c r="S350" s="506"/>
      <c r="T350" s="506"/>
      <c r="U350" s="506"/>
      <c r="V350" s="506"/>
      <c r="W350" s="506"/>
      <c r="X350" s="506"/>
      <c r="Y350" s="506"/>
      <c r="Z350" s="506"/>
      <c r="AA350" s="506"/>
      <c r="AB350" s="506"/>
    </row>
    <row r="351" spans="2:28" s="45" customFormat="1">
      <c r="B351" s="506"/>
      <c r="C351" s="506"/>
      <c r="D351" s="506"/>
      <c r="E351" s="506"/>
      <c r="F351" s="506"/>
      <c r="G351" s="506"/>
      <c r="H351" s="506"/>
      <c r="I351" s="506"/>
      <c r="J351" s="506"/>
      <c r="K351" s="506"/>
      <c r="L351" s="506"/>
      <c r="M351" s="506"/>
      <c r="N351" s="506"/>
      <c r="O351" s="506"/>
      <c r="P351" s="506"/>
      <c r="Q351" s="506"/>
      <c r="R351" s="506"/>
      <c r="S351" s="506"/>
      <c r="T351" s="506"/>
      <c r="U351" s="506"/>
      <c r="V351" s="506"/>
      <c r="W351" s="506"/>
      <c r="X351" s="506"/>
      <c r="Y351" s="506"/>
      <c r="Z351" s="506"/>
      <c r="AA351" s="506"/>
      <c r="AB351" s="506"/>
    </row>
    <row r="352" spans="2:28" s="45" customFormat="1">
      <c r="B352" s="506"/>
      <c r="C352" s="506"/>
      <c r="D352" s="506"/>
      <c r="E352" s="506"/>
      <c r="F352" s="506"/>
      <c r="G352" s="506"/>
      <c r="H352" s="506"/>
      <c r="I352" s="506"/>
      <c r="J352" s="506"/>
      <c r="K352" s="506"/>
      <c r="L352" s="506"/>
      <c r="M352" s="506"/>
      <c r="N352" s="506"/>
      <c r="O352" s="506"/>
      <c r="P352" s="506"/>
      <c r="Q352" s="506"/>
      <c r="R352" s="506"/>
      <c r="S352" s="506"/>
      <c r="T352" s="506"/>
      <c r="U352" s="506"/>
      <c r="V352" s="506"/>
      <c r="W352" s="506"/>
      <c r="X352" s="506"/>
      <c r="Y352" s="506"/>
      <c r="Z352" s="506"/>
      <c r="AA352" s="506"/>
      <c r="AB352" s="506"/>
    </row>
    <row r="353" spans="2:28" s="45" customFormat="1">
      <c r="B353" s="506"/>
      <c r="C353" s="506"/>
      <c r="D353" s="506"/>
      <c r="E353" s="506"/>
      <c r="F353" s="506"/>
      <c r="G353" s="506"/>
      <c r="H353" s="506"/>
      <c r="I353" s="506"/>
      <c r="J353" s="506"/>
      <c r="K353" s="506"/>
      <c r="L353" s="506"/>
      <c r="M353" s="506"/>
      <c r="N353" s="506"/>
      <c r="O353" s="506"/>
      <c r="P353" s="506"/>
      <c r="Q353" s="506"/>
      <c r="R353" s="506"/>
      <c r="S353" s="506"/>
      <c r="T353" s="506"/>
      <c r="U353" s="506"/>
      <c r="V353" s="506"/>
      <c r="W353" s="506"/>
      <c r="X353" s="506"/>
      <c r="Y353" s="506"/>
      <c r="Z353" s="506"/>
      <c r="AA353" s="506"/>
      <c r="AB353" s="506"/>
    </row>
    <row r="354" spans="2:28" s="45" customFormat="1">
      <c r="B354" s="506"/>
      <c r="C354" s="506"/>
      <c r="D354" s="506"/>
      <c r="E354" s="506"/>
      <c r="F354" s="506"/>
      <c r="G354" s="506"/>
      <c r="H354" s="506"/>
      <c r="I354" s="506"/>
      <c r="J354" s="506"/>
      <c r="K354" s="506"/>
      <c r="L354" s="506"/>
      <c r="M354" s="506"/>
      <c r="N354" s="506"/>
      <c r="O354" s="506"/>
      <c r="P354" s="506"/>
      <c r="Q354" s="506"/>
      <c r="R354" s="506"/>
      <c r="S354" s="506"/>
      <c r="T354" s="506"/>
      <c r="U354" s="506"/>
      <c r="V354" s="506"/>
      <c r="W354" s="506"/>
      <c r="X354" s="506"/>
      <c r="Y354" s="506"/>
      <c r="Z354" s="506"/>
      <c r="AA354" s="506"/>
      <c r="AB354" s="506"/>
    </row>
    <row r="355" spans="2:28" s="45" customFormat="1">
      <c r="B355" s="506"/>
      <c r="C355" s="506"/>
      <c r="D355" s="506"/>
      <c r="E355" s="506"/>
      <c r="F355" s="506"/>
      <c r="G355" s="506"/>
      <c r="H355" s="506"/>
      <c r="I355" s="506"/>
      <c r="J355" s="506"/>
      <c r="K355" s="506"/>
      <c r="L355" s="506"/>
      <c r="M355" s="506"/>
      <c r="N355" s="506"/>
      <c r="O355" s="506"/>
      <c r="P355" s="506"/>
      <c r="Q355" s="506"/>
      <c r="R355" s="506"/>
      <c r="S355" s="506"/>
      <c r="T355" s="506"/>
      <c r="U355" s="506"/>
      <c r="V355" s="506"/>
      <c r="W355" s="506"/>
      <c r="X355" s="506"/>
      <c r="Y355" s="506"/>
      <c r="Z355" s="506"/>
      <c r="AA355" s="506"/>
      <c r="AB355" s="506"/>
    </row>
    <row r="356" spans="2:28" s="45" customFormat="1">
      <c r="B356" s="506"/>
      <c r="C356" s="506"/>
      <c r="D356" s="506"/>
      <c r="E356" s="506"/>
      <c r="F356" s="506"/>
      <c r="G356" s="506"/>
      <c r="H356" s="506"/>
      <c r="I356" s="506"/>
      <c r="J356" s="506"/>
      <c r="K356" s="506"/>
      <c r="L356" s="506"/>
      <c r="M356" s="506"/>
      <c r="N356" s="506"/>
      <c r="O356" s="506"/>
      <c r="P356" s="506"/>
      <c r="Q356" s="506"/>
      <c r="R356" s="506"/>
      <c r="S356" s="506"/>
      <c r="T356" s="506"/>
      <c r="U356" s="506"/>
      <c r="V356" s="506"/>
      <c r="W356" s="506"/>
      <c r="X356" s="506"/>
      <c r="Y356" s="506"/>
      <c r="Z356" s="506"/>
      <c r="AA356" s="506"/>
      <c r="AB356" s="506"/>
    </row>
    <row r="357" spans="2:28" s="45" customFormat="1">
      <c r="B357" s="506"/>
      <c r="C357" s="506"/>
      <c r="D357" s="506"/>
      <c r="E357" s="506"/>
      <c r="F357" s="506"/>
      <c r="G357" s="506"/>
      <c r="H357" s="506"/>
      <c r="I357" s="506"/>
      <c r="J357" s="506"/>
      <c r="K357" s="506"/>
      <c r="L357" s="506"/>
      <c r="M357" s="506"/>
      <c r="N357" s="506"/>
      <c r="O357" s="506"/>
      <c r="P357" s="506"/>
      <c r="Q357" s="506"/>
      <c r="R357" s="506"/>
      <c r="S357" s="506"/>
      <c r="T357" s="506"/>
      <c r="U357" s="506"/>
      <c r="V357" s="506"/>
      <c r="W357" s="506"/>
      <c r="X357" s="506"/>
      <c r="Y357" s="506"/>
      <c r="Z357" s="506"/>
      <c r="AA357" s="506"/>
      <c r="AB357" s="506"/>
    </row>
    <row r="358" spans="2:28" s="45" customFormat="1">
      <c r="B358" s="506"/>
      <c r="C358" s="506"/>
      <c r="D358" s="506"/>
      <c r="E358" s="506"/>
      <c r="F358" s="506"/>
      <c r="G358" s="506"/>
      <c r="H358" s="506"/>
      <c r="I358" s="506"/>
      <c r="J358" s="506"/>
      <c r="K358" s="506"/>
      <c r="L358" s="506"/>
      <c r="M358" s="506"/>
      <c r="N358" s="506"/>
      <c r="O358" s="506"/>
      <c r="P358" s="506"/>
      <c r="Q358" s="506"/>
      <c r="R358" s="506"/>
      <c r="S358" s="506"/>
      <c r="T358" s="506"/>
      <c r="U358" s="506"/>
      <c r="V358" s="506"/>
      <c r="W358" s="506"/>
      <c r="X358" s="506"/>
      <c r="Y358" s="506"/>
      <c r="Z358" s="506"/>
      <c r="AA358" s="506"/>
      <c r="AB358" s="506"/>
    </row>
    <row r="359" spans="2:28" s="45" customFormat="1">
      <c r="B359" s="506"/>
      <c r="C359" s="506"/>
      <c r="D359" s="506"/>
      <c r="E359" s="506"/>
      <c r="F359" s="506"/>
      <c r="G359" s="506"/>
      <c r="H359" s="506"/>
      <c r="I359" s="506"/>
      <c r="J359" s="506"/>
      <c r="K359" s="506"/>
      <c r="L359" s="506"/>
      <c r="M359" s="506"/>
      <c r="N359" s="506"/>
      <c r="O359" s="506"/>
      <c r="P359" s="506"/>
      <c r="Q359" s="506"/>
      <c r="R359" s="506"/>
      <c r="S359" s="506"/>
      <c r="T359" s="506"/>
      <c r="U359" s="506"/>
      <c r="V359" s="506"/>
      <c r="W359" s="506"/>
      <c r="X359" s="506"/>
      <c r="Y359" s="506"/>
      <c r="Z359" s="506"/>
      <c r="AA359" s="506"/>
      <c r="AB359" s="506"/>
    </row>
    <row r="360" spans="2:28" s="45" customFormat="1">
      <c r="B360" s="506"/>
      <c r="C360" s="506"/>
      <c r="D360" s="506"/>
      <c r="E360" s="506"/>
      <c r="F360" s="506"/>
      <c r="G360" s="506"/>
      <c r="H360" s="506"/>
      <c r="I360" s="506"/>
      <c r="J360" s="506"/>
      <c r="K360" s="506"/>
      <c r="L360" s="506"/>
      <c r="M360" s="506"/>
      <c r="N360" s="506"/>
      <c r="O360" s="506"/>
      <c r="P360" s="506"/>
      <c r="Q360" s="506"/>
      <c r="R360" s="506"/>
      <c r="S360" s="506"/>
      <c r="T360" s="506"/>
      <c r="U360" s="506"/>
      <c r="V360" s="506"/>
      <c r="W360" s="506"/>
      <c r="X360" s="506"/>
      <c r="Y360" s="506"/>
      <c r="Z360" s="506"/>
      <c r="AA360" s="506"/>
      <c r="AB360" s="506"/>
    </row>
    <row r="361" spans="2:28" s="45" customFormat="1">
      <c r="B361" s="506"/>
      <c r="C361" s="506"/>
      <c r="D361" s="506"/>
      <c r="E361" s="506"/>
      <c r="F361" s="506"/>
      <c r="G361" s="506"/>
      <c r="H361" s="506"/>
      <c r="I361" s="506"/>
      <c r="J361" s="506"/>
      <c r="K361" s="506"/>
      <c r="L361" s="506"/>
      <c r="M361" s="506"/>
      <c r="N361" s="506"/>
      <c r="O361" s="506"/>
      <c r="P361" s="506"/>
      <c r="Q361" s="506"/>
      <c r="R361" s="506"/>
      <c r="S361" s="506"/>
      <c r="T361" s="506"/>
      <c r="U361" s="506"/>
      <c r="V361" s="506"/>
      <c r="W361" s="506"/>
      <c r="X361" s="506"/>
      <c r="Y361" s="506"/>
      <c r="Z361" s="506"/>
      <c r="AA361" s="506"/>
      <c r="AB361" s="506"/>
    </row>
    <row r="362" spans="2:28" s="45" customFormat="1">
      <c r="B362" s="506"/>
      <c r="C362" s="506"/>
      <c r="D362" s="506"/>
      <c r="E362" s="506"/>
      <c r="F362" s="506"/>
      <c r="G362" s="506"/>
      <c r="H362" s="506"/>
      <c r="I362" s="506"/>
      <c r="J362" s="506"/>
      <c r="K362" s="506"/>
      <c r="L362" s="506"/>
      <c r="M362" s="506"/>
      <c r="N362" s="506"/>
      <c r="O362" s="506"/>
      <c r="P362" s="506"/>
      <c r="Q362" s="506"/>
      <c r="R362" s="506"/>
      <c r="S362" s="506"/>
      <c r="T362" s="506"/>
      <c r="U362" s="506"/>
      <c r="V362" s="506"/>
      <c r="W362" s="506"/>
      <c r="X362" s="506"/>
      <c r="Y362" s="506"/>
      <c r="Z362" s="506"/>
      <c r="AA362" s="506"/>
      <c r="AB362" s="506"/>
    </row>
    <row r="363" spans="2:28" s="45" customFormat="1">
      <c r="B363" s="506"/>
      <c r="C363" s="506"/>
      <c r="D363" s="506"/>
      <c r="E363" s="506"/>
      <c r="F363" s="506"/>
      <c r="G363" s="506"/>
      <c r="H363" s="506"/>
      <c r="I363" s="506"/>
      <c r="J363" s="506"/>
      <c r="K363" s="506"/>
      <c r="L363" s="506"/>
      <c r="M363" s="506"/>
      <c r="N363" s="506"/>
      <c r="O363" s="506"/>
      <c r="P363" s="506"/>
      <c r="Q363" s="506"/>
      <c r="R363" s="506"/>
      <c r="S363" s="506"/>
      <c r="T363" s="506"/>
      <c r="U363" s="506"/>
      <c r="V363" s="506"/>
      <c r="W363" s="506"/>
      <c r="X363" s="506"/>
      <c r="Y363" s="506"/>
      <c r="Z363" s="506"/>
      <c r="AA363" s="506"/>
      <c r="AB363" s="506"/>
    </row>
    <row r="364" spans="2:28" s="45" customFormat="1">
      <c r="B364" s="506"/>
      <c r="C364" s="506"/>
      <c r="D364" s="506"/>
      <c r="E364" s="506"/>
      <c r="F364" s="506"/>
      <c r="G364" s="506"/>
      <c r="H364" s="506"/>
      <c r="I364" s="506"/>
      <c r="J364" s="506"/>
      <c r="K364" s="506"/>
      <c r="L364" s="506"/>
      <c r="M364" s="506"/>
      <c r="N364" s="506"/>
      <c r="O364" s="506"/>
      <c r="P364" s="506"/>
      <c r="Q364" s="506"/>
      <c r="R364" s="506"/>
      <c r="S364" s="506"/>
      <c r="T364" s="506"/>
      <c r="U364" s="506"/>
      <c r="V364" s="506"/>
      <c r="W364" s="506"/>
      <c r="X364" s="506"/>
      <c r="Y364" s="506"/>
      <c r="Z364" s="506"/>
      <c r="AA364" s="506"/>
      <c r="AB364" s="506"/>
    </row>
    <row r="365" spans="2:28" s="45" customFormat="1">
      <c r="B365" s="506"/>
      <c r="C365" s="506"/>
      <c r="D365" s="506"/>
      <c r="E365" s="506"/>
      <c r="F365" s="506"/>
      <c r="G365" s="506"/>
      <c r="H365" s="506"/>
      <c r="I365" s="506"/>
      <c r="J365" s="506"/>
      <c r="K365" s="506"/>
      <c r="L365" s="506"/>
      <c r="M365" s="506"/>
      <c r="N365" s="506"/>
      <c r="O365" s="506"/>
      <c r="P365" s="506"/>
      <c r="Q365" s="506"/>
      <c r="R365" s="506"/>
      <c r="S365" s="506"/>
      <c r="T365" s="506"/>
      <c r="U365" s="506"/>
      <c r="V365" s="506"/>
      <c r="W365" s="506"/>
      <c r="X365" s="506"/>
      <c r="Y365" s="506"/>
      <c r="Z365" s="506"/>
      <c r="AA365" s="506"/>
      <c r="AB365" s="506"/>
    </row>
    <row r="366" spans="2:28" s="45" customFormat="1">
      <c r="B366" s="506"/>
      <c r="C366" s="506"/>
      <c r="D366" s="506"/>
      <c r="E366" s="506"/>
      <c r="F366" s="506"/>
      <c r="G366" s="506"/>
      <c r="H366" s="506"/>
      <c r="I366" s="506"/>
      <c r="J366" s="506"/>
      <c r="K366" s="506"/>
      <c r="L366" s="506"/>
      <c r="M366" s="506"/>
      <c r="N366" s="506"/>
      <c r="O366" s="506"/>
      <c r="P366" s="506"/>
      <c r="Q366" s="506"/>
      <c r="R366" s="506"/>
      <c r="S366" s="506"/>
      <c r="T366" s="506"/>
      <c r="U366" s="506"/>
      <c r="V366" s="506"/>
      <c r="W366" s="506"/>
      <c r="X366" s="506"/>
      <c r="Y366" s="506"/>
      <c r="Z366" s="506"/>
      <c r="AA366" s="506"/>
      <c r="AB366" s="506"/>
    </row>
    <row r="367" spans="2:28" s="45" customFormat="1">
      <c r="B367" s="506"/>
      <c r="C367" s="506"/>
      <c r="D367" s="506"/>
      <c r="E367" s="506"/>
      <c r="F367" s="506"/>
      <c r="G367" s="506"/>
      <c r="H367" s="506"/>
      <c r="I367" s="506"/>
      <c r="J367" s="506"/>
      <c r="K367" s="506"/>
      <c r="L367" s="506"/>
      <c r="M367" s="506"/>
      <c r="N367" s="506"/>
      <c r="O367" s="506"/>
      <c r="P367" s="506"/>
      <c r="Q367" s="506"/>
      <c r="R367" s="506"/>
      <c r="S367" s="506"/>
      <c r="T367" s="506"/>
      <c r="U367" s="506"/>
      <c r="V367" s="506"/>
      <c r="W367" s="506"/>
      <c r="X367" s="506"/>
      <c r="Y367" s="506"/>
      <c r="Z367" s="506"/>
      <c r="AA367" s="506"/>
      <c r="AB367" s="506"/>
    </row>
    <row r="368" spans="2:28" s="45" customFormat="1">
      <c r="B368" s="506"/>
      <c r="C368" s="506"/>
      <c r="D368" s="506"/>
      <c r="E368" s="506"/>
      <c r="F368" s="506"/>
      <c r="G368" s="506"/>
      <c r="H368" s="506"/>
      <c r="I368" s="506"/>
      <c r="J368" s="506"/>
      <c r="K368" s="506"/>
      <c r="L368" s="506"/>
      <c r="M368" s="506"/>
      <c r="N368" s="506"/>
      <c r="O368" s="506"/>
      <c r="P368" s="506"/>
      <c r="Q368" s="506"/>
      <c r="R368" s="506"/>
      <c r="S368" s="506"/>
      <c r="T368" s="506"/>
      <c r="U368" s="506"/>
      <c r="V368" s="506"/>
      <c r="W368" s="506"/>
      <c r="X368" s="506"/>
      <c r="Y368" s="506"/>
      <c r="Z368" s="506"/>
      <c r="AA368" s="506"/>
      <c r="AB368" s="506"/>
    </row>
    <row r="369" spans="1:29" s="45" customFormat="1">
      <c r="B369" s="506"/>
      <c r="C369" s="506"/>
      <c r="D369" s="506"/>
      <c r="E369" s="506"/>
      <c r="F369" s="506"/>
      <c r="G369" s="506"/>
      <c r="H369" s="506"/>
      <c r="I369" s="506"/>
      <c r="J369" s="506"/>
      <c r="K369" s="506"/>
      <c r="L369" s="506"/>
      <c r="M369" s="506"/>
      <c r="N369" s="506"/>
      <c r="O369" s="506"/>
      <c r="P369" s="506"/>
      <c r="Q369" s="506"/>
      <c r="R369" s="506"/>
      <c r="S369" s="506"/>
      <c r="T369" s="506"/>
      <c r="U369" s="506"/>
      <c r="V369" s="506"/>
      <c r="W369" s="506"/>
      <c r="X369" s="506"/>
      <c r="Y369" s="506"/>
      <c r="Z369" s="506"/>
      <c r="AA369" s="506"/>
      <c r="AB369" s="506"/>
    </row>
    <row r="370" spans="1:29" s="45" customFormat="1">
      <c r="B370" s="506"/>
      <c r="C370" s="506"/>
      <c r="D370" s="506"/>
      <c r="E370" s="506"/>
      <c r="F370" s="506"/>
      <c r="G370" s="506"/>
      <c r="H370" s="506"/>
      <c r="I370" s="506"/>
      <c r="J370" s="506"/>
      <c r="K370" s="506"/>
      <c r="L370" s="506"/>
      <c r="M370" s="506"/>
      <c r="N370" s="506"/>
      <c r="O370" s="506"/>
      <c r="P370" s="506"/>
      <c r="Q370" s="506"/>
      <c r="R370" s="506"/>
      <c r="S370" s="506"/>
      <c r="T370" s="506"/>
      <c r="U370" s="506"/>
      <c r="V370" s="506"/>
      <c r="W370" s="506"/>
      <c r="X370" s="506"/>
      <c r="Y370" s="506"/>
      <c r="Z370" s="506"/>
      <c r="AA370" s="506"/>
      <c r="AB370" s="506"/>
    </row>
    <row r="371" spans="1:29" s="45" customFormat="1">
      <c r="B371" s="506"/>
      <c r="C371" s="506"/>
      <c r="D371" s="506"/>
      <c r="E371" s="506"/>
      <c r="F371" s="506"/>
      <c r="G371" s="506"/>
      <c r="H371" s="506"/>
      <c r="I371" s="506"/>
      <c r="J371" s="506"/>
      <c r="K371" s="506"/>
      <c r="L371" s="506"/>
      <c r="M371" s="506"/>
      <c r="N371" s="506"/>
      <c r="O371" s="506"/>
      <c r="P371" s="506"/>
      <c r="Q371" s="506"/>
      <c r="R371" s="506"/>
      <c r="S371" s="506"/>
      <c r="T371" s="506"/>
      <c r="U371" s="506"/>
      <c r="V371" s="506"/>
      <c r="W371" s="506"/>
      <c r="X371" s="506"/>
      <c r="Y371" s="506"/>
      <c r="Z371" s="506"/>
      <c r="AA371" s="506"/>
      <c r="AB371" s="506"/>
    </row>
    <row r="372" spans="1:29" s="45" customFormat="1">
      <c r="B372" s="506"/>
      <c r="C372" s="506"/>
      <c r="D372" s="506"/>
      <c r="E372" s="506"/>
      <c r="F372" s="506"/>
      <c r="G372" s="506"/>
      <c r="H372" s="506"/>
      <c r="I372" s="506"/>
      <c r="J372" s="506"/>
      <c r="K372" s="506"/>
      <c r="L372" s="506"/>
      <c r="M372" s="506"/>
      <c r="N372" s="506"/>
      <c r="O372" s="506"/>
      <c r="P372" s="506"/>
      <c r="Q372" s="506"/>
      <c r="R372" s="506"/>
      <c r="S372" s="506"/>
      <c r="T372" s="506"/>
      <c r="U372" s="506"/>
      <c r="V372" s="506"/>
      <c r="W372" s="506"/>
      <c r="X372" s="506"/>
      <c r="Y372" s="506"/>
      <c r="Z372" s="506"/>
      <c r="AA372" s="506"/>
      <c r="AB372" s="506"/>
    </row>
    <row r="373" spans="1:29" s="45" customFormat="1">
      <c r="B373" s="506"/>
      <c r="C373" s="506"/>
      <c r="D373" s="506"/>
      <c r="E373" s="506"/>
      <c r="F373" s="506"/>
      <c r="G373" s="506"/>
      <c r="H373" s="506"/>
      <c r="I373" s="506"/>
      <c r="J373" s="506"/>
      <c r="K373" s="506"/>
      <c r="L373" s="506"/>
      <c r="M373" s="506"/>
      <c r="N373" s="506"/>
      <c r="O373" s="506"/>
      <c r="P373" s="506"/>
      <c r="Q373" s="506"/>
      <c r="R373" s="506"/>
      <c r="S373" s="506"/>
      <c r="T373" s="506"/>
      <c r="U373" s="506"/>
      <c r="V373" s="506"/>
      <c r="W373" s="506"/>
      <c r="X373" s="506"/>
      <c r="Y373" s="506"/>
      <c r="Z373" s="506"/>
      <c r="AA373" s="506"/>
      <c r="AB373" s="506"/>
    </row>
    <row r="374" spans="1:29" s="45" customFormat="1">
      <c r="B374" s="506"/>
      <c r="C374" s="506"/>
      <c r="D374" s="506"/>
      <c r="E374" s="506"/>
      <c r="F374" s="506"/>
      <c r="G374" s="506"/>
      <c r="H374" s="506"/>
      <c r="I374" s="506"/>
      <c r="J374" s="506"/>
      <c r="K374" s="506"/>
      <c r="L374" s="506"/>
      <c r="M374" s="506"/>
      <c r="N374" s="506"/>
      <c r="O374" s="506"/>
      <c r="P374" s="506"/>
      <c r="Q374" s="506"/>
      <c r="R374" s="506"/>
      <c r="S374" s="506"/>
      <c r="T374" s="506"/>
      <c r="U374" s="506"/>
      <c r="V374" s="506"/>
      <c r="W374" s="506"/>
      <c r="X374" s="506"/>
      <c r="Y374" s="506"/>
      <c r="Z374" s="506"/>
      <c r="AA374" s="506"/>
      <c r="AB374" s="506"/>
    </row>
    <row r="375" spans="1:29" s="45" customFormat="1">
      <c r="B375" s="506"/>
      <c r="C375" s="506"/>
      <c r="D375" s="506"/>
      <c r="E375" s="506"/>
      <c r="F375" s="506"/>
      <c r="G375" s="506"/>
      <c r="H375" s="506"/>
      <c r="I375" s="506"/>
      <c r="J375" s="506"/>
      <c r="K375" s="506"/>
      <c r="L375" s="506"/>
      <c r="M375" s="506"/>
      <c r="N375" s="506"/>
      <c r="O375" s="506"/>
      <c r="P375" s="506"/>
      <c r="Q375" s="506"/>
      <c r="R375" s="506"/>
      <c r="S375" s="506"/>
      <c r="T375" s="506"/>
      <c r="U375" s="506"/>
      <c r="V375" s="506"/>
      <c r="W375" s="506"/>
      <c r="X375" s="506"/>
      <c r="Y375" s="506"/>
      <c r="Z375" s="506"/>
      <c r="AA375" s="506"/>
      <c r="AB375" s="506"/>
    </row>
    <row r="376" spans="1:29" s="45" customFormat="1">
      <c r="B376" s="506"/>
      <c r="C376" s="506"/>
      <c r="D376" s="506"/>
      <c r="E376" s="506"/>
      <c r="F376" s="506"/>
      <c r="G376" s="506"/>
      <c r="H376" s="506"/>
      <c r="I376" s="506"/>
      <c r="J376" s="506"/>
      <c r="K376" s="506"/>
      <c r="L376" s="506"/>
      <c r="M376" s="506"/>
      <c r="N376" s="506"/>
      <c r="O376" s="506"/>
      <c r="P376" s="506"/>
      <c r="Q376" s="506"/>
      <c r="R376" s="506"/>
      <c r="S376" s="506"/>
      <c r="T376" s="506"/>
      <c r="U376" s="506"/>
      <c r="V376" s="506"/>
      <c r="W376" s="506"/>
      <c r="X376" s="506"/>
      <c r="Y376" s="506"/>
      <c r="Z376" s="506"/>
      <c r="AA376" s="506"/>
      <c r="AB376" s="506"/>
    </row>
    <row r="377" spans="1:29" s="45" customFormat="1">
      <c r="B377" s="506"/>
      <c r="C377" s="506"/>
      <c r="D377" s="506"/>
      <c r="E377" s="506"/>
      <c r="F377" s="506"/>
      <c r="G377" s="506"/>
      <c r="H377" s="506"/>
      <c r="I377" s="506"/>
      <c r="J377" s="506"/>
      <c r="K377" s="506"/>
      <c r="L377" s="506"/>
      <c r="M377" s="506"/>
      <c r="N377" s="506"/>
      <c r="O377" s="506"/>
      <c r="P377" s="506"/>
      <c r="Q377" s="506"/>
      <c r="R377" s="506"/>
      <c r="S377" s="506"/>
      <c r="T377" s="506"/>
      <c r="U377" s="506"/>
      <c r="V377" s="506"/>
      <c r="W377" s="506"/>
      <c r="X377" s="506"/>
      <c r="Y377" s="506"/>
      <c r="Z377" s="506"/>
      <c r="AA377" s="506"/>
      <c r="AB377" s="506"/>
    </row>
    <row r="378" spans="1:29" s="45" customFormat="1">
      <c r="B378" s="506"/>
      <c r="C378" s="506"/>
      <c r="D378" s="506"/>
      <c r="E378" s="506"/>
      <c r="F378" s="506"/>
      <c r="G378" s="506"/>
      <c r="H378" s="506"/>
      <c r="I378" s="506"/>
      <c r="J378" s="506"/>
      <c r="K378" s="506"/>
      <c r="L378" s="506"/>
      <c r="M378" s="506"/>
      <c r="N378" s="506"/>
      <c r="O378" s="506"/>
      <c r="P378" s="506"/>
      <c r="Q378" s="506"/>
      <c r="R378" s="506"/>
      <c r="S378" s="506"/>
      <c r="T378" s="506"/>
      <c r="U378" s="506"/>
      <c r="V378" s="506"/>
      <c r="W378" s="506"/>
      <c r="X378" s="506"/>
      <c r="Y378" s="506"/>
      <c r="Z378" s="506"/>
      <c r="AA378" s="506"/>
      <c r="AB378" s="506"/>
    </row>
    <row r="379" spans="1:29" s="45" customFormat="1">
      <c r="B379" s="506"/>
      <c r="C379" s="506"/>
      <c r="D379" s="506"/>
      <c r="E379" s="506"/>
      <c r="F379" s="506"/>
      <c r="G379" s="506"/>
      <c r="H379" s="506"/>
      <c r="I379" s="506"/>
      <c r="J379" s="506"/>
      <c r="K379" s="506"/>
      <c r="L379" s="506"/>
      <c r="M379" s="506"/>
      <c r="N379" s="506"/>
      <c r="O379" s="506"/>
      <c r="P379" s="506"/>
      <c r="Q379" s="506"/>
      <c r="R379" s="506"/>
      <c r="S379" s="506"/>
      <c r="T379" s="506"/>
      <c r="U379" s="506"/>
      <c r="V379" s="506"/>
      <c r="W379" s="506"/>
      <c r="X379" s="506"/>
      <c r="Y379" s="506"/>
      <c r="Z379" s="506"/>
      <c r="AA379" s="506"/>
      <c r="AB379" s="506"/>
    </row>
    <row r="380" spans="1:29" s="45" customFormat="1">
      <c r="B380" s="506"/>
      <c r="C380" s="506"/>
      <c r="D380" s="506"/>
      <c r="E380" s="506"/>
      <c r="F380" s="506"/>
      <c r="G380" s="506"/>
      <c r="H380" s="506"/>
      <c r="I380" s="506"/>
      <c r="J380" s="506"/>
      <c r="K380" s="506"/>
      <c r="L380" s="506"/>
      <c r="M380" s="506"/>
      <c r="N380" s="506"/>
      <c r="O380" s="506"/>
      <c r="P380" s="506"/>
      <c r="Q380" s="506"/>
      <c r="R380" s="506"/>
      <c r="S380" s="506"/>
      <c r="T380" s="506"/>
      <c r="U380" s="506"/>
      <c r="V380" s="506"/>
      <c r="W380" s="506"/>
      <c r="X380" s="506"/>
      <c r="Y380" s="506"/>
      <c r="Z380" s="506"/>
      <c r="AA380" s="506"/>
      <c r="AB380" s="506"/>
    </row>
    <row r="381" spans="1:29" s="45" customFormat="1">
      <c r="B381" s="506"/>
      <c r="C381" s="506"/>
      <c r="D381" s="506"/>
      <c r="E381" s="506"/>
      <c r="F381" s="506"/>
      <c r="G381" s="506"/>
      <c r="H381" s="506"/>
      <c r="I381" s="506"/>
      <c r="J381" s="506"/>
      <c r="K381" s="506"/>
      <c r="L381" s="506"/>
      <c r="M381" s="506"/>
      <c r="N381" s="506"/>
      <c r="O381" s="506"/>
      <c r="P381" s="506"/>
      <c r="Q381" s="506"/>
      <c r="R381" s="506"/>
      <c r="S381" s="506"/>
      <c r="T381" s="506"/>
      <c r="U381" s="506"/>
      <c r="V381" s="506"/>
      <c r="W381" s="506"/>
      <c r="X381" s="506"/>
      <c r="Y381" s="506"/>
      <c r="Z381" s="506"/>
      <c r="AA381" s="506"/>
      <c r="AB381" s="506"/>
    </row>
    <row r="382" spans="1:29" s="45" customFormat="1">
      <c r="A382" s="1"/>
      <c r="B382" s="500"/>
      <c r="C382" s="500"/>
      <c r="D382" s="500"/>
      <c r="E382" s="500"/>
      <c r="F382" s="500"/>
      <c r="G382" s="500"/>
      <c r="H382" s="500"/>
      <c r="I382" s="500"/>
      <c r="J382" s="500"/>
      <c r="K382" s="500"/>
      <c r="L382" s="500"/>
      <c r="M382" s="500"/>
      <c r="N382" s="500"/>
      <c r="O382" s="500"/>
      <c r="P382" s="500"/>
      <c r="Q382" s="500"/>
      <c r="R382" s="500"/>
      <c r="S382" s="500"/>
      <c r="T382" s="500"/>
      <c r="U382" s="500"/>
      <c r="V382" s="500"/>
      <c r="W382" s="500"/>
      <c r="X382" s="500"/>
      <c r="Y382" s="500"/>
      <c r="Z382" s="500"/>
      <c r="AA382" s="500"/>
      <c r="AB382" s="500"/>
      <c r="AC382" s="1"/>
    </row>
  </sheetData>
  <mergeCells count="13">
    <mergeCell ref="T6:V6"/>
    <mergeCell ref="W6:Y6"/>
    <mergeCell ref="Z6:AB6"/>
    <mergeCell ref="A1:AC1"/>
    <mergeCell ref="A2:AC2"/>
    <mergeCell ref="A4:A6"/>
    <mergeCell ref="AC4:AC6"/>
    <mergeCell ref="B6:D6"/>
    <mergeCell ref="E6:G6"/>
    <mergeCell ref="H6:J6"/>
    <mergeCell ref="K6:M6"/>
    <mergeCell ref="N6:P6"/>
    <mergeCell ref="Q6:S6"/>
  </mergeCells>
  <pageMargins left="0.7" right="0.7" top="0.75" bottom="0.75" header="0.3" footer="0.3"/>
  <ignoredErrors>
    <ignoredError sqref="AA7:AB7" formulaRange="1"/>
    <ignoredError sqref="N7" formula="1"/>
  </ignoredErrors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E37" sqref="E37"/>
    </sheetView>
  </sheetViews>
  <sheetFormatPr defaultColWidth="9.140625" defaultRowHeight="15"/>
  <cols>
    <col min="1" max="1" width="36.5703125" style="281" customWidth="1"/>
    <col min="2" max="4" width="12.85546875" style="281" hidden="1" customWidth="1"/>
    <col min="5" max="10" width="13.42578125" style="281" customWidth="1"/>
    <col min="11" max="11" width="28.5703125" style="281" customWidth="1"/>
    <col min="12" max="16384" width="9.140625" style="281"/>
  </cols>
  <sheetData>
    <row r="1" spans="1:12" ht="21">
      <c r="A1" s="1146" t="s">
        <v>314</v>
      </c>
      <c r="B1" s="1146"/>
      <c r="C1" s="1146"/>
      <c r="D1" s="1146"/>
      <c r="E1" s="1146"/>
      <c r="F1" s="1146"/>
      <c r="G1" s="1146"/>
      <c r="H1" s="1146"/>
      <c r="I1" s="1146"/>
      <c r="J1" s="1146"/>
      <c r="K1" s="1146"/>
      <c r="L1" s="518"/>
    </row>
    <row r="2" spans="1:12">
      <c r="A2" s="1211" t="s">
        <v>315</v>
      </c>
      <c r="B2" s="1211"/>
      <c r="C2" s="1211"/>
      <c r="D2" s="1211"/>
      <c r="E2" s="1211"/>
      <c r="F2" s="1211"/>
      <c r="G2" s="1211"/>
      <c r="H2" s="1211"/>
      <c r="I2" s="1211"/>
      <c r="J2" s="1211"/>
      <c r="K2" s="1211"/>
    </row>
    <row r="3" spans="1:12" ht="6" customHeight="1">
      <c r="A3" s="519"/>
      <c r="B3" s="519"/>
      <c r="C3" s="519"/>
      <c r="D3" s="519"/>
      <c r="E3" s="519"/>
      <c r="F3" s="519"/>
      <c r="G3" s="519"/>
      <c r="H3" s="519"/>
      <c r="I3" s="519"/>
      <c r="J3" s="519"/>
    </row>
    <row r="4" spans="1:12" ht="21">
      <c r="A4" s="1148" t="s">
        <v>316</v>
      </c>
      <c r="B4" s="1212" t="s">
        <v>317</v>
      </c>
      <c r="C4" s="1212"/>
      <c r="D4" s="1212"/>
      <c r="E4" s="1212"/>
      <c r="F4" s="1212"/>
      <c r="G4" s="1212"/>
      <c r="H4" s="1212"/>
      <c r="I4" s="520"/>
      <c r="J4" s="520"/>
      <c r="K4" s="1213" t="s">
        <v>318</v>
      </c>
    </row>
    <row r="5" spans="1:12" ht="18.75" customHeight="1">
      <c r="A5" s="1149"/>
      <c r="B5" s="250">
        <v>2010</v>
      </c>
      <c r="C5" s="250">
        <v>2011</v>
      </c>
      <c r="D5" s="250">
        <v>2012</v>
      </c>
      <c r="E5" s="250">
        <v>2013</v>
      </c>
      <c r="F5" s="250">
        <v>2014</v>
      </c>
      <c r="G5" s="250">
        <v>2015</v>
      </c>
      <c r="H5" s="250">
        <v>2016</v>
      </c>
      <c r="I5" s="250">
        <v>2017</v>
      </c>
      <c r="J5" s="250">
        <v>2018</v>
      </c>
      <c r="K5" s="1214"/>
    </row>
    <row r="6" spans="1:12" s="524" customFormat="1" ht="18.75">
      <c r="A6" s="521" t="s">
        <v>319</v>
      </c>
      <c r="B6" s="522">
        <f t="shared" ref="B6:F6" si="0">SUM(B7:B8)</f>
        <v>2933</v>
      </c>
      <c r="C6" s="522">
        <f t="shared" si="0"/>
        <v>2975</v>
      </c>
      <c r="D6" s="522">
        <f t="shared" si="0"/>
        <v>3217</v>
      </c>
      <c r="E6" s="522">
        <f t="shared" si="0"/>
        <v>3003</v>
      </c>
      <c r="F6" s="522">
        <f t="shared" si="0"/>
        <v>3214</v>
      </c>
      <c r="G6" s="522">
        <f>SUM(G7:G8)</f>
        <v>3820</v>
      </c>
      <c r="H6" s="522">
        <f>SUM(H7:H8)</f>
        <v>3799</v>
      </c>
      <c r="I6" s="522">
        <f>SUM(I7:I8)</f>
        <v>4104</v>
      </c>
      <c r="J6" s="522">
        <f>SUM(J7:J8)</f>
        <v>3522</v>
      </c>
      <c r="K6" s="523" t="s">
        <v>320</v>
      </c>
    </row>
    <row r="7" spans="1:12" ht="18.75">
      <c r="A7" s="525" t="s">
        <v>274</v>
      </c>
      <c r="B7" s="526">
        <v>2640</v>
      </c>
      <c r="C7" s="526">
        <v>2690</v>
      </c>
      <c r="D7" s="526">
        <v>2923</v>
      </c>
      <c r="E7" s="526">
        <v>2732</v>
      </c>
      <c r="F7" s="526">
        <v>2938</v>
      </c>
      <c r="G7" s="526">
        <v>3360</v>
      </c>
      <c r="H7" s="526">
        <v>3340</v>
      </c>
      <c r="I7" s="526">
        <v>3592</v>
      </c>
      <c r="J7" s="526">
        <v>3193</v>
      </c>
      <c r="K7" s="527" t="s">
        <v>321</v>
      </c>
    </row>
    <row r="8" spans="1:12" ht="18.75">
      <c r="A8" s="525" t="s">
        <v>275</v>
      </c>
      <c r="B8" s="526">
        <v>293</v>
      </c>
      <c r="C8" s="526">
        <v>285</v>
      </c>
      <c r="D8" s="526">
        <v>294</v>
      </c>
      <c r="E8" s="526">
        <v>271</v>
      </c>
      <c r="F8" s="526">
        <v>276</v>
      </c>
      <c r="G8" s="526">
        <v>460</v>
      </c>
      <c r="H8" s="526">
        <v>459</v>
      </c>
      <c r="I8" s="526">
        <v>512</v>
      </c>
      <c r="J8" s="526">
        <v>329</v>
      </c>
      <c r="K8" s="527" t="s">
        <v>322</v>
      </c>
    </row>
    <row r="9" spans="1:12" ht="18.75">
      <c r="A9" s="528" t="s">
        <v>323</v>
      </c>
      <c r="B9" s="529">
        <v>714.50589947000003</v>
      </c>
      <c r="C9" s="529">
        <v>743.81639273999997</v>
      </c>
      <c r="D9" s="529">
        <v>837.16104358000007</v>
      </c>
      <c r="E9" s="530">
        <v>902.77045583000006</v>
      </c>
      <c r="F9" s="530">
        <v>1049.5818967499999</v>
      </c>
      <c r="G9" s="530">
        <v>1062.9100000000001</v>
      </c>
      <c r="H9" s="530">
        <v>1384.31</v>
      </c>
      <c r="I9" s="530">
        <v>1262.8</v>
      </c>
      <c r="J9" s="530">
        <v>1397</v>
      </c>
      <c r="K9" s="531" t="s">
        <v>324</v>
      </c>
    </row>
    <row r="10" spans="1:12" s="534" customFormat="1" ht="17.25">
      <c r="A10" s="532" t="s">
        <v>60</v>
      </c>
      <c r="B10" s="532"/>
      <c r="C10" s="533"/>
      <c r="K10" s="535" t="s">
        <v>178</v>
      </c>
    </row>
    <row r="13" spans="1:12">
      <c r="B13" s="536"/>
      <c r="C13" s="536"/>
      <c r="D13" s="536"/>
      <c r="E13" s="536"/>
      <c r="F13" s="536"/>
      <c r="G13" s="536"/>
      <c r="H13" s="536"/>
      <c r="I13" s="536"/>
      <c r="J13" s="536"/>
    </row>
    <row r="14" spans="1:12" ht="15.75">
      <c r="B14" s="537"/>
      <c r="C14" s="537"/>
      <c r="D14" s="537"/>
      <c r="E14" s="537"/>
      <c r="F14" s="537"/>
      <c r="G14" s="537"/>
      <c r="H14" s="537"/>
      <c r="I14" s="538"/>
      <c r="J14" s="538"/>
    </row>
    <row r="15" spans="1:12">
      <c r="A15" s="284"/>
      <c r="B15" s="284"/>
      <c r="C15" s="284"/>
      <c r="D15" s="284"/>
      <c r="E15" s="284"/>
      <c r="F15" s="284"/>
      <c r="G15" s="284"/>
      <c r="H15" s="284"/>
      <c r="I15" s="284"/>
      <c r="J15" s="284"/>
      <c r="K15" s="284"/>
    </row>
    <row r="16" spans="1:12">
      <c r="A16" s="284"/>
      <c r="B16" s="526"/>
      <c r="C16" s="526"/>
      <c r="D16" s="526"/>
      <c r="E16" s="526"/>
      <c r="F16" s="526"/>
      <c r="G16" s="526"/>
      <c r="H16" s="526"/>
      <c r="I16" s="526"/>
      <c r="J16" s="526"/>
      <c r="K16" s="284"/>
    </row>
    <row r="17" spans="1:11">
      <c r="A17" s="284"/>
      <c r="B17" s="284"/>
      <c r="C17" s="284"/>
      <c r="D17" s="284"/>
      <c r="E17" s="284"/>
      <c r="F17" s="284"/>
      <c r="G17" s="284"/>
      <c r="H17" s="284"/>
      <c r="I17" s="284"/>
      <c r="J17" s="284"/>
      <c r="K17" s="284"/>
    </row>
  </sheetData>
  <mergeCells count="5">
    <mergeCell ref="A1:K1"/>
    <mergeCell ref="A2:K2"/>
    <mergeCell ref="A4:A5"/>
    <mergeCell ref="B4:H4"/>
    <mergeCell ref="K4:K5"/>
  </mergeCells>
  <pageMargins left="0.7" right="0.7" top="0.75" bottom="0.75" header="0.3" footer="0.3"/>
  <ignoredErrors>
    <ignoredError sqref="E6 F6:J6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546"/>
  <sheetViews>
    <sheetView workbookViewId="0">
      <selection activeCell="Y8" sqref="Y8"/>
    </sheetView>
  </sheetViews>
  <sheetFormatPr defaultColWidth="9.140625" defaultRowHeight="12.75"/>
  <cols>
    <col min="1" max="1" width="42.7109375" style="335" customWidth="1"/>
    <col min="2" max="2" width="15.85546875" style="335" hidden="1" customWidth="1"/>
    <col min="3" max="3" width="2" style="335" hidden="1" customWidth="1"/>
    <col min="4" max="6" width="12.28515625" style="335" hidden="1" customWidth="1"/>
    <col min="7" max="7" width="15.85546875" style="335" hidden="1" customWidth="1"/>
    <col min="8" max="8" width="2" style="335" hidden="1" customWidth="1"/>
    <col min="9" max="11" width="12.28515625" style="335" hidden="1" customWidth="1"/>
    <col min="12" max="12" width="15.85546875" style="335" hidden="1" customWidth="1"/>
    <col min="13" max="13" width="2" style="335" hidden="1" customWidth="1"/>
    <col min="14" max="16" width="12.28515625" style="335" hidden="1" customWidth="1"/>
    <col min="17" max="17" width="2.140625" style="335" hidden="1" customWidth="1"/>
    <col min="18" max="18" width="11.42578125" style="335" customWidth="1"/>
    <col min="19" max="19" width="2" style="335" customWidth="1"/>
    <col min="20" max="22" width="12.28515625" style="335" customWidth="1"/>
    <col min="23" max="23" width="11.42578125" style="335" customWidth="1"/>
    <col min="24" max="24" width="2" style="335" customWidth="1"/>
    <col min="25" max="27" width="12.28515625" style="335" customWidth="1"/>
    <col min="28" max="28" width="38.28515625" style="469" customWidth="1"/>
    <col min="29" max="29" width="2" style="334" customWidth="1"/>
    <col min="30" max="56" width="9.140625" style="334"/>
    <col min="57" max="16384" width="9.140625" style="335"/>
  </cols>
  <sheetData>
    <row r="1" spans="1:56" s="329" customFormat="1" ht="24.75" customHeight="1">
      <c r="A1" s="1171" t="s">
        <v>325</v>
      </c>
      <c r="B1" s="1171"/>
      <c r="C1" s="1171"/>
      <c r="D1" s="1171"/>
      <c r="E1" s="1171"/>
      <c r="F1" s="1171"/>
      <c r="G1" s="1171"/>
      <c r="H1" s="1171"/>
      <c r="I1" s="1171"/>
      <c r="J1" s="1171"/>
      <c r="K1" s="1171"/>
      <c r="L1" s="1171"/>
      <c r="M1" s="1171"/>
      <c r="N1" s="1171"/>
      <c r="O1" s="1171"/>
      <c r="P1" s="1171"/>
      <c r="Q1" s="1171"/>
      <c r="R1" s="1171"/>
      <c r="S1" s="1171"/>
      <c r="T1" s="1171"/>
      <c r="U1" s="1171"/>
      <c r="V1" s="1171"/>
      <c r="W1" s="1171"/>
      <c r="X1" s="1171"/>
      <c r="Y1" s="1171"/>
      <c r="Z1" s="1171"/>
      <c r="AA1" s="1171"/>
      <c r="AB1" s="1172"/>
      <c r="AC1" s="328"/>
      <c r="AD1" s="328"/>
      <c r="AE1" s="328"/>
      <c r="AF1" s="328"/>
      <c r="AG1" s="328"/>
      <c r="AH1" s="328"/>
      <c r="AI1" s="328"/>
      <c r="AJ1" s="328"/>
      <c r="AK1" s="328"/>
      <c r="AL1" s="328"/>
      <c r="AM1" s="328"/>
      <c r="AN1" s="328"/>
      <c r="AO1" s="328"/>
      <c r="AP1" s="328"/>
      <c r="AQ1" s="328"/>
      <c r="AR1" s="328"/>
      <c r="AS1" s="328"/>
      <c r="AT1" s="328"/>
      <c r="AU1" s="328"/>
      <c r="AV1" s="328"/>
      <c r="AW1" s="328"/>
      <c r="AX1" s="328"/>
      <c r="AY1" s="328"/>
      <c r="AZ1" s="328"/>
      <c r="BA1" s="328"/>
      <c r="BB1" s="328"/>
      <c r="BC1" s="328"/>
      <c r="BD1" s="328"/>
    </row>
    <row r="2" spans="1:56" s="331" customFormat="1" ht="14.25" customHeight="1">
      <c r="A2" s="1173" t="s">
        <v>326</v>
      </c>
      <c r="B2" s="1174"/>
      <c r="C2" s="1174"/>
      <c r="D2" s="1174"/>
      <c r="E2" s="1174"/>
      <c r="F2" s="1174"/>
      <c r="G2" s="1174"/>
      <c r="H2" s="1174"/>
      <c r="I2" s="1174"/>
      <c r="J2" s="1174"/>
      <c r="K2" s="1174"/>
      <c r="L2" s="1174"/>
      <c r="M2" s="1174"/>
      <c r="N2" s="1174"/>
      <c r="O2" s="1174"/>
      <c r="P2" s="1174"/>
      <c r="Q2" s="1174"/>
      <c r="R2" s="1174"/>
      <c r="S2" s="1174"/>
      <c r="T2" s="1174"/>
      <c r="U2" s="1174"/>
      <c r="V2" s="1174"/>
      <c r="W2" s="1174"/>
      <c r="X2" s="1174"/>
      <c r="Y2" s="1174"/>
      <c r="Z2" s="1174"/>
      <c r="AA2" s="1174"/>
      <c r="AB2" s="1174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30"/>
      <c r="AO2" s="330"/>
      <c r="AP2" s="330"/>
      <c r="AQ2" s="330"/>
      <c r="AR2" s="330"/>
      <c r="AS2" s="330"/>
      <c r="AT2" s="330"/>
      <c r="AU2" s="330"/>
      <c r="AV2" s="330"/>
      <c r="AW2" s="330"/>
      <c r="AX2" s="330"/>
      <c r="AY2" s="330"/>
      <c r="AZ2" s="330"/>
      <c r="BA2" s="330"/>
      <c r="BB2" s="330"/>
      <c r="BC2" s="330"/>
      <c r="BD2" s="330"/>
    </row>
    <row r="3" spans="1:56">
      <c r="A3" s="332"/>
      <c r="B3" s="332"/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2"/>
      <c r="AA3" s="332"/>
      <c r="AB3" s="333"/>
    </row>
    <row r="4" spans="1:56" s="338" customFormat="1" ht="19.5" customHeight="1">
      <c r="A4" s="1218" t="s">
        <v>269</v>
      </c>
      <c r="B4" s="1221">
        <v>2014</v>
      </c>
      <c r="C4" s="1175"/>
      <c r="D4" s="1175"/>
      <c r="E4" s="1175"/>
      <c r="F4" s="1175"/>
      <c r="G4" s="1221">
        <v>2015</v>
      </c>
      <c r="H4" s="1175"/>
      <c r="I4" s="1175"/>
      <c r="J4" s="1175"/>
      <c r="K4" s="1175"/>
      <c r="L4" s="1221">
        <v>2016</v>
      </c>
      <c r="M4" s="1175"/>
      <c r="N4" s="1175"/>
      <c r="O4" s="1175"/>
      <c r="P4" s="1175"/>
      <c r="Q4" s="472"/>
      <c r="R4" s="1175">
        <v>2017</v>
      </c>
      <c r="S4" s="1175"/>
      <c r="T4" s="1175"/>
      <c r="U4" s="1175"/>
      <c r="V4" s="1176"/>
      <c r="W4" s="1175">
        <v>2018</v>
      </c>
      <c r="X4" s="1175"/>
      <c r="Y4" s="1175"/>
      <c r="Z4" s="1175"/>
      <c r="AA4" s="1177"/>
      <c r="AB4" s="1178" t="s">
        <v>270</v>
      </c>
      <c r="AC4" s="1162"/>
      <c r="AD4" s="337"/>
      <c r="AE4" s="337"/>
      <c r="AF4" s="337"/>
      <c r="AG4" s="337"/>
      <c r="AH4" s="337"/>
      <c r="AI4" s="337"/>
      <c r="AJ4" s="337"/>
      <c r="AK4" s="337"/>
      <c r="AL4" s="337"/>
      <c r="AM4" s="337"/>
      <c r="AN4" s="337"/>
      <c r="AO4" s="337"/>
      <c r="AP4" s="337"/>
      <c r="AQ4" s="337"/>
      <c r="AR4" s="337"/>
      <c r="AS4" s="337"/>
      <c r="AT4" s="337"/>
      <c r="AU4" s="337"/>
      <c r="AV4" s="337"/>
      <c r="AW4" s="337"/>
      <c r="AX4" s="337"/>
      <c r="AY4" s="337"/>
      <c r="AZ4" s="337"/>
      <c r="BA4" s="337"/>
      <c r="BB4" s="337"/>
      <c r="BC4" s="337"/>
      <c r="BD4" s="337"/>
    </row>
    <row r="5" spans="1:56" s="338" customFormat="1" ht="19.5" customHeight="1">
      <c r="A5" s="1219"/>
      <c r="B5" s="1216" t="s">
        <v>271</v>
      </c>
      <c r="C5" s="470"/>
      <c r="D5" s="1165" t="s">
        <v>272</v>
      </c>
      <c r="E5" s="1165"/>
      <c r="F5" s="1165"/>
      <c r="G5" s="1216" t="s">
        <v>271</v>
      </c>
      <c r="H5" s="470"/>
      <c r="I5" s="1165" t="s">
        <v>272</v>
      </c>
      <c r="J5" s="1165"/>
      <c r="K5" s="1165"/>
      <c r="L5" s="1216" t="s">
        <v>271</v>
      </c>
      <c r="M5" s="470"/>
      <c r="N5" s="1165" t="s">
        <v>327</v>
      </c>
      <c r="O5" s="1165"/>
      <c r="P5" s="1165"/>
      <c r="Q5" s="539"/>
      <c r="R5" s="1163" t="s">
        <v>271</v>
      </c>
      <c r="S5" s="470"/>
      <c r="T5" s="1165" t="s">
        <v>327</v>
      </c>
      <c r="U5" s="1165"/>
      <c r="V5" s="1166"/>
      <c r="W5" s="1163" t="s">
        <v>271</v>
      </c>
      <c r="X5" s="470"/>
      <c r="Y5" s="1165" t="s">
        <v>327</v>
      </c>
      <c r="Z5" s="1165"/>
      <c r="AA5" s="1167"/>
      <c r="AB5" s="1179"/>
      <c r="AC5" s="1162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7"/>
      <c r="AW5" s="337"/>
      <c r="AX5" s="337"/>
      <c r="AY5" s="337"/>
      <c r="AZ5" s="337"/>
      <c r="BA5" s="337"/>
      <c r="BB5" s="337"/>
      <c r="BC5" s="337"/>
      <c r="BD5" s="337"/>
    </row>
    <row r="6" spans="1:56" s="343" customFormat="1" ht="13.5" customHeight="1">
      <c r="A6" s="1219"/>
      <c r="B6" s="1217"/>
      <c r="C6" s="471"/>
      <c r="D6" s="471" t="s">
        <v>273</v>
      </c>
      <c r="E6" s="471" t="s">
        <v>274</v>
      </c>
      <c r="F6" s="471" t="s">
        <v>275</v>
      </c>
      <c r="G6" s="1217"/>
      <c r="H6" s="471"/>
      <c r="I6" s="471" t="s">
        <v>273</v>
      </c>
      <c r="J6" s="471" t="s">
        <v>274</v>
      </c>
      <c r="K6" s="471" t="s">
        <v>275</v>
      </c>
      <c r="L6" s="1217"/>
      <c r="M6" s="471"/>
      <c r="N6" s="471" t="s">
        <v>273</v>
      </c>
      <c r="O6" s="471" t="s">
        <v>274</v>
      </c>
      <c r="P6" s="471" t="s">
        <v>275</v>
      </c>
      <c r="Q6" s="471"/>
      <c r="R6" s="1164"/>
      <c r="S6" s="471"/>
      <c r="T6" s="471" t="s">
        <v>273</v>
      </c>
      <c r="U6" s="471" t="s">
        <v>274</v>
      </c>
      <c r="V6" s="340" t="s">
        <v>275</v>
      </c>
      <c r="W6" s="1164"/>
      <c r="X6" s="471"/>
      <c r="Y6" s="471" t="s">
        <v>273</v>
      </c>
      <c r="Z6" s="471" t="s">
        <v>274</v>
      </c>
      <c r="AA6" s="471" t="s">
        <v>275</v>
      </c>
      <c r="AB6" s="1180"/>
      <c r="AC6" s="1162"/>
      <c r="AD6" s="342"/>
      <c r="AE6" s="342"/>
      <c r="AF6" s="342"/>
      <c r="AG6" s="342"/>
      <c r="AH6" s="342"/>
      <c r="AI6" s="342"/>
      <c r="AJ6" s="342"/>
      <c r="AK6" s="342"/>
      <c r="AL6" s="342"/>
      <c r="AM6" s="342"/>
      <c r="AN6" s="342"/>
      <c r="AO6" s="342"/>
      <c r="AP6" s="342"/>
      <c r="AQ6" s="342"/>
      <c r="AR6" s="342"/>
      <c r="AS6" s="342"/>
      <c r="AT6" s="342"/>
      <c r="AU6" s="342"/>
      <c r="AV6" s="342"/>
      <c r="AW6" s="342"/>
      <c r="AX6" s="342"/>
      <c r="AY6" s="342"/>
      <c r="AZ6" s="342"/>
      <c r="BA6" s="342"/>
      <c r="BB6" s="342"/>
      <c r="BC6" s="342"/>
      <c r="BD6" s="342"/>
    </row>
    <row r="7" spans="1:56" s="343" customFormat="1" ht="31.5" customHeight="1">
      <c r="A7" s="1220"/>
      <c r="B7" s="344" t="s">
        <v>276</v>
      </c>
      <c r="C7" s="345"/>
      <c r="D7" s="346" t="s">
        <v>277</v>
      </c>
      <c r="E7" s="346" t="s">
        <v>278</v>
      </c>
      <c r="F7" s="346" t="s">
        <v>279</v>
      </c>
      <c r="G7" s="344" t="s">
        <v>276</v>
      </c>
      <c r="H7" s="345"/>
      <c r="I7" s="346" t="s">
        <v>277</v>
      </c>
      <c r="J7" s="346" t="s">
        <v>278</v>
      </c>
      <c r="K7" s="346" t="s">
        <v>279</v>
      </c>
      <c r="L7" s="344" t="s">
        <v>276</v>
      </c>
      <c r="M7" s="345"/>
      <c r="N7" s="346" t="s">
        <v>277</v>
      </c>
      <c r="O7" s="346" t="s">
        <v>278</v>
      </c>
      <c r="P7" s="346" t="s">
        <v>279</v>
      </c>
      <c r="Q7" s="346"/>
      <c r="R7" s="345" t="s">
        <v>276</v>
      </c>
      <c r="S7" s="345"/>
      <c r="T7" s="346" t="s">
        <v>277</v>
      </c>
      <c r="U7" s="346" t="s">
        <v>278</v>
      </c>
      <c r="V7" s="395" t="s">
        <v>279</v>
      </c>
      <c r="W7" s="345" t="s">
        <v>276</v>
      </c>
      <c r="X7" s="345"/>
      <c r="Y7" s="346" t="s">
        <v>277</v>
      </c>
      <c r="Z7" s="346" t="s">
        <v>278</v>
      </c>
      <c r="AA7" s="346" t="s">
        <v>279</v>
      </c>
      <c r="AB7" s="1181"/>
      <c r="AC7" s="1162"/>
      <c r="AD7" s="342"/>
      <c r="AE7" s="342"/>
      <c r="AF7" s="342"/>
      <c r="AG7" s="342"/>
      <c r="AH7" s="342"/>
      <c r="AI7" s="342"/>
      <c r="AJ7" s="342"/>
      <c r="AK7" s="342"/>
      <c r="AL7" s="342"/>
      <c r="AM7" s="342"/>
      <c r="AN7" s="342"/>
      <c r="AO7" s="342"/>
      <c r="AP7" s="342"/>
      <c r="AQ7" s="342"/>
      <c r="AR7" s="342"/>
      <c r="AS7" s="342"/>
      <c r="AT7" s="342"/>
      <c r="AU7" s="342"/>
      <c r="AV7" s="342"/>
      <c r="AW7" s="342"/>
      <c r="AX7" s="342"/>
      <c r="AY7" s="342"/>
      <c r="AZ7" s="342"/>
      <c r="BA7" s="342"/>
      <c r="BB7" s="342"/>
      <c r="BC7" s="342"/>
      <c r="BD7" s="342"/>
    </row>
    <row r="8" spans="1:56" s="354" customFormat="1" ht="21.75" customHeight="1">
      <c r="A8" s="540" t="s">
        <v>8</v>
      </c>
      <c r="B8" s="347">
        <f>SUM(B9:B20)</f>
        <v>18193</v>
      </c>
      <c r="C8" s="348"/>
      <c r="D8" s="349">
        <f>E8+F8</f>
        <v>6983</v>
      </c>
      <c r="E8" s="349">
        <f>SUM(E9:E20)</f>
        <v>6709</v>
      </c>
      <c r="F8" s="349">
        <f>SUM(F9:F20)</f>
        <v>274</v>
      </c>
      <c r="G8" s="347">
        <v>16362</v>
      </c>
      <c r="H8" s="348"/>
      <c r="I8" s="349">
        <v>5831</v>
      </c>
      <c r="J8" s="349">
        <v>5552</v>
      </c>
      <c r="K8" s="349">
        <v>279</v>
      </c>
      <c r="L8" s="541">
        <f>SUM(L9:L20)</f>
        <v>16287</v>
      </c>
      <c r="M8" s="542"/>
      <c r="N8" s="543">
        <f>O8+P8</f>
        <v>2052</v>
      </c>
      <c r="O8" s="543">
        <f>SUM(O9:O20)</f>
        <v>1178</v>
      </c>
      <c r="P8" s="543">
        <f>SUM(P9:P20)</f>
        <v>874</v>
      </c>
      <c r="Q8" s="543"/>
      <c r="R8" s="542">
        <f>SUM(R9:R20)</f>
        <v>15535</v>
      </c>
      <c r="S8" s="542"/>
      <c r="T8" s="543">
        <f>U8+V8</f>
        <v>2131</v>
      </c>
      <c r="U8" s="543">
        <f>SUM(U9:U20)</f>
        <v>1191</v>
      </c>
      <c r="V8" s="543">
        <f>SUM(V9:V20)</f>
        <v>940</v>
      </c>
      <c r="W8" s="541">
        <f>SUM(W9:W20)</f>
        <v>14811</v>
      </c>
      <c r="X8" s="542"/>
      <c r="Y8" s="543">
        <f>Z8+AA8</f>
        <v>1793</v>
      </c>
      <c r="Z8" s="543">
        <f>SUM(Z9:Z20)</f>
        <v>1027</v>
      </c>
      <c r="AA8" s="543">
        <f>SUM(AA9:AA20)</f>
        <v>766</v>
      </c>
      <c r="AB8" s="350" t="s">
        <v>141</v>
      </c>
      <c r="AC8" s="351"/>
      <c r="AD8" s="353"/>
      <c r="AE8" s="245"/>
      <c r="AF8" s="245"/>
      <c r="AG8" s="245"/>
      <c r="AH8" s="245"/>
      <c r="AI8" s="245"/>
      <c r="AJ8" s="245"/>
      <c r="AK8" s="245"/>
      <c r="AL8" s="245"/>
      <c r="AM8" s="245"/>
      <c r="AN8" s="245"/>
      <c r="AO8" s="245"/>
      <c r="AP8" s="245"/>
      <c r="AQ8" s="245"/>
      <c r="AR8" s="245"/>
      <c r="AS8" s="245"/>
      <c r="AT8" s="245"/>
      <c r="AU8" s="245"/>
      <c r="AV8" s="245"/>
      <c r="AW8" s="245"/>
      <c r="AX8" s="245"/>
      <c r="AY8" s="245"/>
      <c r="AZ8" s="245"/>
      <c r="BA8" s="245"/>
      <c r="BB8" s="245"/>
      <c r="BC8" s="245"/>
      <c r="BD8" s="245"/>
    </row>
    <row r="9" spans="1:56" s="362" customFormat="1" ht="19.5" customHeight="1">
      <c r="A9" s="355" t="s">
        <v>14</v>
      </c>
      <c r="B9" s="544">
        <v>1062</v>
      </c>
      <c r="C9" s="356"/>
      <c r="D9" s="357">
        <f>SUM(E9:F9)</f>
        <v>556</v>
      </c>
      <c r="E9" s="358">
        <v>547</v>
      </c>
      <c r="F9" s="358">
        <v>9</v>
      </c>
      <c r="G9" s="544">
        <v>932</v>
      </c>
      <c r="H9" s="356"/>
      <c r="I9" s="357">
        <v>576</v>
      </c>
      <c r="J9" s="358">
        <v>563</v>
      </c>
      <c r="K9" s="358">
        <v>13</v>
      </c>
      <c r="L9" s="545">
        <v>781</v>
      </c>
      <c r="M9" s="546"/>
      <c r="N9" s="547">
        <f>O9+P9</f>
        <v>293</v>
      </c>
      <c r="O9" s="548">
        <v>222</v>
      </c>
      <c r="P9" s="548">
        <v>71</v>
      </c>
      <c r="Q9" s="548"/>
      <c r="R9" s="546">
        <v>770</v>
      </c>
      <c r="S9" s="546"/>
      <c r="T9" s="547">
        <f>SUM(U9:V9)</f>
        <v>599</v>
      </c>
      <c r="U9" s="548">
        <v>477</v>
      </c>
      <c r="V9" s="548">
        <v>122</v>
      </c>
      <c r="W9" s="545">
        <v>753</v>
      </c>
      <c r="X9" s="546"/>
      <c r="Y9" s="547">
        <f>SUM(Z9:AA9)</f>
        <v>516</v>
      </c>
      <c r="Z9" s="548">
        <v>428</v>
      </c>
      <c r="AA9" s="548">
        <v>88</v>
      </c>
      <c r="AB9" s="360" t="s">
        <v>20</v>
      </c>
      <c r="AC9" s="361"/>
      <c r="AD9" s="353"/>
      <c r="AE9" s="353"/>
      <c r="AF9" s="353"/>
      <c r="AG9" s="353"/>
      <c r="AH9" s="353"/>
      <c r="AI9" s="353"/>
      <c r="AJ9" s="353"/>
      <c r="AK9" s="353"/>
      <c r="AL9" s="353"/>
      <c r="AM9" s="353"/>
      <c r="AN9" s="353"/>
      <c r="AO9" s="353"/>
      <c r="AP9" s="353"/>
      <c r="AQ9" s="353"/>
      <c r="AR9" s="353"/>
      <c r="AS9" s="353"/>
      <c r="AT9" s="353"/>
      <c r="AU9" s="353"/>
      <c r="AV9" s="353"/>
      <c r="AW9" s="353"/>
      <c r="AX9" s="353"/>
      <c r="AY9" s="353"/>
      <c r="AZ9" s="353"/>
      <c r="BA9" s="353"/>
      <c r="BB9" s="353"/>
      <c r="BC9" s="353"/>
      <c r="BD9" s="353"/>
    </row>
    <row r="10" spans="1:56" s="362" customFormat="1" ht="19.5" customHeight="1">
      <c r="A10" s="355" t="s">
        <v>7</v>
      </c>
      <c r="B10" s="544">
        <v>5080</v>
      </c>
      <c r="C10" s="356"/>
      <c r="D10" s="357">
        <f t="shared" ref="D10:D20" si="0">SUM(E10:F10)</f>
        <v>1593</v>
      </c>
      <c r="E10" s="358">
        <v>1554</v>
      </c>
      <c r="F10" s="358">
        <v>39</v>
      </c>
      <c r="G10" s="544">
        <v>3994</v>
      </c>
      <c r="H10" s="356"/>
      <c r="I10" s="357">
        <v>1194</v>
      </c>
      <c r="J10" s="358">
        <v>1164</v>
      </c>
      <c r="K10" s="358">
        <v>30</v>
      </c>
      <c r="L10" s="545">
        <v>3616</v>
      </c>
      <c r="M10" s="546"/>
      <c r="N10" s="547">
        <f t="shared" ref="N10:N33" si="1">O10+P10</f>
        <v>28</v>
      </c>
      <c r="O10" s="548">
        <v>19</v>
      </c>
      <c r="P10" s="548">
        <v>9</v>
      </c>
      <c r="Q10" s="548"/>
      <c r="R10" s="546">
        <v>3503</v>
      </c>
      <c r="S10" s="546"/>
      <c r="T10" s="547">
        <f t="shared" ref="T10:T19" si="2">SUM(U10:V10)</f>
        <v>18</v>
      </c>
      <c r="U10" s="548">
        <v>11</v>
      </c>
      <c r="V10" s="548">
        <v>7</v>
      </c>
      <c r="W10" s="545">
        <v>3270</v>
      </c>
      <c r="X10" s="546"/>
      <c r="Y10" s="547">
        <f t="shared" ref="Y10:Y19" si="3">SUM(Z10:AA10)</f>
        <v>2</v>
      </c>
      <c r="Z10" s="548">
        <v>2</v>
      </c>
      <c r="AA10" s="548">
        <v>0</v>
      </c>
      <c r="AB10" s="360" t="s">
        <v>11</v>
      </c>
      <c r="AC10" s="361"/>
      <c r="AD10" s="353"/>
      <c r="AE10" s="353"/>
      <c r="AF10" s="353"/>
      <c r="AG10" s="353"/>
      <c r="AH10" s="353"/>
      <c r="AI10" s="353"/>
      <c r="AJ10" s="353"/>
      <c r="AK10" s="353"/>
      <c r="AL10" s="353"/>
      <c r="AM10" s="353"/>
      <c r="AN10" s="353"/>
      <c r="AO10" s="353"/>
      <c r="AP10" s="353"/>
      <c r="AQ10" s="353"/>
      <c r="AR10" s="353"/>
      <c r="AS10" s="353"/>
      <c r="AT10" s="353"/>
      <c r="AU10" s="353"/>
      <c r="AV10" s="353"/>
      <c r="AW10" s="353"/>
      <c r="AX10" s="353"/>
      <c r="AY10" s="353"/>
      <c r="AZ10" s="353"/>
      <c r="BA10" s="353"/>
      <c r="BB10" s="353"/>
      <c r="BC10" s="353"/>
      <c r="BD10" s="353"/>
    </row>
    <row r="11" spans="1:56" s="362" customFormat="1" ht="19.5" customHeight="1">
      <c r="A11" s="355" t="s">
        <v>19</v>
      </c>
      <c r="B11" s="544">
        <v>620</v>
      </c>
      <c r="C11" s="356"/>
      <c r="D11" s="357">
        <f t="shared" si="0"/>
        <v>243</v>
      </c>
      <c r="E11" s="358">
        <v>232</v>
      </c>
      <c r="F11" s="358">
        <v>11</v>
      </c>
      <c r="G11" s="544">
        <v>545</v>
      </c>
      <c r="H11" s="356"/>
      <c r="I11" s="357">
        <v>143</v>
      </c>
      <c r="J11" s="358">
        <v>132</v>
      </c>
      <c r="K11" s="358">
        <v>11</v>
      </c>
      <c r="L11" s="545">
        <v>716</v>
      </c>
      <c r="M11" s="546"/>
      <c r="N11" s="547">
        <f t="shared" si="1"/>
        <v>22</v>
      </c>
      <c r="O11" s="548">
        <v>18</v>
      </c>
      <c r="P11" s="548">
        <v>4</v>
      </c>
      <c r="Q11" s="548"/>
      <c r="R11" s="546">
        <v>662</v>
      </c>
      <c r="S11" s="546"/>
      <c r="T11" s="547">
        <f t="shared" si="2"/>
        <v>27</v>
      </c>
      <c r="U11" s="548">
        <v>22</v>
      </c>
      <c r="V11" s="548">
        <v>5</v>
      </c>
      <c r="W11" s="545">
        <v>537</v>
      </c>
      <c r="X11" s="546"/>
      <c r="Y11" s="547">
        <f t="shared" si="3"/>
        <v>24</v>
      </c>
      <c r="Z11" s="548">
        <v>21</v>
      </c>
      <c r="AA11" s="548">
        <v>3</v>
      </c>
      <c r="AB11" s="360" t="s">
        <v>25</v>
      </c>
      <c r="AC11" s="361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353"/>
      <c r="AV11" s="353"/>
      <c r="AW11" s="353"/>
      <c r="AX11" s="353"/>
      <c r="AY11" s="353"/>
      <c r="AZ11" s="353"/>
      <c r="BA11" s="353"/>
      <c r="BB11" s="353"/>
      <c r="BC11" s="353"/>
      <c r="BD11" s="353"/>
    </row>
    <row r="12" spans="1:56" s="362" customFormat="1" ht="19.5" customHeight="1">
      <c r="A12" s="355" t="s">
        <v>12</v>
      </c>
      <c r="B12" s="544">
        <v>3140</v>
      </c>
      <c r="C12" s="356"/>
      <c r="D12" s="357">
        <f t="shared" si="0"/>
        <v>3316</v>
      </c>
      <c r="E12" s="358">
        <v>3158</v>
      </c>
      <c r="F12" s="358">
        <v>158</v>
      </c>
      <c r="G12" s="544">
        <v>2079</v>
      </c>
      <c r="H12" s="356"/>
      <c r="I12" s="357">
        <v>2352</v>
      </c>
      <c r="J12" s="358">
        <v>2237</v>
      </c>
      <c r="K12" s="358">
        <v>115</v>
      </c>
      <c r="L12" s="545">
        <v>2375</v>
      </c>
      <c r="M12" s="546"/>
      <c r="N12" s="547">
        <f t="shared" si="1"/>
        <v>1</v>
      </c>
      <c r="O12" s="548">
        <v>1</v>
      </c>
      <c r="P12" s="548">
        <v>0</v>
      </c>
      <c r="Q12" s="548"/>
      <c r="R12" s="546">
        <v>2038</v>
      </c>
      <c r="S12" s="546"/>
      <c r="T12" s="547">
        <f t="shared" si="2"/>
        <v>4</v>
      </c>
      <c r="U12" s="548">
        <v>0</v>
      </c>
      <c r="V12" s="548">
        <v>4</v>
      </c>
      <c r="W12" s="545">
        <v>2230</v>
      </c>
      <c r="X12" s="546"/>
      <c r="Y12" s="547">
        <f t="shared" si="3"/>
        <v>2</v>
      </c>
      <c r="Z12" s="548">
        <v>2</v>
      </c>
      <c r="AA12" s="548">
        <v>0</v>
      </c>
      <c r="AB12" s="360" t="s">
        <v>16</v>
      </c>
      <c r="AC12" s="361"/>
      <c r="AD12" s="353"/>
      <c r="AE12" s="353"/>
      <c r="AF12" s="353"/>
      <c r="AG12" s="353"/>
      <c r="AH12" s="353"/>
      <c r="AI12" s="353"/>
      <c r="AJ12" s="353"/>
      <c r="AK12" s="353"/>
      <c r="AL12" s="353"/>
      <c r="AM12" s="353"/>
      <c r="AN12" s="353"/>
      <c r="AO12" s="353"/>
      <c r="AP12" s="353"/>
      <c r="AQ12" s="353"/>
      <c r="AR12" s="353"/>
      <c r="AS12" s="353"/>
      <c r="AT12" s="353"/>
      <c r="AU12" s="353"/>
      <c r="AV12" s="353"/>
      <c r="AW12" s="353"/>
      <c r="AX12" s="353"/>
      <c r="AY12" s="353"/>
      <c r="AZ12" s="353"/>
      <c r="BA12" s="353"/>
      <c r="BB12" s="353"/>
      <c r="BC12" s="353"/>
      <c r="BD12" s="353"/>
    </row>
    <row r="13" spans="1:56" s="362" customFormat="1" ht="19.5" customHeight="1">
      <c r="A13" s="355" t="s">
        <v>23</v>
      </c>
      <c r="B13" s="544">
        <v>475</v>
      </c>
      <c r="C13" s="356"/>
      <c r="D13" s="357">
        <f t="shared" si="0"/>
        <v>310</v>
      </c>
      <c r="E13" s="358">
        <v>280</v>
      </c>
      <c r="F13" s="358">
        <v>30</v>
      </c>
      <c r="G13" s="544">
        <v>534</v>
      </c>
      <c r="H13" s="356"/>
      <c r="I13" s="357">
        <v>326</v>
      </c>
      <c r="J13" s="358">
        <v>291</v>
      </c>
      <c r="K13" s="358">
        <v>35</v>
      </c>
      <c r="L13" s="545">
        <v>467</v>
      </c>
      <c r="M13" s="546"/>
      <c r="N13" s="547">
        <f t="shared" si="1"/>
        <v>332</v>
      </c>
      <c r="O13" s="548">
        <v>50</v>
      </c>
      <c r="P13" s="548">
        <v>282</v>
      </c>
      <c r="Q13" s="548"/>
      <c r="R13" s="546">
        <v>417</v>
      </c>
      <c r="S13" s="546"/>
      <c r="T13" s="547">
        <f t="shared" si="2"/>
        <v>322</v>
      </c>
      <c r="U13" s="548">
        <v>77</v>
      </c>
      <c r="V13" s="548">
        <v>245</v>
      </c>
      <c r="W13" s="545">
        <v>361</v>
      </c>
      <c r="X13" s="546"/>
      <c r="Y13" s="547">
        <f t="shared" si="3"/>
        <v>335</v>
      </c>
      <c r="Z13" s="548">
        <v>73</v>
      </c>
      <c r="AA13" s="548">
        <v>262</v>
      </c>
      <c r="AB13" s="360" t="s">
        <v>280</v>
      </c>
      <c r="AC13" s="361"/>
      <c r="AD13" s="353"/>
      <c r="AE13" s="353"/>
      <c r="AF13" s="353"/>
      <c r="AG13" s="353"/>
      <c r="AH13" s="353"/>
      <c r="AI13" s="353"/>
      <c r="AJ13" s="353"/>
      <c r="AK13" s="353"/>
      <c r="AL13" s="353"/>
      <c r="AM13" s="353"/>
      <c r="AN13" s="353"/>
      <c r="AO13" s="353"/>
      <c r="AP13" s="353"/>
      <c r="AQ13" s="353"/>
      <c r="AR13" s="353"/>
      <c r="AS13" s="353"/>
      <c r="AT13" s="353"/>
      <c r="AU13" s="353"/>
      <c r="AV13" s="353"/>
      <c r="AW13" s="353"/>
      <c r="AX13" s="353"/>
      <c r="AY13" s="353"/>
      <c r="AZ13" s="353"/>
      <c r="BA13" s="353"/>
      <c r="BB13" s="353"/>
      <c r="BC13" s="353"/>
      <c r="BD13" s="353"/>
    </row>
    <row r="14" spans="1:56" s="362" customFormat="1" ht="19.5" customHeight="1">
      <c r="A14" s="355" t="s">
        <v>10</v>
      </c>
      <c r="B14" s="544">
        <v>2137</v>
      </c>
      <c r="C14" s="356"/>
      <c r="D14" s="357">
        <f t="shared" si="0"/>
        <v>11</v>
      </c>
      <c r="E14" s="358">
        <v>11</v>
      </c>
      <c r="F14" s="358">
        <v>0</v>
      </c>
      <c r="G14" s="544">
        <v>2044</v>
      </c>
      <c r="H14" s="356"/>
      <c r="I14" s="357">
        <v>8</v>
      </c>
      <c r="J14" s="358">
        <v>8</v>
      </c>
      <c r="K14" s="358">
        <v>0</v>
      </c>
      <c r="L14" s="545">
        <v>2242</v>
      </c>
      <c r="M14" s="546"/>
      <c r="N14" s="547">
        <f t="shared" si="1"/>
        <v>469</v>
      </c>
      <c r="O14" s="548">
        <v>421</v>
      </c>
      <c r="P14" s="548">
        <v>48</v>
      </c>
      <c r="Q14" s="548"/>
      <c r="R14" s="546">
        <v>2105</v>
      </c>
      <c r="S14" s="546"/>
      <c r="T14" s="547">
        <f t="shared" si="2"/>
        <v>225</v>
      </c>
      <c r="U14" s="548">
        <v>169</v>
      </c>
      <c r="V14" s="548">
        <v>56</v>
      </c>
      <c r="W14" s="545">
        <v>2007</v>
      </c>
      <c r="X14" s="546"/>
      <c r="Y14" s="547">
        <f t="shared" si="3"/>
        <v>182</v>
      </c>
      <c r="Z14" s="548">
        <v>138</v>
      </c>
      <c r="AA14" s="548">
        <v>44</v>
      </c>
      <c r="AB14" s="360" t="s">
        <v>13</v>
      </c>
      <c r="AC14" s="361"/>
      <c r="AD14" s="353"/>
      <c r="AE14" s="353"/>
      <c r="AF14" s="353"/>
      <c r="AG14" s="353"/>
      <c r="AH14" s="353"/>
      <c r="AI14" s="353"/>
      <c r="AJ14" s="353"/>
      <c r="AK14" s="353"/>
      <c r="AL14" s="353"/>
      <c r="AM14" s="353"/>
      <c r="AN14" s="353"/>
      <c r="AO14" s="353"/>
      <c r="AP14" s="353"/>
      <c r="AQ14" s="353"/>
      <c r="AR14" s="353"/>
      <c r="AS14" s="353"/>
      <c r="AT14" s="353"/>
      <c r="AU14" s="353"/>
      <c r="AV14" s="353"/>
      <c r="AW14" s="353"/>
      <c r="AX14" s="353"/>
      <c r="AY14" s="353"/>
      <c r="AZ14" s="353"/>
      <c r="BA14" s="353"/>
      <c r="BB14" s="353"/>
      <c r="BC14" s="353"/>
      <c r="BD14" s="353"/>
    </row>
    <row r="15" spans="1:56" s="362" customFormat="1" ht="19.5" customHeight="1">
      <c r="A15" s="355" t="s">
        <v>30</v>
      </c>
      <c r="B15" s="544">
        <v>186</v>
      </c>
      <c r="C15" s="356"/>
      <c r="D15" s="357">
        <f t="shared" si="0"/>
        <v>38</v>
      </c>
      <c r="E15" s="358">
        <v>36</v>
      </c>
      <c r="F15" s="358">
        <v>2</v>
      </c>
      <c r="G15" s="544">
        <v>341</v>
      </c>
      <c r="H15" s="356"/>
      <c r="I15" s="357">
        <v>57</v>
      </c>
      <c r="J15" s="358">
        <v>45</v>
      </c>
      <c r="K15" s="358">
        <v>12</v>
      </c>
      <c r="L15" s="545">
        <v>305</v>
      </c>
      <c r="M15" s="546"/>
      <c r="N15" s="547">
        <f t="shared" si="1"/>
        <v>298</v>
      </c>
      <c r="O15" s="548">
        <v>105</v>
      </c>
      <c r="P15" s="548">
        <v>193</v>
      </c>
      <c r="Q15" s="548"/>
      <c r="R15" s="546">
        <v>279</v>
      </c>
      <c r="S15" s="546"/>
      <c r="T15" s="547">
        <f t="shared" si="2"/>
        <v>314</v>
      </c>
      <c r="U15" s="548">
        <v>125</v>
      </c>
      <c r="V15" s="548">
        <v>189</v>
      </c>
      <c r="W15" s="545">
        <v>240</v>
      </c>
      <c r="X15" s="546"/>
      <c r="Y15" s="547">
        <f t="shared" si="3"/>
        <v>219</v>
      </c>
      <c r="Z15" s="548">
        <v>74</v>
      </c>
      <c r="AA15" s="548">
        <v>145</v>
      </c>
      <c r="AB15" s="360" t="s">
        <v>33</v>
      </c>
      <c r="AC15" s="361"/>
      <c r="AD15" s="353"/>
      <c r="AE15" s="353"/>
      <c r="AF15" s="353"/>
      <c r="AG15" s="353"/>
      <c r="AH15" s="353"/>
      <c r="AI15" s="353"/>
      <c r="AJ15" s="353"/>
      <c r="AK15" s="353"/>
      <c r="AL15" s="353"/>
      <c r="AM15" s="353"/>
      <c r="AN15" s="353"/>
      <c r="AO15" s="353"/>
      <c r="AP15" s="353"/>
      <c r="AQ15" s="353"/>
      <c r="AR15" s="353"/>
      <c r="AS15" s="353"/>
      <c r="AT15" s="353"/>
      <c r="AU15" s="353"/>
      <c r="AV15" s="353"/>
      <c r="AW15" s="353"/>
      <c r="AX15" s="353"/>
      <c r="AY15" s="353"/>
      <c r="AZ15" s="353"/>
      <c r="BA15" s="353"/>
      <c r="BB15" s="353"/>
      <c r="BC15" s="353"/>
      <c r="BD15" s="353"/>
    </row>
    <row r="16" spans="1:56" s="362" customFormat="1" ht="19.5" customHeight="1">
      <c r="A16" s="549" t="s">
        <v>32</v>
      </c>
      <c r="B16" s="544">
        <v>77</v>
      </c>
      <c r="C16" s="356"/>
      <c r="D16" s="357">
        <f t="shared" si="0"/>
        <v>10</v>
      </c>
      <c r="E16" s="358">
        <v>9</v>
      </c>
      <c r="F16" s="358">
        <v>1</v>
      </c>
      <c r="G16" s="544">
        <v>91</v>
      </c>
      <c r="H16" s="356"/>
      <c r="I16" s="357">
        <v>12</v>
      </c>
      <c r="J16" s="358">
        <v>12</v>
      </c>
      <c r="K16" s="358">
        <v>0</v>
      </c>
      <c r="L16" s="545">
        <v>97</v>
      </c>
      <c r="M16" s="546"/>
      <c r="N16" s="547" t="s">
        <v>134</v>
      </c>
      <c r="O16" s="548" t="s">
        <v>134</v>
      </c>
      <c r="P16" s="548" t="s">
        <v>134</v>
      </c>
      <c r="Q16" s="548"/>
      <c r="R16" s="546">
        <v>86</v>
      </c>
      <c r="S16" s="546"/>
      <c r="T16" s="547">
        <f t="shared" si="2"/>
        <v>0</v>
      </c>
      <c r="U16" s="548">
        <v>0</v>
      </c>
      <c r="V16" s="548">
        <v>0</v>
      </c>
      <c r="W16" s="545">
        <v>71</v>
      </c>
      <c r="X16" s="546"/>
      <c r="Y16" s="547">
        <f t="shared" si="3"/>
        <v>0</v>
      </c>
      <c r="Z16" s="548">
        <v>0</v>
      </c>
      <c r="AA16" s="548">
        <v>0</v>
      </c>
      <c r="AB16" s="360" t="s">
        <v>143</v>
      </c>
      <c r="AC16" s="361"/>
      <c r="AD16" s="353"/>
      <c r="AE16" s="353"/>
      <c r="AF16" s="353"/>
      <c r="AG16" s="353"/>
      <c r="AH16" s="353"/>
      <c r="AI16" s="353"/>
      <c r="AJ16" s="353"/>
      <c r="AK16" s="353"/>
      <c r="AL16" s="353"/>
      <c r="AM16" s="353"/>
      <c r="AN16" s="353"/>
      <c r="AO16" s="353"/>
      <c r="AP16" s="353"/>
      <c r="AQ16" s="353"/>
      <c r="AR16" s="353"/>
      <c r="AS16" s="353"/>
      <c r="AT16" s="353"/>
      <c r="AU16" s="353"/>
      <c r="AV16" s="353"/>
      <c r="AW16" s="353"/>
      <c r="AX16" s="353"/>
      <c r="AY16" s="353"/>
      <c r="AZ16" s="353"/>
      <c r="BA16" s="353"/>
      <c r="BB16" s="353"/>
      <c r="BC16" s="353"/>
      <c r="BD16" s="353"/>
    </row>
    <row r="17" spans="1:56" s="362" customFormat="1" ht="19.5" customHeight="1">
      <c r="A17" s="355" t="s">
        <v>21</v>
      </c>
      <c r="B17" s="544">
        <v>520</v>
      </c>
      <c r="C17" s="356"/>
      <c r="D17" s="357">
        <f t="shared" si="0"/>
        <v>147</v>
      </c>
      <c r="E17" s="358">
        <v>147</v>
      </c>
      <c r="F17" s="358">
        <v>0</v>
      </c>
      <c r="G17" s="544">
        <v>535</v>
      </c>
      <c r="H17" s="356"/>
      <c r="I17" s="357">
        <v>127</v>
      </c>
      <c r="J17" s="358">
        <v>123</v>
      </c>
      <c r="K17" s="358">
        <v>4</v>
      </c>
      <c r="L17" s="545">
        <v>359</v>
      </c>
      <c r="M17" s="546"/>
      <c r="N17" s="547">
        <f t="shared" si="1"/>
        <v>20</v>
      </c>
      <c r="O17" s="548">
        <v>6</v>
      </c>
      <c r="P17" s="548">
        <v>14</v>
      </c>
      <c r="Q17" s="548"/>
      <c r="R17" s="546">
        <v>455</v>
      </c>
      <c r="S17" s="546"/>
      <c r="T17" s="547">
        <f t="shared" si="2"/>
        <v>22</v>
      </c>
      <c r="U17" s="548">
        <v>13</v>
      </c>
      <c r="V17" s="548">
        <v>9</v>
      </c>
      <c r="W17" s="545">
        <v>472</v>
      </c>
      <c r="X17" s="546"/>
      <c r="Y17" s="547">
        <f t="shared" si="3"/>
        <v>12</v>
      </c>
      <c r="Z17" s="548">
        <v>6</v>
      </c>
      <c r="AA17" s="548">
        <v>6</v>
      </c>
      <c r="AB17" s="360" t="s">
        <v>22</v>
      </c>
      <c r="AC17" s="361"/>
      <c r="AD17" s="353"/>
      <c r="AE17" s="353"/>
      <c r="AF17" s="353"/>
      <c r="AG17" s="353"/>
      <c r="AH17" s="353"/>
      <c r="AI17" s="353"/>
      <c r="AJ17" s="353"/>
      <c r="AK17" s="353"/>
      <c r="AL17" s="353"/>
      <c r="AM17" s="353"/>
      <c r="AN17" s="353"/>
      <c r="AO17" s="353"/>
      <c r="AP17" s="353"/>
      <c r="AQ17" s="353"/>
      <c r="AR17" s="353"/>
      <c r="AS17" s="353"/>
      <c r="AT17" s="353"/>
      <c r="AU17" s="353"/>
      <c r="AV17" s="353"/>
      <c r="AW17" s="353"/>
      <c r="AX17" s="353"/>
      <c r="AY17" s="353"/>
      <c r="AZ17" s="353"/>
      <c r="BA17" s="353"/>
      <c r="BB17" s="353"/>
      <c r="BC17" s="353"/>
      <c r="BD17" s="353"/>
    </row>
    <row r="18" spans="1:56" s="362" customFormat="1" ht="19.5" customHeight="1">
      <c r="A18" s="355" t="s">
        <v>27</v>
      </c>
      <c r="B18" s="544">
        <v>377</v>
      </c>
      <c r="C18" s="356"/>
      <c r="D18" s="357">
        <f t="shared" si="0"/>
        <v>80</v>
      </c>
      <c r="E18" s="358">
        <v>78</v>
      </c>
      <c r="F18" s="358">
        <v>2</v>
      </c>
      <c r="G18" s="544">
        <v>743</v>
      </c>
      <c r="H18" s="356"/>
      <c r="I18" s="357">
        <v>64</v>
      </c>
      <c r="J18" s="358">
        <v>61</v>
      </c>
      <c r="K18" s="358">
        <v>3</v>
      </c>
      <c r="L18" s="545">
        <v>523</v>
      </c>
      <c r="M18" s="546"/>
      <c r="N18" s="547">
        <f t="shared" si="1"/>
        <v>7</v>
      </c>
      <c r="O18" s="548">
        <v>5</v>
      </c>
      <c r="P18" s="548">
        <v>2</v>
      </c>
      <c r="Q18" s="548"/>
      <c r="R18" s="546">
        <v>518</v>
      </c>
      <c r="S18" s="546"/>
      <c r="T18" s="547">
        <f t="shared" si="2"/>
        <v>0</v>
      </c>
      <c r="U18" s="548">
        <v>0</v>
      </c>
      <c r="V18" s="548">
        <v>0</v>
      </c>
      <c r="W18" s="545">
        <v>516</v>
      </c>
      <c r="X18" s="546"/>
      <c r="Y18" s="547">
        <f t="shared" si="3"/>
        <v>0</v>
      </c>
      <c r="Z18" s="548">
        <v>0</v>
      </c>
      <c r="AA18" s="548">
        <v>0</v>
      </c>
      <c r="AB18" s="360" t="s">
        <v>31</v>
      </c>
      <c r="AC18" s="361"/>
      <c r="AD18" s="353"/>
      <c r="AE18" s="353"/>
      <c r="AF18" s="353"/>
      <c r="AG18" s="353"/>
      <c r="AH18" s="353"/>
      <c r="AI18" s="353"/>
      <c r="AJ18" s="353"/>
      <c r="AK18" s="353"/>
      <c r="AL18" s="353"/>
      <c r="AM18" s="353"/>
      <c r="AN18" s="353"/>
      <c r="AO18" s="353"/>
      <c r="AP18" s="353"/>
      <c r="AQ18" s="353"/>
      <c r="AR18" s="353"/>
      <c r="AS18" s="353"/>
      <c r="AT18" s="353"/>
      <c r="AU18" s="353"/>
      <c r="AV18" s="353"/>
      <c r="AW18" s="353"/>
      <c r="AX18" s="353"/>
      <c r="AY18" s="353"/>
      <c r="AZ18" s="353"/>
      <c r="BA18" s="353"/>
      <c r="BB18" s="353"/>
      <c r="BC18" s="353"/>
      <c r="BD18" s="353"/>
    </row>
    <row r="19" spans="1:56" s="362" customFormat="1" ht="19.5" customHeight="1">
      <c r="A19" s="550" t="s">
        <v>40</v>
      </c>
      <c r="B19" s="551">
        <v>2014</v>
      </c>
      <c r="C19" s="363"/>
      <c r="D19" s="357">
        <f t="shared" si="0"/>
        <v>2</v>
      </c>
      <c r="E19" s="358">
        <v>2</v>
      </c>
      <c r="F19" s="358">
        <v>0</v>
      </c>
      <c r="G19" s="551">
        <v>1712</v>
      </c>
      <c r="H19" s="363"/>
      <c r="I19" s="357">
        <v>0</v>
      </c>
      <c r="J19" s="358">
        <v>0</v>
      </c>
      <c r="K19" s="358">
        <v>0</v>
      </c>
      <c r="L19" s="545">
        <v>1829</v>
      </c>
      <c r="M19" s="552"/>
      <c r="N19" s="547">
        <f t="shared" si="1"/>
        <v>8</v>
      </c>
      <c r="O19" s="548">
        <v>6</v>
      </c>
      <c r="P19" s="548">
        <v>2</v>
      </c>
      <c r="Q19" s="548"/>
      <c r="R19" s="546">
        <v>1655</v>
      </c>
      <c r="S19" s="552"/>
      <c r="T19" s="547">
        <f t="shared" si="2"/>
        <v>3</v>
      </c>
      <c r="U19" s="548">
        <v>1</v>
      </c>
      <c r="V19" s="548">
        <v>2</v>
      </c>
      <c r="W19" s="545">
        <v>1787</v>
      </c>
      <c r="X19" s="552"/>
      <c r="Y19" s="547">
        <f t="shared" si="3"/>
        <v>1</v>
      </c>
      <c r="Z19" s="548">
        <v>1</v>
      </c>
      <c r="AA19" s="548">
        <v>0</v>
      </c>
      <c r="AB19" s="360" t="s">
        <v>18</v>
      </c>
      <c r="AC19" s="361"/>
      <c r="AD19" s="353"/>
      <c r="AE19" s="353"/>
      <c r="AF19" s="353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53"/>
      <c r="AU19" s="353"/>
      <c r="AV19" s="353"/>
      <c r="AW19" s="353"/>
      <c r="AX19" s="353"/>
      <c r="AY19" s="353"/>
      <c r="AZ19" s="353"/>
      <c r="BA19" s="353"/>
      <c r="BB19" s="353"/>
      <c r="BC19" s="353"/>
      <c r="BD19" s="353"/>
    </row>
    <row r="20" spans="1:56" s="362" customFormat="1" ht="19.5" customHeight="1">
      <c r="A20" s="364" t="s">
        <v>15</v>
      </c>
      <c r="B20" s="363">
        <v>2505</v>
      </c>
      <c r="C20" s="363"/>
      <c r="D20" s="357">
        <f t="shared" si="0"/>
        <v>677</v>
      </c>
      <c r="E20" s="358">
        <v>655</v>
      </c>
      <c r="F20" s="358">
        <v>22</v>
      </c>
      <c r="G20" s="363">
        <v>2812</v>
      </c>
      <c r="H20" s="363"/>
      <c r="I20" s="357">
        <v>972</v>
      </c>
      <c r="J20" s="358">
        <v>916</v>
      </c>
      <c r="K20" s="358">
        <v>56</v>
      </c>
      <c r="L20" s="548">
        <v>2977</v>
      </c>
      <c r="M20" s="546"/>
      <c r="N20" s="546">
        <f>O20+P20</f>
        <v>574</v>
      </c>
      <c r="O20" s="546">
        <f>SUM(O21:O33)</f>
        <v>325</v>
      </c>
      <c r="P20" s="548">
        <f>SUM(P21:P33)</f>
        <v>249</v>
      </c>
      <c r="Q20" s="548"/>
      <c r="R20" s="548">
        <v>3047</v>
      </c>
      <c r="S20" s="552"/>
      <c r="T20" s="546">
        <f>U20+V20</f>
        <v>597</v>
      </c>
      <c r="U20" s="546">
        <f>SUM(U21:U33)</f>
        <v>296</v>
      </c>
      <c r="V20" s="553">
        <f>SUM(V21:V33)</f>
        <v>301</v>
      </c>
      <c r="W20" s="548">
        <v>2567</v>
      </c>
      <c r="X20" s="552"/>
      <c r="Y20" s="546">
        <f>Z20+AA20</f>
        <v>500</v>
      </c>
      <c r="Z20" s="546">
        <v>282</v>
      </c>
      <c r="AA20" s="546">
        <v>218</v>
      </c>
      <c r="AB20" s="360" t="s">
        <v>37</v>
      </c>
      <c r="AC20" s="361"/>
      <c r="AD20" s="353"/>
      <c r="AE20" s="353"/>
      <c r="AF20" s="353"/>
      <c r="AG20" s="353"/>
      <c r="AH20" s="353"/>
      <c r="AI20" s="353"/>
      <c r="AJ20" s="353"/>
      <c r="AK20" s="353"/>
      <c r="AL20" s="353"/>
      <c r="AM20" s="353"/>
      <c r="AN20" s="353"/>
      <c r="AO20" s="353"/>
      <c r="AP20" s="353"/>
      <c r="AQ20" s="353"/>
      <c r="AR20" s="353"/>
      <c r="AS20" s="353"/>
      <c r="AT20" s="353"/>
      <c r="AU20" s="353"/>
      <c r="AV20" s="353"/>
      <c r="AW20" s="353"/>
      <c r="AX20" s="353"/>
      <c r="AY20" s="353"/>
      <c r="AZ20" s="353"/>
      <c r="BA20" s="353"/>
      <c r="BB20" s="353"/>
      <c r="BC20" s="353"/>
      <c r="BD20" s="353"/>
    </row>
    <row r="21" spans="1:56" s="367" customFormat="1" ht="19.5" customHeight="1">
      <c r="A21" s="35" t="s">
        <v>38</v>
      </c>
      <c r="L21" s="546">
        <v>101</v>
      </c>
      <c r="M21" s="554"/>
      <c r="N21" s="547">
        <f t="shared" si="1"/>
        <v>33</v>
      </c>
      <c r="O21" s="554">
        <v>19</v>
      </c>
      <c r="P21" s="548">
        <v>14</v>
      </c>
      <c r="Q21" s="548"/>
      <c r="R21" s="546">
        <v>105</v>
      </c>
      <c r="S21" s="555"/>
      <c r="T21" s="556">
        <f>SUM(U21:V21)</f>
        <v>5</v>
      </c>
      <c r="U21" s="556">
        <v>4</v>
      </c>
      <c r="V21" s="556">
        <v>1</v>
      </c>
      <c r="W21" s="545">
        <v>29</v>
      </c>
      <c r="X21" s="555"/>
      <c r="Y21" s="556">
        <f>SUM(Z21:AA21)</f>
        <v>0</v>
      </c>
      <c r="Z21" s="548">
        <v>0</v>
      </c>
      <c r="AA21" s="548">
        <v>0</v>
      </c>
      <c r="AB21" s="557" t="s">
        <v>39</v>
      </c>
      <c r="AC21" s="369"/>
      <c r="AD21" s="369"/>
      <c r="AE21" s="369"/>
      <c r="AF21" s="369"/>
      <c r="AG21" s="369"/>
      <c r="AH21" s="369"/>
      <c r="AI21" s="369"/>
      <c r="AJ21" s="369"/>
      <c r="AK21" s="369"/>
      <c r="AL21" s="369"/>
      <c r="AM21" s="369"/>
      <c r="AN21" s="369"/>
      <c r="AO21" s="369"/>
      <c r="AP21" s="369"/>
      <c r="AQ21" s="369"/>
      <c r="AR21" s="369"/>
      <c r="AS21" s="369"/>
      <c r="AT21" s="369"/>
      <c r="AU21" s="369"/>
      <c r="AV21" s="369"/>
      <c r="AW21" s="369"/>
      <c r="AX21" s="369"/>
      <c r="AY21" s="369"/>
      <c r="AZ21" s="369"/>
      <c r="BA21" s="369"/>
      <c r="BB21" s="369"/>
      <c r="BC21" s="369"/>
      <c r="BD21" s="369"/>
    </row>
    <row r="22" spans="1:56" ht="19.5" customHeight="1">
      <c r="A22" s="35" t="s">
        <v>41</v>
      </c>
      <c r="B22" s="370"/>
      <c r="C22" s="370"/>
      <c r="D22" s="370"/>
      <c r="E22" s="370"/>
      <c r="F22" s="370"/>
      <c r="G22" s="370"/>
      <c r="H22" s="370"/>
      <c r="I22" s="370"/>
      <c r="J22" s="370"/>
      <c r="K22" s="386"/>
      <c r="L22" s="546">
        <v>59</v>
      </c>
      <c r="M22" s="558"/>
      <c r="N22" s="547">
        <f t="shared" si="1"/>
        <v>12</v>
      </c>
      <c r="O22" s="554">
        <v>4</v>
      </c>
      <c r="P22" s="548">
        <v>8</v>
      </c>
      <c r="Q22" s="548"/>
      <c r="R22" s="546">
        <v>70</v>
      </c>
      <c r="S22" s="558"/>
      <c r="T22" s="556">
        <f t="shared" ref="T22:T33" si="4">SUM(U22:V22)</f>
        <v>26</v>
      </c>
      <c r="U22" s="556">
        <v>2</v>
      </c>
      <c r="V22" s="556">
        <v>24</v>
      </c>
      <c r="W22" s="545">
        <v>36</v>
      </c>
      <c r="X22" s="558"/>
      <c r="Y22" s="556">
        <f t="shared" ref="Y22:Y33" si="5">SUM(Z22:AA22)</f>
        <v>16</v>
      </c>
      <c r="Z22" s="548">
        <v>4</v>
      </c>
      <c r="AA22" s="548">
        <v>12</v>
      </c>
      <c r="AB22" s="557" t="s">
        <v>42</v>
      </c>
    </row>
    <row r="23" spans="1:56" ht="19.5" customHeight="1">
      <c r="A23" s="35" t="s">
        <v>44</v>
      </c>
      <c r="B23" s="370"/>
      <c r="C23" s="370"/>
      <c r="D23" s="370"/>
      <c r="E23" s="370"/>
      <c r="F23" s="370"/>
      <c r="G23" s="370"/>
      <c r="H23" s="370"/>
      <c r="I23" s="370"/>
      <c r="J23" s="370"/>
      <c r="K23" s="386"/>
      <c r="L23" s="546">
        <v>47</v>
      </c>
      <c r="M23" s="558"/>
      <c r="N23" s="547">
        <f t="shared" si="1"/>
        <v>19</v>
      </c>
      <c r="O23" s="554">
        <v>14</v>
      </c>
      <c r="P23" s="555">
        <v>5</v>
      </c>
      <c r="Q23" s="555"/>
      <c r="R23" s="546">
        <v>54</v>
      </c>
      <c r="S23" s="558"/>
      <c r="T23" s="556">
        <f t="shared" si="4"/>
        <v>47</v>
      </c>
      <c r="U23" s="556">
        <v>38</v>
      </c>
      <c r="V23" s="556">
        <v>9</v>
      </c>
      <c r="W23" s="545">
        <v>55</v>
      </c>
      <c r="X23" s="558"/>
      <c r="Y23" s="556">
        <f t="shared" si="5"/>
        <v>51</v>
      </c>
      <c r="Z23" s="548">
        <v>44</v>
      </c>
      <c r="AA23" s="548">
        <v>7</v>
      </c>
      <c r="AB23" s="557" t="s">
        <v>45</v>
      </c>
    </row>
    <row r="24" spans="1:56" ht="19.5" customHeight="1">
      <c r="A24" s="35" t="s">
        <v>46</v>
      </c>
      <c r="B24" s="370"/>
      <c r="C24" s="370"/>
      <c r="D24" s="370"/>
      <c r="E24" s="370"/>
      <c r="F24" s="370"/>
      <c r="G24" s="370"/>
      <c r="H24" s="370"/>
      <c r="I24" s="370"/>
      <c r="J24" s="370"/>
      <c r="K24" s="386"/>
      <c r="L24" s="546">
        <v>77</v>
      </c>
      <c r="M24" s="558"/>
      <c r="N24" s="547">
        <f t="shared" si="1"/>
        <v>94</v>
      </c>
      <c r="O24" s="554">
        <v>38</v>
      </c>
      <c r="P24" s="555">
        <v>56</v>
      </c>
      <c r="Q24" s="555"/>
      <c r="R24" s="546">
        <v>71</v>
      </c>
      <c r="S24" s="558"/>
      <c r="T24" s="556">
        <f t="shared" si="4"/>
        <v>91</v>
      </c>
      <c r="U24" s="556">
        <v>47</v>
      </c>
      <c r="V24" s="556">
        <v>44</v>
      </c>
      <c r="W24" s="545">
        <v>58</v>
      </c>
      <c r="X24" s="558"/>
      <c r="Y24" s="556">
        <f t="shared" si="5"/>
        <v>59</v>
      </c>
      <c r="Z24" s="548">
        <v>28</v>
      </c>
      <c r="AA24" s="548">
        <v>31</v>
      </c>
      <c r="AB24" s="557" t="s">
        <v>47</v>
      </c>
    </row>
    <row r="25" spans="1:56" ht="19.5" customHeight="1">
      <c r="A25" s="35" t="s">
        <v>36</v>
      </c>
      <c r="B25" s="370"/>
      <c r="C25" s="370"/>
      <c r="D25" s="370"/>
      <c r="E25" s="370"/>
      <c r="F25" s="370"/>
      <c r="G25" s="370"/>
      <c r="H25" s="370"/>
      <c r="I25" s="370"/>
      <c r="J25" s="370"/>
      <c r="K25" s="386"/>
      <c r="L25" s="546">
        <v>275</v>
      </c>
      <c r="M25" s="558"/>
      <c r="N25" s="547" t="s">
        <v>134</v>
      </c>
      <c r="O25" s="555" t="s">
        <v>134</v>
      </c>
      <c r="P25" s="555" t="s">
        <v>134</v>
      </c>
      <c r="Q25" s="555"/>
      <c r="R25" s="546">
        <v>306</v>
      </c>
      <c r="S25" s="558"/>
      <c r="T25" s="556">
        <f t="shared" si="4"/>
        <v>0</v>
      </c>
      <c r="U25" s="556">
        <v>0</v>
      </c>
      <c r="V25" s="556">
        <v>0</v>
      </c>
      <c r="W25" s="545">
        <v>246</v>
      </c>
      <c r="X25" s="558"/>
      <c r="Y25" s="556">
        <f t="shared" si="5"/>
        <v>1</v>
      </c>
      <c r="Z25" s="548">
        <v>0</v>
      </c>
      <c r="AA25" s="548">
        <v>1</v>
      </c>
      <c r="AB25" s="557" t="s">
        <v>48</v>
      </c>
    </row>
    <row r="26" spans="1:56" ht="19.5" customHeight="1">
      <c r="A26" s="35" t="s">
        <v>34</v>
      </c>
      <c r="B26" s="370"/>
      <c r="C26" s="370"/>
      <c r="D26" s="370"/>
      <c r="E26" s="370"/>
      <c r="F26" s="370"/>
      <c r="G26" s="370"/>
      <c r="H26" s="370"/>
      <c r="I26" s="370"/>
      <c r="J26" s="370"/>
      <c r="K26" s="386"/>
      <c r="L26" s="546">
        <v>286</v>
      </c>
      <c r="M26" s="558"/>
      <c r="N26" s="547">
        <f t="shared" si="1"/>
        <v>32</v>
      </c>
      <c r="O26" s="554">
        <v>9</v>
      </c>
      <c r="P26" s="554">
        <v>23</v>
      </c>
      <c r="Q26" s="555"/>
      <c r="R26" s="546">
        <v>308</v>
      </c>
      <c r="S26" s="558"/>
      <c r="T26" s="556">
        <f t="shared" si="4"/>
        <v>38</v>
      </c>
      <c r="U26" s="556">
        <v>6</v>
      </c>
      <c r="V26" s="556">
        <v>32</v>
      </c>
      <c r="W26" s="545">
        <v>213</v>
      </c>
      <c r="X26" s="558"/>
      <c r="Y26" s="556">
        <f t="shared" si="5"/>
        <v>15</v>
      </c>
      <c r="Z26" s="548">
        <v>6</v>
      </c>
      <c r="AA26" s="548">
        <v>9</v>
      </c>
      <c r="AB26" s="557" t="s">
        <v>49</v>
      </c>
    </row>
    <row r="27" spans="1:56" ht="19.5" customHeight="1">
      <c r="A27" s="35" t="s">
        <v>43</v>
      </c>
      <c r="B27" s="370"/>
      <c r="C27" s="370"/>
      <c r="D27" s="370"/>
      <c r="E27" s="370"/>
      <c r="F27" s="370"/>
      <c r="G27" s="370"/>
      <c r="H27" s="370"/>
      <c r="I27" s="370"/>
      <c r="J27" s="370"/>
      <c r="K27" s="386"/>
      <c r="L27" s="546">
        <v>147</v>
      </c>
      <c r="M27" s="558"/>
      <c r="N27" s="547">
        <f t="shared" si="1"/>
        <v>5</v>
      </c>
      <c r="O27" s="554">
        <v>1</v>
      </c>
      <c r="P27" s="554">
        <v>4</v>
      </c>
      <c r="Q27" s="555"/>
      <c r="R27" s="546">
        <v>141</v>
      </c>
      <c r="S27" s="558"/>
      <c r="T27" s="556">
        <f t="shared" si="4"/>
        <v>2</v>
      </c>
      <c r="U27" s="556">
        <v>2</v>
      </c>
      <c r="V27" s="556">
        <v>0</v>
      </c>
      <c r="W27" s="545">
        <v>92</v>
      </c>
      <c r="X27" s="558"/>
      <c r="Y27" s="556">
        <f t="shared" si="5"/>
        <v>2</v>
      </c>
      <c r="Z27" s="548">
        <v>0</v>
      </c>
      <c r="AA27" s="548">
        <v>2</v>
      </c>
      <c r="AB27" s="557" t="s">
        <v>50</v>
      </c>
    </row>
    <row r="28" spans="1:56" ht="19.5" customHeight="1">
      <c r="A28" s="35" t="s">
        <v>51</v>
      </c>
      <c r="B28" s="370"/>
      <c r="C28" s="370"/>
      <c r="D28" s="370"/>
      <c r="E28" s="370"/>
      <c r="F28" s="370"/>
      <c r="G28" s="370"/>
      <c r="H28" s="370"/>
      <c r="I28" s="370"/>
      <c r="J28" s="370"/>
      <c r="K28" s="386"/>
      <c r="L28" s="546">
        <v>72</v>
      </c>
      <c r="M28" s="558"/>
      <c r="N28" s="547">
        <f t="shared" si="1"/>
        <v>31</v>
      </c>
      <c r="O28" s="554">
        <v>10</v>
      </c>
      <c r="P28" s="554">
        <v>21</v>
      </c>
      <c r="Q28" s="555"/>
      <c r="R28" s="546">
        <v>65</v>
      </c>
      <c r="S28" s="558"/>
      <c r="T28" s="556">
        <f t="shared" si="4"/>
        <v>39</v>
      </c>
      <c r="U28" s="556">
        <v>11</v>
      </c>
      <c r="V28" s="556">
        <v>28</v>
      </c>
      <c r="W28" s="545">
        <v>87</v>
      </c>
      <c r="X28" s="558"/>
      <c r="Y28" s="556">
        <f t="shared" si="5"/>
        <v>43</v>
      </c>
      <c r="Z28" s="548">
        <v>9</v>
      </c>
      <c r="AA28" s="548">
        <v>34</v>
      </c>
      <c r="AB28" s="557" t="s">
        <v>52</v>
      </c>
    </row>
    <row r="29" spans="1:56" ht="19.5" customHeight="1">
      <c r="A29" s="35" t="s">
        <v>53</v>
      </c>
      <c r="B29" s="370"/>
      <c r="C29" s="370"/>
      <c r="D29" s="370"/>
      <c r="E29" s="370"/>
      <c r="F29" s="370"/>
      <c r="G29" s="370"/>
      <c r="H29" s="370"/>
      <c r="I29" s="370"/>
      <c r="J29" s="370"/>
      <c r="K29" s="386"/>
      <c r="L29" s="546">
        <v>55</v>
      </c>
      <c r="M29" s="558"/>
      <c r="N29" s="547">
        <f t="shared" si="1"/>
        <v>1</v>
      </c>
      <c r="O29" s="554">
        <v>1</v>
      </c>
      <c r="P29" s="554">
        <v>0</v>
      </c>
      <c r="Q29" s="555"/>
      <c r="R29" s="546">
        <v>52</v>
      </c>
      <c r="S29" s="558"/>
      <c r="T29" s="556">
        <f t="shared" si="4"/>
        <v>1</v>
      </c>
      <c r="U29" s="556">
        <v>1</v>
      </c>
      <c r="V29" s="556">
        <v>0</v>
      </c>
      <c r="W29" s="545">
        <v>28</v>
      </c>
      <c r="X29" s="558"/>
      <c r="Y29" s="556">
        <f t="shared" si="5"/>
        <v>0</v>
      </c>
      <c r="Z29" s="548">
        <v>0</v>
      </c>
      <c r="AA29" s="548">
        <v>0</v>
      </c>
      <c r="AB29" s="557" t="s">
        <v>54</v>
      </c>
    </row>
    <row r="30" spans="1:56" ht="19.5" customHeight="1">
      <c r="A30" s="35" t="s">
        <v>24</v>
      </c>
      <c r="B30" s="370"/>
      <c r="C30" s="370"/>
      <c r="D30" s="370"/>
      <c r="E30" s="370"/>
      <c r="F30" s="370"/>
      <c r="G30" s="370"/>
      <c r="H30" s="370"/>
      <c r="I30" s="370"/>
      <c r="J30" s="370"/>
      <c r="K30" s="386"/>
      <c r="L30" s="546">
        <v>599</v>
      </c>
      <c r="M30" s="558"/>
      <c r="N30" s="547">
        <f t="shared" si="1"/>
        <v>107</v>
      </c>
      <c r="O30" s="554">
        <v>39</v>
      </c>
      <c r="P30" s="554">
        <v>68</v>
      </c>
      <c r="Q30" s="555"/>
      <c r="R30" s="546">
        <v>640</v>
      </c>
      <c r="S30" s="558"/>
      <c r="T30" s="556">
        <f t="shared" si="4"/>
        <v>120</v>
      </c>
      <c r="U30" s="556">
        <v>37</v>
      </c>
      <c r="V30" s="556">
        <v>83</v>
      </c>
      <c r="W30" s="545">
        <v>536</v>
      </c>
      <c r="X30" s="558"/>
      <c r="Y30" s="556">
        <f t="shared" si="5"/>
        <v>77</v>
      </c>
      <c r="Z30" s="548">
        <v>20</v>
      </c>
      <c r="AA30" s="548">
        <v>57</v>
      </c>
      <c r="AB30" s="557" t="s">
        <v>55</v>
      </c>
    </row>
    <row r="31" spans="1:56" ht="32.25" customHeight="1">
      <c r="A31" s="372" t="s">
        <v>56</v>
      </c>
      <c r="B31" s="370"/>
      <c r="C31" s="370"/>
      <c r="D31" s="370"/>
      <c r="E31" s="370"/>
      <c r="F31" s="370"/>
      <c r="G31" s="370"/>
      <c r="H31" s="370"/>
      <c r="I31" s="370"/>
      <c r="J31" s="370"/>
      <c r="K31" s="386"/>
      <c r="L31" s="546">
        <v>41</v>
      </c>
      <c r="M31" s="558"/>
      <c r="N31" s="547">
        <f t="shared" si="1"/>
        <v>0</v>
      </c>
      <c r="O31" s="554">
        <v>0</v>
      </c>
      <c r="P31" s="554">
        <v>0</v>
      </c>
      <c r="Q31" s="555"/>
      <c r="R31" s="546">
        <v>37</v>
      </c>
      <c r="S31" s="558"/>
      <c r="T31" s="555">
        <f t="shared" si="4"/>
        <v>1</v>
      </c>
      <c r="U31" s="555">
        <v>1</v>
      </c>
      <c r="V31" s="555">
        <v>0</v>
      </c>
      <c r="W31" s="545">
        <v>39</v>
      </c>
      <c r="X31" s="558"/>
      <c r="Y31" s="555">
        <f t="shared" si="5"/>
        <v>0</v>
      </c>
      <c r="Z31" s="548">
        <v>0</v>
      </c>
      <c r="AA31" s="548">
        <v>0</v>
      </c>
      <c r="AB31" s="557" t="s">
        <v>57</v>
      </c>
    </row>
    <row r="32" spans="1:56" ht="19.5" customHeight="1">
      <c r="A32" s="35" t="s">
        <v>58</v>
      </c>
      <c r="B32" s="370"/>
      <c r="C32" s="370"/>
      <c r="D32" s="370"/>
      <c r="E32" s="370"/>
      <c r="F32" s="370"/>
      <c r="G32" s="370"/>
      <c r="H32" s="370"/>
      <c r="I32" s="370"/>
      <c r="J32" s="370"/>
      <c r="K32" s="386"/>
      <c r="L32" s="546">
        <v>20</v>
      </c>
      <c r="M32" s="558"/>
      <c r="N32" s="547">
        <f t="shared" si="1"/>
        <v>4</v>
      </c>
      <c r="O32" s="554">
        <v>2</v>
      </c>
      <c r="P32" s="554">
        <v>2</v>
      </c>
      <c r="Q32" s="555"/>
      <c r="R32" s="546">
        <v>23</v>
      </c>
      <c r="S32" s="558"/>
      <c r="T32" s="556">
        <f t="shared" si="4"/>
        <v>8</v>
      </c>
      <c r="U32" s="556">
        <v>4</v>
      </c>
      <c r="V32" s="556">
        <v>4</v>
      </c>
      <c r="W32" s="545">
        <v>27</v>
      </c>
      <c r="X32" s="558"/>
      <c r="Y32" s="556">
        <f t="shared" si="5"/>
        <v>6</v>
      </c>
      <c r="Z32" s="548">
        <v>2</v>
      </c>
      <c r="AA32" s="548">
        <v>4</v>
      </c>
      <c r="AB32" s="557" t="s">
        <v>59</v>
      </c>
    </row>
    <row r="33" spans="1:28" ht="19.5" customHeight="1">
      <c r="A33" s="50" t="s">
        <v>15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60"/>
      <c r="L33" s="561">
        <v>1198</v>
      </c>
      <c r="M33" s="562"/>
      <c r="N33" s="563">
        <f t="shared" si="1"/>
        <v>236</v>
      </c>
      <c r="O33" s="564">
        <v>188</v>
      </c>
      <c r="P33" s="564">
        <v>48</v>
      </c>
      <c r="Q33" s="564"/>
      <c r="R33" s="561">
        <v>1175</v>
      </c>
      <c r="S33" s="562"/>
      <c r="T33" s="556">
        <f t="shared" si="4"/>
        <v>219</v>
      </c>
      <c r="U33" s="565">
        <v>143</v>
      </c>
      <c r="V33" s="565">
        <v>76</v>
      </c>
      <c r="W33" s="545">
        <v>1121</v>
      </c>
      <c r="X33" s="562"/>
      <c r="Y33" s="556">
        <f t="shared" si="5"/>
        <v>230</v>
      </c>
      <c r="Z33" s="548">
        <v>169</v>
      </c>
      <c r="AA33" s="548">
        <v>61</v>
      </c>
      <c r="AB33" s="566" t="s">
        <v>37</v>
      </c>
    </row>
    <row r="34" spans="1:28" ht="24" customHeight="1">
      <c r="A34" s="1215" t="s">
        <v>328</v>
      </c>
      <c r="B34" s="1215"/>
      <c r="C34" s="1215"/>
      <c r="D34" s="1215"/>
      <c r="E34" s="1215"/>
      <c r="F34" s="1215"/>
      <c r="G34" s="1215"/>
      <c r="H34" s="1215"/>
      <c r="I34" s="1215"/>
      <c r="J34" s="1215"/>
      <c r="K34" s="1215"/>
      <c r="L34" s="1215"/>
      <c r="M34" s="1215"/>
      <c r="N34" s="1215"/>
      <c r="O34" s="1215"/>
      <c r="P34" s="1215"/>
      <c r="Q34" s="1215"/>
      <c r="R34" s="1215"/>
      <c r="S34" s="1215"/>
      <c r="T34" s="1215"/>
      <c r="U34" s="1215"/>
      <c r="V34" s="1215"/>
      <c r="W34" s="1215"/>
      <c r="X34" s="1215"/>
      <c r="Y34" s="1215"/>
      <c r="Z34" s="1215"/>
      <c r="AA34" s="1215"/>
      <c r="AB34" s="1215"/>
    </row>
    <row r="35" spans="1:28" ht="14.25" customHeight="1">
      <c r="A35" s="567" t="s">
        <v>60</v>
      </c>
      <c r="B35" s="370"/>
      <c r="C35" s="370"/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  <c r="AB35" s="379" t="s">
        <v>61</v>
      </c>
    </row>
    <row r="36" spans="1:28" ht="12.75" customHeight="1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569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370"/>
      <c r="AB36" s="380"/>
    </row>
    <row r="37" spans="1:28" ht="12.75" customHeight="1"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  <c r="AA37" s="370"/>
    </row>
    <row r="38" spans="1:28" ht="12.75" customHeight="1">
      <c r="A38" s="370"/>
      <c r="B38" s="370"/>
      <c r="C38" s="370"/>
      <c r="D38" s="370"/>
      <c r="E38" s="370"/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80"/>
    </row>
    <row r="39" spans="1:28" ht="12.75" customHeight="1">
      <c r="A39" s="370"/>
      <c r="B39" s="370"/>
      <c r="C39" s="370"/>
      <c r="D39" s="370"/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0"/>
    </row>
    <row r="40" spans="1:28" ht="12.75" customHeight="1">
      <c r="A40" s="370"/>
      <c r="B40" s="370"/>
      <c r="C40" s="370"/>
      <c r="D40" s="370"/>
      <c r="E40" s="370"/>
      <c r="F40" s="370"/>
      <c r="G40" s="370"/>
      <c r="H40" s="370"/>
      <c r="I40" s="370"/>
      <c r="J40" s="370"/>
      <c r="K40" s="370"/>
      <c r="L40" s="332"/>
      <c r="M40" s="332"/>
      <c r="N40" s="332"/>
      <c r="O40" s="332"/>
      <c r="P40" s="332"/>
      <c r="Q40" s="332"/>
      <c r="R40" s="332"/>
      <c r="S40" s="370"/>
      <c r="T40" s="370"/>
      <c r="U40" s="370"/>
      <c r="V40" s="370"/>
      <c r="W40" s="332"/>
      <c r="X40" s="370"/>
      <c r="Y40" s="370"/>
      <c r="Z40" s="370"/>
      <c r="AA40" s="370"/>
      <c r="AB40" s="380"/>
    </row>
    <row r="41" spans="1:28" ht="12.75" customHeight="1">
      <c r="A41" s="370"/>
      <c r="B41" s="370"/>
      <c r="C41" s="370"/>
      <c r="D41" s="370"/>
      <c r="E41" s="370"/>
      <c r="F41" s="370"/>
      <c r="G41" s="370"/>
      <c r="H41" s="370"/>
      <c r="I41" s="370"/>
      <c r="J41" s="370"/>
      <c r="K41" s="386"/>
      <c r="L41" s="334"/>
      <c r="M41" s="334"/>
      <c r="N41" s="334"/>
      <c r="O41" s="334"/>
      <c r="P41" s="334"/>
      <c r="Q41" s="334"/>
      <c r="R41" s="334"/>
      <c r="S41" s="381"/>
      <c r="T41" s="370"/>
      <c r="U41" s="370"/>
      <c r="V41" s="370"/>
      <c r="W41" s="334"/>
      <c r="X41" s="381"/>
      <c r="Y41" s="370"/>
      <c r="Z41" s="370"/>
      <c r="AA41" s="370"/>
      <c r="AB41" s="380"/>
    </row>
    <row r="42" spans="1:28" ht="12.75" customHeight="1">
      <c r="L42" s="334"/>
      <c r="M42" s="334"/>
      <c r="N42" s="334"/>
      <c r="O42" s="334"/>
      <c r="P42" s="334"/>
      <c r="Q42" s="334"/>
      <c r="R42" s="334"/>
      <c r="W42" s="334"/>
    </row>
    <row r="43" spans="1:28" ht="12.75" customHeight="1">
      <c r="B43" s="568"/>
      <c r="C43" s="568"/>
      <c r="D43" s="568"/>
      <c r="E43" s="568"/>
      <c r="F43" s="568"/>
      <c r="G43" s="568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3"/>
    </row>
    <row r="44" spans="1:28" ht="12.75" customHeight="1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  <c r="AA44" s="370"/>
      <c r="AB44" s="380"/>
    </row>
    <row r="45" spans="1:28">
      <c r="A45" s="370"/>
      <c r="B45" s="370"/>
      <c r="C45" s="370"/>
      <c r="D45" s="370"/>
      <c r="E45" s="370"/>
      <c r="F45" s="370"/>
      <c r="G45" s="370"/>
      <c r="H45" s="37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370"/>
      <c r="AB45" s="380"/>
    </row>
    <row r="46" spans="1:28">
      <c r="A46" s="370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80"/>
    </row>
    <row r="47" spans="1:28">
      <c r="A47" s="370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  <c r="AA47" s="370"/>
      <c r="AB47" s="380"/>
    </row>
    <row r="48" spans="1:28">
      <c r="A48" s="370"/>
      <c r="B48" s="370"/>
      <c r="C48" s="370"/>
      <c r="D48" s="370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  <c r="AA48" s="370"/>
      <c r="AB48" s="380"/>
    </row>
    <row r="49" spans="1:28">
      <c r="A49" s="370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370"/>
      <c r="AB49" s="380"/>
    </row>
    <row r="50" spans="1:28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  <c r="AA50" s="370"/>
      <c r="AB50" s="380"/>
    </row>
    <row r="51" spans="1:28" ht="18" customHeight="1">
      <c r="A51" s="370"/>
      <c r="B51" s="370"/>
      <c r="C51" s="370"/>
      <c r="D51" s="370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  <c r="AA51" s="370"/>
      <c r="AB51" s="380"/>
    </row>
    <row r="52" spans="1:28">
      <c r="A52" s="370"/>
      <c r="B52" s="370"/>
      <c r="C52" s="370"/>
      <c r="D52" s="370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  <c r="AA52" s="370"/>
      <c r="AB52" s="380"/>
    </row>
    <row r="53" spans="1:28">
      <c r="A53" s="370"/>
      <c r="B53" s="370"/>
      <c r="C53" s="370"/>
      <c r="D53" s="370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  <c r="AA53" s="370"/>
      <c r="AB53" s="380"/>
    </row>
    <row r="54" spans="1:28">
      <c r="A54" s="370"/>
      <c r="B54" s="370"/>
      <c r="C54" s="370"/>
      <c r="D54" s="370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  <c r="AA54" s="370"/>
      <c r="AB54" s="380"/>
    </row>
    <row r="55" spans="1:28">
      <c r="A55" s="370"/>
      <c r="B55" s="370"/>
      <c r="C55" s="370"/>
      <c r="D55" s="370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  <c r="AA55" s="370"/>
      <c r="AB55" s="380"/>
    </row>
    <row r="56" spans="1:28">
      <c r="A56" s="370"/>
      <c r="B56" s="370"/>
      <c r="C56" s="370"/>
      <c r="D56" s="370"/>
      <c r="E56" s="370"/>
      <c r="F56" s="370"/>
      <c r="G56" s="370"/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  <c r="AA56" s="370"/>
      <c r="AB56" s="380"/>
    </row>
    <row r="57" spans="1:28">
      <c r="A57" s="370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  <c r="AA57" s="370"/>
      <c r="AB57" s="380"/>
    </row>
    <row r="58" spans="1:28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  <c r="AA58" s="370"/>
      <c r="AB58" s="380"/>
    </row>
    <row r="59" spans="1:28">
      <c r="A59" s="370"/>
      <c r="B59" s="370"/>
      <c r="C59" s="370"/>
      <c r="D59" s="370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  <c r="AA59" s="370"/>
      <c r="AB59" s="380"/>
    </row>
    <row r="60" spans="1:28">
      <c r="A60" s="370"/>
      <c r="B60" s="370"/>
      <c r="C60" s="370"/>
      <c r="D60" s="370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  <c r="AA60" s="370"/>
      <c r="AB60" s="380"/>
    </row>
    <row r="61" spans="1:28">
      <c r="A61" s="370"/>
      <c r="B61" s="370"/>
      <c r="C61" s="370"/>
      <c r="D61" s="370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  <c r="AA61" s="370"/>
      <c r="AB61" s="380"/>
    </row>
    <row r="62" spans="1:28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  <c r="AA62" s="370"/>
      <c r="AB62" s="380"/>
    </row>
    <row r="63" spans="1:28">
      <c r="A63" s="370"/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  <c r="AA63" s="370"/>
      <c r="AB63" s="380"/>
    </row>
    <row r="64" spans="1:28">
      <c r="A64" s="370"/>
      <c r="B64" s="370"/>
      <c r="C64" s="370"/>
      <c r="D64" s="370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  <c r="AA64" s="370"/>
      <c r="AB64" s="380"/>
    </row>
    <row r="65" spans="1:28">
      <c r="A65" s="370"/>
      <c r="B65" s="370"/>
      <c r="C65" s="370"/>
      <c r="D65" s="370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  <c r="AA65" s="370"/>
      <c r="AB65" s="380"/>
    </row>
    <row r="66" spans="1:28">
      <c r="A66" s="370"/>
      <c r="B66" s="370"/>
      <c r="C66" s="370"/>
      <c r="D66" s="370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  <c r="AA66" s="370"/>
      <c r="AB66" s="380"/>
    </row>
    <row r="67" spans="1:28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  <c r="AA67" s="370"/>
      <c r="AB67" s="380"/>
    </row>
    <row r="68" spans="1:28">
      <c r="A68" s="370"/>
      <c r="B68" s="370"/>
      <c r="C68" s="370"/>
      <c r="D68" s="370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  <c r="AA68" s="370"/>
      <c r="AB68" s="380"/>
    </row>
    <row r="69" spans="1:28">
      <c r="A69" s="370"/>
      <c r="B69" s="370"/>
      <c r="C69" s="370"/>
      <c r="D69" s="370"/>
      <c r="E69" s="370"/>
      <c r="F69" s="370"/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  <c r="AA69" s="370"/>
      <c r="AB69" s="380"/>
    </row>
    <row r="70" spans="1:28">
      <c r="A70" s="370"/>
      <c r="B70" s="370"/>
      <c r="C70" s="370"/>
      <c r="D70" s="370"/>
      <c r="E70" s="370"/>
      <c r="F70" s="370"/>
      <c r="G70" s="370"/>
      <c r="H70" s="370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  <c r="AA70" s="370"/>
      <c r="AB70" s="380"/>
    </row>
    <row r="71" spans="1:28">
      <c r="A71" s="370"/>
      <c r="B71" s="370"/>
      <c r="C71" s="370"/>
      <c r="D71" s="370"/>
      <c r="E71" s="370"/>
      <c r="F71" s="370"/>
      <c r="G71" s="370"/>
      <c r="H71" s="370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  <c r="AA71" s="370"/>
      <c r="AB71" s="380"/>
    </row>
    <row r="72" spans="1:28">
      <c r="A72" s="370"/>
      <c r="B72" s="370"/>
      <c r="C72" s="370"/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  <c r="AA72" s="370"/>
      <c r="AB72" s="380"/>
    </row>
    <row r="73" spans="1:28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  <c r="AA73" s="370"/>
      <c r="AB73" s="380"/>
    </row>
    <row r="74" spans="1:28">
      <c r="A74" s="370"/>
      <c r="B74" s="370"/>
      <c r="C74" s="370"/>
      <c r="D74" s="370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  <c r="AA74" s="370"/>
      <c r="AB74" s="380"/>
    </row>
    <row r="75" spans="1:28">
      <c r="A75" s="370"/>
      <c r="B75" s="370"/>
      <c r="C75" s="370"/>
      <c r="D75" s="370"/>
      <c r="E75" s="370"/>
      <c r="F75" s="370"/>
      <c r="G75" s="370"/>
      <c r="H75" s="37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  <c r="AA75" s="370"/>
      <c r="AB75" s="380"/>
    </row>
    <row r="76" spans="1:28">
      <c r="A76" s="370"/>
      <c r="B76" s="370"/>
      <c r="C76" s="370"/>
      <c r="D76" s="370"/>
      <c r="E76" s="370"/>
      <c r="F76" s="370"/>
      <c r="G76" s="370"/>
      <c r="H76" s="370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  <c r="AA76" s="370"/>
      <c r="AB76" s="380"/>
    </row>
    <row r="77" spans="1:28">
      <c r="A77" s="370"/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  <c r="AA77" s="370"/>
      <c r="AB77" s="380"/>
    </row>
    <row r="78" spans="1:28">
      <c r="A78" s="370"/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  <c r="AA78" s="370"/>
      <c r="AB78" s="380"/>
    </row>
    <row r="79" spans="1:28">
      <c r="A79" s="370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  <c r="AA79" s="370"/>
      <c r="AB79" s="380"/>
    </row>
    <row r="80" spans="1:28">
      <c r="A80" s="370"/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  <c r="AA80" s="370"/>
      <c r="AB80" s="380"/>
    </row>
    <row r="81" spans="1:28">
      <c r="A81" s="370"/>
      <c r="B81" s="370"/>
      <c r="C81" s="370"/>
      <c r="D81" s="370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  <c r="AA81" s="370"/>
      <c r="AB81" s="380"/>
    </row>
    <row r="82" spans="1:28">
      <c r="A82" s="370"/>
      <c r="B82" s="370"/>
      <c r="C82" s="370"/>
      <c r="D82" s="370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  <c r="AA82" s="370"/>
      <c r="AB82" s="380"/>
    </row>
    <row r="83" spans="1:28">
      <c r="A83" s="370"/>
      <c r="B83" s="370"/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  <c r="AA83" s="370"/>
      <c r="AB83" s="380"/>
    </row>
    <row r="84" spans="1:28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  <c r="AA84" s="370"/>
      <c r="AB84" s="380"/>
    </row>
    <row r="85" spans="1:28">
      <c r="A85" s="370"/>
      <c r="B85" s="370"/>
      <c r="C85" s="370"/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  <c r="AA85" s="370"/>
      <c r="AB85" s="380"/>
    </row>
    <row r="86" spans="1:28">
      <c r="A86" s="370"/>
      <c r="B86" s="370"/>
      <c r="C86" s="370"/>
      <c r="D86" s="370"/>
      <c r="E86" s="370"/>
      <c r="F86" s="370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  <c r="AA86" s="370"/>
      <c r="AB86" s="380"/>
    </row>
    <row r="87" spans="1:28">
      <c r="A87" s="370"/>
      <c r="B87" s="370"/>
      <c r="C87" s="370"/>
      <c r="D87" s="370"/>
      <c r="E87" s="370"/>
      <c r="F87" s="370"/>
      <c r="G87" s="370"/>
      <c r="H87" s="370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  <c r="AA87" s="370"/>
      <c r="AB87" s="380"/>
    </row>
    <row r="88" spans="1:28">
      <c r="A88" s="370"/>
      <c r="B88" s="370"/>
      <c r="C88" s="370"/>
      <c r="D88" s="370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  <c r="AA88" s="370"/>
      <c r="AB88" s="380"/>
    </row>
    <row r="89" spans="1:28">
      <c r="A89" s="370"/>
      <c r="B89" s="370"/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  <c r="AA89" s="370"/>
      <c r="AB89" s="380"/>
    </row>
    <row r="90" spans="1:28">
      <c r="A90" s="370"/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  <c r="AA90" s="370"/>
      <c r="AB90" s="380"/>
    </row>
    <row r="91" spans="1:28">
      <c r="A91" s="370"/>
      <c r="B91" s="370"/>
      <c r="C91" s="370"/>
      <c r="D91" s="370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  <c r="AA91" s="370"/>
      <c r="AB91" s="380"/>
    </row>
    <row r="92" spans="1:28">
      <c r="A92" s="370"/>
      <c r="B92" s="370"/>
      <c r="C92" s="370"/>
      <c r="D92" s="370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  <c r="AA92" s="370"/>
      <c r="AB92" s="380"/>
    </row>
    <row r="93" spans="1:28">
      <c r="A93" s="370"/>
      <c r="B93" s="370"/>
      <c r="C93" s="370"/>
      <c r="D93" s="370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  <c r="AA93" s="370"/>
      <c r="AB93" s="380"/>
    </row>
    <row r="94" spans="1:28">
      <c r="A94" s="370"/>
      <c r="B94" s="370"/>
      <c r="C94" s="370"/>
      <c r="D94" s="370"/>
      <c r="E94" s="370"/>
      <c r="F94" s="370"/>
      <c r="G94" s="370"/>
      <c r="H94" s="370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  <c r="AA94" s="370"/>
      <c r="AB94" s="380"/>
    </row>
    <row r="95" spans="1:28">
      <c r="A95" s="370"/>
      <c r="B95" s="370"/>
      <c r="C95" s="370"/>
      <c r="D95" s="370"/>
      <c r="E95" s="370"/>
      <c r="F95" s="370"/>
      <c r="G95" s="370"/>
      <c r="H95" s="370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  <c r="AA95" s="370"/>
      <c r="AB95" s="380"/>
    </row>
    <row r="96" spans="1:28">
      <c r="A96" s="370"/>
      <c r="B96" s="370"/>
      <c r="C96" s="370"/>
      <c r="D96" s="370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  <c r="AA96" s="370"/>
      <c r="AB96" s="380"/>
    </row>
    <row r="97" spans="1:28">
      <c r="A97" s="370"/>
      <c r="B97" s="370"/>
      <c r="C97" s="370"/>
      <c r="D97" s="370"/>
      <c r="E97" s="370"/>
      <c r="F97" s="370"/>
      <c r="G97" s="370"/>
      <c r="H97" s="370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  <c r="AA97" s="370"/>
      <c r="AB97" s="380"/>
    </row>
    <row r="98" spans="1:28">
      <c r="A98" s="370"/>
      <c r="B98" s="370"/>
      <c r="C98" s="370"/>
      <c r="D98" s="370"/>
      <c r="E98" s="370"/>
      <c r="F98" s="370"/>
      <c r="G98" s="370"/>
      <c r="H98" s="370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  <c r="AA98" s="370"/>
      <c r="AB98" s="380"/>
    </row>
    <row r="99" spans="1:28">
      <c r="A99" s="370"/>
      <c r="B99" s="370"/>
      <c r="C99" s="370"/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  <c r="AA99" s="370"/>
      <c r="AB99" s="380"/>
    </row>
    <row r="100" spans="1:28">
      <c r="A100" s="370"/>
      <c r="B100" s="370"/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  <c r="AA100" s="370"/>
      <c r="AB100" s="380"/>
    </row>
    <row r="101" spans="1:28">
      <c r="A101" s="370"/>
      <c r="B101" s="370"/>
      <c r="C101" s="370"/>
      <c r="D101" s="370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  <c r="AA101" s="370"/>
      <c r="AB101" s="380"/>
    </row>
    <row r="102" spans="1:28">
      <c r="A102" s="370"/>
      <c r="B102" s="370"/>
      <c r="C102" s="370"/>
      <c r="D102" s="370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  <c r="AA102" s="370"/>
      <c r="AB102" s="380"/>
    </row>
    <row r="103" spans="1:28">
      <c r="A103" s="370"/>
      <c r="B103" s="370"/>
      <c r="C103" s="370"/>
      <c r="D103" s="370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  <c r="AA103" s="370"/>
      <c r="AB103" s="380"/>
    </row>
    <row r="104" spans="1:28">
      <c r="A104" s="370"/>
      <c r="B104" s="370"/>
      <c r="C104" s="370"/>
      <c r="D104" s="370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  <c r="AA104" s="370"/>
      <c r="AB104" s="380"/>
    </row>
    <row r="105" spans="1:28">
      <c r="A105" s="370"/>
      <c r="B105" s="370"/>
      <c r="C105" s="370"/>
      <c r="D105" s="370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  <c r="AA105" s="370"/>
      <c r="AB105" s="380"/>
    </row>
    <row r="106" spans="1:28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  <c r="AA106" s="370"/>
      <c r="AB106" s="380"/>
    </row>
    <row r="107" spans="1:28">
      <c r="A107" s="370"/>
      <c r="B107" s="370"/>
      <c r="C107" s="370"/>
      <c r="D107" s="370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  <c r="AA107" s="370"/>
      <c r="AB107" s="380"/>
    </row>
    <row r="108" spans="1:28">
      <c r="A108" s="370"/>
      <c r="B108" s="370"/>
      <c r="C108" s="370"/>
      <c r="D108" s="370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  <c r="AA108" s="370"/>
      <c r="AB108" s="380"/>
    </row>
    <row r="109" spans="1:28">
      <c r="A109" s="370"/>
      <c r="B109" s="370"/>
      <c r="C109" s="370"/>
      <c r="D109" s="370"/>
      <c r="E109" s="370"/>
      <c r="F109" s="370"/>
      <c r="G109" s="370"/>
      <c r="H109" s="370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  <c r="AA109" s="370"/>
      <c r="AB109" s="380"/>
    </row>
    <row r="110" spans="1:28">
      <c r="A110" s="370"/>
      <c r="B110" s="370"/>
      <c r="C110" s="370"/>
      <c r="D110" s="370"/>
      <c r="E110" s="370"/>
      <c r="F110" s="370"/>
      <c r="G110" s="370"/>
      <c r="H110" s="370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  <c r="AA110" s="370"/>
      <c r="AB110" s="380"/>
    </row>
    <row r="111" spans="1:28">
      <c r="A111" s="370"/>
      <c r="B111" s="370"/>
      <c r="C111" s="370"/>
      <c r="D111" s="370"/>
      <c r="E111" s="370"/>
      <c r="F111" s="370"/>
      <c r="G111" s="370"/>
      <c r="H111" s="370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  <c r="AA111" s="370"/>
      <c r="AB111" s="380"/>
    </row>
    <row r="112" spans="1:28">
      <c r="A112" s="370"/>
      <c r="B112" s="370"/>
      <c r="C112" s="370"/>
      <c r="D112" s="370"/>
      <c r="E112" s="370"/>
      <c r="F112" s="370"/>
      <c r="G112" s="370"/>
      <c r="H112" s="370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  <c r="AA112" s="370"/>
      <c r="AB112" s="380"/>
    </row>
    <row r="113" spans="1:28">
      <c r="A113" s="370"/>
      <c r="B113" s="370"/>
      <c r="C113" s="370"/>
      <c r="D113" s="370"/>
      <c r="E113" s="370"/>
      <c r="F113" s="370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  <c r="AA113" s="370"/>
      <c r="AB113" s="380"/>
    </row>
    <row r="114" spans="1:28">
      <c r="A114" s="370"/>
      <c r="B114" s="370"/>
      <c r="C114" s="370"/>
      <c r="D114" s="370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  <c r="AA114" s="370"/>
      <c r="AB114" s="380"/>
    </row>
    <row r="115" spans="1:28">
      <c r="A115" s="370"/>
      <c r="B115" s="370"/>
      <c r="C115" s="370"/>
      <c r="D115" s="370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  <c r="AA115" s="370"/>
      <c r="AB115" s="380"/>
    </row>
    <row r="116" spans="1:28">
      <c r="A116" s="370"/>
      <c r="B116" s="370"/>
      <c r="C116" s="370"/>
      <c r="D116" s="370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  <c r="AA116" s="370"/>
      <c r="AB116" s="380"/>
    </row>
    <row r="117" spans="1:28">
      <c r="A117" s="370"/>
      <c r="B117" s="370"/>
      <c r="C117" s="370"/>
      <c r="D117" s="370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  <c r="AA117" s="370"/>
      <c r="AB117" s="380"/>
    </row>
    <row r="118" spans="1:28">
      <c r="A118" s="370"/>
      <c r="B118" s="370"/>
      <c r="C118" s="370"/>
      <c r="D118" s="370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  <c r="AA118" s="370"/>
      <c r="AB118" s="380"/>
    </row>
    <row r="119" spans="1:28">
      <c r="A119" s="370"/>
      <c r="B119" s="370"/>
      <c r="C119" s="370"/>
      <c r="D119" s="370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  <c r="AA119" s="370"/>
      <c r="AB119" s="380"/>
    </row>
    <row r="120" spans="1:28">
      <c r="A120" s="370"/>
      <c r="B120" s="370"/>
      <c r="C120" s="370"/>
      <c r="D120" s="370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  <c r="AA120" s="370"/>
      <c r="AB120" s="380"/>
    </row>
    <row r="121" spans="1:28">
      <c r="A121" s="370"/>
      <c r="B121" s="370"/>
      <c r="C121" s="370"/>
      <c r="D121" s="370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  <c r="AA121" s="370"/>
      <c r="AB121" s="380"/>
    </row>
    <row r="122" spans="1:28">
      <c r="A122" s="370"/>
      <c r="B122" s="370"/>
      <c r="C122" s="370"/>
      <c r="D122" s="370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  <c r="AA122" s="370"/>
      <c r="AB122" s="380"/>
    </row>
    <row r="123" spans="1:28">
      <c r="A123" s="370"/>
      <c r="B123" s="370"/>
      <c r="C123" s="370"/>
      <c r="D123" s="370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  <c r="AA123" s="370"/>
      <c r="AB123" s="380"/>
    </row>
    <row r="124" spans="1:28">
      <c r="A124" s="370"/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  <c r="AA124" s="370"/>
      <c r="AB124" s="380"/>
    </row>
    <row r="125" spans="1:28">
      <c r="A125" s="370"/>
      <c r="B125" s="370"/>
      <c r="C125" s="370"/>
      <c r="D125" s="370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  <c r="AA125" s="370"/>
      <c r="AB125" s="380"/>
    </row>
    <row r="126" spans="1:28">
      <c r="A126" s="370"/>
      <c r="B126" s="370"/>
      <c r="C126" s="370"/>
      <c r="D126" s="370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  <c r="AA126" s="370"/>
      <c r="AB126" s="380"/>
    </row>
    <row r="127" spans="1:28">
      <c r="A127" s="370"/>
      <c r="B127" s="370"/>
      <c r="C127" s="370"/>
      <c r="D127" s="370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  <c r="AA127" s="370"/>
      <c r="AB127" s="380"/>
    </row>
    <row r="128" spans="1:28">
      <c r="A128" s="370"/>
      <c r="B128" s="370"/>
      <c r="C128" s="370"/>
      <c r="D128" s="370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  <c r="AA128" s="370"/>
      <c r="AB128" s="380"/>
    </row>
    <row r="129" spans="1:28">
      <c r="A129" s="370"/>
      <c r="B129" s="370"/>
      <c r="C129" s="370"/>
      <c r="D129" s="370"/>
      <c r="E129" s="370"/>
      <c r="F129" s="370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  <c r="AA129" s="370"/>
      <c r="AB129" s="380"/>
    </row>
    <row r="130" spans="1:28">
      <c r="A130" s="370"/>
      <c r="B130" s="370"/>
      <c r="C130" s="370"/>
      <c r="D130" s="370"/>
      <c r="E130" s="370"/>
      <c r="F130" s="370"/>
      <c r="G130" s="370"/>
      <c r="H130" s="370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  <c r="AA130" s="370"/>
      <c r="AB130" s="380"/>
    </row>
    <row r="131" spans="1:28">
      <c r="A131" s="370"/>
      <c r="B131" s="370"/>
      <c r="C131" s="370"/>
      <c r="D131" s="370"/>
      <c r="E131" s="370"/>
      <c r="F131" s="370"/>
      <c r="G131" s="370"/>
      <c r="H131" s="370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  <c r="AA131" s="370"/>
      <c r="AB131" s="380"/>
    </row>
    <row r="132" spans="1:28">
      <c r="A132" s="370"/>
      <c r="B132" s="370"/>
      <c r="C132" s="370"/>
      <c r="D132" s="370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  <c r="AA132" s="370"/>
      <c r="AB132" s="380"/>
    </row>
    <row r="133" spans="1:28">
      <c r="A133" s="370"/>
      <c r="B133" s="370"/>
      <c r="C133" s="370"/>
      <c r="D133" s="370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  <c r="AA133" s="370"/>
      <c r="AB133" s="380"/>
    </row>
    <row r="134" spans="1:28">
      <c r="A134" s="370"/>
      <c r="B134" s="370"/>
      <c r="C134" s="370"/>
      <c r="D134" s="370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  <c r="AA134" s="370"/>
      <c r="AB134" s="380"/>
    </row>
    <row r="135" spans="1:28">
      <c r="A135" s="370"/>
      <c r="B135" s="370"/>
      <c r="C135" s="370"/>
      <c r="D135" s="370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  <c r="AA135" s="370"/>
      <c r="AB135" s="380"/>
    </row>
    <row r="136" spans="1:28">
      <c r="A136" s="370"/>
      <c r="B136" s="370"/>
      <c r="C136" s="370"/>
      <c r="D136" s="370"/>
      <c r="E136" s="370"/>
      <c r="F136" s="370"/>
      <c r="G136" s="370"/>
      <c r="H136" s="370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  <c r="AA136" s="370"/>
      <c r="AB136" s="380"/>
    </row>
    <row r="137" spans="1:28">
      <c r="A137" s="370"/>
      <c r="B137" s="370"/>
      <c r="C137" s="370"/>
      <c r="D137" s="370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  <c r="AA137" s="370"/>
      <c r="AB137" s="380"/>
    </row>
    <row r="138" spans="1:28">
      <c r="A138" s="370"/>
      <c r="B138" s="370"/>
      <c r="C138" s="370"/>
      <c r="D138" s="370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  <c r="AA138" s="370"/>
      <c r="AB138" s="380"/>
    </row>
    <row r="139" spans="1:28">
      <c r="A139" s="370"/>
      <c r="B139" s="370"/>
      <c r="C139" s="370"/>
      <c r="D139" s="370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  <c r="AA139" s="370"/>
      <c r="AB139" s="380"/>
    </row>
    <row r="140" spans="1:28">
      <c r="A140" s="370"/>
      <c r="B140" s="370"/>
      <c r="C140" s="370"/>
      <c r="D140" s="370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  <c r="AA140" s="370"/>
      <c r="AB140" s="380"/>
    </row>
    <row r="141" spans="1:28">
      <c r="A141" s="370"/>
      <c r="B141" s="370"/>
      <c r="C141" s="370"/>
      <c r="D141" s="370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  <c r="AA141" s="370"/>
      <c r="AB141" s="380"/>
    </row>
    <row r="142" spans="1:28">
      <c r="A142" s="370"/>
      <c r="B142" s="370"/>
      <c r="C142" s="370"/>
      <c r="D142" s="370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  <c r="AA142" s="370"/>
      <c r="AB142" s="380"/>
    </row>
    <row r="143" spans="1:28">
      <c r="A143" s="370"/>
      <c r="B143" s="370"/>
      <c r="C143" s="370"/>
      <c r="D143" s="370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  <c r="AA143" s="370"/>
      <c r="AB143" s="380"/>
    </row>
    <row r="144" spans="1:28">
      <c r="A144" s="370"/>
      <c r="B144" s="370"/>
      <c r="C144" s="370"/>
      <c r="D144" s="370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  <c r="AA144" s="370"/>
      <c r="AB144" s="380"/>
    </row>
    <row r="145" spans="1:28">
      <c r="A145" s="370"/>
      <c r="B145" s="370"/>
      <c r="C145" s="370"/>
      <c r="D145" s="370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  <c r="AA145" s="370"/>
      <c r="AB145" s="380"/>
    </row>
    <row r="146" spans="1:28">
      <c r="A146" s="370"/>
      <c r="B146" s="370"/>
      <c r="C146" s="370"/>
      <c r="D146" s="370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  <c r="AA146" s="370"/>
      <c r="AB146" s="380"/>
    </row>
    <row r="147" spans="1:28">
      <c r="A147" s="370"/>
      <c r="B147" s="370"/>
      <c r="C147" s="370"/>
      <c r="D147" s="370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  <c r="AA147" s="370"/>
      <c r="AB147" s="380"/>
    </row>
    <row r="148" spans="1:28">
      <c r="A148" s="370"/>
      <c r="B148" s="370"/>
      <c r="C148" s="370"/>
      <c r="D148" s="370"/>
      <c r="E148" s="370"/>
      <c r="F148" s="370"/>
      <c r="G148" s="370"/>
      <c r="H148" s="370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  <c r="AA148" s="370"/>
      <c r="AB148" s="380"/>
    </row>
    <row r="149" spans="1:28">
      <c r="A149" s="370"/>
      <c r="B149" s="370"/>
      <c r="C149" s="370"/>
      <c r="D149" s="370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  <c r="AA149" s="370"/>
      <c r="AB149" s="380"/>
    </row>
    <row r="150" spans="1:28">
      <c r="A150" s="370"/>
      <c r="B150" s="370"/>
      <c r="C150" s="370"/>
      <c r="D150" s="370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  <c r="AA150" s="370"/>
      <c r="AB150" s="380"/>
    </row>
    <row r="151" spans="1:28">
      <c r="A151" s="370"/>
      <c r="B151" s="370"/>
      <c r="C151" s="370"/>
      <c r="D151" s="370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  <c r="AA151" s="370"/>
      <c r="AB151" s="380"/>
    </row>
    <row r="152" spans="1:28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  <c r="AA152" s="370"/>
      <c r="AB152" s="380"/>
    </row>
    <row r="153" spans="1:28">
      <c r="A153" s="370"/>
      <c r="B153" s="370"/>
      <c r="C153" s="370"/>
      <c r="D153" s="370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  <c r="AA153" s="370"/>
      <c r="AB153" s="380"/>
    </row>
    <row r="154" spans="1:28">
      <c r="A154" s="370"/>
      <c r="B154" s="370"/>
      <c r="C154" s="370"/>
      <c r="D154" s="370"/>
      <c r="E154" s="370"/>
      <c r="F154" s="370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  <c r="AA154" s="370"/>
      <c r="AB154" s="380"/>
    </row>
    <row r="155" spans="1:28">
      <c r="A155" s="370"/>
      <c r="B155" s="370"/>
      <c r="C155" s="370"/>
      <c r="D155" s="370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  <c r="AA155" s="370"/>
      <c r="AB155" s="380"/>
    </row>
    <row r="156" spans="1:28">
      <c r="A156" s="370"/>
      <c r="B156" s="370"/>
      <c r="C156" s="370"/>
      <c r="D156" s="370"/>
      <c r="E156" s="370"/>
      <c r="F156" s="370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  <c r="AA156" s="370"/>
      <c r="AB156" s="380"/>
    </row>
    <row r="157" spans="1:28">
      <c r="A157" s="370"/>
      <c r="B157" s="370"/>
      <c r="C157" s="370"/>
      <c r="D157" s="370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  <c r="AA157" s="370"/>
      <c r="AB157" s="380"/>
    </row>
    <row r="158" spans="1:28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  <c r="AA158" s="370"/>
      <c r="AB158" s="380"/>
    </row>
    <row r="159" spans="1:28">
      <c r="A159" s="370"/>
      <c r="B159" s="370"/>
      <c r="C159" s="370"/>
      <c r="D159" s="370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  <c r="AA159" s="370"/>
      <c r="AB159" s="380"/>
    </row>
    <row r="160" spans="1:28">
      <c r="A160" s="370"/>
      <c r="B160" s="370"/>
      <c r="C160" s="370"/>
      <c r="D160" s="370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  <c r="AA160" s="370"/>
      <c r="AB160" s="380"/>
    </row>
    <row r="161" spans="1:28">
      <c r="A161" s="370"/>
      <c r="B161" s="370"/>
      <c r="C161" s="370"/>
      <c r="D161" s="370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  <c r="AA161" s="370"/>
      <c r="AB161" s="380"/>
    </row>
    <row r="162" spans="1:28">
      <c r="A162" s="370"/>
      <c r="B162" s="370"/>
      <c r="C162" s="370"/>
      <c r="D162" s="370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  <c r="AA162" s="370"/>
      <c r="AB162" s="380"/>
    </row>
    <row r="163" spans="1:28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  <c r="AA163" s="370"/>
      <c r="AB163" s="380"/>
    </row>
    <row r="164" spans="1:28">
      <c r="A164" s="370"/>
      <c r="B164" s="370"/>
      <c r="C164" s="370"/>
      <c r="D164" s="370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  <c r="AA164" s="370"/>
      <c r="AB164" s="380"/>
    </row>
    <row r="165" spans="1:28">
      <c r="A165" s="370"/>
      <c r="B165" s="370"/>
      <c r="C165" s="370"/>
      <c r="D165" s="370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  <c r="AA165" s="370"/>
      <c r="AB165" s="380"/>
    </row>
    <row r="166" spans="1:28">
      <c r="A166" s="370"/>
      <c r="B166" s="370"/>
      <c r="C166" s="370"/>
      <c r="D166" s="370"/>
      <c r="E166" s="370"/>
      <c r="F166" s="370"/>
      <c r="G166" s="370"/>
      <c r="H166" s="370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  <c r="AA166" s="370"/>
      <c r="AB166" s="380"/>
    </row>
    <row r="167" spans="1:28">
      <c r="A167" s="370"/>
      <c r="B167" s="370"/>
      <c r="C167" s="370"/>
      <c r="D167" s="370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  <c r="AA167" s="370"/>
      <c r="AB167" s="380"/>
    </row>
    <row r="168" spans="1:28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  <c r="AA168" s="370"/>
      <c r="AB168" s="380"/>
    </row>
    <row r="169" spans="1:28">
      <c r="A169" s="370"/>
      <c r="B169" s="370"/>
      <c r="C169" s="370"/>
      <c r="D169" s="370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  <c r="AA169" s="370"/>
      <c r="AB169" s="380"/>
    </row>
    <row r="170" spans="1:28">
      <c r="A170" s="370"/>
      <c r="B170" s="370"/>
      <c r="C170" s="370"/>
      <c r="D170" s="370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  <c r="AA170" s="370"/>
      <c r="AB170" s="380"/>
    </row>
    <row r="171" spans="1:28">
      <c r="A171" s="370"/>
      <c r="B171" s="370"/>
      <c r="C171" s="370"/>
      <c r="D171" s="370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  <c r="AA171" s="370"/>
      <c r="AB171" s="380"/>
    </row>
    <row r="172" spans="1:28">
      <c r="A172" s="370"/>
      <c r="B172" s="370"/>
      <c r="C172" s="370"/>
      <c r="D172" s="370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  <c r="AA172" s="370"/>
      <c r="AB172" s="380"/>
    </row>
    <row r="173" spans="1:28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  <c r="AA173" s="370"/>
      <c r="AB173" s="380"/>
    </row>
    <row r="174" spans="1:28">
      <c r="A174" s="370"/>
      <c r="B174" s="370"/>
      <c r="C174" s="370"/>
      <c r="D174" s="370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  <c r="AA174" s="370"/>
      <c r="AB174" s="380"/>
    </row>
    <row r="175" spans="1:28">
      <c r="A175" s="370"/>
      <c r="B175" s="370"/>
      <c r="C175" s="370"/>
      <c r="D175" s="370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  <c r="AA175" s="370"/>
      <c r="AB175" s="380"/>
    </row>
    <row r="176" spans="1:28">
      <c r="A176" s="370"/>
      <c r="B176" s="370"/>
      <c r="C176" s="370"/>
      <c r="D176" s="370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  <c r="AA176" s="370"/>
      <c r="AB176" s="380"/>
    </row>
    <row r="177" spans="1:28">
      <c r="A177" s="370"/>
      <c r="B177" s="370"/>
      <c r="C177" s="370"/>
      <c r="D177" s="370"/>
      <c r="E177" s="370"/>
      <c r="F177" s="370"/>
      <c r="G177" s="370"/>
      <c r="H177" s="370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  <c r="AA177" s="370"/>
      <c r="AB177" s="380"/>
    </row>
    <row r="178" spans="1:28">
      <c r="A178" s="370"/>
      <c r="B178" s="370"/>
      <c r="C178" s="370"/>
      <c r="D178" s="370"/>
      <c r="E178" s="370"/>
      <c r="F178" s="370"/>
      <c r="G178" s="370"/>
      <c r="H178" s="370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  <c r="AA178" s="370"/>
      <c r="AB178" s="380"/>
    </row>
    <row r="179" spans="1:28">
      <c r="A179" s="370"/>
      <c r="B179" s="370"/>
      <c r="C179" s="370"/>
      <c r="D179" s="370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  <c r="AA179" s="370"/>
      <c r="AB179" s="380"/>
    </row>
    <row r="180" spans="1:28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  <c r="AA180" s="370"/>
      <c r="AB180" s="380"/>
    </row>
    <row r="181" spans="1:28">
      <c r="A181" s="370"/>
      <c r="B181" s="370"/>
      <c r="C181" s="370"/>
      <c r="D181" s="370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  <c r="AB181" s="380"/>
    </row>
    <row r="182" spans="1:28">
      <c r="A182" s="370"/>
      <c r="B182" s="370"/>
      <c r="C182" s="370"/>
      <c r="D182" s="370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  <c r="AA182" s="370"/>
      <c r="AB182" s="380"/>
    </row>
    <row r="183" spans="1:28">
      <c r="A183" s="370"/>
      <c r="B183" s="370"/>
      <c r="C183" s="370"/>
      <c r="D183" s="370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  <c r="AA183" s="370"/>
      <c r="AB183" s="380"/>
    </row>
    <row r="184" spans="1:28">
      <c r="A184" s="370"/>
      <c r="B184" s="370"/>
      <c r="C184" s="370"/>
      <c r="D184" s="370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  <c r="AA184" s="370"/>
      <c r="AB184" s="380"/>
    </row>
    <row r="185" spans="1:28">
      <c r="A185" s="370"/>
      <c r="B185" s="370"/>
      <c r="C185" s="370"/>
      <c r="D185" s="370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  <c r="AA185" s="370"/>
      <c r="AB185" s="380"/>
    </row>
    <row r="186" spans="1:28">
      <c r="A186" s="370"/>
      <c r="B186" s="370"/>
      <c r="C186" s="370"/>
      <c r="D186" s="370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  <c r="AA186" s="370"/>
      <c r="AB186" s="380"/>
    </row>
    <row r="187" spans="1:28">
      <c r="A187" s="370"/>
      <c r="B187" s="370"/>
      <c r="C187" s="370"/>
      <c r="D187" s="370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  <c r="AA187" s="370"/>
      <c r="AB187" s="380"/>
    </row>
    <row r="188" spans="1:28">
      <c r="A188" s="370"/>
      <c r="B188" s="370"/>
      <c r="C188" s="370"/>
      <c r="D188" s="370"/>
      <c r="E188" s="370"/>
      <c r="F188" s="370"/>
      <c r="G188" s="370"/>
      <c r="H188" s="370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  <c r="AA188" s="370"/>
      <c r="AB188" s="380"/>
    </row>
    <row r="189" spans="1:28">
      <c r="A189" s="370"/>
      <c r="B189" s="370"/>
      <c r="C189" s="370"/>
      <c r="D189" s="370"/>
      <c r="E189" s="370"/>
      <c r="F189" s="370"/>
      <c r="G189" s="370"/>
      <c r="H189" s="370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  <c r="AA189" s="370"/>
      <c r="AB189" s="380"/>
    </row>
    <row r="190" spans="1:28">
      <c r="A190" s="370"/>
      <c r="B190" s="370"/>
      <c r="C190" s="370"/>
      <c r="D190" s="370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  <c r="AA190" s="370"/>
      <c r="AB190" s="380"/>
    </row>
    <row r="191" spans="1:28">
      <c r="A191" s="370"/>
      <c r="B191" s="370"/>
      <c r="C191" s="370"/>
      <c r="D191" s="370"/>
      <c r="E191" s="370"/>
      <c r="F191" s="370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  <c r="AA191" s="370"/>
      <c r="AB191" s="380"/>
    </row>
    <row r="192" spans="1:28">
      <c r="A192" s="370"/>
      <c r="B192" s="370"/>
      <c r="C192" s="370"/>
      <c r="D192" s="370"/>
      <c r="E192" s="370"/>
      <c r="F192" s="370"/>
      <c r="G192" s="370"/>
      <c r="H192" s="370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  <c r="AA192" s="370"/>
      <c r="AB192" s="380"/>
    </row>
    <row r="193" spans="1:28">
      <c r="A193" s="370"/>
      <c r="B193" s="370"/>
      <c r="C193" s="370"/>
      <c r="D193" s="370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  <c r="AA193" s="370"/>
      <c r="AB193" s="380"/>
    </row>
    <row r="194" spans="1:28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  <c r="AA194" s="370"/>
      <c r="AB194" s="380"/>
    </row>
    <row r="195" spans="1:28">
      <c r="A195" s="370"/>
      <c r="B195" s="370"/>
      <c r="C195" s="370"/>
      <c r="D195" s="370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  <c r="AA195" s="370"/>
      <c r="AB195" s="380"/>
    </row>
    <row r="196" spans="1:28">
      <c r="A196" s="370"/>
      <c r="B196" s="370"/>
      <c r="C196" s="370"/>
      <c r="D196" s="370"/>
      <c r="E196" s="370"/>
      <c r="F196" s="370"/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  <c r="AA196" s="370"/>
      <c r="AB196" s="380"/>
    </row>
    <row r="197" spans="1:28">
      <c r="A197" s="370"/>
      <c r="B197" s="370"/>
      <c r="C197" s="370"/>
      <c r="D197" s="370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  <c r="AA197" s="370"/>
      <c r="AB197" s="380"/>
    </row>
    <row r="198" spans="1:28">
      <c r="A198" s="370"/>
      <c r="B198" s="370"/>
      <c r="C198" s="370"/>
      <c r="D198" s="370"/>
      <c r="E198" s="370"/>
      <c r="F198" s="370"/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  <c r="AA198" s="370"/>
      <c r="AB198" s="380"/>
    </row>
    <row r="199" spans="1:28">
      <c r="A199" s="370"/>
      <c r="B199" s="370"/>
      <c r="C199" s="370"/>
      <c r="D199" s="370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  <c r="AA199" s="370"/>
      <c r="AB199" s="380"/>
    </row>
    <row r="200" spans="1:28">
      <c r="A200" s="370"/>
      <c r="B200" s="370"/>
      <c r="C200" s="370"/>
      <c r="D200" s="370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  <c r="AA200" s="370"/>
      <c r="AB200" s="380"/>
    </row>
    <row r="201" spans="1:28">
      <c r="A201" s="370"/>
      <c r="B201" s="370"/>
      <c r="C201" s="370"/>
      <c r="D201" s="370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  <c r="AA201" s="370"/>
      <c r="AB201" s="380"/>
    </row>
    <row r="202" spans="1:28">
      <c r="A202" s="370"/>
      <c r="B202" s="370"/>
      <c r="C202" s="370"/>
      <c r="D202" s="370"/>
      <c r="E202" s="370"/>
      <c r="F202" s="370"/>
      <c r="G202" s="370"/>
      <c r="H202" s="370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  <c r="AA202" s="370"/>
      <c r="AB202" s="380"/>
    </row>
    <row r="203" spans="1:28">
      <c r="A203" s="370"/>
      <c r="B203" s="370"/>
      <c r="C203" s="370"/>
      <c r="D203" s="370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  <c r="AA203" s="370"/>
      <c r="AB203" s="380"/>
    </row>
    <row r="204" spans="1:28">
      <c r="A204" s="370"/>
      <c r="B204" s="370"/>
      <c r="C204" s="370"/>
      <c r="D204" s="370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  <c r="AA204" s="370"/>
      <c r="AB204" s="380"/>
    </row>
    <row r="205" spans="1:28">
      <c r="A205" s="370"/>
      <c r="B205" s="370"/>
      <c r="C205" s="370"/>
      <c r="D205" s="370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  <c r="AA205" s="370"/>
      <c r="AB205" s="380"/>
    </row>
    <row r="206" spans="1:28">
      <c r="A206" s="370"/>
      <c r="B206" s="370"/>
      <c r="C206" s="370"/>
      <c r="D206" s="370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  <c r="AA206" s="370"/>
      <c r="AB206" s="380"/>
    </row>
    <row r="207" spans="1:28">
      <c r="A207" s="370"/>
      <c r="B207" s="370"/>
      <c r="C207" s="370"/>
      <c r="D207" s="370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  <c r="AA207" s="370"/>
      <c r="AB207" s="380"/>
    </row>
    <row r="208" spans="1:28">
      <c r="A208" s="370"/>
      <c r="B208" s="370"/>
      <c r="C208" s="370"/>
      <c r="D208" s="370"/>
      <c r="E208" s="370"/>
      <c r="F208" s="370"/>
      <c r="G208" s="370"/>
      <c r="H208" s="370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  <c r="AA208" s="370"/>
      <c r="AB208" s="380"/>
    </row>
    <row r="209" spans="1:28">
      <c r="A209" s="370"/>
      <c r="B209" s="370"/>
      <c r="C209" s="370"/>
      <c r="D209" s="370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  <c r="AA209" s="370"/>
      <c r="AB209" s="380"/>
    </row>
    <row r="210" spans="1:28">
      <c r="A210" s="370"/>
      <c r="B210" s="370"/>
      <c r="C210" s="370"/>
      <c r="D210" s="370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  <c r="AA210" s="370"/>
      <c r="AB210" s="380"/>
    </row>
    <row r="211" spans="1:28">
      <c r="A211" s="370"/>
      <c r="B211" s="370"/>
      <c r="C211" s="370"/>
      <c r="D211" s="370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  <c r="AA211" s="370"/>
      <c r="AB211" s="380"/>
    </row>
    <row r="212" spans="1:28">
      <c r="A212" s="370"/>
      <c r="B212" s="370"/>
      <c r="C212" s="370"/>
      <c r="D212" s="370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  <c r="AA212" s="370"/>
      <c r="AB212" s="380"/>
    </row>
    <row r="213" spans="1:28">
      <c r="A213" s="370"/>
      <c r="B213" s="370"/>
      <c r="C213" s="370"/>
      <c r="D213" s="370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  <c r="AA213" s="370"/>
      <c r="AB213" s="380"/>
    </row>
    <row r="214" spans="1:28">
      <c r="A214" s="370"/>
      <c r="B214" s="370"/>
      <c r="C214" s="370"/>
      <c r="D214" s="370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  <c r="AA214" s="370"/>
      <c r="AB214" s="380"/>
    </row>
    <row r="215" spans="1:28">
      <c r="A215" s="370"/>
      <c r="B215" s="370"/>
      <c r="C215" s="370"/>
      <c r="D215" s="370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  <c r="AA215" s="370"/>
      <c r="AB215" s="380"/>
    </row>
    <row r="216" spans="1:28">
      <c r="A216" s="370"/>
      <c r="B216" s="370"/>
      <c r="C216" s="370"/>
      <c r="D216" s="370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  <c r="AA216" s="370"/>
      <c r="AB216" s="380"/>
    </row>
    <row r="217" spans="1:28">
      <c r="A217" s="370"/>
      <c r="B217" s="370"/>
      <c r="C217" s="370"/>
      <c r="D217" s="370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  <c r="AA217" s="370"/>
      <c r="AB217" s="380"/>
    </row>
    <row r="218" spans="1:28">
      <c r="A218" s="370"/>
      <c r="B218" s="370"/>
      <c r="C218" s="370"/>
      <c r="D218" s="370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  <c r="AA218" s="370"/>
      <c r="AB218" s="380"/>
    </row>
    <row r="219" spans="1:28">
      <c r="A219" s="370"/>
      <c r="B219" s="370"/>
      <c r="C219" s="370"/>
      <c r="D219" s="370"/>
      <c r="E219" s="370"/>
      <c r="F219" s="370"/>
      <c r="G219" s="370"/>
      <c r="H219" s="370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  <c r="AA219" s="370"/>
      <c r="AB219" s="380"/>
    </row>
    <row r="220" spans="1:28">
      <c r="A220" s="370"/>
      <c r="B220" s="370"/>
      <c r="C220" s="370"/>
      <c r="D220" s="370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  <c r="AA220" s="370"/>
      <c r="AB220" s="380"/>
    </row>
    <row r="221" spans="1:28">
      <c r="A221" s="370"/>
      <c r="B221" s="370"/>
      <c r="C221" s="370"/>
      <c r="D221" s="370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  <c r="AA221" s="370"/>
      <c r="AB221" s="380"/>
    </row>
    <row r="222" spans="1:28">
      <c r="A222" s="370"/>
      <c r="B222" s="370"/>
      <c r="C222" s="370"/>
      <c r="D222" s="370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  <c r="AA222" s="370"/>
      <c r="AB222" s="380"/>
    </row>
    <row r="223" spans="1:28">
      <c r="A223" s="370"/>
      <c r="B223" s="370"/>
      <c r="C223" s="370"/>
      <c r="D223" s="370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  <c r="AA223" s="370"/>
      <c r="AB223" s="380"/>
    </row>
    <row r="224" spans="1:28">
      <c r="A224" s="370"/>
      <c r="B224" s="370"/>
      <c r="C224" s="370"/>
      <c r="D224" s="370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  <c r="AA224" s="370"/>
      <c r="AB224" s="380"/>
    </row>
    <row r="225" spans="1:28">
      <c r="A225" s="370"/>
      <c r="B225" s="370"/>
      <c r="C225" s="370"/>
      <c r="D225" s="370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  <c r="AA225" s="370"/>
      <c r="AB225" s="380"/>
    </row>
    <row r="226" spans="1:28">
      <c r="A226" s="370"/>
      <c r="B226" s="370"/>
      <c r="C226" s="370"/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  <c r="AA226" s="370"/>
      <c r="AB226" s="380"/>
    </row>
    <row r="227" spans="1:28">
      <c r="A227" s="370"/>
      <c r="B227" s="370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  <c r="AA227" s="370"/>
      <c r="AB227" s="380"/>
    </row>
    <row r="228" spans="1:28">
      <c r="A228" s="370"/>
      <c r="B228" s="370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  <c r="AA228" s="370"/>
      <c r="AB228" s="380"/>
    </row>
    <row r="229" spans="1:28">
      <c r="A229" s="370"/>
      <c r="B229" s="370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  <c r="AA229" s="370"/>
      <c r="AB229" s="380"/>
    </row>
    <row r="230" spans="1:28">
      <c r="A230" s="370"/>
      <c r="B230" s="370"/>
      <c r="C230" s="370"/>
      <c r="D230" s="370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  <c r="AA230" s="370"/>
      <c r="AB230" s="380"/>
    </row>
    <row r="231" spans="1:28">
      <c r="A231" s="370"/>
      <c r="B231" s="370"/>
      <c r="C231" s="370"/>
      <c r="D231" s="370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  <c r="AA231" s="370"/>
      <c r="AB231" s="380"/>
    </row>
    <row r="232" spans="1:28">
      <c r="A232" s="370"/>
      <c r="B232" s="370"/>
      <c r="C232" s="370"/>
      <c r="D232" s="370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  <c r="AA232" s="370"/>
      <c r="AB232" s="380"/>
    </row>
    <row r="233" spans="1:28">
      <c r="A233" s="370"/>
      <c r="B233" s="370"/>
      <c r="C233" s="370"/>
      <c r="D233" s="370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  <c r="AA233" s="370"/>
      <c r="AB233" s="380"/>
    </row>
    <row r="234" spans="1:28">
      <c r="A234" s="370"/>
      <c r="B234" s="370"/>
      <c r="C234" s="370"/>
      <c r="D234" s="370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  <c r="AA234" s="370"/>
      <c r="AB234" s="380"/>
    </row>
    <row r="235" spans="1:28">
      <c r="A235" s="370"/>
      <c r="B235" s="370"/>
      <c r="C235" s="370"/>
      <c r="D235" s="370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  <c r="AA235" s="370"/>
      <c r="AB235" s="380"/>
    </row>
    <row r="236" spans="1:28">
      <c r="A236" s="370"/>
      <c r="B236" s="370"/>
      <c r="C236" s="370"/>
      <c r="D236" s="370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  <c r="AA236" s="370"/>
      <c r="AB236" s="380"/>
    </row>
    <row r="237" spans="1:28">
      <c r="A237" s="370"/>
      <c r="B237" s="370"/>
      <c r="C237" s="370"/>
      <c r="D237" s="370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  <c r="Z237" s="370"/>
      <c r="AA237" s="370"/>
      <c r="AB237" s="380"/>
    </row>
    <row r="238" spans="1:28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  <c r="AA238" s="370"/>
      <c r="AB238" s="380"/>
    </row>
    <row r="239" spans="1:28">
      <c r="A239" s="370"/>
      <c r="B239" s="370"/>
      <c r="C239" s="370"/>
      <c r="D239" s="370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  <c r="AA239" s="370"/>
      <c r="AB239" s="380"/>
    </row>
    <row r="240" spans="1:28">
      <c r="A240" s="370"/>
      <c r="B240" s="370"/>
      <c r="C240" s="370"/>
      <c r="D240" s="370"/>
      <c r="E240" s="370"/>
      <c r="F240" s="370"/>
      <c r="G240" s="370"/>
      <c r="H240" s="370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  <c r="Z240" s="370"/>
      <c r="AA240" s="370"/>
      <c r="AB240" s="380"/>
    </row>
    <row r="241" spans="1:28">
      <c r="A241" s="370"/>
      <c r="B241" s="370"/>
      <c r="C241" s="370"/>
      <c r="D241" s="370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  <c r="AA241" s="370"/>
      <c r="AB241" s="380"/>
    </row>
    <row r="242" spans="1:28">
      <c r="A242" s="370"/>
      <c r="B242" s="370"/>
      <c r="C242" s="370"/>
      <c r="D242" s="370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  <c r="Z242" s="370"/>
      <c r="AA242" s="370"/>
      <c r="AB242" s="380"/>
    </row>
    <row r="243" spans="1:28">
      <c r="A243" s="370"/>
      <c r="B243" s="370"/>
      <c r="C243" s="370"/>
      <c r="D243" s="370"/>
      <c r="E243" s="370"/>
      <c r="F243" s="370"/>
      <c r="G243" s="370"/>
      <c r="H243" s="370"/>
      <c r="I243" s="370"/>
      <c r="J243" s="370"/>
      <c r="K243" s="370"/>
      <c r="L243" s="370"/>
      <c r="M243" s="370"/>
      <c r="N243" s="370"/>
      <c r="O243" s="370"/>
      <c r="P243" s="370"/>
      <c r="Q243" s="370"/>
      <c r="R243" s="370"/>
      <c r="S243" s="370"/>
      <c r="T243" s="370"/>
      <c r="U243" s="370"/>
      <c r="V243" s="370"/>
      <c r="W243" s="370"/>
      <c r="X243" s="370"/>
      <c r="Y243" s="370"/>
      <c r="Z243" s="370"/>
      <c r="AA243" s="370"/>
      <c r="AB243" s="380"/>
    </row>
    <row r="244" spans="1:28">
      <c r="A244" s="370"/>
      <c r="B244" s="370"/>
      <c r="C244" s="370"/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0"/>
      <c r="P244" s="370"/>
      <c r="Q244" s="370"/>
      <c r="R244" s="370"/>
      <c r="S244" s="370"/>
      <c r="T244" s="370"/>
      <c r="U244" s="370"/>
      <c r="V244" s="370"/>
      <c r="W244" s="370"/>
      <c r="X244" s="370"/>
      <c r="Y244" s="370"/>
      <c r="Z244" s="370"/>
      <c r="AA244" s="370"/>
      <c r="AB244" s="380"/>
    </row>
    <row r="245" spans="1:28">
      <c r="A245" s="370"/>
      <c r="B245" s="370"/>
      <c r="C245" s="370"/>
      <c r="D245" s="370"/>
      <c r="E245" s="370"/>
      <c r="F245" s="370"/>
      <c r="G245" s="370"/>
      <c r="H245" s="370"/>
      <c r="I245" s="370"/>
      <c r="J245" s="370"/>
      <c r="K245" s="370"/>
      <c r="L245" s="370"/>
      <c r="M245" s="370"/>
      <c r="N245" s="370"/>
      <c r="O245" s="370"/>
      <c r="P245" s="370"/>
      <c r="Q245" s="370"/>
      <c r="R245" s="370"/>
      <c r="S245" s="370"/>
      <c r="T245" s="370"/>
      <c r="U245" s="370"/>
      <c r="V245" s="370"/>
      <c r="W245" s="370"/>
      <c r="X245" s="370"/>
      <c r="Y245" s="370"/>
      <c r="Z245" s="370"/>
      <c r="AA245" s="370"/>
      <c r="AB245" s="380"/>
    </row>
    <row r="246" spans="1:28">
      <c r="A246" s="370"/>
      <c r="B246" s="370"/>
      <c r="C246" s="370"/>
      <c r="D246" s="370"/>
      <c r="E246" s="370"/>
      <c r="F246" s="370"/>
      <c r="G246" s="370"/>
      <c r="H246" s="370"/>
      <c r="I246" s="370"/>
      <c r="J246" s="370"/>
      <c r="K246" s="370"/>
      <c r="L246" s="370"/>
      <c r="M246" s="370"/>
      <c r="N246" s="370"/>
      <c r="O246" s="370"/>
      <c r="P246" s="370"/>
      <c r="Q246" s="370"/>
      <c r="R246" s="370"/>
      <c r="S246" s="370"/>
      <c r="T246" s="370"/>
      <c r="U246" s="370"/>
      <c r="V246" s="370"/>
      <c r="W246" s="370"/>
      <c r="X246" s="370"/>
      <c r="Y246" s="370"/>
      <c r="Z246" s="370"/>
      <c r="AA246" s="370"/>
      <c r="AB246" s="380"/>
    </row>
    <row r="247" spans="1:28">
      <c r="A247" s="370"/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0"/>
      <c r="P247" s="370"/>
      <c r="Q247" s="370"/>
      <c r="R247" s="370"/>
      <c r="S247" s="370"/>
      <c r="T247" s="370"/>
      <c r="U247" s="370"/>
      <c r="V247" s="370"/>
      <c r="W247" s="370"/>
      <c r="X247" s="370"/>
      <c r="Y247" s="370"/>
      <c r="Z247" s="370"/>
      <c r="AA247" s="370"/>
      <c r="AB247" s="380"/>
    </row>
    <row r="248" spans="1:28">
      <c r="A248" s="370"/>
      <c r="B248" s="370"/>
      <c r="C248" s="370"/>
      <c r="D248" s="370"/>
      <c r="E248" s="370"/>
      <c r="F248" s="370"/>
      <c r="G248" s="370"/>
      <c r="H248" s="370"/>
      <c r="I248" s="370"/>
      <c r="J248" s="370"/>
      <c r="K248" s="370"/>
      <c r="L248" s="370"/>
      <c r="M248" s="370"/>
      <c r="N248" s="370"/>
      <c r="O248" s="370"/>
      <c r="P248" s="370"/>
      <c r="Q248" s="370"/>
      <c r="R248" s="370"/>
      <c r="S248" s="370"/>
      <c r="T248" s="370"/>
      <c r="U248" s="370"/>
      <c r="V248" s="370"/>
      <c r="W248" s="370"/>
      <c r="X248" s="370"/>
      <c r="Y248" s="370"/>
      <c r="Z248" s="370"/>
      <c r="AA248" s="370"/>
      <c r="AB248" s="380"/>
    </row>
    <row r="249" spans="1:28">
      <c r="A249" s="370"/>
      <c r="B249" s="370"/>
      <c r="C249" s="370"/>
      <c r="D249" s="370"/>
      <c r="E249" s="370"/>
      <c r="F249" s="370"/>
      <c r="G249" s="370"/>
      <c r="H249" s="370"/>
      <c r="I249" s="370"/>
      <c r="J249" s="370"/>
      <c r="K249" s="370"/>
      <c r="L249" s="370"/>
      <c r="M249" s="370"/>
      <c r="N249" s="370"/>
      <c r="O249" s="370"/>
      <c r="P249" s="370"/>
      <c r="Q249" s="370"/>
      <c r="R249" s="370"/>
      <c r="S249" s="370"/>
      <c r="T249" s="370"/>
      <c r="U249" s="370"/>
      <c r="V249" s="370"/>
      <c r="W249" s="370"/>
      <c r="X249" s="370"/>
      <c r="Y249" s="370"/>
      <c r="Z249" s="370"/>
      <c r="AA249" s="370"/>
      <c r="AB249" s="380"/>
    </row>
    <row r="250" spans="1:28">
      <c r="A250" s="370"/>
      <c r="B250" s="370"/>
      <c r="C250" s="370"/>
      <c r="D250" s="370"/>
      <c r="E250" s="370"/>
      <c r="F250" s="370"/>
      <c r="G250" s="370"/>
      <c r="H250" s="370"/>
      <c r="I250" s="370"/>
      <c r="J250" s="370"/>
      <c r="K250" s="370"/>
      <c r="L250" s="370"/>
      <c r="M250" s="370"/>
      <c r="N250" s="370"/>
      <c r="O250" s="370"/>
      <c r="P250" s="370"/>
      <c r="Q250" s="370"/>
      <c r="R250" s="370"/>
      <c r="S250" s="370"/>
      <c r="T250" s="370"/>
      <c r="U250" s="370"/>
      <c r="V250" s="370"/>
      <c r="W250" s="370"/>
      <c r="X250" s="370"/>
      <c r="Y250" s="370"/>
      <c r="Z250" s="370"/>
      <c r="AA250" s="370"/>
      <c r="AB250" s="380"/>
    </row>
    <row r="251" spans="1:28">
      <c r="A251" s="370"/>
      <c r="B251" s="370"/>
      <c r="C251" s="370"/>
      <c r="D251" s="370"/>
      <c r="E251" s="370"/>
      <c r="F251" s="370"/>
      <c r="G251" s="370"/>
      <c r="H251" s="370"/>
      <c r="I251" s="370"/>
      <c r="J251" s="370"/>
      <c r="K251" s="370"/>
      <c r="L251" s="370"/>
      <c r="M251" s="370"/>
      <c r="N251" s="370"/>
      <c r="O251" s="370"/>
      <c r="P251" s="370"/>
      <c r="Q251" s="370"/>
      <c r="R251" s="370"/>
      <c r="S251" s="370"/>
      <c r="T251" s="370"/>
      <c r="U251" s="370"/>
      <c r="V251" s="370"/>
      <c r="W251" s="370"/>
      <c r="X251" s="370"/>
      <c r="Y251" s="370"/>
      <c r="Z251" s="370"/>
      <c r="AA251" s="370"/>
      <c r="AB251" s="380"/>
    </row>
    <row r="252" spans="1:28">
      <c r="A252" s="370"/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0"/>
      <c r="Q252" s="370"/>
      <c r="R252" s="370"/>
      <c r="S252" s="370"/>
      <c r="T252" s="370"/>
      <c r="U252" s="370"/>
      <c r="V252" s="370"/>
      <c r="W252" s="370"/>
      <c r="X252" s="370"/>
      <c r="Y252" s="370"/>
      <c r="Z252" s="370"/>
      <c r="AA252" s="370"/>
      <c r="AB252" s="380"/>
    </row>
    <row r="253" spans="1:28">
      <c r="A253" s="370"/>
      <c r="B253" s="370"/>
      <c r="C253" s="370"/>
      <c r="D253" s="370"/>
      <c r="E253" s="370"/>
      <c r="F253" s="370"/>
      <c r="G253" s="370"/>
      <c r="H253" s="370"/>
      <c r="I253" s="370"/>
      <c r="J253" s="370"/>
      <c r="K253" s="370"/>
      <c r="L253" s="370"/>
      <c r="M253" s="370"/>
      <c r="N253" s="370"/>
      <c r="O253" s="370"/>
      <c r="P253" s="370"/>
      <c r="Q253" s="370"/>
      <c r="R253" s="370"/>
      <c r="S253" s="370"/>
      <c r="T253" s="370"/>
      <c r="U253" s="370"/>
      <c r="V253" s="370"/>
      <c r="W253" s="370"/>
      <c r="X253" s="370"/>
      <c r="Y253" s="370"/>
      <c r="Z253" s="370"/>
      <c r="AA253" s="370"/>
      <c r="AB253" s="380"/>
    </row>
    <row r="254" spans="1:28">
      <c r="A254" s="370"/>
      <c r="B254" s="370"/>
      <c r="C254" s="370"/>
      <c r="D254" s="370"/>
      <c r="E254" s="370"/>
      <c r="F254" s="370"/>
      <c r="G254" s="370"/>
      <c r="H254" s="370"/>
      <c r="I254" s="370"/>
      <c r="J254" s="370"/>
      <c r="K254" s="370"/>
      <c r="L254" s="370"/>
      <c r="M254" s="370"/>
      <c r="N254" s="370"/>
      <c r="O254" s="370"/>
      <c r="P254" s="370"/>
      <c r="Q254" s="370"/>
      <c r="R254" s="370"/>
      <c r="S254" s="370"/>
      <c r="T254" s="370"/>
      <c r="U254" s="370"/>
      <c r="V254" s="370"/>
      <c r="W254" s="370"/>
      <c r="X254" s="370"/>
      <c r="Y254" s="370"/>
      <c r="Z254" s="370"/>
      <c r="AA254" s="370"/>
      <c r="AB254" s="380"/>
    </row>
    <row r="255" spans="1:28">
      <c r="A255" s="370"/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0"/>
      <c r="P255" s="370"/>
      <c r="Q255" s="370"/>
      <c r="R255" s="370"/>
      <c r="S255" s="370"/>
      <c r="T255" s="370"/>
      <c r="U255" s="370"/>
      <c r="V255" s="370"/>
      <c r="W255" s="370"/>
      <c r="X255" s="370"/>
      <c r="Y255" s="370"/>
      <c r="Z255" s="370"/>
      <c r="AA255" s="370"/>
      <c r="AB255" s="380"/>
    </row>
    <row r="256" spans="1:28">
      <c r="A256" s="370"/>
      <c r="B256" s="370"/>
      <c r="C256" s="370"/>
      <c r="D256" s="370"/>
      <c r="E256" s="370"/>
      <c r="F256" s="370"/>
      <c r="G256" s="370"/>
      <c r="H256" s="370"/>
      <c r="I256" s="370"/>
      <c r="J256" s="370"/>
      <c r="K256" s="370"/>
      <c r="L256" s="370"/>
      <c r="M256" s="370"/>
      <c r="N256" s="370"/>
      <c r="O256" s="370"/>
      <c r="P256" s="370"/>
      <c r="Q256" s="370"/>
      <c r="R256" s="370"/>
      <c r="S256" s="370"/>
      <c r="T256" s="370"/>
      <c r="U256" s="370"/>
      <c r="V256" s="370"/>
      <c r="W256" s="370"/>
      <c r="X256" s="370"/>
      <c r="Y256" s="370"/>
      <c r="Z256" s="370"/>
      <c r="AA256" s="370"/>
      <c r="AB256" s="380"/>
    </row>
    <row r="257" spans="1:28">
      <c r="A257" s="370"/>
      <c r="B257" s="370"/>
      <c r="C257" s="370"/>
      <c r="D257" s="370"/>
      <c r="E257" s="370"/>
      <c r="F257" s="370"/>
      <c r="G257" s="370"/>
      <c r="H257" s="370"/>
      <c r="I257" s="370"/>
      <c r="J257" s="370"/>
      <c r="K257" s="370"/>
      <c r="L257" s="370"/>
      <c r="M257" s="370"/>
      <c r="N257" s="370"/>
      <c r="O257" s="370"/>
      <c r="P257" s="370"/>
      <c r="Q257" s="370"/>
      <c r="R257" s="370"/>
      <c r="S257" s="370"/>
      <c r="T257" s="370"/>
      <c r="U257" s="370"/>
      <c r="V257" s="370"/>
      <c r="W257" s="370"/>
      <c r="X257" s="370"/>
      <c r="Y257" s="370"/>
      <c r="Z257" s="370"/>
      <c r="AA257" s="370"/>
      <c r="AB257" s="380"/>
    </row>
    <row r="258" spans="1:28">
      <c r="A258" s="370"/>
      <c r="B258" s="370"/>
      <c r="C258" s="370"/>
      <c r="D258" s="370"/>
      <c r="E258" s="370"/>
      <c r="F258" s="370"/>
      <c r="G258" s="370"/>
      <c r="H258" s="370"/>
      <c r="I258" s="370"/>
      <c r="J258" s="370"/>
      <c r="K258" s="370"/>
      <c r="L258" s="370"/>
      <c r="M258" s="370"/>
      <c r="N258" s="370"/>
      <c r="O258" s="370"/>
      <c r="P258" s="370"/>
      <c r="Q258" s="370"/>
      <c r="R258" s="370"/>
      <c r="S258" s="370"/>
      <c r="T258" s="370"/>
      <c r="U258" s="370"/>
      <c r="V258" s="370"/>
      <c r="W258" s="370"/>
      <c r="X258" s="370"/>
      <c r="Y258" s="370"/>
      <c r="Z258" s="370"/>
      <c r="AA258" s="370"/>
      <c r="AB258" s="380"/>
    </row>
    <row r="259" spans="1:28">
      <c r="A259" s="370"/>
      <c r="B259" s="370"/>
      <c r="C259" s="370"/>
      <c r="D259" s="370"/>
      <c r="E259" s="370"/>
      <c r="F259" s="370"/>
      <c r="G259" s="370"/>
      <c r="H259" s="370"/>
      <c r="I259" s="370"/>
      <c r="J259" s="370"/>
      <c r="K259" s="370"/>
      <c r="L259" s="370"/>
      <c r="M259" s="370"/>
      <c r="N259" s="370"/>
      <c r="O259" s="370"/>
      <c r="P259" s="370"/>
      <c r="Q259" s="370"/>
      <c r="R259" s="370"/>
      <c r="S259" s="370"/>
      <c r="T259" s="370"/>
      <c r="U259" s="370"/>
      <c r="V259" s="370"/>
      <c r="W259" s="370"/>
      <c r="X259" s="370"/>
      <c r="Y259" s="370"/>
      <c r="Z259" s="370"/>
      <c r="AA259" s="370"/>
      <c r="AB259" s="380"/>
    </row>
    <row r="260" spans="1:28">
      <c r="A260" s="370"/>
      <c r="B260" s="370"/>
      <c r="C260" s="370"/>
      <c r="D260" s="370"/>
      <c r="E260" s="370"/>
      <c r="F260" s="370"/>
      <c r="G260" s="370"/>
      <c r="H260" s="370"/>
      <c r="I260" s="370"/>
      <c r="J260" s="370"/>
      <c r="K260" s="370"/>
      <c r="L260" s="370"/>
      <c r="M260" s="370"/>
      <c r="N260" s="370"/>
      <c r="O260" s="370"/>
      <c r="P260" s="370"/>
      <c r="Q260" s="370"/>
      <c r="R260" s="370"/>
      <c r="S260" s="370"/>
      <c r="T260" s="370"/>
      <c r="U260" s="370"/>
      <c r="V260" s="370"/>
      <c r="W260" s="370"/>
      <c r="X260" s="370"/>
      <c r="Y260" s="370"/>
      <c r="Z260" s="370"/>
      <c r="AA260" s="370"/>
      <c r="AB260" s="380"/>
    </row>
    <row r="261" spans="1:28">
      <c r="A261" s="370"/>
      <c r="B261" s="370"/>
      <c r="C261" s="370"/>
      <c r="D261" s="370"/>
      <c r="E261" s="370"/>
      <c r="F261" s="370"/>
      <c r="G261" s="370"/>
      <c r="H261" s="370"/>
      <c r="I261" s="370"/>
      <c r="J261" s="370"/>
      <c r="K261" s="370"/>
      <c r="L261" s="370"/>
      <c r="M261" s="370"/>
      <c r="N261" s="370"/>
      <c r="O261" s="370"/>
      <c r="P261" s="370"/>
      <c r="Q261" s="370"/>
      <c r="R261" s="370"/>
      <c r="S261" s="370"/>
      <c r="T261" s="370"/>
      <c r="U261" s="370"/>
      <c r="V261" s="370"/>
      <c r="W261" s="370"/>
      <c r="X261" s="370"/>
      <c r="Y261" s="370"/>
      <c r="Z261" s="370"/>
      <c r="AA261" s="370"/>
      <c r="AB261" s="380"/>
    </row>
    <row r="262" spans="1:28">
      <c r="A262" s="370"/>
      <c r="B262" s="370"/>
      <c r="C262" s="370"/>
      <c r="D262" s="370"/>
      <c r="E262" s="370"/>
      <c r="F262" s="370"/>
      <c r="G262" s="370"/>
      <c r="H262" s="370"/>
      <c r="I262" s="370"/>
      <c r="J262" s="370"/>
      <c r="K262" s="370"/>
      <c r="L262" s="370"/>
      <c r="M262" s="370"/>
      <c r="N262" s="370"/>
      <c r="O262" s="370"/>
      <c r="P262" s="370"/>
      <c r="Q262" s="370"/>
      <c r="R262" s="370"/>
      <c r="S262" s="370"/>
      <c r="T262" s="370"/>
      <c r="U262" s="370"/>
      <c r="V262" s="370"/>
      <c r="W262" s="370"/>
      <c r="X262" s="370"/>
      <c r="Y262" s="370"/>
      <c r="Z262" s="370"/>
      <c r="AA262" s="370"/>
      <c r="AB262" s="380"/>
    </row>
    <row r="263" spans="1:28">
      <c r="A263" s="370"/>
      <c r="B263" s="370"/>
      <c r="C263" s="370"/>
      <c r="D263" s="370"/>
      <c r="E263" s="370"/>
      <c r="F263" s="370"/>
      <c r="G263" s="370"/>
      <c r="H263" s="370"/>
      <c r="I263" s="370"/>
      <c r="J263" s="370"/>
      <c r="K263" s="370"/>
      <c r="L263" s="370"/>
      <c r="M263" s="370"/>
      <c r="N263" s="370"/>
      <c r="O263" s="370"/>
      <c r="P263" s="370"/>
      <c r="Q263" s="370"/>
      <c r="R263" s="370"/>
      <c r="S263" s="370"/>
      <c r="T263" s="370"/>
      <c r="U263" s="370"/>
      <c r="V263" s="370"/>
      <c r="W263" s="370"/>
      <c r="X263" s="370"/>
      <c r="Y263" s="370"/>
      <c r="Z263" s="370"/>
      <c r="AA263" s="370"/>
      <c r="AB263" s="380"/>
    </row>
    <row r="264" spans="1:28">
      <c r="A264" s="370"/>
      <c r="B264" s="370"/>
      <c r="C264" s="370"/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0"/>
      <c r="P264" s="370"/>
      <c r="Q264" s="370"/>
      <c r="R264" s="370"/>
      <c r="S264" s="370"/>
      <c r="T264" s="370"/>
      <c r="U264" s="370"/>
      <c r="V264" s="370"/>
      <c r="W264" s="370"/>
      <c r="X264" s="370"/>
      <c r="Y264" s="370"/>
      <c r="Z264" s="370"/>
      <c r="AA264" s="370"/>
      <c r="AB264" s="380"/>
    </row>
    <row r="265" spans="1:28">
      <c r="A265" s="370"/>
      <c r="B265" s="370"/>
      <c r="C265" s="370"/>
      <c r="D265" s="370"/>
      <c r="E265" s="370"/>
      <c r="F265" s="370"/>
      <c r="G265" s="370"/>
      <c r="H265" s="370"/>
      <c r="I265" s="370"/>
      <c r="J265" s="370"/>
      <c r="K265" s="370"/>
      <c r="L265" s="370"/>
      <c r="M265" s="370"/>
      <c r="N265" s="370"/>
      <c r="O265" s="370"/>
      <c r="P265" s="370"/>
      <c r="Q265" s="370"/>
      <c r="R265" s="370"/>
      <c r="S265" s="370"/>
      <c r="T265" s="370"/>
      <c r="U265" s="370"/>
      <c r="V265" s="370"/>
      <c r="W265" s="370"/>
      <c r="X265" s="370"/>
      <c r="Y265" s="370"/>
      <c r="Z265" s="370"/>
      <c r="AA265" s="370"/>
      <c r="AB265" s="380"/>
    </row>
    <row r="266" spans="1:28">
      <c r="A266" s="370"/>
      <c r="B266" s="370"/>
      <c r="C266" s="370"/>
      <c r="D266" s="370"/>
      <c r="E266" s="370"/>
      <c r="F266" s="370"/>
      <c r="G266" s="370"/>
      <c r="H266" s="370"/>
      <c r="I266" s="370"/>
      <c r="J266" s="370"/>
      <c r="K266" s="370"/>
      <c r="L266" s="370"/>
      <c r="M266" s="370"/>
      <c r="N266" s="370"/>
      <c r="O266" s="370"/>
      <c r="P266" s="370"/>
      <c r="Q266" s="370"/>
      <c r="R266" s="370"/>
      <c r="S266" s="370"/>
      <c r="T266" s="370"/>
      <c r="U266" s="370"/>
      <c r="V266" s="370"/>
      <c r="W266" s="370"/>
      <c r="X266" s="370"/>
      <c r="Y266" s="370"/>
      <c r="Z266" s="370"/>
      <c r="AA266" s="370"/>
      <c r="AB266" s="380"/>
    </row>
    <row r="267" spans="1:28">
      <c r="A267" s="370"/>
      <c r="B267" s="370"/>
      <c r="C267" s="370"/>
      <c r="D267" s="370"/>
      <c r="E267" s="370"/>
      <c r="F267" s="370"/>
      <c r="G267" s="370"/>
      <c r="H267" s="370"/>
      <c r="I267" s="370"/>
      <c r="J267" s="370"/>
      <c r="K267" s="370"/>
      <c r="L267" s="370"/>
      <c r="M267" s="370"/>
      <c r="N267" s="370"/>
      <c r="O267" s="370"/>
      <c r="P267" s="370"/>
      <c r="Q267" s="370"/>
      <c r="R267" s="370"/>
      <c r="S267" s="370"/>
      <c r="T267" s="370"/>
      <c r="U267" s="370"/>
      <c r="V267" s="370"/>
      <c r="W267" s="370"/>
      <c r="X267" s="370"/>
      <c r="Y267" s="370"/>
      <c r="Z267" s="370"/>
      <c r="AA267" s="370"/>
      <c r="AB267" s="380"/>
    </row>
    <row r="268" spans="1:28">
      <c r="A268" s="370"/>
      <c r="B268" s="370"/>
      <c r="C268" s="370"/>
      <c r="D268" s="370"/>
      <c r="E268" s="370"/>
      <c r="F268" s="370"/>
      <c r="G268" s="370"/>
      <c r="H268" s="370"/>
      <c r="I268" s="370"/>
      <c r="J268" s="370"/>
      <c r="K268" s="370"/>
      <c r="L268" s="370"/>
      <c r="M268" s="370"/>
      <c r="N268" s="370"/>
      <c r="O268" s="370"/>
      <c r="P268" s="370"/>
      <c r="Q268" s="370"/>
      <c r="R268" s="370"/>
      <c r="S268" s="370"/>
      <c r="T268" s="370"/>
      <c r="U268" s="370"/>
      <c r="V268" s="370"/>
      <c r="W268" s="370"/>
      <c r="X268" s="370"/>
      <c r="Y268" s="370"/>
      <c r="Z268" s="370"/>
      <c r="AA268" s="370"/>
      <c r="AB268" s="380"/>
    </row>
    <row r="269" spans="1:28">
      <c r="A269" s="370"/>
      <c r="B269" s="370"/>
      <c r="C269" s="370"/>
      <c r="D269" s="370"/>
      <c r="E269" s="370"/>
      <c r="F269" s="370"/>
      <c r="G269" s="370"/>
      <c r="H269" s="370"/>
      <c r="I269" s="370"/>
      <c r="J269" s="370"/>
      <c r="K269" s="370"/>
      <c r="L269" s="370"/>
      <c r="M269" s="370"/>
      <c r="N269" s="370"/>
      <c r="O269" s="370"/>
      <c r="P269" s="370"/>
      <c r="Q269" s="370"/>
      <c r="R269" s="370"/>
      <c r="S269" s="370"/>
      <c r="T269" s="370"/>
      <c r="U269" s="370"/>
      <c r="V269" s="370"/>
      <c r="W269" s="370"/>
      <c r="X269" s="370"/>
      <c r="Y269" s="370"/>
      <c r="Z269" s="370"/>
      <c r="AA269" s="370"/>
      <c r="AB269" s="380"/>
    </row>
    <row r="270" spans="1:28">
      <c r="A270" s="370"/>
      <c r="B270" s="370"/>
      <c r="C270" s="370"/>
      <c r="D270" s="370"/>
      <c r="E270" s="370"/>
      <c r="F270" s="370"/>
      <c r="G270" s="370"/>
      <c r="H270" s="370"/>
      <c r="I270" s="370"/>
      <c r="J270" s="370"/>
      <c r="K270" s="370"/>
      <c r="L270" s="370"/>
      <c r="M270" s="370"/>
      <c r="N270" s="370"/>
      <c r="O270" s="370"/>
      <c r="P270" s="370"/>
      <c r="Q270" s="370"/>
      <c r="R270" s="370"/>
      <c r="S270" s="370"/>
      <c r="T270" s="370"/>
      <c r="U270" s="370"/>
      <c r="V270" s="370"/>
      <c r="W270" s="370"/>
      <c r="X270" s="370"/>
      <c r="Y270" s="370"/>
      <c r="Z270" s="370"/>
      <c r="AA270" s="370"/>
      <c r="AB270" s="380"/>
    </row>
    <row r="271" spans="1:28">
      <c r="A271" s="370"/>
      <c r="B271" s="370"/>
      <c r="C271" s="370"/>
      <c r="D271" s="370"/>
      <c r="E271" s="370"/>
      <c r="F271" s="370"/>
      <c r="G271" s="370"/>
      <c r="H271" s="370"/>
      <c r="I271" s="370"/>
      <c r="J271" s="370"/>
      <c r="K271" s="370"/>
      <c r="L271" s="370"/>
      <c r="M271" s="370"/>
      <c r="N271" s="370"/>
      <c r="O271" s="370"/>
      <c r="P271" s="370"/>
      <c r="Q271" s="370"/>
      <c r="R271" s="370"/>
      <c r="S271" s="370"/>
      <c r="T271" s="370"/>
      <c r="U271" s="370"/>
      <c r="V271" s="370"/>
      <c r="W271" s="370"/>
      <c r="X271" s="370"/>
      <c r="Y271" s="370"/>
      <c r="Z271" s="370"/>
      <c r="AA271" s="370"/>
      <c r="AB271" s="380"/>
    </row>
    <row r="272" spans="1:28">
      <c r="A272" s="370"/>
      <c r="B272" s="370"/>
      <c r="C272" s="370"/>
      <c r="D272" s="370"/>
      <c r="E272" s="370"/>
      <c r="F272" s="370"/>
      <c r="G272" s="370"/>
      <c r="H272" s="370"/>
      <c r="I272" s="370"/>
      <c r="J272" s="370"/>
      <c r="K272" s="370"/>
      <c r="L272" s="370"/>
      <c r="M272" s="370"/>
      <c r="N272" s="370"/>
      <c r="O272" s="370"/>
      <c r="P272" s="370"/>
      <c r="Q272" s="370"/>
      <c r="R272" s="370"/>
      <c r="S272" s="370"/>
      <c r="T272" s="370"/>
      <c r="U272" s="370"/>
      <c r="V272" s="370"/>
      <c r="W272" s="370"/>
      <c r="X272" s="370"/>
      <c r="Y272" s="370"/>
      <c r="Z272" s="370"/>
      <c r="AA272" s="370"/>
      <c r="AB272" s="380"/>
    </row>
    <row r="273" spans="1:28">
      <c r="A273" s="370"/>
      <c r="B273" s="370"/>
      <c r="C273" s="370"/>
      <c r="D273" s="370"/>
      <c r="E273" s="370"/>
      <c r="F273" s="370"/>
      <c r="G273" s="370"/>
      <c r="H273" s="370"/>
      <c r="I273" s="370"/>
      <c r="J273" s="370"/>
      <c r="K273" s="370"/>
      <c r="L273" s="370"/>
      <c r="M273" s="370"/>
      <c r="N273" s="370"/>
      <c r="O273" s="370"/>
      <c r="P273" s="370"/>
      <c r="Q273" s="370"/>
      <c r="R273" s="370"/>
      <c r="S273" s="370"/>
      <c r="T273" s="370"/>
      <c r="U273" s="370"/>
      <c r="V273" s="370"/>
      <c r="W273" s="370"/>
      <c r="X273" s="370"/>
      <c r="Y273" s="370"/>
      <c r="Z273" s="370"/>
      <c r="AA273" s="370"/>
      <c r="AB273" s="380"/>
    </row>
    <row r="274" spans="1:28">
      <c r="A274" s="370"/>
      <c r="B274" s="370"/>
      <c r="C274" s="370"/>
      <c r="D274" s="370"/>
      <c r="E274" s="370"/>
      <c r="F274" s="370"/>
      <c r="G274" s="370"/>
      <c r="H274" s="370"/>
      <c r="I274" s="370"/>
      <c r="J274" s="370"/>
      <c r="K274" s="370"/>
      <c r="L274" s="370"/>
      <c r="M274" s="370"/>
      <c r="N274" s="370"/>
      <c r="O274" s="370"/>
      <c r="P274" s="370"/>
      <c r="Q274" s="370"/>
      <c r="R274" s="370"/>
      <c r="S274" s="370"/>
      <c r="T274" s="370"/>
      <c r="U274" s="370"/>
      <c r="V274" s="370"/>
      <c r="W274" s="370"/>
      <c r="X274" s="370"/>
      <c r="Y274" s="370"/>
      <c r="Z274" s="370"/>
      <c r="AA274" s="370"/>
      <c r="AB274" s="380"/>
    </row>
    <row r="275" spans="1:28">
      <c r="A275" s="370"/>
      <c r="B275" s="370"/>
      <c r="C275" s="370"/>
      <c r="D275" s="370"/>
      <c r="E275" s="370"/>
      <c r="F275" s="370"/>
      <c r="G275" s="370"/>
      <c r="H275" s="370"/>
      <c r="I275" s="370"/>
      <c r="J275" s="370"/>
      <c r="K275" s="370"/>
      <c r="L275" s="370"/>
      <c r="M275" s="370"/>
      <c r="N275" s="370"/>
      <c r="O275" s="370"/>
      <c r="P275" s="370"/>
      <c r="Q275" s="370"/>
      <c r="R275" s="370"/>
      <c r="S275" s="370"/>
      <c r="T275" s="370"/>
      <c r="U275" s="370"/>
      <c r="V275" s="370"/>
      <c r="W275" s="370"/>
      <c r="X275" s="370"/>
      <c r="Y275" s="370"/>
      <c r="Z275" s="370"/>
      <c r="AA275" s="370"/>
      <c r="AB275" s="380"/>
    </row>
    <row r="276" spans="1:28">
      <c r="A276" s="370"/>
      <c r="B276" s="370"/>
      <c r="C276" s="370"/>
      <c r="D276" s="370"/>
      <c r="E276" s="370"/>
      <c r="F276" s="370"/>
      <c r="G276" s="370"/>
      <c r="H276" s="370"/>
      <c r="I276" s="370"/>
      <c r="J276" s="370"/>
      <c r="K276" s="370"/>
      <c r="L276" s="370"/>
      <c r="M276" s="370"/>
      <c r="N276" s="370"/>
      <c r="O276" s="370"/>
      <c r="P276" s="370"/>
      <c r="Q276" s="370"/>
      <c r="R276" s="370"/>
      <c r="S276" s="370"/>
      <c r="T276" s="370"/>
      <c r="U276" s="370"/>
      <c r="V276" s="370"/>
      <c r="W276" s="370"/>
      <c r="X276" s="370"/>
      <c r="Y276" s="370"/>
      <c r="Z276" s="370"/>
      <c r="AA276" s="370"/>
      <c r="AB276" s="380"/>
    </row>
    <row r="277" spans="1:28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370"/>
      <c r="P277" s="370"/>
      <c r="Q277" s="370"/>
      <c r="R277" s="370"/>
      <c r="S277" s="370"/>
      <c r="T277" s="370"/>
      <c r="U277" s="370"/>
      <c r="V277" s="370"/>
      <c r="W277" s="370"/>
      <c r="X277" s="370"/>
      <c r="Y277" s="370"/>
      <c r="Z277" s="370"/>
      <c r="AA277" s="370"/>
      <c r="AB277" s="380"/>
    </row>
    <row r="278" spans="1:28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0"/>
      <c r="P278" s="370"/>
      <c r="Q278" s="370"/>
      <c r="R278" s="370"/>
      <c r="S278" s="370"/>
      <c r="T278" s="370"/>
      <c r="U278" s="370"/>
      <c r="V278" s="370"/>
      <c r="W278" s="370"/>
      <c r="X278" s="370"/>
      <c r="Y278" s="370"/>
      <c r="Z278" s="370"/>
      <c r="AA278" s="370"/>
      <c r="AB278" s="380"/>
    </row>
    <row r="279" spans="1:28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370"/>
      <c r="P279" s="370"/>
      <c r="Q279" s="370"/>
      <c r="R279" s="370"/>
      <c r="S279" s="370"/>
      <c r="T279" s="370"/>
      <c r="U279" s="370"/>
      <c r="V279" s="370"/>
      <c r="W279" s="370"/>
      <c r="X279" s="370"/>
      <c r="Y279" s="370"/>
      <c r="Z279" s="370"/>
      <c r="AA279" s="370"/>
      <c r="AB279" s="380"/>
    </row>
    <row r="280" spans="1:28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370"/>
      <c r="P280" s="370"/>
      <c r="Q280" s="370"/>
      <c r="R280" s="370"/>
      <c r="S280" s="370"/>
      <c r="T280" s="370"/>
      <c r="U280" s="370"/>
      <c r="V280" s="370"/>
      <c r="W280" s="370"/>
      <c r="X280" s="370"/>
      <c r="Y280" s="370"/>
      <c r="Z280" s="370"/>
      <c r="AA280" s="370"/>
      <c r="AB280" s="380"/>
    </row>
    <row r="281" spans="1:28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370"/>
      <c r="P281" s="370"/>
      <c r="Q281" s="370"/>
      <c r="R281" s="370"/>
      <c r="S281" s="370"/>
      <c r="T281" s="370"/>
      <c r="U281" s="370"/>
      <c r="V281" s="370"/>
      <c r="W281" s="370"/>
      <c r="X281" s="370"/>
      <c r="Y281" s="370"/>
      <c r="Z281" s="370"/>
      <c r="AA281" s="370"/>
      <c r="AB281" s="380"/>
    </row>
    <row r="282" spans="1:28">
      <c r="A282" s="370"/>
      <c r="B282" s="370"/>
      <c r="C282" s="370"/>
      <c r="D282" s="370"/>
      <c r="E282" s="370"/>
      <c r="F282" s="370"/>
      <c r="G282" s="370"/>
      <c r="H282" s="370"/>
      <c r="I282" s="370"/>
      <c r="J282" s="370"/>
      <c r="K282" s="370"/>
      <c r="L282" s="370"/>
      <c r="M282" s="370"/>
      <c r="N282" s="370"/>
      <c r="O282" s="370"/>
      <c r="P282" s="370"/>
      <c r="Q282" s="370"/>
      <c r="R282" s="370"/>
      <c r="S282" s="370"/>
      <c r="T282" s="370"/>
      <c r="U282" s="370"/>
      <c r="V282" s="370"/>
      <c r="W282" s="370"/>
      <c r="X282" s="370"/>
      <c r="Y282" s="370"/>
      <c r="Z282" s="370"/>
      <c r="AA282" s="370"/>
      <c r="AB282" s="380"/>
    </row>
    <row r="283" spans="1:28">
      <c r="A283" s="370"/>
      <c r="B283" s="370"/>
      <c r="C283" s="370"/>
      <c r="D283" s="370"/>
      <c r="E283" s="370"/>
      <c r="F283" s="370"/>
      <c r="G283" s="370"/>
      <c r="H283" s="370"/>
      <c r="I283" s="370"/>
      <c r="J283" s="370"/>
      <c r="K283" s="370"/>
      <c r="L283" s="370"/>
      <c r="M283" s="370"/>
      <c r="N283" s="370"/>
      <c r="O283" s="370"/>
      <c r="P283" s="370"/>
      <c r="Q283" s="370"/>
      <c r="R283" s="370"/>
      <c r="S283" s="370"/>
      <c r="T283" s="370"/>
      <c r="U283" s="370"/>
      <c r="V283" s="370"/>
      <c r="W283" s="370"/>
      <c r="X283" s="370"/>
      <c r="Y283" s="370"/>
      <c r="Z283" s="370"/>
      <c r="AA283" s="370"/>
      <c r="AB283" s="380"/>
    </row>
    <row r="284" spans="1:28">
      <c r="A284" s="370"/>
      <c r="B284" s="370"/>
      <c r="C284" s="370"/>
      <c r="D284" s="370"/>
      <c r="E284" s="370"/>
      <c r="F284" s="370"/>
      <c r="G284" s="370"/>
      <c r="H284" s="370"/>
      <c r="I284" s="370"/>
      <c r="J284" s="370"/>
      <c r="K284" s="370"/>
      <c r="L284" s="370"/>
      <c r="M284" s="370"/>
      <c r="N284" s="370"/>
      <c r="O284" s="370"/>
      <c r="P284" s="370"/>
      <c r="Q284" s="370"/>
      <c r="R284" s="370"/>
      <c r="S284" s="370"/>
      <c r="T284" s="370"/>
      <c r="U284" s="370"/>
      <c r="V284" s="370"/>
      <c r="W284" s="370"/>
      <c r="X284" s="370"/>
      <c r="Y284" s="370"/>
      <c r="Z284" s="370"/>
      <c r="AA284" s="370"/>
      <c r="AB284" s="380"/>
    </row>
    <row r="285" spans="1:28">
      <c r="A285" s="370"/>
      <c r="B285" s="370"/>
      <c r="C285" s="370"/>
      <c r="D285" s="370"/>
      <c r="E285" s="370"/>
      <c r="F285" s="370"/>
      <c r="G285" s="370"/>
      <c r="H285" s="370"/>
      <c r="I285" s="370"/>
      <c r="J285" s="370"/>
      <c r="K285" s="370"/>
      <c r="L285" s="370"/>
      <c r="M285" s="370"/>
      <c r="N285" s="370"/>
      <c r="O285" s="370"/>
      <c r="P285" s="370"/>
      <c r="Q285" s="370"/>
      <c r="R285" s="370"/>
      <c r="S285" s="370"/>
      <c r="T285" s="370"/>
      <c r="U285" s="370"/>
      <c r="V285" s="370"/>
      <c r="W285" s="370"/>
      <c r="X285" s="370"/>
      <c r="Y285" s="370"/>
      <c r="Z285" s="370"/>
      <c r="AA285" s="370"/>
      <c r="AB285" s="380"/>
    </row>
    <row r="286" spans="1:28">
      <c r="A286" s="370"/>
      <c r="B286" s="370"/>
      <c r="C286" s="370"/>
      <c r="D286" s="370"/>
      <c r="E286" s="370"/>
      <c r="F286" s="370"/>
      <c r="G286" s="370"/>
      <c r="H286" s="370"/>
      <c r="I286" s="370"/>
      <c r="J286" s="370"/>
      <c r="K286" s="370"/>
      <c r="L286" s="370"/>
      <c r="M286" s="370"/>
      <c r="N286" s="370"/>
      <c r="O286" s="370"/>
      <c r="P286" s="370"/>
      <c r="Q286" s="370"/>
      <c r="R286" s="370"/>
      <c r="S286" s="370"/>
      <c r="T286" s="370"/>
      <c r="U286" s="370"/>
      <c r="V286" s="370"/>
      <c r="W286" s="370"/>
      <c r="X286" s="370"/>
      <c r="Y286" s="370"/>
      <c r="Z286" s="370"/>
      <c r="AA286" s="370"/>
      <c r="AB286" s="380"/>
    </row>
    <row r="287" spans="1:28">
      <c r="A287" s="370"/>
      <c r="B287" s="370"/>
      <c r="C287" s="370"/>
      <c r="D287" s="370"/>
      <c r="E287" s="370"/>
      <c r="F287" s="370"/>
      <c r="G287" s="370"/>
      <c r="H287" s="370"/>
      <c r="I287" s="370"/>
      <c r="J287" s="370"/>
      <c r="K287" s="370"/>
      <c r="L287" s="370"/>
      <c r="M287" s="370"/>
      <c r="N287" s="370"/>
      <c r="O287" s="370"/>
      <c r="P287" s="370"/>
      <c r="Q287" s="370"/>
      <c r="R287" s="370"/>
      <c r="S287" s="370"/>
      <c r="T287" s="370"/>
      <c r="U287" s="370"/>
      <c r="V287" s="370"/>
      <c r="W287" s="370"/>
      <c r="X287" s="370"/>
      <c r="Y287" s="370"/>
      <c r="Z287" s="370"/>
      <c r="AA287" s="370"/>
      <c r="AB287" s="380"/>
    </row>
    <row r="288" spans="1:28">
      <c r="A288" s="370"/>
      <c r="B288" s="370"/>
      <c r="C288" s="370"/>
      <c r="D288" s="370"/>
      <c r="E288" s="370"/>
      <c r="F288" s="370"/>
      <c r="G288" s="370"/>
      <c r="H288" s="370"/>
      <c r="I288" s="370"/>
      <c r="J288" s="370"/>
      <c r="K288" s="370"/>
      <c r="L288" s="370"/>
      <c r="M288" s="370"/>
      <c r="N288" s="370"/>
      <c r="O288" s="370"/>
      <c r="P288" s="370"/>
      <c r="Q288" s="370"/>
      <c r="R288" s="370"/>
      <c r="S288" s="370"/>
      <c r="T288" s="370"/>
      <c r="U288" s="370"/>
      <c r="V288" s="370"/>
      <c r="W288" s="370"/>
      <c r="X288" s="370"/>
      <c r="Y288" s="370"/>
      <c r="Z288" s="370"/>
      <c r="AA288" s="370"/>
      <c r="AB288" s="380"/>
    </row>
    <row r="289" spans="1:28">
      <c r="A289" s="370"/>
      <c r="B289" s="370"/>
      <c r="C289" s="370"/>
      <c r="D289" s="370"/>
      <c r="E289" s="370"/>
      <c r="F289" s="370"/>
      <c r="G289" s="370"/>
      <c r="H289" s="370"/>
      <c r="I289" s="370"/>
      <c r="J289" s="370"/>
      <c r="K289" s="370"/>
      <c r="L289" s="370"/>
      <c r="M289" s="370"/>
      <c r="N289" s="370"/>
      <c r="O289" s="370"/>
      <c r="P289" s="370"/>
      <c r="Q289" s="370"/>
      <c r="R289" s="370"/>
      <c r="S289" s="370"/>
      <c r="T289" s="370"/>
      <c r="U289" s="370"/>
      <c r="V289" s="370"/>
      <c r="W289" s="370"/>
      <c r="X289" s="370"/>
      <c r="Y289" s="370"/>
      <c r="Z289" s="370"/>
      <c r="AA289" s="370"/>
      <c r="AB289" s="380"/>
    </row>
    <row r="290" spans="1:28">
      <c r="A290" s="370"/>
      <c r="B290" s="370"/>
      <c r="C290" s="370"/>
      <c r="D290" s="370"/>
      <c r="E290" s="370"/>
      <c r="F290" s="370"/>
      <c r="G290" s="370"/>
      <c r="H290" s="370"/>
      <c r="I290" s="370"/>
      <c r="J290" s="370"/>
      <c r="K290" s="370"/>
      <c r="L290" s="370"/>
      <c r="M290" s="370"/>
      <c r="N290" s="370"/>
      <c r="O290" s="370"/>
      <c r="P290" s="370"/>
      <c r="Q290" s="370"/>
      <c r="R290" s="370"/>
      <c r="S290" s="370"/>
      <c r="T290" s="370"/>
      <c r="U290" s="370"/>
      <c r="V290" s="370"/>
      <c r="W290" s="370"/>
      <c r="X290" s="370"/>
      <c r="Y290" s="370"/>
      <c r="Z290" s="370"/>
      <c r="AA290" s="370"/>
      <c r="AB290" s="380"/>
    </row>
    <row r="291" spans="1:28">
      <c r="A291" s="370"/>
      <c r="B291" s="370"/>
      <c r="C291" s="370"/>
      <c r="D291" s="370"/>
      <c r="E291" s="370"/>
      <c r="F291" s="370"/>
      <c r="G291" s="370"/>
      <c r="H291" s="370"/>
      <c r="I291" s="370"/>
      <c r="J291" s="370"/>
      <c r="K291" s="370"/>
      <c r="L291" s="370"/>
      <c r="M291" s="370"/>
      <c r="N291" s="370"/>
      <c r="O291" s="370"/>
      <c r="P291" s="370"/>
      <c r="Q291" s="370"/>
      <c r="R291" s="370"/>
      <c r="S291" s="370"/>
      <c r="T291" s="370"/>
      <c r="U291" s="370"/>
      <c r="V291" s="370"/>
      <c r="W291" s="370"/>
      <c r="X291" s="370"/>
      <c r="Y291" s="370"/>
      <c r="Z291" s="370"/>
      <c r="AA291" s="370"/>
      <c r="AB291" s="380"/>
    </row>
    <row r="292" spans="1:28">
      <c r="A292" s="370"/>
      <c r="B292" s="370"/>
      <c r="C292" s="370"/>
      <c r="D292" s="370"/>
      <c r="E292" s="370"/>
      <c r="F292" s="370"/>
      <c r="G292" s="370"/>
      <c r="H292" s="370"/>
      <c r="I292" s="370"/>
      <c r="J292" s="370"/>
      <c r="K292" s="370"/>
      <c r="L292" s="370"/>
      <c r="M292" s="370"/>
      <c r="N292" s="370"/>
      <c r="O292" s="370"/>
      <c r="P292" s="370"/>
      <c r="Q292" s="370"/>
      <c r="R292" s="370"/>
      <c r="S292" s="370"/>
      <c r="T292" s="370"/>
      <c r="U292" s="370"/>
      <c r="V292" s="370"/>
      <c r="W292" s="370"/>
      <c r="X292" s="370"/>
      <c r="Y292" s="370"/>
      <c r="Z292" s="370"/>
      <c r="AA292" s="370"/>
      <c r="AB292" s="380"/>
    </row>
    <row r="293" spans="1:28">
      <c r="A293" s="370"/>
      <c r="B293" s="370"/>
      <c r="C293" s="370"/>
      <c r="D293" s="370"/>
      <c r="E293" s="370"/>
      <c r="F293" s="370"/>
      <c r="G293" s="370"/>
      <c r="H293" s="370"/>
      <c r="I293" s="370"/>
      <c r="J293" s="370"/>
      <c r="K293" s="370"/>
      <c r="L293" s="370"/>
      <c r="M293" s="370"/>
      <c r="N293" s="370"/>
      <c r="O293" s="370"/>
      <c r="P293" s="370"/>
      <c r="Q293" s="370"/>
      <c r="R293" s="370"/>
      <c r="S293" s="370"/>
      <c r="T293" s="370"/>
      <c r="U293" s="370"/>
      <c r="V293" s="370"/>
      <c r="W293" s="370"/>
      <c r="X293" s="370"/>
      <c r="Y293" s="370"/>
      <c r="Z293" s="370"/>
      <c r="AA293" s="370"/>
      <c r="AB293" s="380"/>
    </row>
    <row r="294" spans="1:28">
      <c r="A294" s="370"/>
      <c r="B294" s="370"/>
      <c r="C294" s="370"/>
      <c r="D294" s="370"/>
      <c r="E294" s="370"/>
      <c r="F294" s="370"/>
      <c r="G294" s="370"/>
      <c r="H294" s="370"/>
      <c r="I294" s="370"/>
      <c r="J294" s="370"/>
      <c r="K294" s="370"/>
      <c r="L294" s="370"/>
      <c r="M294" s="370"/>
      <c r="N294" s="370"/>
      <c r="O294" s="370"/>
      <c r="P294" s="370"/>
      <c r="Q294" s="370"/>
      <c r="R294" s="370"/>
      <c r="S294" s="370"/>
      <c r="T294" s="370"/>
      <c r="U294" s="370"/>
      <c r="V294" s="370"/>
      <c r="W294" s="370"/>
      <c r="X294" s="370"/>
      <c r="Y294" s="370"/>
      <c r="Z294" s="370"/>
      <c r="AA294" s="370"/>
      <c r="AB294" s="380"/>
    </row>
    <row r="295" spans="1:28">
      <c r="A295" s="370"/>
      <c r="B295" s="370"/>
      <c r="C295" s="370"/>
      <c r="D295" s="370"/>
      <c r="E295" s="370"/>
      <c r="F295" s="370"/>
      <c r="G295" s="370"/>
      <c r="H295" s="370"/>
      <c r="I295" s="370"/>
      <c r="J295" s="370"/>
      <c r="K295" s="370"/>
      <c r="L295" s="370"/>
      <c r="M295" s="370"/>
      <c r="N295" s="370"/>
      <c r="O295" s="370"/>
      <c r="P295" s="370"/>
      <c r="Q295" s="370"/>
      <c r="R295" s="370"/>
      <c r="S295" s="370"/>
      <c r="T295" s="370"/>
      <c r="U295" s="370"/>
      <c r="V295" s="370"/>
      <c r="W295" s="370"/>
      <c r="X295" s="370"/>
      <c r="Y295" s="370"/>
      <c r="Z295" s="370"/>
      <c r="AA295" s="370"/>
      <c r="AB295" s="380"/>
    </row>
    <row r="296" spans="1:28">
      <c r="A296" s="370"/>
      <c r="B296" s="370"/>
      <c r="C296" s="370"/>
      <c r="D296" s="370"/>
      <c r="E296" s="370"/>
      <c r="F296" s="370"/>
      <c r="G296" s="370"/>
      <c r="H296" s="370"/>
      <c r="I296" s="370"/>
      <c r="J296" s="370"/>
      <c r="K296" s="370"/>
      <c r="L296" s="370"/>
      <c r="M296" s="370"/>
      <c r="N296" s="370"/>
      <c r="O296" s="370"/>
      <c r="P296" s="370"/>
      <c r="Q296" s="370"/>
      <c r="R296" s="370"/>
      <c r="S296" s="370"/>
      <c r="T296" s="370"/>
      <c r="U296" s="370"/>
      <c r="V296" s="370"/>
      <c r="W296" s="370"/>
      <c r="X296" s="370"/>
      <c r="Y296" s="370"/>
      <c r="Z296" s="370"/>
      <c r="AA296" s="370"/>
      <c r="AB296" s="380"/>
    </row>
    <row r="297" spans="1:28">
      <c r="A297" s="370"/>
      <c r="B297" s="370"/>
      <c r="C297" s="370"/>
      <c r="D297" s="370"/>
      <c r="E297" s="370"/>
      <c r="F297" s="370"/>
      <c r="G297" s="370"/>
      <c r="H297" s="370"/>
      <c r="I297" s="370"/>
      <c r="J297" s="370"/>
      <c r="K297" s="370"/>
      <c r="L297" s="370"/>
      <c r="M297" s="370"/>
      <c r="N297" s="370"/>
      <c r="O297" s="370"/>
      <c r="P297" s="370"/>
      <c r="Q297" s="370"/>
      <c r="R297" s="370"/>
      <c r="S297" s="370"/>
      <c r="T297" s="370"/>
      <c r="U297" s="370"/>
      <c r="V297" s="370"/>
      <c r="W297" s="370"/>
      <c r="X297" s="370"/>
      <c r="Y297" s="370"/>
      <c r="Z297" s="370"/>
      <c r="AA297" s="370"/>
      <c r="AB297" s="380"/>
    </row>
    <row r="298" spans="1:28">
      <c r="A298" s="370"/>
      <c r="B298" s="370"/>
      <c r="C298" s="370"/>
      <c r="D298" s="370"/>
      <c r="E298" s="370"/>
      <c r="F298" s="370"/>
      <c r="G298" s="370"/>
      <c r="H298" s="370"/>
      <c r="I298" s="370"/>
      <c r="J298" s="370"/>
      <c r="K298" s="370"/>
      <c r="L298" s="370"/>
      <c r="M298" s="370"/>
      <c r="N298" s="370"/>
      <c r="O298" s="370"/>
      <c r="P298" s="370"/>
      <c r="Q298" s="370"/>
      <c r="R298" s="370"/>
      <c r="S298" s="370"/>
      <c r="T298" s="370"/>
      <c r="U298" s="370"/>
      <c r="V298" s="370"/>
      <c r="W298" s="370"/>
      <c r="X298" s="370"/>
      <c r="Y298" s="370"/>
      <c r="Z298" s="370"/>
      <c r="AA298" s="370"/>
      <c r="AB298" s="380"/>
    </row>
    <row r="299" spans="1:28">
      <c r="A299" s="370"/>
      <c r="B299" s="370"/>
      <c r="C299" s="370"/>
      <c r="D299" s="370"/>
      <c r="E299" s="370"/>
      <c r="F299" s="370"/>
      <c r="G299" s="370"/>
      <c r="H299" s="370"/>
      <c r="I299" s="370"/>
      <c r="J299" s="370"/>
      <c r="K299" s="370"/>
      <c r="L299" s="370"/>
      <c r="M299" s="370"/>
      <c r="N299" s="370"/>
      <c r="O299" s="370"/>
      <c r="P299" s="370"/>
      <c r="Q299" s="370"/>
      <c r="R299" s="370"/>
      <c r="S299" s="370"/>
      <c r="T299" s="370"/>
      <c r="U299" s="370"/>
      <c r="V299" s="370"/>
      <c r="W299" s="370"/>
      <c r="X299" s="370"/>
      <c r="Y299" s="370"/>
      <c r="Z299" s="370"/>
      <c r="AA299" s="370"/>
      <c r="AB299" s="380"/>
    </row>
    <row r="300" spans="1:28">
      <c r="A300" s="370"/>
      <c r="B300" s="370"/>
      <c r="C300" s="370"/>
      <c r="D300" s="370"/>
      <c r="E300" s="370"/>
      <c r="F300" s="370"/>
      <c r="G300" s="370"/>
      <c r="H300" s="370"/>
      <c r="I300" s="370"/>
      <c r="J300" s="370"/>
      <c r="K300" s="370"/>
      <c r="L300" s="370"/>
      <c r="M300" s="370"/>
      <c r="N300" s="370"/>
      <c r="O300" s="370"/>
      <c r="P300" s="370"/>
      <c r="Q300" s="370"/>
      <c r="R300" s="370"/>
      <c r="S300" s="370"/>
      <c r="T300" s="370"/>
      <c r="U300" s="370"/>
      <c r="V300" s="370"/>
      <c r="W300" s="370"/>
      <c r="X300" s="370"/>
      <c r="Y300" s="370"/>
      <c r="Z300" s="370"/>
      <c r="AA300" s="370"/>
      <c r="AB300" s="380"/>
    </row>
    <row r="301" spans="1:28">
      <c r="A301" s="370"/>
      <c r="B301" s="370"/>
      <c r="C301" s="370"/>
      <c r="D301" s="370"/>
      <c r="E301" s="370"/>
      <c r="F301" s="370"/>
      <c r="G301" s="370"/>
      <c r="H301" s="370"/>
      <c r="I301" s="370"/>
      <c r="J301" s="370"/>
      <c r="K301" s="370"/>
      <c r="L301" s="370"/>
      <c r="M301" s="370"/>
      <c r="N301" s="370"/>
      <c r="O301" s="370"/>
      <c r="P301" s="370"/>
      <c r="Q301" s="370"/>
      <c r="R301" s="370"/>
      <c r="S301" s="370"/>
      <c r="T301" s="370"/>
      <c r="U301" s="370"/>
      <c r="V301" s="370"/>
      <c r="W301" s="370"/>
      <c r="X301" s="370"/>
      <c r="Y301" s="370"/>
      <c r="Z301" s="370"/>
      <c r="AA301" s="370"/>
      <c r="AB301" s="380"/>
    </row>
    <row r="302" spans="1:28">
      <c r="A302" s="370"/>
      <c r="B302" s="370"/>
      <c r="C302" s="370"/>
      <c r="D302" s="370"/>
      <c r="E302" s="370"/>
      <c r="F302" s="370"/>
      <c r="G302" s="370"/>
      <c r="H302" s="370"/>
      <c r="I302" s="370"/>
      <c r="J302" s="370"/>
      <c r="K302" s="370"/>
      <c r="L302" s="370"/>
      <c r="M302" s="370"/>
      <c r="N302" s="370"/>
      <c r="O302" s="370"/>
      <c r="P302" s="370"/>
      <c r="Q302" s="370"/>
      <c r="R302" s="370"/>
      <c r="S302" s="370"/>
      <c r="T302" s="370"/>
      <c r="U302" s="370"/>
      <c r="V302" s="370"/>
      <c r="W302" s="370"/>
      <c r="X302" s="370"/>
      <c r="Y302" s="370"/>
      <c r="Z302" s="370"/>
      <c r="AA302" s="370"/>
      <c r="AB302" s="380"/>
    </row>
    <row r="303" spans="1:28">
      <c r="A303" s="370"/>
      <c r="B303" s="370"/>
      <c r="C303" s="370"/>
      <c r="D303" s="370"/>
      <c r="E303" s="370"/>
      <c r="F303" s="370"/>
      <c r="G303" s="370"/>
      <c r="H303" s="370"/>
      <c r="I303" s="370"/>
      <c r="J303" s="370"/>
      <c r="K303" s="370"/>
      <c r="L303" s="370"/>
      <c r="M303" s="370"/>
      <c r="N303" s="370"/>
      <c r="O303" s="370"/>
      <c r="P303" s="370"/>
      <c r="Q303" s="370"/>
      <c r="R303" s="370"/>
      <c r="S303" s="370"/>
      <c r="T303" s="370"/>
      <c r="U303" s="370"/>
      <c r="V303" s="370"/>
      <c r="W303" s="370"/>
      <c r="X303" s="370"/>
      <c r="Y303" s="370"/>
      <c r="Z303" s="370"/>
      <c r="AA303" s="370"/>
      <c r="AB303" s="380"/>
    </row>
    <row r="304" spans="1:28">
      <c r="A304" s="370"/>
      <c r="B304" s="370"/>
      <c r="C304" s="370"/>
      <c r="D304" s="370"/>
      <c r="E304" s="370"/>
      <c r="F304" s="370"/>
      <c r="G304" s="370"/>
      <c r="H304" s="370"/>
      <c r="I304" s="370"/>
      <c r="J304" s="370"/>
      <c r="K304" s="370"/>
      <c r="L304" s="370"/>
      <c r="M304" s="370"/>
      <c r="N304" s="370"/>
      <c r="O304" s="370"/>
      <c r="P304" s="370"/>
      <c r="Q304" s="370"/>
      <c r="R304" s="370"/>
      <c r="S304" s="370"/>
      <c r="T304" s="370"/>
      <c r="U304" s="370"/>
      <c r="V304" s="370"/>
      <c r="W304" s="370"/>
      <c r="X304" s="370"/>
      <c r="Y304" s="370"/>
      <c r="Z304" s="370"/>
      <c r="AA304" s="370"/>
      <c r="AB304" s="380"/>
    </row>
    <row r="305" spans="1:28">
      <c r="A305" s="370"/>
      <c r="B305" s="370"/>
      <c r="C305" s="370"/>
      <c r="D305" s="370"/>
      <c r="E305" s="370"/>
      <c r="F305" s="370"/>
      <c r="G305" s="370"/>
      <c r="H305" s="370"/>
      <c r="I305" s="370"/>
      <c r="J305" s="370"/>
      <c r="K305" s="370"/>
      <c r="L305" s="370"/>
      <c r="M305" s="370"/>
      <c r="N305" s="370"/>
      <c r="O305" s="370"/>
      <c r="P305" s="370"/>
      <c r="Q305" s="370"/>
      <c r="R305" s="370"/>
      <c r="S305" s="370"/>
      <c r="T305" s="370"/>
      <c r="U305" s="370"/>
      <c r="V305" s="370"/>
      <c r="W305" s="370"/>
      <c r="X305" s="370"/>
      <c r="Y305" s="370"/>
      <c r="Z305" s="370"/>
      <c r="AA305" s="370"/>
      <c r="AB305" s="380"/>
    </row>
    <row r="306" spans="1:28">
      <c r="A306" s="370"/>
      <c r="B306" s="370"/>
      <c r="C306" s="370"/>
      <c r="D306" s="370"/>
      <c r="E306" s="370"/>
      <c r="F306" s="370"/>
      <c r="G306" s="370"/>
      <c r="H306" s="370"/>
      <c r="I306" s="370"/>
      <c r="J306" s="370"/>
      <c r="K306" s="370"/>
      <c r="L306" s="370"/>
      <c r="M306" s="370"/>
      <c r="N306" s="370"/>
      <c r="O306" s="370"/>
      <c r="P306" s="370"/>
      <c r="Q306" s="370"/>
      <c r="R306" s="370"/>
      <c r="S306" s="370"/>
      <c r="T306" s="370"/>
      <c r="U306" s="370"/>
      <c r="V306" s="370"/>
      <c r="W306" s="370"/>
      <c r="X306" s="370"/>
      <c r="Y306" s="370"/>
      <c r="Z306" s="370"/>
      <c r="AA306" s="370"/>
      <c r="AB306" s="380"/>
    </row>
    <row r="307" spans="1:28">
      <c r="A307" s="370"/>
      <c r="B307" s="370"/>
      <c r="C307" s="370"/>
      <c r="D307" s="370"/>
      <c r="E307" s="370"/>
      <c r="F307" s="370"/>
      <c r="G307" s="370"/>
      <c r="H307" s="370"/>
      <c r="I307" s="370"/>
      <c r="J307" s="370"/>
      <c r="K307" s="370"/>
      <c r="L307" s="370"/>
      <c r="M307" s="370"/>
      <c r="N307" s="370"/>
      <c r="O307" s="370"/>
      <c r="P307" s="370"/>
      <c r="Q307" s="370"/>
      <c r="R307" s="370"/>
      <c r="S307" s="370"/>
      <c r="T307" s="370"/>
      <c r="U307" s="370"/>
      <c r="V307" s="370"/>
      <c r="W307" s="370"/>
      <c r="X307" s="370"/>
      <c r="Y307" s="370"/>
      <c r="Z307" s="370"/>
      <c r="AA307" s="370"/>
      <c r="AB307" s="380"/>
    </row>
    <row r="308" spans="1:28">
      <c r="A308" s="370"/>
      <c r="B308" s="370"/>
      <c r="C308" s="370"/>
      <c r="D308" s="370"/>
      <c r="E308" s="370"/>
      <c r="F308" s="370"/>
      <c r="G308" s="370"/>
      <c r="H308" s="370"/>
      <c r="I308" s="370"/>
      <c r="J308" s="370"/>
      <c r="K308" s="370"/>
      <c r="L308" s="370"/>
      <c r="M308" s="370"/>
      <c r="N308" s="370"/>
      <c r="O308" s="370"/>
      <c r="P308" s="370"/>
      <c r="Q308" s="370"/>
      <c r="R308" s="370"/>
      <c r="S308" s="370"/>
      <c r="T308" s="370"/>
      <c r="U308" s="370"/>
      <c r="V308" s="370"/>
      <c r="W308" s="370"/>
      <c r="X308" s="370"/>
      <c r="Y308" s="370"/>
      <c r="Z308" s="370"/>
      <c r="AA308" s="370"/>
      <c r="AB308" s="380"/>
    </row>
    <row r="309" spans="1:28">
      <c r="A309" s="370"/>
      <c r="B309" s="370"/>
      <c r="C309" s="370"/>
      <c r="D309" s="370"/>
      <c r="E309" s="370"/>
      <c r="F309" s="370"/>
      <c r="G309" s="370"/>
      <c r="H309" s="370"/>
      <c r="I309" s="370"/>
      <c r="J309" s="370"/>
      <c r="K309" s="370"/>
      <c r="L309" s="370"/>
      <c r="M309" s="370"/>
      <c r="N309" s="370"/>
      <c r="O309" s="370"/>
      <c r="P309" s="370"/>
      <c r="Q309" s="370"/>
      <c r="R309" s="370"/>
      <c r="S309" s="370"/>
      <c r="T309" s="370"/>
      <c r="U309" s="370"/>
      <c r="V309" s="370"/>
      <c r="W309" s="370"/>
      <c r="X309" s="370"/>
      <c r="Y309" s="370"/>
      <c r="Z309" s="370"/>
      <c r="AA309" s="370"/>
      <c r="AB309" s="380"/>
    </row>
    <row r="310" spans="1:28">
      <c r="A310" s="370"/>
      <c r="B310" s="370"/>
      <c r="C310" s="370"/>
      <c r="D310" s="370"/>
      <c r="E310" s="370"/>
      <c r="F310" s="370"/>
      <c r="G310" s="370"/>
      <c r="H310" s="370"/>
      <c r="I310" s="370"/>
      <c r="J310" s="370"/>
      <c r="K310" s="370"/>
      <c r="L310" s="370"/>
      <c r="M310" s="370"/>
      <c r="N310" s="370"/>
      <c r="O310" s="370"/>
      <c r="P310" s="370"/>
      <c r="Q310" s="370"/>
      <c r="R310" s="370"/>
      <c r="S310" s="370"/>
      <c r="T310" s="370"/>
      <c r="U310" s="370"/>
      <c r="V310" s="370"/>
      <c r="W310" s="370"/>
      <c r="X310" s="370"/>
      <c r="Y310" s="370"/>
      <c r="Z310" s="370"/>
      <c r="AA310" s="370"/>
      <c r="AB310" s="380"/>
    </row>
    <row r="311" spans="1:28">
      <c r="A311" s="370"/>
      <c r="B311" s="370"/>
      <c r="C311" s="370"/>
      <c r="D311" s="370"/>
      <c r="E311" s="370"/>
      <c r="F311" s="370"/>
      <c r="G311" s="370"/>
      <c r="H311" s="370"/>
      <c r="I311" s="370"/>
      <c r="J311" s="370"/>
      <c r="K311" s="370"/>
      <c r="L311" s="370"/>
      <c r="M311" s="370"/>
      <c r="N311" s="370"/>
      <c r="O311" s="370"/>
      <c r="P311" s="370"/>
      <c r="Q311" s="370"/>
      <c r="R311" s="370"/>
      <c r="S311" s="370"/>
      <c r="T311" s="370"/>
      <c r="U311" s="370"/>
      <c r="V311" s="370"/>
      <c r="W311" s="370"/>
      <c r="X311" s="370"/>
      <c r="Y311" s="370"/>
      <c r="Z311" s="370"/>
      <c r="AA311" s="370"/>
      <c r="AB311" s="380"/>
    </row>
    <row r="312" spans="1:28">
      <c r="A312" s="370"/>
      <c r="B312" s="370"/>
      <c r="C312" s="370"/>
      <c r="D312" s="370"/>
      <c r="E312" s="370"/>
      <c r="F312" s="370"/>
      <c r="G312" s="370"/>
      <c r="H312" s="370"/>
      <c r="I312" s="370"/>
      <c r="J312" s="370"/>
      <c r="K312" s="370"/>
      <c r="L312" s="370"/>
      <c r="M312" s="370"/>
      <c r="N312" s="370"/>
      <c r="O312" s="370"/>
      <c r="P312" s="370"/>
      <c r="Q312" s="370"/>
      <c r="R312" s="370"/>
      <c r="S312" s="370"/>
      <c r="T312" s="370"/>
      <c r="U312" s="370"/>
      <c r="V312" s="370"/>
      <c r="W312" s="370"/>
      <c r="X312" s="370"/>
      <c r="Y312" s="370"/>
      <c r="Z312" s="370"/>
      <c r="AA312" s="370"/>
      <c r="AB312" s="380"/>
    </row>
    <row r="313" spans="1:28">
      <c r="A313" s="370"/>
      <c r="B313" s="370"/>
      <c r="C313" s="370"/>
      <c r="D313" s="370"/>
      <c r="E313" s="370"/>
      <c r="F313" s="370"/>
      <c r="G313" s="370"/>
      <c r="H313" s="370"/>
      <c r="I313" s="370"/>
      <c r="J313" s="370"/>
      <c r="K313" s="370"/>
      <c r="L313" s="370"/>
      <c r="M313" s="370"/>
      <c r="N313" s="370"/>
      <c r="O313" s="370"/>
      <c r="P313" s="370"/>
      <c r="Q313" s="370"/>
      <c r="R313" s="370"/>
      <c r="S313" s="370"/>
      <c r="T313" s="370"/>
      <c r="U313" s="370"/>
      <c r="V313" s="370"/>
      <c r="W313" s="370"/>
      <c r="X313" s="370"/>
      <c r="Y313" s="370"/>
      <c r="Z313" s="370"/>
      <c r="AA313" s="370"/>
      <c r="AB313" s="380"/>
    </row>
    <row r="314" spans="1:28">
      <c r="A314" s="370"/>
      <c r="B314" s="370"/>
      <c r="C314" s="370"/>
      <c r="D314" s="370"/>
      <c r="E314" s="370"/>
      <c r="F314" s="370"/>
      <c r="G314" s="370"/>
      <c r="H314" s="370"/>
      <c r="I314" s="370"/>
      <c r="J314" s="370"/>
      <c r="K314" s="370"/>
      <c r="L314" s="370"/>
      <c r="M314" s="370"/>
      <c r="N314" s="370"/>
      <c r="O314" s="370"/>
      <c r="P314" s="370"/>
      <c r="Q314" s="370"/>
      <c r="R314" s="370"/>
      <c r="S314" s="370"/>
      <c r="T314" s="370"/>
      <c r="U314" s="370"/>
      <c r="V314" s="370"/>
      <c r="W314" s="370"/>
      <c r="X314" s="370"/>
      <c r="Y314" s="370"/>
      <c r="Z314" s="370"/>
      <c r="AA314" s="370"/>
      <c r="AB314" s="380"/>
    </row>
    <row r="315" spans="1:28">
      <c r="A315" s="370"/>
      <c r="B315" s="370"/>
      <c r="C315" s="370"/>
      <c r="D315" s="370"/>
      <c r="E315" s="370"/>
      <c r="F315" s="370"/>
      <c r="G315" s="370"/>
      <c r="H315" s="370"/>
      <c r="I315" s="370"/>
      <c r="J315" s="370"/>
      <c r="K315" s="370"/>
      <c r="L315" s="370"/>
      <c r="M315" s="370"/>
      <c r="N315" s="370"/>
      <c r="O315" s="370"/>
      <c r="P315" s="370"/>
      <c r="Q315" s="370"/>
      <c r="R315" s="370"/>
      <c r="S315" s="370"/>
      <c r="T315" s="370"/>
      <c r="U315" s="370"/>
      <c r="V315" s="370"/>
      <c r="W315" s="370"/>
      <c r="X315" s="370"/>
      <c r="Y315" s="370"/>
      <c r="Z315" s="370"/>
      <c r="AA315" s="370"/>
      <c r="AB315" s="380"/>
    </row>
    <row r="316" spans="1:28">
      <c r="A316" s="370"/>
      <c r="B316" s="370"/>
      <c r="C316" s="370"/>
      <c r="D316" s="370"/>
      <c r="E316" s="370"/>
      <c r="F316" s="370"/>
      <c r="G316" s="370"/>
      <c r="H316" s="370"/>
      <c r="I316" s="370"/>
      <c r="J316" s="370"/>
      <c r="K316" s="370"/>
      <c r="L316" s="370"/>
      <c r="M316" s="370"/>
      <c r="N316" s="370"/>
      <c r="O316" s="370"/>
      <c r="P316" s="370"/>
      <c r="Q316" s="370"/>
      <c r="R316" s="370"/>
      <c r="S316" s="370"/>
      <c r="T316" s="370"/>
      <c r="U316" s="370"/>
      <c r="V316" s="370"/>
      <c r="W316" s="370"/>
      <c r="X316" s="370"/>
      <c r="Y316" s="370"/>
      <c r="Z316" s="370"/>
      <c r="AA316" s="370"/>
      <c r="AB316" s="380"/>
    </row>
    <row r="317" spans="1:28">
      <c r="A317" s="370"/>
      <c r="B317" s="370"/>
      <c r="C317" s="370"/>
      <c r="D317" s="370"/>
      <c r="E317" s="370"/>
      <c r="F317" s="370"/>
      <c r="G317" s="370"/>
      <c r="H317" s="370"/>
      <c r="I317" s="370"/>
      <c r="J317" s="370"/>
      <c r="K317" s="370"/>
      <c r="L317" s="370"/>
      <c r="M317" s="370"/>
      <c r="N317" s="370"/>
      <c r="O317" s="370"/>
      <c r="P317" s="370"/>
      <c r="Q317" s="370"/>
      <c r="R317" s="370"/>
      <c r="S317" s="370"/>
      <c r="T317" s="370"/>
      <c r="U317" s="370"/>
      <c r="V317" s="370"/>
      <c r="W317" s="370"/>
      <c r="X317" s="370"/>
      <c r="Y317" s="370"/>
      <c r="Z317" s="370"/>
      <c r="AA317" s="370"/>
      <c r="AB317" s="380"/>
    </row>
    <row r="318" spans="1:28">
      <c r="A318" s="370"/>
      <c r="B318" s="370"/>
      <c r="C318" s="370"/>
      <c r="D318" s="370"/>
      <c r="E318" s="370"/>
      <c r="F318" s="370"/>
      <c r="G318" s="370"/>
      <c r="H318" s="370"/>
      <c r="I318" s="370"/>
      <c r="J318" s="370"/>
      <c r="K318" s="370"/>
      <c r="L318" s="370"/>
      <c r="M318" s="370"/>
      <c r="N318" s="370"/>
      <c r="O318" s="370"/>
      <c r="P318" s="370"/>
      <c r="Q318" s="370"/>
      <c r="R318" s="370"/>
      <c r="S318" s="370"/>
      <c r="T318" s="370"/>
      <c r="U318" s="370"/>
      <c r="V318" s="370"/>
      <c r="W318" s="370"/>
      <c r="X318" s="370"/>
      <c r="Y318" s="370"/>
      <c r="Z318" s="370"/>
      <c r="AA318" s="370"/>
      <c r="AB318" s="380"/>
    </row>
    <row r="319" spans="1:28">
      <c r="A319" s="370"/>
      <c r="B319" s="370"/>
      <c r="C319" s="370"/>
      <c r="D319" s="370"/>
      <c r="E319" s="370"/>
      <c r="F319" s="370"/>
      <c r="G319" s="370"/>
      <c r="H319" s="370"/>
      <c r="I319" s="370"/>
      <c r="J319" s="370"/>
      <c r="K319" s="370"/>
      <c r="L319" s="370"/>
      <c r="M319" s="370"/>
      <c r="N319" s="370"/>
      <c r="O319" s="370"/>
      <c r="P319" s="370"/>
      <c r="Q319" s="370"/>
      <c r="R319" s="370"/>
      <c r="S319" s="370"/>
      <c r="T319" s="370"/>
      <c r="U319" s="370"/>
      <c r="V319" s="370"/>
      <c r="W319" s="370"/>
      <c r="X319" s="370"/>
      <c r="Y319" s="370"/>
      <c r="Z319" s="370"/>
      <c r="AA319" s="370"/>
      <c r="AB319" s="380"/>
    </row>
    <row r="320" spans="1:28">
      <c r="A320" s="370"/>
      <c r="B320" s="370"/>
      <c r="C320" s="370"/>
      <c r="D320" s="370"/>
      <c r="E320" s="370"/>
      <c r="F320" s="370"/>
      <c r="G320" s="370"/>
      <c r="H320" s="370"/>
      <c r="I320" s="370"/>
      <c r="J320" s="370"/>
      <c r="K320" s="370"/>
      <c r="L320" s="370"/>
      <c r="M320" s="370"/>
      <c r="N320" s="370"/>
      <c r="O320" s="370"/>
      <c r="P320" s="370"/>
      <c r="Q320" s="370"/>
      <c r="R320" s="370"/>
      <c r="S320" s="370"/>
      <c r="T320" s="370"/>
      <c r="U320" s="370"/>
      <c r="V320" s="370"/>
      <c r="W320" s="370"/>
      <c r="X320" s="370"/>
      <c r="Y320" s="370"/>
      <c r="Z320" s="370"/>
      <c r="AA320" s="370"/>
      <c r="AB320" s="380"/>
    </row>
    <row r="321" spans="1:28">
      <c r="A321" s="370"/>
      <c r="B321" s="370"/>
      <c r="C321" s="370"/>
      <c r="D321" s="370"/>
      <c r="E321" s="370"/>
      <c r="F321" s="370"/>
      <c r="G321" s="370"/>
      <c r="H321" s="370"/>
      <c r="I321" s="370"/>
      <c r="J321" s="370"/>
      <c r="K321" s="370"/>
      <c r="L321" s="370"/>
      <c r="M321" s="370"/>
      <c r="N321" s="370"/>
      <c r="O321" s="370"/>
      <c r="P321" s="370"/>
      <c r="Q321" s="370"/>
      <c r="R321" s="370"/>
      <c r="S321" s="370"/>
      <c r="T321" s="370"/>
      <c r="U321" s="370"/>
      <c r="V321" s="370"/>
      <c r="W321" s="370"/>
      <c r="X321" s="370"/>
      <c r="Y321" s="370"/>
      <c r="Z321" s="370"/>
      <c r="AA321" s="370"/>
      <c r="AB321" s="380"/>
    </row>
    <row r="322" spans="1:28">
      <c r="A322" s="370"/>
      <c r="B322" s="370"/>
      <c r="C322" s="370"/>
      <c r="D322" s="370"/>
      <c r="E322" s="370"/>
      <c r="F322" s="370"/>
      <c r="G322" s="370"/>
      <c r="H322" s="370"/>
      <c r="I322" s="370"/>
      <c r="J322" s="370"/>
      <c r="K322" s="370"/>
      <c r="L322" s="370"/>
      <c r="M322" s="370"/>
      <c r="N322" s="370"/>
      <c r="O322" s="370"/>
      <c r="P322" s="370"/>
      <c r="Q322" s="370"/>
      <c r="R322" s="370"/>
      <c r="S322" s="370"/>
      <c r="T322" s="370"/>
      <c r="U322" s="370"/>
      <c r="V322" s="370"/>
      <c r="W322" s="370"/>
      <c r="X322" s="370"/>
      <c r="Y322" s="370"/>
      <c r="Z322" s="370"/>
      <c r="AA322" s="370"/>
      <c r="AB322" s="380"/>
    </row>
    <row r="323" spans="1:28">
      <c r="A323" s="370"/>
      <c r="B323" s="370"/>
      <c r="C323" s="370"/>
      <c r="D323" s="370"/>
      <c r="E323" s="370"/>
      <c r="F323" s="370"/>
      <c r="G323" s="370"/>
      <c r="H323" s="370"/>
      <c r="I323" s="370"/>
      <c r="J323" s="370"/>
      <c r="K323" s="370"/>
      <c r="L323" s="370"/>
      <c r="M323" s="370"/>
      <c r="N323" s="370"/>
      <c r="O323" s="370"/>
      <c r="P323" s="370"/>
      <c r="Q323" s="370"/>
      <c r="R323" s="370"/>
      <c r="S323" s="370"/>
      <c r="T323" s="370"/>
      <c r="U323" s="370"/>
      <c r="V323" s="370"/>
      <c r="W323" s="370"/>
      <c r="X323" s="370"/>
      <c r="Y323" s="370"/>
      <c r="Z323" s="370"/>
      <c r="AA323" s="370"/>
      <c r="AB323" s="380"/>
    </row>
    <row r="324" spans="1:28">
      <c r="A324" s="370"/>
      <c r="B324" s="370"/>
      <c r="C324" s="370"/>
      <c r="D324" s="370"/>
      <c r="E324" s="370"/>
      <c r="F324" s="370"/>
      <c r="G324" s="370"/>
      <c r="H324" s="370"/>
      <c r="I324" s="370"/>
      <c r="J324" s="370"/>
      <c r="K324" s="370"/>
      <c r="L324" s="370"/>
      <c r="M324" s="370"/>
      <c r="N324" s="370"/>
      <c r="O324" s="370"/>
      <c r="P324" s="370"/>
      <c r="Q324" s="370"/>
      <c r="R324" s="370"/>
      <c r="S324" s="370"/>
      <c r="T324" s="370"/>
      <c r="U324" s="370"/>
      <c r="V324" s="370"/>
      <c r="W324" s="370"/>
      <c r="X324" s="370"/>
      <c r="Y324" s="370"/>
      <c r="Z324" s="370"/>
      <c r="AA324" s="370"/>
      <c r="AB324" s="380"/>
    </row>
    <row r="325" spans="1:28">
      <c r="A325" s="370"/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0"/>
      <c r="M325" s="370"/>
      <c r="N325" s="370"/>
      <c r="O325" s="370"/>
      <c r="P325" s="370"/>
      <c r="Q325" s="370"/>
      <c r="R325" s="370"/>
      <c r="S325" s="370"/>
      <c r="T325" s="370"/>
      <c r="U325" s="370"/>
      <c r="V325" s="370"/>
      <c r="W325" s="370"/>
      <c r="X325" s="370"/>
      <c r="Y325" s="370"/>
      <c r="Z325" s="370"/>
      <c r="AA325" s="370"/>
      <c r="AB325" s="380"/>
    </row>
    <row r="326" spans="1:28">
      <c r="A326" s="370"/>
      <c r="B326" s="370"/>
      <c r="C326" s="370"/>
      <c r="D326" s="370"/>
      <c r="E326" s="370"/>
      <c r="F326" s="370"/>
      <c r="G326" s="370"/>
      <c r="H326" s="370"/>
      <c r="I326" s="370"/>
      <c r="J326" s="370"/>
      <c r="K326" s="370"/>
      <c r="L326" s="370"/>
      <c r="M326" s="370"/>
      <c r="N326" s="370"/>
      <c r="O326" s="370"/>
      <c r="P326" s="370"/>
      <c r="Q326" s="370"/>
      <c r="R326" s="370"/>
      <c r="S326" s="370"/>
      <c r="T326" s="370"/>
      <c r="U326" s="370"/>
      <c r="V326" s="370"/>
      <c r="W326" s="370"/>
      <c r="X326" s="370"/>
      <c r="Y326" s="370"/>
      <c r="Z326" s="370"/>
      <c r="AA326" s="370"/>
      <c r="AB326" s="380"/>
    </row>
    <row r="327" spans="1:28">
      <c r="A327" s="370"/>
      <c r="B327" s="370"/>
      <c r="C327" s="370"/>
      <c r="D327" s="370"/>
      <c r="E327" s="370"/>
      <c r="F327" s="370"/>
      <c r="G327" s="370"/>
      <c r="H327" s="370"/>
      <c r="I327" s="370"/>
      <c r="J327" s="370"/>
      <c r="K327" s="370"/>
      <c r="L327" s="370"/>
      <c r="M327" s="370"/>
      <c r="N327" s="370"/>
      <c r="O327" s="370"/>
      <c r="P327" s="370"/>
      <c r="Q327" s="370"/>
      <c r="R327" s="370"/>
      <c r="S327" s="370"/>
      <c r="T327" s="370"/>
      <c r="U327" s="370"/>
      <c r="V327" s="370"/>
      <c r="W327" s="370"/>
      <c r="X327" s="370"/>
      <c r="Y327" s="370"/>
      <c r="Z327" s="370"/>
      <c r="AA327" s="370"/>
      <c r="AB327" s="380"/>
    </row>
    <row r="328" spans="1:28">
      <c r="A328" s="370"/>
      <c r="B328" s="370"/>
      <c r="C328" s="370"/>
      <c r="D328" s="370"/>
      <c r="E328" s="370"/>
      <c r="F328" s="370"/>
      <c r="G328" s="370"/>
      <c r="H328" s="370"/>
      <c r="I328" s="370"/>
      <c r="J328" s="370"/>
      <c r="K328" s="370"/>
      <c r="L328" s="370"/>
      <c r="M328" s="370"/>
      <c r="N328" s="370"/>
      <c r="O328" s="370"/>
      <c r="P328" s="370"/>
      <c r="Q328" s="370"/>
      <c r="R328" s="370"/>
      <c r="S328" s="370"/>
      <c r="T328" s="370"/>
      <c r="U328" s="370"/>
      <c r="V328" s="370"/>
      <c r="W328" s="370"/>
      <c r="X328" s="370"/>
      <c r="Y328" s="370"/>
      <c r="Z328" s="370"/>
      <c r="AA328" s="370"/>
      <c r="AB328" s="380"/>
    </row>
    <row r="329" spans="1:28">
      <c r="A329" s="370"/>
      <c r="B329" s="370"/>
      <c r="C329" s="370"/>
      <c r="D329" s="370"/>
      <c r="E329" s="370"/>
      <c r="F329" s="370"/>
      <c r="G329" s="370"/>
      <c r="H329" s="370"/>
      <c r="I329" s="370"/>
      <c r="J329" s="370"/>
      <c r="K329" s="370"/>
      <c r="L329" s="370"/>
      <c r="M329" s="370"/>
      <c r="N329" s="370"/>
      <c r="O329" s="370"/>
      <c r="P329" s="370"/>
      <c r="Q329" s="370"/>
      <c r="R329" s="370"/>
      <c r="S329" s="370"/>
      <c r="T329" s="370"/>
      <c r="U329" s="370"/>
      <c r="V329" s="370"/>
      <c r="W329" s="370"/>
      <c r="X329" s="370"/>
      <c r="Y329" s="370"/>
      <c r="Z329" s="370"/>
      <c r="AA329" s="370"/>
      <c r="AB329" s="380"/>
    </row>
    <row r="330" spans="1:28">
      <c r="A330" s="370"/>
      <c r="B330" s="370"/>
      <c r="C330" s="370"/>
      <c r="D330" s="370"/>
      <c r="E330" s="370"/>
      <c r="F330" s="370"/>
      <c r="G330" s="370"/>
      <c r="H330" s="370"/>
      <c r="I330" s="370"/>
      <c r="J330" s="370"/>
      <c r="K330" s="370"/>
      <c r="L330" s="370"/>
      <c r="M330" s="370"/>
      <c r="N330" s="370"/>
      <c r="O330" s="370"/>
      <c r="P330" s="370"/>
      <c r="Q330" s="370"/>
      <c r="R330" s="370"/>
      <c r="S330" s="370"/>
      <c r="T330" s="370"/>
      <c r="U330" s="370"/>
      <c r="V330" s="370"/>
      <c r="W330" s="370"/>
      <c r="X330" s="370"/>
      <c r="Y330" s="370"/>
      <c r="Z330" s="370"/>
      <c r="AA330" s="370"/>
      <c r="AB330" s="380"/>
    </row>
    <row r="331" spans="1:28">
      <c r="A331" s="370"/>
      <c r="B331" s="370"/>
      <c r="C331" s="370"/>
      <c r="D331" s="370"/>
      <c r="E331" s="370"/>
      <c r="F331" s="370"/>
      <c r="G331" s="370"/>
      <c r="H331" s="370"/>
      <c r="I331" s="370"/>
      <c r="J331" s="370"/>
      <c r="K331" s="370"/>
      <c r="L331" s="370"/>
      <c r="M331" s="370"/>
      <c r="N331" s="370"/>
      <c r="O331" s="370"/>
      <c r="P331" s="370"/>
      <c r="Q331" s="370"/>
      <c r="R331" s="370"/>
      <c r="S331" s="370"/>
      <c r="T331" s="370"/>
      <c r="U331" s="370"/>
      <c r="V331" s="370"/>
      <c r="W331" s="370"/>
      <c r="X331" s="370"/>
      <c r="Y331" s="370"/>
      <c r="Z331" s="370"/>
      <c r="AA331" s="370"/>
      <c r="AB331" s="380"/>
    </row>
    <row r="332" spans="1:28">
      <c r="A332" s="370"/>
      <c r="B332" s="370"/>
      <c r="C332" s="370"/>
      <c r="D332" s="370"/>
      <c r="E332" s="370"/>
      <c r="F332" s="370"/>
      <c r="G332" s="370"/>
      <c r="H332" s="370"/>
      <c r="I332" s="370"/>
      <c r="J332" s="370"/>
      <c r="K332" s="370"/>
      <c r="L332" s="370"/>
      <c r="M332" s="370"/>
      <c r="N332" s="370"/>
      <c r="O332" s="370"/>
      <c r="P332" s="370"/>
      <c r="Q332" s="370"/>
      <c r="R332" s="370"/>
      <c r="S332" s="370"/>
      <c r="T332" s="370"/>
      <c r="U332" s="370"/>
      <c r="V332" s="370"/>
      <c r="W332" s="370"/>
      <c r="X332" s="370"/>
      <c r="Y332" s="370"/>
      <c r="Z332" s="370"/>
      <c r="AA332" s="370"/>
      <c r="AB332" s="380"/>
    </row>
    <row r="333" spans="1:28">
      <c r="A333" s="370"/>
      <c r="B333" s="370"/>
      <c r="C333" s="370"/>
      <c r="D333" s="370"/>
      <c r="E333" s="370"/>
      <c r="F333" s="370"/>
      <c r="G333" s="370"/>
      <c r="H333" s="370"/>
      <c r="I333" s="370"/>
      <c r="J333" s="370"/>
      <c r="K333" s="370"/>
      <c r="L333" s="370"/>
      <c r="M333" s="370"/>
      <c r="N333" s="370"/>
      <c r="O333" s="370"/>
      <c r="P333" s="370"/>
      <c r="Q333" s="370"/>
      <c r="R333" s="370"/>
      <c r="S333" s="370"/>
      <c r="T333" s="370"/>
      <c r="U333" s="370"/>
      <c r="V333" s="370"/>
      <c r="W333" s="370"/>
      <c r="X333" s="370"/>
      <c r="Y333" s="370"/>
      <c r="Z333" s="370"/>
      <c r="AA333" s="370"/>
      <c r="AB333" s="380"/>
    </row>
    <row r="334" spans="1:28">
      <c r="A334" s="370"/>
      <c r="B334" s="370"/>
      <c r="C334" s="370"/>
      <c r="D334" s="370"/>
      <c r="E334" s="370"/>
      <c r="F334" s="370"/>
      <c r="G334" s="370"/>
      <c r="H334" s="370"/>
      <c r="I334" s="370"/>
      <c r="J334" s="370"/>
      <c r="K334" s="370"/>
      <c r="L334" s="370"/>
      <c r="M334" s="370"/>
      <c r="N334" s="370"/>
      <c r="O334" s="370"/>
      <c r="P334" s="370"/>
      <c r="Q334" s="370"/>
      <c r="R334" s="370"/>
      <c r="S334" s="370"/>
      <c r="T334" s="370"/>
      <c r="U334" s="370"/>
      <c r="V334" s="370"/>
      <c r="W334" s="370"/>
      <c r="X334" s="370"/>
      <c r="Y334" s="370"/>
      <c r="Z334" s="370"/>
      <c r="AA334" s="370"/>
      <c r="AB334" s="380"/>
    </row>
    <row r="335" spans="1:28">
      <c r="A335" s="370"/>
      <c r="B335" s="370"/>
      <c r="C335" s="370"/>
      <c r="D335" s="370"/>
      <c r="E335" s="370"/>
      <c r="F335" s="370"/>
      <c r="G335" s="370"/>
      <c r="H335" s="370"/>
      <c r="I335" s="370"/>
      <c r="J335" s="370"/>
      <c r="K335" s="370"/>
      <c r="L335" s="370"/>
      <c r="M335" s="370"/>
      <c r="N335" s="370"/>
      <c r="O335" s="370"/>
      <c r="P335" s="370"/>
      <c r="Q335" s="370"/>
      <c r="R335" s="370"/>
      <c r="S335" s="370"/>
      <c r="T335" s="370"/>
      <c r="U335" s="370"/>
      <c r="V335" s="370"/>
      <c r="W335" s="370"/>
      <c r="X335" s="370"/>
      <c r="Y335" s="370"/>
      <c r="Z335" s="370"/>
      <c r="AA335" s="370"/>
      <c r="AB335" s="380"/>
    </row>
    <row r="336" spans="1:28">
      <c r="A336" s="370"/>
      <c r="B336" s="370"/>
      <c r="C336" s="370"/>
      <c r="D336" s="370"/>
      <c r="E336" s="370"/>
      <c r="F336" s="370"/>
      <c r="G336" s="370"/>
      <c r="H336" s="370"/>
      <c r="I336" s="370"/>
      <c r="J336" s="370"/>
      <c r="K336" s="370"/>
      <c r="L336" s="370"/>
      <c r="M336" s="370"/>
      <c r="N336" s="370"/>
      <c r="O336" s="370"/>
      <c r="P336" s="370"/>
      <c r="Q336" s="370"/>
      <c r="R336" s="370"/>
      <c r="S336" s="370"/>
      <c r="T336" s="370"/>
      <c r="U336" s="370"/>
      <c r="V336" s="370"/>
      <c r="W336" s="370"/>
      <c r="X336" s="370"/>
      <c r="Y336" s="370"/>
      <c r="Z336" s="370"/>
      <c r="AA336" s="370"/>
      <c r="AB336" s="380"/>
    </row>
    <row r="337" spans="1:28">
      <c r="A337" s="370"/>
      <c r="B337" s="370"/>
      <c r="C337" s="370"/>
      <c r="D337" s="370"/>
      <c r="E337" s="370"/>
      <c r="F337" s="370"/>
      <c r="G337" s="370"/>
      <c r="H337" s="370"/>
      <c r="I337" s="370"/>
      <c r="J337" s="370"/>
      <c r="K337" s="370"/>
      <c r="L337" s="370"/>
      <c r="M337" s="370"/>
      <c r="N337" s="370"/>
      <c r="O337" s="370"/>
      <c r="P337" s="370"/>
      <c r="Q337" s="370"/>
      <c r="R337" s="370"/>
      <c r="S337" s="370"/>
      <c r="T337" s="370"/>
      <c r="U337" s="370"/>
      <c r="V337" s="370"/>
      <c r="W337" s="370"/>
      <c r="X337" s="370"/>
      <c r="Y337" s="370"/>
      <c r="Z337" s="370"/>
      <c r="AA337" s="370"/>
      <c r="AB337" s="380"/>
    </row>
    <row r="338" spans="1:28">
      <c r="A338" s="370"/>
      <c r="B338" s="370"/>
      <c r="C338" s="370"/>
      <c r="D338" s="370"/>
      <c r="E338" s="370"/>
      <c r="F338" s="370"/>
      <c r="G338" s="370"/>
      <c r="H338" s="370"/>
      <c r="I338" s="370"/>
      <c r="J338" s="370"/>
      <c r="K338" s="370"/>
      <c r="L338" s="370"/>
      <c r="M338" s="370"/>
      <c r="N338" s="370"/>
      <c r="O338" s="370"/>
      <c r="P338" s="370"/>
      <c r="Q338" s="370"/>
      <c r="R338" s="370"/>
      <c r="S338" s="370"/>
      <c r="T338" s="370"/>
      <c r="U338" s="370"/>
      <c r="V338" s="370"/>
      <c r="W338" s="370"/>
      <c r="X338" s="370"/>
      <c r="Y338" s="370"/>
      <c r="Z338" s="370"/>
      <c r="AA338" s="370"/>
      <c r="AB338" s="380"/>
    </row>
    <row r="339" spans="1:28">
      <c r="A339" s="370"/>
      <c r="B339" s="370"/>
      <c r="C339" s="370"/>
      <c r="D339" s="370"/>
      <c r="E339" s="370"/>
      <c r="F339" s="370"/>
      <c r="G339" s="370"/>
      <c r="H339" s="370"/>
      <c r="I339" s="370"/>
      <c r="J339" s="370"/>
      <c r="K339" s="370"/>
      <c r="L339" s="370"/>
      <c r="M339" s="370"/>
      <c r="N339" s="370"/>
      <c r="O339" s="370"/>
      <c r="P339" s="370"/>
      <c r="Q339" s="370"/>
      <c r="R339" s="370"/>
      <c r="S339" s="370"/>
      <c r="T339" s="370"/>
      <c r="U339" s="370"/>
      <c r="V339" s="370"/>
      <c r="W339" s="370"/>
      <c r="X339" s="370"/>
      <c r="Y339" s="370"/>
      <c r="Z339" s="370"/>
      <c r="AA339" s="370"/>
      <c r="AB339" s="380"/>
    </row>
    <row r="340" spans="1:28">
      <c r="A340" s="370"/>
      <c r="B340" s="370"/>
      <c r="C340" s="370"/>
      <c r="D340" s="370"/>
      <c r="E340" s="370"/>
      <c r="F340" s="370"/>
      <c r="G340" s="370"/>
      <c r="H340" s="370"/>
      <c r="I340" s="370"/>
      <c r="J340" s="370"/>
      <c r="K340" s="370"/>
      <c r="L340" s="370"/>
      <c r="M340" s="370"/>
      <c r="N340" s="370"/>
      <c r="O340" s="370"/>
      <c r="P340" s="370"/>
      <c r="Q340" s="370"/>
      <c r="R340" s="370"/>
      <c r="S340" s="370"/>
      <c r="T340" s="370"/>
      <c r="U340" s="370"/>
      <c r="V340" s="370"/>
      <c r="W340" s="370"/>
      <c r="X340" s="370"/>
      <c r="Y340" s="370"/>
      <c r="Z340" s="370"/>
      <c r="AA340" s="370"/>
      <c r="AB340" s="380"/>
    </row>
    <row r="341" spans="1:28">
      <c r="A341" s="370"/>
      <c r="B341" s="370"/>
      <c r="C341" s="370"/>
      <c r="D341" s="370"/>
      <c r="E341" s="370"/>
      <c r="F341" s="370"/>
      <c r="G341" s="370"/>
      <c r="H341" s="370"/>
      <c r="I341" s="370"/>
      <c r="J341" s="370"/>
      <c r="K341" s="370"/>
      <c r="L341" s="370"/>
      <c r="M341" s="370"/>
      <c r="N341" s="370"/>
      <c r="O341" s="370"/>
      <c r="P341" s="370"/>
      <c r="Q341" s="370"/>
      <c r="R341" s="370"/>
      <c r="S341" s="370"/>
      <c r="T341" s="370"/>
      <c r="U341" s="370"/>
      <c r="V341" s="370"/>
      <c r="W341" s="370"/>
      <c r="X341" s="370"/>
      <c r="Y341" s="370"/>
      <c r="Z341" s="370"/>
      <c r="AA341" s="370"/>
      <c r="AB341" s="380"/>
    </row>
    <row r="342" spans="1:28">
      <c r="A342" s="370"/>
      <c r="B342" s="370"/>
      <c r="C342" s="370"/>
      <c r="D342" s="370"/>
      <c r="E342" s="370"/>
      <c r="F342" s="370"/>
      <c r="G342" s="370"/>
      <c r="H342" s="370"/>
      <c r="I342" s="370"/>
      <c r="J342" s="370"/>
      <c r="K342" s="370"/>
      <c r="L342" s="370"/>
      <c r="M342" s="370"/>
      <c r="N342" s="370"/>
      <c r="O342" s="370"/>
      <c r="P342" s="370"/>
      <c r="Q342" s="370"/>
      <c r="R342" s="370"/>
      <c r="S342" s="370"/>
      <c r="T342" s="370"/>
      <c r="U342" s="370"/>
      <c r="V342" s="370"/>
      <c r="W342" s="370"/>
      <c r="X342" s="370"/>
      <c r="Y342" s="370"/>
      <c r="Z342" s="370"/>
      <c r="AA342" s="370"/>
      <c r="AB342" s="380"/>
    </row>
    <row r="343" spans="1:28">
      <c r="A343" s="370"/>
      <c r="B343" s="370"/>
      <c r="C343" s="370"/>
      <c r="D343" s="370"/>
      <c r="E343" s="370"/>
      <c r="F343" s="370"/>
      <c r="G343" s="370"/>
      <c r="H343" s="370"/>
      <c r="I343" s="370"/>
      <c r="J343" s="370"/>
      <c r="K343" s="370"/>
      <c r="L343" s="370"/>
      <c r="M343" s="370"/>
      <c r="N343" s="370"/>
      <c r="O343" s="370"/>
      <c r="P343" s="370"/>
      <c r="Q343" s="370"/>
      <c r="R343" s="370"/>
      <c r="S343" s="370"/>
      <c r="T343" s="370"/>
      <c r="U343" s="370"/>
      <c r="V343" s="370"/>
      <c r="W343" s="370"/>
      <c r="X343" s="370"/>
      <c r="Y343" s="370"/>
      <c r="Z343" s="370"/>
      <c r="AA343" s="370"/>
      <c r="AB343" s="380"/>
    </row>
    <row r="344" spans="1:28">
      <c r="A344" s="370"/>
      <c r="B344" s="370"/>
      <c r="C344" s="370"/>
      <c r="D344" s="370"/>
      <c r="E344" s="370"/>
      <c r="F344" s="370"/>
      <c r="G344" s="370"/>
      <c r="H344" s="370"/>
      <c r="I344" s="370"/>
      <c r="J344" s="370"/>
      <c r="K344" s="370"/>
      <c r="L344" s="370"/>
      <c r="M344" s="370"/>
      <c r="N344" s="370"/>
      <c r="O344" s="370"/>
      <c r="P344" s="370"/>
      <c r="Q344" s="370"/>
      <c r="R344" s="370"/>
      <c r="S344" s="370"/>
      <c r="T344" s="370"/>
      <c r="U344" s="370"/>
      <c r="V344" s="370"/>
      <c r="W344" s="370"/>
      <c r="X344" s="370"/>
      <c r="Y344" s="370"/>
      <c r="Z344" s="370"/>
      <c r="AA344" s="370"/>
      <c r="AB344" s="380"/>
    </row>
    <row r="345" spans="1:28">
      <c r="A345" s="370"/>
      <c r="B345" s="370"/>
      <c r="C345" s="370"/>
      <c r="D345" s="370"/>
      <c r="E345" s="370"/>
      <c r="F345" s="370"/>
      <c r="G345" s="370"/>
      <c r="H345" s="370"/>
      <c r="I345" s="370"/>
      <c r="J345" s="370"/>
      <c r="K345" s="370"/>
      <c r="L345" s="370"/>
      <c r="M345" s="370"/>
      <c r="N345" s="370"/>
      <c r="O345" s="370"/>
      <c r="P345" s="370"/>
      <c r="Q345" s="370"/>
      <c r="R345" s="370"/>
      <c r="S345" s="370"/>
      <c r="T345" s="370"/>
      <c r="U345" s="370"/>
      <c r="V345" s="370"/>
      <c r="W345" s="370"/>
      <c r="X345" s="370"/>
      <c r="Y345" s="370"/>
      <c r="Z345" s="370"/>
      <c r="AA345" s="370"/>
      <c r="AB345" s="380"/>
    </row>
    <row r="346" spans="1:28">
      <c r="A346" s="370"/>
      <c r="B346" s="370"/>
      <c r="C346" s="370"/>
      <c r="D346" s="370"/>
      <c r="E346" s="370"/>
      <c r="F346" s="370"/>
      <c r="G346" s="370"/>
      <c r="H346" s="370"/>
      <c r="I346" s="370"/>
      <c r="J346" s="370"/>
      <c r="K346" s="370"/>
      <c r="L346" s="370"/>
      <c r="M346" s="370"/>
      <c r="N346" s="370"/>
      <c r="O346" s="370"/>
      <c r="P346" s="370"/>
      <c r="Q346" s="370"/>
      <c r="R346" s="370"/>
      <c r="S346" s="370"/>
      <c r="T346" s="370"/>
      <c r="U346" s="370"/>
      <c r="V346" s="370"/>
      <c r="W346" s="370"/>
      <c r="X346" s="370"/>
      <c r="Y346" s="370"/>
      <c r="Z346" s="370"/>
      <c r="AA346" s="370"/>
      <c r="AB346" s="380"/>
    </row>
    <row r="347" spans="1:28">
      <c r="A347" s="370"/>
      <c r="B347" s="370"/>
      <c r="C347" s="370"/>
      <c r="D347" s="370"/>
      <c r="E347" s="370"/>
      <c r="F347" s="370"/>
      <c r="G347" s="370"/>
      <c r="H347" s="370"/>
      <c r="I347" s="370"/>
      <c r="J347" s="370"/>
      <c r="K347" s="370"/>
      <c r="L347" s="370"/>
      <c r="M347" s="370"/>
      <c r="N347" s="370"/>
      <c r="O347" s="370"/>
      <c r="P347" s="370"/>
      <c r="Q347" s="370"/>
      <c r="R347" s="370"/>
      <c r="S347" s="370"/>
      <c r="T347" s="370"/>
      <c r="U347" s="370"/>
      <c r="V347" s="370"/>
      <c r="W347" s="370"/>
      <c r="X347" s="370"/>
      <c r="Y347" s="370"/>
      <c r="Z347" s="370"/>
      <c r="AA347" s="370"/>
      <c r="AB347" s="380"/>
    </row>
    <row r="348" spans="1:28">
      <c r="A348" s="370"/>
      <c r="B348" s="370"/>
      <c r="C348" s="370"/>
      <c r="D348" s="370"/>
      <c r="E348" s="370"/>
      <c r="F348" s="370"/>
      <c r="G348" s="370"/>
      <c r="H348" s="370"/>
      <c r="I348" s="370"/>
      <c r="J348" s="370"/>
      <c r="K348" s="370"/>
      <c r="L348" s="370"/>
      <c r="M348" s="370"/>
      <c r="N348" s="370"/>
      <c r="O348" s="370"/>
      <c r="P348" s="370"/>
      <c r="Q348" s="370"/>
      <c r="R348" s="370"/>
      <c r="S348" s="370"/>
      <c r="T348" s="370"/>
      <c r="U348" s="370"/>
      <c r="V348" s="370"/>
      <c r="W348" s="370"/>
      <c r="X348" s="370"/>
      <c r="Y348" s="370"/>
      <c r="Z348" s="370"/>
      <c r="AA348" s="370"/>
      <c r="AB348" s="380"/>
    </row>
    <row r="349" spans="1:28">
      <c r="A349" s="370"/>
      <c r="B349" s="370"/>
      <c r="C349" s="370"/>
      <c r="D349" s="370"/>
      <c r="E349" s="370"/>
      <c r="F349" s="370"/>
      <c r="G349" s="370"/>
      <c r="H349" s="370"/>
      <c r="I349" s="370"/>
      <c r="J349" s="370"/>
      <c r="K349" s="370"/>
      <c r="L349" s="370"/>
      <c r="M349" s="370"/>
      <c r="N349" s="370"/>
      <c r="O349" s="370"/>
      <c r="P349" s="370"/>
      <c r="Q349" s="370"/>
      <c r="R349" s="370"/>
      <c r="S349" s="370"/>
      <c r="T349" s="370"/>
      <c r="U349" s="370"/>
      <c r="V349" s="370"/>
      <c r="W349" s="370"/>
      <c r="X349" s="370"/>
      <c r="Y349" s="370"/>
      <c r="Z349" s="370"/>
      <c r="AA349" s="370"/>
      <c r="AB349" s="380"/>
    </row>
    <row r="350" spans="1:28">
      <c r="A350" s="370"/>
      <c r="B350" s="370"/>
      <c r="C350" s="370"/>
      <c r="D350" s="370"/>
      <c r="E350" s="370"/>
      <c r="F350" s="370"/>
      <c r="G350" s="370"/>
      <c r="H350" s="370"/>
      <c r="I350" s="370"/>
      <c r="J350" s="370"/>
      <c r="K350" s="370"/>
      <c r="L350" s="370"/>
      <c r="M350" s="370"/>
      <c r="N350" s="370"/>
      <c r="O350" s="370"/>
      <c r="P350" s="370"/>
      <c r="Q350" s="370"/>
      <c r="R350" s="370"/>
      <c r="S350" s="370"/>
      <c r="T350" s="370"/>
      <c r="U350" s="370"/>
      <c r="V350" s="370"/>
      <c r="W350" s="370"/>
      <c r="X350" s="370"/>
      <c r="Y350" s="370"/>
      <c r="Z350" s="370"/>
      <c r="AA350" s="370"/>
      <c r="AB350" s="380"/>
    </row>
    <row r="351" spans="1:28">
      <c r="A351" s="370"/>
      <c r="B351" s="370"/>
      <c r="C351" s="370"/>
      <c r="D351" s="370"/>
      <c r="E351" s="370"/>
      <c r="F351" s="370"/>
      <c r="G351" s="370"/>
      <c r="H351" s="370"/>
      <c r="I351" s="370"/>
      <c r="J351" s="370"/>
      <c r="K351" s="370"/>
      <c r="L351" s="370"/>
      <c r="M351" s="370"/>
      <c r="N351" s="370"/>
      <c r="O351" s="370"/>
      <c r="P351" s="370"/>
      <c r="Q351" s="370"/>
      <c r="R351" s="370"/>
      <c r="S351" s="370"/>
      <c r="T351" s="370"/>
      <c r="U351" s="370"/>
      <c r="V351" s="370"/>
      <c r="W351" s="370"/>
      <c r="X351" s="370"/>
      <c r="Y351" s="370"/>
      <c r="Z351" s="370"/>
      <c r="AA351" s="370"/>
      <c r="AB351" s="380"/>
    </row>
    <row r="352" spans="1:28">
      <c r="A352" s="370"/>
      <c r="B352" s="370"/>
      <c r="C352" s="370"/>
      <c r="D352" s="370"/>
      <c r="E352" s="370"/>
      <c r="F352" s="370"/>
      <c r="G352" s="370"/>
      <c r="H352" s="370"/>
      <c r="I352" s="370"/>
      <c r="J352" s="370"/>
      <c r="K352" s="370"/>
      <c r="L352" s="370"/>
      <c r="M352" s="370"/>
      <c r="N352" s="370"/>
      <c r="O352" s="370"/>
      <c r="P352" s="370"/>
      <c r="Q352" s="370"/>
      <c r="R352" s="370"/>
      <c r="S352" s="370"/>
      <c r="T352" s="370"/>
      <c r="U352" s="370"/>
      <c r="V352" s="370"/>
      <c r="W352" s="370"/>
      <c r="X352" s="370"/>
      <c r="Y352" s="370"/>
      <c r="Z352" s="370"/>
      <c r="AA352" s="370"/>
      <c r="AB352" s="380"/>
    </row>
    <row r="353" spans="1:28">
      <c r="A353" s="370"/>
      <c r="B353" s="370"/>
      <c r="C353" s="370"/>
      <c r="D353" s="370"/>
      <c r="E353" s="370"/>
      <c r="F353" s="370"/>
      <c r="G353" s="370"/>
      <c r="H353" s="370"/>
      <c r="I353" s="370"/>
      <c r="J353" s="370"/>
      <c r="K353" s="370"/>
      <c r="L353" s="370"/>
      <c r="M353" s="370"/>
      <c r="N353" s="370"/>
      <c r="O353" s="370"/>
      <c r="P353" s="370"/>
      <c r="Q353" s="370"/>
      <c r="R353" s="370"/>
      <c r="S353" s="370"/>
      <c r="T353" s="370"/>
      <c r="U353" s="370"/>
      <c r="V353" s="370"/>
      <c r="W353" s="370"/>
      <c r="X353" s="370"/>
      <c r="Y353" s="370"/>
      <c r="Z353" s="370"/>
      <c r="AA353" s="370"/>
      <c r="AB353" s="380"/>
    </row>
    <row r="354" spans="1:28">
      <c r="A354" s="370"/>
      <c r="B354" s="370"/>
      <c r="C354" s="370"/>
      <c r="D354" s="370"/>
      <c r="E354" s="370"/>
      <c r="F354" s="370"/>
      <c r="G354" s="370"/>
      <c r="H354" s="370"/>
      <c r="I354" s="370"/>
      <c r="J354" s="370"/>
      <c r="K354" s="370"/>
      <c r="L354" s="370"/>
      <c r="M354" s="370"/>
      <c r="N354" s="370"/>
      <c r="O354" s="370"/>
      <c r="P354" s="370"/>
      <c r="Q354" s="370"/>
      <c r="R354" s="370"/>
      <c r="S354" s="370"/>
      <c r="T354" s="370"/>
      <c r="U354" s="370"/>
      <c r="V354" s="370"/>
      <c r="W354" s="370"/>
      <c r="X354" s="370"/>
      <c r="Y354" s="370"/>
      <c r="Z354" s="370"/>
      <c r="AA354" s="370"/>
      <c r="AB354" s="380"/>
    </row>
    <row r="355" spans="1:28">
      <c r="A355" s="370"/>
      <c r="B355" s="370"/>
      <c r="C355" s="370"/>
      <c r="D355" s="370"/>
      <c r="E355" s="370"/>
      <c r="F355" s="370"/>
      <c r="G355" s="370"/>
      <c r="H355" s="370"/>
      <c r="I355" s="370"/>
      <c r="J355" s="370"/>
      <c r="K355" s="370"/>
      <c r="L355" s="370"/>
      <c r="M355" s="370"/>
      <c r="N355" s="370"/>
      <c r="O355" s="370"/>
      <c r="P355" s="370"/>
      <c r="Q355" s="370"/>
      <c r="R355" s="370"/>
      <c r="S355" s="370"/>
      <c r="T355" s="370"/>
      <c r="U355" s="370"/>
      <c r="V355" s="370"/>
      <c r="W355" s="370"/>
      <c r="X355" s="370"/>
      <c r="Y355" s="370"/>
      <c r="Z355" s="370"/>
      <c r="AA355" s="370"/>
      <c r="AB355" s="380"/>
    </row>
    <row r="356" spans="1:28">
      <c r="A356" s="370"/>
      <c r="B356" s="370"/>
      <c r="C356" s="370"/>
      <c r="D356" s="370"/>
      <c r="E356" s="370"/>
      <c r="F356" s="370"/>
      <c r="G356" s="370"/>
      <c r="H356" s="370"/>
      <c r="I356" s="370"/>
      <c r="J356" s="370"/>
      <c r="K356" s="370"/>
      <c r="L356" s="370"/>
      <c r="M356" s="370"/>
      <c r="N356" s="370"/>
      <c r="O356" s="370"/>
      <c r="P356" s="370"/>
      <c r="Q356" s="370"/>
      <c r="R356" s="370"/>
      <c r="S356" s="370"/>
      <c r="T356" s="370"/>
      <c r="U356" s="370"/>
      <c r="V356" s="370"/>
      <c r="W356" s="370"/>
      <c r="X356" s="370"/>
      <c r="Y356" s="370"/>
      <c r="Z356" s="370"/>
      <c r="AA356" s="370"/>
      <c r="AB356" s="380"/>
    </row>
    <row r="357" spans="1:28">
      <c r="A357" s="370"/>
      <c r="B357" s="370"/>
      <c r="C357" s="370"/>
      <c r="D357" s="370"/>
      <c r="E357" s="370"/>
      <c r="F357" s="370"/>
      <c r="G357" s="370"/>
      <c r="H357" s="370"/>
      <c r="I357" s="370"/>
      <c r="J357" s="370"/>
      <c r="K357" s="370"/>
      <c r="L357" s="370"/>
      <c r="M357" s="370"/>
      <c r="N357" s="370"/>
      <c r="O357" s="370"/>
      <c r="P357" s="370"/>
      <c r="Q357" s="370"/>
      <c r="R357" s="370"/>
      <c r="S357" s="370"/>
      <c r="T357" s="370"/>
      <c r="U357" s="370"/>
      <c r="V357" s="370"/>
      <c r="W357" s="370"/>
      <c r="X357" s="370"/>
      <c r="Y357" s="370"/>
      <c r="Z357" s="370"/>
      <c r="AA357" s="370"/>
      <c r="AB357" s="380"/>
    </row>
    <row r="358" spans="1:28">
      <c r="A358" s="370"/>
      <c r="B358" s="370"/>
      <c r="C358" s="370"/>
      <c r="D358" s="370"/>
      <c r="E358" s="370"/>
      <c r="F358" s="370"/>
      <c r="G358" s="370"/>
      <c r="H358" s="370"/>
      <c r="I358" s="370"/>
      <c r="J358" s="370"/>
      <c r="K358" s="370"/>
      <c r="L358" s="370"/>
      <c r="M358" s="370"/>
      <c r="N358" s="370"/>
      <c r="O358" s="370"/>
      <c r="P358" s="370"/>
      <c r="Q358" s="370"/>
      <c r="R358" s="370"/>
      <c r="S358" s="370"/>
      <c r="T358" s="370"/>
      <c r="U358" s="370"/>
      <c r="V358" s="370"/>
      <c r="W358" s="370"/>
      <c r="X358" s="370"/>
      <c r="Y358" s="370"/>
      <c r="Z358" s="370"/>
      <c r="AA358" s="370"/>
      <c r="AB358" s="380"/>
    </row>
    <row r="359" spans="1:28">
      <c r="A359" s="370"/>
      <c r="B359" s="370"/>
      <c r="C359" s="370"/>
      <c r="D359" s="370"/>
      <c r="E359" s="370"/>
      <c r="F359" s="370"/>
      <c r="G359" s="370"/>
      <c r="H359" s="370"/>
      <c r="I359" s="370"/>
      <c r="J359" s="370"/>
      <c r="K359" s="370"/>
      <c r="L359" s="370"/>
      <c r="M359" s="370"/>
      <c r="N359" s="370"/>
      <c r="O359" s="370"/>
      <c r="P359" s="370"/>
      <c r="Q359" s="370"/>
      <c r="R359" s="370"/>
      <c r="S359" s="370"/>
      <c r="T359" s="370"/>
      <c r="U359" s="370"/>
      <c r="V359" s="370"/>
      <c r="W359" s="370"/>
      <c r="X359" s="370"/>
      <c r="Y359" s="370"/>
      <c r="Z359" s="370"/>
      <c r="AA359" s="370"/>
      <c r="AB359" s="380"/>
    </row>
    <row r="360" spans="1:28">
      <c r="A360" s="370"/>
      <c r="B360" s="370"/>
      <c r="C360" s="370"/>
      <c r="D360" s="370"/>
      <c r="E360" s="370"/>
      <c r="F360" s="370"/>
      <c r="G360" s="370"/>
      <c r="H360" s="370"/>
      <c r="I360" s="370"/>
      <c r="J360" s="370"/>
      <c r="K360" s="370"/>
      <c r="L360" s="370"/>
      <c r="M360" s="370"/>
      <c r="N360" s="370"/>
      <c r="O360" s="370"/>
      <c r="P360" s="370"/>
      <c r="Q360" s="370"/>
      <c r="R360" s="370"/>
      <c r="S360" s="370"/>
      <c r="T360" s="370"/>
      <c r="U360" s="370"/>
      <c r="V360" s="370"/>
      <c r="W360" s="370"/>
      <c r="X360" s="370"/>
      <c r="Y360" s="370"/>
      <c r="Z360" s="370"/>
      <c r="AA360" s="370"/>
      <c r="AB360" s="380"/>
    </row>
    <row r="361" spans="1:28">
      <c r="A361" s="370"/>
      <c r="B361" s="370"/>
      <c r="C361" s="370"/>
      <c r="D361" s="370"/>
      <c r="E361" s="370"/>
      <c r="F361" s="370"/>
      <c r="G361" s="370"/>
      <c r="H361" s="370"/>
      <c r="I361" s="370"/>
      <c r="J361" s="370"/>
      <c r="K361" s="370"/>
      <c r="L361" s="370"/>
      <c r="M361" s="370"/>
      <c r="N361" s="370"/>
      <c r="O361" s="370"/>
      <c r="P361" s="370"/>
      <c r="Q361" s="370"/>
      <c r="R361" s="370"/>
      <c r="S361" s="370"/>
      <c r="T361" s="370"/>
      <c r="U361" s="370"/>
      <c r="V361" s="370"/>
      <c r="W361" s="370"/>
      <c r="X361" s="370"/>
      <c r="Y361" s="370"/>
      <c r="Z361" s="370"/>
      <c r="AA361" s="370"/>
      <c r="AB361" s="380"/>
    </row>
    <row r="362" spans="1:28">
      <c r="A362" s="370"/>
      <c r="B362" s="370"/>
      <c r="C362" s="370"/>
      <c r="D362" s="370"/>
      <c r="E362" s="370"/>
      <c r="F362" s="370"/>
      <c r="G362" s="370"/>
      <c r="H362" s="370"/>
      <c r="I362" s="370"/>
      <c r="J362" s="370"/>
      <c r="K362" s="370"/>
      <c r="L362" s="370"/>
      <c r="M362" s="370"/>
      <c r="N362" s="370"/>
      <c r="O362" s="370"/>
      <c r="P362" s="370"/>
      <c r="Q362" s="370"/>
      <c r="R362" s="370"/>
      <c r="S362" s="370"/>
      <c r="T362" s="370"/>
      <c r="U362" s="370"/>
      <c r="V362" s="370"/>
      <c r="W362" s="370"/>
      <c r="X362" s="370"/>
      <c r="Y362" s="370"/>
      <c r="Z362" s="370"/>
      <c r="AA362" s="370"/>
      <c r="AB362" s="380"/>
    </row>
    <row r="363" spans="1:28">
      <c r="A363" s="370"/>
      <c r="B363" s="370"/>
      <c r="C363" s="370"/>
      <c r="D363" s="370"/>
      <c r="E363" s="370"/>
      <c r="F363" s="370"/>
      <c r="G363" s="370"/>
      <c r="H363" s="370"/>
      <c r="I363" s="370"/>
      <c r="J363" s="370"/>
      <c r="K363" s="370"/>
      <c r="L363" s="370"/>
      <c r="M363" s="370"/>
      <c r="N363" s="370"/>
      <c r="O363" s="370"/>
      <c r="P363" s="370"/>
      <c r="Q363" s="370"/>
      <c r="R363" s="370"/>
      <c r="S363" s="370"/>
      <c r="T363" s="370"/>
      <c r="U363" s="370"/>
      <c r="V363" s="370"/>
      <c r="W363" s="370"/>
      <c r="X363" s="370"/>
      <c r="Y363" s="370"/>
      <c r="Z363" s="370"/>
      <c r="AA363" s="370"/>
      <c r="AB363" s="380"/>
    </row>
    <row r="364" spans="1:28">
      <c r="A364" s="370"/>
      <c r="B364" s="370"/>
      <c r="C364" s="370"/>
      <c r="D364" s="370"/>
      <c r="E364" s="370"/>
      <c r="F364" s="370"/>
      <c r="G364" s="370"/>
      <c r="H364" s="370"/>
      <c r="I364" s="370"/>
      <c r="J364" s="370"/>
      <c r="K364" s="370"/>
      <c r="L364" s="370"/>
      <c r="M364" s="370"/>
      <c r="N364" s="370"/>
      <c r="O364" s="370"/>
      <c r="P364" s="370"/>
      <c r="Q364" s="370"/>
      <c r="R364" s="370"/>
      <c r="S364" s="370"/>
      <c r="T364" s="370"/>
      <c r="U364" s="370"/>
      <c r="V364" s="370"/>
      <c r="W364" s="370"/>
      <c r="X364" s="370"/>
      <c r="Y364" s="370"/>
      <c r="Z364" s="370"/>
      <c r="AA364" s="370"/>
      <c r="AB364" s="380"/>
    </row>
    <row r="365" spans="1:28">
      <c r="A365" s="370"/>
      <c r="B365" s="370"/>
      <c r="C365" s="370"/>
      <c r="D365" s="370"/>
      <c r="E365" s="370"/>
      <c r="F365" s="370"/>
      <c r="G365" s="370"/>
      <c r="H365" s="370"/>
      <c r="I365" s="370"/>
      <c r="J365" s="370"/>
      <c r="K365" s="370"/>
      <c r="L365" s="370"/>
      <c r="M365" s="370"/>
      <c r="N365" s="370"/>
      <c r="O365" s="370"/>
      <c r="P365" s="370"/>
      <c r="Q365" s="370"/>
      <c r="R365" s="370"/>
      <c r="S365" s="370"/>
      <c r="T365" s="370"/>
      <c r="U365" s="370"/>
      <c r="V365" s="370"/>
      <c r="W365" s="370"/>
      <c r="X365" s="370"/>
      <c r="Y365" s="370"/>
      <c r="Z365" s="370"/>
      <c r="AA365" s="370"/>
      <c r="AB365" s="380"/>
    </row>
    <row r="366" spans="1:28">
      <c r="A366" s="370"/>
      <c r="B366" s="370"/>
      <c r="C366" s="370"/>
      <c r="D366" s="370"/>
      <c r="E366" s="370"/>
      <c r="F366" s="370"/>
      <c r="G366" s="370"/>
      <c r="H366" s="370"/>
      <c r="I366" s="370"/>
      <c r="J366" s="370"/>
      <c r="K366" s="370"/>
      <c r="L366" s="370"/>
      <c r="M366" s="370"/>
      <c r="N366" s="370"/>
      <c r="O366" s="370"/>
      <c r="P366" s="370"/>
      <c r="Q366" s="370"/>
      <c r="R366" s="370"/>
      <c r="S366" s="370"/>
      <c r="T366" s="370"/>
      <c r="U366" s="370"/>
      <c r="V366" s="370"/>
      <c r="W366" s="370"/>
      <c r="X366" s="370"/>
      <c r="Y366" s="370"/>
      <c r="Z366" s="370"/>
      <c r="AA366" s="370"/>
      <c r="AB366" s="380"/>
    </row>
    <row r="367" spans="1:28">
      <c r="A367" s="370"/>
      <c r="B367" s="370"/>
      <c r="C367" s="370"/>
      <c r="D367" s="370"/>
      <c r="E367" s="370"/>
      <c r="F367" s="370"/>
      <c r="G367" s="370"/>
      <c r="H367" s="370"/>
      <c r="I367" s="370"/>
      <c r="J367" s="370"/>
      <c r="K367" s="370"/>
      <c r="L367" s="370"/>
      <c r="M367" s="370"/>
      <c r="N367" s="370"/>
      <c r="O367" s="370"/>
      <c r="P367" s="370"/>
      <c r="Q367" s="370"/>
      <c r="R367" s="370"/>
      <c r="S367" s="370"/>
      <c r="T367" s="370"/>
      <c r="U367" s="370"/>
      <c r="V367" s="370"/>
      <c r="W367" s="370"/>
      <c r="X367" s="370"/>
      <c r="Y367" s="370"/>
      <c r="Z367" s="370"/>
      <c r="AA367" s="370"/>
      <c r="AB367" s="380"/>
    </row>
    <row r="368" spans="1:28">
      <c r="A368" s="370"/>
      <c r="B368" s="370"/>
      <c r="C368" s="370"/>
      <c r="D368" s="370"/>
      <c r="E368" s="370"/>
      <c r="F368" s="370"/>
      <c r="G368" s="370"/>
      <c r="H368" s="370"/>
      <c r="I368" s="370"/>
      <c r="J368" s="370"/>
      <c r="K368" s="370"/>
      <c r="L368" s="370"/>
      <c r="M368" s="370"/>
      <c r="N368" s="370"/>
      <c r="O368" s="370"/>
      <c r="P368" s="370"/>
      <c r="Q368" s="370"/>
      <c r="R368" s="370"/>
      <c r="S368" s="370"/>
      <c r="T368" s="370"/>
      <c r="U368" s="370"/>
      <c r="V368" s="370"/>
      <c r="W368" s="370"/>
      <c r="X368" s="370"/>
      <c r="Y368" s="370"/>
      <c r="Z368" s="370"/>
      <c r="AA368" s="370"/>
      <c r="AB368" s="380"/>
    </row>
    <row r="369" spans="1:28">
      <c r="A369" s="370"/>
      <c r="B369" s="370"/>
      <c r="C369" s="370"/>
      <c r="D369" s="370"/>
      <c r="E369" s="370"/>
      <c r="F369" s="370"/>
      <c r="G369" s="370"/>
      <c r="H369" s="370"/>
      <c r="I369" s="370"/>
      <c r="J369" s="370"/>
      <c r="K369" s="370"/>
      <c r="L369" s="370"/>
      <c r="M369" s="370"/>
      <c r="N369" s="370"/>
      <c r="O369" s="370"/>
      <c r="P369" s="370"/>
      <c r="Q369" s="370"/>
      <c r="R369" s="370"/>
      <c r="S369" s="370"/>
      <c r="T369" s="370"/>
      <c r="U369" s="370"/>
      <c r="V369" s="370"/>
      <c r="W369" s="370"/>
      <c r="X369" s="370"/>
      <c r="Y369" s="370"/>
      <c r="Z369" s="370"/>
      <c r="AA369" s="370"/>
      <c r="AB369" s="380"/>
    </row>
    <row r="370" spans="1:28">
      <c r="A370" s="370"/>
      <c r="B370" s="370"/>
      <c r="C370" s="370"/>
      <c r="D370" s="370"/>
      <c r="E370" s="370"/>
      <c r="F370" s="370"/>
      <c r="G370" s="370"/>
      <c r="H370" s="370"/>
      <c r="I370" s="370"/>
      <c r="J370" s="370"/>
      <c r="K370" s="370"/>
      <c r="L370" s="370"/>
      <c r="M370" s="370"/>
      <c r="N370" s="370"/>
      <c r="O370" s="370"/>
      <c r="P370" s="370"/>
      <c r="Q370" s="370"/>
      <c r="R370" s="370"/>
      <c r="S370" s="370"/>
      <c r="T370" s="370"/>
      <c r="U370" s="370"/>
      <c r="V370" s="370"/>
      <c r="W370" s="370"/>
      <c r="X370" s="370"/>
      <c r="Y370" s="370"/>
      <c r="Z370" s="370"/>
      <c r="AA370" s="370"/>
      <c r="AB370" s="380"/>
    </row>
    <row r="371" spans="1:28">
      <c r="A371" s="370"/>
      <c r="B371" s="370"/>
      <c r="C371" s="370"/>
      <c r="D371" s="370"/>
      <c r="E371" s="370"/>
      <c r="F371" s="370"/>
      <c r="G371" s="370"/>
      <c r="H371" s="370"/>
      <c r="I371" s="370"/>
      <c r="J371" s="370"/>
      <c r="K371" s="370"/>
      <c r="L371" s="370"/>
      <c r="M371" s="370"/>
      <c r="N371" s="370"/>
      <c r="O371" s="370"/>
      <c r="P371" s="370"/>
      <c r="Q371" s="370"/>
      <c r="R371" s="370"/>
      <c r="S371" s="370"/>
      <c r="T371" s="370"/>
      <c r="U371" s="370"/>
      <c r="V371" s="370"/>
      <c r="W371" s="370"/>
      <c r="X371" s="370"/>
      <c r="Y371" s="370"/>
      <c r="Z371" s="370"/>
      <c r="AA371" s="370"/>
      <c r="AB371" s="380"/>
    </row>
    <row r="372" spans="1:28">
      <c r="A372" s="370"/>
      <c r="B372" s="370"/>
      <c r="C372" s="370"/>
      <c r="D372" s="370"/>
      <c r="E372" s="370"/>
      <c r="F372" s="370"/>
      <c r="G372" s="370"/>
      <c r="H372" s="370"/>
      <c r="I372" s="370"/>
      <c r="J372" s="370"/>
      <c r="K372" s="370"/>
      <c r="L372" s="370"/>
      <c r="M372" s="370"/>
      <c r="N372" s="370"/>
      <c r="O372" s="370"/>
      <c r="P372" s="370"/>
      <c r="Q372" s="370"/>
      <c r="R372" s="370"/>
      <c r="S372" s="370"/>
      <c r="T372" s="370"/>
      <c r="U372" s="370"/>
      <c r="V372" s="370"/>
      <c r="W372" s="370"/>
      <c r="X372" s="370"/>
      <c r="Y372" s="370"/>
      <c r="Z372" s="370"/>
      <c r="AA372" s="370"/>
      <c r="AB372" s="380"/>
    </row>
    <row r="373" spans="1:28">
      <c r="A373" s="370"/>
      <c r="B373" s="370"/>
      <c r="C373" s="370"/>
      <c r="D373" s="370"/>
      <c r="E373" s="370"/>
      <c r="F373" s="370"/>
      <c r="G373" s="370"/>
      <c r="H373" s="370"/>
      <c r="I373" s="370"/>
      <c r="J373" s="370"/>
      <c r="K373" s="370"/>
      <c r="L373" s="370"/>
      <c r="M373" s="370"/>
      <c r="N373" s="370"/>
      <c r="O373" s="370"/>
      <c r="P373" s="370"/>
      <c r="Q373" s="370"/>
      <c r="R373" s="370"/>
      <c r="S373" s="370"/>
      <c r="T373" s="370"/>
      <c r="U373" s="370"/>
      <c r="V373" s="370"/>
      <c r="W373" s="370"/>
      <c r="X373" s="370"/>
      <c r="Y373" s="370"/>
      <c r="Z373" s="370"/>
      <c r="AA373" s="370"/>
      <c r="AB373" s="380"/>
    </row>
    <row r="374" spans="1:28">
      <c r="A374" s="370"/>
      <c r="B374" s="370"/>
      <c r="C374" s="370"/>
      <c r="D374" s="370"/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  <c r="Z374" s="370"/>
      <c r="AA374" s="370"/>
      <c r="AB374" s="380"/>
    </row>
    <row r="375" spans="1:28">
      <c r="A375" s="370"/>
      <c r="B375" s="370"/>
      <c r="C375" s="370"/>
      <c r="D375" s="370"/>
      <c r="E375" s="370"/>
      <c r="F375" s="370"/>
      <c r="G375" s="370"/>
      <c r="H375" s="370"/>
      <c r="I375" s="370"/>
      <c r="J375" s="370"/>
      <c r="K375" s="370"/>
      <c r="L375" s="370"/>
      <c r="M375" s="370"/>
      <c r="N375" s="370"/>
      <c r="O375" s="370"/>
      <c r="P375" s="370"/>
      <c r="Q375" s="370"/>
      <c r="R375" s="370"/>
      <c r="S375" s="370"/>
      <c r="T375" s="370"/>
      <c r="U375" s="370"/>
      <c r="V375" s="370"/>
      <c r="W375" s="370"/>
      <c r="X375" s="370"/>
      <c r="Y375" s="370"/>
      <c r="Z375" s="370"/>
      <c r="AA375" s="370"/>
      <c r="AB375" s="380"/>
    </row>
    <row r="376" spans="1:28">
      <c r="A376" s="370"/>
      <c r="B376" s="370"/>
      <c r="C376" s="370"/>
      <c r="D376" s="370"/>
      <c r="E376" s="370"/>
      <c r="F376" s="370"/>
      <c r="G376" s="370"/>
      <c r="H376" s="370"/>
      <c r="I376" s="370"/>
      <c r="J376" s="370"/>
      <c r="K376" s="370"/>
      <c r="L376" s="370"/>
      <c r="M376" s="370"/>
      <c r="N376" s="370"/>
      <c r="O376" s="370"/>
      <c r="P376" s="370"/>
      <c r="Q376" s="370"/>
      <c r="R376" s="370"/>
      <c r="S376" s="370"/>
      <c r="T376" s="370"/>
      <c r="U376" s="370"/>
      <c r="V376" s="370"/>
      <c r="W376" s="370"/>
      <c r="X376" s="370"/>
      <c r="Y376" s="370"/>
      <c r="Z376" s="370"/>
      <c r="AA376" s="370"/>
      <c r="AB376" s="380"/>
    </row>
    <row r="377" spans="1:28">
      <c r="A377" s="370"/>
      <c r="B377" s="370"/>
      <c r="C377" s="370"/>
      <c r="D377" s="370"/>
      <c r="E377" s="370"/>
      <c r="F377" s="370"/>
      <c r="G377" s="370"/>
      <c r="H377" s="370"/>
      <c r="I377" s="370"/>
      <c r="J377" s="370"/>
      <c r="K377" s="370"/>
      <c r="L377" s="370"/>
      <c r="M377" s="370"/>
      <c r="N377" s="370"/>
      <c r="O377" s="370"/>
      <c r="P377" s="370"/>
      <c r="Q377" s="370"/>
      <c r="R377" s="370"/>
      <c r="S377" s="370"/>
      <c r="T377" s="370"/>
      <c r="U377" s="370"/>
      <c r="V377" s="370"/>
      <c r="W377" s="370"/>
      <c r="X377" s="370"/>
      <c r="Y377" s="370"/>
      <c r="Z377" s="370"/>
      <c r="AA377" s="370"/>
      <c r="AB377" s="380"/>
    </row>
    <row r="378" spans="1:28">
      <c r="A378" s="370"/>
      <c r="B378" s="370"/>
      <c r="C378" s="370"/>
      <c r="D378" s="370"/>
      <c r="E378" s="370"/>
      <c r="F378" s="370"/>
      <c r="G378" s="370"/>
      <c r="H378" s="370"/>
      <c r="I378" s="370"/>
      <c r="J378" s="370"/>
      <c r="K378" s="370"/>
      <c r="L378" s="370"/>
      <c r="M378" s="370"/>
      <c r="N378" s="370"/>
      <c r="O378" s="370"/>
      <c r="P378" s="370"/>
      <c r="Q378" s="370"/>
      <c r="R378" s="370"/>
      <c r="S378" s="370"/>
      <c r="T378" s="370"/>
      <c r="U378" s="370"/>
      <c r="V378" s="370"/>
      <c r="W378" s="370"/>
      <c r="X378" s="370"/>
      <c r="Y378" s="370"/>
      <c r="Z378" s="370"/>
      <c r="AA378" s="370"/>
      <c r="AB378" s="380"/>
    </row>
    <row r="379" spans="1:28">
      <c r="A379" s="370"/>
      <c r="B379" s="370"/>
      <c r="C379" s="370"/>
      <c r="D379" s="370"/>
      <c r="E379" s="370"/>
      <c r="F379" s="370"/>
      <c r="G379" s="370"/>
      <c r="H379" s="370"/>
      <c r="I379" s="370"/>
      <c r="J379" s="370"/>
      <c r="K379" s="370"/>
      <c r="L379" s="370"/>
      <c r="M379" s="370"/>
      <c r="N379" s="370"/>
      <c r="O379" s="370"/>
      <c r="P379" s="370"/>
      <c r="Q379" s="370"/>
      <c r="R379" s="370"/>
      <c r="S379" s="370"/>
      <c r="T379" s="370"/>
      <c r="U379" s="370"/>
      <c r="V379" s="370"/>
      <c r="W379" s="370"/>
      <c r="X379" s="370"/>
      <c r="Y379" s="370"/>
      <c r="Z379" s="370"/>
      <c r="AA379" s="370"/>
      <c r="AB379" s="380"/>
    </row>
    <row r="380" spans="1:28">
      <c r="A380" s="370"/>
      <c r="B380" s="370"/>
      <c r="C380" s="370"/>
      <c r="D380" s="370"/>
      <c r="E380" s="370"/>
      <c r="F380" s="370"/>
      <c r="G380" s="370"/>
      <c r="H380" s="370"/>
      <c r="I380" s="370"/>
      <c r="J380" s="370"/>
      <c r="K380" s="370"/>
      <c r="L380" s="370"/>
      <c r="M380" s="370"/>
      <c r="N380" s="370"/>
      <c r="O380" s="370"/>
      <c r="P380" s="370"/>
      <c r="Q380" s="370"/>
      <c r="R380" s="370"/>
      <c r="S380" s="370"/>
      <c r="T380" s="370"/>
      <c r="U380" s="370"/>
      <c r="V380" s="370"/>
      <c r="W380" s="370"/>
      <c r="X380" s="370"/>
      <c r="Y380" s="370"/>
      <c r="Z380" s="370"/>
      <c r="AA380" s="370"/>
      <c r="AB380" s="380"/>
    </row>
    <row r="381" spans="1:28">
      <c r="A381" s="370"/>
      <c r="B381" s="370"/>
      <c r="C381" s="370"/>
      <c r="D381" s="370"/>
      <c r="E381" s="370"/>
      <c r="F381" s="370"/>
      <c r="G381" s="370"/>
      <c r="H381" s="370"/>
      <c r="I381" s="370"/>
      <c r="J381" s="370"/>
      <c r="K381" s="370"/>
      <c r="L381" s="370"/>
      <c r="M381" s="370"/>
      <c r="N381" s="370"/>
      <c r="O381" s="370"/>
      <c r="P381" s="370"/>
      <c r="Q381" s="370"/>
      <c r="R381" s="370"/>
      <c r="S381" s="370"/>
      <c r="T381" s="370"/>
      <c r="U381" s="370"/>
      <c r="V381" s="370"/>
      <c r="W381" s="370"/>
      <c r="X381" s="370"/>
      <c r="Y381" s="370"/>
      <c r="Z381" s="370"/>
      <c r="AA381" s="370"/>
      <c r="AB381" s="380"/>
    </row>
    <row r="382" spans="1:28">
      <c r="A382" s="370"/>
      <c r="B382" s="370"/>
      <c r="C382" s="370"/>
      <c r="D382" s="370"/>
      <c r="E382" s="370"/>
      <c r="F382" s="370"/>
      <c r="G382" s="370"/>
      <c r="H382" s="370"/>
      <c r="I382" s="370"/>
      <c r="J382" s="370"/>
      <c r="K382" s="370"/>
      <c r="L382" s="370"/>
      <c r="M382" s="370"/>
      <c r="N382" s="370"/>
      <c r="O382" s="370"/>
      <c r="P382" s="370"/>
      <c r="Q382" s="370"/>
      <c r="R382" s="370"/>
      <c r="S382" s="370"/>
      <c r="T382" s="370"/>
      <c r="U382" s="370"/>
      <c r="V382" s="370"/>
      <c r="W382" s="370"/>
      <c r="X382" s="370"/>
      <c r="Y382" s="370"/>
      <c r="Z382" s="370"/>
      <c r="AA382" s="370"/>
      <c r="AB382" s="380"/>
    </row>
    <row r="383" spans="1:28">
      <c r="A383" s="370"/>
      <c r="B383" s="370"/>
      <c r="C383" s="370"/>
      <c r="D383" s="370"/>
      <c r="E383" s="370"/>
      <c r="F383" s="370"/>
      <c r="G383" s="370"/>
      <c r="H383" s="370"/>
      <c r="I383" s="370"/>
      <c r="J383" s="370"/>
      <c r="K383" s="370"/>
      <c r="L383" s="370"/>
      <c r="M383" s="370"/>
      <c r="N383" s="370"/>
      <c r="O383" s="370"/>
      <c r="P383" s="370"/>
      <c r="Q383" s="370"/>
      <c r="R383" s="370"/>
      <c r="S383" s="370"/>
      <c r="T383" s="370"/>
      <c r="U383" s="370"/>
      <c r="V383" s="370"/>
      <c r="W383" s="370"/>
      <c r="X383" s="370"/>
      <c r="Y383" s="370"/>
      <c r="Z383" s="370"/>
      <c r="AA383" s="370"/>
      <c r="AB383" s="380"/>
    </row>
    <row r="384" spans="1:28">
      <c r="A384" s="370"/>
      <c r="B384" s="370"/>
      <c r="C384" s="370"/>
      <c r="D384" s="370"/>
      <c r="E384" s="370"/>
      <c r="F384" s="370"/>
      <c r="G384" s="370"/>
      <c r="H384" s="370"/>
      <c r="I384" s="370"/>
      <c r="J384" s="370"/>
      <c r="K384" s="370"/>
      <c r="L384" s="370"/>
      <c r="M384" s="370"/>
      <c r="N384" s="370"/>
      <c r="O384" s="370"/>
      <c r="P384" s="370"/>
      <c r="Q384" s="370"/>
      <c r="R384" s="370"/>
      <c r="S384" s="370"/>
      <c r="T384" s="370"/>
      <c r="U384" s="370"/>
      <c r="V384" s="370"/>
      <c r="W384" s="370"/>
      <c r="X384" s="370"/>
      <c r="Y384" s="370"/>
      <c r="Z384" s="370"/>
      <c r="AA384" s="370"/>
      <c r="AB384" s="380"/>
    </row>
    <row r="385" spans="1:28">
      <c r="A385" s="370"/>
      <c r="B385" s="370"/>
      <c r="C385" s="370"/>
      <c r="D385" s="370"/>
      <c r="E385" s="370"/>
      <c r="F385" s="370"/>
      <c r="G385" s="370"/>
      <c r="H385" s="370"/>
      <c r="I385" s="370"/>
      <c r="J385" s="370"/>
      <c r="K385" s="370"/>
      <c r="L385" s="370"/>
      <c r="M385" s="370"/>
      <c r="N385" s="370"/>
      <c r="O385" s="370"/>
      <c r="P385" s="370"/>
      <c r="Q385" s="370"/>
      <c r="R385" s="370"/>
      <c r="S385" s="370"/>
      <c r="T385" s="370"/>
      <c r="U385" s="370"/>
      <c r="V385" s="370"/>
      <c r="W385" s="370"/>
      <c r="X385" s="370"/>
      <c r="Y385" s="370"/>
      <c r="Z385" s="370"/>
      <c r="AA385" s="370"/>
      <c r="AB385" s="380"/>
    </row>
    <row r="386" spans="1:28">
      <c r="A386" s="370"/>
      <c r="B386" s="370"/>
      <c r="C386" s="370"/>
      <c r="D386" s="370"/>
      <c r="E386" s="370"/>
      <c r="F386" s="370"/>
      <c r="G386" s="370"/>
      <c r="H386" s="370"/>
      <c r="I386" s="370"/>
      <c r="J386" s="370"/>
      <c r="K386" s="370"/>
      <c r="L386" s="370"/>
      <c r="M386" s="370"/>
      <c r="N386" s="370"/>
      <c r="O386" s="370"/>
      <c r="P386" s="370"/>
      <c r="Q386" s="370"/>
      <c r="R386" s="370"/>
      <c r="S386" s="370"/>
      <c r="T386" s="370"/>
      <c r="U386" s="370"/>
      <c r="V386" s="370"/>
      <c r="W386" s="370"/>
      <c r="X386" s="370"/>
      <c r="Y386" s="370"/>
      <c r="Z386" s="370"/>
      <c r="AA386" s="370"/>
      <c r="AB386" s="380"/>
    </row>
    <row r="387" spans="1:28">
      <c r="A387" s="370"/>
      <c r="B387" s="370"/>
      <c r="C387" s="370"/>
      <c r="D387" s="370"/>
      <c r="E387" s="370"/>
      <c r="F387" s="370"/>
      <c r="G387" s="370"/>
      <c r="H387" s="370"/>
      <c r="I387" s="370"/>
      <c r="J387" s="370"/>
      <c r="K387" s="370"/>
      <c r="L387" s="370"/>
      <c r="M387" s="370"/>
      <c r="N387" s="370"/>
      <c r="O387" s="370"/>
      <c r="P387" s="370"/>
      <c r="Q387" s="370"/>
      <c r="R387" s="370"/>
      <c r="S387" s="370"/>
      <c r="T387" s="370"/>
      <c r="U387" s="370"/>
      <c r="V387" s="370"/>
      <c r="W387" s="370"/>
      <c r="X387" s="370"/>
      <c r="Y387" s="370"/>
      <c r="Z387" s="370"/>
      <c r="AA387" s="370"/>
      <c r="AB387" s="380"/>
    </row>
    <row r="388" spans="1:28">
      <c r="A388" s="370"/>
      <c r="B388" s="370"/>
      <c r="C388" s="370"/>
      <c r="D388" s="370"/>
      <c r="E388" s="370"/>
      <c r="F388" s="370"/>
      <c r="G388" s="370"/>
      <c r="H388" s="370"/>
      <c r="I388" s="370"/>
      <c r="J388" s="370"/>
      <c r="K388" s="370"/>
      <c r="L388" s="370"/>
      <c r="M388" s="370"/>
      <c r="N388" s="370"/>
      <c r="O388" s="370"/>
      <c r="P388" s="370"/>
      <c r="Q388" s="370"/>
      <c r="R388" s="370"/>
      <c r="S388" s="370"/>
      <c r="T388" s="370"/>
      <c r="U388" s="370"/>
      <c r="V388" s="370"/>
      <c r="W388" s="370"/>
      <c r="X388" s="370"/>
      <c r="Y388" s="370"/>
      <c r="Z388" s="370"/>
      <c r="AA388" s="370"/>
      <c r="AB388" s="380"/>
    </row>
    <row r="389" spans="1:28">
      <c r="A389" s="370"/>
      <c r="B389" s="370"/>
      <c r="C389" s="370"/>
      <c r="D389" s="370"/>
      <c r="E389" s="370"/>
      <c r="F389" s="370"/>
      <c r="G389" s="370"/>
      <c r="H389" s="370"/>
      <c r="I389" s="370"/>
      <c r="J389" s="370"/>
      <c r="K389" s="370"/>
      <c r="L389" s="370"/>
      <c r="M389" s="370"/>
      <c r="N389" s="370"/>
      <c r="O389" s="370"/>
      <c r="P389" s="370"/>
      <c r="Q389" s="370"/>
      <c r="R389" s="370"/>
      <c r="S389" s="370"/>
      <c r="T389" s="370"/>
      <c r="U389" s="370"/>
      <c r="V389" s="370"/>
      <c r="W389" s="370"/>
      <c r="X389" s="370"/>
      <c r="Y389" s="370"/>
      <c r="Z389" s="370"/>
      <c r="AA389" s="370"/>
      <c r="AB389" s="380"/>
    </row>
    <row r="390" spans="1:28">
      <c r="A390" s="370"/>
      <c r="B390" s="370"/>
      <c r="C390" s="370"/>
      <c r="D390" s="370"/>
      <c r="E390" s="370"/>
      <c r="F390" s="370"/>
      <c r="G390" s="370"/>
      <c r="H390" s="370"/>
      <c r="I390" s="370"/>
      <c r="J390" s="370"/>
      <c r="K390" s="370"/>
      <c r="L390" s="370"/>
      <c r="M390" s="370"/>
      <c r="N390" s="370"/>
      <c r="O390" s="370"/>
      <c r="P390" s="370"/>
      <c r="Q390" s="370"/>
      <c r="R390" s="370"/>
      <c r="S390" s="370"/>
      <c r="T390" s="370"/>
      <c r="U390" s="370"/>
      <c r="V390" s="370"/>
      <c r="W390" s="370"/>
      <c r="X390" s="370"/>
      <c r="Y390" s="370"/>
      <c r="Z390" s="370"/>
      <c r="AA390" s="370"/>
      <c r="AB390" s="380"/>
    </row>
    <row r="391" spans="1:28">
      <c r="A391" s="370"/>
      <c r="B391" s="370"/>
      <c r="C391" s="370"/>
      <c r="D391" s="370"/>
      <c r="E391" s="370"/>
      <c r="F391" s="370"/>
      <c r="G391" s="370"/>
      <c r="H391" s="370"/>
      <c r="I391" s="370"/>
      <c r="J391" s="370"/>
      <c r="K391" s="370"/>
      <c r="L391" s="370"/>
      <c r="M391" s="370"/>
      <c r="N391" s="370"/>
      <c r="O391" s="370"/>
      <c r="P391" s="370"/>
      <c r="Q391" s="370"/>
      <c r="R391" s="370"/>
      <c r="S391" s="370"/>
      <c r="T391" s="370"/>
      <c r="U391" s="370"/>
      <c r="V391" s="370"/>
      <c r="W391" s="370"/>
      <c r="X391" s="370"/>
      <c r="Y391" s="370"/>
      <c r="Z391" s="370"/>
      <c r="AA391" s="370"/>
      <c r="AB391" s="380"/>
    </row>
    <row r="392" spans="1:28">
      <c r="A392" s="370"/>
      <c r="B392" s="370"/>
      <c r="C392" s="370"/>
      <c r="D392" s="370"/>
      <c r="E392" s="370"/>
      <c r="F392" s="370"/>
      <c r="G392" s="370"/>
      <c r="H392" s="370"/>
      <c r="I392" s="370"/>
      <c r="J392" s="370"/>
      <c r="K392" s="370"/>
      <c r="L392" s="370"/>
      <c r="M392" s="370"/>
      <c r="N392" s="370"/>
      <c r="O392" s="370"/>
      <c r="P392" s="370"/>
      <c r="Q392" s="370"/>
      <c r="R392" s="370"/>
      <c r="S392" s="370"/>
      <c r="T392" s="370"/>
      <c r="U392" s="370"/>
      <c r="V392" s="370"/>
      <c r="W392" s="370"/>
      <c r="X392" s="370"/>
      <c r="Y392" s="370"/>
      <c r="Z392" s="370"/>
      <c r="AA392" s="370"/>
      <c r="AB392" s="380"/>
    </row>
    <row r="393" spans="1:28">
      <c r="A393" s="370"/>
      <c r="B393" s="370"/>
      <c r="C393" s="370"/>
      <c r="D393" s="370"/>
      <c r="E393" s="370"/>
      <c r="F393" s="370"/>
      <c r="G393" s="370"/>
      <c r="H393" s="370"/>
      <c r="I393" s="370"/>
      <c r="J393" s="370"/>
      <c r="K393" s="370"/>
      <c r="L393" s="370"/>
      <c r="M393" s="370"/>
      <c r="N393" s="370"/>
      <c r="O393" s="370"/>
      <c r="P393" s="370"/>
      <c r="Q393" s="370"/>
      <c r="R393" s="370"/>
      <c r="S393" s="370"/>
      <c r="T393" s="370"/>
      <c r="U393" s="370"/>
      <c r="V393" s="370"/>
      <c r="W393" s="370"/>
      <c r="X393" s="370"/>
      <c r="Y393" s="370"/>
      <c r="Z393" s="370"/>
      <c r="AA393" s="370"/>
      <c r="AB393" s="380"/>
    </row>
    <row r="394" spans="1:28">
      <c r="A394" s="370"/>
      <c r="B394" s="370"/>
      <c r="C394" s="370"/>
      <c r="D394" s="370"/>
      <c r="E394" s="370"/>
      <c r="F394" s="370"/>
      <c r="G394" s="370"/>
      <c r="H394" s="370"/>
      <c r="I394" s="370"/>
      <c r="J394" s="370"/>
      <c r="K394" s="370"/>
      <c r="L394" s="370"/>
      <c r="M394" s="370"/>
      <c r="N394" s="370"/>
      <c r="O394" s="370"/>
      <c r="P394" s="370"/>
      <c r="Q394" s="370"/>
      <c r="R394" s="370"/>
      <c r="S394" s="370"/>
      <c r="T394" s="370"/>
      <c r="U394" s="370"/>
      <c r="V394" s="370"/>
      <c r="W394" s="370"/>
      <c r="X394" s="370"/>
      <c r="Y394" s="370"/>
      <c r="Z394" s="370"/>
      <c r="AA394" s="370"/>
      <c r="AB394" s="380"/>
    </row>
    <row r="395" spans="1:28">
      <c r="A395" s="370"/>
      <c r="B395" s="370"/>
      <c r="C395" s="370"/>
      <c r="D395" s="370"/>
      <c r="E395" s="370"/>
      <c r="F395" s="370"/>
      <c r="G395" s="370"/>
      <c r="H395" s="370"/>
      <c r="I395" s="370"/>
      <c r="J395" s="370"/>
      <c r="K395" s="370"/>
      <c r="L395" s="370"/>
      <c r="M395" s="370"/>
      <c r="N395" s="370"/>
      <c r="O395" s="370"/>
      <c r="P395" s="370"/>
      <c r="Q395" s="370"/>
      <c r="R395" s="370"/>
      <c r="S395" s="370"/>
      <c r="T395" s="370"/>
      <c r="U395" s="370"/>
      <c r="V395" s="370"/>
      <c r="W395" s="370"/>
      <c r="X395" s="370"/>
      <c r="Y395" s="370"/>
      <c r="Z395" s="370"/>
      <c r="AA395" s="370"/>
      <c r="AB395" s="380"/>
    </row>
    <row r="396" spans="1:28">
      <c r="A396" s="370"/>
      <c r="B396" s="370"/>
      <c r="C396" s="370"/>
      <c r="D396" s="370"/>
      <c r="E396" s="370"/>
      <c r="F396" s="370"/>
      <c r="G396" s="370"/>
      <c r="H396" s="370"/>
      <c r="I396" s="370"/>
      <c r="J396" s="370"/>
      <c r="K396" s="370"/>
      <c r="L396" s="370"/>
      <c r="M396" s="370"/>
      <c r="N396" s="370"/>
      <c r="O396" s="370"/>
      <c r="P396" s="370"/>
      <c r="Q396" s="370"/>
      <c r="R396" s="370"/>
      <c r="S396" s="370"/>
      <c r="T396" s="370"/>
      <c r="U396" s="370"/>
      <c r="V396" s="370"/>
      <c r="W396" s="370"/>
      <c r="X396" s="370"/>
      <c r="Y396" s="370"/>
      <c r="Z396" s="370"/>
      <c r="AA396" s="370"/>
      <c r="AB396" s="380"/>
    </row>
    <row r="397" spans="1:28">
      <c r="A397" s="370"/>
      <c r="B397" s="370"/>
      <c r="C397" s="370"/>
      <c r="D397" s="370"/>
      <c r="E397" s="370"/>
      <c r="F397" s="370"/>
      <c r="G397" s="370"/>
      <c r="H397" s="370"/>
      <c r="I397" s="370"/>
      <c r="J397" s="370"/>
      <c r="K397" s="370"/>
      <c r="L397" s="370"/>
      <c r="M397" s="370"/>
      <c r="N397" s="370"/>
      <c r="O397" s="370"/>
      <c r="P397" s="370"/>
      <c r="Q397" s="370"/>
      <c r="R397" s="370"/>
      <c r="S397" s="370"/>
      <c r="T397" s="370"/>
      <c r="U397" s="370"/>
      <c r="V397" s="370"/>
      <c r="W397" s="370"/>
      <c r="X397" s="370"/>
      <c r="Y397" s="370"/>
      <c r="Z397" s="370"/>
      <c r="AA397" s="370"/>
      <c r="AB397" s="380"/>
    </row>
    <row r="398" spans="1:28">
      <c r="A398" s="370"/>
      <c r="B398" s="370"/>
      <c r="C398" s="370"/>
      <c r="D398" s="370"/>
      <c r="E398" s="370"/>
      <c r="F398" s="370"/>
      <c r="G398" s="370"/>
      <c r="H398" s="370"/>
      <c r="I398" s="370"/>
      <c r="J398" s="370"/>
      <c r="K398" s="370"/>
      <c r="L398" s="370"/>
      <c r="M398" s="370"/>
      <c r="N398" s="370"/>
      <c r="O398" s="370"/>
      <c r="P398" s="370"/>
      <c r="Q398" s="370"/>
      <c r="R398" s="370"/>
      <c r="S398" s="370"/>
      <c r="T398" s="370"/>
      <c r="U398" s="370"/>
      <c r="V398" s="370"/>
      <c r="W398" s="370"/>
      <c r="X398" s="370"/>
      <c r="Y398" s="370"/>
      <c r="Z398" s="370"/>
      <c r="AA398" s="370"/>
      <c r="AB398" s="380"/>
    </row>
    <row r="399" spans="1:28">
      <c r="A399" s="370"/>
      <c r="B399" s="370"/>
      <c r="C399" s="370"/>
      <c r="D399" s="370"/>
      <c r="E399" s="370"/>
      <c r="F399" s="370"/>
      <c r="G399" s="370"/>
      <c r="H399" s="370"/>
      <c r="I399" s="370"/>
      <c r="J399" s="370"/>
      <c r="K399" s="370"/>
      <c r="L399" s="370"/>
      <c r="M399" s="370"/>
      <c r="N399" s="370"/>
      <c r="O399" s="370"/>
      <c r="P399" s="370"/>
      <c r="Q399" s="370"/>
      <c r="R399" s="370"/>
      <c r="S399" s="370"/>
      <c r="T399" s="370"/>
      <c r="U399" s="370"/>
      <c r="V399" s="370"/>
      <c r="W399" s="370"/>
      <c r="X399" s="370"/>
      <c r="Y399" s="370"/>
      <c r="Z399" s="370"/>
      <c r="AA399" s="370"/>
      <c r="AB399" s="380"/>
    </row>
    <row r="400" spans="1:28">
      <c r="A400" s="370"/>
      <c r="B400" s="370"/>
      <c r="C400" s="370"/>
      <c r="D400" s="370"/>
      <c r="E400" s="370"/>
      <c r="F400" s="370"/>
      <c r="G400" s="370"/>
      <c r="H400" s="370"/>
      <c r="I400" s="370"/>
      <c r="J400" s="370"/>
      <c r="K400" s="370"/>
      <c r="L400" s="370"/>
      <c r="M400" s="370"/>
      <c r="N400" s="370"/>
      <c r="O400" s="370"/>
      <c r="P400" s="370"/>
      <c r="Q400" s="370"/>
      <c r="R400" s="370"/>
      <c r="S400" s="370"/>
      <c r="T400" s="370"/>
      <c r="U400" s="370"/>
      <c r="V400" s="370"/>
      <c r="W400" s="370"/>
      <c r="X400" s="370"/>
      <c r="Y400" s="370"/>
      <c r="Z400" s="370"/>
      <c r="AA400" s="370"/>
      <c r="AB400" s="380"/>
    </row>
    <row r="401" spans="1:28">
      <c r="A401" s="370"/>
      <c r="B401" s="370"/>
      <c r="C401" s="370"/>
      <c r="D401" s="370"/>
      <c r="E401" s="370"/>
      <c r="F401" s="370"/>
      <c r="G401" s="370"/>
      <c r="H401" s="370"/>
      <c r="I401" s="370"/>
      <c r="J401" s="370"/>
      <c r="K401" s="370"/>
      <c r="L401" s="370"/>
      <c r="M401" s="370"/>
      <c r="N401" s="370"/>
      <c r="O401" s="370"/>
      <c r="P401" s="370"/>
      <c r="Q401" s="370"/>
      <c r="R401" s="370"/>
      <c r="S401" s="370"/>
      <c r="T401" s="370"/>
      <c r="U401" s="370"/>
      <c r="V401" s="370"/>
      <c r="W401" s="370"/>
      <c r="X401" s="370"/>
      <c r="Y401" s="370"/>
      <c r="Z401" s="370"/>
      <c r="AA401" s="370"/>
      <c r="AB401" s="380"/>
    </row>
    <row r="402" spans="1:28">
      <c r="A402" s="370"/>
      <c r="B402" s="370"/>
      <c r="C402" s="370"/>
      <c r="D402" s="370"/>
      <c r="E402" s="370"/>
      <c r="F402" s="370"/>
      <c r="G402" s="370"/>
      <c r="H402" s="370"/>
      <c r="I402" s="370"/>
      <c r="J402" s="370"/>
      <c r="K402" s="370"/>
      <c r="L402" s="370"/>
      <c r="M402" s="370"/>
      <c r="N402" s="370"/>
      <c r="O402" s="370"/>
      <c r="P402" s="370"/>
      <c r="Q402" s="370"/>
      <c r="R402" s="370"/>
      <c r="S402" s="370"/>
      <c r="T402" s="370"/>
      <c r="U402" s="370"/>
      <c r="V402" s="370"/>
      <c r="W402" s="370"/>
      <c r="X402" s="370"/>
      <c r="Y402" s="370"/>
      <c r="Z402" s="370"/>
      <c r="AA402" s="370"/>
      <c r="AB402" s="380"/>
    </row>
    <row r="403" spans="1:28">
      <c r="A403" s="370"/>
      <c r="B403" s="370"/>
      <c r="C403" s="370"/>
      <c r="D403" s="370"/>
      <c r="E403" s="370"/>
      <c r="F403" s="370"/>
      <c r="G403" s="370"/>
      <c r="H403" s="370"/>
      <c r="I403" s="370"/>
      <c r="J403" s="370"/>
      <c r="K403" s="370"/>
      <c r="L403" s="370"/>
      <c r="M403" s="370"/>
      <c r="N403" s="370"/>
      <c r="O403" s="370"/>
      <c r="P403" s="370"/>
      <c r="Q403" s="370"/>
      <c r="R403" s="370"/>
      <c r="S403" s="370"/>
      <c r="T403" s="370"/>
      <c r="U403" s="370"/>
      <c r="V403" s="370"/>
      <c r="W403" s="370"/>
      <c r="X403" s="370"/>
      <c r="Y403" s="370"/>
      <c r="Z403" s="370"/>
      <c r="AA403" s="370"/>
      <c r="AB403" s="380"/>
    </row>
    <row r="404" spans="1:28">
      <c r="A404" s="370"/>
      <c r="B404" s="370"/>
      <c r="C404" s="370"/>
      <c r="D404" s="370"/>
      <c r="E404" s="370"/>
      <c r="F404" s="370"/>
      <c r="G404" s="370"/>
      <c r="H404" s="370"/>
      <c r="I404" s="370"/>
      <c r="J404" s="370"/>
      <c r="K404" s="370"/>
      <c r="L404" s="370"/>
      <c r="M404" s="370"/>
      <c r="N404" s="370"/>
      <c r="O404" s="370"/>
      <c r="P404" s="370"/>
      <c r="Q404" s="370"/>
      <c r="R404" s="370"/>
      <c r="S404" s="370"/>
      <c r="T404" s="370"/>
      <c r="U404" s="370"/>
      <c r="V404" s="370"/>
      <c r="W404" s="370"/>
      <c r="X404" s="370"/>
      <c r="Y404" s="370"/>
      <c r="Z404" s="370"/>
      <c r="AA404" s="370"/>
      <c r="AB404" s="380"/>
    </row>
    <row r="405" spans="1:28">
      <c r="A405" s="370"/>
      <c r="B405" s="370"/>
      <c r="C405" s="370"/>
      <c r="D405" s="370"/>
      <c r="E405" s="370"/>
      <c r="F405" s="370"/>
      <c r="G405" s="370"/>
      <c r="H405" s="370"/>
      <c r="I405" s="370"/>
      <c r="J405" s="370"/>
      <c r="K405" s="370"/>
      <c r="L405" s="370"/>
      <c r="M405" s="370"/>
      <c r="N405" s="370"/>
      <c r="O405" s="370"/>
      <c r="P405" s="370"/>
      <c r="Q405" s="370"/>
      <c r="R405" s="370"/>
      <c r="S405" s="370"/>
      <c r="T405" s="370"/>
      <c r="U405" s="370"/>
      <c r="V405" s="370"/>
      <c r="W405" s="370"/>
      <c r="X405" s="370"/>
      <c r="Y405" s="370"/>
      <c r="Z405" s="370"/>
      <c r="AA405" s="370"/>
      <c r="AB405" s="380"/>
    </row>
    <row r="406" spans="1:28">
      <c r="A406" s="370"/>
      <c r="B406" s="370"/>
      <c r="C406" s="370"/>
      <c r="D406" s="370"/>
      <c r="E406" s="370"/>
      <c r="F406" s="370"/>
      <c r="G406" s="370"/>
      <c r="H406" s="370"/>
      <c r="I406" s="370"/>
      <c r="J406" s="370"/>
      <c r="K406" s="370"/>
      <c r="L406" s="370"/>
      <c r="M406" s="370"/>
      <c r="N406" s="370"/>
      <c r="O406" s="370"/>
      <c r="P406" s="370"/>
      <c r="Q406" s="370"/>
      <c r="R406" s="370"/>
      <c r="S406" s="370"/>
      <c r="T406" s="370"/>
      <c r="U406" s="370"/>
      <c r="V406" s="370"/>
      <c r="W406" s="370"/>
      <c r="X406" s="370"/>
      <c r="Y406" s="370"/>
      <c r="Z406" s="370"/>
      <c r="AA406" s="370"/>
      <c r="AB406" s="380"/>
    </row>
    <row r="407" spans="1:28">
      <c r="A407" s="370"/>
      <c r="B407" s="370"/>
      <c r="C407" s="370"/>
      <c r="D407" s="370"/>
      <c r="E407" s="370"/>
      <c r="F407" s="370"/>
      <c r="G407" s="370"/>
      <c r="H407" s="370"/>
      <c r="I407" s="370"/>
      <c r="J407" s="370"/>
      <c r="K407" s="370"/>
      <c r="L407" s="370"/>
      <c r="M407" s="370"/>
      <c r="N407" s="370"/>
      <c r="O407" s="370"/>
      <c r="P407" s="370"/>
      <c r="Q407" s="370"/>
      <c r="R407" s="370"/>
      <c r="S407" s="370"/>
      <c r="T407" s="370"/>
      <c r="U407" s="370"/>
      <c r="V407" s="370"/>
      <c r="W407" s="370"/>
      <c r="X407" s="370"/>
      <c r="Y407" s="370"/>
      <c r="Z407" s="370"/>
      <c r="AA407" s="370"/>
      <c r="AB407" s="380"/>
    </row>
    <row r="408" spans="1:28">
      <c r="A408" s="370"/>
      <c r="B408" s="370"/>
      <c r="C408" s="370"/>
      <c r="D408" s="370"/>
      <c r="E408" s="370"/>
      <c r="F408" s="370"/>
      <c r="G408" s="370"/>
      <c r="H408" s="370"/>
      <c r="I408" s="370"/>
      <c r="J408" s="370"/>
      <c r="K408" s="370"/>
      <c r="L408" s="370"/>
      <c r="M408" s="370"/>
      <c r="N408" s="370"/>
      <c r="O408" s="370"/>
      <c r="P408" s="370"/>
      <c r="Q408" s="370"/>
      <c r="R408" s="370"/>
      <c r="S408" s="370"/>
      <c r="T408" s="370"/>
      <c r="U408" s="370"/>
      <c r="V408" s="370"/>
      <c r="W408" s="370"/>
      <c r="X408" s="370"/>
      <c r="Y408" s="370"/>
      <c r="Z408" s="370"/>
      <c r="AA408" s="370"/>
      <c r="AB408" s="380"/>
    </row>
    <row r="409" spans="1:28">
      <c r="A409" s="370"/>
      <c r="B409" s="370"/>
      <c r="C409" s="370"/>
      <c r="D409" s="370"/>
      <c r="E409" s="370"/>
      <c r="F409" s="370"/>
      <c r="G409" s="370"/>
      <c r="H409" s="370"/>
      <c r="I409" s="370"/>
      <c r="J409" s="370"/>
      <c r="K409" s="370"/>
      <c r="L409" s="370"/>
      <c r="M409" s="370"/>
      <c r="N409" s="370"/>
      <c r="O409" s="370"/>
      <c r="P409" s="370"/>
      <c r="Q409" s="370"/>
      <c r="R409" s="370"/>
      <c r="S409" s="370"/>
      <c r="T409" s="370"/>
      <c r="U409" s="370"/>
      <c r="V409" s="370"/>
      <c r="W409" s="370"/>
      <c r="X409" s="370"/>
      <c r="Y409" s="370"/>
      <c r="Z409" s="370"/>
      <c r="AA409" s="370"/>
      <c r="AB409" s="380"/>
    </row>
    <row r="410" spans="1:28">
      <c r="A410" s="370"/>
      <c r="B410" s="370"/>
      <c r="C410" s="370"/>
      <c r="D410" s="370"/>
      <c r="E410" s="370"/>
      <c r="F410" s="370"/>
      <c r="G410" s="370"/>
      <c r="H410" s="370"/>
      <c r="I410" s="370"/>
      <c r="J410" s="370"/>
      <c r="K410" s="370"/>
      <c r="L410" s="370"/>
      <c r="M410" s="370"/>
      <c r="N410" s="370"/>
      <c r="O410" s="370"/>
      <c r="P410" s="370"/>
      <c r="Q410" s="370"/>
      <c r="R410" s="370"/>
      <c r="S410" s="370"/>
      <c r="T410" s="370"/>
      <c r="U410" s="370"/>
      <c r="V410" s="370"/>
      <c r="W410" s="370"/>
      <c r="X410" s="370"/>
      <c r="Y410" s="370"/>
      <c r="Z410" s="370"/>
      <c r="AA410" s="370"/>
      <c r="AB410" s="380"/>
    </row>
    <row r="411" spans="1:28">
      <c r="A411" s="370"/>
      <c r="B411" s="370"/>
      <c r="C411" s="370"/>
      <c r="D411" s="370"/>
      <c r="E411" s="370"/>
      <c r="F411" s="370"/>
      <c r="G411" s="370"/>
      <c r="H411" s="370"/>
      <c r="I411" s="370"/>
      <c r="J411" s="370"/>
      <c r="K411" s="370"/>
      <c r="L411" s="370"/>
      <c r="M411" s="370"/>
      <c r="N411" s="370"/>
      <c r="O411" s="370"/>
      <c r="P411" s="370"/>
      <c r="Q411" s="370"/>
      <c r="R411" s="370"/>
      <c r="S411" s="370"/>
      <c r="T411" s="370"/>
      <c r="U411" s="370"/>
      <c r="V411" s="370"/>
      <c r="W411" s="370"/>
      <c r="X411" s="370"/>
      <c r="Y411" s="370"/>
      <c r="Z411" s="370"/>
      <c r="AA411" s="370"/>
      <c r="AB411" s="380"/>
    </row>
    <row r="412" spans="1:28">
      <c r="A412" s="370"/>
      <c r="B412" s="370"/>
      <c r="C412" s="370"/>
      <c r="D412" s="370"/>
      <c r="E412" s="370"/>
      <c r="F412" s="370"/>
      <c r="G412" s="370"/>
      <c r="H412" s="370"/>
      <c r="I412" s="370"/>
      <c r="J412" s="370"/>
      <c r="K412" s="370"/>
      <c r="L412" s="370"/>
      <c r="M412" s="370"/>
      <c r="N412" s="370"/>
      <c r="O412" s="370"/>
      <c r="P412" s="370"/>
      <c r="Q412" s="370"/>
      <c r="R412" s="370"/>
      <c r="S412" s="370"/>
      <c r="T412" s="370"/>
      <c r="U412" s="370"/>
      <c r="V412" s="370"/>
      <c r="W412" s="370"/>
      <c r="X412" s="370"/>
      <c r="Y412" s="370"/>
      <c r="Z412" s="370"/>
      <c r="AA412" s="370"/>
      <c r="AB412" s="380"/>
    </row>
    <row r="413" spans="1:28">
      <c r="A413" s="370"/>
      <c r="B413" s="370"/>
      <c r="C413" s="370"/>
      <c r="D413" s="370"/>
      <c r="E413" s="370"/>
      <c r="F413" s="370"/>
      <c r="G413" s="370"/>
      <c r="H413" s="370"/>
      <c r="I413" s="370"/>
      <c r="J413" s="370"/>
      <c r="K413" s="370"/>
      <c r="L413" s="370"/>
      <c r="M413" s="370"/>
      <c r="N413" s="370"/>
      <c r="O413" s="370"/>
      <c r="P413" s="370"/>
      <c r="Q413" s="370"/>
      <c r="R413" s="370"/>
      <c r="S413" s="370"/>
      <c r="T413" s="370"/>
      <c r="U413" s="370"/>
      <c r="V413" s="370"/>
      <c r="W413" s="370"/>
      <c r="X413" s="370"/>
      <c r="Y413" s="370"/>
      <c r="Z413" s="370"/>
      <c r="AA413" s="370"/>
      <c r="AB413" s="380"/>
    </row>
    <row r="414" spans="1:28">
      <c r="A414" s="370"/>
      <c r="B414" s="370"/>
      <c r="C414" s="370"/>
      <c r="D414" s="370"/>
      <c r="E414" s="370"/>
      <c r="F414" s="370"/>
      <c r="G414" s="370"/>
      <c r="H414" s="370"/>
      <c r="I414" s="370"/>
      <c r="J414" s="370"/>
      <c r="K414" s="370"/>
      <c r="L414" s="370"/>
      <c r="M414" s="370"/>
      <c r="N414" s="370"/>
      <c r="O414" s="370"/>
      <c r="P414" s="370"/>
      <c r="Q414" s="370"/>
      <c r="R414" s="370"/>
      <c r="S414" s="370"/>
      <c r="T414" s="370"/>
      <c r="U414" s="370"/>
      <c r="V414" s="370"/>
      <c r="W414" s="370"/>
      <c r="X414" s="370"/>
      <c r="Y414" s="370"/>
      <c r="Z414" s="370"/>
      <c r="AA414" s="370"/>
      <c r="AB414" s="380"/>
    </row>
    <row r="415" spans="1:28">
      <c r="A415" s="370"/>
      <c r="B415" s="370"/>
      <c r="C415" s="370"/>
      <c r="D415" s="370"/>
      <c r="E415" s="370"/>
      <c r="F415" s="370"/>
      <c r="G415" s="370"/>
      <c r="H415" s="370"/>
      <c r="I415" s="370"/>
      <c r="J415" s="370"/>
      <c r="K415" s="370"/>
      <c r="L415" s="370"/>
      <c r="M415" s="370"/>
      <c r="N415" s="370"/>
      <c r="O415" s="370"/>
      <c r="P415" s="370"/>
      <c r="Q415" s="370"/>
      <c r="R415" s="370"/>
      <c r="S415" s="370"/>
      <c r="T415" s="370"/>
      <c r="U415" s="370"/>
      <c r="V415" s="370"/>
      <c r="W415" s="370"/>
      <c r="X415" s="370"/>
      <c r="Y415" s="370"/>
      <c r="Z415" s="370"/>
      <c r="AA415" s="370"/>
      <c r="AB415" s="380"/>
    </row>
    <row r="416" spans="1:28">
      <c r="A416" s="370"/>
      <c r="B416" s="370"/>
      <c r="C416" s="370"/>
      <c r="D416" s="370"/>
      <c r="E416" s="370"/>
      <c r="F416" s="370"/>
      <c r="G416" s="370"/>
      <c r="H416" s="370"/>
      <c r="I416" s="370"/>
      <c r="J416" s="370"/>
      <c r="K416" s="370"/>
      <c r="L416" s="370"/>
      <c r="M416" s="370"/>
      <c r="N416" s="370"/>
      <c r="O416" s="370"/>
      <c r="P416" s="370"/>
      <c r="Q416" s="370"/>
      <c r="R416" s="370"/>
      <c r="S416" s="370"/>
      <c r="T416" s="370"/>
      <c r="U416" s="370"/>
      <c r="V416" s="370"/>
      <c r="W416" s="370"/>
      <c r="X416" s="370"/>
      <c r="Y416" s="370"/>
      <c r="Z416" s="370"/>
      <c r="AA416" s="370"/>
      <c r="AB416" s="380"/>
    </row>
    <row r="417" spans="1:28">
      <c r="A417" s="370"/>
      <c r="B417" s="370"/>
      <c r="C417" s="370"/>
      <c r="D417" s="370"/>
      <c r="E417" s="370"/>
      <c r="F417" s="370"/>
      <c r="G417" s="370"/>
      <c r="H417" s="370"/>
      <c r="I417" s="370"/>
      <c r="J417" s="370"/>
      <c r="K417" s="370"/>
      <c r="L417" s="370"/>
      <c r="M417" s="370"/>
      <c r="N417" s="370"/>
      <c r="O417" s="370"/>
      <c r="P417" s="370"/>
      <c r="Q417" s="370"/>
      <c r="R417" s="370"/>
      <c r="S417" s="370"/>
      <c r="T417" s="370"/>
      <c r="U417" s="370"/>
      <c r="V417" s="370"/>
      <c r="W417" s="370"/>
      <c r="X417" s="370"/>
      <c r="Y417" s="370"/>
      <c r="Z417" s="370"/>
      <c r="AA417" s="370"/>
      <c r="AB417" s="380"/>
    </row>
    <row r="418" spans="1:28">
      <c r="A418" s="370"/>
      <c r="B418" s="370"/>
      <c r="C418" s="370"/>
      <c r="D418" s="370"/>
      <c r="E418" s="370"/>
      <c r="F418" s="370"/>
      <c r="G418" s="370"/>
      <c r="H418" s="370"/>
      <c r="I418" s="370"/>
      <c r="J418" s="370"/>
      <c r="K418" s="370"/>
      <c r="L418" s="370"/>
      <c r="M418" s="370"/>
      <c r="N418" s="370"/>
      <c r="O418" s="370"/>
      <c r="P418" s="370"/>
      <c r="Q418" s="370"/>
      <c r="R418" s="370"/>
      <c r="S418" s="370"/>
      <c r="T418" s="370"/>
      <c r="U418" s="370"/>
      <c r="V418" s="370"/>
      <c r="W418" s="370"/>
      <c r="X418" s="370"/>
      <c r="Y418" s="370"/>
      <c r="Z418" s="370"/>
      <c r="AA418" s="370"/>
      <c r="AB418" s="380"/>
    </row>
    <row r="419" spans="1:28">
      <c r="A419" s="370"/>
      <c r="B419" s="370"/>
      <c r="C419" s="370"/>
      <c r="D419" s="370"/>
      <c r="E419" s="370"/>
      <c r="F419" s="370"/>
      <c r="G419" s="370"/>
      <c r="H419" s="370"/>
      <c r="I419" s="370"/>
      <c r="J419" s="370"/>
      <c r="K419" s="370"/>
      <c r="L419" s="370"/>
      <c r="M419" s="370"/>
      <c r="N419" s="370"/>
      <c r="O419" s="370"/>
      <c r="P419" s="370"/>
      <c r="Q419" s="370"/>
      <c r="R419" s="370"/>
      <c r="S419" s="370"/>
      <c r="T419" s="370"/>
      <c r="U419" s="370"/>
      <c r="V419" s="370"/>
      <c r="W419" s="370"/>
      <c r="X419" s="370"/>
      <c r="Y419" s="370"/>
      <c r="Z419" s="370"/>
      <c r="AA419" s="370"/>
      <c r="AB419" s="380"/>
    </row>
    <row r="420" spans="1:28">
      <c r="A420" s="370"/>
      <c r="B420" s="370"/>
      <c r="C420" s="370"/>
      <c r="D420" s="370"/>
      <c r="E420" s="370"/>
      <c r="F420" s="370"/>
      <c r="G420" s="370"/>
      <c r="H420" s="370"/>
      <c r="I420" s="370"/>
      <c r="J420" s="370"/>
      <c r="K420" s="370"/>
      <c r="L420" s="370"/>
      <c r="M420" s="370"/>
      <c r="N420" s="370"/>
      <c r="O420" s="370"/>
      <c r="P420" s="370"/>
      <c r="Q420" s="370"/>
      <c r="R420" s="370"/>
      <c r="S420" s="370"/>
      <c r="T420" s="370"/>
      <c r="U420" s="370"/>
      <c r="V420" s="370"/>
      <c r="W420" s="370"/>
      <c r="X420" s="370"/>
      <c r="Y420" s="370"/>
      <c r="Z420" s="370"/>
      <c r="AA420" s="370"/>
      <c r="AB420" s="380"/>
    </row>
    <row r="421" spans="1:28">
      <c r="A421" s="370"/>
      <c r="B421" s="370"/>
      <c r="C421" s="370"/>
      <c r="D421" s="370"/>
      <c r="E421" s="370"/>
      <c r="F421" s="370"/>
      <c r="G421" s="370"/>
      <c r="H421" s="370"/>
      <c r="I421" s="370"/>
      <c r="J421" s="370"/>
      <c r="K421" s="370"/>
      <c r="L421" s="370"/>
      <c r="M421" s="370"/>
      <c r="N421" s="370"/>
      <c r="O421" s="370"/>
      <c r="P421" s="370"/>
      <c r="Q421" s="370"/>
      <c r="R421" s="370"/>
      <c r="S421" s="370"/>
      <c r="T421" s="370"/>
      <c r="U421" s="370"/>
      <c r="V421" s="370"/>
      <c r="W421" s="370"/>
      <c r="X421" s="370"/>
      <c r="Y421" s="370"/>
      <c r="Z421" s="370"/>
      <c r="AA421" s="370"/>
      <c r="AB421" s="380"/>
    </row>
    <row r="422" spans="1:28">
      <c r="A422" s="370"/>
      <c r="B422" s="370"/>
      <c r="C422" s="370"/>
      <c r="D422" s="370"/>
      <c r="E422" s="370"/>
      <c r="F422" s="370"/>
      <c r="G422" s="370"/>
      <c r="H422" s="370"/>
      <c r="I422" s="370"/>
      <c r="J422" s="370"/>
      <c r="K422" s="370"/>
      <c r="L422" s="370"/>
      <c r="M422" s="370"/>
      <c r="N422" s="370"/>
      <c r="O422" s="370"/>
      <c r="P422" s="370"/>
      <c r="Q422" s="370"/>
      <c r="R422" s="370"/>
      <c r="S422" s="370"/>
      <c r="T422" s="370"/>
      <c r="U422" s="370"/>
      <c r="V422" s="370"/>
      <c r="W422" s="370"/>
      <c r="X422" s="370"/>
      <c r="Y422" s="370"/>
      <c r="Z422" s="370"/>
      <c r="AA422" s="370"/>
      <c r="AB422" s="380"/>
    </row>
    <row r="423" spans="1:28">
      <c r="A423" s="370"/>
      <c r="B423" s="370"/>
      <c r="C423" s="370"/>
      <c r="D423" s="370"/>
      <c r="E423" s="370"/>
      <c r="F423" s="370"/>
      <c r="G423" s="370"/>
      <c r="H423" s="370"/>
      <c r="I423" s="370"/>
      <c r="J423" s="370"/>
      <c r="K423" s="370"/>
      <c r="L423" s="370"/>
      <c r="M423" s="370"/>
      <c r="N423" s="370"/>
      <c r="O423" s="370"/>
      <c r="P423" s="370"/>
      <c r="Q423" s="370"/>
      <c r="R423" s="370"/>
      <c r="S423" s="370"/>
      <c r="T423" s="370"/>
      <c r="U423" s="370"/>
      <c r="V423" s="370"/>
      <c r="W423" s="370"/>
      <c r="X423" s="370"/>
      <c r="Y423" s="370"/>
      <c r="Z423" s="370"/>
      <c r="AA423" s="370"/>
      <c r="AB423" s="380"/>
    </row>
    <row r="424" spans="1:28">
      <c r="A424" s="370"/>
      <c r="B424" s="370"/>
      <c r="C424" s="370"/>
      <c r="D424" s="370"/>
      <c r="E424" s="370"/>
      <c r="F424" s="370"/>
      <c r="G424" s="370"/>
      <c r="H424" s="370"/>
      <c r="I424" s="370"/>
      <c r="J424" s="370"/>
      <c r="K424" s="370"/>
      <c r="L424" s="370"/>
      <c r="M424" s="370"/>
      <c r="N424" s="370"/>
      <c r="O424" s="370"/>
      <c r="P424" s="370"/>
      <c r="Q424" s="370"/>
      <c r="R424" s="370"/>
      <c r="S424" s="370"/>
      <c r="T424" s="370"/>
      <c r="U424" s="370"/>
      <c r="V424" s="370"/>
      <c r="W424" s="370"/>
      <c r="X424" s="370"/>
      <c r="Y424" s="370"/>
      <c r="Z424" s="370"/>
      <c r="AA424" s="370"/>
      <c r="AB424" s="380"/>
    </row>
    <row r="425" spans="1:28">
      <c r="A425" s="370"/>
      <c r="B425" s="370"/>
      <c r="C425" s="370"/>
      <c r="D425" s="370"/>
      <c r="E425" s="370"/>
      <c r="F425" s="370"/>
      <c r="G425" s="370"/>
      <c r="H425" s="370"/>
      <c r="I425" s="370"/>
      <c r="J425" s="370"/>
      <c r="K425" s="370"/>
      <c r="L425" s="370"/>
      <c r="M425" s="370"/>
      <c r="N425" s="370"/>
      <c r="O425" s="370"/>
      <c r="P425" s="370"/>
      <c r="Q425" s="370"/>
      <c r="R425" s="370"/>
      <c r="S425" s="370"/>
      <c r="T425" s="370"/>
      <c r="U425" s="370"/>
      <c r="V425" s="370"/>
      <c r="W425" s="370"/>
      <c r="X425" s="370"/>
      <c r="Y425" s="370"/>
      <c r="Z425" s="370"/>
      <c r="AA425" s="370"/>
      <c r="AB425" s="380"/>
    </row>
    <row r="426" spans="1:28">
      <c r="A426" s="370"/>
      <c r="B426" s="370"/>
      <c r="C426" s="370"/>
      <c r="D426" s="370"/>
      <c r="E426" s="370"/>
      <c r="F426" s="370"/>
      <c r="G426" s="370"/>
      <c r="H426" s="370"/>
      <c r="I426" s="370"/>
      <c r="J426" s="370"/>
      <c r="K426" s="370"/>
      <c r="L426" s="370"/>
      <c r="M426" s="370"/>
      <c r="N426" s="370"/>
      <c r="O426" s="370"/>
      <c r="P426" s="370"/>
      <c r="Q426" s="370"/>
      <c r="R426" s="370"/>
      <c r="S426" s="370"/>
      <c r="T426" s="370"/>
      <c r="U426" s="370"/>
      <c r="V426" s="370"/>
      <c r="W426" s="370"/>
      <c r="X426" s="370"/>
      <c r="Y426" s="370"/>
      <c r="Z426" s="370"/>
      <c r="AA426" s="370"/>
      <c r="AB426" s="380"/>
    </row>
    <row r="427" spans="1:28">
      <c r="A427" s="370"/>
      <c r="B427" s="370"/>
      <c r="C427" s="370"/>
      <c r="D427" s="370"/>
      <c r="E427" s="370"/>
      <c r="F427" s="370"/>
      <c r="G427" s="370"/>
      <c r="H427" s="370"/>
      <c r="I427" s="370"/>
      <c r="J427" s="370"/>
      <c r="K427" s="370"/>
      <c r="L427" s="370"/>
      <c r="M427" s="370"/>
      <c r="N427" s="370"/>
      <c r="O427" s="370"/>
      <c r="P427" s="370"/>
      <c r="Q427" s="370"/>
      <c r="R427" s="370"/>
      <c r="S427" s="370"/>
      <c r="T427" s="370"/>
      <c r="U427" s="370"/>
      <c r="V427" s="370"/>
      <c r="W427" s="370"/>
      <c r="X427" s="370"/>
      <c r="Y427" s="370"/>
      <c r="Z427" s="370"/>
      <c r="AA427" s="370"/>
      <c r="AB427" s="380"/>
    </row>
    <row r="428" spans="1:28">
      <c r="A428" s="370"/>
      <c r="B428" s="370"/>
      <c r="C428" s="370"/>
      <c r="D428" s="370"/>
      <c r="E428" s="370"/>
      <c r="F428" s="370"/>
      <c r="G428" s="370"/>
      <c r="H428" s="370"/>
      <c r="I428" s="370"/>
      <c r="J428" s="370"/>
      <c r="K428" s="370"/>
      <c r="L428" s="370"/>
      <c r="M428" s="370"/>
      <c r="N428" s="370"/>
      <c r="O428" s="370"/>
      <c r="P428" s="370"/>
      <c r="Q428" s="370"/>
      <c r="R428" s="370"/>
      <c r="S428" s="370"/>
      <c r="T428" s="370"/>
      <c r="U428" s="370"/>
      <c r="V428" s="370"/>
      <c r="W428" s="370"/>
      <c r="X428" s="370"/>
      <c r="Y428" s="370"/>
      <c r="Z428" s="370"/>
      <c r="AA428" s="370"/>
      <c r="AB428" s="380"/>
    </row>
    <row r="429" spans="1:28">
      <c r="A429" s="370"/>
      <c r="B429" s="370"/>
      <c r="C429" s="370"/>
      <c r="D429" s="370"/>
      <c r="E429" s="370"/>
      <c r="F429" s="370"/>
      <c r="G429" s="370"/>
      <c r="H429" s="370"/>
      <c r="I429" s="370"/>
      <c r="J429" s="370"/>
      <c r="K429" s="370"/>
      <c r="L429" s="370"/>
      <c r="M429" s="370"/>
      <c r="N429" s="370"/>
      <c r="O429" s="370"/>
      <c r="P429" s="370"/>
      <c r="Q429" s="370"/>
      <c r="R429" s="370"/>
      <c r="S429" s="370"/>
      <c r="T429" s="370"/>
      <c r="U429" s="370"/>
      <c r="V429" s="370"/>
      <c r="W429" s="370"/>
      <c r="X429" s="370"/>
      <c r="Y429" s="370"/>
      <c r="Z429" s="370"/>
      <c r="AA429" s="370"/>
      <c r="AB429" s="380"/>
    </row>
    <row r="430" spans="1:28">
      <c r="A430" s="370"/>
      <c r="B430" s="370"/>
      <c r="C430" s="370"/>
      <c r="D430" s="370"/>
      <c r="E430" s="370"/>
      <c r="F430" s="370"/>
      <c r="G430" s="370"/>
      <c r="H430" s="370"/>
      <c r="I430" s="370"/>
      <c r="J430" s="370"/>
      <c r="K430" s="370"/>
      <c r="L430" s="370"/>
      <c r="M430" s="370"/>
      <c r="N430" s="370"/>
      <c r="O430" s="370"/>
      <c r="P430" s="370"/>
      <c r="Q430" s="370"/>
      <c r="R430" s="370"/>
      <c r="S430" s="370"/>
      <c r="T430" s="370"/>
      <c r="U430" s="370"/>
      <c r="V430" s="370"/>
      <c r="W430" s="370"/>
      <c r="X430" s="370"/>
      <c r="Y430" s="370"/>
      <c r="Z430" s="370"/>
      <c r="AA430" s="370"/>
      <c r="AB430" s="380"/>
    </row>
    <row r="431" spans="1:28">
      <c r="A431" s="370"/>
      <c r="B431" s="370"/>
      <c r="C431" s="370"/>
      <c r="D431" s="370"/>
      <c r="E431" s="370"/>
      <c r="F431" s="370"/>
      <c r="G431" s="370"/>
      <c r="H431" s="370"/>
      <c r="I431" s="370"/>
      <c r="J431" s="370"/>
      <c r="K431" s="370"/>
      <c r="L431" s="370"/>
      <c r="M431" s="370"/>
      <c r="N431" s="370"/>
      <c r="O431" s="370"/>
      <c r="P431" s="370"/>
      <c r="Q431" s="370"/>
      <c r="R431" s="370"/>
      <c r="S431" s="370"/>
      <c r="T431" s="370"/>
      <c r="U431" s="370"/>
      <c r="V431" s="370"/>
      <c r="W431" s="370"/>
      <c r="X431" s="370"/>
      <c r="Y431" s="370"/>
      <c r="Z431" s="370"/>
      <c r="AA431" s="370"/>
      <c r="AB431" s="380"/>
    </row>
    <row r="432" spans="1:28">
      <c r="A432" s="370"/>
      <c r="B432" s="370"/>
      <c r="C432" s="370"/>
      <c r="D432" s="370"/>
      <c r="E432" s="370"/>
      <c r="F432" s="370"/>
      <c r="G432" s="370"/>
      <c r="H432" s="370"/>
      <c r="I432" s="370"/>
      <c r="J432" s="370"/>
      <c r="K432" s="370"/>
      <c r="L432" s="370"/>
      <c r="M432" s="370"/>
      <c r="N432" s="370"/>
      <c r="O432" s="370"/>
      <c r="P432" s="370"/>
      <c r="Q432" s="370"/>
      <c r="R432" s="370"/>
      <c r="S432" s="370"/>
      <c r="T432" s="370"/>
      <c r="U432" s="370"/>
      <c r="V432" s="370"/>
      <c r="W432" s="370"/>
      <c r="X432" s="370"/>
      <c r="Y432" s="370"/>
      <c r="Z432" s="370"/>
      <c r="AA432" s="370"/>
      <c r="AB432" s="380"/>
    </row>
    <row r="433" spans="1:28">
      <c r="A433" s="370"/>
      <c r="B433" s="370"/>
      <c r="C433" s="370"/>
      <c r="D433" s="370"/>
      <c r="E433" s="370"/>
      <c r="F433" s="370"/>
      <c r="G433" s="370"/>
      <c r="H433" s="370"/>
      <c r="I433" s="370"/>
      <c r="J433" s="370"/>
      <c r="K433" s="370"/>
      <c r="L433" s="370"/>
      <c r="M433" s="370"/>
      <c r="N433" s="370"/>
      <c r="O433" s="370"/>
      <c r="P433" s="370"/>
      <c r="Q433" s="370"/>
      <c r="R433" s="370"/>
      <c r="S433" s="370"/>
      <c r="T433" s="370"/>
      <c r="U433" s="370"/>
      <c r="V433" s="370"/>
      <c r="W433" s="370"/>
      <c r="X433" s="370"/>
      <c r="Y433" s="370"/>
      <c r="Z433" s="370"/>
      <c r="AA433" s="370"/>
      <c r="AB433" s="380"/>
    </row>
    <row r="434" spans="1:28">
      <c r="A434" s="370"/>
      <c r="B434" s="370"/>
      <c r="C434" s="370"/>
      <c r="D434" s="370"/>
      <c r="E434" s="370"/>
      <c r="F434" s="370"/>
      <c r="G434" s="370"/>
      <c r="H434" s="370"/>
      <c r="I434" s="370"/>
      <c r="J434" s="370"/>
      <c r="K434" s="370"/>
      <c r="L434" s="370"/>
      <c r="M434" s="370"/>
      <c r="N434" s="370"/>
      <c r="O434" s="370"/>
      <c r="P434" s="370"/>
      <c r="Q434" s="370"/>
      <c r="R434" s="370"/>
      <c r="S434" s="370"/>
      <c r="T434" s="370"/>
      <c r="U434" s="370"/>
      <c r="V434" s="370"/>
      <c r="W434" s="370"/>
      <c r="X434" s="370"/>
      <c r="Y434" s="370"/>
      <c r="Z434" s="370"/>
      <c r="AA434" s="370"/>
      <c r="AB434" s="380"/>
    </row>
    <row r="435" spans="1:28">
      <c r="A435" s="370"/>
      <c r="B435" s="370"/>
      <c r="C435" s="370"/>
      <c r="D435" s="370"/>
      <c r="E435" s="370"/>
      <c r="F435" s="370"/>
      <c r="G435" s="370"/>
      <c r="H435" s="370"/>
      <c r="I435" s="370"/>
      <c r="J435" s="370"/>
      <c r="K435" s="370"/>
      <c r="L435" s="370"/>
      <c r="M435" s="370"/>
      <c r="N435" s="370"/>
      <c r="O435" s="370"/>
      <c r="P435" s="370"/>
      <c r="Q435" s="370"/>
      <c r="R435" s="370"/>
      <c r="S435" s="370"/>
      <c r="T435" s="370"/>
      <c r="U435" s="370"/>
      <c r="V435" s="370"/>
      <c r="W435" s="370"/>
      <c r="X435" s="370"/>
      <c r="Y435" s="370"/>
      <c r="Z435" s="370"/>
      <c r="AA435" s="370"/>
      <c r="AB435" s="380"/>
    </row>
    <row r="436" spans="1:28">
      <c r="A436" s="370"/>
      <c r="B436" s="370"/>
      <c r="C436" s="370"/>
      <c r="D436" s="370"/>
      <c r="E436" s="370"/>
      <c r="F436" s="370"/>
      <c r="G436" s="370"/>
      <c r="H436" s="370"/>
      <c r="I436" s="370"/>
      <c r="J436" s="370"/>
      <c r="K436" s="370"/>
      <c r="L436" s="370"/>
      <c r="M436" s="370"/>
      <c r="N436" s="370"/>
      <c r="O436" s="370"/>
      <c r="P436" s="370"/>
      <c r="Q436" s="370"/>
      <c r="R436" s="370"/>
      <c r="S436" s="370"/>
      <c r="T436" s="370"/>
      <c r="U436" s="370"/>
      <c r="V436" s="370"/>
      <c r="W436" s="370"/>
      <c r="X436" s="370"/>
      <c r="Y436" s="370"/>
      <c r="Z436" s="370"/>
      <c r="AA436" s="370"/>
      <c r="AB436" s="380"/>
    </row>
    <row r="437" spans="1:28">
      <c r="A437" s="370"/>
      <c r="B437" s="370"/>
      <c r="C437" s="370"/>
      <c r="D437" s="370"/>
      <c r="E437" s="370"/>
      <c r="F437" s="370"/>
      <c r="G437" s="370"/>
      <c r="H437" s="370"/>
      <c r="I437" s="370"/>
      <c r="J437" s="370"/>
      <c r="K437" s="370"/>
      <c r="L437" s="370"/>
      <c r="M437" s="370"/>
      <c r="N437" s="370"/>
      <c r="O437" s="370"/>
      <c r="P437" s="370"/>
      <c r="Q437" s="370"/>
      <c r="R437" s="370"/>
      <c r="S437" s="370"/>
      <c r="T437" s="370"/>
      <c r="U437" s="370"/>
      <c r="V437" s="370"/>
      <c r="W437" s="370"/>
      <c r="X437" s="370"/>
      <c r="Y437" s="370"/>
      <c r="Z437" s="370"/>
      <c r="AA437" s="370"/>
      <c r="AB437" s="380"/>
    </row>
    <row r="438" spans="1:28">
      <c r="A438" s="370"/>
      <c r="B438" s="370"/>
      <c r="C438" s="370"/>
      <c r="D438" s="370"/>
      <c r="E438" s="370"/>
      <c r="F438" s="370"/>
      <c r="G438" s="370"/>
      <c r="H438" s="370"/>
      <c r="I438" s="370"/>
      <c r="J438" s="370"/>
      <c r="K438" s="370"/>
      <c r="L438" s="370"/>
      <c r="M438" s="370"/>
      <c r="N438" s="370"/>
      <c r="O438" s="370"/>
      <c r="P438" s="370"/>
      <c r="Q438" s="370"/>
      <c r="R438" s="370"/>
      <c r="S438" s="370"/>
      <c r="T438" s="370"/>
      <c r="U438" s="370"/>
      <c r="V438" s="370"/>
      <c r="W438" s="370"/>
      <c r="X438" s="370"/>
      <c r="Y438" s="370"/>
      <c r="Z438" s="370"/>
      <c r="AA438" s="370"/>
      <c r="AB438" s="380"/>
    </row>
    <row r="439" spans="1:28">
      <c r="A439" s="370"/>
      <c r="B439" s="370"/>
      <c r="C439" s="370"/>
      <c r="D439" s="370"/>
      <c r="E439" s="370"/>
      <c r="F439" s="370"/>
      <c r="G439" s="370"/>
      <c r="H439" s="370"/>
      <c r="I439" s="370"/>
      <c r="J439" s="370"/>
      <c r="K439" s="370"/>
      <c r="L439" s="370"/>
      <c r="M439" s="370"/>
      <c r="N439" s="370"/>
      <c r="O439" s="370"/>
      <c r="P439" s="370"/>
      <c r="Q439" s="370"/>
      <c r="R439" s="370"/>
      <c r="S439" s="370"/>
      <c r="T439" s="370"/>
      <c r="U439" s="370"/>
      <c r="V439" s="370"/>
      <c r="W439" s="370"/>
      <c r="X439" s="370"/>
      <c r="Y439" s="370"/>
      <c r="Z439" s="370"/>
      <c r="AA439" s="370"/>
      <c r="AB439" s="380"/>
    </row>
    <row r="440" spans="1:28">
      <c r="A440" s="370"/>
      <c r="B440" s="370"/>
      <c r="C440" s="370"/>
      <c r="D440" s="370"/>
      <c r="E440" s="370"/>
      <c r="F440" s="370"/>
      <c r="G440" s="370"/>
      <c r="H440" s="370"/>
      <c r="I440" s="370"/>
      <c r="J440" s="370"/>
      <c r="K440" s="370"/>
      <c r="L440" s="370"/>
      <c r="M440" s="370"/>
      <c r="N440" s="370"/>
      <c r="O440" s="370"/>
      <c r="P440" s="370"/>
      <c r="Q440" s="370"/>
      <c r="R440" s="370"/>
      <c r="S440" s="370"/>
      <c r="T440" s="370"/>
      <c r="U440" s="370"/>
      <c r="V440" s="370"/>
      <c r="W440" s="370"/>
      <c r="X440" s="370"/>
      <c r="Y440" s="370"/>
      <c r="Z440" s="370"/>
      <c r="AA440" s="370"/>
      <c r="AB440" s="380"/>
    </row>
    <row r="441" spans="1:28">
      <c r="A441" s="370"/>
      <c r="B441" s="370"/>
      <c r="C441" s="370"/>
      <c r="D441" s="370"/>
      <c r="E441" s="370"/>
      <c r="F441" s="370"/>
      <c r="G441" s="370"/>
      <c r="H441" s="370"/>
      <c r="I441" s="370"/>
      <c r="J441" s="370"/>
      <c r="K441" s="370"/>
      <c r="L441" s="370"/>
      <c r="M441" s="370"/>
      <c r="N441" s="370"/>
      <c r="O441" s="370"/>
      <c r="P441" s="370"/>
      <c r="Q441" s="370"/>
      <c r="R441" s="370"/>
      <c r="S441" s="370"/>
      <c r="T441" s="370"/>
      <c r="U441" s="370"/>
      <c r="V441" s="370"/>
      <c r="W441" s="370"/>
      <c r="X441" s="370"/>
      <c r="Y441" s="370"/>
      <c r="Z441" s="370"/>
      <c r="AA441" s="370"/>
      <c r="AB441" s="380"/>
    </row>
    <row r="442" spans="1:28">
      <c r="A442" s="370"/>
      <c r="B442" s="370"/>
      <c r="C442" s="370"/>
      <c r="D442" s="370"/>
      <c r="E442" s="370"/>
      <c r="F442" s="370"/>
      <c r="G442" s="370"/>
      <c r="H442" s="370"/>
      <c r="I442" s="370"/>
      <c r="J442" s="370"/>
      <c r="K442" s="370"/>
      <c r="L442" s="370"/>
      <c r="M442" s="370"/>
      <c r="N442" s="370"/>
      <c r="O442" s="370"/>
      <c r="P442" s="370"/>
      <c r="Q442" s="370"/>
      <c r="R442" s="370"/>
      <c r="S442" s="370"/>
      <c r="T442" s="370"/>
      <c r="U442" s="370"/>
      <c r="V442" s="370"/>
      <c r="W442" s="370"/>
      <c r="X442" s="370"/>
      <c r="Y442" s="370"/>
      <c r="Z442" s="370"/>
      <c r="AA442" s="370"/>
      <c r="AB442" s="380"/>
    </row>
    <row r="443" spans="1:28">
      <c r="A443" s="370"/>
      <c r="B443" s="370"/>
      <c r="C443" s="370"/>
      <c r="D443" s="370"/>
      <c r="E443" s="370"/>
      <c r="F443" s="370"/>
      <c r="G443" s="370"/>
      <c r="H443" s="370"/>
      <c r="I443" s="370"/>
      <c r="J443" s="370"/>
      <c r="K443" s="370"/>
      <c r="L443" s="370"/>
      <c r="M443" s="370"/>
      <c r="N443" s="370"/>
      <c r="O443" s="370"/>
      <c r="P443" s="370"/>
      <c r="Q443" s="370"/>
      <c r="R443" s="370"/>
      <c r="S443" s="370"/>
      <c r="T443" s="370"/>
      <c r="U443" s="370"/>
      <c r="V443" s="370"/>
      <c r="W443" s="370"/>
      <c r="X443" s="370"/>
      <c r="Y443" s="370"/>
      <c r="Z443" s="370"/>
      <c r="AA443" s="370"/>
      <c r="AB443" s="380"/>
    </row>
    <row r="444" spans="1:28">
      <c r="A444" s="370"/>
      <c r="B444" s="370"/>
      <c r="C444" s="370"/>
      <c r="D444" s="370"/>
      <c r="E444" s="370"/>
      <c r="F444" s="370"/>
      <c r="G444" s="370"/>
      <c r="H444" s="370"/>
      <c r="I444" s="370"/>
      <c r="J444" s="370"/>
      <c r="K444" s="370"/>
      <c r="L444" s="370"/>
      <c r="M444" s="370"/>
      <c r="N444" s="370"/>
      <c r="O444" s="370"/>
      <c r="P444" s="370"/>
      <c r="Q444" s="370"/>
      <c r="R444" s="370"/>
      <c r="S444" s="370"/>
      <c r="T444" s="370"/>
      <c r="U444" s="370"/>
      <c r="V444" s="370"/>
      <c r="W444" s="370"/>
      <c r="X444" s="370"/>
      <c r="Y444" s="370"/>
      <c r="Z444" s="370"/>
      <c r="AA444" s="370"/>
      <c r="AB444" s="380"/>
    </row>
    <row r="445" spans="1:28">
      <c r="A445" s="370"/>
      <c r="B445" s="370"/>
      <c r="C445" s="370"/>
      <c r="D445" s="370"/>
      <c r="E445" s="370"/>
      <c r="F445" s="370"/>
      <c r="G445" s="370"/>
      <c r="H445" s="370"/>
      <c r="I445" s="370"/>
      <c r="J445" s="370"/>
      <c r="K445" s="370"/>
      <c r="L445" s="370"/>
      <c r="M445" s="370"/>
      <c r="N445" s="370"/>
      <c r="O445" s="370"/>
      <c r="P445" s="370"/>
      <c r="Q445" s="370"/>
      <c r="R445" s="370"/>
      <c r="S445" s="370"/>
      <c r="T445" s="370"/>
      <c r="U445" s="370"/>
      <c r="V445" s="370"/>
      <c r="W445" s="370"/>
      <c r="X445" s="370"/>
      <c r="Y445" s="370"/>
      <c r="Z445" s="370"/>
      <c r="AA445" s="370"/>
      <c r="AB445" s="380"/>
    </row>
    <row r="446" spans="1:28">
      <c r="A446" s="370"/>
      <c r="B446" s="370"/>
      <c r="C446" s="370"/>
      <c r="D446" s="370"/>
      <c r="E446" s="370"/>
      <c r="F446" s="370"/>
      <c r="G446" s="370"/>
      <c r="H446" s="370"/>
      <c r="I446" s="370"/>
      <c r="J446" s="370"/>
      <c r="K446" s="370"/>
      <c r="L446" s="370"/>
      <c r="M446" s="370"/>
      <c r="N446" s="370"/>
      <c r="O446" s="370"/>
      <c r="P446" s="370"/>
      <c r="Q446" s="370"/>
      <c r="R446" s="370"/>
      <c r="S446" s="370"/>
      <c r="T446" s="370"/>
      <c r="U446" s="370"/>
      <c r="V446" s="370"/>
      <c r="W446" s="370"/>
      <c r="X446" s="370"/>
      <c r="Y446" s="370"/>
      <c r="Z446" s="370"/>
      <c r="AA446" s="370"/>
      <c r="AB446" s="380"/>
    </row>
    <row r="447" spans="1:28">
      <c r="A447" s="370"/>
      <c r="B447" s="370"/>
      <c r="C447" s="370"/>
      <c r="D447" s="370"/>
      <c r="E447" s="370"/>
      <c r="F447" s="370"/>
      <c r="G447" s="370"/>
      <c r="H447" s="370"/>
      <c r="I447" s="370"/>
      <c r="J447" s="370"/>
      <c r="K447" s="370"/>
      <c r="L447" s="370"/>
      <c r="M447" s="370"/>
      <c r="N447" s="370"/>
      <c r="O447" s="370"/>
      <c r="P447" s="370"/>
      <c r="Q447" s="370"/>
      <c r="R447" s="370"/>
      <c r="S447" s="370"/>
      <c r="T447" s="370"/>
      <c r="U447" s="370"/>
      <c r="V447" s="370"/>
      <c r="W447" s="370"/>
      <c r="X447" s="370"/>
      <c r="Y447" s="370"/>
      <c r="Z447" s="370"/>
      <c r="AA447" s="370"/>
      <c r="AB447" s="380"/>
    </row>
    <row r="448" spans="1:28">
      <c r="A448" s="370"/>
      <c r="B448" s="370"/>
      <c r="C448" s="370"/>
      <c r="D448" s="370"/>
      <c r="E448" s="370"/>
      <c r="F448" s="370"/>
      <c r="G448" s="370"/>
      <c r="H448" s="370"/>
      <c r="I448" s="370"/>
      <c r="J448" s="370"/>
      <c r="K448" s="370"/>
      <c r="L448" s="370"/>
      <c r="M448" s="370"/>
      <c r="N448" s="370"/>
      <c r="O448" s="370"/>
      <c r="P448" s="370"/>
      <c r="Q448" s="370"/>
      <c r="R448" s="370"/>
      <c r="S448" s="370"/>
      <c r="T448" s="370"/>
      <c r="U448" s="370"/>
      <c r="V448" s="370"/>
      <c r="W448" s="370"/>
      <c r="X448" s="370"/>
      <c r="Y448" s="370"/>
      <c r="Z448" s="370"/>
      <c r="AA448" s="370"/>
      <c r="AB448" s="380"/>
    </row>
    <row r="449" spans="1:28">
      <c r="A449" s="370"/>
      <c r="B449" s="370"/>
      <c r="C449" s="370"/>
      <c r="D449" s="370"/>
      <c r="E449" s="370"/>
      <c r="F449" s="370"/>
      <c r="G449" s="370"/>
      <c r="H449" s="370"/>
      <c r="I449" s="370"/>
      <c r="J449" s="370"/>
      <c r="K449" s="370"/>
      <c r="L449" s="370"/>
      <c r="M449" s="370"/>
      <c r="N449" s="370"/>
      <c r="O449" s="370"/>
      <c r="P449" s="370"/>
      <c r="Q449" s="370"/>
      <c r="R449" s="370"/>
      <c r="S449" s="370"/>
      <c r="T449" s="370"/>
      <c r="U449" s="370"/>
      <c r="V449" s="370"/>
      <c r="W449" s="370"/>
      <c r="X449" s="370"/>
      <c r="Y449" s="370"/>
      <c r="Z449" s="370"/>
      <c r="AA449" s="370"/>
      <c r="AB449" s="380"/>
    </row>
    <row r="450" spans="1:28">
      <c r="A450" s="370"/>
      <c r="B450" s="370"/>
      <c r="C450" s="370"/>
      <c r="D450" s="370"/>
      <c r="E450" s="370"/>
      <c r="F450" s="370"/>
      <c r="G450" s="370"/>
      <c r="H450" s="370"/>
      <c r="I450" s="370"/>
      <c r="J450" s="370"/>
      <c r="K450" s="370"/>
      <c r="L450" s="370"/>
      <c r="M450" s="370"/>
      <c r="N450" s="370"/>
      <c r="O450" s="370"/>
      <c r="P450" s="370"/>
      <c r="Q450" s="370"/>
      <c r="R450" s="370"/>
      <c r="S450" s="370"/>
      <c r="T450" s="370"/>
      <c r="U450" s="370"/>
      <c r="V450" s="370"/>
      <c r="W450" s="370"/>
      <c r="X450" s="370"/>
      <c r="Y450" s="370"/>
      <c r="Z450" s="370"/>
      <c r="AA450" s="370"/>
      <c r="AB450" s="380"/>
    </row>
    <row r="451" spans="1:28">
      <c r="A451" s="370"/>
      <c r="B451" s="370"/>
      <c r="C451" s="370"/>
      <c r="D451" s="370"/>
      <c r="E451" s="370"/>
      <c r="F451" s="370"/>
      <c r="G451" s="370"/>
      <c r="H451" s="370"/>
      <c r="I451" s="370"/>
      <c r="J451" s="370"/>
      <c r="K451" s="370"/>
      <c r="L451" s="370"/>
      <c r="M451" s="370"/>
      <c r="N451" s="370"/>
      <c r="O451" s="370"/>
      <c r="P451" s="370"/>
      <c r="Q451" s="370"/>
      <c r="R451" s="370"/>
      <c r="S451" s="370"/>
      <c r="T451" s="370"/>
      <c r="U451" s="370"/>
      <c r="V451" s="370"/>
      <c r="W451" s="370"/>
      <c r="X451" s="370"/>
      <c r="Y451" s="370"/>
      <c r="Z451" s="370"/>
      <c r="AA451" s="370"/>
      <c r="AB451" s="380"/>
    </row>
    <row r="452" spans="1:28">
      <c r="A452" s="370"/>
      <c r="B452" s="370"/>
      <c r="C452" s="370"/>
      <c r="D452" s="370"/>
      <c r="E452" s="370"/>
      <c r="F452" s="370"/>
      <c r="G452" s="370"/>
      <c r="H452" s="370"/>
      <c r="I452" s="370"/>
      <c r="J452" s="370"/>
      <c r="K452" s="370"/>
      <c r="L452" s="370"/>
      <c r="M452" s="370"/>
      <c r="N452" s="370"/>
      <c r="O452" s="370"/>
      <c r="P452" s="370"/>
      <c r="Q452" s="370"/>
      <c r="R452" s="370"/>
      <c r="S452" s="370"/>
      <c r="T452" s="370"/>
      <c r="U452" s="370"/>
      <c r="V452" s="370"/>
      <c r="W452" s="370"/>
      <c r="X452" s="370"/>
      <c r="Y452" s="370"/>
      <c r="Z452" s="370"/>
      <c r="AA452" s="370"/>
      <c r="AB452" s="380"/>
    </row>
    <row r="453" spans="1:28">
      <c r="A453" s="370"/>
      <c r="B453" s="370"/>
      <c r="C453" s="370"/>
      <c r="D453" s="370"/>
      <c r="E453" s="370"/>
      <c r="F453" s="370"/>
      <c r="G453" s="370"/>
      <c r="H453" s="370"/>
      <c r="I453" s="370"/>
      <c r="J453" s="370"/>
      <c r="K453" s="370"/>
      <c r="L453" s="370"/>
      <c r="M453" s="370"/>
      <c r="N453" s="370"/>
      <c r="O453" s="370"/>
      <c r="P453" s="370"/>
      <c r="Q453" s="370"/>
      <c r="R453" s="370"/>
      <c r="S453" s="370"/>
      <c r="T453" s="370"/>
      <c r="U453" s="370"/>
      <c r="V453" s="370"/>
      <c r="W453" s="370"/>
      <c r="X453" s="370"/>
      <c r="Y453" s="370"/>
      <c r="Z453" s="370"/>
      <c r="AA453" s="370"/>
      <c r="AB453" s="380"/>
    </row>
    <row r="454" spans="1:28">
      <c r="A454" s="370"/>
      <c r="B454" s="370"/>
      <c r="C454" s="370"/>
      <c r="D454" s="370"/>
      <c r="E454" s="370"/>
      <c r="F454" s="370"/>
      <c r="G454" s="370"/>
      <c r="H454" s="370"/>
      <c r="I454" s="370"/>
      <c r="J454" s="370"/>
      <c r="K454" s="370"/>
      <c r="L454" s="370"/>
      <c r="M454" s="370"/>
      <c r="N454" s="370"/>
      <c r="O454" s="370"/>
      <c r="P454" s="370"/>
      <c r="Q454" s="370"/>
      <c r="R454" s="370"/>
      <c r="S454" s="370"/>
      <c r="T454" s="370"/>
      <c r="U454" s="370"/>
      <c r="V454" s="370"/>
      <c r="W454" s="370"/>
      <c r="X454" s="370"/>
      <c r="Y454" s="370"/>
      <c r="Z454" s="370"/>
      <c r="AA454" s="370"/>
      <c r="AB454" s="380"/>
    </row>
    <row r="455" spans="1:28">
      <c r="A455" s="370"/>
      <c r="B455" s="370"/>
      <c r="C455" s="370"/>
      <c r="D455" s="370"/>
      <c r="E455" s="370"/>
      <c r="F455" s="370"/>
      <c r="G455" s="370"/>
      <c r="H455" s="370"/>
      <c r="I455" s="370"/>
      <c r="J455" s="370"/>
      <c r="K455" s="370"/>
      <c r="L455" s="370"/>
      <c r="M455" s="370"/>
      <c r="N455" s="370"/>
      <c r="O455" s="370"/>
      <c r="P455" s="370"/>
      <c r="Q455" s="370"/>
      <c r="R455" s="370"/>
      <c r="S455" s="370"/>
      <c r="T455" s="370"/>
      <c r="U455" s="370"/>
      <c r="V455" s="370"/>
      <c r="W455" s="370"/>
      <c r="X455" s="370"/>
      <c r="Y455" s="370"/>
      <c r="Z455" s="370"/>
      <c r="AA455" s="370"/>
      <c r="AB455" s="380"/>
    </row>
    <row r="456" spans="1:28">
      <c r="A456" s="370"/>
      <c r="B456" s="370"/>
      <c r="C456" s="370"/>
      <c r="D456" s="370"/>
      <c r="E456" s="370"/>
      <c r="F456" s="370"/>
      <c r="G456" s="370"/>
      <c r="H456" s="370"/>
      <c r="I456" s="370"/>
      <c r="J456" s="370"/>
      <c r="K456" s="370"/>
      <c r="L456" s="370"/>
      <c r="M456" s="370"/>
      <c r="N456" s="370"/>
      <c r="O456" s="370"/>
      <c r="P456" s="370"/>
      <c r="Q456" s="370"/>
      <c r="R456" s="370"/>
      <c r="S456" s="370"/>
      <c r="T456" s="370"/>
      <c r="U456" s="370"/>
      <c r="V456" s="370"/>
      <c r="W456" s="370"/>
      <c r="X456" s="370"/>
      <c r="Y456" s="370"/>
      <c r="Z456" s="370"/>
      <c r="AA456" s="370"/>
      <c r="AB456" s="380"/>
    </row>
    <row r="457" spans="1:28">
      <c r="A457" s="370"/>
      <c r="B457" s="370"/>
      <c r="C457" s="370"/>
      <c r="D457" s="370"/>
      <c r="E457" s="370"/>
      <c r="F457" s="370"/>
      <c r="G457" s="370"/>
      <c r="H457" s="370"/>
      <c r="I457" s="370"/>
      <c r="J457" s="370"/>
      <c r="K457" s="370"/>
      <c r="L457" s="370"/>
      <c r="M457" s="370"/>
      <c r="N457" s="370"/>
      <c r="O457" s="370"/>
      <c r="P457" s="370"/>
      <c r="Q457" s="370"/>
      <c r="R457" s="370"/>
      <c r="S457" s="370"/>
      <c r="T457" s="370"/>
      <c r="U457" s="370"/>
      <c r="V457" s="370"/>
      <c r="W457" s="370"/>
      <c r="X457" s="370"/>
      <c r="Y457" s="370"/>
      <c r="Z457" s="370"/>
      <c r="AA457" s="370"/>
      <c r="AB457" s="380"/>
    </row>
    <row r="458" spans="1:28">
      <c r="A458" s="370"/>
      <c r="B458" s="370"/>
      <c r="C458" s="370"/>
      <c r="D458" s="370"/>
      <c r="E458" s="370"/>
      <c r="F458" s="370"/>
      <c r="G458" s="370"/>
      <c r="H458" s="370"/>
      <c r="I458" s="370"/>
      <c r="J458" s="370"/>
      <c r="K458" s="370"/>
      <c r="L458" s="370"/>
      <c r="M458" s="370"/>
      <c r="N458" s="370"/>
      <c r="O458" s="370"/>
      <c r="P458" s="370"/>
      <c r="Q458" s="370"/>
      <c r="R458" s="370"/>
      <c r="S458" s="370"/>
      <c r="T458" s="370"/>
      <c r="U458" s="370"/>
      <c r="V458" s="370"/>
      <c r="W458" s="370"/>
      <c r="X458" s="370"/>
      <c r="Y458" s="370"/>
      <c r="Z458" s="370"/>
      <c r="AA458" s="370"/>
      <c r="AB458" s="380"/>
    </row>
    <row r="459" spans="1:28">
      <c r="A459" s="370"/>
      <c r="B459" s="370"/>
      <c r="C459" s="370"/>
      <c r="D459" s="370"/>
      <c r="E459" s="370"/>
      <c r="F459" s="370"/>
      <c r="G459" s="370"/>
      <c r="H459" s="370"/>
      <c r="I459" s="370"/>
      <c r="J459" s="370"/>
      <c r="K459" s="370"/>
      <c r="L459" s="370"/>
      <c r="M459" s="370"/>
      <c r="N459" s="370"/>
      <c r="O459" s="370"/>
      <c r="P459" s="370"/>
      <c r="Q459" s="370"/>
      <c r="R459" s="370"/>
      <c r="S459" s="370"/>
      <c r="T459" s="370"/>
      <c r="U459" s="370"/>
      <c r="V459" s="370"/>
      <c r="W459" s="370"/>
      <c r="X459" s="370"/>
      <c r="Y459" s="370"/>
      <c r="Z459" s="370"/>
      <c r="AA459" s="370"/>
      <c r="AB459" s="380"/>
    </row>
    <row r="460" spans="1:28">
      <c r="A460" s="370"/>
      <c r="B460" s="370"/>
      <c r="C460" s="370"/>
      <c r="D460" s="370"/>
      <c r="E460" s="370"/>
      <c r="F460" s="370"/>
      <c r="G460" s="370"/>
      <c r="H460" s="370"/>
      <c r="I460" s="370"/>
      <c r="J460" s="370"/>
      <c r="K460" s="370"/>
      <c r="L460" s="370"/>
      <c r="M460" s="370"/>
      <c r="N460" s="370"/>
      <c r="O460" s="370"/>
      <c r="P460" s="370"/>
      <c r="Q460" s="370"/>
      <c r="R460" s="370"/>
      <c r="S460" s="370"/>
      <c r="T460" s="370"/>
      <c r="U460" s="370"/>
      <c r="V460" s="370"/>
      <c r="W460" s="370"/>
      <c r="X460" s="370"/>
      <c r="Y460" s="370"/>
      <c r="Z460" s="370"/>
      <c r="AA460" s="370"/>
      <c r="AB460" s="380"/>
    </row>
    <row r="461" spans="1:28">
      <c r="A461" s="370"/>
      <c r="B461" s="370"/>
      <c r="C461" s="370"/>
      <c r="D461" s="370"/>
      <c r="E461" s="370"/>
      <c r="F461" s="370"/>
      <c r="G461" s="370"/>
      <c r="H461" s="370"/>
      <c r="I461" s="370"/>
      <c r="J461" s="370"/>
      <c r="K461" s="370"/>
      <c r="L461" s="370"/>
      <c r="M461" s="370"/>
      <c r="N461" s="370"/>
      <c r="O461" s="370"/>
      <c r="P461" s="370"/>
      <c r="Q461" s="370"/>
      <c r="R461" s="370"/>
      <c r="S461" s="370"/>
      <c r="T461" s="370"/>
      <c r="U461" s="370"/>
      <c r="V461" s="370"/>
      <c r="W461" s="370"/>
      <c r="X461" s="370"/>
      <c r="Y461" s="370"/>
      <c r="Z461" s="370"/>
      <c r="AA461" s="370"/>
      <c r="AB461" s="380"/>
    </row>
    <row r="462" spans="1:28">
      <c r="A462" s="370"/>
      <c r="B462" s="370"/>
      <c r="C462" s="370"/>
      <c r="D462" s="370"/>
      <c r="E462" s="370"/>
      <c r="F462" s="370"/>
      <c r="G462" s="370"/>
      <c r="H462" s="370"/>
      <c r="I462" s="370"/>
      <c r="J462" s="370"/>
      <c r="K462" s="370"/>
      <c r="L462" s="370"/>
      <c r="M462" s="370"/>
      <c r="N462" s="370"/>
      <c r="O462" s="370"/>
      <c r="P462" s="370"/>
      <c r="Q462" s="370"/>
      <c r="R462" s="370"/>
      <c r="S462" s="370"/>
      <c r="T462" s="370"/>
      <c r="U462" s="370"/>
      <c r="V462" s="370"/>
      <c r="W462" s="370"/>
      <c r="X462" s="370"/>
      <c r="Y462" s="370"/>
      <c r="Z462" s="370"/>
      <c r="AA462" s="370"/>
      <c r="AB462" s="380"/>
    </row>
    <row r="463" spans="1:28">
      <c r="A463" s="370"/>
      <c r="B463" s="370"/>
      <c r="C463" s="370"/>
      <c r="D463" s="370"/>
      <c r="E463" s="370"/>
      <c r="F463" s="370"/>
      <c r="G463" s="370"/>
      <c r="H463" s="370"/>
      <c r="I463" s="370"/>
      <c r="J463" s="370"/>
      <c r="K463" s="370"/>
      <c r="L463" s="370"/>
      <c r="M463" s="370"/>
      <c r="N463" s="370"/>
      <c r="O463" s="370"/>
      <c r="P463" s="370"/>
      <c r="Q463" s="370"/>
      <c r="R463" s="370"/>
      <c r="S463" s="370"/>
      <c r="T463" s="370"/>
      <c r="U463" s="370"/>
      <c r="V463" s="370"/>
      <c r="W463" s="370"/>
      <c r="X463" s="370"/>
      <c r="Y463" s="370"/>
      <c r="Z463" s="370"/>
      <c r="AA463" s="370"/>
      <c r="AB463" s="380"/>
    </row>
    <row r="464" spans="1:28">
      <c r="A464" s="370"/>
      <c r="B464" s="370"/>
      <c r="C464" s="370"/>
      <c r="D464" s="370"/>
      <c r="E464" s="370"/>
      <c r="F464" s="370"/>
      <c r="G464" s="370"/>
      <c r="H464" s="370"/>
      <c r="I464" s="370"/>
      <c r="J464" s="370"/>
      <c r="K464" s="370"/>
      <c r="L464" s="370"/>
      <c r="M464" s="370"/>
      <c r="N464" s="370"/>
      <c r="O464" s="370"/>
      <c r="P464" s="370"/>
      <c r="Q464" s="370"/>
      <c r="R464" s="370"/>
      <c r="S464" s="370"/>
      <c r="T464" s="370"/>
      <c r="U464" s="370"/>
      <c r="V464" s="370"/>
      <c r="W464" s="370"/>
      <c r="X464" s="370"/>
      <c r="Y464" s="370"/>
      <c r="Z464" s="370"/>
      <c r="AA464" s="370"/>
      <c r="AB464" s="380"/>
    </row>
    <row r="465" spans="1:28">
      <c r="A465" s="370"/>
      <c r="B465" s="370"/>
      <c r="C465" s="370"/>
      <c r="D465" s="370"/>
      <c r="E465" s="370"/>
      <c r="F465" s="370"/>
      <c r="G465" s="370"/>
      <c r="H465" s="370"/>
      <c r="I465" s="370"/>
      <c r="J465" s="370"/>
      <c r="K465" s="370"/>
      <c r="L465" s="370"/>
      <c r="M465" s="370"/>
      <c r="N465" s="370"/>
      <c r="O465" s="370"/>
      <c r="P465" s="370"/>
      <c r="Q465" s="370"/>
      <c r="R465" s="370"/>
      <c r="S465" s="370"/>
      <c r="T465" s="370"/>
      <c r="U465" s="370"/>
      <c r="V465" s="370"/>
      <c r="W465" s="370"/>
      <c r="X465" s="370"/>
      <c r="Y465" s="370"/>
      <c r="Z465" s="370"/>
      <c r="AA465" s="370"/>
      <c r="AB465" s="380"/>
    </row>
    <row r="466" spans="1:28">
      <c r="A466" s="370"/>
      <c r="B466" s="370"/>
      <c r="C466" s="370"/>
      <c r="D466" s="370"/>
      <c r="E466" s="370"/>
      <c r="F466" s="370"/>
      <c r="G466" s="370"/>
      <c r="H466" s="370"/>
      <c r="I466" s="370"/>
      <c r="J466" s="370"/>
      <c r="K466" s="370"/>
      <c r="L466" s="370"/>
      <c r="M466" s="370"/>
      <c r="N466" s="370"/>
      <c r="O466" s="370"/>
      <c r="P466" s="370"/>
      <c r="Q466" s="370"/>
      <c r="R466" s="370"/>
      <c r="S466" s="370"/>
      <c r="T466" s="370"/>
      <c r="U466" s="370"/>
      <c r="V466" s="370"/>
      <c r="W466" s="370"/>
      <c r="X466" s="370"/>
      <c r="Y466" s="370"/>
      <c r="Z466" s="370"/>
      <c r="AA466" s="370"/>
      <c r="AB466" s="380"/>
    </row>
    <row r="467" spans="1:28">
      <c r="A467" s="370"/>
      <c r="B467" s="370"/>
      <c r="C467" s="370"/>
      <c r="D467" s="370"/>
      <c r="E467" s="370"/>
      <c r="F467" s="370"/>
      <c r="G467" s="370"/>
      <c r="H467" s="370"/>
      <c r="I467" s="370"/>
      <c r="J467" s="370"/>
      <c r="K467" s="370"/>
      <c r="L467" s="370"/>
      <c r="M467" s="370"/>
      <c r="N467" s="370"/>
      <c r="O467" s="370"/>
      <c r="P467" s="370"/>
      <c r="Q467" s="370"/>
      <c r="R467" s="370"/>
      <c r="S467" s="370"/>
      <c r="T467" s="370"/>
      <c r="U467" s="370"/>
      <c r="V467" s="370"/>
      <c r="W467" s="370"/>
      <c r="X467" s="370"/>
      <c r="Y467" s="370"/>
      <c r="Z467" s="370"/>
      <c r="AA467" s="370"/>
      <c r="AB467" s="380"/>
    </row>
    <row r="468" spans="1:28">
      <c r="A468" s="370"/>
      <c r="B468" s="370"/>
      <c r="C468" s="370"/>
      <c r="D468" s="370"/>
      <c r="E468" s="370"/>
      <c r="F468" s="370"/>
      <c r="G468" s="370"/>
      <c r="H468" s="370"/>
      <c r="I468" s="370"/>
      <c r="J468" s="370"/>
      <c r="K468" s="370"/>
      <c r="L468" s="370"/>
      <c r="M468" s="370"/>
      <c r="N468" s="370"/>
      <c r="O468" s="370"/>
      <c r="P468" s="370"/>
      <c r="Q468" s="370"/>
      <c r="R468" s="370"/>
      <c r="S468" s="370"/>
      <c r="T468" s="370"/>
      <c r="U468" s="370"/>
      <c r="V468" s="370"/>
      <c r="W468" s="370"/>
      <c r="X468" s="370"/>
      <c r="Y468" s="370"/>
      <c r="Z468" s="370"/>
      <c r="AA468" s="370"/>
      <c r="AB468" s="380"/>
    </row>
    <row r="469" spans="1:28">
      <c r="A469" s="370"/>
      <c r="B469" s="370"/>
      <c r="C469" s="370"/>
      <c r="D469" s="370"/>
      <c r="E469" s="370"/>
      <c r="F469" s="370"/>
      <c r="G469" s="370"/>
      <c r="H469" s="370"/>
      <c r="I469" s="370"/>
      <c r="J469" s="370"/>
      <c r="K469" s="370"/>
      <c r="L469" s="370"/>
      <c r="M469" s="370"/>
      <c r="N469" s="370"/>
      <c r="O469" s="370"/>
      <c r="P469" s="370"/>
      <c r="Q469" s="370"/>
      <c r="R469" s="370"/>
      <c r="S469" s="370"/>
      <c r="T469" s="370"/>
      <c r="U469" s="370"/>
      <c r="V469" s="370"/>
      <c r="W469" s="370"/>
      <c r="X469" s="370"/>
      <c r="Y469" s="370"/>
      <c r="Z469" s="370"/>
      <c r="AA469" s="370"/>
      <c r="AB469" s="380"/>
    </row>
    <row r="470" spans="1:28">
      <c r="A470" s="370"/>
      <c r="B470" s="370"/>
      <c r="C470" s="370"/>
      <c r="D470" s="370"/>
      <c r="E470" s="370"/>
      <c r="F470" s="370"/>
      <c r="G470" s="370"/>
      <c r="H470" s="370"/>
      <c r="I470" s="370"/>
      <c r="J470" s="370"/>
      <c r="K470" s="370"/>
      <c r="L470" s="370"/>
      <c r="M470" s="370"/>
      <c r="N470" s="370"/>
      <c r="O470" s="370"/>
      <c r="P470" s="370"/>
      <c r="Q470" s="370"/>
      <c r="R470" s="370"/>
      <c r="S470" s="370"/>
      <c r="T470" s="370"/>
      <c r="U470" s="370"/>
      <c r="V470" s="370"/>
      <c r="W470" s="370"/>
      <c r="X470" s="370"/>
      <c r="Y470" s="370"/>
      <c r="Z470" s="370"/>
      <c r="AA470" s="370"/>
      <c r="AB470" s="380"/>
    </row>
    <row r="471" spans="1:28">
      <c r="A471" s="370"/>
      <c r="B471" s="370"/>
      <c r="C471" s="370"/>
      <c r="D471" s="370"/>
      <c r="E471" s="370"/>
      <c r="F471" s="370"/>
      <c r="G471" s="370"/>
      <c r="H471" s="370"/>
      <c r="I471" s="370"/>
      <c r="J471" s="370"/>
      <c r="K471" s="370"/>
      <c r="L471" s="370"/>
      <c r="M471" s="370"/>
      <c r="N471" s="370"/>
      <c r="O471" s="370"/>
      <c r="P471" s="370"/>
      <c r="Q471" s="370"/>
      <c r="R471" s="370"/>
      <c r="S471" s="370"/>
      <c r="T471" s="370"/>
      <c r="U471" s="370"/>
      <c r="V471" s="370"/>
      <c r="W471" s="370"/>
      <c r="X471" s="370"/>
      <c r="Y471" s="370"/>
      <c r="Z471" s="370"/>
      <c r="AA471" s="370"/>
      <c r="AB471" s="380"/>
    </row>
    <row r="472" spans="1:28">
      <c r="A472" s="370"/>
      <c r="B472" s="370"/>
      <c r="C472" s="370"/>
      <c r="D472" s="370"/>
      <c r="E472" s="370"/>
      <c r="F472" s="370"/>
      <c r="G472" s="370"/>
      <c r="H472" s="370"/>
      <c r="I472" s="370"/>
      <c r="J472" s="370"/>
      <c r="K472" s="370"/>
      <c r="L472" s="370"/>
      <c r="M472" s="370"/>
      <c r="N472" s="370"/>
      <c r="O472" s="370"/>
      <c r="P472" s="370"/>
      <c r="Q472" s="370"/>
      <c r="R472" s="370"/>
      <c r="S472" s="370"/>
      <c r="T472" s="370"/>
      <c r="U472" s="370"/>
      <c r="V472" s="370"/>
      <c r="W472" s="370"/>
      <c r="X472" s="370"/>
      <c r="Y472" s="370"/>
      <c r="Z472" s="370"/>
      <c r="AA472" s="370"/>
      <c r="AB472" s="380"/>
    </row>
    <row r="473" spans="1:28">
      <c r="A473" s="370"/>
      <c r="B473" s="370"/>
      <c r="C473" s="370"/>
      <c r="D473" s="370"/>
      <c r="E473" s="370"/>
      <c r="F473" s="370"/>
      <c r="G473" s="370"/>
      <c r="H473" s="370"/>
      <c r="I473" s="370"/>
      <c r="J473" s="370"/>
      <c r="K473" s="370"/>
      <c r="L473" s="370"/>
      <c r="M473" s="370"/>
      <c r="N473" s="370"/>
      <c r="O473" s="370"/>
      <c r="P473" s="370"/>
      <c r="Q473" s="370"/>
      <c r="R473" s="370"/>
      <c r="S473" s="370"/>
      <c r="T473" s="370"/>
      <c r="U473" s="370"/>
      <c r="V473" s="370"/>
      <c r="W473" s="370"/>
      <c r="X473" s="370"/>
      <c r="Y473" s="370"/>
      <c r="Z473" s="370"/>
      <c r="AA473" s="370"/>
      <c r="AB473" s="380"/>
    </row>
    <row r="474" spans="1:28">
      <c r="A474" s="370"/>
      <c r="B474" s="370"/>
      <c r="C474" s="370"/>
      <c r="D474" s="370"/>
      <c r="E474" s="370"/>
      <c r="F474" s="370"/>
      <c r="G474" s="370"/>
      <c r="H474" s="370"/>
      <c r="I474" s="370"/>
      <c r="J474" s="370"/>
      <c r="K474" s="370"/>
      <c r="L474" s="370"/>
      <c r="M474" s="370"/>
      <c r="N474" s="370"/>
      <c r="O474" s="370"/>
      <c r="P474" s="370"/>
      <c r="Q474" s="370"/>
      <c r="R474" s="370"/>
      <c r="S474" s="370"/>
      <c r="T474" s="370"/>
      <c r="U474" s="370"/>
      <c r="V474" s="370"/>
      <c r="W474" s="370"/>
      <c r="X474" s="370"/>
      <c r="Y474" s="370"/>
      <c r="Z474" s="370"/>
      <c r="AA474" s="370"/>
      <c r="AB474" s="380"/>
    </row>
    <row r="475" spans="1:28">
      <c r="A475" s="370"/>
      <c r="B475" s="370"/>
      <c r="C475" s="370"/>
      <c r="D475" s="370"/>
      <c r="E475" s="370"/>
      <c r="F475" s="370"/>
      <c r="G475" s="370"/>
      <c r="H475" s="370"/>
      <c r="I475" s="370"/>
      <c r="J475" s="370"/>
      <c r="K475" s="370"/>
      <c r="L475" s="370"/>
      <c r="M475" s="370"/>
      <c r="N475" s="370"/>
      <c r="O475" s="370"/>
      <c r="P475" s="370"/>
      <c r="Q475" s="370"/>
      <c r="R475" s="370"/>
      <c r="S475" s="370"/>
      <c r="T475" s="370"/>
      <c r="U475" s="370"/>
      <c r="V475" s="370"/>
      <c r="W475" s="370"/>
      <c r="X475" s="370"/>
      <c r="Y475" s="370"/>
      <c r="Z475" s="370"/>
      <c r="AA475" s="370"/>
      <c r="AB475" s="380"/>
    </row>
    <row r="476" spans="1:28">
      <c r="A476" s="370"/>
      <c r="B476" s="370"/>
      <c r="C476" s="370"/>
      <c r="D476" s="370"/>
      <c r="E476" s="370"/>
      <c r="F476" s="370"/>
      <c r="G476" s="370"/>
      <c r="H476" s="370"/>
      <c r="I476" s="370"/>
      <c r="J476" s="370"/>
      <c r="K476" s="370"/>
      <c r="L476" s="370"/>
      <c r="M476" s="370"/>
      <c r="N476" s="370"/>
      <c r="O476" s="370"/>
      <c r="P476" s="370"/>
      <c r="Q476" s="370"/>
      <c r="R476" s="370"/>
      <c r="S476" s="370"/>
      <c r="T476" s="370"/>
      <c r="U476" s="370"/>
      <c r="V476" s="370"/>
      <c r="W476" s="370"/>
      <c r="X476" s="370"/>
      <c r="Y476" s="370"/>
      <c r="Z476" s="370"/>
      <c r="AA476" s="370"/>
      <c r="AB476" s="380"/>
    </row>
    <row r="477" spans="1:28">
      <c r="A477" s="370"/>
      <c r="B477" s="370"/>
      <c r="C477" s="370"/>
      <c r="D477" s="370"/>
      <c r="E477" s="370"/>
      <c r="F477" s="370"/>
      <c r="G477" s="370"/>
      <c r="H477" s="370"/>
      <c r="I477" s="370"/>
      <c r="J477" s="370"/>
      <c r="K477" s="370"/>
      <c r="L477" s="370"/>
      <c r="M477" s="370"/>
      <c r="N477" s="370"/>
      <c r="O477" s="370"/>
      <c r="P477" s="370"/>
      <c r="Q477" s="370"/>
      <c r="R477" s="370"/>
      <c r="S477" s="370"/>
      <c r="T477" s="370"/>
      <c r="U477" s="370"/>
      <c r="V477" s="370"/>
      <c r="W477" s="370"/>
      <c r="X477" s="370"/>
      <c r="Y477" s="370"/>
      <c r="Z477" s="370"/>
      <c r="AA477" s="370"/>
      <c r="AB477" s="380"/>
    </row>
    <row r="478" spans="1:28">
      <c r="A478" s="370"/>
      <c r="B478" s="370"/>
      <c r="C478" s="370"/>
      <c r="D478" s="370"/>
      <c r="E478" s="370"/>
      <c r="F478" s="370"/>
      <c r="G478" s="370"/>
      <c r="H478" s="370"/>
      <c r="I478" s="370"/>
      <c r="J478" s="370"/>
      <c r="K478" s="370"/>
      <c r="L478" s="370"/>
      <c r="M478" s="370"/>
      <c r="N478" s="370"/>
      <c r="O478" s="370"/>
      <c r="P478" s="370"/>
      <c r="Q478" s="370"/>
      <c r="R478" s="370"/>
      <c r="S478" s="370"/>
      <c r="T478" s="370"/>
      <c r="U478" s="370"/>
      <c r="V478" s="370"/>
      <c r="W478" s="370"/>
      <c r="X478" s="370"/>
      <c r="Y478" s="370"/>
      <c r="Z478" s="370"/>
      <c r="AA478" s="370"/>
      <c r="AB478" s="380"/>
    </row>
    <row r="479" spans="1:28">
      <c r="A479" s="370"/>
      <c r="B479" s="370"/>
      <c r="C479" s="370"/>
      <c r="D479" s="370"/>
      <c r="E479" s="370"/>
      <c r="F479" s="370"/>
      <c r="G479" s="370"/>
      <c r="H479" s="370"/>
      <c r="I479" s="370"/>
      <c r="J479" s="370"/>
      <c r="K479" s="370"/>
      <c r="L479" s="370"/>
      <c r="M479" s="370"/>
      <c r="N479" s="370"/>
      <c r="O479" s="370"/>
      <c r="P479" s="370"/>
      <c r="Q479" s="370"/>
      <c r="R479" s="370"/>
      <c r="S479" s="370"/>
      <c r="T479" s="370"/>
      <c r="U479" s="370"/>
      <c r="V479" s="370"/>
      <c r="W479" s="370"/>
      <c r="X479" s="370"/>
      <c r="Y479" s="370"/>
      <c r="Z479" s="370"/>
      <c r="AA479" s="370"/>
      <c r="AB479" s="380"/>
    </row>
    <row r="480" spans="1:28">
      <c r="A480" s="370"/>
      <c r="B480" s="370"/>
      <c r="C480" s="370"/>
      <c r="D480" s="370"/>
      <c r="E480" s="370"/>
      <c r="F480" s="370"/>
      <c r="G480" s="370"/>
      <c r="H480" s="370"/>
      <c r="I480" s="370"/>
      <c r="J480" s="370"/>
      <c r="K480" s="370"/>
      <c r="L480" s="370"/>
      <c r="M480" s="370"/>
      <c r="N480" s="370"/>
      <c r="O480" s="370"/>
      <c r="P480" s="370"/>
      <c r="Q480" s="370"/>
      <c r="R480" s="370"/>
      <c r="S480" s="370"/>
      <c r="T480" s="370"/>
      <c r="U480" s="370"/>
      <c r="V480" s="370"/>
      <c r="W480" s="370"/>
      <c r="X480" s="370"/>
      <c r="Y480" s="370"/>
      <c r="Z480" s="370"/>
      <c r="AA480" s="370"/>
      <c r="AB480" s="380"/>
    </row>
    <row r="481" spans="1:28">
      <c r="A481" s="370"/>
      <c r="B481" s="370"/>
      <c r="C481" s="370"/>
      <c r="D481" s="370"/>
      <c r="E481" s="370"/>
      <c r="F481" s="370"/>
      <c r="G481" s="370"/>
      <c r="H481" s="370"/>
      <c r="I481" s="370"/>
      <c r="J481" s="370"/>
      <c r="K481" s="370"/>
      <c r="L481" s="370"/>
      <c r="M481" s="370"/>
      <c r="N481" s="370"/>
      <c r="O481" s="370"/>
      <c r="P481" s="370"/>
      <c r="Q481" s="370"/>
      <c r="R481" s="370"/>
      <c r="S481" s="370"/>
      <c r="T481" s="370"/>
      <c r="U481" s="370"/>
      <c r="V481" s="370"/>
      <c r="W481" s="370"/>
      <c r="X481" s="370"/>
      <c r="Y481" s="370"/>
      <c r="Z481" s="370"/>
      <c r="AA481" s="370"/>
      <c r="AB481" s="380"/>
    </row>
    <row r="482" spans="1:28">
      <c r="A482" s="370"/>
      <c r="B482" s="370"/>
      <c r="C482" s="370"/>
      <c r="D482" s="370"/>
      <c r="E482" s="370"/>
      <c r="F482" s="370"/>
      <c r="G482" s="370"/>
      <c r="H482" s="370"/>
      <c r="I482" s="370"/>
      <c r="J482" s="370"/>
      <c r="K482" s="370"/>
      <c r="L482" s="370"/>
      <c r="M482" s="370"/>
      <c r="N482" s="370"/>
      <c r="O482" s="370"/>
      <c r="P482" s="370"/>
      <c r="Q482" s="370"/>
      <c r="R482" s="370"/>
      <c r="S482" s="370"/>
      <c r="T482" s="370"/>
      <c r="U482" s="370"/>
      <c r="V482" s="370"/>
      <c r="W482" s="370"/>
      <c r="X482" s="370"/>
      <c r="Y482" s="370"/>
      <c r="Z482" s="370"/>
      <c r="AA482" s="370"/>
      <c r="AB482" s="380"/>
    </row>
    <row r="483" spans="1:28">
      <c r="A483" s="370"/>
      <c r="B483" s="370"/>
      <c r="C483" s="370"/>
      <c r="D483" s="370"/>
      <c r="E483" s="370"/>
      <c r="F483" s="370"/>
      <c r="G483" s="370"/>
      <c r="H483" s="370"/>
      <c r="I483" s="370"/>
      <c r="J483" s="370"/>
      <c r="K483" s="370"/>
      <c r="L483" s="370"/>
      <c r="M483" s="370"/>
      <c r="N483" s="370"/>
      <c r="O483" s="370"/>
      <c r="P483" s="370"/>
      <c r="Q483" s="370"/>
      <c r="R483" s="370"/>
      <c r="S483" s="370"/>
      <c r="T483" s="370"/>
      <c r="U483" s="370"/>
      <c r="V483" s="370"/>
      <c r="W483" s="370"/>
      <c r="X483" s="370"/>
      <c r="Y483" s="370"/>
      <c r="Z483" s="370"/>
      <c r="AA483" s="370"/>
      <c r="AB483" s="380"/>
    </row>
    <row r="484" spans="1:28">
      <c r="A484" s="370"/>
      <c r="B484" s="370"/>
      <c r="C484" s="370"/>
      <c r="D484" s="370"/>
      <c r="E484" s="370"/>
      <c r="F484" s="370"/>
      <c r="G484" s="370"/>
      <c r="H484" s="370"/>
      <c r="I484" s="370"/>
      <c r="J484" s="370"/>
      <c r="K484" s="370"/>
      <c r="L484" s="370"/>
      <c r="M484" s="370"/>
      <c r="N484" s="370"/>
      <c r="O484" s="370"/>
      <c r="P484" s="370"/>
      <c r="Q484" s="370"/>
      <c r="R484" s="370"/>
      <c r="S484" s="370"/>
      <c r="T484" s="370"/>
      <c r="U484" s="370"/>
      <c r="V484" s="370"/>
      <c r="W484" s="370"/>
      <c r="X484" s="370"/>
      <c r="Y484" s="370"/>
      <c r="Z484" s="370"/>
      <c r="AA484" s="370"/>
      <c r="AB484" s="380"/>
    </row>
    <row r="485" spans="1:28">
      <c r="A485" s="370"/>
      <c r="B485" s="370"/>
      <c r="C485" s="370"/>
      <c r="D485" s="370"/>
      <c r="E485" s="370"/>
      <c r="F485" s="370"/>
      <c r="G485" s="370"/>
      <c r="H485" s="370"/>
      <c r="I485" s="370"/>
      <c r="J485" s="370"/>
      <c r="K485" s="370"/>
      <c r="L485" s="370"/>
      <c r="M485" s="370"/>
      <c r="N485" s="370"/>
      <c r="O485" s="370"/>
      <c r="P485" s="370"/>
      <c r="Q485" s="370"/>
      <c r="R485" s="370"/>
      <c r="S485" s="370"/>
      <c r="T485" s="370"/>
      <c r="U485" s="370"/>
      <c r="V485" s="370"/>
      <c r="W485" s="370"/>
      <c r="X485" s="370"/>
      <c r="Y485" s="370"/>
      <c r="Z485" s="370"/>
      <c r="AA485" s="370"/>
      <c r="AB485" s="380"/>
    </row>
    <row r="486" spans="1:28">
      <c r="A486" s="370"/>
      <c r="B486" s="370"/>
      <c r="C486" s="370"/>
      <c r="D486" s="370"/>
      <c r="E486" s="370"/>
      <c r="F486" s="370"/>
      <c r="G486" s="370"/>
      <c r="H486" s="370"/>
      <c r="I486" s="370"/>
      <c r="J486" s="370"/>
      <c r="K486" s="370"/>
      <c r="L486" s="370"/>
      <c r="M486" s="370"/>
      <c r="N486" s="370"/>
      <c r="O486" s="370"/>
      <c r="P486" s="370"/>
      <c r="Q486" s="370"/>
      <c r="R486" s="370"/>
      <c r="S486" s="370"/>
      <c r="T486" s="370"/>
      <c r="U486" s="370"/>
      <c r="V486" s="370"/>
      <c r="W486" s="370"/>
      <c r="X486" s="370"/>
      <c r="Y486" s="370"/>
      <c r="Z486" s="370"/>
      <c r="AA486" s="370"/>
      <c r="AB486" s="380"/>
    </row>
    <row r="487" spans="1:28">
      <c r="A487" s="370"/>
      <c r="B487" s="370"/>
      <c r="C487" s="370"/>
      <c r="D487" s="370"/>
      <c r="E487" s="370"/>
      <c r="F487" s="370"/>
      <c r="G487" s="370"/>
      <c r="H487" s="370"/>
      <c r="I487" s="370"/>
      <c r="J487" s="370"/>
      <c r="K487" s="370"/>
      <c r="L487" s="370"/>
      <c r="M487" s="370"/>
      <c r="N487" s="370"/>
      <c r="O487" s="370"/>
      <c r="P487" s="370"/>
      <c r="Q487" s="370"/>
      <c r="R487" s="370"/>
      <c r="S487" s="370"/>
      <c r="T487" s="370"/>
      <c r="U487" s="370"/>
      <c r="V487" s="370"/>
      <c r="W487" s="370"/>
      <c r="X487" s="370"/>
      <c r="Y487" s="370"/>
      <c r="Z487" s="370"/>
      <c r="AA487" s="370"/>
      <c r="AB487" s="380"/>
    </row>
    <row r="488" spans="1:28">
      <c r="A488" s="370"/>
      <c r="B488" s="370"/>
      <c r="C488" s="370"/>
      <c r="D488" s="370"/>
      <c r="E488" s="370"/>
      <c r="F488" s="370"/>
      <c r="G488" s="370"/>
      <c r="H488" s="370"/>
      <c r="I488" s="370"/>
      <c r="J488" s="370"/>
      <c r="K488" s="370"/>
      <c r="L488" s="370"/>
      <c r="M488" s="370"/>
      <c r="N488" s="370"/>
      <c r="O488" s="370"/>
      <c r="P488" s="370"/>
      <c r="Q488" s="370"/>
      <c r="R488" s="370"/>
      <c r="S488" s="370"/>
      <c r="T488" s="370"/>
      <c r="U488" s="370"/>
      <c r="V488" s="370"/>
      <c r="W488" s="370"/>
      <c r="X488" s="370"/>
      <c r="Y488" s="370"/>
      <c r="Z488" s="370"/>
      <c r="AA488" s="370"/>
      <c r="AB488" s="380"/>
    </row>
    <row r="489" spans="1:28">
      <c r="A489" s="370"/>
      <c r="B489" s="370"/>
      <c r="C489" s="370"/>
      <c r="D489" s="370"/>
      <c r="E489" s="370"/>
      <c r="F489" s="370"/>
      <c r="G489" s="370"/>
      <c r="H489" s="370"/>
      <c r="I489" s="370"/>
      <c r="J489" s="370"/>
      <c r="K489" s="370"/>
      <c r="L489" s="370"/>
      <c r="M489" s="370"/>
      <c r="N489" s="370"/>
      <c r="O489" s="370"/>
      <c r="P489" s="370"/>
      <c r="Q489" s="370"/>
      <c r="R489" s="370"/>
      <c r="S489" s="370"/>
      <c r="T489" s="370"/>
      <c r="U489" s="370"/>
      <c r="V489" s="370"/>
      <c r="W489" s="370"/>
      <c r="X489" s="370"/>
      <c r="Y489" s="370"/>
      <c r="Z489" s="370"/>
      <c r="AA489" s="370"/>
      <c r="AB489" s="380"/>
    </row>
    <row r="490" spans="1:28">
      <c r="A490" s="370"/>
      <c r="B490" s="370"/>
      <c r="C490" s="370"/>
      <c r="D490" s="370"/>
      <c r="E490" s="370"/>
      <c r="F490" s="370"/>
      <c r="G490" s="370"/>
      <c r="H490" s="370"/>
      <c r="I490" s="370"/>
      <c r="J490" s="370"/>
      <c r="K490" s="370"/>
      <c r="L490" s="370"/>
      <c r="M490" s="370"/>
      <c r="N490" s="370"/>
      <c r="O490" s="370"/>
      <c r="P490" s="370"/>
      <c r="Q490" s="370"/>
      <c r="R490" s="370"/>
      <c r="S490" s="370"/>
      <c r="T490" s="370"/>
      <c r="U490" s="370"/>
      <c r="V490" s="370"/>
      <c r="W490" s="370"/>
      <c r="X490" s="370"/>
      <c r="Y490" s="370"/>
      <c r="Z490" s="370"/>
      <c r="AA490" s="370"/>
      <c r="AB490" s="380"/>
    </row>
    <row r="491" spans="1:28">
      <c r="A491" s="370"/>
      <c r="B491" s="370"/>
      <c r="C491" s="370"/>
      <c r="D491" s="370"/>
      <c r="E491" s="370"/>
      <c r="F491" s="370"/>
      <c r="G491" s="370"/>
      <c r="H491" s="370"/>
      <c r="I491" s="370"/>
      <c r="J491" s="370"/>
      <c r="K491" s="370"/>
      <c r="L491" s="370"/>
      <c r="M491" s="370"/>
      <c r="N491" s="370"/>
      <c r="O491" s="370"/>
      <c r="P491" s="370"/>
      <c r="Q491" s="370"/>
      <c r="R491" s="370"/>
      <c r="S491" s="370"/>
      <c r="T491" s="370"/>
      <c r="U491" s="370"/>
      <c r="V491" s="370"/>
      <c r="W491" s="370"/>
      <c r="X491" s="370"/>
      <c r="Y491" s="370"/>
      <c r="Z491" s="370"/>
      <c r="AA491" s="370"/>
      <c r="AB491" s="380"/>
    </row>
    <row r="492" spans="1:28">
      <c r="A492" s="370"/>
      <c r="B492" s="370"/>
      <c r="C492" s="370"/>
      <c r="D492" s="370"/>
      <c r="E492" s="370"/>
      <c r="F492" s="370"/>
      <c r="G492" s="370"/>
      <c r="H492" s="370"/>
      <c r="I492" s="370"/>
      <c r="J492" s="370"/>
      <c r="K492" s="370"/>
      <c r="L492" s="370"/>
      <c r="M492" s="370"/>
      <c r="N492" s="370"/>
      <c r="O492" s="370"/>
      <c r="P492" s="370"/>
      <c r="Q492" s="370"/>
      <c r="R492" s="370"/>
      <c r="S492" s="370"/>
      <c r="T492" s="370"/>
      <c r="U492" s="370"/>
      <c r="V492" s="370"/>
      <c r="W492" s="370"/>
      <c r="X492" s="370"/>
      <c r="Y492" s="370"/>
      <c r="Z492" s="370"/>
      <c r="AA492" s="370"/>
      <c r="AB492" s="380"/>
    </row>
    <row r="493" spans="1:28">
      <c r="A493" s="370"/>
      <c r="B493" s="370"/>
      <c r="C493" s="370"/>
      <c r="D493" s="370"/>
      <c r="E493" s="370"/>
      <c r="F493" s="370"/>
      <c r="G493" s="370"/>
      <c r="H493" s="370"/>
      <c r="I493" s="370"/>
      <c r="J493" s="370"/>
      <c r="K493" s="370"/>
      <c r="L493" s="370"/>
      <c r="M493" s="370"/>
      <c r="N493" s="370"/>
      <c r="O493" s="370"/>
      <c r="P493" s="370"/>
      <c r="Q493" s="370"/>
      <c r="R493" s="370"/>
      <c r="S493" s="370"/>
      <c r="T493" s="370"/>
      <c r="U493" s="370"/>
      <c r="V493" s="370"/>
      <c r="W493" s="370"/>
      <c r="X493" s="370"/>
      <c r="Y493" s="370"/>
      <c r="Z493" s="370"/>
      <c r="AA493" s="370"/>
      <c r="AB493" s="380"/>
    </row>
    <row r="494" spans="1:28">
      <c r="A494" s="370"/>
      <c r="B494" s="370"/>
      <c r="C494" s="370"/>
      <c r="D494" s="370"/>
      <c r="E494" s="370"/>
      <c r="F494" s="370"/>
      <c r="G494" s="370"/>
      <c r="H494" s="370"/>
      <c r="I494" s="370"/>
      <c r="J494" s="370"/>
      <c r="K494" s="370"/>
      <c r="L494" s="370"/>
      <c r="M494" s="370"/>
      <c r="N494" s="370"/>
      <c r="O494" s="370"/>
      <c r="P494" s="370"/>
      <c r="Q494" s="370"/>
      <c r="R494" s="370"/>
      <c r="S494" s="370"/>
      <c r="T494" s="370"/>
      <c r="U494" s="370"/>
      <c r="V494" s="370"/>
      <c r="W494" s="370"/>
      <c r="X494" s="370"/>
      <c r="Y494" s="370"/>
      <c r="Z494" s="370"/>
      <c r="AA494" s="370"/>
      <c r="AB494" s="380"/>
    </row>
    <row r="495" spans="1:28">
      <c r="A495" s="370"/>
      <c r="B495" s="370"/>
      <c r="C495" s="370"/>
      <c r="D495" s="370"/>
      <c r="E495" s="370"/>
      <c r="F495" s="370"/>
      <c r="G495" s="370"/>
      <c r="H495" s="370"/>
      <c r="I495" s="370"/>
      <c r="J495" s="370"/>
      <c r="K495" s="370"/>
      <c r="L495" s="370"/>
      <c r="M495" s="370"/>
      <c r="N495" s="370"/>
      <c r="O495" s="370"/>
      <c r="P495" s="370"/>
      <c r="Q495" s="370"/>
      <c r="R495" s="370"/>
      <c r="S495" s="370"/>
      <c r="T495" s="370"/>
      <c r="U495" s="370"/>
      <c r="V495" s="370"/>
      <c r="W495" s="370"/>
      <c r="X495" s="370"/>
      <c r="Y495" s="370"/>
      <c r="Z495" s="370"/>
      <c r="AA495" s="370"/>
      <c r="AB495" s="380"/>
    </row>
    <row r="496" spans="1:28">
      <c r="A496" s="370"/>
      <c r="B496" s="370"/>
      <c r="C496" s="370"/>
      <c r="D496" s="370"/>
      <c r="E496" s="370"/>
      <c r="F496" s="370"/>
      <c r="G496" s="370"/>
      <c r="H496" s="370"/>
      <c r="I496" s="370"/>
      <c r="J496" s="370"/>
      <c r="K496" s="370"/>
      <c r="L496" s="370"/>
      <c r="M496" s="370"/>
      <c r="N496" s="370"/>
      <c r="O496" s="370"/>
      <c r="P496" s="370"/>
      <c r="Q496" s="370"/>
      <c r="R496" s="370"/>
      <c r="S496" s="370"/>
      <c r="T496" s="370"/>
      <c r="U496" s="370"/>
      <c r="V496" s="370"/>
      <c r="W496" s="370"/>
      <c r="X496" s="370"/>
      <c r="Y496" s="370"/>
      <c r="Z496" s="370"/>
      <c r="AA496" s="370"/>
      <c r="AB496" s="380"/>
    </row>
    <row r="497" spans="1:28">
      <c r="A497" s="370"/>
      <c r="B497" s="370"/>
      <c r="C497" s="370"/>
      <c r="D497" s="370"/>
      <c r="E497" s="370"/>
      <c r="F497" s="370"/>
      <c r="G497" s="370"/>
      <c r="H497" s="370"/>
      <c r="I497" s="370"/>
      <c r="J497" s="370"/>
      <c r="K497" s="370"/>
      <c r="L497" s="370"/>
      <c r="M497" s="370"/>
      <c r="N497" s="370"/>
      <c r="O497" s="370"/>
      <c r="P497" s="370"/>
      <c r="Q497" s="370"/>
      <c r="R497" s="370"/>
      <c r="S497" s="370"/>
      <c r="T497" s="370"/>
      <c r="U497" s="370"/>
      <c r="V497" s="370"/>
      <c r="W497" s="370"/>
      <c r="X497" s="370"/>
      <c r="Y497" s="370"/>
      <c r="Z497" s="370"/>
      <c r="AA497" s="370"/>
      <c r="AB497" s="380"/>
    </row>
    <row r="498" spans="1:28">
      <c r="A498" s="370"/>
      <c r="B498" s="370"/>
      <c r="C498" s="370"/>
      <c r="D498" s="370"/>
      <c r="E498" s="370"/>
      <c r="F498" s="370"/>
      <c r="G498" s="370"/>
      <c r="H498" s="370"/>
      <c r="I498" s="370"/>
      <c r="J498" s="370"/>
      <c r="K498" s="370"/>
      <c r="L498" s="370"/>
      <c r="M498" s="370"/>
      <c r="N498" s="370"/>
      <c r="O498" s="370"/>
      <c r="P498" s="370"/>
      <c r="Q498" s="370"/>
      <c r="R498" s="370"/>
      <c r="S498" s="370"/>
      <c r="T498" s="370"/>
      <c r="U498" s="370"/>
      <c r="V498" s="370"/>
      <c r="W498" s="370"/>
      <c r="X498" s="370"/>
      <c r="Y498" s="370"/>
      <c r="Z498" s="370"/>
      <c r="AA498" s="370"/>
      <c r="AB498" s="380"/>
    </row>
    <row r="499" spans="1:28">
      <c r="A499" s="370"/>
      <c r="B499" s="370"/>
      <c r="C499" s="370"/>
      <c r="D499" s="370"/>
      <c r="E499" s="370"/>
      <c r="F499" s="370"/>
      <c r="G499" s="370"/>
      <c r="H499" s="370"/>
      <c r="I499" s="370"/>
      <c r="J499" s="370"/>
      <c r="K499" s="370"/>
      <c r="L499" s="370"/>
      <c r="M499" s="370"/>
      <c r="N499" s="370"/>
      <c r="O499" s="370"/>
      <c r="P499" s="370"/>
      <c r="Q499" s="370"/>
      <c r="R499" s="370"/>
      <c r="S499" s="370"/>
      <c r="T499" s="370"/>
      <c r="U499" s="370"/>
      <c r="V499" s="370"/>
      <c r="W499" s="370"/>
      <c r="X499" s="370"/>
      <c r="Y499" s="370"/>
      <c r="Z499" s="370"/>
      <c r="AA499" s="370"/>
      <c r="AB499" s="380"/>
    </row>
    <row r="500" spans="1:28">
      <c r="A500" s="370"/>
      <c r="B500" s="370"/>
      <c r="C500" s="370"/>
      <c r="D500" s="370"/>
      <c r="E500" s="370"/>
      <c r="F500" s="370"/>
      <c r="G500" s="370"/>
      <c r="H500" s="370"/>
      <c r="I500" s="370"/>
      <c r="J500" s="370"/>
      <c r="K500" s="370"/>
      <c r="L500" s="370"/>
      <c r="M500" s="370"/>
      <c r="N500" s="370"/>
      <c r="O500" s="370"/>
      <c r="P500" s="370"/>
      <c r="Q500" s="370"/>
      <c r="R500" s="370"/>
      <c r="S500" s="370"/>
      <c r="T500" s="370"/>
      <c r="U500" s="370"/>
      <c r="V500" s="370"/>
      <c r="W500" s="370"/>
      <c r="X500" s="370"/>
      <c r="Y500" s="370"/>
      <c r="Z500" s="370"/>
      <c r="AA500" s="370"/>
      <c r="AB500" s="380"/>
    </row>
    <row r="501" spans="1:28">
      <c r="A501" s="370"/>
      <c r="B501" s="370"/>
      <c r="C501" s="370"/>
      <c r="D501" s="370"/>
      <c r="E501" s="370"/>
      <c r="F501" s="370"/>
      <c r="G501" s="370"/>
      <c r="H501" s="370"/>
      <c r="I501" s="370"/>
      <c r="J501" s="370"/>
      <c r="K501" s="370"/>
      <c r="L501" s="370"/>
      <c r="M501" s="370"/>
      <c r="N501" s="370"/>
      <c r="O501" s="370"/>
      <c r="P501" s="370"/>
      <c r="Q501" s="370"/>
      <c r="R501" s="370"/>
      <c r="S501" s="370"/>
      <c r="T501" s="370"/>
      <c r="U501" s="370"/>
      <c r="V501" s="370"/>
      <c r="W501" s="370"/>
      <c r="X501" s="370"/>
      <c r="Y501" s="370"/>
      <c r="Z501" s="370"/>
      <c r="AA501" s="370"/>
      <c r="AB501" s="380"/>
    </row>
    <row r="502" spans="1:28">
      <c r="A502" s="370"/>
      <c r="B502" s="370"/>
      <c r="C502" s="370"/>
      <c r="D502" s="370"/>
      <c r="E502" s="370"/>
      <c r="F502" s="370"/>
      <c r="G502" s="370"/>
      <c r="H502" s="370"/>
      <c r="I502" s="370"/>
      <c r="J502" s="370"/>
      <c r="K502" s="370"/>
      <c r="L502" s="370"/>
      <c r="M502" s="370"/>
      <c r="N502" s="370"/>
      <c r="O502" s="370"/>
      <c r="P502" s="370"/>
      <c r="Q502" s="370"/>
      <c r="R502" s="370"/>
      <c r="S502" s="370"/>
      <c r="T502" s="370"/>
      <c r="U502" s="370"/>
      <c r="V502" s="370"/>
      <c r="W502" s="370"/>
      <c r="X502" s="370"/>
      <c r="Y502" s="370"/>
      <c r="Z502" s="370"/>
      <c r="AA502" s="370"/>
      <c r="AB502" s="380"/>
    </row>
    <row r="503" spans="1:28">
      <c r="A503" s="370"/>
      <c r="B503" s="370"/>
      <c r="C503" s="370"/>
      <c r="D503" s="370"/>
      <c r="E503" s="370"/>
      <c r="F503" s="370"/>
      <c r="G503" s="370"/>
      <c r="H503" s="370"/>
      <c r="I503" s="370"/>
      <c r="J503" s="370"/>
      <c r="K503" s="370"/>
      <c r="L503" s="370"/>
      <c r="M503" s="370"/>
      <c r="N503" s="370"/>
      <c r="O503" s="370"/>
      <c r="P503" s="370"/>
      <c r="Q503" s="370"/>
      <c r="R503" s="370"/>
      <c r="S503" s="370"/>
      <c r="T503" s="370"/>
      <c r="U503" s="370"/>
      <c r="V503" s="370"/>
      <c r="W503" s="370"/>
      <c r="X503" s="370"/>
      <c r="Y503" s="370"/>
      <c r="Z503" s="370"/>
      <c r="AA503" s="370"/>
      <c r="AB503" s="380"/>
    </row>
    <row r="504" spans="1:28">
      <c r="A504" s="370"/>
      <c r="B504" s="370"/>
      <c r="C504" s="370"/>
      <c r="D504" s="370"/>
      <c r="E504" s="370"/>
      <c r="F504" s="370"/>
      <c r="G504" s="370"/>
      <c r="H504" s="370"/>
      <c r="I504" s="370"/>
      <c r="J504" s="370"/>
      <c r="K504" s="370"/>
      <c r="L504" s="370"/>
      <c r="M504" s="370"/>
      <c r="N504" s="370"/>
      <c r="O504" s="370"/>
      <c r="P504" s="370"/>
      <c r="Q504" s="370"/>
      <c r="R504" s="370"/>
      <c r="S504" s="370"/>
      <c r="T504" s="370"/>
      <c r="U504" s="370"/>
      <c r="V504" s="370"/>
      <c r="W504" s="370"/>
      <c r="X504" s="370"/>
      <c r="Y504" s="370"/>
      <c r="Z504" s="370"/>
      <c r="AA504" s="370"/>
      <c r="AB504" s="380"/>
    </row>
    <row r="505" spans="1:28">
      <c r="A505" s="370"/>
      <c r="B505" s="370"/>
      <c r="C505" s="370"/>
      <c r="D505" s="370"/>
      <c r="E505" s="370"/>
      <c r="F505" s="370"/>
      <c r="G505" s="370"/>
      <c r="H505" s="370"/>
      <c r="I505" s="370"/>
      <c r="J505" s="370"/>
      <c r="K505" s="370"/>
      <c r="L505" s="370"/>
      <c r="M505" s="370"/>
      <c r="N505" s="370"/>
      <c r="O505" s="370"/>
      <c r="P505" s="370"/>
      <c r="Q505" s="370"/>
      <c r="R505" s="370"/>
      <c r="S505" s="370"/>
      <c r="T505" s="370"/>
      <c r="U505" s="370"/>
      <c r="V505" s="370"/>
      <c r="W505" s="370"/>
      <c r="X505" s="370"/>
      <c r="Y505" s="370"/>
      <c r="Z505" s="370"/>
      <c r="AA505" s="370"/>
      <c r="AB505" s="380"/>
    </row>
    <row r="506" spans="1:28">
      <c r="A506" s="370"/>
      <c r="B506" s="370"/>
      <c r="C506" s="370"/>
      <c r="D506" s="370"/>
      <c r="E506" s="370"/>
      <c r="F506" s="370"/>
      <c r="G506" s="370"/>
      <c r="H506" s="370"/>
      <c r="I506" s="370"/>
      <c r="J506" s="370"/>
      <c r="K506" s="370"/>
      <c r="L506" s="370"/>
      <c r="M506" s="370"/>
      <c r="N506" s="370"/>
      <c r="O506" s="370"/>
      <c r="P506" s="370"/>
      <c r="Q506" s="370"/>
      <c r="R506" s="370"/>
      <c r="S506" s="370"/>
      <c r="T506" s="370"/>
      <c r="U506" s="370"/>
      <c r="V506" s="370"/>
      <c r="W506" s="370"/>
      <c r="X506" s="370"/>
      <c r="Y506" s="370"/>
      <c r="Z506" s="370"/>
      <c r="AA506" s="370"/>
      <c r="AB506" s="380"/>
    </row>
    <row r="507" spans="1:28">
      <c r="A507" s="370"/>
      <c r="B507" s="370"/>
      <c r="C507" s="370"/>
      <c r="D507" s="370"/>
      <c r="E507" s="370"/>
      <c r="F507" s="370"/>
      <c r="G507" s="370"/>
      <c r="H507" s="370"/>
      <c r="I507" s="370"/>
      <c r="J507" s="370"/>
      <c r="K507" s="370"/>
      <c r="L507" s="370"/>
      <c r="M507" s="370"/>
      <c r="N507" s="370"/>
      <c r="O507" s="370"/>
      <c r="P507" s="370"/>
      <c r="Q507" s="370"/>
      <c r="R507" s="370"/>
      <c r="S507" s="370"/>
      <c r="T507" s="370"/>
      <c r="U507" s="370"/>
      <c r="V507" s="370"/>
      <c r="W507" s="370"/>
      <c r="X507" s="370"/>
      <c r="Y507" s="370"/>
      <c r="Z507" s="370"/>
      <c r="AA507" s="370"/>
      <c r="AB507" s="380"/>
    </row>
    <row r="508" spans="1:28">
      <c r="A508" s="370"/>
      <c r="B508" s="370"/>
      <c r="C508" s="370"/>
      <c r="D508" s="370"/>
      <c r="E508" s="370"/>
      <c r="F508" s="370"/>
      <c r="G508" s="370"/>
      <c r="H508" s="370"/>
      <c r="I508" s="370"/>
      <c r="J508" s="370"/>
      <c r="K508" s="370"/>
      <c r="L508" s="370"/>
      <c r="M508" s="370"/>
      <c r="N508" s="370"/>
      <c r="O508" s="370"/>
      <c r="P508" s="370"/>
      <c r="Q508" s="370"/>
      <c r="R508" s="370"/>
      <c r="S508" s="370"/>
      <c r="T508" s="370"/>
      <c r="U508" s="370"/>
      <c r="V508" s="370"/>
      <c r="W508" s="370"/>
      <c r="X508" s="370"/>
      <c r="Y508" s="370"/>
      <c r="Z508" s="370"/>
      <c r="AA508" s="370"/>
      <c r="AB508" s="380"/>
    </row>
    <row r="509" spans="1:28">
      <c r="A509" s="370"/>
      <c r="B509" s="370"/>
      <c r="C509" s="370"/>
      <c r="D509" s="370"/>
      <c r="E509" s="370"/>
      <c r="F509" s="370"/>
      <c r="G509" s="370"/>
      <c r="H509" s="370"/>
      <c r="I509" s="370"/>
      <c r="J509" s="370"/>
      <c r="K509" s="370"/>
      <c r="L509" s="370"/>
      <c r="M509" s="370"/>
      <c r="N509" s="370"/>
      <c r="O509" s="370"/>
      <c r="P509" s="370"/>
      <c r="Q509" s="370"/>
      <c r="R509" s="370"/>
      <c r="S509" s="370"/>
      <c r="T509" s="370"/>
      <c r="U509" s="370"/>
      <c r="V509" s="370"/>
      <c r="W509" s="370"/>
      <c r="X509" s="370"/>
      <c r="Y509" s="370"/>
      <c r="Z509" s="370"/>
      <c r="AA509" s="370"/>
      <c r="AB509" s="380"/>
    </row>
    <row r="510" spans="1:28">
      <c r="A510" s="370"/>
      <c r="B510" s="370"/>
      <c r="C510" s="370"/>
      <c r="D510" s="370"/>
      <c r="E510" s="370"/>
      <c r="F510" s="370"/>
      <c r="G510" s="370"/>
      <c r="H510" s="370"/>
      <c r="I510" s="370"/>
      <c r="J510" s="370"/>
      <c r="K510" s="370"/>
      <c r="L510" s="370"/>
      <c r="M510" s="370"/>
      <c r="N510" s="370"/>
      <c r="O510" s="370"/>
      <c r="P510" s="370"/>
      <c r="Q510" s="370"/>
      <c r="R510" s="370"/>
      <c r="S510" s="370"/>
      <c r="T510" s="370"/>
      <c r="U510" s="370"/>
      <c r="V510" s="370"/>
      <c r="W510" s="370"/>
      <c r="X510" s="370"/>
      <c r="Y510" s="370"/>
      <c r="Z510" s="370"/>
      <c r="AA510" s="370"/>
      <c r="AB510" s="380"/>
    </row>
    <row r="511" spans="1:28">
      <c r="A511" s="370"/>
      <c r="B511" s="370"/>
      <c r="C511" s="370"/>
      <c r="D511" s="370"/>
      <c r="E511" s="370"/>
      <c r="F511" s="370"/>
      <c r="G511" s="370"/>
      <c r="H511" s="370"/>
      <c r="I511" s="370"/>
      <c r="J511" s="370"/>
      <c r="K511" s="370"/>
      <c r="L511" s="370"/>
      <c r="M511" s="370"/>
      <c r="N511" s="370"/>
      <c r="O511" s="370"/>
      <c r="P511" s="370"/>
      <c r="Q511" s="370"/>
      <c r="R511" s="370"/>
      <c r="S511" s="370"/>
      <c r="T511" s="370"/>
      <c r="U511" s="370"/>
      <c r="V511" s="370"/>
      <c r="W511" s="370"/>
      <c r="X511" s="370"/>
      <c r="Y511" s="370"/>
      <c r="Z511" s="370"/>
      <c r="AA511" s="370"/>
      <c r="AB511" s="380"/>
    </row>
    <row r="512" spans="1:28">
      <c r="A512" s="370"/>
      <c r="B512" s="370"/>
      <c r="C512" s="370"/>
      <c r="D512" s="370"/>
      <c r="E512" s="370"/>
      <c r="F512" s="370"/>
      <c r="G512" s="370"/>
      <c r="H512" s="370"/>
      <c r="I512" s="370"/>
      <c r="J512" s="370"/>
      <c r="K512" s="370"/>
      <c r="L512" s="370"/>
      <c r="M512" s="370"/>
      <c r="N512" s="370"/>
      <c r="O512" s="370"/>
      <c r="P512" s="370"/>
      <c r="Q512" s="370"/>
      <c r="R512" s="370"/>
      <c r="S512" s="370"/>
      <c r="T512" s="370"/>
      <c r="U512" s="370"/>
      <c r="V512" s="370"/>
      <c r="W512" s="370"/>
      <c r="X512" s="370"/>
      <c r="Y512" s="370"/>
      <c r="Z512" s="370"/>
      <c r="AA512" s="370"/>
      <c r="AB512" s="380"/>
    </row>
    <row r="513" spans="1:28">
      <c r="A513" s="370"/>
      <c r="B513" s="370"/>
      <c r="C513" s="370"/>
      <c r="D513" s="370"/>
      <c r="E513" s="370"/>
      <c r="F513" s="370"/>
      <c r="G513" s="370"/>
      <c r="H513" s="370"/>
      <c r="I513" s="370"/>
      <c r="J513" s="370"/>
      <c r="K513" s="370"/>
      <c r="L513" s="370"/>
      <c r="M513" s="370"/>
      <c r="N513" s="370"/>
      <c r="O513" s="370"/>
      <c r="P513" s="370"/>
      <c r="Q513" s="370"/>
      <c r="R513" s="370"/>
      <c r="S513" s="370"/>
      <c r="T513" s="370"/>
      <c r="U513" s="370"/>
      <c r="V513" s="370"/>
      <c r="W513" s="370"/>
      <c r="X513" s="370"/>
      <c r="Y513" s="370"/>
      <c r="Z513" s="370"/>
      <c r="AA513" s="370"/>
      <c r="AB513" s="380"/>
    </row>
    <row r="514" spans="1:28">
      <c r="A514" s="370"/>
      <c r="B514" s="370"/>
      <c r="C514" s="370"/>
      <c r="D514" s="370"/>
      <c r="E514" s="370"/>
      <c r="F514" s="370"/>
      <c r="G514" s="370"/>
      <c r="H514" s="370"/>
      <c r="I514" s="370"/>
      <c r="J514" s="370"/>
      <c r="K514" s="370"/>
      <c r="L514" s="370"/>
      <c r="M514" s="370"/>
      <c r="N514" s="370"/>
      <c r="O514" s="370"/>
      <c r="P514" s="370"/>
      <c r="Q514" s="370"/>
      <c r="R514" s="370"/>
      <c r="S514" s="370"/>
      <c r="T514" s="370"/>
      <c r="U514" s="370"/>
      <c r="V514" s="370"/>
      <c r="W514" s="370"/>
      <c r="X514" s="370"/>
      <c r="Y514" s="370"/>
      <c r="Z514" s="370"/>
      <c r="AA514" s="370"/>
      <c r="AB514" s="380"/>
    </row>
    <row r="515" spans="1:28">
      <c r="A515" s="370"/>
      <c r="B515" s="370"/>
      <c r="C515" s="370"/>
      <c r="D515" s="370"/>
      <c r="E515" s="370"/>
      <c r="F515" s="370"/>
      <c r="G515" s="370"/>
      <c r="H515" s="370"/>
      <c r="I515" s="370"/>
      <c r="J515" s="370"/>
      <c r="K515" s="370"/>
      <c r="L515" s="370"/>
      <c r="M515" s="370"/>
      <c r="N515" s="370"/>
      <c r="O515" s="370"/>
      <c r="P515" s="370"/>
      <c r="Q515" s="370"/>
      <c r="R515" s="370"/>
      <c r="S515" s="370"/>
      <c r="T515" s="370"/>
      <c r="U515" s="370"/>
      <c r="V515" s="370"/>
      <c r="W515" s="370"/>
      <c r="X515" s="370"/>
      <c r="Y515" s="370"/>
      <c r="Z515" s="370"/>
      <c r="AA515" s="370"/>
      <c r="AB515" s="380"/>
    </row>
    <row r="516" spans="1:28">
      <c r="A516" s="370"/>
      <c r="B516" s="370"/>
      <c r="C516" s="370"/>
      <c r="D516" s="370"/>
      <c r="E516" s="370"/>
      <c r="F516" s="370"/>
      <c r="G516" s="370"/>
      <c r="H516" s="370"/>
      <c r="I516" s="370"/>
      <c r="J516" s="370"/>
      <c r="K516" s="370"/>
      <c r="L516" s="370"/>
      <c r="M516" s="370"/>
      <c r="N516" s="370"/>
      <c r="O516" s="370"/>
      <c r="P516" s="370"/>
      <c r="Q516" s="370"/>
      <c r="R516" s="370"/>
      <c r="S516" s="370"/>
      <c r="T516" s="370"/>
      <c r="U516" s="370"/>
      <c r="V516" s="370"/>
      <c r="W516" s="370"/>
      <c r="X516" s="370"/>
      <c r="Y516" s="370"/>
      <c r="Z516" s="370"/>
      <c r="AA516" s="370"/>
      <c r="AB516" s="380"/>
    </row>
    <row r="517" spans="1:28">
      <c r="A517" s="370"/>
      <c r="B517" s="370"/>
      <c r="C517" s="370"/>
      <c r="D517" s="370"/>
      <c r="E517" s="370"/>
      <c r="F517" s="370"/>
      <c r="G517" s="370"/>
      <c r="H517" s="370"/>
      <c r="I517" s="370"/>
      <c r="J517" s="370"/>
      <c r="K517" s="370"/>
      <c r="L517" s="370"/>
      <c r="M517" s="370"/>
      <c r="N517" s="370"/>
      <c r="O517" s="370"/>
      <c r="P517" s="370"/>
      <c r="Q517" s="370"/>
      <c r="R517" s="370"/>
      <c r="S517" s="370"/>
      <c r="T517" s="370"/>
      <c r="U517" s="370"/>
      <c r="V517" s="370"/>
      <c r="W517" s="370"/>
      <c r="X517" s="370"/>
      <c r="Y517" s="370"/>
      <c r="Z517" s="370"/>
      <c r="AA517" s="370"/>
      <c r="AB517" s="380"/>
    </row>
    <row r="518" spans="1:28">
      <c r="A518" s="370"/>
      <c r="B518" s="370"/>
      <c r="C518" s="370"/>
      <c r="D518" s="370"/>
      <c r="E518" s="370"/>
      <c r="F518" s="370"/>
      <c r="G518" s="370"/>
      <c r="H518" s="370"/>
      <c r="I518" s="370"/>
      <c r="J518" s="370"/>
      <c r="K518" s="370"/>
      <c r="L518" s="370"/>
      <c r="M518" s="370"/>
      <c r="N518" s="370"/>
      <c r="O518" s="370"/>
      <c r="P518" s="370"/>
      <c r="Q518" s="370"/>
      <c r="R518" s="370"/>
      <c r="S518" s="370"/>
      <c r="T518" s="370"/>
      <c r="U518" s="370"/>
      <c r="V518" s="370"/>
      <c r="W518" s="370"/>
      <c r="X518" s="370"/>
      <c r="Y518" s="370"/>
      <c r="Z518" s="370"/>
      <c r="AA518" s="370"/>
      <c r="AB518" s="380"/>
    </row>
    <row r="519" spans="1:28">
      <c r="A519" s="370"/>
      <c r="B519" s="370"/>
      <c r="C519" s="370"/>
      <c r="D519" s="370"/>
      <c r="E519" s="370"/>
      <c r="F519" s="370"/>
      <c r="G519" s="370"/>
      <c r="H519" s="370"/>
      <c r="I519" s="370"/>
      <c r="J519" s="370"/>
      <c r="K519" s="370"/>
      <c r="L519" s="370"/>
      <c r="M519" s="370"/>
      <c r="N519" s="370"/>
      <c r="O519" s="370"/>
      <c r="P519" s="370"/>
      <c r="Q519" s="370"/>
      <c r="R519" s="370"/>
      <c r="S519" s="370"/>
      <c r="T519" s="370"/>
      <c r="U519" s="370"/>
      <c r="V519" s="370"/>
      <c r="W519" s="370"/>
      <c r="X519" s="370"/>
      <c r="Y519" s="370"/>
      <c r="Z519" s="370"/>
      <c r="AA519" s="370"/>
      <c r="AB519" s="380"/>
    </row>
    <row r="520" spans="1:28">
      <c r="A520" s="370"/>
      <c r="B520" s="370"/>
      <c r="C520" s="370"/>
      <c r="D520" s="370"/>
      <c r="E520" s="370"/>
      <c r="F520" s="370"/>
      <c r="G520" s="370"/>
      <c r="H520" s="370"/>
      <c r="I520" s="370"/>
      <c r="J520" s="370"/>
      <c r="K520" s="370"/>
      <c r="L520" s="370"/>
      <c r="M520" s="370"/>
      <c r="N520" s="370"/>
      <c r="O520" s="370"/>
      <c r="P520" s="370"/>
      <c r="Q520" s="370"/>
      <c r="R520" s="370"/>
      <c r="S520" s="370"/>
      <c r="T520" s="370"/>
      <c r="U520" s="370"/>
      <c r="V520" s="370"/>
      <c r="W520" s="370"/>
      <c r="X520" s="370"/>
      <c r="Y520" s="370"/>
      <c r="Z520" s="370"/>
      <c r="AA520" s="370"/>
      <c r="AB520" s="380"/>
    </row>
    <row r="521" spans="1:28">
      <c r="A521" s="370"/>
      <c r="B521" s="370"/>
      <c r="C521" s="370"/>
      <c r="D521" s="370"/>
      <c r="E521" s="370"/>
      <c r="F521" s="370"/>
      <c r="G521" s="370"/>
      <c r="H521" s="370"/>
      <c r="I521" s="370"/>
      <c r="J521" s="370"/>
      <c r="K521" s="370"/>
      <c r="L521" s="370"/>
      <c r="M521" s="370"/>
      <c r="N521" s="370"/>
      <c r="O521" s="370"/>
      <c r="P521" s="370"/>
      <c r="Q521" s="370"/>
      <c r="R521" s="370"/>
      <c r="S521" s="370"/>
      <c r="T521" s="370"/>
      <c r="U521" s="370"/>
      <c r="V521" s="370"/>
      <c r="W521" s="370"/>
      <c r="X521" s="370"/>
      <c r="Y521" s="370"/>
      <c r="Z521" s="370"/>
      <c r="AA521" s="370"/>
      <c r="AB521" s="380"/>
    </row>
    <row r="522" spans="1:28">
      <c r="A522" s="370"/>
      <c r="B522" s="370"/>
      <c r="C522" s="370"/>
      <c r="D522" s="370"/>
      <c r="E522" s="370"/>
      <c r="F522" s="370"/>
      <c r="G522" s="370"/>
      <c r="H522" s="370"/>
      <c r="I522" s="370"/>
      <c r="J522" s="370"/>
      <c r="K522" s="370"/>
      <c r="L522" s="370"/>
      <c r="M522" s="370"/>
      <c r="N522" s="370"/>
      <c r="O522" s="370"/>
      <c r="P522" s="370"/>
      <c r="Q522" s="370"/>
      <c r="R522" s="370"/>
      <c r="S522" s="370"/>
      <c r="T522" s="370"/>
      <c r="U522" s="370"/>
      <c r="V522" s="370"/>
      <c r="W522" s="370"/>
      <c r="X522" s="370"/>
      <c r="Y522" s="370"/>
      <c r="Z522" s="370"/>
      <c r="AA522" s="370"/>
      <c r="AB522" s="380"/>
    </row>
    <row r="523" spans="1:28">
      <c r="A523" s="370"/>
      <c r="B523" s="370"/>
      <c r="C523" s="370"/>
      <c r="D523" s="370"/>
      <c r="E523" s="370"/>
      <c r="F523" s="370"/>
      <c r="G523" s="370"/>
      <c r="H523" s="370"/>
      <c r="I523" s="370"/>
      <c r="J523" s="370"/>
      <c r="K523" s="370"/>
      <c r="L523" s="370"/>
      <c r="M523" s="370"/>
      <c r="N523" s="370"/>
      <c r="O523" s="370"/>
      <c r="P523" s="370"/>
      <c r="Q523" s="370"/>
      <c r="R523" s="370"/>
      <c r="S523" s="370"/>
      <c r="T523" s="370"/>
      <c r="U523" s="370"/>
      <c r="V523" s="370"/>
      <c r="W523" s="370"/>
      <c r="X523" s="370"/>
      <c r="Y523" s="370"/>
      <c r="Z523" s="370"/>
      <c r="AA523" s="370"/>
      <c r="AB523" s="380"/>
    </row>
    <row r="524" spans="1:28">
      <c r="A524" s="370"/>
      <c r="B524" s="370"/>
      <c r="C524" s="370"/>
      <c r="D524" s="370"/>
      <c r="E524" s="370"/>
      <c r="F524" s="370"/>
      <c r="G524" s="370"/>
      <c r="H524" s="370"/>
      <c r="I524" s="370"/>
      <c r="J524" s="370"/>
      <c r="K524" s="370"/>
      <c r="L524" s="370"/>
      <c r="M524" s="370"/>
      <c r="N524" s="370"/>
      <c r="O524" s="370"/>
      <c r="P524" s="370"/>
      <c r="Q524" s="370"/>
      <c r="R524" s="370"/>
      <c r="S524" s="370"/>
      <c r="T524" s="370"/>
      <c r="U524" s="370"/>
      <c r="V524" s="370"/>
      <c r="W524" s="370"/>
      <c r="X524" s="370"/>
      <c r="Y524" s="370"/>
      <c r="Z524" s="370"/>
      <c r="AA524" s="370"/>
      <c r="AB524" s="380"/>
    </row>
    <row r="525" spans="1:28">
      <c r="A525" s="370"/>
      <c r="B525" s="370"/>
      <c r="C525" s="370"/>
      <c r="D525" s="370"/>
      <c r="E525" s="370"/>
      <c r="F525" s="370"/>
      <c r="G525" s="370"/>
      <c r="H525" s="370"/>
      <c r="I525" s="370"/>
      <c r="J525" s="370"/>
      <c r="K525" s="370"/>
      <c r="L525" s="370"/>
      <c r="M525" s="370"/>
      <c r="N525" s="370"/>
      <c r="O525" s="370"/>
      <c r="P525" s="370"/>
      <c r="Q525" s="370"/>
      <c r="R525" s="370"/>
      <c r="S525" s="370"/>
      <c r="T525" s="370"/>
      <c r="U525" s="370"/>
      <c r="V525" s="370"/>
      <c r="W525" s="370"/>
      <c r="X525" s="370"/>
      <c r="Y525" s="370"/>
      <c r="Z525" s="370"/>
      <c r="AA525" s="370"/>
      <c r="AB525" s="380"/>
    </row>
    <row r="526" spans="1:28">
      <c r="A526" s="370"/>
      <c r="B526" s="370"/>
      <c r="C526" s="370"/>
      <c r="D526" s="370"/>
      <c r="E526" s="370"/>
      <c r="F526" s="370"/>
      <c r="G526" s="370"/>
      <c r="H526" s="370"/>
      <c r="I526" s="370"/>
      <c r="J526" s="370"/>
      <c r="K526" s="370"/>
      <c r="L526" s="370"/>
      <c r="M526" s="370"/>
      <c r="N526" s="370"/>
      <c r="O526" s="370"/>
      <c r="P526" s="370"/>
      <c r="Q526" s="370"/>
      <c r="R526" s="370"/>
      <c r="S526" s="370"/>
      <c r="T526" s="370"/>
      <c r="U526" s="370"/>
      <c r="V526" s="370"/>
      <c r="W526" s="370"/>
      <c r="X526" s="370"/>
      <c r="Y526" s="370"/>
      <c r="Z526" s="370"/>
      <c r="AA526" s="370"/>
      <c r="AB526" s="380"/>
    </row>
    <row r="527" spans="1:28">
      <c r="A527" s="370"/>
      <c r="B527" s="370"/>
      <c r="C527" s="370"/>
      <c r="D527" s="370"/>
      <c r="E527" s="370"/>
      <c r="F527" s="370"/>
      <c r="G527" s="370"/>
      <c r="H527" s="370"/>
      <c r="I527" s="370"/>
      <c r="J527" s="370"/>
      <c r="K527" s="370"/>
      <c r="L527" s="370"/>
      <c r="M527" s="370"/>
      <c r="N527" s="370"/>
      <c r="O527" s="370"/>
      <c r="P527" s="370"/>
      <c r="Q527" s="370"/>
      <c r="R527" s="370"/>
      <c r="S527" s="370"/>
      <c r="T527" s="370"/>
      <c r="U527" s="370"/>
      <c r="V527" s="370"/>
      <c r="W527" s="370"/>
      <c r="X527" s="370"/>
      <c r="Y527" s="370"/>
      <c r="Z527" s="370"/>
      <c r="AA527" s="370"/>
      <c r="AB527" s="380"/>
    </row>
    <row r="528" spans="1:28">
      <c r="A528" s="370"/>
      <c r="B528" s="370"/>
      <c r="C528" s="370"/>
      <c r="D528" s="370"/>
      <c r="E528" s="370"/>
      <c r="F528" s="370"/>
      <c r="G528" s="370"/>
      <c r="H528" s="370"/>
      <c r="I528" s="370"/>
      <c r="J528" s="370"/>
      <c r="K528" s="370"/>
      <c r="L528" s="370"/>
      <c r="M528" s="370"/>
      <c r="N528" s="370"/>
      <c r="O528" s="370"/>
      <c r="P528" s="370"/>
      <c r="Q528" s="370"/>
      <c r="R528" s="370"/>
      <c r="S528" s="370"/>
      <c r="T528" s="370"/>
      <c r="U528" s="370"/>
      <c r="V528" s="370"/>
      <c r="W528" s="370"/>
      <c r="X528" s="370"/>
      <c r="Y528" s="370"/>
      <c r="Z528" s="370"/>
      <c r="AA528" s="370"/>
      <c r="AB528" s="380"/>
    </row>
    <row r="529" spans="1:28">
      <c r="A529" s="370"/>
      <c r="B529" s="370"/>
      <c r="C529" s="370"/>
      <c r="D529" s="370"/>
      <c r="E529" s="370"/>
      <c r="F529" s="370"/>
      <c r="G529" s="370"/>
      <c r="H529" s="370"/>
      <c r="I529" s="370"/>
      <c r="J529" s="370"/>
      <c r="K529" s="370"/>
      <c r="L529" s="370"/>
      <c r="M529" s="370"/>
      <c r="N529" s="370"/>
      <c r="O529" s="370"/>
      <c r="P529" s="370"/>
      <c r="Q529" s="370"/>
      <c r="R529" s="370"/>
      <c r="S529" s="370"/>
      <c r="T529" s="370"/>
      <c r="U529" s="370"/>
      <c r="V529" s="370"/>
      <c r="W529" s="370"/>
      <c r="X529" s="370"/>
      <c r="Y529" s="370"/>
      <c r="Z529" s="370"/>
      <c r="AA529" s="370"/>
      <c r="AB529" s="380"/>
    </row>
    <row r="530" spans="1:28">
      <c r="A530" s="370"/>
      <c r="B530" s="370"/>
      <c r="C530" s="370"/>
      <c r="D530" s="370"/>
      <c r="E530" s="370"/>
      <c r="F530" s="370"/>
      <c r="G530" s="370"/>
      <c r="H530" s="370"/>
      <c r="I530" s="370"/>
      <c r="J530" s="370"/>
      <c r="K530" s="370"/>
      <c r="L530" s="370"/>
      <c r="M530" s="370"/>
      <c r="N530" s="370"/>
      <c r="O530" s="370"/>
      <c r="P530" s="370"/>
      <c r="Q530" s="370"/>
      <c r="R530" s="370"/>
      <c r="S530" s="370"/>
      <c r="T530" s="370"/>
      <c r="U530" s="370"/>
      <c r="V530" s="370"/>
      <c r="W530" s="370"/>
      <c r="X530" s="370"/>
      <c r="Y530" s="370"/>
      <c r="Z530" s="370"/>
      <c r="AA530" s="370"/>
      <c r="AB530" s="380"/>
    </row>
    <row r="531" spans="1:28">
      <c r="A531" s="370"/>
      <c r="B531" s="370"/>
      <c r="C531" s="370"/>
      <c r="D531" s="370"/>
      <c r="E531" s="370"/>
      <c r="F531" s="370"/>
      <c r="G531" s="370"/>
      <c r="H531" s="370"/>
      <c r="I531" s="370"/>
      <c r="J531" s="370"/>
      <c r="K531" s="370"/>
      <c r="L531" s="370"/>
      <c r="M531" s="370"/>
      <c r="N531" s="370"/>
      <c r="O531" s="370"/>
      <c r="P531" s="370"/>
      <c r="Q531" s="370"/>
      <c r="R531" s="370"/>
      <c r="S531" s="370"/>
      <c r="T531" s="370"/>
      <c r="U531" s="370"/>
      <c r="V531" s="370"/>
      <c r="W531" s="370"/>
      <c r="X531" s="370"/>
      <c r="Y531" s="370"/>
      <c r="Z531" s="370"/>
      <c r="AA531" s="370"/>
      <c r="AB531" s="380"/>
    </row>
    <row r="532" spans="1:28">
      <c r="A532" s="370"/>
      <c r="B532" s="370"/>
      <c r="C532" s="370"/>
      <c r="D532" s="370"/>
      <c r="E532" s="370"/>
      <c r="F532" s="370"/>
      <c r="G532" s="370"/>
      <c r="H532" s="370"/>
      <c r="I532" s="370"/>
      <c r="J532" s="370"/>
      <c r="K532" s="370"/>
      <c r="L532" s="370"/>
      <c r="M532" s="370"/>
      <c r="N532" s="370"/>
      <c r="O532" s="370"/>
      <c r="P532" s="370"/>
      <c r="Q532" s="370"/>
      <c r="R532" s="370"/>
      <c r="S532" s="370"/>
      <c r="T532" s="370"/>
      <c r="U532" s="370"/>
      <c r="V532" s="370"/>
      <c r="W532" s="370"/>
      <c r="X532" s="370"/>
      <c r="Y532" s="370"/>
      <c r="Z532" s="370"/>
      <c r="AA532" s="370"/>
      <c r="AB532" s="380"/>
    </row>
    <row r="533" spans="1:28">
      <c r="A533" s="370"/>
      <c r="B533" s="370"/>
      <c r="C533" s="370"/>
      <c r="D533" s="370"/>
      <c r="E533" s="370"/>
      <c r="F533" s="370"/>
      <c r="G533" s="370"/>
      <c r="H533" s="370"/>
      <c r="I533" s="370"/>
      <c r="J533" s="370"/>
      <c r="K533" s="370"/>
      <c r="L533" s="370"/>
      <c r="M533" s="370"/>
      <c r="N533" s="370"/>
      <c r="O533" s="370"/>
      <c r="P533" s="370"/>
      <c r="Q533" s="370"/>
      <c r="R533" s="370"/>
      <c r="S533" s="370"/>
      <c r="T533" s="370"/>
      <c r="U533" s="370"/>
      <c r="V533" s="370"/>
      <c r="W533" s="370"/>
      <c r="X533" s="370"/>
      <c r="Y533" s="370"/>
      <c r="Z533" s="370"/>
      <c r="AA533" s="370"/>
      <c r="AB533" s="380"/>
    </row>
    <row r="534" spans="1:28">
      <c r="A534" s="370"/>
      <c r="B534" s="370"/>
      <c r="C534" s="370"/>
      <c r="D534" s="370"/>
      <c r="E534" s="370"/>
      <c r="F534" s="370"/>
      <c r="G534" s="370"/>
      <c r="H534" s="370"/>
      <c r="I534" s="370"/>
      <c r="J534" s="370"/>
      <c r="K534" s="370"/>
      <c r="L534" s="370"/>
      <c r="M534" s="370"/>
      <c r="N534" s="370"/>
      <c r="O534" s="370"/>
      <c r="P534" s="370"/>
      <c r="Q534" s="370"/>
      <c r="R534" s="370"/>
      <c r="S534" s="370"/>
      <c r="T534" s="370"/>
      <c r="U534" s="370"/>
      <c r="V534" s="370"/>
      <c r="W534" s="370"/>
      <c r="X534" s="370"/>
      <c r="Y534" s="370"/>
      <c r="Z534" s="370"/>
      <c r="AA534" s="370"/>
      <c r="AB534" s="380"/>
    </row>
    <row r="535" spans="1:28">
      <c r="A535" s="370"/>
      <c r="B535" s="370"/>
      <c r="C535" s="370"/>
      <c r="D535" s="370"/>
      <c r="E535" s="370"/>
      <c r="F535" s="370"/>
      <c r="G535" s="370"/>
      <c r="H535" s="370"/>
      <c r="I535" s="370"/>
      <c r="J535" s="370"/>
      <c r="K535" s="370"/>
      <c r="L535" s="370"/>
      <c r="M535" s="370"/>
      <c r="N535" s="370"/>
      <c r="O535" s="370"/>
      <c r="P535" s="370"/>
      <c r="Q535" s="370"/>
      <c r="R535" s="370"/>
      <c r="S535" s="370"/>
      <c r="T535" s="370"/>
      <c r="U535" s="370"/>
      <c r="V535" s="370"/>
      <c r="W535" s="370"/>
      <c r="X535" s="370"/>
      <c r="Y535" s="370"/>
      <c r="Z535" s="370"/>
      <c r="AA535" s="370"/>
      <c r="AB535" s="380"/>
    </row>
    <row r="536" spans="1:28">
      <c r="A536" s="370"/>
      <c r="B536" s="370"/>
      <c r="C536" s="370"/>
      <c r="D536" s="370"/>
      <c r="E536" s="370"/>
      <c r="F536" s="370"/>
      <c r="G536" s="370"/>
      <c r="H536" s="370"/>
      <c r="I536" s="370"/>
      <c r="J536" s="370"/>
      <c r="K536" s="370"/>
      <c r="L536" s="370"/>
      <c r="M536" s="370"/>
      <c r="N536" s="370"/>
      <c r="O536" s="370"/>
      <c r="P536" s="370"/>
      <c r="Q536" s="370"/>
      <c r="R536" s="370"/>
      <c r="S536" s="370"/>
      <c r="T536" s="370"/>
      <c r="U536" s="370"/>
      <c r="V536" s="370"/>
      <c r="W536" s="370"/>
      <c r="X536" s="370"/>
      <c r="Y536" s="370"/>
      <c r="Z536" s="370"/>
      <c r="AA536" s="370"/>
      <c r="AB536" s="380"/>
    </row>
    <row r="537" spans="1:28">
      <c r="A537" s="370"/>
      <c r="B537" s="370"/>
      <c r="C537" s="370"/>
      <c r="D537" s="370"/>
      <c r="E537" s="370"/>
      <c r="F537" s="370"/>
      <c r="G537" s="370"/>
      <c r="H537" s="370"/>
      <c r="I537" s="370"/>
      <c r="J537" s="370"/>
      <c r="K537" s="370"/>
      <c r="L537" s="370"/>
      <c r="M537" s="370"/>
      <c r="N537" s="370"/>
      <c r="O537" s="370"/>
      <c r="P537" s="370"/>
      <c r="Q537" s="370"/>
      <c r="R537" s="370"/>
      <c r="S537" s="370"/>
      <c r="T537" s="370"/>
      <c r="U537" s="370"/>
      <c r="V537" s="370"/>
      <c r="W537" s="370"/>
      <c r="X537" s="370"/>
      <c r="Y537" s="370"/>
      <c r="Z537" s="370"/>
      <c r="AA537" s="370"/>
      <c r="AB537" s="380"/>
    </row>
    <row r="538" spans="1:28">
      <c r="A538" s="370"/>
      <c r="B538" s="370"/>
      <c r="C538" s="370"/>
      <c r="D538" s="370"/>
      <c r="E538" s="370"/>
      <c r="F538" s="370"/>
      <c r="G538" s="370"/>
      <c r="H538" s="370"/>
      <c r="I538" s="370"/>
      <c r="J538" s="370"/>
      <c r="K538" s="370"/>
      <c r="L538" s="370"/>
      <c r="M538" s="370"/>
      <c r="N538" s="370"/>
      <c r="O538" s="370"/>
      <c r="P538" s="370"/>
      <c r="Q538" s="370"/>
      <c r="R538" s="370"/>
      <c r="S538" s="370"/>
      <c r="T538" s="370"/>
      <c r="U538" s="370"/>
      <c r="V538" s="370"/>
      <c r="W538" s="370"/>
      <c r="X538" s="370"/>
      <c r="Y538" s="370"/>
      <c r="Z538" s="370"/>
      <c r="AA538" s="370"/>
      <c r="AB538" s="380"/>
    </row>
    <row r="539" spans="1:28">
      <c r="A539" s="370"/>
      <c r="B539" s="370"/>
      <c r="C539" s="370"/>
      <c r="D539" s="370"/>
      <c r="E539" s="370"/>
      <c r="F539" s="370"/>
      <c r="G539" s="370"/>
      <c r="H539" s="370"/>
      <c r="I539" s="370"/>
      <c r="J539" s="370"/>
      <c r="K539" s="370"/>
      <c r="L539" s="370"/>
      <c r="M539" s="370"/>
      <c r="N539" s="370"/>
      <c r="O539" s="370"/>
      <c r="P539" s="370"/>
      <c r="Q539" s="370"/>
      <c r="R539" s="370"/>
      <c r="S539" s="370"/>
      <c r="T539" s="370"/>
      <c r="U539" s="370"/>
      <c r="V539" s="370"/>
      <c r="W539" s="370"/>
      <c r="X539" s="370"/>
      <c r="Y539" s="370"/>
      <c r="Z539" s="370"/>
      <c r="AA539" s="370"/>
      <c r="AB539" s="380"/>
    </row>
    <row r="540" spans="1:28">
      <c r="A540" s="370"/>
      <c r="B540" s="370"/>
      <c r="C540" s="370"/>
      <c r="D540" s="370"/>
      <c r="E540" s="370"/>
      <c r="F540" s="370"/>
      <c r="G540" s="370"/>
      <c r="H540" s="370"/>
      <c r="I540" s="370"/>
      <c r="J540" s="370"/>
      <c r="K540" s="370"/>
      <c r="L540" s="370"/>
      <c r="M540" s="370"/>
      <c r="N540" s="370"/>
      <c r="O540" s="370"/>
      <c r="P540" s="370"/>
      <c r="Q540" s="370"/>
      <c r="R540" s="370"/>
      <c r="S540" s="370"/>
      <c r="T540" s="370"/>
      <c r="U540" s="370"/>
      <c r="V540" s="370"/>
      <c r="W540" s="370"/>
      <c r="X540" s="370"/>
      <c r="Y540" s="370"/>
      <c r="Z540" s="370"/>
      <c r="AA540" s="370"/>
      <c r="AB540" s="380"/>
    </row>
    <row r="541" spans="1:28">
      <c r="A541" s="370"/>
      <c r="B541" s="370"/>
      <c r="C541" s="370"/>
      <c r="D541" s="370"/>
      <c r="E541" s="370"/>
      <c r="F541" s="370"/>
      <c r="G541" s="370"/>
      <c r="H541" s="370"/>
      <c r="I541" s="370"/>
      <c r="J541" s="370"/>
      <c r="K541" s="370"/>
      <c r="L541" s="370"/>
      <c r="M541" s="370"/>
      <c r="N541" s="370"/>
      <c r="O541" s="370"/>
      <c r="P541" s="370"/>
      <c r="Q541" s="370"/>
      <c r="R541" s="370"/>
      <c r="S541" s="370"/>
      <c r="T541" s="370"/>
      <c r="U541" s="370"/>
      <c r="V541" s="370"/>
      <c r="W541" s="370"/>
      <c r="X541" s="370"/>
      <c r="Y541" s="370"/>
      <c r="Z541" s="370"/>
      <c r="AA541" s="370"/>
      <c r="AB541" s="380"/>
    </row>
    <row r="542" spans="1:28">
      <c r="A542" s="370"/>
      <c r="B542" s="370"/>
      <c r="C542" s="370"/>
      <c r="D542" s="370"/>
      <c r="E542" s="370"/>
      <c r="F542" s="370"/>
      <c r="G542" s="370"/>
      <c r="H542" s="370"/>
      <c r="I542" s="370"/>
      <c r="J542" s="370"/>
      <c r="K542" s="370"/>
      <c r="L542" s="370"/>
      <c r="M542" s="370"/>
      <c r="N542" s="370"/>
      <c r="O542" s="370"/>
      <c r="P542" s="370"/>
      <c r="Q542" s="370"/>
      <c r="R542" s="370"/>
      <c r="S542" s="370"/>
      <c r="T542" s="370"/>
      <c r="U542" s="370"/>
      <c r="V542" s="370"/>
      <c r="W542" s="370"/>
      <c r="X542" s="370"/>
      <c r="Y542" s="370"/>
      <c r="Z542" s="370"/>
      <c r="AA542" s="370"/>
      <c r="AB542" s="380"/>
    </row>
    <row r="543" spans="1:28">
      <c r="A543" s="370"/>
      <c r="B543" s="370"/>
      <c r="C543" s="370"/>
      <c r="D543" s="370"/>
      <c r="E543" s="370"/>
      <c r="F543" s="370"/>
      <c r="G543" s="370"/>
      <c r="H543" s="370"/>
      <c r="I543" s="370"/>
      <c r="J543" s="370"/>
      <c r="K543" s="370"/>
      <c r="L543" s="370"/>
      <c r="M543" s="370"/>
      <c r="N543" s="370"/>
      <c r="O543" s="370"/>
      <c r="P543" s="370"/>
      <c r="Q543" s="370"/>
      <c r="R543" s="370"/>
      <c r="S543" s="370"/>
      <c r="T543" s="370"/>
      <c r="U543" s="370"/>
      <c r="V543" s="370"/>
      <c r="W543" s="370"/>
      <c r="X543" s="370"/>
      <c r="Y543" s="370"/>
      <c r="Z543" s="370"/>
      <c r="AA543" s="370"/>
      <c r="AB543" s="380"/>
    </row>
    <row r="544" spans="1:28">
      <c r="A544" s="370"/>
      <c r="B544" s="370"/>
      <c r="C544" s="370"/>
      <c r="D544" s="370"/>
      <c r="E544" s="370"/>
      <c r="F544" s="370"/>
      <c r="G544" s="370"/>
      <c r="H544" s="370"/>
      <c r="I544" s="370"/>
      <c r="J544" s="370"/>
      <c r="K544" s="370"/>
      <c r="L544" s="370"/>
      <c r="M544" s="370"/>
      <c r="N544" s="370"/>
      <c r="O544" s="370"/>
      <c r="P544" s="370"/>
      <c r="Q544" s="370"/>
      <c r="R544" s="370"/>
      <c r="S544" s="370"/>
      <c r="T544" s="370"/>
      <c r="U544" s="370"/>
      <c r="V544" s="370"/>
      <c r="W544" s="370"/>
      <c r="X544" s="370"/>
      <c r="Y544" s="370"/>
      <c r="Z544" s="370"/>
      <c r="AA544" s="370"/>
      <c r="AB544" s="380"/>
    </row>
    <row r="545" spans="1:28">
      <c r="A545" s="370"/>
      <c r="B545" s="370"/>
      <c r="C545" s="370"/>
      <c r="D545" s="370"/>
      <c r="E545" s="370"/>
      <c r="F545" s="370"/>
      <c r="G545" s="370"/>
      <c r="H545" s="370"/>
      <c r="I545" s="370"/>
      <c r="J545" s="370"/>
      <c r="K545" s="370"/>
      <c r="L545" s="370"/>
      <c r="M545" s="370"/>
      <c r="N545" s="370"/>
      <c r="O545" s="370"/>
      <c r="P545" s="370"/>
      <c r="Q545" s="370"/>
      <c r="R545" s="370"/>
      <c r="S545" s="370"/>
      <c r="T545" s="370"/>
      <c r="U545" s="370"/>
      <c r="V545" s="370"/>
      <c r="W545" s="370"/>
      <c r="X545" s="370"/>
      <c r="Y545" s="370"/>
      <c r="Z545" s="370"/>
      <c r="AA545" s="370"/>
      <c r="AB545" s="380"/>
    </row>
    <row r="546" spans="1:28">
      <c r="A546" s="370"/>
      <c r="B546" s="370"/>
      <c r="C546" s="370"/>
      <c r="D546" s="370"/>
      <c r="E546" s="370"/>
      <c r="F546" s="370"/>
      <c r="G546" s="370"/>
      <c r="H546" s="370"/>
      <c r="I546" s="370"/>
      <c r="J546" s="370"/>
      <c r="K546" s="370"/>
      <c r="L546" s="370"/>
      <c r="M546" s="370"/>
      <c r="N546" s="370"/>
      <c r="O546" s="370"/>
      <c r="P546" s="370"/>
      <c r="Q546" s="370"/>
      <c r="R546" s="370"/>
      <c r="S546" s="370"/>
      <c r="T546" s="370"/>
      <c r="U546" s="370"/>
      <c r="V546" s="370"/>
      <c r="W546" s="370"/>
      <c r="X546" s="370"/>
      <c r="Y546" s="370"/>
      <c r="Z546" s="370"/>
      <c r="AA546" s="370"/>
      <c r="AB546" s="380"/>
    </row>
  </sheetData>
  <mergeCells count="21">
    <mergeCell ref="A1:AB1"/>
    <mergeCell ref="A2:AB2"/>
    <mergeCell ref="A4:A7"/>
    <mergeCell ref="B4:F4"/>
    <mergeCell ref="G4:K4"/>
    <mergeCell ref="L4:P4"/>
    <mergeCell ref="R4:V4"/>
    <mergeCell ref="W4:AA4"/>
    <mergeCell ref="AB4:AB7"/>
    <mergeCell ref="Y5:AA5"/>
    <mergeCell ref="A34:AB34"/>
    <mergeCell ref="AC4:AC7"/>
    <mergeCell ref="B5:B6"/>
    <mergeCell ref="D5:F5"/>
    <mergeCell ref="G5:G6"/>
    <mergeCell ref="I5:K5"/>
    <mergeCell ref="L5:L6"/>
    <mergeCell ref="N5:P5"/>
    <mergeCell ref="R5:R6"/>
    <mergeCell ref="T5:V5"/>
    <mergeCell ref="W5:W6"/>
  </mergeCells>
  <pageMargins left="0.7" right="0.7" top="0.75" bottom="0.75" header="0.3" footer="0.3"/>
  <pageSetup paperSize="9" orientation="portrait" horizontalDpi="4294967295" verticalDpi="4294967295" r:id="rId1"/>
  <ignoredErrors>
    <ignoredError sqref="W8 Z8:AA8 R8 T9:T19 T21:T33" formulaRange="1"/>
    <ignoredError sqref="T20" formula="1" formulaRange="1"/>
    <ignoredError sqref="U20:Z20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53"/>
  <sheetViews>
    <sheetView workbookViewId="0">
      <selection activeCell="H8" sqref="H8"/>
    </sheetView>
  </sheetViews>
  <sheetFormatPr defaultColWidth="9.140625" defaultRowHeight="15"/>
  <cols>
    <col min="1" max="1" width="50.5703125" style="398" customWidth="1"/>
    <col min="2" max="5" width="10.28515625" style="398" customWidth="1"/>
    <col min="6" max="6" width="1.28515625" style="398" customWidth="1"/>
    <col min="7" max="10" width="10.28515625" style="398" customWidth="1"/>
    <col min="11" max="11" width="3.140625" style="398" customWidth="1"/>
    <col min="12" max="15" width="10.28515625" style="398" customWidth="1"/>
    <col min="16" max="16" width="32.7109375" style="398" bestFit="1" customWidth="1"/>
    <col min="17" max="17" width="3.28515625" style="398" customWidth="1"/>
    <col min="18" max="24" width="9.140625" style="398"/>
    <col min="25" max="25" width="33.85546875" style="398" customWidth="1"/>
    <col min="26" max="26" width="9.140625" style="398"/>
    <col min="27" max="27" width="11.28515625" style="398" customWidth="1"/>
    <col min="28" max="28" width="12.140625" style="398" customWidth="1"/>
    <col min="29" max="16384" width="9.140625" style="398"/>
  </cols>
  <sheetData>
    <row r="1" spans="1:29" ht="22.5" customHeight="1"/>
    <row r="2" spans="1:29" s="426" customFormat="1" ht="19.5" customHeight="1">
      <c r="A2" s="1186" t="s">
        <v>329</v>
      </c>
      <c r="B2" s="1186"/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Z2" s="398"/>
      <c r="AA2" s="398"/>
      <c r="AB2" s="398"/>
    </row>
    <row r="3" spans="1:29">
      <c r="A3" s="1187" t="s">
        <v>330</v>
      </c>
      <c r="B3" s="1188"/>
      <c r="C3" s="1188"/>
      <c r="D3" s="1188"/>
      <c r="E3" s="1188"/>
      <c r="F3" s="1188"/>
      <c r="G3" s="1188"/>
      <c r="H3" s="1188"/>
      <c r="I3" s="1188"/>
      <c r="J3" s="1188"/>
      <c r="K3" s="1188"/>
      <c r="L3" s="1188"/>
      <c r="M3" s="1188"/>
      <c r="N3" s="1188"/>
      <c r="O3" s="1188"/>
      <c r="P3" s="1188"/>
      <c r="Z3" s="427" t="s">
        <v>290</v>
      </c>
      <c r="AA3" s="427" t="s">
        <v>291</v>
      </c>
      <c r="AB3" s="398" t="s">
        <v>292</v>
      </c>
      <c r="AC3" s="398" t="s">
        <v>331</v>
      </c>
    </row>
    <row r="4" spans="1:29" ht="9.75" customHeight="1">
      <c r="A4" s="331"/>
      <c r="B4" s="331"/>
      <c r="C4" s="331"/>
      <c r="D4" s="331"/>
      <c r="E4" s="331"/>
      <c r="F4" s="331"/>
      <c r="G4" s="331"/>
      <c r="H4" s="331"/>
      <c r="I4" s="331"/>
      <c r="J4" s="331"/>
      <c r="K4" s="429"/>
      <c r="L4" s="429"/>
      <c r="M4" s="331"/>
      <c r="N4" s="331"/>
      <c r="O4" s="331"/>
      <c r="P4" s="331"/>
      <c r="Z4" s="430">
        <f>C9</f>
        <v>747</v>
      </c>
      <c r="AA4" s="430">
        <f>D9</f>
        <v>624</v>
      </c>
      <c r="AB4" s="430">
        <f>E9</f>
        <v>422</v>
      </c>
      <c r="AC4" s="425">
        <f>AA9</f>
        <v>2168</v>
      </c>
    </row>
    <row r="5" spans="1:29" s="432" customFormat="1" ht="13.5" customHeight="1">
      <c r="A5" s="1189" t="s">
        <v>269</v>
      </c>
      <c r="B5" s="1192" t="s">
        <v>294</v>
      </c>
      <c r="C5" s="1192"/>
      <c r="D5" s="1192"/>
      <c r="E5" s="1192"/>
      <c r="F5" s="474"/>
      <c r="G5" s="1192" t="s">
        <v>274</v>
      </c>
      <c r="H5" s="1192"/>
      <c r="I5" s="1192"/>
      <c r="J5" s="1192"/>
      <c r="K5" s="337"/>
      <c r="L5" s="1192" t="s">
        <v>275</v>
      </c>
      <c r="M5" s="1192"/>
      <c r="N5" s="1192"/>
      <c r="O5" s="1192"/>
      <c r="P5" s="1194" t="s">
        <v>270</v>
      </c>
      <c r="Z5" s="398"/>
      <c r="AA5" s="398"/>
      <c r="AB5" s="398"/>
    </row>
    <row r="6" spans="1:29" s="432" customFormat="1" ht="18.75" customHeight="1">
      <c r="A6" s="1190"/>
      <c r="B6" s="1195" t="s">
        <v>277</v>
      </c>
      <c r="C6" s="1195"/>
      <c r="D6" s="1195"/>
      <c r="E6" s="1195"/>
      <c r="F6" s="433"/>
      <c r="G6" s="1195" t="s">
        <v>278</v>
      </c>
      <c r="H6" s="1195"/>
      <c r="I6" s="1195"/>
      <c r="J6" s="1195"/>
      <c r="K6" s="433"/>
      <c r="L6" s="1195" t="s">
        <v>279</v>
      </c>
      <c r="M6" s="1195"/>
      <c r="N6" s="1195"/>
      <c r="O6" s="1195"/>
      <c r="P6" s="1180"/>
      <c r="Z6" s="428"/>
      <c r="AA6" s="434">
        <f>'[3]8.14'!$J$5</f>
        <v>3961</v>
      </c>
      <c r="AB6" s="428"/>
    </row>
    <row r="7" spans="1:29" s="438" customFormat="1" ht="12.75" customHeight="1">
      <c r="A7" s="1190"/>
      <c r="B7" s="473" t="s">
        <v>8</v>
      </c>
      <c r="C7" s="473" t="s">
        <v>295</v>
      </c>
      <c r="D7" s="473" t="s">
        <v>296</v>
      </c>
      <c r="E7" s="473" t="s">
        <v>297</v>
      </c>
      <c r="F7" s="473"/>
      <c r="G7" s="473" t="s">
        <v>8</v>
      </c>
      <c r="H7" s="473" t="s">
        <v>295</v>
      </c>
      <c r="I7" s="473" t="s">
        <v>296</v>
      </c>
      <c r="J7" s="473" t="s">
        <v>298</v>
      </c>
      <c r="K7" s="473"/>
      <c r="L7" s="473" t="s">
        <v>8</v>
      </c>
      <c r="M7" s="473" t="s">
        <v>295</v>
      </c>
      <c r="N7" s="473" t="s">
        <v>296</v>
      </c>
      <c r="O7" s="473" t="s">
        <v>298</v>
      </c>
      <c r="P7" s="1180"/>
      <c r="Z7" s="439" t="s">
        <v>274</v>
      </c>
      <c r="AA7" s="440">
        <f>G9</f>
        <v>1027</v>
      </c>
      <c r="AB7" s="441">
        <f>AA7/AA6*100</f>
        <v>25.927796011108306</v>
      </c>
    </row>
    <row r="8" spans="1:29" ht="37.5">
      <c r="A8" s="1191"/>
      <c r="B8" s="442" t="s">
        <v>141</v>
      </c>
      <c r="C8" s="442" t="s">
        <v>299</v>
      </c>
      <c r="D8" s="442" t="s">
        <v>300</v>
      </c>
      <c r="E8" s="442" t="s">
        <v>301</v>
      </c>
      <c r="F8" s="443"/>
      <c r="G8" s="442" t="s">
        <v>141</v>
      </c>
      <c r="H8" s="442" t="s">
        <v>299</v>
      </c>
      <c r="I8" s="442" t="s">
        <v>300</v>
      </c>
      <c r="J8" s="442" t="s">
        <v>301</v>
      </c>
      <c r="K8" s="443"/>
      <c r="L8" s="442" t="s">
        <v>141</v>
      </c>
      <c r="M8" s="442" t="s">
        <v>299</v>
      </c>
      <c r="N8" s="442" t="s">
        <v>300</v>
      </c>
      <c r="O8" s="442" t="s">
        <v>301</v>
      </c>
      <c r="P8" s="1181"/>
      <c r="Z8" s="445" t="s">
        <v>275</v>
      </c>
      <c r="AA8" s="434">
        <f>L9</f>
        <v>766</v>
      </c>
      <c r="AB8" s="441">
        <f>AA8/AA6*100</f>
        <v>19.338550870992176</v>
      </c>
    </row>
    <row r="9" spans="1:29" s="439" customFormat="1" ht="21.75" customHeight="1">
      <c r="A9" s="245" t="s">
        <v>8</v>
      </c>
      <c r="B9" s="430">
        <f>G9+L9</f>
        <v>1793</v>
      </c>
      <c r="C9" s="430">
        <f t="shared" ref="C9:E9" si="0">H9+M9</f>
        <v>747</v>
      </c>
      <c r="D9" s="430">
        <f t="shared" si="0"/>
        <v>624</v>
      </c>
      <c r="E9" s="430">
        <f t="shared" si="0"/>
        <v>422</v>
      </c>
      <c r="F9" s="446"/>
      <c r="G9" s="430">
        <f>SUM(H9:J9)</f>
        <v>1027</v>
      </c>
      <c r="H9" s="430">
        <f>SUM(H10:H21)</f>
        <v>332</v>
      </c>
      <c r="I9" s="430">
        <f t="shared" ref="I9:J9" si="1">SUM(I10:I21)</f>
        <v>394</v>
      </c>
      <c r="J9" s="430">
        <f t="shared" si="1"/>
        <v>301</v>
      </c>
      <c r="K9" s="446"/>
      <c r="L9" s="430">
        <f>SUM(M9:O9)</f>
        <v>766</v>
      </c>
      <c r="M9" s="430">
        <f>SUM(M10:M21)</f>
        <v>415</v>
      </c>
      <c r="N9" s="430">
        <f t="shared" ref="N9:O9" si="2">SUM(N10:N21)</f>
        <v>230</v>
      </c>
      <c r="O9" s="430">
        <f t="shared" si="2"/>
        <v>121</v>
      </c>
      <c r="P9" s="448" t="s">
        <v>141</v>
      </c>
      <c r="Z9" s="428" t="s">
        <v>331</v>
      </c>
      <c r="AA9" s="434">
        <f>AA6-(AA7+AA8)</f>
        <v>2168</v>
      </c>
      <c r="AB9" s="441">
        <f>AA9/AA6*100</f>
        <v>54.733653117899514</v>
      </c>
    </row>
    <row r="10" spans="1:29" s="428" customFormat="1" ht="21.75" customHeight="1">
      <c r="A10" s="449" t="s">
        <v>14</v>
      </c>
      <c r="B10" s="450">
        <f>IFERROR((G10+L10),"-")</f>
        <v>516</v>
      </c>
      <c r="C10" s="450">
        <f t="shared" ref="C10:E25" si="3">IFERROR((H10+M10),"-")</f>
        <v>114</v>
      </c>
      <c r="D10" s="450">
        <f t="shared" si="3"/>
        <v>269</v>
      </c>
      <c r="E10" s="450">
        <f t="shared" si="3"/>
        <v>133</v>
      </c>
      <c r="F10" s="450"/>
      <c r="G10" s="446">
        <f t="shared" ref="G10:G20" si="4">SUM(H10:J10)</f>
        <v>428</v>
      </c>
      <c r="H10" s="450">
        <v>97</v>
      </c>
      <c r="I10" s="450">
        <v>222</v>
      </c>
      <c r="J10" s="450">
        <v>109</v>
      </c>
      <c r="K10" s="450"/>
      <c r="L10" s="446">
        <f t="shared" ref="L10:L20" si="5">SUM(M10:O10)</f>
        <v>88</v>
      </c>
      <c r="M10" s="450">
        <v>17</v>
      </c>
      <c r="N10" s="450">
        <v>47</v>
      </c>
      <c r="O10" s="450">
        <v>24</v>
      </c>
      <c r="P10" s="360" t="s">
        <v>20</v>
      </c>
      <c r="Q10" s="452"/>
      <c r="R10" s="453"/>
      <c r="Z10" s="454"/>
      <c r="AA10" s="454"/>
      <c r="AB10" s="454"/>
    </row>
    <row r="11" spans="1:29" s="428" customFormat="1" ht="21.75" customHeight="1">
      <c r="A11" s="449" t="s">
        <v>7</v>
      </c>
      <c r="B11" s="450">
        <f t="shared" ref="B11:E34" si="6">IFERROR((G11+L11),"-")</f>
        <v>2</v>
      </c>
      <c r="C11" s="450">
        <f t="shared" si="3"/>
        <v>0</v>
      </c>
      <c r="D11" s="450">
        <f t="shared" si="3"/>
        <v>0</v>
      </c>
      <c r="E11" s="450">
        <f t="shared" si="3"/>
        <v>2</v>
      </c>
      <c r="F11" s="450"/>
      <c r="G11" s="446">
        <f t="shared" si="4"/>
        <v>2</v>
      </c>
      <c r="H11" s="450">
        <v>0</v>
      </c>
      <c r="I11" s="450">
        <v>0</v>
      </c>
      <c r="J11" s="450">
        <v>2</v>
      </c>
      <c r="K11" s="450"/>
      <c r="L11" s="446">
        <f t="shared" si="5"/>
        <v>0</v>
      </c>
      <c r="M11" s="450">
        <v>0</v>
      </c>
      <c r="N11" s="450">
        <v>0</v>
      </c>
      <c r="O11" s="450">
        <v>0</v>
      </c>
      <c r="P11" s="360" t="s">
        <v>11</v>
      </c>
      <c r="Q11" s="455"/>
      <c r="R11" s="453"/>
      <c r="Y11" s="398"/>
      <c r="AC11" s="398"/>
    </row>
    <row r="12" spans="1:29" s="428" customFormat="1" ht="21.75" customHeight="1">
      <c r="A12" s="449" t="s">
        <v>19</v>
      </c>
      <c r="B12" s="450">
        <f t="shared" si="6"/>
        <v>24</v>
      </c>
      <c r="C12" s="450">
        <f t="shared" si="3"/>
        <v>4</v>
      </c>
      <c r="D12" s="450">
        <f t="shared" si="3"/>
        <v>9</v>
      </c>
      <c r="E12" s="450">
        <f t="shared" si="3"/>
        <v>11</v>
      </c>
      <c r="F12" s="450"/>
      <c r="G12" s="446">
        <f t="shared" si="4"/>
        <v>21</v>
      </c>
      <c r="H12" s="450">
        <v>4</v>
      </c>
      <c r="I12" s="450">
        <v>6</v>
      </c>
      <c r="J12" s="450">
        <v>11</v>
      </c>
      <c r="K12" s="450"/>
      <c r="L12" s="446">
        <f t="shared" si="5"/>
        <v>3</v>
      </c>
      <c r="M12" s="450">
        <v>0</v>
      </c>
      <c r="N12" s="450">
        <v>3</v>
      </c>
      <c r="O12" s="450">
        <v>0</v>
      </c>
      <c r="P12" s="360" t="s">
        <v>25</v>
      </c>
      <c r="Q12" s="455"/>
      <c r="R12" s="453"/>
      <c r="Y12" s="432"/>
      <c r="Z12" s="400"/>
      <c r="AA12" s="190" t="s">
        <v>274</v>
      </c>
      <c r="AB12" s="190" t="s">
        <v>275</v>
      </c>
      <c r="AC12" s="432"/>
    </row>
    <row r="13" spans="1:29" s="428" customFormat="1" ht="21.75" customHeight="1">
      <c r="A13" s="449" t="s">
        <v>12</v>
      </c>
      <c r="B13" s="450">
        <f t="shared" si="6"/>
        <v>2</v>
      </c>
      <c r="C13" s="450">
        <f t="shared" si="3"/>
        <v>1</v>
      </c>
      <c r="D13" s="450">
        <f t="shared" si="3"/>
        <v>0</v>
      </c>
      <c r="E13" s="450">
        <f t="shared" si="3"/>
        <v>1</v>
      </c>
      <c r="F13" s="450"/>
      <c r="G13" s="446">
        <f t="shared" si="4"/>
        <v>2</v>
      </c>
      <c r="H13" s="450">
        <v>1</v>
      </c>
      <c r="I13" s="450">
        <v>0</v>
      </c>
      <c r="J13" s="450">
        <v>1</v>
      </c>
      <c r="K13" s="450"/>
      <c r="L13" s="446">
        <f t="shared" si="5"/>
        <v>0</v>
      </c>
      <c r="M13" s="450">
        <v>0</v>
      </c>
      <c r="N13" s="450">
        <v>0</v>
      </c>
      <c r="O13" s="450">
        <v>0</v>
      </c>
      <c r="P13" s="360" t="s">
        <v>16</v>
      </c>
      <c r="Q13" s="455"/>
      <c r="R13" s="453"/>
      <c r="Y13" s="432"/>
      <c r="Z13" s="427" t="s">
        <v>290</v>
      </c>
      <c r="AA13" s="252">
        <f>H9</f>
        <v>332</v>
      </c>
      <c r="AB13" s="252">
        <f>M9</f>
        <v>415</v>
      </c>
      <c r="AC13" s="432"/>
    </row>
    <row r="14" spans="1:29" s="428" customFormat="1" ht="21.75" customHeight="1">
      <c r="A14" s="449" t="s">
        <v>23</v>
      </c>
      <c r="B14" s="450">
        <f t="shared" si="6"/>
        <v>335</v>
      </c>
      <c r="C14" s="450">
        <f t="shared" si="3"/>
        <v>279</v>
      </c>
      <c r="D14" s="450">
        <f t="shared" si="3"/>
        <v>44</v>
      </c>
      <c r="E14" s="450">
        <f t="shared" si="3"/>
        <v>12</v>
      </c>
      <c r="F14" s="450"/>
      <c r="G14" s="446">
        <f t="shared" si="4"/>
        <v>73</v>
      </c>
      <c r="H14" s="450">
        <v>68</v>
      </c>
      <c r="I14" s="450">
        <v>4</v>
      </c>
      <c r="J14" s="450">
        <v>1</v>
      </c>
      <c r="K14" s="450"/>
      <c r="L14" s="446">
        <f t="shared" si="5"/>
        <v>262</v>
      </c>
      <c r="M14" s="450">
        <v>211</v>
      </c>
      <c r="N14" s="450">
        <v>40</v>
      </c>
      <c r="O14" s="450">
        <v>11</v>
      </c>
      <c r="P14" s="360" t="s">
        <v>280</v>
      </c>
      <c r="Q14" s="455"/>
      <c r="R14" s="453"/>
      <c r="Y14" s="331"/>
      <c r="Z14" s="427" t="s">
        <v>291</v>
      </c>
      <c r="AA14" s="252">
        <f>I9</f>
        <v>394</v>
      </c>
      <c r="AB14" s="252">
        <f>N9</f>
        <v>230</v>
      </c>
      <c r="AC14" s="331"/>
    </row>
    <row r="15" spans="1:29" s="428" customFormat="1" ht="21.75" customHeight="1">
      <c r="A15" s="449" t="s">
        <v>26</v>
      </c>
      <c r="B15" s="450">
        <f t="shared" si="6"/>
        <v>182</v>
      </c>
      <c r="C15" s="450">
        <f t="shared" si="3"/>
        <v>23</v>
      </c>
      <c r="D15" s="450">
        <f t="shared" si="3"/>
        <v>91</v>
      </c>
      <c r="E15" s="450">
        <f t="shared" si="3"/>
        <v>68</v>
      </c>
      <c r="F15" s="450"/>
      <c r="G15" s="446">
        <f t="shared" si="4"/>
        <v>138</v>
      </c>
      <c r="H15" s="450">
        <v>16</v>
      </c>
      <c r="I15" s="450">
        <v>74</v>
      </c>
      <c r="J15" s="450">
        <v>48</v>
      </c>
      <c r="K15" s="450"/>
      <c r="L15" s="446">
        <f t="shared" si="5"/>
        <v>44</v>
      </c>
      <c r="M15" s="450">
        <v>7</v>
      </c>
      <c r="N15" s="450">
        <v>17</v>
      </c>
      <c r="O15" s="450">
        <v>20</v>
      </c>
      <c r="P15" s="360" t="s">
        <v>13</v>
      </c>
      <c r="Q15" s="455"/>
      <c r="R15" s="453"/>
      <c r="Z15" s="398" t="s">
        <v>292</v>
      </c>
      <c r="AA15" s="252">
        <f>J9</f>
        <v>301</v>
      </c>
      <c r="AB15" s="252">
        <f>O9</f>
        <v>121</v>
      </c>
    </row>
    <row r="16" spans="1:29" s="428" customFormat="1" ht="21.75" customHeight="1">
      <c r="A16" s="449" t="s">
        <v>30</v>
      </c>
      <c r="B16" s="450">
        <f t="shared" si="6"/>
        <v>219</v>
      </c>
      <c r="C16" s="450">
        <f t="shared" si="3"/>
        <v>118</v>
      </c>
      <c r="D16" s="450">
        <f t="shared" si="3"/>
        <v>62</v>
      </c>
      <c r="E16" s="450">
        <f t="shared" si="3"/>
        <v>39</v>
      </c>
      <c r="F16" s="450"/>
      <c r="G16" s="446">
        <f t="shared" si="4"/>
        <v>74</v>
      </c>
      <c r="H16" s="450">
        <v>67</v>
      </c>
      <c r="I16" s="450">
        <v>1</v>
      </c>
      <c r="J16" s="450">
        <v>6</v>
      </c>
      <c r="K16" s="450"/>
      <c r="L16" s="446">
        <f t="shared" si="5"/>
        <v>145</v>
      </c>
      <c r="M16" s="450">
        <v>51</v>
      </c>
      <c r="N16" s="450">
        <v>61</v>
      </c>
      <c r="O16" s="450">
        <v>33</v>
      </c>
      <c r="P16" s="360" t="s">
        <v>33</v>
      </c>
      <c r="Q16" s="455"/>
      <c r="R16" s="453"/>
      <c r="Z16" s="427" t="s">
        <v>331</v>
      </c>
      <c r="AA16" s="252">
        <f>'[3]8.13'!T8-SUM('[3]8.19'!AA13:AA15)</f>
        <v>2583</v>
      </c>
      <c r="AB16" s="252">
        <f>'[3]8.13'!U8-SUM('[3]8.19'!AB13:AB15)</f>
        <v>-824</v>
      </c>
    </row>
    <row r="17" spans="1:28" s="428" customFormat="1" ht="21.75" customHeight="1">
      <c r="A17" s="449" t="s">
        <v>32</v>
      </c>
      <c r="B17" s="450">
        <f t="shared" si="6"/>
        <v>0</v>
      </c>
      <c r="C17" s="450">
        <f t="shared" si="3"/>
        <v>0</v>
      </c>
      <c r="D17" s="450">
        <f t="shared" si="3"/>
        <v>0</v>
      </c>
      <c r="E17" s="450">
        <f t="shared" si="3"/>
        <v>0</v>
      </c>
      <c r="F17" s="450"/>
      <c r="G17" s="446">
        <f t="shared" si="4"/>
        <v>0</v>
      </c>
      <c r="H17" s="450">
        <v>0</v>
      </c>
      <c r="I17" s="450">
        <v>0</v>
      </c>
      <c r="J17" s="450">
        <v>0</v>
      </c>
      <c r="K17" s="450"/>
      <c r="L17" s="446">
        <f t="shared" si="5"/>
        <v>0</v>
      </c>
      <c r="M17" s="450">
        <v>0</v>
      </c>
      <c r="N17" s="450">
        <v>0</v>
      </c>
      <c r="O17" s="450">
        <v>0</v>
      </c>
      <c r="P17" s="360" t="s">
        <v>143</v>
      </c>
      <c r="Q17" s="455"/>
      <c r="R17" s="453"/>
      <c r="Z17" s="427"/>
      <c r="AA17" s="252"/>
      <c r="AB17" s="252"/>
    </row>
    <row r="18" spans="1:28" s="428" customFormat="1" ht="21.75" customHeight="1">
      <c r="A18" s="449" t="s">
        <v>21</v>
      </c>
      <c r="B18" s="450">
        <f t="shared" si="6"/>
        <v>12</v>
      </c>
      <c r="C18" s="450">
        <f t="shared" si="3"/>
        <v>3</v>
      </c>
      <c r="D18" s="450">
        <f t="shared" si="3"/>
        <v>5</v>
      </c>
      <c r="E18" s="450">
        <f t="shared" si="3"/>
        <v>4</v>
      </c>
      <c r="F18" s="450"/>
      <c r="G18" s="446">
        <f t="shared" si="4"/>
        <v>6</v>
      </c>
      <c r="H18" s="450">
        <v>2</v>
      </c>
      <c r="I18" s="450">
        <v>3</v>
      </c>
      <c r="J18" s="450">
        <v>1</v>
      </c>
      <c r="K18" s="450"/>
      <c r="L18" s="446">
        <f t="shared" si="5"/>
        <v>6</v>
      </c>
      <c r="M18" s="450">
        <v>1</v>
      </c>
      <c r="N18" s="450">
        <v>2</v>
      </c>
      <c r="O18" s="450">
        <v>3</v>
      </c>
      <c r="P18" s="360" t="s">
        <v>22</v>
      </c>
      <c r="Q18" s="455"/>
      <c r="R18" s="453"/>
    </row>
    <row r="19" spans="1:28" s="428" customFormat="1" ht="21.75" customHeight="1">
      <c r="A19" s="449" t="s">
        <v>27</v>
      </c>
      <c r="B19" s="450">
        <f t="shared" si="6"/>
        <v>0</v>
      </c>
      <c r="C19" s="450">
        <f t="shared" si="3"/>
        <v>0</v>
      </c>
      <c r="D19" s="450">
        <f t="shared" si="3"/>
        <v>0</v>
      </c>
      <c r="E19" s="450">
        <f t="shared" si="3"/>
        <v>0</v>
      </c>
      <c r="F19" s="450"/>
      <c r="G19" s="446">
        <f t="shared" si="4"/>
        <v>0</v>
      </c>
      <c r="H19" s="450">
        <v>0</v>
      </c>
      <c r="I19" s="450">
        <v>0</v>
      </c>
      <c r="J19" s="450">
        <v>0</v>
      </c>
      <c r="K19" s="450"/>
      <c r="L19" s="446">
        <f t="shared" si="5"/>
        <v>0</v>
      </c>
      <c r="M19" s="450">
        <v>0</v>
      </c>
      <c r="N19" s="450">
        <v>0</v>
      </c>
      <c r="O19" s="450">
        <v>0</v>
      </c>
      <c r="P19" s="360" t="s">
        <v>31</v>
      </c>
      <c r="Q19" s="455"/>
      <c r="R19" s="453"/>
      <c r="S19" s="449"/>
    </row>
    <row r="20" spans="1:28" s="428" customFormat="1" ht="21.75" customHeight="1">
      <c r="A20" s="449" t="s">
        <v>40</v>
      </c>
      <c r="B20" s="450">
        <f t="shared" si="6"/>
        <v>1</v>
      </c>
      <c r="C20" s="450">
        <f t="shared" si="3"/>
        <v>0</v>
      </c>
      <c r="D20" s="450">
        <f t="shared" si="3"/>
        <v>0</v>
      </c>
      <c r="E20" s="450">
        <f t="shared" si="3"/>
        <v>1</v>
      </c>
      <c r="F20" s="450"/>
      <c r="G20" s="446">
        <f t="shared" si="4"/>
        <v>1</v>
      </c>
      <c r="H20" s="450">
        <v>0</v>
      </c>
      <c r="I20" s="450">
        <v>0</v>
      </c>
      <c r="J20" s="450">
        <v>1</v>
      </c>
      <c r="K20" s="450"/>
      <c r="L20" s="446">
        <f t="shared" si="5"/>
        <v>0</v>
      </c>
      <c r="M20" s="450">
        <v>0</v>
      </c>
      <c r="N20" s="450">
        <v>0</v>
      </c>
      <c r="O20" s="450">
        <v>0</v>
      </c>
      <c r="P20" s="360" t="s">
        <v>18</v>
      </c>
      <c r="Q20" s="455"/>
      <c r="R20" s="453"/>
      <c r="S20" s="449"/>
    </row>
    <row r="21" spans="1:28" s="428" customFormat="1" ht="21.75" customHeight="1">
      <c r="A21" s="449" t="s">
        <v>15</v>
      </c>
      <c r="B21" s="450">
        <f t="shared" si="6"/>
        <v>500</v>
      </c>
      <c r="C21" s="450">
        <f t="shared" si="3"/>
        <v>205</v>
      </c>
      <c r="D21" s="450">
        <f t="shared" si="3"/>
        <v>144</v>
      </c>
      <c r="E21" s="450">
        <f t="shared" si="3"/>
        <v>151</v>
      </c>
      <c r="F21" s="450"/>
      <c r="G21" s="450">
        <f>SUM(H21:J21)</f>
        <v>282</v>
      </c>
      <c r="H21" s="450">
        <v>77</v>
      </c>
      <c r="I21" s="450">
        <v>84</v>
      </c>
      <c r="J21" s="450">
        <v>121</v>
      </c>
      <c r="K21" s="450"/>
      <c r="L21" s="450">
        <f>SUM(M21:O21)</f>
        <v>218</v>
      </c>
      <c r="M21" s="450">
        <v>128</v>
      </c>
      <c r="N21" s="450">
        <v>60</v>
      </c>
      <c r="O21" s="450">
        <v>30</v>
      </c>
      <c r="P21" s="360" t="s">
        <v>37</v>
      </c>
      <c r="Q21" s="455"/>
      <c r="R21" s="453"/>
      <c r="S21" s="449"/>
    </row>
    <row r="22" spans="1:28" ht="18.75" customHeight="1">
      <c r="A22" s="20" t="s">
        <v>38</v>
      </c>
      <c r="B22" s="450">
        <f t="shared" si="6"/>
        <v>0</v>
      </c>
      <c r="C22" s="450">
        <f t="shared" si="3"/>
        <v>0</v>
      </c>
      <c r="D22" s="450">
        <f t="shared" si="3"/>
        <v>0</v>
      </c>
      <c r="E22" s="450">
        <f t="shared" si="3"/>
        <v>0</v>
      </c>
      <c r="F22" s="450"/>
      <c r="G22" s="450">
        <f>SUM(H22:J22)</f>
        <v>0</v>
      </c>
      <c r="H22" s="450">
        <v>0</v>
      </c>
      <c r="I22" s="450">
        <v>0</v>
      </c>
      <c r="J22" s="450">
        <v>0</v>
      </c>
      <c r="K22" s="450"/>
      <c r="L22" s="450">
        <f>SUM(M22:O22)</f>
        <v>0</v>
      </c>
      <c r="M22" s="450">
        <v>0</v>
      </c>
      <c r="N22" s="450">
        <v>0</v>
      </c>
      <c r="O22" s="450">
        <v>0</v>
      </c>
      <c r="P22" s="85" t="s">
        <v>39</v>
      </c>
      <c r="Q22" s="455"/>
      <c r="R22" s="400"/>
      <c r="S22" s="400"/>
    </row>
    <row r="23" spans="1:28" ht="18.75" customHeight="1">
      <c r="A23" s="129" t="s">
        <v>41</v>
      </c>
      <c r="B23" s="450">
        <f t="shared" si="6"/>
        <v>16</v>
      </c>
      <c r="C23" s="450">
        <f t="shared" si="3"/>
        <v>7</v>
      </c>
      <c r="D23" s="450">
        <f t="shared" si="3"/>
        <v>7</v>
      </c>
      <c r="E23" s="450">
        <f t="shared" si="3"/>
        <v>2</v>
      </c>
      <c r="F23" s="450"/>
      <c r="G23" s="450">
        <f t="shared" ref="G23:G34" si="7">SUM(H23:J23)</f>
        <v>4</v>
      </c>
      <c r="H23" s="450">
        <v>1</v>
      </c>
      <c r="I23" s="450">
        <v>2</v>
      </c>
      <c r="J23" s="450">
        <v>1</v>
      </c>
      <c r="K23" s="450"/>
      <c r="L23" s="450">
        <f t="shared" ref="L23:L34" si="8">SUM(M23:O23)</f>
        <v>12</v>
      </c>
      <c r="M23" s="450">
        <v>6</v>
      </c>
      <c r="N23" s="450">
        <v>5</v>
      </c>
      <c r="O23" s="450">
        <v>1</v>
      </c>
      <c r="P23" s="85" t="s">
        <v>42</v>
      </c>
      <c r="Q23" s="455"/>
      <c r="R23" s="400"/>
      <c r="S23" s="400"/>
    </row>
    <row r="24" spans="1:28" ht="18.75" customHeight="1">
      <c r="A24" s="129" t="s">
        <v>44</v>
      </c>
      <c r="B24" s="450">
        <f t="shared" si="6"/>
        <v>51</v>
      </c>
      <c r="C24" s="450">
        <f t="shared" si="3"/>
        <v>2</v>
      </c>
      <c r="D24" s="450">
        <f t="shared" si="3"/>
        <v>20</v>
      </c>
      <c r="E24" s="450">
        <f t="shared" si="3"/>
        <v>29</v>
      </c>
      <c r="F24" s="450"/>
      <c r="G24" s="450">
        <f t="shared" si="7"/>
        <v>44</v>
      </c>
      <c r="H24" s="450">
        <v>1</v>
      </c>
      <c r="I24" s="450">
        <v>19</v>
      </c>
      <c r="J24" s="450">
        <v>24</v>
      </c>
      <c r="K24" s="450"/>
      <c r="L24" s="450">
        <f t="shared" si="8"/>
        <v>7</v>
      </c>
      <c r="M24" s="450">
        <v>1</v>
      </c>
      <c r="N24" s="450">
        <v>1</v>
      </c>
      <c r="O24" s="450">
        <v>5</v>
      </c>
      <c r="P24" s="85" t="s">
        <v>45</v>
      </c>
      <c r="Q24" s="455"/>
      <c r="R24" s="400"/>
      <c r="S24" s="400"/>
    </row>
    <row r="25" spans="1:28" ht="18.75" customHeight="1">
      <c r="A25" s="129" t="s">
        <v>46</v>
      </c>
      <c r="B25" s="450">
        <f t="shared" si="6"/>
        <v>59</v>
      </c>
      <c r="C25" s="450">
        <f t="shared" si="3"/>
        <v>59</v>
      </c>
      <c r="D25" s="450">
        <f t="shared" si="3"/>
        <v>0</v>
      </c>
      <c r="E25" s="450">
        <f t="shared" si="3"/>
        <v>0</v>
      </c>
      <c r="F25" s="450"/>
      <c r="G25" s="450">
        <f t="shared" si="7"/>
        <v>28</v>
      </c>
      <c r="H25" s="450">
        <v>28</v>
      </c>
      <c r="I25" s="450">
        <v>0</v>
      </c>
      <c r="J25" s="450">
        <v>0</v>
      </c>
      <c r="K25" s="450"/>
      <c r="L25" s="450">
        <f t="shared" si="8"/>
        <v>31</v>
      </c>
      <c r="M25" s="450">
        <v>31</v>
      </c>
      <c r="N25" s="450">
        <v>0</v>
      </c>
      <c r="O25" s="450">
        <v>0</v>
      </c>
      <c r="P25" s="85" t="s">
        <v>47</v>
      </c>
      <c r="Q25" s="455"/>
      <c r="R25" s="400"/>
      <c r="S25" s="400"/>
    </row>
    <row r="26" spans="1:28" ht="18.75" customHeight="1">
      <c r="A26" s="129" t="s">
        <v>36</v>
      </c>
      <c r="B26" s="450">
        <f t="shared" si="6"/>
        <v>1</v>
      </c>
      <c r="C26" s="450">
        <f t="shared" si="6"/>
        <v>1</v>
      </c>
      <c r="D26" s="450">
        <f t="shared" si="6"/>
        <v>0</v>
      </c>
      <c r="E26" s="450">
        <f t="shared" si="6"/>
        <v>0</v>
      </c>
      <c r="F26" s="450"/>
      <c r="G26" s="450">
        <f t="shared" si="7"/>
        <v>0</v>
      </c>
      <c r="H26" s="450">
        <v>0</v>
      </c>
      <c r="I26" s="450">
        <v>0</v>
      </c>
      <c r="J26" s="450">
        <v>0</v>
      </c>
      <c r="K26" s="450"/>
      <c r="L26" s="450">
        <f t="shared" si="8"/>
        <v>1</v>
      </c>
      <c r="M26" s="450">
        <v>1</v>
      </c>
      <c r="N26" s="450">
        <v>0</v>
      </c>
      <c r="O26" s="450">
        <v>0</v>
      </c>
      <c r="P26" s="85" t="s">
        <v>48</v>
      </c>
      <c r="Q26" s="455"/>
      <c r="R26" s="400"/>
      <c r="S26" s="400"/>
    </row>
    <row r="27" spans="1:28" ht="18.75" customHeight="1">
      <c r="A27" s="129" t="s">
        <v>34</v>
      </c>
      <c r="B27" s="450">
        <f t="shared" si="6"/>
        <v>15</v>
      </c>
      <c r="C27" s="450">
        <f t="shared" si="6"/>
        <v>9</v>
      </c>
      <c r="D27" s="450">
        <f t="shared" si="6"/>
        <v>3</v>
      </c>
      <c r="E27" s="450">
        <f t="shared" si="6"/>
        <v>3</v>
      </c>
      <c r="F27" s="450"/>
      <c r="G27" s="450">
        <f t="shared" si="7"/>
        <v>6</v>
      </c>
      <c r="H27" s="450">
        <v>4</v>
      </c>
      <c r="I27" s="450">
        <v>0</v>
      </c>
      <c r="J27" s="450">
        <v>2</v>
      </c>
      <c r="K27" s="450"/>
      <c r="L27" s="450">
        <f t="shared" si="8"/>
        <v>9</v>
      </c>
      <c r="M27" s="450">
        <v>5</v>
      </c>
      <c r="N27" s="450">
        <v>3</v>
      </c>
      <c r="O27" s="450">
        <v>1</v>
      </c>
      <c r="P27" s="85" t="s">
        <v>49</v>
      </c>
      <c r="Q27" s="455"/>
      <c r="R27" s="400"/>
      <c r="S27" s="400"/>
    </row>
    <row r="28" spans="1:28" ht="18.75" customHeight="1">
      <c r="A28" s="129" t="s">
        <v>43</v>
      </c>
      <c r="B28" s="450">
        <f t="shared" si="6"/>
        <v>2</v>
      </c>
      <c r="C28" s="450">
        <f t="shared" si="6"/>
        <v>0</v>
      </c>
      <c r="D28" s="450">
        <f t="shared" si="6"/>
        <v>1</v>
      </c>
      <c r="E28" s="450">
        <f t="shared" si="6"/>
        <v>1</v>
      </c>
      <c r="F28" s="450"/>
      <c r="G28" s="450">
        <f t="shared" si="7"/>
        <v>0</v>
      </c>
      <c r="H28" s="450">
        <v>0</v>
      </c>
      <c r="I28" s="450">
        <v>0</v>
      </c>
      <c r="J28" s="450">
        <v>0</v>
      </c>
      <c r="K28" s="450"/>
      <c r="L28" s="450">
        <f t="shared" si="8"/>
        <v>2</v>
      </c>
      <c r="M28" s="450">
        <v>0</v>
      </c>
      <c r="N28" s="450">
        <v>1</v>
      </c>
      <c r="O28" s="450">
        <v>1</v>
      </c>
      <c r="P28" s="85" t="s">
        <v>50</v>
      </c>
      <c r="Q28" s="455"/>
      <c r="R28" s="400"/>
      <c r="S28" s="400"/>
    </row>
    <row r="29" spans="1:28" ht="18.75" customHeight="1">
      <c r="A29" s="129" t="s">
        <v>51</v>
      </c>
      <c r="B29" s="450">
        <f t="shared" si="6"/>
        <v>43</v>
      </c>
      <c r="C29" s="450">
        <f t="shared" si="6"/>
        <v>36</v>
      </c>
      <c r="D29" s="450">
        <f t="shared" si="6"/>
        <v>7</v>
      </c>
      <c r="E29" s="450">
        <f t="shared" si="6"/>
        <v>0</v>
      </c>
      <c r="F29" s="450"/>
      <c r="G29" s="450">
        <f t="shared" si="7"/>
        <v>9</v>
      </c>
      <c r="H29" s="450">
        <v>9</v>
      </c>
      <c r="I29" s="450">
        <v>0</v>
      </c>
      <c r="J29" s="450">
        <v>0</v>
      </c>
      <c r="K29" s="450"/>
      <c r="L29" s="450">
        <f t="shared" si="8"/>
        <v>34</v>
      </c>
      <c r="M29" s="450">
        <v>27</v>
      </c>
      <c r="N29" s="450">
        <v>7</v>
      </c>
      <c r="O29" s="450">
        <v>0</v>
      </c>
      <c r="P29" s="85" t="s">
        <v>52</v>
      </c>
      <c r="Q29" s="455"/>
      <c r="R29" s="400"/>
      <c r="S29" s="400"/>
    </row>
    <row r="30" spans="1:28" ht="18.75" customHeight="1">
      <c r="A30" s="129" t="s">
        <v>53</v>
      </c>
      <c r="B30" s="450">
        <f t="shared" si="6"/>
        <v>0</v>
      </c>
      <c r="C30" s="450">
        <f t="shared" si="6"/>
        <v>0</v>
      </c>
      <c r="D30" s="450">
        <f t="shared" si="6"/>
        <v>0</v>
      </c>
      <c r="E30" s="450">
        <f t="shared" si="6"/>
        <v>0</v>
      </c>
      <c r="F30" s="450"/>
      <c r="G30" s="450">
        <f t="shared" si="7"/>
        <v>0</v>
      </c>
      <c r="H30" s="450">
        <v>0</v>
      </c>
      <c r="I30" s="450">
        <v>0</v>
      </c>
      <c r="J30" s="450">
        <v>0</v>
      </c>
      <c r="K30" s="450"/>
      <c r="L30" s="450">
        <f t="shared" si="8"/>
        <v>0</v>
      </c>
      <c r="M30" s="450">
        <v>0</v>
      </c>
      <c r="N30" s="450">
        <v>0</v>
      </c>
      <c r="O30" s="450">
        <v>0</v>
      </c>
      <c r="P30" s="85" t="s">
        <v>54</v>
      </c>
      <c r="Q30" s="455"/>
      <c r="R30" s="400"/>
      <c r="S30" s="400"/>
    </row>
    <row r="31" spans="1:28" ht="18.75" customHeight="1">
      <c r="A31" s="129" t="s">
        <v>24</v>
      </c>
      <c r="B31" s="450">
        <f t="shared" si="6"/>
        <v>77</v>
      </c>
      <c r="C31" s="450">
        <f t="shared" si="6"/>
        <v>42</v>
      </c>
      <c r="D31" s="450">
        <f t="shared" si="6"/>
        <v>26</v>
      </c>
      <c r="E31" s="450">
        <f t="shared" si="6"/>
        <v>9</v>
      </c>
      <c r="F31" s="450"/>
      <c r="G31" s="450">
        <f t="shared" si="7"/>
        <v>20</v>
      </c>
      <c r="H31" s="450">
        <v>9</v>
      </c>
      <c r="I31" s="450">
        <v>6</v>
      </c>
      <c r="J31" s="450">
        <v>5</v>
      </c>
      <c r="K31" s="450"/>
      <c r="L31" s="450">
        <f t="shared" si="8"/>
        <v>57</v>
      </c>
      <c r="M31" s="450">
        <v>33</v>
      </c>
      <c r="N31" s="450">
        <v>20</v>
      </c>
      <c r="O31" s="450">
        <v>4</v>
      </c>
      <c r="P31" s="85" t="s">
        <v>55</v>
      </c>
      <c r="Q31" s="455"/>
      <c r="R31" s="400"/>
      <c r="S31" s="400"/>
    </row>
    <row r="32" spans="1:28" s="571" customFormat="1" ht="23.25" customHeight="1">
      <c r="A32" s="572" t="s">
        <v>56</v>
      </c>
      <c r="B32" s="450">
        <f t="shared" si="6"/>
        <v>0</v>
      </c>
      <c r="C32" s="450">
        <f t="shared" si="6"/>
        <v>0</v>
      </c>
      <c r="D32" s="450">
        <f t="shared" si="6"/>
        <v>0</v>
      </c>
      <c r="E32" s="450">
        <f t="shared" si="6"/>
        <v>0</v>
      </c>
      <c r="F32" s="450"/>
      <c r="G32" s="450">
        <f t="shared" si="7"/>
        <v>0</v>
      </c>
      <c r="H32" s="450">
        <v>0</v>
      </c>
      <c r="I32" s="450">
        <v>0</v>
      </c>
      <c r="J32" s="450">
        <v>0</v>
      </c>
      <c r="K32" s="450"/>
      <c r="L32" s="450">
        <f t="shared" si="8"/>
        <v>0</v>
      </c>
      <c r="M32" s="450">
        <v>0</v>
      </c>
      <c r="N32" s="450">
        <v>0</v>
      </c>
      <c r="O32" s="450">
        <v>0</v>
      </c>
      <c r="P32" s="573" t="s">
        <v>57</v>
      </c>
      <c r="Q32" s="455"/>
      <c r="R32" s="570"/>
      <c r="S32" s="570"/>
    </row>
    <row r="33" spans="1:19" ht="18.75" customHeight="1">
      <c r="A33" s="129" t="s">
        <v>58</v>
      </c>
      <c r="B33" s="450">
        <f t="shared" si="6"/>
        <v>6</v>
      </c>
      <c r="C33" s="450">
        <f t="shared" si="6"/>
        <v>1</v>
      </c>
      <c r="D33" s="450">
        <f t="shared" si="6"/>
        <v>2</v>
      </c>
      <c r="E33" s="450">
        <f t="shared" si="6"/>
        <v>3</v>
      </c>
      <c r="F33" s="450"/>
      <c r="G33" s="450">
        <f t="shared" si="7"/>
        <v>2</v>
      </c>
      <c r="H33" s="450">
        <v>1</v>
      </c>
      <c r="I33" s="450">
        <v>1</v>
      </c>
      <c r="J33" s="450">
        <v>0</v>
      </c>
      <c r="K33" s="450"/>
      <c r="L33" s="450">
        <f t="shared" si="8"/>
        <v>4</v>
      </c>
      <c r="M33" s="450">
        <v>0</v>
      </c>
      <c r="N33" s="450">
        <v>1</v>
      </c>
      <c r="O33" s="450">
        <v>3</v>
      </c>
      <c r="P33" s="85" t="s">
        <v>59</v>
      </c>
      <c r="Q33" s="455"/>
      <c r="R33" s="400"/>
      <c r="S33" s="400"/>
    </row>
    <row r="34" spans="1:19" ht="18.75" customHeight="1">
      <c r="A34" s="136" t="s">
        <v>15</v>
      </c>
      <c r="B34" s="460">
        <f t="shared" si="6"/>
        <v>230</v>
      </c>
      <c r="C34" s="460">
        <f t="shared" si="6"/>
        <v>48</v>
      </c>
      <c r="D34" s="460">
        <f t="shared" si="6"/>
        <v>78</v>
      </c>
      <c r="E34" s="460">
        <f t="shared" si="6"/>
        <v>104</v>
      </c>
      <c r="F34" s="460"/>
      <c r="G34" s="460">
        <f t="shared" si="7"/>
        <v>169</v>
      </c>
      <c r="H34" s="460">
        <v>24</v>
      </c>
      <c r="I34" s="460">
        <v>56</v>
      </c>
      <c r="J34" s="460">
        <v>89</v>
      </c>
      <c r="K34" s="460"/>
      <c r="L34" s="460">
        <f t="shared" si="8"/>
        <v>61</v>
      </c>
      <c r="M34" s="460">
        <v>24</v>
      </c>
      <c r="N34" s="460">
        <v>22</v>
      </c>
      <c r="O34" s="460">
        <v>15</v>
      </c>
      <c r="P34" s="97" t="s">
        <v>37</v>
      </c>
      <c r="Q34" s="455"/>
      <c r="R34" s="400"/>
      <c r="S34" s="400"/>
    </row>
    <row r="35" spans="1:19" ht="18.75" customHeight="1">
      <c r="A35" s="419" t="s">
        <v>60</v>
      </c>
      <c r="B35" s="450"/>
      <c r="C35" s="450"/>
      <c r="D35" s="450"/>
      <c r="E35" s="450"/>
      <c r="F35" s="450"/>
      <c r="G35" s="450"/>
      <c r="N35" s="420"/>
      <c r="O35" s="420"/>
      <c r="P35" s="420" t="s">
        <v>178</v>
      </c>
      <c r="Q35" s="455"/>
      <c r="R35" s="400"/>
      <c r="S35" s="400"/>
    </row>
    <row r="36" spans="1:19" ht="18.75" customHeight="1">
      <c r="A36" s="419"/>
      <c r="N36" s="463"/>
      <c r="O36" s="463"/>
      <c r="P36" s="463"/>
      <c r="Q36" s="455"/>
      <c r="R36" s="400"/>
      <c r="S36" s="400"/>
    </row>
    <row r="37" spans="1:19" ht="18.75" customHeight="1">
      <c r="A37" s="419"/>
      <c r="N37" s="463"/>
      <c r="O37" s="463"/>
      <c r="P37" s="463"/>
      <c r="Q37" s="455"/>
      <c r="R37" s="400"/>
      <c r="S37" s="400"/>
    </row>
    <row r="38" spans="1:19" ht="18.75" customHeight="1">
      <c r="A38" s="419"/>
      <c r="N38" s="463"/>
      <c r="O38" s="463"/>
      <c r="P38" s="463"/>
      <c r="Q38" s="455"/>
      <c r="R38" s="400"/>
      <c r="S38" s="400"/>
    </row>
    <row r="39" spans="1:19" ht="18.75" customHeight="1">
      <c r="A39" s="419"/>
      <c r="N39" s="463"/>
      <c r="O39" s="463"/>
      <c r="P39" s="463"/>
      <c r="Q39" s="455"/>
      <c r="R39" s="400"/>
      <c r="S39" s="400"/>
    </row>
    <row r="40" spans="1:19" ht="18.75" customHeight="1">
      <c r="A40" s="419"/>
      <c r="N40" s="463"/>
      <c r="O40" s="463"/>
      <c r="P40" s="463"/>
      <c r="Q40" s="455"/>
      <c r="R40" s="400"/>
      <c r="S40" s="400"/>
    </row>
    <row r="41" spans="1:19" ht="18.75" customHeight="1">
      <c r="Q41" s="455"/>
      <c r="R41" s="400"/>
      <c r="S41" s="400"/>
    </row>
    <row r="42" spans="1:19" ht="18.75" customHeight="1">
      <c r="A42" s="419"/>
      <c r="N42" s="463"/>
      <c r="O42" s="463"/>
      <c r="P42" s="463"/>
      <c r="Q42" s="455"/>
      <c r="R42" s="400"/>
      <c r="S42" s="400"/>
    </row>
    <row r="43" spans="1:19" ht="18.75" customHeight="1">
      <c r="A43" s="419"/>
      <c r="N43" s="463"/>
      <c r="O43" s="463"/>
      <c r="P43" s="463"/>
      <c r="Q43" s="455"/>
      <c r="R43" s="400"/>
      <c r="S43" s="400"/>
    </row>
    <row r="44" spans="1:19" ht="18.75" customHeight="1">
      <c r="A44" s="419"/>
      <c r="N44" s="463"/>
      <c r="O44" s="463"/>
      <c r="P44" s="463"/>
      <c r="Q44" s="455"/>
      <c r="R44" s="400"/>
      <c r="S44" s="400"/>
    </row>
    <row r="45" spans="1:19" ht="18.75" customHeight="1">
      <c r="A45" s="419"/>
      <c r="N45" s="463"/>
      <c r="O45" s="463"/>
      <c r="P45" s="463"/>
      <c r="Q45" s="455"/>
      <c r="R45" s="400"/>
      <c r="S45" s="400"/>
    </row>
    <row r="46" spans="1:19" ht="18.75" customHeight="1">
      <c r="Q46" s="455"/>
      <c r="R46" s="400"/>
      <c r="S46" s="400"/>
    </row>
    <row r="47" spans="1:19" ht="18.75">
      <c r="Q47" s="455"/>
      <c r="R47" s="400"/>
      <c r="S47" s="400"/>
    </row>
    <row r="48" spans="1:19" ht="9" customHeight="1"/>
    <row r="49" spans="17:28" ht="4.5" customHeight="1">
      <c r="Q49" s="455"/>
    </row>
    <row r="50" spans="17:28" ht="18.75" hidden="1">
      <c r="Q50" s="455"/>
    </row>
    <row r="51" spans="17:28" ht="9" customHeight="1"/>
    <row r="52" spans="17:28" ht="18.75">
      <c r="Q52" s="455"/>
      <c r="Z52" s="427"/>
      <c r="AA52" s="252"/>
      <c r="AB52" s="252"/>
    </row>
    <row r="53" spans="17:28" ht="18.75">
      <c r="Q53" s="455"/>
      <c r="Z53" s="427"/>
      <c r="AA53" s="252"/>
      <c r="AB53" s="252"/>
    </row>
  </sheetData>
  <mergeCells count="10">
    <mergeCell ref="A2:P2"/>
    <mergeCell ref="A3:P3"/>
    <mergeCell ref="A5:A8"/>
    <mergeCell ref="B5:E5"/>
    <mergeCell ref="G5:J5"/>
    <mergeCell ref="L5:O5"/>
    <mergeCell ref="P5:P8"/>
    <mergeCell ref="B6:E6"/>
    <mergeCell ref="G6:J6"/>
    <mergeCell ref="L6:O6"/>
  </mergeCells>
  <pageMargins left="0.7" right="0.7" top="0.75" bottom="0.75" header="0.3" footer="0.3"/>
  <ignoredErrors>
    <ignoredError sqref="H9:O9" formulaRange="1"/>
  </ignoredErrors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215"/>
  <sheetViews>
    <sheetView zoomScale="86" zoomScaleNormal="86" workbookViewId="0">
      <selection activeCell="AD62" sqref="AD62"/>
    </sheetView>
  </sheetViews>
  <sheetFormatPr defaultRowHeight="15"/>
  <cols>
    <col min="1" max="1" width="23" style="637" customWidth="1"/>
    <col min="2" max="9" width="0" style="637" hidden="1" customWidth="1"/>
    <col min="10" max="13" width="9.140625" style="637"/>
    <col min="14" max="18" width="8.7109375" style="637" customWidth="1"/>
    <col min="19" max="19" width="29.7109375" style="637" customWidth="1"/>
    <col min="20" max="20" width="6.5703125" style="651" customWidth="1"/>
    <col min="21" max="21" width="1.28515625" style="311" customWidth="1"/>
    <col min="22" max="144" width="9.140625" style="311"/>
    <col min="145" max="16384" width="9.140625" style="637"/>
  </cols>
  <sheetData>
    <row r="1" spans="1:144" s="575" customFormat="1" ht="18">
      <c r="A1" s="1222" t="s">
        <v>332</v>
      </c>
      <c r="B1" s="1222"/>
      <c r="C1" s="1222"/>
      <c r="D1" s="1222"/>
      <c r="E1" s="1222"/>
      <c r="F1" s="1222"/>
      <c r="G1" s="1222"/>
      <c r="H1" s="1222"/>
      <c r="I1" s="1222"/>
      <c r="J1" s="1222"/>
      <c r="K1" s="1222"/>
      <c r="L1" s="1222"/>
      <c r="M1" s="1222"/>
      <c r="N1" s="1222"/>
      <c r="O1" s="1222"/>
      <c r="P1" s="1222"/>
      <c r="Q1" s="1222"/>
      <c r="R1" s="1222"/>
      <c r="S1" s="1222"/>
      <c r="T1" s="574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  <c r="AN1" s="311"/>
      <c r="AO1" s="311"/>
      <c r="AP1" s="311"/>
      <c r="AQ1" s="311"/>
      <c r="AR1" s="311"/>
      <c r="AS1" s="311"/>
      <c r="AT1" s="311"/>
      <c r="AU1" s="311"/>
      <c r="AV1" s="311"/>
      <c r="AW1" s="311"/>
      <c r="AX1" s="311"/>
      <c r="AY1" s="311"/>
      <c r="AZ1" s="311"/>
      <c r="BA1" s="311"/>
      <c r="BB1" s="311"/>
      <c r="BC1" s="311"/>
      <c r="BD1" s="311"/>
      <c r="BE1" s="311"/>
      <c r="BF1" s="311"/>
      <c r="BG1" s="311"/>
      <c r="BH1" s="311"/>
      <c r="BI1" s="311"/>
      <c r="BJ1" s="311"/>
      <c r="BK1" s="311"/>
      <c r="BL1" s="311"/>
      <c r="BM1" s="311"/>
      <c r="BN1" s="311"/>
      <c r="BO1" s="311"/>
      <c r="BP1" s="311"/>
      <c r="BQ1" s="311"/>
      <c r="BR1" s="311"/>
      <c r="BS1" s="311"/>
      <c r="BT1" s="311"/>
      <c r="BU1" s="311"/>
      <c r="BV1" s="311"/>
      <c r="BW1" s="311"/>
      <c r="BX1" s="311"/>
      <c r="BY1" s="311"/>
      <c r="BZ1" s="311"/>
      <c r="CA1" s="311"/>
      <c r="CB1" s="311"/>
      <c r="CC1" s="311"/>
      <c r="CD1" s="311"/>
      <c r="CE1" s="311"/>
      <c r="CF1" s="311"/>
      <c r="CG1" s="311"/>
      <c r="CH1" s="311"/>
      <c r="CI1" s="311"/>
      <c r="CJ1" s="311"/>
      <c r="CK1" s="311"/>
      <c r="CL1" s="311"/>
      <c r="CM1" s="311"/>
      <c r="CN1" s="311"/>
      <c r="CO1" s="311"/>
      <c r="CP1" s="311"/>
      <c r="CQ1" s="311"/>
      <c r="CR1" s="311"/>
      <c r="CS1" s="311"/>
      <c r="CT1" s="311"/>
      <c r="CU1" s="311"/>
      <c r="CV1" s="311"/>
      <c r="CW1" s="311"/>
      <c r="CX1" s="311"/>
      <c r="CY1" s="311"/>
      <c r="CZ1" s="311"/>
      <c r="DA1" s="311"/>
      <c r="DB1" s="311"/>
      <c r="DC1" s="311"/>
      <c r="DD1" s="311"/>
      <c r="DE1" s="311"/>
      <c r="DF1" s="311"/>
      <c r="DG1" s="311"/>
      <c r="DH1" s="311"/>
      <c r="DI1" s="311"/>
      <c r="DJ1" s="311"/>
      <c r="DK1" s="311"/>
      <c r="DL1" s="311"/>
      <c r="DM1" s="311"/>
      <c r="DN1" s="311"/>
      <c r="DO1" s="311"/>
      <c r="DP1" s="311"/>
      <c r="DQ1" s="311"/>
      <c r="DR1" s="311"/>
      <c r="DS1" s="311"/>
      <c r="DT1" s="311"/>
      <c r="DU1" s="311"/>
      <c r="DV1" s="311"/>
      <c r="DW1" s="311"/>
      <c r="DX1" s="311"/>
      <c r="DY1" s="311"/>
      <c r="DZ1" s="311"/>
      <c r="EA1" s="311"/>
      <c r="EB1" s="311"/>
      <c r="EC1" s="311"/>
      <c r="ED1" s="311"/>
      <c r="EE1" s="311"/>
      <c r="EF1" s="311"/>
      <c r="EG1" s="311"/>
      <c r="EH1" s="311"/>
      <c r="EI1" s="311"/>
      <c r="EJ1" s="311"/>
      <c r="EK1" s="311"/>
      <c r="EL1" s="311"/>
      <c r="EM1" s="311"/>
      <c r="EN1" s="311"/>
    </row>
    <row r="2" spans="1:144" s="577" customFormat="1">
      <c r="A2" s="1223" t="s">
        <v>333</v>
      </c>
      <c r="B2" s="1223"/>
      <c r="C2" s="1223"/>
      <c r="D2" s="1223"/>
      <c r="E2" s="1223"/>
      <c r="F2" s="1223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576"/>
      <c r="U2" s="576"/>
      <c r="V2" s="576"/>
      <c r="W2" s="576"/>
      <c r="X2" s="576"/>
      <c r="Y2" s="576"/>
      <c r="Z2" s="576"/>
      <c r="AA2" s="576"/>
      <c r="AB2" s="576"/>
    </row>
    <row r="3" spans="1:144" s="582" customFormat="1" ht="3" customHeight="1">
      <c r="A3" s="578"/>
      <c r="B3" s="579"/>
      <c r="C3" s="579"/>
      <c r="D3" s="579"/>
      <c r="E3" s="579"/>
      <c r="F3" s="579"/>
      <c r="G3" s="579"/>
      <c r="H3" s="579"/>
      <c r="I3" s="579"/>
      <c r="J3" s="579"/>
      <c r="K3" s="579"/>
      <c r="L3" s="579"/>
      <c r="M3" s="579"/>
      <c r="N3" s="579"/>
      <c r="O3" s="579"/>
      <c r="P3" s="579"/>
      <c r="Q3" s="579"/>
      <c r="R3" s="579"/>
      <c r="S3" s="580"/>
      <c r="T3" s="581"/>
      <c r="U3" s="576"/>
      <c r="V3" s="576"/>
      <c r="W3" s="576"/>
      <c r="X3" s="576"/>
      <c r="Y3" s="576"/>
      <c r="Z3" s="576"/>
      <c r="AA3" s="576"/>
      <c r="AB3" s="576"/>
      <c r="AC3" s="577"/>
      <c r="AD3" s="577"/>
      <c r="AE3" s="577"/>
      <c r="AF3" s="577"/>
      <c r="AG3" s="577"/>
      <c r="AH3" s="577"/>
      <c r="AI3" s="577"/>
      <c r="AJ3" s="577"/>
      <c r="AK3" s="577"/>
      <c r="AL3" s="577"/>
      <c r="AM3" s="577"/>
      <c r="AN3" s="577"/>
      <c r="AO3" s="577"/>
      <c r="AP3" s="577"/>
      <c r="AQ3" s="577"/>
      <c r="AR3" s="577"/>
      <c r="AS3" s="577"/>
      <c r="AT3" s="577"/>
      <c r="AU3" s="577"/>
      <c r="AV3" s="577"/>
      <c r="AW3" s="577"/>
      <c r="AX3" s="577"/>
      <c r="AY3" s="577"/>
      <c r="AZ3" s="577"/>
      <c r="BA3" s="577"/>
      <c r="BB3" s="577"/>
      <c r="BC3" s="577"/>
      <c r="BD3" s="577"/>
      <c r="BE3" s="577"/>
      <c r="BF3" s="577"/>
      <c r="BG3" s="577"/>
      <c r="BH3" s="577"/>
      <c r="BI3" s="577"/>
      <c r="BJ3" s="577"/>
      <c r="BK3" s="577"/>
      <c r="BL3" s="577"/>
      <c r="BM3" s="577"/>
      <c r="BN3" s="577"/>
      <c r="BO3" s="577"/>
      <c r="BP3" s="577"/>
      <c r="BQ3" s="577"/>
      <c r="BR3" s="577"/>
      <c r="BS3" s="577"/>
      <c r="BT3" s="577"/>
      <c r="BU3" s="577"/>
      <c r="BV3" s="577"/>
      <c r="BW3" s="577"/>
      <c r="BX3" s="577"/>
      <c r="BY3" s="577"/>
      <c r="BZ3" s="577"/>
      <c r="CA3" s="577"/>
      <c r="CB3" s="577"/>
      <c r="CC3" s="577"/>
      <c r="CD3" s="577"/>
      <c r="CE3" s="577"/>
      <c r="CF3" s="577"/>
      <c r="CG3" s="577"/>
      <c r="CH3" s="577"/>
      <c r="CI3" s="577"/>
      <c r="CJ3" s="577"/>
      <c r="CK3" s="577"/>
      <c r="CL3" s="577"/>
      <c r="CM3" s="577"/>
      <c r="CN3" s="577"/>
      <c r="CO3" s="577"/>
      <c r="CP3" s="577"/>
      <c r="CQ3" s="577"/>
      <c r="CR3" s="577"/>
      <c r="CS3" s="577"/>
      <c r="CT3" s="577"/>
      <c r="CU3" s="577"/>
      <c r="CV3" s="577"/>
      <c r="CW3" s="577"/>
      <c r="CX3" s="577"/>
      <c r="CY3" s="577"/>
      <c r="CZ3" s="577"/>
      <c r="DA3" s="577"/>
      <c r="DB3" s="577"/>
      <c r="DC3" s="577"/>
      <c r="DD3" s="577"/>
      <c r="DE3" s="577"/>
      <c r="DF3" s="577"/>
      <c r="DG3" s="577"/>
      <c r="DH3" s="577"/>
      <c r="DI3" s="577"/>
      <c r="DJ3" s="577"/>
      <c r="DK3" s="577"/>
      <c r="DL3" s="577"/>
      <c r="DM3" s="577"/>
      <c r="DN3" s="577"/>
      <c r="DO3" s="577"/>
      <c r="DP3" s="577"/>
      <c r="DQ3" s="577"/>
      <c r="DR3" s="577"/>
      <c r="DS3" s="577"/>
      <c r="DT3" s="577"/>
      <c r="DU3" s="577"/>
      <c r="DV3" s="577"/>
      <c r="DW3" s="577"/>
      <c r="DX3" s="577"/>
      <c r="DY3" s="577"/>
      <c r="DZ3" s="577"/>
      <c r="EA3" s="577"/>
      <c r="EB3" s="577"/>
      <c r="EC3" s="577"/>
      <c r="ED3" s="577"/>
      <c r="EE3" s="577"/>
      <c r="EF3" s="577"/>
      <c r="EG3" s="577"/>
      <c r="EH3" s="577"/>
      <c r="EI3" s="577"/>
      <c r="EJ3" s="577"/>
      <c r="EK3" s="577"/>
      <c r="EL3" s="577"/>
      <c r="EM3" s="577"/>
      <c r="EN3" s="577"/>
    </row>
    <row r="4" spans="1:144" s="589" customFormat="1" ht="17.25">
      <c r="A4" s="583" t="s">
        <v>334</v>
      </c>
      <c r="B4" s="584">
        <v>2002</v>
      </c>
      <c r="C4" s="584">
        <v>2003</v>
      </c>
      <c r="D4" s="584">
        <v>2004</v>
      </c>
      <c r="E4" s="584">
        <v>2005</v>
      </c>
      <c r="F4" s="584">
        <v>2006</v>
      </c>
      <c r="G4" s="584">
        <v>2007</v>
      </c>
      <c r="H4" s="584">
        <v>2008</v>
      </c>
      <c r="I4" s="584">
        <v>2009</v>
      </c>
      <c r="J4" s="584">
        <v>2010</v>
      </c>
      <c r="K4" s="584">
        <v>2011</v>
      </c>
      <c r="L4" s="584">
        <v>2012</v>
      </c>
      <c r="M4" s="584">
        <v>2013</v>
      </c>
      <c r="N4" s="584">
        <v>2014</v>
      </c>
      <c r="O4" s="584">
        <v>2015</v>
      </c>
      <c r="P4" s="584">
        <v>2016</v>
      </c>
      <c r="Q4" s="584">
        <v>2017</v>
      </c>
      <c r="R4" s="584">
        <v>2018</v>
      </c>
      <c r="S4" s="585" t="s">
        <v>335</v>
      </c>
      <c r="T4" s="586"/>
      <c r="U4" s="587"/>
      <c r="V4" s="587"/>
      <c r="W4" s="587"/>
      <c r="X4" s="587"/>
      <c r="Y4" s="587"/>
      <c r="Z4" s="587"/>
      <c r="AA4" s="587"/>
      <c r="AB4" s="587"/>
      <c r="AC4" s="588"/>
      <c r="AD4" s="588"/>
      <c r="AE4" s="588"/>
      <c r="AF4" s="588"/>
      <c r="AG4" s="588"/>
      <c r="AH4" s="588"/>
      <c r="AI4" s="588"/>
      <c r="AJ4" s="588"/>
      <c r="AK4" s="588"/>
      <c r="AL4" s="588"/>
      <c r="AM4" s="588"/>
      <c r="AN4" s="588"/>
      <c r="AO4" s="588"/>
      <c r="AP4" s="588"/>
      <c r="AQ4" s="588"/>
      <c r="AR4" s="588"/>
      <c r="AS4" s="588"/>
      <c r="AT4" s="588"/>
      <c r="AU4" s="588"/>
      <c r="AV4" s="588"/>
      <c r="AW4" s="588"/>
      <c r="AX4" s="588"/>
      <c r="AY4" s="588"/>
      <c r="AZ4" s="588"/>
      <c r="BA4" s="588"/>
      <c r="BB4" s="588"/>
      <c r="BC4" s="588"/>
      <c r="BD4" s="588"/>
      <c r="BE4" s="588"/>
      <c r="BF4" s="588"/>
      <c r="BG4" s="588"/>
      <c r="BH4" s="588"/>
      <c r="BI4" s="588"/>
      <c r="BJ4" s="588"/>
      <c r="BK4" s="588"/>
      <c r="BL4" s="588"/>
      <c r="BM4" s="588"/>
      <c r="BN4" s="588"/>
      <c r="BO4" s="588"/>
      <c r="BP4" s="588"/>
      <c r="BQ4" s="588"/>
      <c r="BR4" s="588"/>
      <c r="BS4" s="588"/>
      <c r="BT4" s="588"/>
      <c r="BU4" s="588"/>
      <c r="BV4" s="588"/>
      <c r="BW4" s="588"/>
      <c r="BX4" s="588"/>
      <c r="BY4" s="588"/>
      <c r="BZ4" s="588"/>
      <c r="CA4" s="588"/>
      <c r="CB4" s="588"/>
      <c r="CC4" s="588"/>
      <c r="CD4" s="588"/>
      <c r="CE4" s="588"/>
      <c r="CF4" s="588"/>
      <c r="CG4" s="588"/>
      <c r="CH4" s="588"/>
      <c r="CI4" s="588"/>
      <c r="CJ4" s="588"/>
      <c r="CK4" s="588"/>
      <c r="CL4" s="588"/>
      <c r="CM4" s="588"/>
      <c r="CN4" s="588"/>
      <c r="CO4" s="588"/>
      <c r="CP4" s="588"/>
      <c r="CQ4" s="588"/>
      <c r="CR4" s="588"/>
      <c r="CS4" s="588"/>
      <c r="CT4" s="588"/>
      <c r="CU4" s="588"/>
      <c r="CV4" s="588"/>
      <c r="CW4" s="588"/>
      <c r="CX4" s="588"/>
      <c r="CY4" s="588"/>
      <c r="CZ4" s="588"/>
      <c r="DA4" s="588"/>
      <c r="DB4" s="588"/>
      <c r="DC4" s="588"/>
      <c r="DD4" s="588"/>
      <c r="DE4" s="588"/>
      <c r="DF4" s="588"/>
      <c r="DG4" s="588"/>
      <c r="DH4" s="588"/>
      <c r="DI4" s="588"/>
      <c r="DJ4" s="588"/>
      <c r="DK4" s="588"/>
      <c r="DL4" s="588"/>
      <c r="DM4" s="588"/>
      <c r="DN4" s="588"/>
      <c r="DO4" s="588"/>
      <c r="DP4" s="588"/>
      <c r="DQ4" s="588"/>
      <c r="DR4" s="588"/>
      <c r="DS4" s="588"/>
      <c r="DT4" s="588"/>
      <c r="DU4" s="588"/>
      <c r="DV4" s="588"/>
      <c r="DW4" s="588"/>
      <c r="DX4" s="588"/>
      <c r="DY4" s="588"/>
      <c r="DZ4" s="588"/>
      <c r="EA4" s="588"/>
      <c r="EB4" s="588"/>
      <c r="EC4" s="588"/>
      <c r="ED4" s="588"/>
      <c r="EE4" s="588"/>
      <c r="EF4" s="588"/>
      <c r="EG4" s="588"/>
      <c r="EH4" s="588"/>
      <c r="EI4" s="588"/>
      <c r="EJ4" s="588"/>
      <c r="EK4" s="588"/>
      <c r="EL4" s="588"/>
      <c r="EM4" s="588"/>
      <c r="EN4" s="588"/>
    </row>
    <row r="5" spans="1:144" s="589" customFormat="1">
      <c r="A5" s="590" t="s">
        <v>8</v>
      </c>
      <c r="B5" s="591">
        <f t="shared" ref="B5:K5" si="0">SUM(B7:B11)</f>
        <v>12390</v>
      </c>
      <c r="C5" s="591">
        <f t="shared" si="0"/>
        <v>11317</v>
      </c>
      <c r="D5" s="591">
        <f t="shared" si="0"/>
        <v>10776</v>
      </c>
      <c r="E5" s="591">
        <f t="shared" si="0"/>
        <v>12107</v>
      </c>
      <c r="F5" s="591">
        <f t="shared" si="0"/>
        <v>14084</v>
      </c>
      <c r="G5" s="591">
        <f t="shared" si="0"/>
        <v>13820</v>
      </c>
      <c r="H5" s="591">
        <f t="shared" si="0"/>
        <v>12921</v>
      </c>
      <c r="I5" s="591">
        <f t="shared" si="0"/>
        <v>15997</v>
      </c>
      <c r="J5" s="591">
        <f t="shared" si="0"/>
        <v>15036</v>
      </c>
      <c r="K5" s="591">
        <f t="shared" si="0"/>
        <v>14710</v>
      </c>
      <c r="L5" s="591">
        <f t="shared" ref="L5:O5" si="1">SUM(L6:L11)</f>
        <v>14329</v>
      </c>
      <c r="M5" s="591">
        <f t="shared" si="1"/>
        <v>16654</v>
      </c>
      <c r="N5" s="591">
        <f t="shared" si="1"/>
        <v>19579</v>
      </c>
      <c r="O5" s="591">
        <f t="shared" si="1"/>
        <v>19372</v>
      </c>
      <c r="P5" s="591">
        <f>SUM(P6:P11)</f>
        <v>20698</v>
      </c>
      <c r="Q5" s="591">
        <f>SUM(Q6:Q11)</f>
        <v>18383</v>
      </c>
      <c r="R5" s="591">
        <f>SUM(R6:R11)</f>
        <v>19793</v>
      </c>
      <c r="S5" s="592" t="s">
        <v>9</v>
      </c>
      <c r="T5" s="593"/>
      <c r="U5" s="587"/>
      <c r="V5" s="587"/>
      <c r="W5" s="587"/>
      <c r="X5" s="587"/>
      <c r="Y5" s="587"/>
      <c r="Z5" s="587"/>
      <c r="AA5" s="587"/>
      <c r="AB5" s="587"/>
      <c r="AC5" s="588"/>
      <c r="AD5" s="588"/>
      <c r="AE5" s="588"/>
      <c r="AF5" s="588"/>
      <c r="AG5" s="588"/>
      <c r="AH5" s="588"/>
      <c r="AI5" s="588"/>
      <c r="AJ5" s="588"/>
      <c r="AK5" s="588"/>
      <c r="AL5" s="588"/>
      <c r="AM5" s="588"/>
      <c r="AN5" s="588"/>
      <c r="AO5" s="588"/>
      <c r="AP5" s="588"/>
      <c r="AQ5" s="588"/>
      <c r="AR5" s="588"/>
      <c r="AS5" s="588"/>
      <c r="AT5" s="588"/>
      <c r="AU5" s="588"/>
      <c r="AV5" s="588"/>
      <c r="AW5" s="588"/>
      <c r="AX5" s="588"/>
      <c r="AY5" s="588"/>
      <c r="AZ5" s="588"/>
      <c r="BA5" s="588"/>
      <c r="BB5" s="588"/>
      <c r="BC5" s="588"/>
      <c r="BD5" s="588"/>
      <c r="BE5" s="588"/>
      <c r="BF5" s="588"/>
      <c r="BG5" s="588"/>
      <c r="BH5" s="588"/>
      <c r="BI5" s="588"/>
      <c r="BJ5" s="588"/>
      <c r="BK5" s="588"/>
      <c r="BL5" s="588"/>
      <c r="BM5" s="588"/>
      <c r="BN5" s="588"/>
      <c r="BO5" s="588"/>
      <c r="BP5" s="588"/>
      <c r="BQ5" s="588"/>
      <c r="BR5" s="588"/>
      <c r="BS5" s="588"/>
      <c r="BT5" s="588"/>
      <c r="BU5" s="588"/>
      <c r="BV5" s="588"/>
      <c r="BW5" s="588"/>
      <c r="BX5" s="588"/>
      <c r="BY5" s="588"/>
      <c r="BZ5" s="588"/>
      <c r="CA5" s="588"/>
      <c r="CB5" s="588"/>
      <c r="CC5" s="588"/>
      <c r="CD5" s="588"/>
      <c r="CE5" s="588"/>
      <c r="CF5" s="588"/>
      <c r="CG5" s="588"/>
      <c r="CH5" s="588"/>
      <c r="CI5" s="588"/>
      <c r="CJ5" s="588"/>
      <c r="CK5" s="588"/>
      <c r="CL5" s="588"/>
      <c r="CM5" s="588"/>
      <c r="CN5" s="588"/>
      <c r="CO5" s="588"/>
      <c r="CP5" s="588"/>
      <c r="CQ5" s="588"/>
      <c r="CR5" s="588"/>
      <c r="CS5" s="588"/>
      <c r="CT5" s="588"/>
      <c r="CU5" s="588"/>
      <c r="CV5" s="588"/>
      <c r="CW5" s="588"/>
      <c r="CX5" s="588"/>
      <c r="CY5" s="588"/>
      <c r="CZ5" s="588"/>
      <c r="DA5" s="588"/>
      <c r="DB5" s="588"/>
      <c r="DC5" s="588"/>
      <c r="DD5" s="588"/>
      <c r="DE5" s="588"/>
      <c r="DF5" s="588"/>
      <c r="DG5" s="588"/>
      <c r="DH5" s="588"/>
      <c r="DI5" s="588"/>
      <c r="DJ5" s="588"/>
      <c r="DK5" s="588"/>
      <c r="DL5" s="588"/>
      <c r="DM5" s="588"/>
      <c r="DN5" s="588"/>
      <c r="DO5" s="588"/>
      <c r="DP5" s="588"/>
      <c r="DQ5" s="588"/>
      <c r="DR5" s="588"/>
      <c r="DS5" s="588"/>
      <c r="DT5" s="588"/>
      <c r="DU5" s="588"/>
      <c r="DV5" s="588"/>
      <c r="DW5" s="588"/>
      <c r="DX5" s="588"/>
      <c r="DY5" s="588"/>
      <c r="DZ5" s="588"/>
      <c r="EA5" s="588"/>
      <c r="EB5" s="588"/>
      <c r="EC5" s="588"/>
      <c r="ED5" s="588"/>
      <c r="EE5" s="588"/>
      <c r="EF5" s="588"/>
      <c r="EG5" s="588"/>
      <c r="EH5" s="588"/>
      <c r="EI5" s="588"/>
      <c r="EJ5" s="588"/>
      <c r="EK5" s="588"/>
      <c r="EL5" s="588"/>
      <c r="EM5" s="588"/>
      <c r="EN5" s="588"/>
    </row>
    <row r="6" spans="1:144" s="589" customFormat="1" ht="17.25">
      <c r="A6" s="594" t="s">
        <v>336</v>
      </c>
      <c r="B6" s="591"/>
      <c r="C6" s="591"/>
      <c r="D6" s="591"/>
      <c r="E6" s="591"/>
      <c r="F6" s="591"/>
      <c r="G6" s="595"/>
      <c r="H6" s="596"/>
      <c r="I6" s="591"/>
      <c r="J6" s="596">
        <v>0</v>
      </c>
      <c r="K6" s="596">
        <v>0</v>
      </c>
      <c r="L6" s="597">
        <v>97</v>
      </c>
      <c r="M6" s="597">
        <v>465</v>
      </c>
      <c r="N6" s="597">
        <v>677</v>
      </c>
      <c r="O6" s="597">
        <v>1271</v>
      </c>
      <c r="P6" s="597">
        <v>1302</v>
      </c>
      <c r="Q6" s="597">
        <v>1612</v>
      </c>
      <c r="R6" s="597">
        <v>1514</v>
      </c>
      <c r="S6" s="598" t="s">
        <v>337</v>
      </c>
      <c r="T6" s="593"/>
      <c r="U6" s="587"/>
      <c r="V6" s="587"/>
      <c r="W6" s="587"/>
      <c r="X6" s="587"/>
      <c r="Y6" s="587"/>
      <c r="Z6" s="587"/>
      <c r="AA6" s="587"/>
      <c r="AB6" s="587"/>
      <c r="AC6" s="588"/>
      <c r="AD6" s="588"/>
      <c r="AE6" s="588"/>
      <c r="AF6" s="588"/>
      <c r="AG6" s="588"/>
      <c r="AH6" s="588"/>
      <c r="AI6" s="588"/>
      <c r="AJ6" s="588"/>
      <c r="AK6" s="588"/>
      <c r="AL6" s="588"/>
      <c r="AM6" s="588"/>
      <c r="AN6" s="588"/>
      <c r="AO6" s="588"/>
      <c r="AP6" s="588"/>
      <c r="AQ6" s="588"/>
      <c r="AR6" s="588"/>
      <c r="AS6" s="588"/>
      <c r="AT6" s="588"/>
      <c r="AU6" s="588"/>
      <c r="AV6" s="588"/>
      <c r="AW6" s="588"/>
      <c r="AX6" s="588"/>
      <c r="AY6" s="588"/>
      <c r="AZ6" s="588"/>
      <c r="BA6" s="588"/>
      <c r="BB6" s="588"/>
      <c r="BC6" s="588"/>
      <c r="BD6" s="588"/>
      <c r="BE6" s="588"/>
      <c r="BF6" s="588"/>
      <c r="BG6" s="588"/>
      <c r="BH6" s="588"/>
      <c r="BI6" s="588"/>
      <c r="BJ6" s="588"/>
      <c r="BK6" s="588"/>
      <c r="BL6" s="588"/>
      <c r="BM6" s="588"/>
      <c r="BN6" s="588"/>
      <c r="BO6" s="588"/>
      <c r="BP6" s="588"/>
      <c r="BQ6" s="588"/>
      <c r="BR6" s="588"/>
      <c r="BS6" s="588"/>
      <c r="BT6" s="588"/>
      <c r="BU6" s="588"/>
      <c r="BV6" s="588"/>
      <c r="BW6" s="588"/>
      <c r="BX6" s="588"/>
      <c r="BY6" s="588"/>
      <c r="BZ6" s="588"/>
      <c r="CA6" s="588"/>
      <c r="CB6" s="588"/>
      <c r="CC6" s="588"/>
      <c r="CD6" s="588"/>
      <c r="CE6" s="588"/>
      <c r="CF6" s="588"/>
      <c r="CG6" s="588"/>
      <c r="CH6" s="588"/>
      <c r="CI6" s="588"/>
      <c r="CJ6" s="588"/>
      <c r="CK6" s="588"/>
      <c r="CL6" s="588"/>
      <c r="CM6" s="588"/>
      <c r="CN6" s="588"/>
      <c r="CO6" s="588"/>
      <c r="CP6" s="588"/>
      <c r="CQ6" s="588"/>
      <c r="CR6" s="588"/>
      <c r="CS6" s="588"/>
      <c r="CT6" s="588"/>
      <c r="CU6" s="588"/>
      <c r="CV6" s="588"/>
      <c r="CW6" s="588"/>
      <c r="CX6" s="588"/>
      <c r="CY6" s="588"/>
      <c r="CZ6" s="588"/>
      <c r="DA6" s="588"/>
      <c r="DB6" s="588"/>
      <c r="DC6" s="588"/>
      <c r="DD6" s="588"/>
      <c r="DE6" s="588"/>
      <c r="DF6" s="588"/>
      <c r="DG6" s="588"/>
      <c r="DH6" s="588"/>
      <c r="DI6" s="588"/>
      <c r="DJ6" s="588"/>
      <c r="DK6" s="588"/>
      <c r="DL6" s="588"/>
      <c r="DM6" s="588"/>
      <c r="DN6" s="588"/>
      <c r="DO6" s="588"/>
      <c r="DP6" s="588"/>
      <c r="DQ6" s="588"/>
      <c r="DR6" s="588"/>
      <c r="DS6" s="588"/>
      <c r="DT6" s="588"/>
      <c r="DU6" s="588"/>
      <c r="DV6" s="588"/>
      <c r="DW6" s="588"/>
      <c r="DX6" s="588"/>
      <c r="DY6" s="588"/>
      <c r="DZ6" s="588"/>
      <c r="EA6" s="588"/>
      <c r="EB6" s="588"/>
      <c r="EC6" s="588"/>
      <c r="ED6" s="588"/>
      <c r="EE6" s="588"/>
      <c r="EF6" s="588"/>
      <c r="EG6" s="588"/>
      <c r="EH6" s="588"/>
      <c r="EI6" s="588"/>
      <c r="EJ6" s="588"/>
      <c r="EK6" s="588"/>
      <c r="EL6" s="588"/>
      <c r="EM6" s="588"/>
      <c r="EN6" s="588"/>
    </row>
    <row r="7" spans="1:144" s="589" customFormat="1" ht="17.25">
      <c r="A7" s="594" t="s">
        <v>338</v>
      </c>
      <c r="B7" s="599">
        <v>136</v>
      </c>
      <c r="C7" s="599">
        <v>210</v>
      </c>
      <c r="D7" s="599">
        <v>184</v>
      </c>
      <c r="E7" s="599">
        <v>86</v>
      </c>
      <c r="F7" s="599">
        <v>154</v>
      </c>
      <c r="G7" s="600">
        <v>103</v>
      </c>
      <c r="H7" s="597">
        <v>62</v>
      </c>
      <c r="I7" s="601">
        <v>105</v>
      </c>
      <c r="J7" s="597">
        <v>211</v>
      </c>
      <c r="K7" s="597">
        <v>123</v>
      </c>
      <c r="L7" s="597">
        <v>94</v>
      </c>
      <c r="M7" s="597">
        <v>122</v>
      </c>
      <c r="N7" s="597">
        <v>81</v>
      </c>
      <c r="O7" s="597">
        <v>26</v>
      </c>
      <c r="P7" s="597">
        <v>31</v>
      </c>
      <c r="Q7" s="597">
        <v>44</v>
      </c>
      <c r="R7" s="597">
        <v>18</v>
      </c>
      <c r="S7" s="598" t="s">
        <v>339</v>
      </c>
      <c r="T7" s="602"/>
      <c r="U7" s="587"/>
      <c r="V7" s="587"/>
      <c r="W7" s="587"/>
      <c r="X7" s="587"/>
      <c r="Y7" s="587"/>
      <c r="Z7" s="587"/>
      <c r="AA7" s="587"/>
      <c r="AB7" s="587"/>
      <c r="AC7" s="588"/>
      <c r="AD7" s="588"/>
      <c r="AE7" s="588"/>
      <c r="AF7" s="588"/>
      <c r="AG7" s="588"/>
      <c r="AH7" s="588"/>
      <c r="AI7" s="588"/>
      <c r="AJ7" s="588"/>
      <c r="AK7" s="588"/>
      <c r="AL7" s="588"/>
      <c r="AM7" s="588"/>
      <c r="AN7" s="588"/>
      <c r="AO7" s="588"/>
      <c r="AP7" s="588"/>
      <c r="AQ7" s="588"/>
      <c r="AR7" s="588"/>
      <c r="AS7" s="588"/>
      <c r="AT7" s="588"/>
      <c r="AU7" s="588"/>
      <c r="AV7" s="588"/>
      <c r="AW7" s="588"/>
      <c r="AX7" s="588"/>
      <c r="AY7" s="588"/>
      <c r="AZ7" s="588"/>
      <c r="BA7" s="588"/>
      <c r="BB7" s="588"/>
      <c r="BC7" s="588"/>
      <c r="BD7" s="588"/>
      <c r="BE7" s="588"/>
      <c r="BF7" s="588"/>
      <c r="BG7" s="588"/>
      <c r="BH7" s="588"/>
      <c r="BI7" s="588"/>
      <c r="BJ7" s="588"/>
      <c r="BK7" s="588"/>
      <c r="BL7" s="588"/>
      <c r="BM7" s="588"/>
      <c r="BN7" s="588"/>
      <c r="BO7" s="588"/>
      <c r="BP7" s="588"/>
      <c r="BQ7" s="588"/>
      <c r="BR7" s="588"/>
      <c r="BS7" s="588"/>
      <c r="BT7" s="588"/>
      <c r="BU7" s="588"/>
      <c r="BV7" s="588"/>
      <c r="BW7" s="588"/>
      <c r="BX7" s="588"/>
      <c r="BY7" s="588"/>
      <c r="BZ7" s="588"/>
      <c r="CA7" s="588"/>
      <c r="CB7" s="588"/>
      <c r="CC7" s="588"/>
      <c r="CD7" s="588"/>
      <c r="CE7" s="588"/>
      <c r="CF7" s="588"/>
      <c r="CG7" s="588"/>
      <c r="CH7" s="588"/>
      <c r="CI7" s="588"/>
      <c r="CJ7" s="588"/>
      <c r="CK7" s="588"/>
      <c r="CL7" s="588"/>
      <c r="CM7" s="588"/>
      <c r="CN7" s="588"/>
      <c r="CO7" s="588"/>
      <c r="CP7" s="588"/>
      <c r="CQ7" s="588"/>
      <c r="CR7" s="588"/>
      <c r="CS7" s="588"/>
      <c r="CT7" s="588"/>
      <c r="CU7" s="588"/>
      <c r="CV7" s="588"/>
      <c r="CW7" s="588"/>
      <c r="CX7" s="588"/>
      <c r="CY7" s="588"/>
      <c r="CZ7" s="588"/>
      <c r="DA7" s="588"/>
      <c r="DB7" s="588"/>
      <c r="DC7" s="588"/>
      <c r="DD7" s="588"/>
      <c r="DE7" s="588"/>
      <c r="DF7" s="588"/>
      <c r="DG7" s="588"/>
      <c r="DH7" s="588"/>
      <c r="DI7" s="588"/>
      <c r="DJ7" s="588"/>
      <c r="DK7" s="588"/>
      <c r="DL7" s="588"/>
      <c r="DM7" s="588"/>
      <c r="DN7" s="588"/>
      <c r="DO7" s="588"/>
      <c r="DP7" s="588"/>
      <c r="DQ7" s="588"/>
      <c r="DR7" s="588"/>
      <c r="DS7" s="588"/>
      <c r="DT7" s="588"/>
      <c r="DU7" s="588"/>
      <c r="DV7" s="588"/>
      <c r="DW7" s="588"/>
      <c r="DX7" s="588"/>
      <c r="DY7" s="588"/>
      <c r="DZ7" s="588"/>
      <c r="EA7" s="588"/>
      <c r="EB7" s="588"/>
      <c r="EC7" s="588"/>
      <c r="ED7" s="588"/>
      <c r="EE7" s="588"/>
      <c r="EF7" s="588"/>
      <c r="EG7" s="588"/>
      <c r="EH7" s="588"/>
      <c r="EI7" s="588"/>
      <c r="EJ7" s="588"/>
      <c r="EK7" s="588"/>
      <c r="EL7" s="588"/>
      <c r="EM7" s="588"/>
      <c r="EN7" s="588"/>
    </row>
    <row r="8" spans="1:144" s="589" customFormat="1" ht="17.25">
      <c r="A8" s="594" t="s">
        <v>340</v>
      </c>
      <c r="B8" s="599">
        <v>1302</v>
      </c>
      <c r="C8" s="599">
        <v>1332</v>
      </c>
      <c r="D8" s="599">
        <v>1401</v>
      </c>
      <c r="E8" s="599">
        <v>1865</v>
      </c>
      <c r="F8" s="599">
        <v>2034</v>
      </c>
      <c r="G8" s="600">
        <v>1981</v>
      </c>
      <c r="H8" s="597">
        <v>2032</v>
      </c>
      <c r="I8" s="597">
        <v>2089</v>
      </c>
      <c r="J8" s="597">
        <v>2044</v>
      </c>
      <c r="K8" s="597">
        <v>1996</v>
      </c>
      <c r="L8" s="597">
        <v>2194</v>
      </c>
      <c r="M8" s="597">
        <v>2590</v>
      </c>
      <c r="N8" s="597">
        <v>2616</v>
      </c>
      <c r="O8" s="597">
        <v>2553</v>
      </c>
      <c r="P8" s="597">
        <v>2562</v>
      </c>
      <c r="Q8" s="597">
        <v>2543</v>
      </c>
      <c r="R8" s="597">
        <v>2688</v>
      </c>
      <c r="S8" s="598" t="s">
        <v>341</v>
      </c>
      <c r="T8" s="593"/>
      <c r="U8" s="587"/>
      <c r="V8" s="587"/>
      <c r="W8" s="587"/>
      <c r="X8" s="587"/>
      <c r="Y8" s="587"/>
      <c r="Z8" s="587"/>
      <c r="AA8" s="587"/>
      <c r="AB8" s="587"/>
      <c r="AC8" s="588"/>
      <c r="AD8" s="588"/>
      <c r="AE8" s="588"/>
      <c r="AF8" s="588"/>
      <c r="AG8" s="588"/>
      <c r="AH8" s="588"/>
      <c r="AI8" s="588"/>
      <c r="AJ8" s="588"/>
      <c r="AK8" s="588"/>
      <c r="AL8" s="588"/>
      <c r="AM8" s="588"/>
      <c r="AN8" s="588"/>
      <c r="AO8" s="588"/>
      <c r="AP8" s="588"/>
      <c r="AQ8" s="588"/>
      <c r="AR8" s="588"/>
      <c r="AS8" s="588"/>
      <c r="AT8" s="588"/>
      <c r="AU8" s="588"/>
      <c r="AV8" s="588"/>
      <c r="AW8" s="588"/>
      <c r="AX8" s="588"/>
      <c r="AY8" s="588"/>
      <c r="AZ8" s="588"/>
      <c r="BA8" s="588"/>
      <c r="BB8" s="588"/>
      <c r="BC8" s="588"/>
      <c r="BD8" s="588"/>
      <c r="BE8" s="588"/>
      <c r="BF8" s="588"/>
      <c r="BG8" s="588"/>
      <c r="BH8" s="588"/>
      <c r="BI8" s="588"/>
      <c r="BJ8" s="588"/>
      <c r="BK8" s="588"/>
      <c r="BL8" s="588"/>
      <c r="BM8" s="588"/>
      <c r="BN8" s="588"/>
      <c r="BO8" s="588"/>
      <c r="BP8" s="588"/>
      <c r="BQ8" s="588"/>
      <c r="BR8" s="588"/>
      <c r="BS8" s="588"/>
      <c r="BT8" s="588"/>
      <c r="BU8" s="588"/>
      <c r="BV8" s="588"/>
      <c r="BW8" s="588"/>
      <c r="BX8" s="588"/>
      <c r="BY8" s="588"/>
      <c r="BZ8" s="588"/>
      <c r="CA8" s="588"/>
      <c r="CB8" s="588"/>
      <c r="CC8" s="588"/>
      <c r="CD8" s="588"/>
      <c r="CE8" s="588"/>
      <c r="CF8" s="588"/>
      <c r="CG8" s="588"/>
      <c r="CH8" s="588"/>
      <c r="CI8" s="588"/>
      <c r="CJ8" s="588"/>
      <c r="CK8" s="588"/>
      <c r="CL8" s="588"/>
      <c r="CM8" s="588"/>
      <c r="CN8" s="588"/>
      <c r="CO8" s="588"/>
      <c r="CP8" s="588"/>
      <c r="CQ8" s="588"/>
      <c r="CR8" s="588"/>
      <c r="CS8" s="588"/>
      <c r="CT8" s="588"/>
      <c r="CU8" s="588"/>
      <c r="CV8" s="588"/>
      <c r="CW8" s="588"/>
      <c r="CX8" s="588"/>
      <c r="CY8" s="588"/>
      <c r="CZ8" s="588"/>
      <c r="DA8" s="588"/>
      <c r="DB8" s="588"/>
      <c r="DC8" s="588"/>
      <c r="DD8" s="588"/>
      <c r="DE8" s="588"/>
      <c r="DF8" s="588"/>
      <c r="DG8" s="588"/>
      <c r="DH8" s="588"/>
      <c r="DI8" s="588"/>
      <c r="DJ8" s="588"/>
      <c r="DK8" s="588"/>
      <c r="DL8" s="588"/>
      <c r="DM8" s="588"/>
      <c r="DN8" s="588"/>
      <c r="DO8" s="588"/>
      <c r="DP8" s="588"/>
      <c r="DQ8" s="588"/>
      <c r="DR8" s="588"/>
      <c r="DS8" s="588"/>
      <c r="DT8" s="588"/>
      <c r="DU8" s="588"/>
      <c r="DV8" s="588"/>
      <c r="DW8" s="588"/>
      <c r="DX8" s="588"/>
      <c r="DY8" s="588"/>
      <c r="DZ8" s="588"/>
      <c r="EA8" s="588"/>
      <c r="EB8" s="588"/>
      <c r="EC8" s="588"/>
      <c r="ED8" s="588"/>
      <c r="EE8" s="588"/>
      <c r="EF8" s="588"/>
      <c r="EG8" s="588"/>
      <c r="EH8" s="588"/>
      <c r="EI8" s="588"/>
      <c r="EJ8" s="588"/>
      <c r="EK8" s="588"/>
      <c r="EL8" s="588"/>
      <c r="EM8" s="588"/>
      <c r="EN8" s="588"/>
    </row>
    <row r="9" spans="1:144" s="589" customFormat="1" ht="17.25">
      <c r="A9" s="594" t="s">
        <v>342</v>
      </c>
      <c r="B9" s="599">
        <v>1700</v>
      </c>
      <c r="C9" s="599">
        <v>1071</v>
      </c>
      <c r="D9" s="599">
        <v>798</v>
      </c>
      <c r="E9" s="599">
        <v>949</v>
      </c>
      <c r="F9" s="599">
        <v>1643</v>
      </c>
      <c r="G9" s="600">
        <v>2002</v>
      </c>
      <c r="H9" s="597">
        <v>1460</v>
      </c>
      <c r="I9" s="597">
        <v>2334</v>
      </c>
      <c r="J9" s="597">
        <v>1433</v>
      </c>
      <c r="K9" s="597">
        <v>1036</v>
      </c>
      <c r="L9" s="597">
        <v>990</v>
      </c>
      <c r="M9" s="597">
        <v>1669</v>
      </c>
      <c r="N9" s="597">
        <v>1957</v>
      </c>
      <c r="O9" s="597">
        <v>1069</v>
      </c>
      <c r="P9" s="597">
        <v>860</v>
      </c>
      <c r="Q9" s="597">
        <v>881</v>
      </c>
      <c r="R9" s="597">
        <v>832</v>
      </c>
      <c r="S9" s="598" t="s">
        <v>343</v>
      </c>
      <c r="T9" s="593"/>
      <c r="U9" s="587"/>
      <c r="V9" s="587"/>
      <c r="W9" s="587"/>
      <c r="X9" s="587"/>
      <c r="Y9" s="587"/>
      <c r="Z9" s="587"/>
      <c r="AA9" s="587"/>
      <c r="AB9" s="587"/>
      <c r="AC9" s="588"/>
      <c r="AD9" s="588"/>
      <c r="AE9" s="588"/>
      <c r="AF9" s="588"/>
      <c r="AG9" s="588"/>
      <c r="AH9" s="588"/>
      <c r="AI9" s="588"/>
      <c r="AJ9" s="588"/>
      <c r="AK9" s="588"/>
      <c r="AL9" s="588"/>
      <c r="AM9" s="588"/>
      <c r="AN9" s="588"/>
      <c r="AO9" s="588"/>
      <c r="AP9" s="588"/>
      <c r="AQ9" s="588"/>
      <c r="AR9" s="588"/>
      <c r="AS9" s="588"/>
      <c r="AT9" s="588"/>
      <c r="AU9" s="588"/>
      <c r="AV9" s="588"/>
      <c r="AW9" s="588"/>
      <c r="AX9" s="588"/>
      <c r="AY9" s="588"/>
      <c r="AZ9" s="588"/>
      <c r="BA9" s="588"/>
      <c r="BB9" s="588"/>
      <c r="BC9" s="588"/>
      <c r="BD9" s="588"/>
      <c r="BE9" s="588"/>
      <c r="BF9" s="588"/>
      <c r="BG9" s="588"/>
      <c r="BH9" s="588"/>
      <c r="BI9" s="588"/>
      <c r="BJ9" s="588"/>
      <c r="BK9" s="588"/>
      <c r="BL9" s="588"/>
      <c r="BM9" s="588"/>
      <c r="BN9" s="588"/>
      <c r="BO9" s="588"/>
      <c r="BP9" s="588"/>
      <c r="BQ9" s="588"/>
      <c r="BR9" s="588"/>
      <c r="BS9" s="588"/>
      <c r="BT9" s="588"/>
      <c r="BU9" s="588"/>
      <c r="BV9" s="588"/>
      <c r="BW9" s="588"/>
      <c r="BX9" s="588"/>
      <c r="BY9" s="588"/>
      <c r="BZ9" s="588"/>
      <c r="CA9" s="588"/>
      <c r="CB9" s="588"/>
      <c r="CC9" s="588"/>
      <c r="CD9" s="588"/>
      <c r="CE9" s="588"/>
      <c r="CF9" s="588"/>
      <c r="CG9" s="588"/>
      <c r="CH9" s="588"/>
      <c r="CI9" s="588"/>
      <c r="CJ9" s="588"/>
      <c r="CK9" s="588"/>
      <c r="CL9" s="588"/>
      <c r="CM9" s="588"/>
      <c r="CN9" s="588"/>
      <c r="CO9" s="588"/>
      <c r="CP9" s="588"/>
      <c r="CQ9" s="588"/>
      <c r="CR9" s="588"/>
      <c r="CS9" s="588"/>
      <c r="CT9" s="588"/>
      <c r="CU9" s="588"/>
      <c r="CV9" s="588"/>
      <c r="CW9" s="588"/>
      <c r="CX9" s="588"/>
      <c r="CY9" s="588"/>
      <c r="CZ9" s="588"/>
      <c r="DA9" s="588"/>
      <c r="DB9" s="588"/>
      <c r="DC9" s="588"/>
      <c r="DD9" s="588"/>
      <c r="DE9" s="588"/>
      <c r="DF9" s="588"/>
      <c r="DG9" s="588"/>
      <c r="DH9" s="588"/>
      <c r="DI9" s="588"/>
      <c r="DJ9" s="588"/>
      <c r="DK9" s="588"/>
      <c r="DL9" s="588"/>
      <c r="DM9" s="588"/>
      <c r="DN9" s="588"/>
      <c r="DO9" s="588"/>
      <c r="DP9" s="588"/>
      <c r="DQ9" s="588"/>
      <c r="DR9" s="588"/>
      <c r="DS9" s="588"/>
      <c r="DT9" s="588"/>
      <c r="DU9" s="588"/>
      <c r="DV9" s="588"/>
      <c r="DW9" s="588"/>
      <c r="DX9" s="588"/>
      <c r="DY9" s="588"/>
      <c r="DZ9" s="588"/>
      <c r="EA9" s="588"/>
      <c r="EB9" s="588"/>
      <c r="EC9" s="588"/>
      <c r="ED9" s="588"/>
      <c r="EE9" s="588"/>
      <c r="EF9" s="588"/>
      <c r="EG9" s="588"/>
      <c r="EH9" s="588"/>
      <c r="EI9" s="588"/>
      <c r="EJ9" s="588"/>
      <c r="EK9" s="588"/>
      <c r="EL9" s="588"/>
      <c r="EM9" s="588"/>
      <c r="EN9" s="588"/>
    </row>
    <row r="10" spans="1:144" s="589" customFormat="1" ht="17.25">
      <c r="A10" s="594" t="s">
        <v>344</v>
      </c>
      <c r="B10" s="599">
        <v>2292</v>
      </c>
      <c r="C10" s="599">
        <v>1953</v>
      </c>
      <c r="D10" s="599">
        <v>1618</v>
      </c>
      <c r="E10" s="599">
        <v>1940</v>
      </c>
      <c r="F10" s="599">
        <v>2119</v>
      </c>
      <c r="G10" s="600">
        <v>1958</v>
      </c>
      <c r="H10" s="597">
        <v>2181</v>
      </c>
      <c r="I10" s="597">
        <v>2754</v>
      </c>
      <c r="J10" s="597">
        <v>2493</v>
      </c>
      <c r="K10" s="597">
        <v>2262</v>
      </c>
      <c r="L10" s="597">
        <v>2412</v>
      </c>
      <c r="M10" s="597">
        <v>2154</v>
      </c>
      <c r="N10" s="597">
        <v>3203</v>
      </c>
      <c r="O10" s="597">
        <v>2283</v>
      </c>
      <c r="P10" s="597">
        <v>3326</v>
      </c>
      <c r="Q10" s="597">
        <v>3044</v>
      </c>
      <c r="R10" s="597">
        <v>4363</v>
      </c>
      <c r="S10" s="598" t="s">
        <v>345</v>
      </c>
      <c r="T10" s="603"/>
      <c r="U10" s="587"/>
      <c r="V10" s="597"/>
      <c r="W10" s="587"/>
      <c r="X10" s="587"/>
      <c r="Y10" s="587"/>
      <c r="Z10" s="587"/>
      <c r="AA10" s="587"/>
      <c r="AB10" s="587"/>
      <c r="AC10" s="588"/>
      <c r="AD10" s="588"/>
      <c r="AE10" s="588"/>
      <c r="AF10" s="588"/>
      <c r="AG10" s="588"/>
      <c r="AH10" s="588"/>
      <c r="AI10" s="588"/>
      <c r="AJ10" s="588"/>
      <c r="AK10" s="588"/>
      <c r="AL10" s="588"/>
      <c r="AM10" s="588"/>
      <c r="AN10" s="588"/>
      <c r="AO10" s="588"/>
      <c r="AP10" s="588"/>
      <c r="AQ10" s="588"/>
      <c r="AR10" s="588"/>
      <c r="AS10" s="588"/>
      <c r="AT10" s="588"/>
      <c r="AU10" s="588"/>
      <c r="AV10" s="588"/>
      <c r="AW10" s="588"/>
      <c r="AX10" s="588"/>
      <c r="AY10" s="588"/>
      <c r="AZ10" s="588"/>
      <c r="BA10" s="588"/>
      <c r="BB10" s="588"/>
      <c r="BC10" s="588"/>
      <c r="BD10" s="588"/>
      <c r="BE10" s="588"/>
      <c r="BF10" s="588"/>
      <c r="BG10" s="588"/>
      <c r="BH10" s="588"/>
      <c r="BI10" s="588"/>
      <c r="BJ10" s="588"/>
      <c r="BK10" s="588"/>
      <c r="BL10" s="588"/>
      <c r="BM10" s="588"/>
      <c r="BN10" s="588"/>
      <c r="BO10" s="588"/>
      <c r="BP10" s="588"/>
      <c r="BQ10" s="588"/>
      <c r="BR10" s="588"/>
      <c r="BS10" s="588"/>
      <c r="BT10" s="588"/>
      <c r="BU10" s="588"/>
      <c r="BV10" s="588"/>
      <c r="BW10" s="588"/>
      <c r="BX10" s="588"/>
      <c r="BY10" s="588"/>
      <c r="BZ10" s="588"/>
      <c r="CA10" s="588"/>
      <c r="CB10" s="588"/>
      <c r="CC10" s="588"/>
      <c r="CD10" s="588"/>
      <c r="CE10" s="588"/>
      <c r="CF10" s="588"/>
      <c r="CG10" s="588"/>
      <c r="CH10" s="588"/>
      <c r="CI10" s="588"/>
      <c r="CJ10" s="588"/>
      <c r="CK10" s="588"/>
      <c r="CL10" s="588"/>
      <c r="CM10" s="588"/>
      <c r="CN10" s="588"/>
      <c r="CO10" s="588"/>
      <c r="CP10" s="588"/>
      <c r="CQ10" s="588"/>
      <c r="CR10" s="588"/>
      <c r="CS10" s="588"/>
      <c r="CT10" s="588"/>
      <c r="CU10" s="588"/>
      <c r="CV10" s="588"/>
      <c r="CW10" s="588"/>
      <c r="CX10" s="588"/>
      <c r="CY10" s="588"/>
      <c r="CZ10" s="588"/>
      <c r="DA10" s="588"/>
      <c r="DB10" s="588"/>
      <c r="DC10" s="588"/>
      <c r="DD10" s="588"/>
      <c r="DE10" s="588"/>
      <c r="DF10" s="588"/>
      <c r="DG10" s="588"/>
      <c r="DH10" s="588"/>
      <c r="DI10" s="588"/>
      <c r="DJ10" s="588"/>
      <c r="DK10" s="588"/>
      <c r="DL10" s="588"/>
      <c r="DM10" s="588"/>
      <c r="DN10" s="588"/>
      <c r="DO10" s="588"/>
      <c r="DP10" s="588"/>
      <c r="DQ10" s="588"/>
      <c r="DR10" s="588"/>
      <c r="DS10" s="588"/>
      <c r="DT10" s="588"/>
      <c r="DU10" s="588"/>
      <c r="DV10" s="588"/>
      <c r="DW10" s="588"/>
      <c r="DX10" s="588"/>
      <c r="DY10" s="588"/>
      <c r="DZ10" s="588"/>
      <c r="EA10" s="588"/>
      <c r="EB10" s="588"/>
      <c r="EC10" s="588"/>
      <c r="ED10" s="588"/>
      <c r="EE10" s="588"/>
      <c r="EF10" s="588"/>
      <c r="EG10" s="588"/>
      <c r="EH10" s="588"/>
      <c r="EI10" s="588"/>
      <c r="EJ10" s="588"/>
      <c r="EK10" s="588"/>
      <c r="EL10" s="588"/>
      <c r="EM10" s="588"/>
      <c r="EN10" s="588"/>
    </row>
    <row r="11" spans="1:144" s="589" customFormat="1" ht="17.25">
      <c r="A11" s="604" t="s">
        <v>346</v>
      </c>
      <c r="B11" s="605">
        <v>6960</v>
      </c>
      <c r="C11" s="605">
        <v>6751</v>
      </c>
      <c r="D11" s="605">
        <v>6775</v>
      </c>
      <c r="E11" s="605">
        <v>7267</v>
      </c>
      <c r="F11" s="605">
        <v>8134</v>
      </c>
      <c r="G11" s="606">
        <v>7776</v>
      </c>
      <c r="H11" s="607">
        <v>7186</v>
      </c>
      <c r="I11" s="607">
        <v>8715</v>
      </c>
      <c r="J11" s="607">
        <v>8855</v>
      </c>
      <c r="K11" s="607">
        <v>9293</v>
      </c>
      <c r="L11" s="607">
        <v>8542</v>
      </c>
      <c r="M11" s="607">
        <v>9654</v>
      </c>
      <c r="N11" s="607">
        <v>11045</v>
      </c>
      <c r="O11" s="607">
        <v>12170</v>
      </c>
      <c r="P11" s="607">
        <v>12617</v>
      </c>
      <c r="Q11" s="607">
        <v>10259</v>
      </c>
      <c r="R11" s="607">
        <v>10378</v>
      </c>
      <c r="S11" s="608" t="s">
        <v>347</v>
      </c>
      <c r="T11" s="603"/>
      <c r="U11" s="587"/>
      <c r="V11" s="597"/>
      <c r="W11" s="587"/>
      <c r="X11" s="587"/>
      <c r="Y11" s="587"/>
      <c r="Z11" s="587"/>
      <c r="AA11" s="587"/>
      <c r="AB11" s="587"/>
      <c r="AC11" s="588"/>
      <c r="AD11" s="588"/>
      <c r="AE11" s="588"/>
      <c r="AF11" s="588"/>
      <c r="AG11" s="588"/>
      <c r="AH11" s="588"/>
      <c r="AI11" s="588"/>
      <c r="AJ11" s="588"/>
      <c r="AK11" s="588"/>
      <c r="AL11" s="588"/>
      <c r="AM11" s="588"/>
      <c r="AN11" s="588"/>
      <c r="AO11" s="588"/>
      <c r="AP11" s="588"/>
      <c r="AQ11" s="588"/>
      <c r="AR11" s="588"/>
      <c r="AS11" s="588"/>
      <c r="AT11" s="588"/>
      <c r="AU11" s="588"/>
      <c r="AV11" s="588"/>
      <c r="AW11" s="588"/>
      <c r="AX11" s="588"/>
      <c r="AY11" s="588"/>
      <c r="AZ11" s="588"/>
      <c r="BA11" s="588"/>
      <c r="BB11" s="588"/>
      <c r="BC11" s="588"/>
      <c r="BD11" s="588"/>
      <c r="BE11" s="588"/>
      <c r="BF11" s="588"/>
      <c r="BG11" s="588"/>
      <c r="BH11" s="588"/>
      <c r="BI11" s="588"/>
      <c r="BJ11" s="588"/>
      <c r="BK11" s="588"/>
      <c r="BL11" s="588"/>
      <c r="BM11" s="588"/>
      <c r="BN11" s="588"/>
      <c r="BO11" s="588"/>
      <c r="BP11" s="588"/>
      <c r="BQ11" s="588"/>
      <c r="BR11" s="588"/>
      <c r="BS11" s="588"/>
      <c r="BT11" s="588"/>
      <c r="BU11" s="588"/>
      <c r="BV11" s="588"/>
      <c r="BW11" s="588"/>
      <c r="BX11" s="588"/>
      <c r="BY11" s="588"/>
      <c r="BZ11" s="588"/>
      <c r="CA11" s="588"/>
      <c r="CB11" s="588"/>
      <c r="CC11" s="588"/>
      <c r="CD11" s="588"/>
      <c r="CE11" s="588"/>
      <c r="CF11" s="588"/>
      <c r="CG11" s="588"/>
      <c r="CH11" s="588"/>
      <c r="CI11" s="588"/>
      <c r="CJ11" s="588"/>
      <c r="CK11" s="588"/>
      <c r="CL11" s="588"/>
      <c r="CM11" s="588"/>
      <c r="CN11" s="588"/>
      <c r="CO11" s="588"/>
      <c r="CP11" s="588"/>
      <c r="CQ11" s="588"/>
      <c r="CR11" s="588"/>
      <c r="CS11" s="588"/>
      <c r="CT11" s="588"/>
      <c r="CU11" s="588"/>
      <c r="CV11" s="588"/>
      <c r="CW11" s="588"/>
      <c r="CX11" s="588"/>
      <c r="CY11" s="588"/>
      <c r="CZ11" s="588"/>
      <c r="DA11" s="588"/>
      <c r="DB11" s="588"/>
      <c r="DC11" s="588"/>
      <c r="DD11" s="588"/>
      <c r="DE11" s="588"/>
      <c r="DF11" s="588"/>
      <c r="DG11" s="588"/>
      <c r="DH11" s="588"/>
      <c r="DI11" s="588"/>
      <c r="DJ11" s="588"/>
      <c r="DK11" s="588"/>
      <c r="DL11" s="588"/>
      <c r="DM11" s="588"/>
      <c r="DN11" s="588"/>
      <c r="DO11" s="588"/>
      <c r="DP11" s="588"/>
      <c r="DQ11" s="588"/>
      <c r="DR11" s="588"/>
      <c r="DS11" s="588"/>
      <c r="DT11" s="588"/>
      <c r="DU11" s="588"/>
      <c r="DV11" s="588"/>
      <c r="DW11" s="588"/>
      <c r="DX11" s="588"/>
      <c r="DY11" s="588"/>
      <c r="DZ11" s="588"/>
      <c r="EA11" s="588"/>
      <c r="EB11" s="588"/>
      <c r="EC11" s="588"/>
      <c r="ED11" s="588"/>
      <c r="EE11" s="588"/>
      <c r="EF11" s="588"/>
      <c r="EG11" s="588"/>
      <c r="EH11" s="588"/>
      <c r="EI11" s="588"/>
      <c r="EJ11" s="588"/>
      <c r="EK11" s="588"/>
      <c r="EL11" s="588"/>
      <c r="EM11" s="588"/>
      <c r="EN11" s="588"/>
    </row>
    <row r="12" spans="1:144" s="589" customFormat="1">
      <c r="A12" s="590" t="s">
        <v>182</v>
      </c>
      <c r="B12" s="609">
        <f>SUM(B14:B18)</f>
        <v>100</v>
      </c>
      <c r="C12" s="609">
        <f t="shared" ref="C12:I12" si="2">SUM(C14:C18)</f>
        <v>100</v>
      </c>
      <c r="D12" s="609">
        <f t="shared" si="2"/>
        <v>100</v>
      </c>
      <c r="E12" s="609">
        <f t="shared" si="2"/>
        <v>100</v>
      </c>
      <c r="F12" s="609">
        <f t="shared" si="2"/>
        <v>100</v>
      </c>
      <c r="G12" s="609">
        <f t="shared" si="2"/>
        <v>100</v>
      </c>
      <c r="H12" s="609">
        <f t="shared" si="2"/>
        <v>100</v>
      </c>
      <c r="I12" s="609">
        <f t="shared" si="2"/>
        <v>100</v>
      </c>
      <c r="J12" s="609">
        <f>SUM(J13:J18)</f>
        <v>100</v>
      </c>
      <c r="K12" s="609">
        <f t="shared" ref="K12:O12" si="3">SUM(K13:K18)</f>
        <v>100</v>
      </c>
      <c r="L12" s="609">
        <f t="shared" si="3"/>
        <v>100</v>
      </c>
      <c r="M12" s="609">
        <f t="shared" si="3"/>
        <v>100</v>
      </c>
      <c r="N12" s="609">
        <f t="shared" si="3"/>
        <v>100</v>
      </c>
      <c r="O12" s="609">
        <f t="shared" si="3"/>
        <v>100</v>
      </c>
      <c r="P12" s="609">
        <f>SUM(P13:P18)</f>
        <v>100</v>
      </c>
      <c r="Q12" s="609">
        <f>SUM(Q13:Q18)</f>
        <v>100</v>
      </c>
      <c r="R12" s="609">
        <f>SUM(R13:R18)</f>
        <v>100</v>
      </c>
      <c r="S12" s="592" t="s">
        <v>348</v>
      </c>
      <c r="T12" s="593"/>
      <c r="U12" s="587"/>
      <c r="V12" s="587"/>
      <c r="W12" s="587"/>
      <c r="X12" s="587"/>
      <c r="Y12" s="587"/>
      <c r="Z12" s="587"/>
      <c r="AA12" s="587"/>
      <c r="AB12" s="587"/>
      <c r="AC12" s="588"/>
      <c r="AD12" s="588"/>
      <c r="AE12" s="588"/>
      <c r="AF12" s="588"/>
      <c r="AG12" s="588"/>
      <c r="AH12" s="588"/>
      <c r="AI12" s="588"/>
      <c r="AJ12" s="588"/>
      <c r="AK12" s="588"/>
      <c r="AL12" s="588"/>
      <c r="AM12" s="588"/>
      <c r="AN12" s="588"/>
      <c r="AO12" s="588"/>
      <c r="AP12" s="588"/>
      <c r="AQ12" s="588"/>
      <c r="AR12" s="588"/>
      <c r="AS12" s="588"/>
      <c r="AT12" s="588"/>
      <c r="AU12" s="588"/>
      <c r="AV12" s="588"/>
      <c r="AW12" s="588"/>
      <c r="AX12" s="588"/>
      <c r="AY12" s="588"/>
      <c r="AZ12" s="588"/>
      <c r="BA12" s="588"/>
      <c r="BB12" s="588"/>
      <c r="BC12" s="588"/>
      <c r="BD12" s="588"/>
      <c r="BE12" s="588"/>
      <c r="BF12" s="588"/>
      <c r="BG12" s="588"/>
      <c r="BH12" s="588"/>
      <c r="BI12" s="588"/>
      <c r="BJ12" s="588"/>
      <c r="BK12" s="588"/>
      <c r="BL12" s="588"/>
      <c r="BM12" s="588"/>
      <c r="BN12" s="588"/>
      <c r="BO12" s="588"/>
      <c r="BP12" s="588"/>
      <c r="BQ12" s="588"/>
      <c r="BR12" s="588"/>
      <c r="BS12" s="588"/>
      <c r="BT12" s="588"/>
      <c r="BU12" s="588"/>
      <c r="BV12" s="588"/>
      <c r="BW12" s="588"/>
      <c r="BX12" s="588"/>
      <c r="BY12" s="588"/>
      <c r="BZ12" s="588"/>
      <c r="CA12" s="588"/>
      <c r="CB12" s="588"/>
      <c r="CC12" s="588"/>
      <c r="CD12" s="588"/>
      <c r="CE12" s="588"/>
      <c r="CF12" s="588"/>
      <c r="CG12" s="588"/>
      <c r="CH12" s="588"/>
      <c r="CI12" s="588"/>
      <c r="CJ12" s="588"/>
      <c r="CK12" s="588"/>
      <c r="CL12" s="588"/>
      <c r="CM12" s="588"/>
      <c r="CN12" s="588"/>
      <c r="CO12" s="588"/>
      <c r="CP12" s="588"/>
      <c r="CQ12" s="588"/>
      <c r="CR12" s="588"/>
      <c r="CS12" s="588"/>
      <c r="CT12" s="588"/>
      <c r="CU12" s="588"/>
      <c r="CV12" s="588"/>
      <c r="CW12" s="588"/>
      <c r="CX12" s="588"/>
      <c r="CY12" s="588"/>
      <c r="CZ12" s="588"/>
      <c r="DA12" s="588"/>
      <c r="DB12" s="588"/>
      <c r="DC12" s="588"/>
      <c r="DD12" s="588"/>
      <c r="DE12" s="588"/>
      <c r="DF12" s="588"/>
      <c r="DG12" s="588"/>
      <c r="DH12" s="588"/>
      <c r="DI12" s="588"/>
      <c r="DJ12" s="588"/>
      <c r="DK12" s="588"/>
      <c r="DL12" s="588"/>
      <c r="DM12" s="588"/>
      <c r="DN12" s="588"/>
      <c r="DO12" s="588"/>
      <c r="DP12" s="588"/>
      <c r="DQ12" s="588"/>
      <c r="DR12" s="588"/>
      <c r="DS12" s="588"/>
      <c r="DT12" s="588"/>
      <c r="DU12" s="588"/>
      <c r="DV12" s="588"/>
      <c r="DW12" s="588"/>
      <c r="DX12" s="588"/>
      <c r="DY12" s="588"/>
      <c r="DZ12" s="588"/>
      <c r="EA12" s="588"/>
      <c r="EB12" s="588"/>
      <c r="EC12" s="588"/>
      <c r="ED12" s="588"/>
      <c r="EE12" s="588"/>
      <c r="EF12" s="588"/>
      <c r="EG12" s="588"/>
      <c r="EH12" s="588"/>
      <c r="EI12" s="588"/>
      <c r="EJ12" s="588"/>
      <c r="EK12" s="588"/>
      <c r="EL12" s="588"/>
      <c r="EM12" s="588"/>
      <c r="EN12" s="588"/>
    </row>
    <row r="13" spans="1:144" s="589" customFormat="1" ht="17.25">
      <c r="A13" s="610" t="s">
        <v>336</v>
      </c>
      <c r="B13" s="609"/>
      <c r="C13" s="609"/>
      <c r="D13" s="609"/>
      <c r="E13" s="609"/>
      <c r="F13" s="609"/>
      <c r="G13" s="609"/>
      <c r="H13" s="609"/>
      <c r="I13" s="609"/>
      <c r="J13" s="609" t="s">
        <v>349</v>
      </c>
      <c r="K13" s="609" t="s">
        <v>349</v>
      </c>
      <c r="L13" s="611">
        <f t="shared" ref="L13:O13" si="4">SUM(L6/L5)*100</f>
        <v>0.67694884499965102</v>
      </c>
      <c r="M13" s="611">
        <f t="shared" si="4"/>
        <v>2.7921220127296746</v>
      </c>
      <c r="N13" s="611">
        <f t="shared" si="4"/>
        <v>3.4577864037999895</v>
      </c>
      <c r="O13" s="611">
        <f t="shared" si="4"/>
        <v>6.5610158992360113</v>
      </c>
      <c r="P13" s="612">
        <f>SUM(P6/P5)*100</f>
        <v>6.2904628466518506</v>
      </c>
      <c r="Q13" s="612">
        <f>SUM(Q6/Q5)*100</f>
        <v>8.768971332209107</v>
      </c>
      <c r="R13" s="612">
        <f>SUM(R6/R5)*100</f>
        <v>7.6491688980952866</v>
      </c>
      <c r="S13" s="598" t="s">
        <v>337</v>
      </c>
      <c r="T13" s="593"/>
      <c r="U13" s="587"/>
      <c r="V13" s="587"/>
      <c r="W13" s="587"/>
      <c r="X13" s="587"/>
      <c r="Y13" s="587"/>
      <c r="Z13" s="587"/>
      <c r="AA13" s="587"/>
      <c r="AB13" s="587"/>
      <c r="AC13" s="588"/>
      <c r="AD13" s="588"/>
      <c r="AE13" s="588"/>
      <c r="AF13" s="588"/>
      <c r="AG13" s="588"/>
      <c r="AH13" s="588"/>
      <c r="AI13" s="588"/>
      <c r="AJ13" s="588"/>
      <c r="AK13" s="588"/>
      <c r="AL13" s="588"/>
      <c r="AM13" s="588"/>
      <c r="AN13" s="588"/>
      <c r="AO13" s="588"/>
      <c r="AP13" s="588"/>
      <c r="AQ13" s="588"/>
      <c r="AR13" s="588"/>
      <c r="AS13" s="588"/>
      <c r="AT13" s="588"/>
      <c r="AU13" s="588"/>
      <c r="AV13" s="588"/>
      <c r="AW13" s="588"/>
      <c r="AX13" s="588"/>
      <c r="AY13" s="588"/>
      <c r="AZ13" s="588"/>
      <c r="BA13" s="588"/>
      <c r="BB13" s="588"/>
      <c r="BC13" s="588"/>
      <c r="BD13" s="588"/>
      <c r="BE13" s="588"/>
      <c r="BF13" s="588"/>
      <c r="BG13" s="588"/>
      <c r="BH13" s="588"/>
      <c r="BI13" s="588"/>
      <c r="BJ13" s="588"/>
      <c r="BK13" s="588"/>
      <c r="BL13" s="588"/>
      <c r="BM13" s="588"/>
      <c r="BN13" s="588"/>
      <c r="BO13" s="588"/>
      <c r="BP13" s="588"/>
      <c r="BQ13" s="588"/>
      <c r="BR13" s="588"/>
      <c r="BS13" s="588"/>
      <c r="BT13" s="588"/>
      <c r="BU13" s="588"/>
      <c r="BV13" s="588"/>
      <c r="BW13" s="588"/>
      <c r="BX13" s="588"/>
      <c r="BY13" s="588"/>
      <c r="BZ13" s="588"/>
      <c r="CA13" s="588"/>
      <c r="CB13" s="588"/>
      <c r="CC13" s="588"/>
      <c r="CD13" s="588"/>
      <c r="CE13" s="588"/>
      <c r="CF13" s="588"/>
      <c r="CG13" s="588"/>
      <c r="CH13" s="588"/>
      <c r="CI13" s="588"/>
      <c r="CJ13" s="588"/>
      <c r="CK13" s="588"/>
      <c r="CL13" s="588"/>
      <c r="CM13" s="588"/>
      <c r="CN13" s="588"/>
      <c r="CO13" s="588"/>
      <c r="CP13" s="588"/>
      <c r="CQ13" s="588"/>
      <c r="CR13" s="588"/>
      <c r="CS13" s="588"/>
      <c r="CT13" s="588"/>
      <c r="CU13" s="588"/>
      <c r="CV13" s="588"/>
      <c r="CW13" s="588"/>
      <c r="CX13" s="588"/>
      <c r="CY13" s="588"/>
      <c r="CZ13" s="588"/>
      <c r="DA13" s="588"/>
      <c r="DB13" s="588"/>
      <c r="DC13" s="588"/>
      <c r="DD13" s="588"/>
      <c r="DE13" s="588"/>
      <c r="DF13" s="588"/>
      <c r="DG13" s="588"/>
      <c r="DH13" s="588"/>
      <c r="DI13" s="588"/>
      <c r="DJ13" s="588"/>
      <c r="DK13" s="588"/>
      <c r="DL13" s="588"/>
      <c r="DM13" s="588"/>
      <c r="DN13" s="588"/>
      <c r="DO13" s="588"/>
      <c r="DP13" s="588"/>
      <c r="DQ13" s="588"/>
      <c r="DR13" s="588"/>
      <c r="DS13" s="588"/>
      <c r="DT13" s="588"/>
      <c r="DU13" s="588"/>
      <c r="DV13" s="588"/>
      <c r="DW13" s="588"/>
      <c r="DX13" s="588"/>
      <c r="DY13" s="588"/>
      <c r="DZ13" s="588"/>
      <c r="EA13" s="588"/>
      <c r="EB13" s="588"/>
      <c r="EC13" s="588"/>
      <c r="ED13" s="588"/>
      <c r="EE13" s="588"/>
      <c r="EF13" s="588"/>
      <c r="EG13" s="588"/>
      <c r="EH13" s="588"/>
      <c r="EI13" s="588"/>
      <c r="EJ13" s="588"/>
      <c r="EK13" s="588"/>
      <c r="EL13" s="588"/>
      <c r="EM13" s="588"/>
      <c r="EN13" s="588"/>
    </row>
    <row r="14" spans="1:144" s="589" customFormat="1" ht="17.25">
      <c r="A14" s="594" t="s">
        <v>338</v>
      </c>
      <c r="B14" s="613">
        <f t="shared" ref="B14:R14" si="5">SUM(B7/B5)*100</f>
        <v>1.0976594027441486</v>
      </c>
      <c r="C14" s="613">
        <f t="shared" si="5"/>
        <v>1.8556154457895202</v>
      </c>
      <c r="D14" s="613">
        <f t="shared" si="5"/>
        <v>1.7074981440237564</v>
      </c>
      <c r="E14" s="613">
        <f t="shared" si="5"/>
        <v>0.7103328652845462</v>
      </c>
      <c r="F14" s="613">
        <f t="shared" si="5"/>
        <v>1.0934393638170974</v>
      </c>
      <c r="G14" s="613">
        <f t="shared" si="5"/>
        <v>0.74529667149059331</v>
      </c>
      <c r="H14" s="613">
        <f t="shared" si="5"/>
        <v>0.47983902174754278</v>
      </c>
      <c r="I14" s="613">
        <f t="shared" si="5"/>
        <v>0.65637306995061573</v>
      </c>
      <c r="J14" s="613">
        <f t="shared" si="5"/>
        <v>1.4032987496674647</v>
      </c>
      <c r="K14" s="613">
        <f t="shared" si="5"/>
        <v>0.83616587355540462</v>
      </c>
      <c r="L14" s="613">
        <f t="shared" si="5"/>
        <v>0.65601228278316703</v>
      </c>
      <c r="M14" s="613">
        <f t="shared" si="5"/>
        <v>0.73255674312477481</v>
      </c>
      <c r="N14" s="613">
        <f t="shared" si="5"/>
        <v>0.41370856529955563</v>
      </c>
      <c r="O14" s="613">
        <f t="shared" si="5"/>
        <v>0.13421432996076813</v>
      </c>
      <c r="P14" s="613">
        <f t="shared" si="5"/>
        <v>0.14977292492028216</v>
      </c>
      <c r="Q14" s="613">
        <f t="shared" si="5"/>
        <v>0.23935157482456618</v>
      </c>
      <c r="R14" s="613">
        <f t="shared" si="5"/>
        <v>9.0941241853180421E-2</v>
      </c>
      <c r="S14" s="598" t="s">
        <v>339</v>
      </c>
      <c r="T14" s="593"/>
      <c r="U14" s="587"/>
      <c r="V14" s="587"/>
      <c r="W14" s="587"/>
      <c r="X14" s="587"/>
      <c r="Y14" s="587"/>
      <c r="Z14" s="587"/>
      <c r="AA14" s="587"/>
      <c r="AB14" s="587"/>
      <c r="AC14" s="588"/>
      <c r="AD14" s="588"/>
      <c r="AE14" s="588"/>
      <c r="AF14" s="588"/>
      <c r="AG14" s="588"/>
      <c r="AH14" s="588"/>
      <c r="AI14" s="588"/>
      <c r="AJ14" s="588"/>
      <c r="AK14" s="588"/>
      <c r="AL14" s="588"/>
      <c r="AM14" s="588"/>
      <c r="AN14" s="588"/>
      <c r="AO14" s="588"/>
      <c r="AP14" s="588"/>
      <c r="AQ14" s="588"/>
      <c r="AR14" s="588"/>
      <c r="AS14" s="588"/>
      <c r="AT14" s="588"/>
      <c r="AU14" s="588"/>
      <c r="AV14" s="588"/>
      <c r="AW14" s="588"/>
      <c r="AX14" s="588"/>
      <c r="AY14" s="588"/>
      <c r="AZ14" s="588"/>
      <c r="BA14" s="588"/>
      <c r="BB14" s="588"/>
      <c r="BC14" s="588"/>
      <c r="BD14" s="588"/>
      <c r="BE14" s="588"/>
      <c r="BF14" s="588"/>
      <c r="BG14" s="588"/>
      <c r="BH14" s="588"/>
      <c r="BI14" s="588"/>
      <c r="BJ14" s="588"/>
      <c r="BK14" s="588"/>
      <c r="BL14" s="588"/>
      <c r="BM14" s="588"/>
      <c r="BN14" s="588"/>
      <c r="BO14" s="588"/>
      <c r="BP14" s="588"/>
      <c r="BQ14" s="588"/>
      <c r="BR14" s="588"/>
      <c r="BS14" s="588"/>
      <c r="BT14" s="588"/>
      <c r="BU14" s="588"/>
      <c r="BV14" s="588"/>
      <c r="BW14" s="588"/>
      <c r="BX14" s="588"/>
      <c r="BY14" s="588"/>
      <c r="BZ14" s="588"/>
      <c r="CA14" s="588"/>
      <c r="CB14" s="588"/>
      <c r="CC14" s="588"/>
      <c r="CD14" s="588"/>
      <c r="CE14" s="588"/>
      <c r="CF14" s="588"/>
      <c r="CG14" s="588"/>
      <c r="CH14" s="588"/>
      <c r="CI14" s="588"/>
      <c r="CJ14" s="588"/>
      <c r="CK14" s="588"/>
      <c r="CL14" s="588"/>
      <c r="CM14" s="588"/>
      <c r="CN14" s="588"/>
      <c r="CO14" s="588"/>
      <c r="CP14" s="588"/>
      <c r="CQ14" s="588"/>
      <c r="CR14" s="588"/>
      <c r="CS14" s="588"/>
      <c r="CT14" s="588"/>
      <c r="CU14" s="588"/>
      <c r="CV14" s="588"/>
      <c r="CW14" s="588"/>
      <c r="CX14" s="588"/>
      <c r="CY14" s="588"/>
      <c r="CZ14" s="588"/>
      <c r="DA14" s="588"/>
      <c r="DB14" s="588"/>
      <c r="DC14" s="588"/>
      <c r="DD14" s="588"/>
      <c r="DE14" s="588"/>
      <c r="DF14" s="588"/>
      <c r="DG14" s="588"/>
      <c r="DH14" s="588"/>
      <c r="DI14" s="588"/>
      <c r="DJ14" s="588"/>
      <c r="DK14" s="588"/>
      <c r="DL14" s="588"/>
      <c r="DM14" s="588"/>
      <c r="DN14" s="588"/>
      <c r="DO14" s="588"/>
      <c r="DP14" s="588"/>
      <c r="DQ14" s="588"/>
      <c r="DR14" s="588"/>
      <c r="DS14" s="588"/>
      <c r="DT14" s="588"/>
      <c r="DU14" s="588"/>
      <c r="DV14" s="588"/>
      <c r="DW14" s="588"/>
      <c r="DX14" s="588"/>
      <c r="DY14" s="588"/>
      <c r="DZ14" s="588"/>
      <c r="EA14" s="588"/>
      <c r="EB14" s="588"/>
      <c r="EC14" s="588"/>
      <c r="ED14" s="588"/>
      <c r="EE14" s="588"/>
      <c r="EF14" s="588"/>
      <c r="EG14" s="588"/>
      <c r="EH14" s="588"/>
      <c r="EI14" s="588"/>
      <c r="EJ14" s="588"/>
      <c r="EK14" s="588"/>
      <c r="EL14" s="588"/>
      <c r="EM14" s="588"/>
      <c r="EN14" s="588"/>
    </row>
    <row r="15" spans="1:144" s="589" customFormat="1" ht="17.25">
      <c r="A15" s="594" t="s">
        <v>340</v>
      </c>
      <c r="B15" s="613">
        <f t="shared" ref="B15:R15" si="6">SUM(B8/B5)*100</f>
        <v>10.508474576271185</v>
      </c>
      <c r="C15" s="613">
        <f t="shared" si="6"/>
        <v>11.769903684722099</v>
      </c>
      <c r="D15" s="613">
        <f t="shared" si="6"/>
        <v>13.001113585746102</v>
      </c>
      <c r="E15" s="613">
        <f t="shared" si="6"/>
        <v>15.404311555298589</v>
      </c>
      <c r="F15" s="613">
        <f t="shared" si="6"/>
        <v>14.441919909116729</v>
      </c>
      <c r="G15" s="613">
        <f t="shared" si="6"/>
        <v>14.334298118668595</v>
      </c>
      <c r="H15" s="613">
        <f t="shared" si="6"/>
        <v>15.726336970822691</v>
      </c>
      <c r="I15" s="613">
        <f t="shared" si="6"/>
        <v>13.05869850596987</v>
      </c>
      <c r="J15" s="613">
        <f t="shared" si="6"/>
        <v>13.594040968342643</v>
      </c>
      <c r="K15" s="613">
        <f t="shared" si="6"/>
        <v>13.569000679809653</v>
      </c>
      <c r="L15" s="613">
        <f t="shared" si="6"/>
        <v>15.311605834322004</v>
      </c>
      <c r="M15" s="613">
        <f t="shared" si="6"/>
        <v>15.551819382730875</v>
      </c>
      <c r="N15" s="613">
        <f t="shared" si="6"/>
        <v>13.361254405230094</v>
      </c>
      <c r="O15" s="613">
        <f t="shared" si="6"/>
        <v>13.178814784224654</v>
      </c>
      <c r="P15" s="613">
        <f t="shared" si="6"/>
        <v>12.378007536960093</v>
      </c>
      <c r="Q15" s="613">
        <f t="shared" si="6"/>
        <v>13.833433063156178</v>
      </c>
      <c r="R15" s="613">
        <f t="shared" si="6"/>
        <v>13.580558783408275</v>
      </c>
      <c r="S15" s="598" t="s">
        <v>341</v>
      </c>
      <c r="T15" s="593"/>
      <c r="U15" s="587"/>
      <c r="V15" s="587"/>
      <c r="W15" s="587"/>
      <c r="X15" s="587"/>
      <c r="Y15" s="587"/>
      <c r="Z15" s="587"/>
      <c r="AA15" s="587"/>
      <c r="AB15" s="587"/>
      <c r="AC15" s="588"/>
      <c r="AD15" s="588"/>
      <c r="AE15" s="588"/>
      <c r="AF15" s="588"/>
      <c r="AG15" s="588"/>
      <c r="AH15" s="588"/>
      <c r="AI15" s="588"/>
      <c r="AJ15" s="588"/>
      <c r="AK15" s="588"/>
      <c r="AL15" s="588"/>
      <c r="AM15" s="588"/>
      <c r="AN15" s="588"/>
      <c r="AO15" s="588"/>
      <c r="AP15" s="588"/>
      <c r="AQ15" s="588"/>
      <c r="AR15" s="588"/>
      <c r="AS15" s="588"/>
      <c r="AT15" s="588"/>
      <c r="AU15" s="588"/>
      <c r="AV15" s="588"/>
      <c r="AW15" s="588"/>
      <c r="AX15" s="588"/>
      <c r="AY15" s="588"/>
      <c r="AZ15" s="588"/>
      <c r="BA15" s="588"/>
      <c r="BB15" s="588"/>
      <c r="BC15" s="588"/>
      <c r="BD15" s="588"/>
      <c r="BE15" s="588"/>
      <c r="BF15" s="588"/>
      <c r="BG15" s="588"/>
      <c r="BH15" s="588"/>
      <c r="BI15" s="588"/>
      <c r="BJ15" s="588"/>
      <c r="BK15" s="588"/>
      <c r="BL15" s="588"/>
      <c r="BM15" s="588"/>
      <c r="BN15" s="588"/>
      <c r="BO15" s="588"/>
      <c r="BP15" s="588"/>
      <c r="BQ15" s="588"/>
      <c r="BR15" s="588"/>
      <c r="BS15" s="588"/>
      <c r="BT15" s="588"/>
      <c r="BU15" s="588"/>
      <c r="BV15" s="588"/>
      <c r="BW15" s="588"/>
      <c r="BX15" s="588"/>
      <c r="BY15" s="588"/>
      <c r="BZ15" s="588"/>
      <c r="CA15" s="588"/>
      <c r="CB15" s="588"/>
      <c r="CC15" s="588"/>
      <c r="CD15" s="588"/>
      <c r="CE15" s="588"/>
      <c r="CF15" s="588"/>
      <c r="CG15" s="588"/>
      <c r="CH15" s="588"/>
      <c r="CI15" s="588"/>
      <c r="CJ15" s="588"/>
      <c r="CK15" s="588"/>
      <c r="CL15" s="588"/>
      <c r="CM15" s="588"/>
      <c r="CN15" s="588"/>
      <c r="CO15" s="588"/>
      <c r="CP15" s="588"/>
      <c r="CQ15" s="588"/>
      <c r="CR15" s="588"/>
      <c r="CS15" s="588"/>
      <c r="CT15" s="588"/>
      <c r="CU15" s="588"/>
      <c r="CV15" s="588"/>
      <c r="CW15" s="588"/>
      <c r="CX15" s="588"/>
      <c r="CY15" s="588"/>
      <c r="CZ15" s="588"/>
      <c r="DA15" s="588"/>
      <c r="DB15" s="588"/>
      <c r="DC15" s="588"/>
      <c r="DD15" s="588"/>
      <c r="DE15" s="588"/>
      <c r="DF15" s="588"/>
      <c r="DG15" s="588"/>
      <c r="DH15" s="588"/>
      <c r="DI15" s="588"/>
      <c r="DJ15" s="588"/>
      <c r="DK15" s="588"/>
      <c r="DL15" s="588"/>
      <c r="DM15" s="588"/>
      <c r="DN15" s="588"/>
      <c r="DO15" s="588"/>
      <c r="DP15" s="588"/>
      <c r="DQ15" s="588"/>
      <c r="DR15" s="588"/>
      <c r="DS15" s="588"/>
      <c r="DT15" s="588"/>
      <c r="DU15" s="588"/>
      <c r="DV15" s="588"/>
      <c r="DW15" s="588"/>
      <c r="DX15" s="588"/>
      <c r="DY15" s="588"/>
      <c r="DZ15" s="588"/>
      <c r="EA15" s="588"/>
      <c r="EB15" s="588"/>
      <c r="EC15" s="588"/>
      <c r="ED15" s="588"/>
      <c r="EE15" s="588"/>
      <c r="EF15" s="588"/>
      <c r="EG15" s="588"/>
      <c r="EH15" s="588"/>
      <c r="EI15" s="588"/>
      <c r="EJ15" s="588"/>
      <c r="EK15" s="588"/>
      <c r="EL15" s="588"/>
      <c r="EM15" s="588"/>
      <c r="EN15" s="588"/>
    </row>
    <row r="16" spans="1:144" s="589" customFormat="1" ht="17.25">
      <c r="A16" s="594" t="s">
        <v>342</v>
      </c>
      <c r="B16" s="613">
        <f t="shared" ref="B16:R16" si="7">SUM(B9/B5)*100</f>
        <v>13.720742534301856</v>
      </c>
      <c r="C16" s="613">
        <f t="shared" si="7"/>
        <v>9.4636387735265526</v>
      </c>
      <c r="D16" s="613">
        <f t="shared" si="7"/>
        <v>7.4053452115812917</v>
      </c>
      <c r="E16" s="613">
        <f t="shared" si="7"/>
        <v>7.8384405715701657</v>
      </c>
      <c r="F16" s="613">
        <f t="shared" si="7"/>
        <v>11.665719965918774</v>
      </c>
      <c r="G16" s="613">
        <f t="shared" si="7"/>
        <v>14.486251808972503</v>
      </c>
      <c r="H16" s="613">
        <f t="shared" si="7"/>
        <v>11.299435028248588</v>
      </c>
      <c r="I16" s="613">
        <f t="shared" si="7"/>
        <v>14.590235669187972</v>
      </c>
      <c r="J16" s="613">
        <f t="shared" si="7"/>
        <v>9.5304602287842517</v>
      </c>
      <c r="K16" s="613">
        <f t="shared" si="7"/>
        <v>7.0428280081577155</v>
      </c>
      <c r="L16" s="613">
        <f t="shared" si="7"/>
        <v>6.9090655314397367</v>
      </c>
      <c r="M16" s="613">
        <f t="shared" si="7"/>
        <v>10.02161642848565</v>
      </c>
      <c r="N16" s="613">
        <f t="shared" si="7"/>
        <v>9.9954032381633375</v>
      </c>
      <c r="O16" s="613">
        <f t="shared" si="7"/>
        <v>5.5182737972331193</v>
      </c>
      <c r="P16" s="613">
        <f t="shared" si="7"/>
        <v>4.1549908203691182</v>
      </c>
      <c r="Q16" s="613">
        <f t="shared" si="7"/>
        <v>4.7924713050100642</v>
      </c>
      <c r="R16" s="613">
        <f t="shared" si="7"/>
        <v>4.2035062901025615</v>
      </c>
      <c r="S16" s="598" t="s">
        <v>343</v>
      </c>
      <c r="T16" s="593"/>
      <c r="U16" s="587"/>
      <c r="V16" s="587"/>
      <c r="W16" s="587"/>
      <c r="X16" s="587"/>
      <c r="Y16" s="587"/>
      <c r="Z16" s="587"/>
      <c r="AA16" s="587"/>
      <c r="AB16" s="587"/>
      <c r="AC16" s="588"/>
      <c r="AD16" s="588"/>
      <c r="AE16" s="588"/>
      <c r="AF16" s="588"/>
      <c r="AG16" s="588"/>
      <c r="AH16" s="588"/>
      <c r="AI16" s="588"/>
      <c r="AJ16" s="588"/>
      <c r="AK16" s="588"/>
      <c r="AL16" s="588"/>
      <c r="AM16" s="588"/>
      <c r="AN16" s="588"/>
      <c r="AO16" s="588"/>
      <c r="AP16" s="588"/>
      <c r="AQ16" s="588"/>
      <c r="AR16" s="588"/>
      <c r="AS16" s="588"/>
      <c r="AT16" s="588"/>
      <c r="AU16" s="588"/>
      <c r="AV16" s="588"/>
      <c r="AW16" s="588"/>
      <c r="AX16" s="588"/>
      <c r="AY16" s="588"/>
      <c r="AZ16" s="588"/>
      <c r="BA16" s="588"/>
      <c r="BB16" s="588"/>
      <c r="BC16" s="588"/>
      <c r="BD16" s="588"/>
      <c r="BE16" s="588"/>
      <c r="BF16" s="588"/>
      <c r="BG16" s="588"/>
      <c r="BH16" s="588"/>
      <c r="BI16" s="588"/>
      <c r="BJ16" s="588"/>
      <c r="BK16" s="588"/>
      <c r="BL16" s="588"/>
      <c r="BM16" s="588"/>
      <c r="BN16" s="588"/>
      <c r="BO16" s="588"/>
      <c r="BP16" s="588"/>
      <c r="BQ16" s="588"/>
      <c r="BR16" s="588"/>
      <c r="BS16" s="588"/>
      <c r="BT16" s="588"/>
      <c r="BU16" s="588"/>
      <c r="BV16" s="588"/>
      <c r="BW16" s="588"/>
      <c r="BX16" s="588"/>
      <c r="BY16" s="588"/>
      <c r="BZ16" s="588"/>
      <c r="CA16" s="588"/>
      <c r="CB16" s="588"/>
      <c r="CC16" s="588"/>
      <c r="CD16" s="588"/>
      <c r="CE16" s="588"/>
      <c r="CF16" s="588"/>
      <c r="CG16" s="588"/>
      <c r="CH16" s="588"/>
      <c r="CI16" s="588"/>
      <c r="CJ16" s="588"/>
      <c r="CK16" s="588"/>
      <c r="CL16" s="588"/>
      <c r="CM16" s="588"/>
      <c r="CN16" s="588"/>
      <c r="CO16" s="588"/>
      <c r="CP16" s="588"/>
      <c r="CQ16" s="588"/>
      <c r="CR16" s="588"/>
      <c r="CS16" s="588"/>
      <c r="CT16" s="588"/>
      <c r="CU16" s="588"/>
      <c r="CV16" s="588"/>
      <c r="CW16" s="588"/>
      <c r="CX16" s="588"/>
      <c r="CY16" s="588"/>
      <c r="CZ16" s="588"/>
      <c r="DA16" s="588"/>
      <c r="DB16" s="588"/>
      <c r="DC16" s="588"/>
      <c r="DD16" s="588"/>
      <c r="DE16" s="588"/>
      <c r="DF16" s="588"/>
      <c r="DG16" s="588"/>
      <c r="DH16" s="588"/>
      <c r="DI16" s="588"/>
      <c r="DJ16" s="588"/>
      <c r="DK16" s="588"/>
      <c r="DL16" s="588"/>
      <c r="DM16" s="588"/>
      <c r="DN16" s="588"/>
      <c r="DO16" s="588"/>
      <c r="DP16" s="588"/>
      <c r="DQ16" s="588"/>
      <c r="DR16" s="588"/>
      <c r="DS16" s="588"/>
      <c r="DT16" s="588"/>
      <c r="DU16" s="588"/>
      <c r="DV16" s="588"/>
      <c r="DW16" s="588"/>
      <c r="DX16" s="588"/>
      <c r="DY16" s="588"/>
      <c r="DZ16" s="588"/>
      <c r="EA16" s="588"/>
      <c r="EB16" s="588"/>
      <c r="EC16" s="588"/>
      <c r="ED16" s="588"/>
      <c r="EE16" s="588"/>
      <c r="EF16" s="588"/>
      <c r="EG16" s="588"/>
      <c r="EH16" s="588"/>
      <c r="EI16" s="588"/>
      <c r="EJ16" s="588"/>
      <c r="EK16" s="588"/>
      <c r="EL16" s="588"/>
      <c r="EM16" s="588"/>
      <c r="EN16" s="588"/>
    </row>
    <row r="17" spans="1:144" s="618" customFormat="1" ht="17.25">
      <c r="A17" s="614" t="s">
        <v>344</v>
      </c>
      <c r="B17" s="615">
        <f t="shared" ref="B17:R17" si="8">SUM(B10/B5)*100</f>
        <v>18.498789346246973</v>
      </c>
      <c r="C17" s="615">
        <f t="shared" si="8"/>
        <v>17.257223645842537</v>
      </c>
      <c r="D17" s="615">
        <f t="shared" si="8"/>
        <v>15.014847809948032</v>
      </c>
      <c r="E17" s="615">
        <f t="shared" si="8"/>
        <v>16.02378789130255</v>
      </c>
      <c r="F17" s="615">
        <f t="shared" si="8"/>
        <v>15.045441635898893</v>
      </c>
      <c r="G17" s="615">
        <f t="shared" si="8"/>
        <v>14.167872648335745</v>
      </c>
      <c r="H17" s="615">
        <f t="shared" si="8"/>
        <v>16.879498490828883</v>
      </c>
      <c r="I17" s="615">
        <f t="shared" si="8"/>
        <v>17.215727948990438</v>
      </c>
      <c r="J17" s="615">
        <f t="shared" si="8"/>
        <v>16.580207501995211</v>
      </c>
      <c r="K17" s="615">
        <f t="shared" si="8"/>
        <v>15.377294357579876</v>
      </c>
      <c r="L17" s="615">
        <f t="shared" si="8"/>
        <v>16.83299602205318</v>
      </c>
      <c r="M17" s="615">
        <f t="shared" si="8"/>
        <v>12.933829710580042</v>
      </c>
      <c r="N17" s="615">
        <f t="shared" si="8"/>
        <v>16.359364625363909</v>
      </c>
      <c r="O17" s="615">
        <f t="shared" si="8"/>
        <v>11.785050588478216</v>
      </c>
      <c r="P17" s="615">
        <f t="shared" si="8"/>
        <v>16.069185428543818</v>
      </c>
      <c r="Q17" s="615">
        <f t="shared" si="8"/>
        <v>16.558777131044987</v>
      </c>
      <c r="R17" s="615">
        <f t="shared" si="8"/>
        <v>22.043146566968119</v>
      </c>
      <c r="S17" s="616" t="s">
        <v>345</v>
      </c>
      <c r="T17" s="617"/>
      <c r="U17" s="587"/>
      <c r="V17" s="587"/>
      <c r="W17" s="587"/>
      <c r="X17" s="587"/>
      <c r="Y17" s="587"/>
      <c r="Z17" s="587"/>
      <c r="AA17" s="587"/>
      <c r="AB17" s="587"/>
      <c r="AC17" s="588"/>
      <c r="AD17" s="588"/>
      <c r="AE17" s="588"/>
      <c r="AF17" s="588"/>
      <c r="AG17" s="588"/>
      <c r="AH17" s="588"/>
      <c r="AI17" s="588"/>
      <c r="AJ17" s="588"/>
      <c r="AK17" s="588"/>
      <c r="AL17" s="588"/>
      <c r="AM17" s="588"/>
      <c r="AN17" s="588"/>
      <c r="AO17" s="588"/>
      <c r="AP17" s="588"/>
      <c r="AQ17" s="588"/>
      <c r="AR17" s="588"/>
      <c r="AS17" s="588"/>
      <c r="AT17" s="588"/>
      <c r="AU17" s="588"/>
      <c r="AV17" s="588"/>
      <c r="AW17" s="588"/>
      <c r="AX17" s="588"/>
      <c r="AY17" s="588"/>
      <c r="AZ17" s="588"/>
      <c r="BA17" s="588"/>
      <c r="BB17" s="588"/>
      <c r="BC17" s="588"/>
      <c r="BD17" s="588"/>
      <c r="BE17" s="588"/>
      <c r="BF17" s="588"/>
      <c r="BG17" s="588"/>
      <c r="BH17" s="588"/>
      <c r="BI17" s="588"/>
      <c r="BJ17" s="588"/>
      <c r="BK17" s="588"/>
      <c r="BL17" s="588"/>
      <c r="BM17" s="588"/>
      <c r="BN17" s="588"/>
      <c r="BO17" s="588"/>
      <c r="BP17" s="588"/>
      <c r="BQ17" s="588"/>
      <c r="BR17" s="588"/>
      <c r="BS17" s="588"/>
      <c r="BT17" s="588"/>
      <c r="BU17" s="588"/>
      <c r="BV17" s="588"/>
      <c r="BW17" s="588"/>
      <c r="BX17" s="588"/>
      <c r="BY17" s="588"/>
      <c r="BZ17" s="588"/>
      <c r="CA17" s="588"/>
      <c r="CB17" s="588"/>
      <c r="CC17" s="588"/>
      <c r="CD17" s="588"/>
      <c r="CE17" s="588"/>
      <c r="CF17" s="588"/>
      <c r="CG17" s="588"/>
      <c r="CH17" s="588"/>
      <c r="CI17" s="588"/>
      <c r="CJ17" s="588"/>
      <c r="CK17" s="588"/>
      <c r="CL17" s="588"/>
      <c r="CM17" s="588"/>
      <c r="CN17" s="588"/>
      <c r="CO17" s="588"/>
      <c r="CP17" s="588"/>
      <c r="CQ17" s="588"/>
      <c r="CR17" s="588"/>
      <c r="CS17" s="588"/>
      <c r="CT17" s="588"/>
      <c r="CU17" s="588"/>
      <c r="CV17" s="588"/>
      <c r="CW17" s="588"/>
      <c r="CX17" s="588"/>
      <c r="CY17" s="588"/>
      <c r="CZ17" s="588"/>
      <c r="DA17" s="588"/>
      <c r="DB17" s="588"/>
      <c r="DC17" s="588"/>
      <c r="DD17" s="588"/>
      <c r="DE17" s="588"/>
      <c r="DF17" s="588"/>
      <c r="DG17" s="588"/>
      <c r="DH17" s="588"/>
      <c r="DI17" s="588"/>
      <c r="DJ17" s="588"/>
      <c r="DK17" s="588"/>
      <c r="DL17" s="588"/>
      <c r="DM17" s="588"/>
      <c r="DN17" s="588"/>
      <c r="DO17" s="588"/>
      <c r="DP17" s="588"/>
      <c r="DQ17" s="588"/>
      <c r="DR17" s="588"/>
      <c r="DS17" s="588"/>
      <c r="DT17" s="588"/>
      <c r="DU17" s="588"/>
      <c r="DV17" s="588"/>
      <c r="DW17" s="588"/>
      <c r="DX17" s="588"/>
      <c r="DY17" s="588"/>
      <c r="DZ17" s="588"/>
      <c r="EA17" s="588"/>
      <c r="EB17" s="588"/>
      <c r="EC17" s="588"/>
      <c r="ED17" s="588"/>
      <c r="EE17" s="588"/>
      <c r="EF17" s="588"/>
      <c r="EG17" s="588"/>
      <c r="EH17" s="588"/>
      <c r="EI17" s="588"/>
      <c r="EJ17" s="588"/>
      <c r="EK17" s="588"/>
      <c r="EL17" s="588"/>
      <c r="EM17" s="588"/>
      <c r="EN17" s="588"/>
    </row>
    <row r="18" spans="1:144" s="588" customFormat="1" ht="17.25">
      <c r="A18" s="619" t="s">
        <v>346</v>
      </c>
      <c r="B18" s="620">
        <f t="shared" ref="B18:R18" si="9">SUM(B11/B5)*100</f>
        <v>56.174334140435832</v>
      </c>
      <c r="C18" s="620">
        <f t="shared" si="9"/>
        <v>59.653618450119296</v>
      </c>
      <c r="D18" s="620">
        <f t="shared" si="9"/>
        <v>62.871195248700815</v>
      </c>
      <c r="E18" s="620">
        <f t="shared" si="9"/>
        <v>60.023127116544153</v>
      </c>
      <c r="F18" s="620">
        <f t="shared" si="9"/>
        <v>57.753479125248511</v>
      </c>
      <c r="G18" s="620">
        <f t="shared" si="9"/>
        <v>56.266280752532559</v>
      </c>
      <c r="H18" s="620">
        <f t="shared" si="9"/>
        <v>55.614890488352295</v>
      </c>
      <c r="I18" s="620">
        <f t="shared" si="9"/>
        <v>54.478964805901107</v>
      </c>
      <c r="J18" s="620">
        <f t="shared" si="9"/>
        <v>58.891992551210429</v>
      </c>
      <c r="K18" s="620">
        <f t="shared" si="9"/>
        <v>63.174711080897353</v>
      </c>
      <c r="L18" s="620">
        <f t="shared" si="9"/>
        <v>59.613371484402265</v>
      </c>
      <c r="M18" s="620">
        <f t="shared" si="9"/>
        <v>57.968055722348986</v>
      </c>
      <c r="N18" s="620">
        <f t="shared" si="9"/>
        <v>56.412482762143114</v>
      </c>
      <c r="O18" s="620">
        <f t="shared" si="9"/>
        <v>62.822630600867235</v>
      </c>
      <c r="P18" s="620">
        <f t="shared" si="9"/>
        <v>60.957580442554836</v>
      </c>
      <c r="Q18" s="620">
        <f t="shared" si="9"/>
        <v>55.806995593755104</v>
      </c>
      <c r="R18" s="620">
        <f t="shared" si="9"/>
        <v>52.43267821957258</v>
      </c>
      <c r="S18" s="621" t="s">
        <v>350</v>
      </c>
      <c r="T18" s="622"/>
      <c r="U18" s="587"/>
      <c r="V18" s="587"/>
      <c r="W18" s="587"/>
      <c r="X18" s="587"/>
      <c r="Y18" s="587"/>
      <c r="Z18" s="587"/>
      <c r="AA18" s="587"/>
      <c r="AB18" s="587"/>
    </row>
    <row r="19" spans="1:144" s="628" customFormat="1">
      <c r="A19" s="590" t="s">
        <v>351</v>
      </c>
      <c r="B19" s="623">
        <v>7</v>
      </c>
      <c r="C19" s="623">
        <f t="shared" ref="C19:R25" si="10">(C5-B5)*100/B5</f>
        <v>-8.660209846650524</v>
      </c>
      <c r="D19" s="623">
        <f t="shared" si="10"/>
        <v>-4.7804188389149065</v>
      </c>
      <c r="E19" s="623">
        <f t="shared" si="10"/>
        <v>12.351521900519673</v>
      </c>
      <c r="F19" s="623">
        <f t="shared" si="10"/>
        <v>16.32939621706451</v>
      </c>
      <c r="G19" s="623">
        <f t="shared" si="10"/>
        <v>-1.8744674808293098</v>
      </c>
      <c r="H19" s="623">
        <f t="shared" si="10"/>
        <v>-6.5050651230101302</v>
      </c>
      <c r="I19" s="623">
        <f t="shared" si="10"/>
        <v>23.806206949926477</v>
      </c>
      <c r="J19" s="623">
        <f t="shared" si="10"/>
        <v>-6.0073763830718256</v>
      </c>
      <c r="K19" s="623">
        <f t="shared" si="10"/>
        <v>-2.1681298217611067</v>
      </c>
      <c r="L19" s="623">
        <f t="shared" si="10"/>
        <v>-2.5900747790618626</v>
      </c>
      <c r="M19" s="623">
        <f t="shared" si="10"/>
        <v>16.225835717775141</v>
      </c>
      <c r="N19" s="623">
        <f t="shared" si="10"/>
        <v>17.563348144589888</v>
      </c>
      <c r="O19" s="623">
        <f t="shared" si="10"/>
        <v>-1.0572552224321978</v>
      </c>
      <c r="P19" s="623">
        <f t="shared" si="10"/>
        <v>6.8449308279991739</v>
      </c>
      <c r="Q19" s="623">
        <f t="shared" si="10"/>
        <v>-11.184655522272683</v>
      </c>
      <c r="R19" s="623">
        <f t="shared" si="10"/>
        <v>7.6701300114235975</v>
      </c>
      <c r="S19" s="592" t="s">
        <v>352</v>
      </c>
      <c r="T19" s="624"/>
      <c r="U19" s="625"/>
      <c r="V19" s="626"/>
      <c r="W19" s="587"/>
      <c r="X19" s="625"/>
      <c r="Y19" s="625"/>
      <c r="Z19" s="625"/>
      <c r="AA19" s="625"/>
      <c r="AB19" s="625"/>
      <c r="AC19" s="627"/>
      <c r="AD19" s="627"/>
      <c r="AE19" s="627"/>
      <c r="AF19" s="627"/>
      <c r="AG19" s="627"/>
      <c r="AH19" s="627"/>
      <c r="AI19" s="627"/>
      <c r="AJ19" s="627"/>
      <c r="AK19" s="627"/>
      <c r="AL19" s="627"/>
      <c r="AM19" s="627"/>
      <c r="AN19" s="627"/>
      <c r="AO19" s="627"/>
      <c r="AP19" s="627"/>
      <c r="AQ19" s="627"/>
      <c r="AR19" s="627"/>
      <c r="AS19" s="627"/>
      <c r="AT19" s="627"/>
      <c r="AU19" s="627"/>
      <c r="AV19" s="627"/>
      <c r="AW19" s="627"/>
      <c r="AX19" s="627"/>
      <c r="AY19" s="627"/>
      <c r="AZ19" s="627"/>
      <c r="BA19" s="627"/>
      <c r="BB19" s="627"/>
      <c r="BC19" s="627"/>
      <c r="BD19" s="627"/>
      <c r="BE19" s="627"/>
      <c r="BF19" s="627"/>
      <c r="BG19" s="627"/>
      <c r="BH19" s="627"/>
      <c r="BI19" s="627"/>
      <c r="BJ19" s="627"/>
      <c r="BK19" s="627"/>
      <c r="BL19" s="627"/>
      <c r="BM19" s="627"/>
      <c r="BN19" s="627"/>
      <c r="BO19" s="627"/>
      <c r="BP19" s="627"/>
      <c r="BQ19" s="627"/>
      <c r="BR19" s="627"/>
      <c r="BS19" s="627"/>
      <c r="BT19" s="627"/>
      <c r="BU19" s="627"/>
      <c r="BV19" s="627"/>
      <c r="BW19" s="627"/>
      <c r="BX19" s="627"/>
      <c r="BY19" s="627"/>
      <c r="BZ19" s="627"/>
      <c r="CA19" s="627"/>
      <c r="CB19" s="627"/>
      <c r="CC19" s="627"/>
      <c r="CD19" s="627"/>
      <c r="CE19" s="627"/>
      <c r="CF19" s="627"/>
      <c r="CG19" s="627"/>
      <c r="CH19" s="627"/>
      <c r="CI19" s="627"/>
      <c r="CJ19" s="627"/>
      <c r="CK19" s="627"/>
      <c r="CL19" s="627"/>
      <c r="CM19" s="627"/>
      <c r="CN19" s="627"/>
      <c r="CO19" s="627"/>
      <c r="CP19" s="627"/>
      <c r="CQ19" s="627"/>
      <c r="CR19" s="627"/>
      <c r="CS19" s="627"/>
      <c r="CT19" s="627"/>
      <c r="CU19" s="627"/>
      <c r="CV19" s="627"/>
      <c r="CW19" s="627"/>
      <c r="CX19" s="627"/>
      <c r="CY19" s="627"/>
      <c r="CZ19" s="627"/>
      <c r="DA19" s="627"/>
      <c r="DB19" s="627"/>
      <c r="DC19" s="627"/>
      <c r="DD19" s="627"/>
      <c r="DE19" s="627"/>
      <c r="DF19" s="627"/>
      <c r="DG19" s="627"/>
      <c r="DH19" s="627"/>
      <c r="DI19" s="627"/>
      <c r="DJ19" s="627"/>
      <c r="DK19" s="627"/>
      <c r="DL19" s="627"/>
      <c r="DM19" s="627"/>
      <c r="DN19" s="627"/>
      <c r="DO19" s="627"/>
      <c r="DP19" s="627"/>
      <c r="DQ19" s="627"/>
      <c r="DR19" s="627"/>
      <c r="DS19" s="627"/>
      <c r="DT19" s="627"/>
      <c r="DU19" s="627"/>
      <c r="DV19" s="627"/>
      <c r="DW19" s="627"/>
      <c r="DX19" s="627"/>
      <c r="DY19" s="627"/>
      <c r="DZ19" s="627"/>
      <c r="EA19" s="627"/>
      <c r="EB19" s="627"/>
      <c r="EC19" s="627"/>
      <c r="ED19" s="627"/>
      <c r="EE19" s="627"/>
      <c r="EF19" s="627"/>
      <c r="EG19" s="627"/>
      <c r="EH19" s="627"/>
      <c r="EI19" s="627"/>
      <c r="EJ19" s="627"/>
      <c r="EK19" s="627"/>
      <c r="EL19" s="627"/>
      <c r="EM19" s="627"/>
      <c r="EN19" s="627"/>
    </row>
    <row r="20" spans="1:144" s="589" customFormat="1" ht="17.25">
      <c r="A20" s="610" t="s">
        <v>336</v>
      </c>
      <c r="B20" s="623"/>
      <c r="C20" s="623"/>
      <c r="D20" s="623"/>
      <c r="E20" s="623"/>
      <c r="F20" s="623"/>
      <c r="G20" s="623"/>
      <c r="H20" s="623"/>
      <c r="I20" s="629"/>
      <c r="J20" s="609" t="s">
        <v>349</v>
      </c>
      <c r="K20" s="609" t="s">
        <v>349</v>
      </c>
      <c r="L20" s="609" t="s">
        <v>349</v>
      </c>
      <c r="M20" s="613">
        <f t="shared" si="10"/>
        <v>379.38144329896909</v>
      </c>
      <c r="N20" s="613">
        <f t="shared" si="10"/>
        <v>45.591397849462368</v>
      </c>
      <c r="O20" s="613">
        <f t="shared" si="10"/>
        <v>87.740029542097489</v>
      </c>
      <c r="P20" s="613">
        <f t="shared" si="10"/>
        <v>2.4390243902439024</v>
      </c>
      <c r="Q20" s="613">
        <f t="shared" si="10"/>
        <v>23.80952380952381</v>
      </c>
      <c r="R20" s="613">
        <f t="shared" si="10"/>
        <v>-6.0794044665012406</v>
      </c>
      <c r="S20" s="598" t="s">
        <v>337</v>
      </c>
      <c r="T20" s="593"/>
      <c r="U20" s="587"/>
      <c r="V20" s="630"/>
      <c r="W20" s="587"/>
      <c r="X20" s="587"/>
      <c r="Y20" s="587"/>
      <c r="Z20" s="587"/>
      <c r="AA20" s="587"/>
      <c r="AB20" s="587"/>
      <c r="AC20" s="588"/>
      <c r="AD20" s="588"/>
      <c r="AE20" s="588"/>
      <c r="AF20" s="588"/>
      <c r="AG20" s="588"/>
      <c r="AH20" s="588"/>
      <c r="AI20" s="588"/>
      <c r="AJ20" s="588"/>
      <c r="AK20" s="588"/>
      <c r="AL20" s="588"/>
      <c r="AM20" s="588"/>
      <c r="AN20" s="588"/>
      <c r="AO20" s="588"/>
      <c r="AP20" s="588"/>
      <c r="AQ20" s="588"/>
      <c r="AR20" s="588"/>
      <c r="AS20" s="588"/>
      <c r="AT20" s="588"/>
      <c r="AU20" s="588"/>
      <c r="AV20" s="588"/>
      <c r="AW20" s="588"/>
      <c r="AX20" s="588"/>
      <c r="AY20" s="588"/>
      <c r="AZ20" s="588"/>
      <c r="BA20" s="588"/>
      <c r="BB20" s="588"/>
      <c r="BC20" s="588"/>
      <c r="BD20" s="588"/>
      <c r="BE20" s="588"/>
      <c r="BF20" s="588"/>
      <c r="BG20" s="588"/>
      <c r="BH20" s="588"/>
      <c r="BI20" s="588"/>
      <c r="BJ20" s="588"/>
      <c r="BK20" s="588"/>
      <c r="BL20" s="588"/>
      <c r="BM20" s="588"/>
      <c r="BN20" s="588"/>
      <c r="BO20" s="588"/>
      <c r="BP20" s="588"/>
      <c r="BQ20" s="588"/>
      <c r="BR20" s="588"/>
      <c r="BS20" s="588"/>
      <c r="BT20" s="588"/>
      <c r="BU20" s="588"/>
      <c r="BV20" s="588"/>
      <c r="BW20" s="588"/>
      <c r="BX20" s="588"/>
      <c r="BY20" s="588"/>
      <c r="BZ20" s="588"/>
      <c r="CA20" s="588"/>
      <c r="CB20" s="588"/>
      <c r="CC20" s="588"/>
      <c r="CD20" s="588"/>
      <c r="CE20" s="588"/>
      <c r="CF20" s="588"/>
      <c r="CG20" s="588"/>
      <c r="CH20" s="588"/>
      <c r="CI20" s="588"/>
      <c r="CJ20" s="588"/>
      <c r="CK20" s="588"/>
      <c r="CL20" s="588"/>
      <c r="CM20" s="588"/>
      <c r="CN20" s="588"/>
      <c r="CO20" s="588"/>
      <c r="CP20" s="588"/>
      <c r="CQ20" s="588"/>
      <c r="CR20" s="588"/>
      <c r="CS20" s="588"/>
      <c r="CT20" s="588"/>
      <c r="CU20" s="588"/>
      <c r="CV20" s="588"/>
      <c r="CW20" s="588"/>
      <c r="CX20" s="588"/>
      <c r="CY20" s="588"/>
      <c r="CZ20" s="588"/>
      <c r="DA20" s="588"/>
      <c r="DB20" s="588"/>
      <c r="DC20" s="588"/>
      <c r="DD20" s="588"/>
      <c r="DE20" s="588"/>
      <c r="DF20" s="588"/>
      <c r="DG20" s="588"/>
      <c r="DH20" s="588"/>
      <c r="DI20" s="588"/>
      <c r="DJ20" s="588"/>
      <c r="DK20" s="588"/>
      <c r="DL20" s="588"/>
      <c r="DM20" s="588"/>
      <c r="DN20" s="588"/>
      <c r="DO20" s="588"/>
      <c r="DP20" s="588"/>
      <c r="DQ20" s="588"/>
      <c r="DR20" s="588"/>
      <c r="DS20" s="588"/>
      <c r="DT20" s="588"/>
      <c r="DU20" s="588"/>
      <c r="DV20" s="588"/>
      <c r="DW20" s="588"/>
      <c r="DX20" s="588"/>
      <c r="DY20" s="588"/>
      <c r="DZ20" s="588"/>
      <c r="EA20" s="588"/>
      <c r="EB20" s="588"/>
      <c r="EC20" s="588"/>
      <c r="ED20" s="588"/>
      <c r="EE20" s="588"/>
      <c r="EF20" s="588"/>
      <c r="EG20" s="588"/>
      <c r="EH20" s="588"/>
      <c r="EI20" s="588"/>
      <c r="EJ20" s="588"/>
      <c r="EK20" s="588"/>
      <c r="EL20" s="588"/>
      <c r="EM20" s="588"/>
      <c r="EN20" s="588"/>
    </row>
    <row r="21" spans="1:144" s="589" customFormat="1" ht="17.25">
      <c r="A21" s="594" t="s">
        <v>338</v>
      </c>
      <c r="B21" s="613">
        <v>27</v>
      </c>
      <c r="C21" s="613">
        <f t="shared" si="10"/>
        <v>54.411764705882355</v>
      </c>
      <c r="D21" s="613">
        <f t="shared" si="10"/>
        <v>-12.380952380952381</v>
      </c>
      <c r="E21" s="613">
        <f t="shared" si="10"/>
        <v>-53.260869565217391</v>
      </c>
      <c r="F21" s="613">
        <f t="shared" si="10"/>
        <v>79.069767441860463</v>
      </c>
      <c r="G21" s="613">
        <f t="shared" si="10"/>
        <v>-33.116883116883116</v>
      </c>
      <c r="H21" s="613">
        <f t="shared" si="10"/>
        <v>-39.805825242718448</v>
      </c>
      <c r="I21" s="613">
        <f t="shared" si="10"/>
        <v>69.354838709677423</v>
      </c>
      <c r="J21" s="613">
        <f t="shared" si="10"/>
        <v>100.95238095238095</v>
      </c>
      <c r="K21" s="613">
        <f t="shared" si="10"/>
        <v>-41.706161137440759</v>
      </c>
      <c r="L21" s="613">
        <f t="shared" si="10"/>
        <v>-23.577235772357724</v>
      </c>
      <c r="M21" s="613">
        <f t="shared" si="10"/>
        <v>29.787234042553191</v>
      </c>
      <c r="N21" s="613">
        <f t="shared" si="10"/>
        <v>-33.606557377049178</v>
      </c>
      <c r="O21" s="613">
        <f t="shared" si="10"/>
        <v>-67.901234567901241</v>
      </c>
      <c r="P21" s="613">
        <f t="shared" si="10"/>
        <v>19.23076923076923</v>
      </c>
      <c r="Q21" s="613">
        <f t="shared" si="10"/>
        <v>41.935483870967744</v>
      </c>
      <c r="R21" s="613">
        <f t="shared" si="10"/>
        <v>-59.090909090909093</v>
      </c>
      <c r="S21" s="598" t="s">
        <v>339</v>
      </c>
      <c r="T21" s="593"/>
      <c r="U21" s="587"/>
      <c r="V21" s="630"/>
      <c r="W21" s="587"/>
      <c r="X21" s="587"/>
      <c r="Y21" s="587"/>
      <c r="Z21" s="587"/>
      <c r="AA21" s="587"/>
      <c r="AB21" s="587"/>
      <c r="AC21" s="588"/>
      <c r="AD21" s="588"/>
      <c r="AE21" s="588"/>
      <c r="AF21" s="588"/>
      <c r="AG21" s="588"/>
      <c r="AH21" s="588"/>
      <c r="AI21" s="588"/>
      <c r="AJ21" s="588"/>
      <c r="AK21" s="588"/>
      <c r="AL21" s="588"/>
      <c r="AM21" s="588"/>
      <c r="AN21" s="588"/>
      <c r="AO21" s="588"/>
      <c r="AP21" s="588"/>
      <c r="AQ21" s="588"/>
      <c r="AR21" s="588"/>
      <c r="AS21" s="588"/>
      <c r="AT21" s="588"/>
      <c r="AU21" s="588"/>
      <c r="AV21" s="588"/>
      <c r="AW21" s="588"/>
      <c r="AX21" s="588"/>
      <c r="AY21" s="588"/>
      <c r="AZ21" s="588"/>
      <c r="BA21" s="588"/>
      <c r="BB21" s="588"/>
      <c r="BC21" s="588"/>
      <c r="BD21" s="588"/>
      <c r="BE21" s="588"/>
      <c r="BF21" s="588"/>
      <c r="BG21" s="588"/>
      <c r="BH21" s="588"/>
      <c r="BI21" s="588"/>
      <c r="BJ21" s="588"/>
      <c r="BK21" s="588"/>
      <c r="BL21" s="588"/>
      <c r="BM21" s="588"/>
      <c r="BN21" s="588"/>
      <c r="BO21" s="588"/>
      <c r="BP21" s="588"/>
      <c r="BQ21" s="588"/>
      <c r="BR21" s="588"/>
      <c r="BS21" s="588"/>
      <c r="BT21" s="588"/>
      <c r="BU21" s="588"/>
      <c r="BV21" s="588"/>
      <c r="BW21" s="588"/>
      <c r="BX21" s="588"/>
      <c r="BY21" s="588"/>
      <c r="BZ21" s="588"/>
      <c r="CA21" s="588"/>
      <c r="CB21" s="588"/>
      <c r="CC21" s="588"/>
      <c r="CD21" s="588"/>
      <c r="CE21" s="588"/>
      <c r="CF21" s="588"/>
      <c r="CG21" s="588"/>
      <c r="CH21" s="588"/>
      <c r="CI21" s="588"/>
      <c r="CJ21" s="588"/>
      <c r="CK21" s="588"/>
      <c r="CL21" s="588"/>
      <c r="CM21" s="588"/>
      <c r="CN21" s="588"/>
      <c r="CO21" s="588"/>
      <c r="CP21" s="588"/>
      <c r="CQ21" s="588"/>
      <c r="CR21" s="588"/>
      <c r="CS21" s="588"/>
      <c r="CT21" s="588"/>
      <c r="CU21" s="588"/>
      <c r="CV21" s="588"/>
      <c r="CW21" s="588"/>
      <c r="CX21" s="588"/>
      <c r="CY21" s="588"/>
      <c r="CZ21" s="588"/>
      <c r="DA21" s="588"/>
      <c r="DB21" s="588"/>
      <c r="DC21" s="588"/>
      <c r="DD21" s="588"/>
      <c r="DE21" s="588"/>
      <c r="DF21" s="588"/>
      <c r="DG21" s="588"/>
      <c r="DH21" s="588"/>
      <c r="DI21" s="588"/>
      <c r="DJ21" s="588"/>
      <c r="DK21" s="588"/>
      <c r="DL21" s="588"/>
      <c r="DM21" s="588"/>
      <c r="DN21" s="588"/>
      <c r="DO21" s="588"/>
      <c r="DP21" s="588"/>
      <c r="DQ21" s="588"/>
      <c r="DR21" s="588"/>
      <c r="DS21" s="588"/>
      <c r="DT21" s="588"/>
      <c r="DU21" s="588"/>
      <c r="DV21" s="588"/>
      <c r="DW21" s="588"/>
      <c r="DX21" s="588"/>
      <c r="DY21" s="588"/>
      <c r="DZ21" s="588"/>
      <c r="EA21" s="588"/>
      <c r="EB21" s="588"/>
      <c r="EC21" s="588"/>
      <c r="ED21" s="588"/>
      <c r="EE21" s="588"/>
      <c r="EF21" s="588"/>
      <c r="EG21" s="588"/>
      <c r="EH21" s="588"/>
      <c r="EI21" s="588"/>
      <c r="EJ21" s="588"/>
      <c r="EK21" s="588"/>
      <c r="EL21" s="588"/>
      <c r="EM21" s="588"/>
      <c r="EN21" s="588"/>
    </row>
    <row r="22" spans="1:144" s="589" customFormat="1" ht="17.25">
      <c r="A22" s="594" t="s">
        <v>340</v>
      </c>
      <c r="B22" s="613">
        <v>58</v>
      </c>
      <c r="C22" s="613">
        <f t="shared" si="10"/>
        <v>2.3041474654377878</v>
      </c>
      <c r="D22" s="613">
        <f t="shared" si="10"/>
        <v>5.1801801801801801</v>
      </c>
      <c r="E22" s="613">
        <f t="shared" si="10"/>
        <v>33.119200571020698</v>
      </c>
      <c r="F22" s="613">
        <f t="shared" si="10"/>
        <v>9.0616621983914207</v>
      </c>
      <c r="G22" s="613">
        <f t="shared" si="10"/>
        <v>-2.6057030481809242</v>
      </c>
      <c r="H22" s="613">
        <f t="shared" si="10"/>
        <v>2.5744573447753658</v>
      </c>
      <c r="I22" s="613">
        <f t="shared" si="10"/>
        <v>2.8051181102362204</v>
      </c>
      <c r="J22" s="613">
        <f t="shared" si="10"/>
        <v>-2.15414073719483</v>
      </c>
      <c r="K22" s="613">
        <f t="shared" si="10"/>
        <v>-2.3483365949119372</v>
      </c>
      <c r="L22" s="613">
        <f t="shared" si="10"/>
        <v>9.9198396793587182</v>
      </c>
      <c r="M22" s="613">
        <f t="shared" si="10"/>
        <v>18.049225159525982</v>
      </c>
      <c r="N22" s="613">
        <f t="shared" si="10"/>
        <v>1.0038610038610039</v>
      </c>
      <c r="O22" s="613">
        <f t="shared" si="10"/>
        <v>-2.4082568807339451</v>
      </c>
      <c r="P22" s="613">
        <f t="shared" si="10"/>
        <v>0.3525264394829612</v>
      </c>
      <c r="Q22" s="613">
        <f t="shared" si="10"/>
        <v>-0.74160811865729903</v>
      </c>
      <c r="R22" s="613">
        <f t="shared" si="10"/>
        <v>5.7019268580416833</v>
      </c>
      <c r="S22" s="598" t="s">
        <v>341</v>
      </c>
      <c r="T22" s="593"/>
      <c r="U22" s="587"/>
      <c r="V22" s="630"/>
      <c r="W22" s="587"/>
      <c r="X22" s="587"/>
      <c r="Y22" s="587"/>
      <c r="Z22" s="587"/>
      <c r="AA22" s="587"/>
      <c r="AB22" s="587"/>
      <c r="AC22" s="588"/>
      <c r="AD22" s="588"/>
      <c r="AE22" s="588"/>
      <c r="AF22" s="588"/>
      <c r="AG22" s="588"/>
      <c r="AH22" s="588"/>
      <c r="AI22" s="588"/>
      <c r="AJ22" s="588"/>
      <c r="AK22" s="588"/>
      <c r="AL22" s="588"/>
      <c r="AM22" s="588"/>
      <c r="AN22" s="588"/>
      <c r="AO22" s="588"/>
      <c r="AP22" s="588"/>
      <c r="AQ22" s="588"/>
      <c r="AR22" s="588"/>
      <c r="AS22" s="588"/>
      <c r="AT22" s="588"/>
      <c r="AU22" s="588"/>
      <c r="AV22" s="588"/>
      <c r="AW22" s="588"/>
      <c r="AX22" s="588"/>
      <c r="AY22" s="588"/>
      <c r="AZ22" s="588"/>
      <c r="BA22" s="588"/>
      <c r="BB22" s="588"/>
      <c r="BC22" s="588"/>
      <c r="BD22" s="588"/>
      <c r="BE22" s="588"/>
      <c r="BF22" s="588"/>
      <c r="BG22" s="588"/>
      <c r="BH22" s="588"/>
      <c r="BI22" s="588"/>
      <c r="BJ22" s="588"/>
      <c r="BK22" s="588"/>
      <c r="BL22" s="588"/>
      <c r="BM22" s="588"/>
      <c r="BN22" s="588"/>
      <c r="BO22" s="588"/>
      <c r="BP22" s="588"/>
      <c r="BQ22" s="588"/>
      <c r="BR22" s="588"/>
      <c r="BS22" s="588"/>
      <c r="BT22" s="588"/>
      <c r="BU22" s="588"/>
      <c r="BV22" s="588"/>
      <c r="BW22" s="588"/>
      <c r="BX22" s="588"/>
      <c r="BY22" s="588"/>
      <c r="BZ22" s="588"/>
      <c r="CA22" s="588"/>
      <c r="CB22" s="588"/>
      <c r="CC22" s="588"/>
      <c r="CD22" s="588"/>
      <c r="CE22" s="588"/>
      <c r="CF22" s="588"/>
      <c r="CG22" s="588"/>
      <c r="CH22" s="588"/>
      <c r="CI22" s="588"/>
      <c r="CJ22" s="588"/>
      <c r="CK22" s="588"/>
      <c r="CL22" s="588"/>
      <c r="CM22" s="588"/>
      <c r="CN22" s="588"/>
      <c r="CO22" s="588"/>
      <c r="CP22" s="588"/>
      <c r="CQ22" s="588"/>
      <c r="CR22" s="588"/>
      <c r="CS22" s="588"/>
      <c r="CT22" s="588"/>
      <c r="CU22" s="588"/>
      <c r="CV22" s="588"/>
      <c r="CW22" s="588"/>
      <c r="CX22" s="588"/>
      <c r="CY22" s="588"/>
      <c r="CZ22" s="588"/>
      <c r="DA22" s="588"/>
      <c r="DB22" s="588"/>
      <c r="DC22" s="588"/>
      <c r="DD22" s="588"/>
      <c r="DE22" s="588"/>
      <c r="DF22" s="588"/>
      <c r="DG22" s="588"/>
      <c r="DH22" s="588"/>
      <c r="DI22" s="588"/>
      <c r="DJ22" s="588"/>
      <c r="DK22" s="588"/>
      <c r="DL22" s="588"/>
      <c r="DM22" s="588"/>
      <c r="DN22" s="588"/>
      <c r="DO22" s="588"/>
      <c r="DP22" s="588"/>
      <c r="DQ22" s="588"/>
      <c r="DR22" s="588"/>
      <c r="DS22" s="588"/>
      <c r="DT22" s="588"/>
      <c r="DU22" s="588"/>
      <c r="DV22" s="588"/>
      <c r="DW22" s="588"/>
      <c r="DX22" s="588"/>
      <c r="DY22" s="588"/>
      <c r="DZ22" s="588"/>
      <c r="EA22" s="588"/>
      <c r="EB22" s="588"/>
      <c r="EC22" s="588"/>
      <c r="ED22" s="588"/>
      <c r="EE22" s="588"/>
      <c r="EF22" s="588"/>
      <c r="EG22" s="588"/>
      <c r="EH22" s="588"/>
      <c r="EI22" s="588"/>
      <c r="EJ22" s="588"/>
      <c r="EK22" s="588"/>
      <c r="EL22" s="588"/>
      <c r="EM22" s="588"/>
      <c r="EN22" s="588"/>
    </row>
    <row r="23" spans="1:144" s="589" customFormat="1" ht="17.25">
      <c r="A23" s="594" t="s">
        <v>342</v>
      </c>
      <c r="B23" s="613">
        <v>3</v>
      </c>
      <c r="C23" s="613">
        <f t="shared" si="10"/>
        <v>-37</v>
      </c>
      <c r="D23" s="613">
        <f t="shared" si="10"/>
        <v>-25.490196078431371</v>
      </c>
      <c r="E23" s="613">
        <f t="shared" si="10"/>
        <v>18.922305764411028</v>
      </c>
      <c r="F23" s="613">
        <f t="shared" si="10"/>
        <v>73.12961011591149</v>
      </c>
      <c r="G23" s="613">
        <f t="shared" si="10"/>
        <v>21.850273889227022</v>
      </c>
      <c r="H23" s="613">
        <f t="shared" si="10"/>
        <v>-27.072927072927072</v>
      </c>
      <c r="I23" s="613">
        <f t="shared" si="10"/>
        <v>59.863013698630134</v>
      </c>
      <c r="J23" s="613">
        <f t="shared" si="10"/>
        <v>-38.603256212510708</v>
      </c>
      <c r="K23" s="613">
        <f t="shared" si="10"/>
        <v>-27.704117236566642</v>
      </c>
      <c r="L23" s="613">
        <f t="shared" si="10"/>
        <v>-4.4401544401544397</v>
      </c>
      <c r="M23" s="613">
        <f t="shared" si="10"/>
        <v>68.585858585858588</v>
      </c>
      <c r="N23" s="613">
        <f t="shared" si="10"/>
        <v>17.25584182144997</v>
      </c>
      <c r="O23" s="613">
        <f t="shared" si="10"/>
        <v>-45.375574859478796</v>
      </c>
      <c r="P23" s="613">
        <f t="shared" si="10"/>
        <v>-19.550982226379794</v>
      </c>
      <c r="Q23" s="613">
        <f t="shared" si="10"/>
        <v>2.441860465116279</v>
      </c>
      <c r="R23" s="613">
        <f t="shared" si="10"/>
        <v>-5.5618615209988649</v>
      </c>
      <c r="S23" s="598" t="s">
        <v>343</v>
      </c>
      <c r="T23" s="593"/>
      <c r="U23" s="587"/>
      <c r="V23" s="630"/>
      <c r="W23" s="587"/>
      <c r="X23" s="587"/>
      <c r="Y23" s="587"/>
      <c r="Z23" s="587"/>
      <c r="AA23" s="587"/>
      <c r="AB23" s="587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8"/>
      <c r="AR23" s="588"/>
      <c r="AS23" s="588"/>
      <c r="AT23" s="588"/>
      <c r="AU23" s="588"/>
      <c r="AV23" s="588"/>
      <c r="AW23" s="588"/>
      <c r="AX23" s="588"/>
      <c r="AY23" s="588"/>
      <c r="AZ23" s="588"/>
      <c r="BA23" s="588"/>
      <c r="BB23" s="588"/>
      <c r="BC23" s="588"/>
      <c r="BD23" s="588"/>
      <c r="BE23" s="588"/>
      <c r="BF23" s="588"/>
      <c r="BG23" s="588"/>
      <c r="BH23" s="588"/>
      <c r="BI23" s="588"/>
      <c r="BJ23" s="588"/>
      <c r="BK23" s="588"/>
      <c r="BL23" s="588"/>
      <c r="BM23" s="588"/>
      <c r="BN23" s="588"/>
      <c r="BO23" s="588"/>
      <c r="BP23" s="588"/>
      <c r="BQ23" s="588"/>
      <c r="BR23" s="588"/>
      <c r="BS23" s="588"/>
      <c r="BT23" s="588"/>
      <c r="BU23" s="588"/>
      <c r="BV23" s="588"/>
      <c r="BW23" s="588"/>
      <c r="BX23" s="588"/>
      <c r="BY23" s="588"/>
      <c r="BZ23" s="588"/>
      <c r="CA23" s="588"/>
      <c r="CB23" s="588"/>
      <c r="CC23" s="588"/>
      <c r="CD23" s="588"/>
      <c r="CE23" s="588"/>
      <c r="CF23" s="588"/>
      <c r="CG23" s="588"/>
      <c r="CH23" s="588"/>
      <c r="CI23" s="588"/>
      <c r="CJ23" s="588"/>
      <c r="CK23" s="588"/>
      <c r="CL23" s="588"/>
      <c r="CM23" s="588"/>
      <c r="CN23" s="588"/>
      <c r="CO23" s="588"/>
      <c r="CP23" s="588"/>
      <c r="CQ23" s="588"/>
      <c r="CR23" s="588"/>
      <c r="CS23" s="588"/>
      <c r="CT23" s="588"/>
      <c r="CU23" s="588"/>
      <c r="CV23" s="588"/>
      <c r="CW23" s="588"/>
      <c r="CX23" s="588"/>
      <c r="CY23" s="588"/>
      <c r="CZ23" s="588"/>
      <c r="DA23" s="588"/>
      <c r="DB23" s="588"/>
      <c r="DC23" s="588"/>
      <c r="DD23" s="588"/>
      <c r="DE23" s="588"/>
      <c r="DF23" s="588"/>
      <c r="DG23" s="588"/>
      <c r="DH23" s="588"/>
      <c r="DI23" s="588"/>
      <c r="DJ23" s="588"/>
      <c r="DK23" s="588"/>
      <c r="DL23" s="588"/>
      <c r="DM23" s="588"/>
      <c r="DN23" s="588"/>
      <c r="DO23" s="588"/>
      <c r="DP23" s="588"/>
      <c r="DQ23" s="588"/>
      <c r="DR23" s="588"/>
      <c r="DS23" s="588"/>
      <c r="DT23" s="588"/>
      <c r="DU23" s="588"/>
      <c r="DV23" s="588"/>
      <c r="DW23" s="588"/>
      <c r="DX23" s="588"/>
      <c r="DY23" s="588"/>
      <c r="DZ23" s="588"/>
      <c r="EA23" s="588"/>
      <c r="EB23" s="588"/>
      <c r="EC23" s="588"/>
      <c r="ED23" s="588"/>
      <c r="EE23" s="588"/>
      <c r="EF23" s="588"/>
      <c r="EG23" s="588"/>
      <c r="EH23" s="588"/>
      <c r="EI23" s="588"/>
      <c r="EJ23" s="588"/>
      <c r="EK23" s="588"/>
      <c r="EL23" s="588"/>
      <c r="EM23" s="588"/>
      <c r="EN23" s="588"/>
    </row>
    <row r="24" spans="1:144" s="618" customFormat="1" ht="17.25">
      <c r="A24" s="614" t="s">
        <v>344</v>
      </c>
      <c r="B24" s="615">
        <v>0</v>
      </c>
      <c r="C24" s="615">
        <f t="shared" si="10"/>
        <v>-14.790575916230367</v>
      </c>
      <c r="D24" s="615">
        <f t="shared" si="10"/>
        <v>-17.15309779825909</v>
      </c>
      <c r="E24" s="615">
        <f t="shared" si="10"/>
        <v>19.901112484548825</v>
      </c>
      <c r="F24" s="615">
        <f t="shared" si="10"/>
        <v>9.2268041237113394</v>
      </c>
      <c r="G24" s="615">
        <f t="shared" si="10"/>
        <v>-7.5979235488437942</v>
      </c>
      <c r="H24" s="615">
        <f t="shared" si="10"/>
        <v>11.389172625127681</v>
      </c>
      <c r="I24" s="615">
        <f t="shared" si="10"/>
        <v>26.272352132049519</v>
      </c>
      <c r="J24" s="615">
        <f t="shared" si="10"/>
        <v>-9.477124183006536</v>
      </c>
      <c r="K24" s="615">
        <f t="shared" si="10"/>
        <v>-9.2659446450060177</v>
      </c>
      <c r="L24" s="615">
        <f t="shared" si="10"/>
        <v>6.6312997347480103</v>
      </c>
      <c r="M24" s="615">
        <f t="shared" si="10"/>
        <v>-10.696517412935323</v>
      </c>
      <c r="N24" s="615">
        <f t="shared" si="10"/>
        <v>48.700092850510678</v>
      </c>
      <c r="O24" s="615">
        <f t="shared" si="10"/>
        <v>-28.723072119887604</v>
      </c>
      <c r="P24" s="615">
        <f t="shared" si="10"/>
        <v>45.685501533070521</v>
      </c>
      <c r="Q24" s="615">
        <f t="shared" si="10"/>
        <v>-8.4786530366806971</v>
      </c>
      <c r="R24" s="615">
        <f t="shared" si="10"/>
        <v>43.331143232588701</v>
      </c>
      <c r="S24" s="616" t="s">
        <v>345</v>
      </c>
      <c r="T24" s="617"/>
      <c r="U24" s="587"/>
      <c r="V24" s="630"/>
      <c r="W24" s="587"/>
      <c r="X24" s="587"/>
      <c r="Y24" s="587"/>
      <c r="Z24" s="587"/>
      <c r="AA24" s="587"/>
      <c r="AB24" s="587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8"/>
      <c r="AR24" s="588"/>
      <c r="AS24" s="588"/>
      <c r="AT24" s="588"/>
      <c r="AU24" s="588"/>
      <c r="AV24" s="588"/>
      <c r="AW24" s="588"/>
      <c r="AX24" s="588"/>
      <c r="AY24" s="588"/>
      <c r="AZ24" s="588"/>
      <c r="BA24" s="588"/>
      <c r="BB24" s="588"/>
      <c r="BC24" s="588"/>
      <c r="BD24" s="588"/>
      <c r="BE24" s="588"/>
      <c r="BF24" s="588"/>
      <c r="BG24" s="588"/>
      <c r="BH24" s="588"/>
      <c r="BI24" s="588"/>
      <c r="BJ24" s="588"/>
      <c r="BK24" s="588"/>
      <c r="BL24" s="588"/>
      <c r="BM24" s="588"/>
      <c r="BN24" s="588"/>
      <c r="BO24" s="588"/>
      <c r="BP24" s="588"/>
      <c r="BQ24" s="588"/>
      <c r="BR24" s="588"/>
      <c r="BS24" s="588"/>
      <c r="BT24" s="588"/>
      <c r="BU24" s="588"/>
      <c r="BV24" s="588"/>
      <c r="BW24" s="588"/>
      <c r="BX24" s="588"/>
      <c r="BY24" s="588"/>
      <c r="BZ24" s="588"/>
      <c r="CA24" s="588"/>
      <c r="CB24" s="588"/>
      <c r="CC24" s="588"/>
      <c r="CD24" s="588"/>
      <c r="CE24" s="588"/>
      <c r="CF24" s="588"/>
      <c r="CG24" s="588"/>
      <c r="CH24" s="588"/>
      <c r="CI24" s="588"/>
      <c r="CJ24" s="588"/>
      <c r="CK24" s="588"/>
      <c r="CL24" s="588"/>
      <c r="CM24" s="588"/>
      <c r="CN24" s="588"/>
      <c r="CO24" s="588"/>
      <c r="CP24" s="588"/>
      <c r="CQ24" s="588"/>
      <c r="CR24" s="588"/>
      <c r="CS24" s="588"/>
      <c r="CT24" s="588"/>
      <c r="CU24" s="588"/>
      <c r="CV24" s="588"/>
      <c r="CW24" s="588"/>
      <c r="CX24" s="588"/>
      <c r="CY24" s="588"/>
      <c r="CZ24" s="588"/>
      <c r="DA24" s="588"/>
      <c r="DB24" s="588"/>
      <c r="DC24" s="588"/>
      <c r="DD24" s="588"/>
      <c r="DE24" s="588"/>
      <c r="DF24" s="588"/>
      <c r="DG24" s="588"/>
      <c r="DH24" s="588"/>
      <c r="DI24" s="588"/>
      <c r="DJ24" s="588"/>
      <c r="DK24" s="588"/>
      <c r="DL24" s="588"/>
      <c r="DM24" s="588"/>
      <c r="DN24" s="588"/>
      <c r="DO24" s="588"/>
      <c r="DP24" s="588"/>
      <c r="DQ24" s="588"/>
      <c r="DR24" s="588"/>
      <c r="DS24" s="588"/>
      <c r="DT24" s="588"/>
      <c r="DU24" s="588"/>
      <c r="DV24" s="588"/>
      <c r="DW24" s="588"/>
      <c r="DX24" s="588"/>
      <c r="DY24" s="588"/>
      <c r="DZ24" s="588"/>
      <c r="EA24" s="588"/>
      <c r="EB24" s="588"/>
      <c r="EC24" s="588"/>
      <c r="ED24" s="588"/>
      <c r="EE24" s="588"/>
      <c r="EF24" s="588"/>
      <c r="EG24" s="588"/>
      <c r="EH24" s="588"/>
      <c r="EI24" s="588"/>
      <c r="EJ24" s="588"/>
      <c r="EK24" s="588"/>
      <c r="EL24" s="588"/>
      <c r="EM24" s="588"/>
      <c r="EN24" s="588"/>
    </row>
    <row r="25" spans="1:144" s="588" customFormat="1" ht="17.25">
      <c r="A25" s="631" t="s">
        <v>346</v>
      </c>
      <c r="B25" s="632">
        <v>4</v>
      </c>
      <c r="C25" s="632">
        <v>-3.0028735632183898</v>
      </c>
      <c r="D25" s="632">
        <v>0.35550288846096872</v>
      </c>
      <c r="E25" s="632">
        <v>7.2619926199261995</v>
      </c>
      <c r="F25" s="632">
        <v>11.930645383239302</v>
      </c>
      <c r="G25" s="632">
        <v>-4.4012785837226458</v>
      </c>
      <c r="H25" s="632">
        <v>-7.5874485596707801</v>
      </c>
      <c r="I25" s="633">
        <f t="shared" si="10"/>
        <v>21.277483996660173</v>
      </c>
      <c r="J25" s="633">
        <f t="shared" si="10"/>
        <v>1.606425702811245</v>
      </c>
      <c r="K25" s="633">
        <f t="shared" si="10"/>
        <v>4.9463579898362511</v>
      </c>
      <c r="L25" s="633">
        <f t="shared" si="10"/>
        <v>-8.0813515549338213</v>
      </c>
      <c r="M25" s="633">
        <f t="shared" si="10"/>
        <v>13.018028564738938</v>
      </c>
      <c r="N25" s="633">
        <f t="shared" si="10"/>
        <v>14.40853532214626</v>
      </c>
      <c r="O25" s="633">
        <f t="shared" si="10"/>
        <v>10.185604345857854</v>
      </c>
      <c r="P25" s="633">
        <f t="shared" si="10"/>
        <v>3.6729663105998358</v>
      </c>
      <c r="Q25" s="633">
        <f t="shared" si="10"/>
        <v>-18.689070301973526</v>
      </c>
      <c r="R25" s="633">
        <f t="shared" si="10"/>
        <v>1.1599571108295155</v>
      </c>
      <c r="S25" s="634" t="s">
        <v>350</v>
      </c>
      <c r="T25" s="622"/>
      <c r="U25" s="587"/>
      <c r="V25" s="630"/>
      <c r="W25" s="587"/>
      <c r="X25" s="587"/>
      <c r="Y25" s="587"/>
      <c r="Z25" s="587"/>
      <c r="AA25" s="587"/>
      <c r="AB25" s="587"/>
    </row>
    <row r="26" spans="1:144" s="589" customFormat="1">
      <c r="A26" s="101" t="s">
        <v>353</v>
      </c>
      <c r="B26" s="635"/>
      <c r="C26" s="635"/>
      <c r="D26" s="635"/>
      <c r="E26" s="635"/>
      <c r="F26" s="635"/>
      <c r="G26" s="635"/>
      <c r="H26" s="635"/>
      <c r="I26" s="635"/>
      <c r="J26" s="635"/>
      <c r="K26" s="635"/>
      <c r="L26" s="635"/>
      <c r="M26" s="635"/>
      <c r="N26" s="635"/>
      <c r="O26" s="635"/>
      <c r="P26" s="635"/>
      <c r="Q26" s="635"/>
      <c r="R26" s="635"/>
      <c r="S26" s="224" t="s">
        <v>354</v>
      </c>
      <c r="T26" s="586"/>
      <c r="U26" s="587"/>
      <c r="V26" s="587"/>
      <c r="W26" s="587"/>
      <c r="X26" s="587"/>
      <c r="Y26" s="587"/>
      <c r="Z26" s="587"/>
      <c r="AA26" s="587"/>
      <c r="AB26" s="587"/>
      <c r="AC26" s="588"/>
      <c r="AD26" s="588"/>
      <c r="AE26" s="588"/>
      <c r="AF26" s="588"/>
      <c r="AG26" s="588"/>
      <c r="AH26" s="588"/>
      <c r="AI26" s="588"/>
      <c r="AJ26" s="588"/>
      <c r="AK26" s="588"/>
      <c r="AL26" s="588"/>
      <c r="AM26" s="588"/>
      <c r="AN26" s="588"/>
      <c r="AO26" s="588"/>
      <c r="AP26" s="588"/>
      <c r="AQ26" s="588"/>
      <c r="AR26" s="588"/>
      <c r="AS26" s="588"/>
      <c r="AT26" s="588"/>
      <c r="AU26" s="588"/>
      <c r="AV26" s="588"/>
      <c r="AW26" s="588"/>
      <c r="AX26" s="588"/>
      <c r="AY26" s="588"/>
      <c r="AZ26" s="588"/>
      <c r="BA26" s="588"/>
      <c r="BB26" s="588"/>
      <c r="BC26" s="588"/>
      <c r="BD26" s="588"/>
      <c r="BE26" s="588"/>
      <c r="BF26" s="588"/>
      <c r="BG26" s="588"/>
      <c r="BH26" s="588"/>
      <c r="BI26" s="588"/>
      <c r="BJ26" s="588"/>
      <c r="BK26" s="588"/>
      <c r="BL26" s="588"/>
      <c r="BM26" s="588"/>
      <c r="BN26" s="588"/>
      <c r="BO26" s="588"/>
      <c r="BP26" s="588"/>
      <c r="BQ26" s="588"/>
      <c r="BR26" s="588"/>
      <c r="BS26" s="588"/>
      <c r="BT26" s="588"/>
      <c r="BU26" s="588"/>
      <c r="BV26" s="588"/>
      <c r="BW26" s="588"/>
      <c r="BX26" s="588"/>
      <c r="BY26" s="588"/>
      <c r="BZ26" s="588"/>
      <c r="CA26" s="588"/>
      <c r="CB26" s="588"/>
      <c r="CC26" s="588"/>
      <c r="CD26" s="588"/>
      <c r="CE26" s="588"/>
      <c r="CF26" s="588"/>
      <c r="CG26" s="588"/>
      <c r="CH26" s="588"/>
      <c r="CI26" s="588"/>
      <c r="CJ26" s="588"/>
      <c r="CK26" s="588"/>
      <c r="CL26" s="588"/>
      <c r="CM26" s="588"/>
      <c r="CN26" s="588"/>
      <c r="CO26" s="588"/>
      <c r="CP26" s="588"/>
      <c r="CQ26" s="588"/>
      <c r="CR26" s="588"/>
      <c r="CS26" s="588"/>
      <c r="CT26" s="588"/>
      <c r="CU26" s="588"/>
      <c r="CV26" s="588"/>
      <c r="CW26" s="588"/>
      <c r="CX26" s="588"/>
      <c r="CY26" s="588"/>
      <c r="CZ26" s="588"/>
      <c r="DA26" s="588"/>
      <c r="DB26" s="588"/>
      <c r="DC26" s="588"/>
      <c r="DD26" s="588"/>
      <c r="DE26" s="588"/>
      <c r="DF26" s="588"/>
      <c r="DG26" s="588"/>
      <c r="DH26" s="588"/>
      <c r="DI26" s="588"/>
      <c r="DJ26" s="588"/>
      <c r="DK26" s="588"/>
      <c r="DL26" s="588"/>
      <c r="DM26" s="588"/>
      <c r="DN26" s="588"/>
      <c r="DO26" s="588"/>
      <c r="DP26" s="588"/>
      <c r="DQ26" s="588"/>
      <c r="DR26" s="588"/>
      <c r="DS26" s="588"/>
      <c r="DT26" s="588"/>
      <c r="DU26" s="588"/>
      <c r="DV26" s="588"/>
      <c r="DW26" s="588"/>
      <c r="DX26" s="588"/>
      <c r="DY26" s="588"/>
      <c r="DZ26" s="588"/>
      <c r="EA26" s="588"/>
      <c r="EB26" s="588"/>
      <c r="EC26" s="588"/>
      <c r="ED26" s="588"/>
      <c r="EE26" s="588"/>
      <c r="EF26" s="588"/>
      <c r="EG26" s="588"/>
      <c r="EH26" s="588"/>
      <c r="EI26" s="588"/>
      <c r="EJ26" s="588"/>
      <c r="EK26" s="588"/>
      <c r="EL26" s="588"/>
      <c r="EM26" s="588"/>
      <c r="EN26" s="588"/>
    </row>
    <row r="27" spans="1:144" s="589" customFormat="1">
      <c r="A27" s="101"/>
      <c r="B27" s="635"/>
      <c r="C27" s="635"/>
      <c r="D27" s="635"/>
      <c r="E27" s="635"/>
      <c r="F27" s="635"/>
      <c r="G27" s="635"/>
      <c r="H27" s="635"/>
      <c r="I27" s="635"/>
      <c r="J27" s="635"/>
      <c r="K27" s="635"/>
      <c r="L27" s="635"/>
      <c r="M27" s="635"/>
      <c r="N27" s="635"/>
      <c r="O27" s="635"/>
      <c r="P27" s="635"/>
      <c r="Q27" s="635"/>
      <c r="R27" s="635"/>
      <c r="S27" s="224"/>
      <c r="T27" s="586"/>
      <c r="U27" s="587"/>
      <c r="V27" s="587"/>
      <c r="W27" s="587"/>
      <c r="X27" s="587"/>
      <c r="Y27" s="587"/>
      <c r="Z27" s="587"/>
      <c r="AA27" s="587"/>
      <c r="AB27" s="587"/>
      <c r="AC27" s="588"/>
      <c r="AD27" s="588"/>
      <c r="AE27" s="588"/>
      <c r="AF27" s="588"/>
      <c r="AG27" s="588"/>
      <c r="AH27" s="588"/>
      <c r="AI27" s="588"/>
      <c r="AJ27" s="588"/>
      <c r="AK27" s="588"/>
      <c r="AL27" s="588"/>
      <c r="AM27" s="588"/>
      <c r="AN27" s="588"/>
      <c r="AO27" s="588"/>
      <c r="AP27" s="588"/>
      <c r="AQ27" s="588"/>
      <c r="AR27" s="588"/>
      <c r="AS27" s="588"/>
      <c r="AT27" s="588"/>
      <c r="AU27" s="588"/>
      <c r="AV27" s="588"/>
      <c r="AW27" s="588"/>
      <c r="AX27" s="588"/>
      <c r="AY27" s="588"/>
      <c r="AZ27" s="588"/>
      <c r="BA27" s="588"/>
      <c r="BB27" s="588"/>
      <c r="BC27" s="588"/>
      <c r="BD27" s="588"/>
      <c r="BE27" s="588"/>
      <c r="BF27" s="588"/>
      <c r="BG27" s="588"/>
      <c r="BH27" s="588"/>
      <c r="BI27" s="588"/>
      <c r="BJ27" s="588"/>
      <c r="BK27" s="588"/>
      <c r="BL27" s="588"/>
      <c r="BM27" s="588"/>
      <c r="BN27" s="588"/>
      <c r="BO27" s="588"/>
      <c r="BP27" s="588"/>
      <c r="BQ27" s="588"/>
      <c r="BR27" s="588"/>
      <c r="BS27" s="588"/>
      <c r="BT27" s="588"/>
      <c r="BU27" s="588"/>
      <c r="BV27" s="588"/>
      <c r="BW27" s="588"/>
      <c r="BX27" s="588"/>
      <c r="BY27" s="588"/>
      <c r="BZ27" s="588"/>
      <c r="CA27" s="588"/>
      <c r="CB27" s="588"/>
      <c r="CC27" s="588"/>
      <c r="CD27" s="588"/>
      <c r="CE27" s="588"/>
      <c r="CF27" s="588"/>
      <c r="CG27" s="588"/>
      <c r="CH27" s="588"/>
      <c r="CI27" s="588"/>
      <c r="CJ27" s="588"/>
      <c r="CK27" s="588"/>
      <c r="CL27" s="588"/>
      <c r="CM27" s="588"/>
      <c r="CN27" s="588"/>
      <c r="CO27" s="588"/>
      <c r="CP27" s="588"/>
      <c r="CQ27" s="588"/>
      <c r="CR27" s="588"/>
      <c r="CS27" s="588"/>
      <c r="CT27" s="588"/>
      <c r="CU27" s="588"/>
      <c r="CV27" s="588"/>
      <c r="CW27" s="588"/>
      <c r="CX27" s="588"/>
      <c r="CY27" s="588"/>
      <c r="CZ27" s="588"/>
      <c r="DA27" s="588"/>
      <c r="DB27" s="588"/>
      <c r="DC27" s="588"/>
      <c r="DD27" s="588"/>
      <c r="DE27" s="588"/>
      <c r="DF27" s="588"/>
      <c r="DG27" s="588"/>
      <c r="DH27" s="588"/>
      <c r="DI27" s="588"/>
      <c r="DJ27" s="588"/>
      <c r="DK27" s="588"/>
      <c r="DL27" s="588"/>
      <c r="DM27" s="588"/>
      <c r="DN27" s="588"/>
      <c r="DO27" s="588"/>
      <c r="DP27" s="588"/>
      <c r="DQ27" s="588"/>
      <c r="DR27" s="588"/>
      <c r="DS27" s="588"/>
      <c r="DT27" s="588"/>
      <c r="DU27" s="588"/>
      <c r="DV27" s="588"/>
      <c r="DW27" s="588"/>
      <c r="DX27" s="588"/>
      <c r="DY27" s="588"/>
      <c r="DZ27" s="588"/>
      <c r="EA27" s="588"/>
      <c r="EB27" s="588"/>
      <c r="EC27" s="588"/>
      <c r="ED27" s="588"/>
      <c r="EE27" s="588"/>
      <c r="EF27" s="588"/>
      <c r="EG27" s="588"/>
      <c r="EH27" s="588"/>
      <c r="EI27" s="588"/>
      <c r="EJ27" s="588"/>
      <c r="EK27" s="588"/>
      <c r="EL27" s="588"/>
      <c r="EM27" s="588"/>
      <c r="EN27" s="588"/>
    </row>
    <row r="28" spans="1:144">
      <c r="A28" s="636"/>
      <c r="B28" s="636"/>
      <c r="C28" s="636"/>
      <c r="D28" s="636"/>
      <c r="E28" s="636"/>
      <c r="F28" s="636"/>
      <c r="G28" s="636"/>
      <c r="H28" s="636"/>
      <c r="I28" s="636"/>
      <c r="J28" s="636"/>
      <c r="K28" s="636"/>
      <c r="L28" s="636"/>
      <c r="M28" s="636"/>
      <c r="N28" s="636"/>
      <c r="O28" s="636"/>
      <c r="P28" s="636"/>
      <c r="Q28" s="636"/>
      <c r="R28" s="636"/>
      <c r="S28" s="636"/>
      <c r="T28" s="586"/>
      <c r="U28" s="587"/>
      <c r="V28" s="587"/>
      <c r="W28" s="587"/>
      <c r="X28" s="587"/>
      <c r="Y28" s="587"/>
      <c r="Z28" s="587"/>
      <c r="AA28" s="587"/>
      <c r="AB28" s="587"/>
    </row>
    <row r="29" spans="1:144">
      <c r="A29" s="636"/>
      <c r="B29" s="636"/>
      <c r="C29" s="636"/>
      <c r="D29" s="636"/>
      <c r="E29" s="636"/>
      <c r="F29" s="636"/>
      <c r="G29" s="636"/>
      <c r="H29" s="636"/>
      <c r="I29" s="636"/>
      <c r="J29" s="636"/>
      <c r="K29" s="636"/>
      <c r="L29" s="636"/>
      <c r="M29" s="636"/>
      <c r="N29" s="636"/>
      <c r="O29" s="636"/>
      <c r="P29" s="636"/>
      <c r="Q29" s="636"/>
      <c r="R29" s="636"/>
      <c r="S29" s="636"/>
      <c r="T29" s="586"/>
      <c r="U29" s="587"/>
      <c r="V29" s="587"/>
      <c r="W29" s="587"/>
      <c r="X29" s="587"/>
      <c r="Y29" s="587"/>
      <c r="Z29" s="587"/>
      <c r="AA29" s="587"/>
      <c r="AB29" s="587"/>
    </row>
    <row r="30" spans="1:144">
      <c r="A30" s="636"/>
      <c r="B30" s="636"/>
      <c r="C30" s="636"/>
      <c r="D30" s="636"/>
      <c r="E30" s="636"/>
      <c r="F30" s="636"/>
      <c r="G30" s="636"/>
      <c r="H30" s="636"/>
      <c r="I30" s="636"/>
      <c r="J30" s="636"/>
      <c r="K30" s="636"/>
      <c r="L30" s="636"/>
      <c r="M30" s="636"/>
      <c r="N30" s="636"/>
      <c r="O30" s="636"/>
      <c r="P30" s="636"/>
      <c r="Q30" s="636"/>
      <c r="R30" s="636"/>
      <c r="S30" s="636"/>
      <c r="T30" s="586"/>
      <c r="U30" s="587"/>
      <c r="V30" s="587"/>
      <c r="W30" s="587"/>
      <c r="X30" s="587"/>
      <c r="Y30" s="587"/>
      <c r="Z30" s="587"/>
      <c r="AA30" s="587"/>
      <c r="AB30" s="587"/>
    </row>
    <row r="31" spans="1:144">
      <c r="A31" s="636"/>
      <c r="B31" s="636"/>
      <c r="C31" s="636"/>
      <c r="D31" s="636"/>
      <c r="E31" s="636"/>
      <c r="F31" s="636"/>
      <c r="G31" s="636"/>
      <c r="H31" s="636"/>
      <c r="I31" s="636"/>
      <c r="J31" s="636"/>
      <c r="K31" s="636"/>
      <c r="L31" s="636"/>
      <c r="M31" s="636"/>
      <c r="N31" s="636"/>
      <c r="O31" s="636"/>
      <c r="P31" s="636"/>
      <c r="Q31" s="636"/>
      <c r="R31" s="636"/>
      <c r="S31" s="636"/>
      <c r="T31" s="586"/>
      <c r="U31" s="587"/>
      <c r="V31" s="587"/>
      <c r="W31" s="587"/>
      <c r="X31" s="587"/>
      <c r="Y31" s="587"/>
      <c r="Z31" s="587"/>
      <c r="AA31" s="587"/>
      <c r="AB31" s="587"/>
    </row>
    <row r="32" spans="1:144">
      <c r="A32" s="636"/>
      <c r="B32" s="636"/>
      <c r="C32" s="636"/>
      <c r="D32" s="636"/>
      <c r="E32" s="636"/>
      <c r="F32" s="636"/>
      <c r="G32" s="636"/>
      <c r="H32" s="636"/>
      <c r="I32" s="636"/>
      <c r="J32" s="636"/>
      <c r="K32" s="636"/>
      <c r="L32" s="636"/>
      <c r="M32" s="636"/>
      <c r="N32" s="636"/>
      <c r="O32" s="636"/>
      <c r="P32" s="636"/>
      <c r="Q32" s="636"/>
      <c r="R32" s="636"/>
      <c r="S32" s="636"/>
      <c r="T32" s="586"/>
      <c r="U32" s="587"/>
      <c r="V32" s="587"/>
      <c r="W32" s="587"/>
      <c r="X32" s="587"/>
      <c r="Y32" s="587"/>
      <c r="Z32" s="587"/>
      <c r="AA32" s="587"/>
      <c r="AB32" s="587"/>
    </row>
    <row r="33" spans="1:144">
      <c r="A33" s="636"/>
      <c r="B33" s="636"/>
      <c r="C33" s="636"/>
      <c r="D33" s="636"/>
      <c r="E33" s="636"/>
      <c r="F33" s="636"/>
      <c r="G33" s="636"/>
      <c r="H33" s="636"/>
      <c r="I33" s="636"/>
      <c r="J33" s="636"/>
      <c r="K33" s="636"/>
      <c r="L33" s="636"/>
      <c r="M33" s="636"/>
      <c r="N33" s="636"/>
      <c r="O33" s="636"/>
      <c r="P33" s="636"/>
      <c r="Q33" s="636"/>
      <c r="R33" s="636"/>
      <c r="S33" s="636"/>
      <c r="T33" s="586"/>
      <c r="U33" s="587"/>
      <c r="V33" s="587"/>
      <c r="W33" s="587"/>
      <c r="X33" s="587"/>
      <c r="Y33" s="587"/>
      <c r="Z33" s="587"/>
      <c r="AA33" s="587"/>
      <c r="AB33" s="587"/>
    </row>
    <row r="34" spans="1:144">
      <c r="A34" s="636"/>
      <c r="B34" s="638"/>
      <c r="C34" s="636"/>
      <c r="D34" s="636"/>
      <c r="E34" s="636"/>
      <c r="F34" s="636"/>
      <c r="G34" s="636"/>
      <c r="H34" s="636"/>
      <c r="I34" s="636"/>
      <c r="J34" s="636"/>
      <c r="K34" s="636"/>
      <c r="L34" s="636"/>
      <c r="M34" s="636"/>
      <c r="N34" s="636"/>
      <c r="O34" s="636"/>
      <c r="P34" s="636"/>
      <c r="Q34" s="636"/>
      <c r="R34" s="636"/>
      <c r="S34" s="636"/>
      <c r="T34" s="586"/>
      <c r="U34" s="639"/>
      <c r="V34" s="640"/>
      <c r="W34" s="640"/>
      <c r="X34" s="640"/>
      <c r="Y34" s="640"/>
      <c r="Z34" s="640"/>
      <c r="AA34" s="587"/>
      <c r="AB34" s="587"/>
    </row>
    <row r="35" spans="1:144">
      <c r="A35" s="636"/>
      <c r="B35" s="641"/>
      <c r="C35" s="636"/>
      <c r="D35" s="636"/>
      <c r="E35" s="636"/>
      <c r="F35" s="636"/>
      <c r="G35" s="636"/>
      <c r="H35" s="636"/>
      <c r="I35" s="636"/>
      <c r="J35" s="636"/>
      <c r="K35" s="636"/>
      <c r="L35" s="636"/>
      <c r="M35" s="636"/>
      <c r="N35" s="636"/>
      <c r="O35" s="636"/>
      <c r="P35" s="636"/>
      <c r="Q35" s="636"/>
      <c r="R35" s="636"/>
      <c r="S35" s="636"/>
      <c r="T35" s="586"/>
      <c r="U35" s="639"/>
      <c r="V35" s="642"/>
      <c r="W35" s="642"/>
      <c r="X35" s="642"/>
      <c r="Y35" s="642"/>
      <c r="Z35" s="642"/>
      <c r="AA35" s="587"/>
      <c r="AB35" s="587"/>
    </row>
    <row r="36" spans="1:144">
      <c r="A36" s="636"/>
      <c r="B36" s="641"/>
      <c r="C36" s="636"/>
      <c r="D36" s="636"/>
      <c r="E36" s="636"/>
      <c r="F36" s="636"/>
      <c r="G36" s="636"/>
      <c r="H36" s="636"/>
      <c r="I36" s="636"/>
      <c r="J36" s="636"/>
      <c r="K36" s="636"/>
      <c r="L36" s="636"/>
      <c r="M36" s="636"/>
      <c r="N36" s="636"/>
      <c r="O36" s="636"/>
      <c r="P36" s="636"/>
      <c r="Q36" s="636"/>
      <c r="R36" s="636"/>
      <c r="S36" s="636"/>
      <c r="T36" s="586"/>
      <c r="U36" s="643"/>
      <c r="V36" s="644"/>
      <c r="W36" s="644"/>
      <c r="X36" s="644"/>
      <c r="Y36" s="644"/>
      <c r="Z36" s="644"/>
      <c r="AA36" s="587"/>
      <c r="AB36" s="587"/>
    </row>
    <row r="37" spans="1:144">
      <c r="A37" s="636"/>
      <c r="B37" s="641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586"/>
      <c r="U37" s="643"/>
      <c r="V37" s="644"/>
      <c r="W37" s="644"/>
      <c r="X37" s="644"/>
      <c r="Y37" s="644"/>
      <c r="Z37" s="644"/>
      <c r="AA37" s="587"/>
      <c r="AB37" s="587"/>
    </row>
    <row r="38" spans="1:144">
      <c r="A38" s="636"/>
      <c r="B38" s="641"/>
      <c r="C38" s="636"/>
      <c r="D38" s="636"/>
      <c r="E38" s="636"/>
      <c r="F38" s="636"/>
      <c r="G38" s="636"/>
      <c r="H38" s="636"/>
      <c r="I38" s="636"/>
      <c r="J38" s="636"/>
      <c r="K38" s="636"/>
      <c r="L38" s="636"/>
      <c r="M38" s="636"/>
      <c r="N38" s="636"/>
      <c r="O38" s="636"/>
      <c r="P38" s="636"/>
      <c r="Q38" s="636"/>
      <c r="R38" s="636"/>
      <c r="S38" s="636"/>
      <c r="T38" s="586"/>
      <c r="U38" s="643"/>
      <c r="V38" s="644"/>
      <c r="W38" s="644"/>
      <c r="X38" s="644"/>
      <c r="Y38" s="644"/>
      <c r="Z38" s="644"/>
      <c r="AA38" s="587"/>
      <c r="AB38" s="587"/>
    </row>
    <row r="39" spans="1:144">
      <c r="A39" s="636"/>
      <c r="B39" s="641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45"/>
      <c r="U39" s="643"/>
      <c r="V39" s="644"/>
      <c r="W39" s="644"/>
      <c r="X39" s="644"/>
      <c r="Y39" s="644"/>
      <c r="Z39" s="644"/>
      <c r="AA39" s="587"/>
      <c r="AB39" s="587"/>
    </row>
    <row r="40" spans="1:144">
      <c r="A40" s="636"/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586"/>
      <c r="T40" s="587"/>
      <c r="U40" s="643"/>
      <c r="V40" s="644"/>
      <c r="W40" s="644"/>
      <c r="X40" s="644"/>
      <c r="Y40" s="644"/>
      <c r="Z40" s="644"/>
      <c r="AA40" s="587"/>
      <c r="AB40" s="587"/>
    </row>
    <row r="41" spans="1:144">
      <c r="A41" s="636"/>
      <c r="B41" s="636"/>
      <c r="C41" s="636"/>
      <c r="D41" s="636"/>
      <c r="E41" s="636"/>
      <c r="F41" s="636"/>
      <c r="G41" s="636"/>
      <c r="H41" s="636"/>
      <c r="I41" s="636"/>
      <c r="J41" s="636"/>
      <c r="K41" s="636"/>
      <c r="L41" s="636"/>
      <c r="M41" s="636"/>
      <c r="N41" s="636"/>
      <c r="O41" s="636"/>
      <c r="P41" s="636"/>
      <c r="Q41" s="636"/>
      <c r="R41" s="636"/>
      <c r="S41" s="586"/>
      <c r="T41" s="587"/>
      <c r="U41" s="587"/>
      <c r="V41" s="587"/>
      <c r="W41" s="587"/>
      <c r="X41" s="587"/>
      <c r="Y41" s="587"/>
      <c r="Z41" s="587"/>
      <c r="AA41" s="587"/>
      <c r="AB41" s="587"/>
    </row>
    <row r="42" spans="1:144" s="575" customFormat="1">
      <c r="A42" s="646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46"/>
      <c r="P42" s="646"/>
      <c r="Q42" s="646"/>
      <c r="R42" s="646"/>
      <c r="S42" s="645"/>
      <c r="T42" s="587"/>
      <c r="U42" s="587"/>
      <c r="V42" s="587"/>
      <c r="W42" s="587"/>
      <c r="X42" s="587"/>
      <c r="Y42" s="587"/>
      <c r="Z42" s="587"/>
      <c r="AA42" s="587"/>
      <c r="AB42" s="587"/>
      <c r="AC42" s="311"/>
      <c r="AD42" s="311"/>
      <c r="AE42" s="311"/>
      <c r="AF42" s="311"/>
      <c r="AG42" s="311"/>
      <c r="AH42" s="311"/>
      <c r="AI42" s="311"/>
      <c r="AJ42" s="311"/>
      <c r="AK42" s="311"/>
      <c r="AL42" s="311"/>
      <c r="AM42" s="311"/>
      <c r="AN42" s="311"/>
      <c r="AO42" s="311"/>
      <c r="AP42" s="311"/>
      <c r="AQ42" s="311"/>
      <c r="AR42" s="311"/>
      <c r="AS42" s="311"/>
      <c r="AT42" s="311"/>
      <c r="AU42" s="311"/>
      <c r="AV42" s="311"/>
      <c r="AW42" s="311"/>
      <c r="AX42" s="311"/>
      <c r="AY42" s="311"/>
      <c r="AZ42" s="311"/>
      <c r="BA42" s="311"/>
      <c r="BB42" s="311"/>
      <c r="BC42" s="311"/>
      <c r="BD42" s="311"/>
      <c r="BE42" s="311"/>
      <c r="BF42" s="311"/>
      <c r="BG42" s="311"/>
      <c r="BH42" s="311"/>
      <c r="BI42" s="311"/>
      <c r="BJ42" s="311"/>
      <c r="BK42" s="311"/>
      <c r="BL42" s="311"/>
      <c r="BM42" s="311"/>
      <c r="BN42" s="311"/>
      <c r="BO42" s="311"/>
      <c r="BP42" s="311"/>
      <c r="BQ42" s="311"/>
      <c r="BR42" s="311"/>
      <c r="BS42" s="311"/>
      <c r="BT42" s="311"/>
      <c r="BU42" s="311"/>
      <c r="BV42" s="311"/>
      <c r="BW42" s="311"/>
      <c r="BX42" s="311"/>
      <c r="BY42" s="311"/>
      <c r="BZ42" s="311"/>
      <c r="CA42" s="311"/>
      <c r="CB42" s="311"/>
      <c r="CC42" s="311"/>
      <c r="CD42" s="311"/>
      <c r="CE42" s="311"/>
      <c r="CF42" s="311"/>
      <c r="CG42" s="311"/>
      <c r="CH42" s="311"/>
      <c r="CI42" s="311"/>
      <c r="CJ42" s="311"/>
      <c r="CK42" s="311"/>
      <c r="CL42" s="311"/>
      <c r="CM42" s="311"/>
      <c r="CN42" s="311"/>
      <c r="CO42" s="311"/>
      <c r="CP42" s="311"/>
      <c r="CQ42" s="311"/>
      <c r="CR42" s="311"/>
      <c r="CS42" s="311"/>
      <c r="CT42" s="311"/>
      <c r="CU42" s="311"/>
      <c r="CV42" s="311"/>
      <c r="CW42" s="311"/>
      <c r="CX42" s="311"/>
      <c r="CY42" s="311"/>
      <c r="CZ42" s="311"/>
      <c r="DA42" s="311"/>
      <c r="DB42" s="311"/>
      <c r="DC42" s="311"/>
      <c r="DD42" s="311"/>
      <c r="DE42" s="311"/>
      <c r="DF42" s="311"/>
      <c r="DG42" s="311"/>
      <c r="DH42" s="311"/>
      <c r="DI42" s="311"/>
      <c r="DJ42" s="311"/>
      <c r="DK42" s="311"/>
      <c r="DL42" s="311"/>
      <c r="DM42" s="311"/>
      <c r="DN42" s="311"/>
      <c r="DO42" s="311"/>
      <c r="DP42" s="311"/>
      <c r="DQ42" s="311"/>
      <c r="DR42" s="311"/>
      <c r="DS42" s="311"/>
      <c r="DT42" s="311"/>
      <c r="DU42" s="311"/>
      <c r="DV42" s="311"/>
      <c r="DW42" s="311"/>
      <c r="DX42" s="311"/>
      <c r="DY42" s="311"/>
      <c r="DZ42" s="311"/>
      <c r="EA42" s="311"/>
      <c r="EB42" s="311"/>
      <c r="EC42" s="311"/>
      <c r="ED42" s="311"/>
      <c r="EE42" s="311"/>
      <c r="EF42" s="311"/>
      <c r="EG42" s="311"/>
      <c r="EH42" s="311"/>
      <c r="EI42" s="311"/>
      <c r="EJ42" s="311"/>
      <c r="EK42" s="311"/>
      <c r="EL42" s="311"/>
      <c r="EM42" s="311"/>
      <c r="EN42" s="311"/>
    </row>
    <row r="43" spans="1:144" s="311" customFormat="1">
      <c r="A43" s="587"/>
      <c r="B43" s="587"/>
      <c r="C43" s="587"/>
      <c r="D43" s="587"/>
      <c r="E43" s="587"/>
      <c r="F43" s="587"/>
      <c r="G43" s="587"/>
      <c r="H43" s="587"/>
      <c r="I43" s="587"/>
      <c r="J43" s="587"/>
      <c r="K43" s="587"/>
      <c r="L43" s="587"/>
      <c r="M43" s="587"/>
      <c r="N43" s="587"/>
      <c r="O43" s="587"/>
      <c r="P43" s="587"/>
      <c r="Q43" s="587"/>
      <c r="R43" s="587"/>
      <c r="S43" s="587"/>
      <c r="T43" s="587"/>
      <c r="AA43" s="587"/>
      <c r="AB43" s="587"/>
    </row>
    <row r="44" spans="1:144" s="311" customFormat="1">
      <c r="A44" s="587"/>
      <c r="B44" s="587"/>
      <c r="C44" s="587"/>
      <c r="D44" s="587"/>
      <c r="E44" s="587"/>
      <c r="F44" s="587"/>
      <c r="G44" s="587"/>
      <c r="H44" s="587"/>
      <c r="I44" s="587"/>
      <c r="J44" s="587"/>
      <c r="K44" s="587"/>
      <c r="L44" s="587"/>
      <c r="M44" s="587"/>
      <c r="N44" s="587"/>
      <c r="O44" s="587"/>
      <c r="P44" s="587"/>
      <c r="Q44" s="587"/>
      <c r="R44" s="587"/>
      <c r="S44" s="587"/>
      <c r="T44" s="587"/>
      <c r="U44" s="587"/>
      <c r="AB44" s="587"/>
      <c r="AC44" s="587"/>
    </row>
    <row r="45" spans="1:144" s="311" customFormat="1">
      <c r="A45" s="587"/>
      <c r="B45" s="587"/>
      <c r="C45" s="587"/>
      <c r="D45" s="587"/>
      <c r="E45" s="587"/>
      <c r="F45" s="587"/>
      <c r="G45" s="587"/>
      <c r="H45" s="587"/>
      <c r="I45" s="587"/>
      <c r="J45" s="587"/>
      <c r="K45" s="587"/>
      <c r="L45" s="587"/>
      <c r="M45" s="587"/>
      <c r="N45" s="587"/>
      <c r="O45" s="587"/>
      <c r="P45" s="587"/>
      <c r="Q45" s="587"/>
      <c r="R45" s="587"/>
      <c r="S45" s="587"/>
      <c r="T45" s="587"/>
      <c r="U45" s="587"/>
      <c r="V45" s="639"/>
      <c r="W45" s="640"/>
      <c r="X45" s="640"/>
      <c r="Y45" s="640"/>
      <c r="Z45" s="640"/>
      <c r="AA45" s="640"/>
      <c r="AB45" s="640"/>
      <c r="AC45" s="640"/>
    </row>
    <row r="46" spans="1:144" s="311" customFormat="1">
      <c r="A46" s="587"/>
      <c r="B46" s="587"/>
      <c r="C46" s="587"/>
      <c r="D46" s="587"/>
      <c r="E46" s="587"/>
      <c r="F46" s="587"/>
      <c r="G46" s="587"/>
      <c r="H46" s="587"/>
      <c r="I46" s="587"/>
      <c r="J46" s="587"/>
      <c r="K46" s="587"/>
      <c r="L46" s="587"/>
      <c r="M46" s="587"/>
      <c r="N46" s="587"/>
      <c r="O46" s="587"/>
      <c r="P46" s="587"/>
      <c r="Q46" s="587"/>
      <c r="R46" s="587"/>
      <c r="S46" s="587"/>
      <c r="T46" s="587"/>
      <c r="U46" s="587"/>
      <c r="V46" s="643"/>
      <c r="W46" s="644"/>
      <c r="X46" s="644"/>
      <c r="Y46" s="644"/>
      <c r="Z46" s="644"/>
      <c r="AA46" s="644"/>
      <c r="AB46" s="644"/>
      <c r="AC46" s="587"/>
      <c r="AD46" s="647"/>
      <c r="AE46" s="597"/>
    </row>
    <row r="47" spans="1:144" s="311" customFormat="1">
      <c r="A47" s="587"/>
      <c r="B47" s="587"/>
      <c r="C47" s="587"/>
      <c r="D47" s="587"/>
      <c r="E47" s="587"/>
      <c r="F47" s="587"/>
      <c r="G47" s="587"/>
      <c r="H47" s="587"/>
      <c r="I47" s="587"/>
      <c r="J47" s="587"/>
      <c r="K47" s="587"/>
      <c r="L47" s="587"/>
      <c r="M47" s="587"/>
      <c r="N47" s="587"/>
      <c r="O47" s="587"/>
      <c r="P47" s="587"/>
      <c r="Q47" s="587"/>
      <c r="R47" s="587"/>
      <c r="S47" s="587"/>
      <c r="T47" s="587"/>
      <c r="U47" s="587"/>
      <c r="V47" s="643"/>
      <c r="W47" s="644"/>
      <c r="X47" s="644"/>
      <c r="Y47" s="644"/>
      <c r="Z47" s="644"/>
      <c r="AA47" s="644"/>
      <c r="AB47" s="644"/>
      <c r="AC47" s="587"/>
      <c r="AD47" s="647"/>
      <c r="AE47" s="597"/>
    </row>
    <row r="48" spans="1:144" s="311" customFormat="1" ht="35.25" customHeight="1">
      <c r="A48" s="587"/>
      <c r="B48" s="587"/>
      <c r="C48" s="587"/>
      <c r="D48" s="587"/>
      <c r="E48" s="587"/>
      <c r="F48" s="587"/>
      <c r="G48" s="587"/>
      <c r="H48" s="587"/>
      <c r="I48" s="587"/>
      <c r="J48" s="587"/>
      <c r="K48" s="587"/>
      <c r="L48" s="587"/>
      <c r="M48" s="587"/>
      <c r="N48" s="587"/>
      <c r="O48" s="587"/>
      <c r="P48" s="587"/>
      <c r="Q48" s="587"/>
      <c r="R48" s="587"/>
      <c r="S48" s="587"/>
      <c r="T48" s="587"/>
      <c r="U48" s="587"/>
      <c r="V48" s="643"/>
      <c r="W48" s="644"/>
      <c r="X48" s="644"/>
      <c r="Y48" s="644"/>
      <c r="Z48" s="644"/>
      <c r="AA48" s="644"/>
      <c r="AB48" s="644"/>
      <c r="AC48" s="587"/>
      <c r="AD48" s="647"/>
      <c r="AE48" s="597"/>
    </row>
    <row r="49" spans="1:31" s="311" customFormat="1">
      <c r="A49" s="587"/>
      <c r="B49" s="587"/>
      <c r="C49" s="587"/>
      <c r="D49" s="587"/>
      <c r="E49" s="587"/>
      <c r="F49" s="587"/>
      <c r="G49" s="587"/>
      <c r="H49" s="587"/>
      <c r="I49" s="587"/>
      <c r="J49" s="587"/>
      <c r="K49" s="587"/>
      <c r="L49" s="587"/>
      <c r="M49" s="587"/>
      <c r="N49" s="587"/>
      <c r="O49" s="587"/>
      <c r="P49" s="587"/>
      <c r="Q49" s="587"/>
      <c r="R49" s="587"/>
      <c r="S49" s="587"/>
      <c r="T49" s="587"/>
      <c r="U49" s="587"/>
      <c r="V49" s="643"/>
      <c r="W49" s="644"/>
      <c r="X49" s="644"/>
      <c r="Y49" s="644"/>
      <c r="Z49" s="644"/>
      <c r="AA49" s="644"/>
      <c r="AB49" s="644"/>
      <c r="AC49" s="587"/>
      <c r="AD49" s="647"/>
      <c r="AE49" s="597"/>
    </row>
    <row r="50" spans="1:31" s="311" customFormat="1">
      <c r="A50" s="587"/>
      <c r="B50" s="587"/>
      <c r="C50" s="587"/>
      <c r="D50" s="587"/>
      <c r="E50" s="587"/>
      <c r="F50" s="587"/>
      <c r="G50" s="587"/>
      <c r="H50" s="587"/>
      <c r="I50" s="587"/>
      <c r="J50" s="587"/>
      <c r="K50" s="587"/>
      <c r="L50" s="587"/>
      <c r="M50" s="587"/>
      <c r="N50" s="587"/>
      <c r="O50" s="587"/>
      <c r="P50" s="587"/>
      <c r="Q50" s="587"/>
      <c r="R50" s="587"/>
      <c r="S50" s="587"/>
      <c r="T50" s="587"/>
      <c r="U50" s="587"/>
      <c r="V50" s="643"/>
      <c r="W50" s="644"/>
      <c r="X50" s="644"/>
      <c r="Y50" s="644"/>
      <c r="Z50" s="644"/>
      <c r="AA50" s="644"/>
      <c r="AB50" s="644"/>
      <c r="AC50" s="587"/>
      <c r="AD50" s="647"/>
      <c r="AE50" s="597"/>
    </row>
    <row r="51" spans="1:31" s="311" customFormat="1">
      <c r="A51" s="587"/>
      <c r="B51" s="587"/>
      <c r="C51" s="587"/>
      <c r="D51" s="587"/>
      <c r="E51" s="587"/>
      <c r="F51" s="587"/>
      <c r="G51" s="587"/>
      <c r="H51" s="587"/>
      <c r="I51" s="587"/>
      <c r="J51" s="587"/>
      <c r="K51" s="587"/>
      <c r="L51" s="587"/>
      <c r="M51" s="587"/>
      <c r="N51" s="587"/>
      <c r="O51" s="587"/>
      <c r="P51" s="587"/>
      <c r="Q51" s="587"/>
      <c r="R51" s="587"/>
      <c r="S51" s="587"/>
      <c r="T51" s="587"/>
      <c r="U51" s="587"/>
      <c r="V51" s="587"/>
      <c r="W51" s="587"/>
      <c r="X51" s="587"/>
      <c r="Y51" s="587"/>
      <c r="Z51" s="587"/>
      <c r="AA51" s="587"/>
      <c r="AB51" s="587"/>
      <c r="AC51" s="587"/>
    </row>
    <row r="52" spans="1:31" s="311" customFormat="1">
      <c r="A52" s="587"/>
      <c r="B52" s="587"/>
      <c r="C52" s="587"/>
      <c r="D52" s="587"/>
      <c r="E52" s="587"/>
      <c r="F52" s="587"/>
      <c r="G52" s="587"/>
      <c r="H52" s="587"/>
      <c r="I52" s="587"/>
      <c r="J52" s="587"/>
      <c r="K52" s="587"/>
      <c r="L52" s="587"/>
      <c r="M52" s="587"/>
      <c r="N52" s="587"/>
      <c r="O52" s="587"/>
      <c r="P52" s="587"/>
      <c r="Q52" s="587"/>
      <c r="R52" s="587"/>
      <c r="S52" s="587"/>
      <c r="T52" s="587"/>
      <c r="U52" s="587"/>
      <c r="V52" s="639"/>
      <c r="W52" s="642"/>
      <c r="X52" s="642"/>
      <c r="Y52" s="642"/>
      <c r="Z52" s="642"/>
      <c r="AA52" s="642"/>
      <c r="AB52" s="642"/>
      <c r="AC52" s="642"/>
    </row>
    <row r="53" spans="1:31" s="311" customFormat="1">
      <c r="A53" s="587"/>
      <c r="B53" s="587"/>
      <c r="C53" s="587"/>
      <c r="D53" s="587"/>
      <c r="E53" s="587"/>
      <c r="F53" s="587"/>
      <c r="G53" s="587"/>
      <c r="H53" s="587"/>
      <c r="I53" s="587"/>
      <c r="J53" s="587"/>
      <c r="K53" s="587"/>
      <c r="L53" s="587"/>
      <c r="M53" s="587"/>
      <c r="N53" s="587"/>
      <c r="O53" s="587"/>
      <c r="P53" s="587"/>
      <c r="Q53" s="587"/>
      <c r="R53" s="587"/>
      <c r="S53" s="587"/>
      <c r="T53" s="587"/>
      <c r="U53" s="587"/>
      <c r="V53" s="587"/>
      <c r="W53" s="587"/>
      <c r="X53" s="587"/>
      <c r="Y53" s="587"/>
      <c r="Z53" s="587"/>
      <c r="AA53" s="587"/>
      <c r="AB53" s="587"/>
      <c r="AC53" s="587"/>
    </row>
    <row r="54" spans="1:31" s="311" customFormat="1">
      <c r="A54" s="587"/>
      <c r="B54" s="587"/>
      <c r="C54" s="587"/>
      <c r="D54" s="587"/>
      <c r="E54" s="587"/>
      <c r="F54" s="587"/>
      <c r="G54" s="587"/>
      <c r="H54" s="587"/>
      <c r="I54" s="587"/>
      <c r="J54" s="587"/>
      <c r="K54" s="587"/>
      <c r="L54" s="587"/>
      <c r="M54" s="587"/>
      <c r="N54" s="587"/>
      <c r="O54" s="587"/>
      <c r="P54" s="587"/>
      <c r="Q54" s="587"/>
      <c r="R54" s="587"/>
      <c r="S54" s="587"/>
      <c r="T54" s="587"/>
      <c r="U54" s="587"/>
      <c r="V54" s="587"/>
      <c r="W54" s="587"/>
      <c r="X54" s="587"/>
      <c r="Y54" s="587"/>
      <c r="Z54" s="587"/>
      <c r="AA54" s="587"/>
      <c r="AB54" s="587"/>
      <c r="AC54" s="587"/>
    </row>
    <row r="55" spans="1:31" s="311" customFormat="1">
      <c r="A55" s="587"/>
      <c r="B55" s="587"/>
      <c r="C55" s="587"/>
      <c r="D55" s="587"/>
      <c r="E55" s="587"/>
      <c r="F55" s="587"/>
      <c r="G55" s="587"/>
      <c r="H55" s="587"/>
      <c r="I55" s="587"/>
      <c r="J55" s="587"/>
      <c r="K55" s="587"/>
      <c r="L55" s="587"/>
      <c r="M55" s="587"/>
      <c r="N55" s="587"/>
      <c r="O55" s="587"/>
      <c r="P55" s="587"/>
      <c r="Q55" s="587"/>
      <c r="R55" s="587"/>
      <c r="S55" s="587"/>
      <c r="T55" s="587"/>
      <c r="U55" s="587"/>
      <c r="V55" s="587"/>
      <c r="W55" s="587"/>
      <c r="X55" s="587"/>
      <c r="Y55" s="587"/>
      <c r="Z55" s="587"/>
      <c r="AA55" s="587"/>
      <c r="AB55" s="587"/>
    </row>
    <row r="56" spans="1:31" s="311" customFormat="1">
      <c r="A56" s="587"/>
      <c r="B56" s="587"/>
      <c r="C56" s="587"/>
      <c r="D56" s="587"/>
      <c r="E56" s="587"/>
      <c r="F56" s="587"/>
      <c r="G56" s="587"/>
      <c r="H56" s="587"/>
      <c r="I56" s="587"/>
      <c r="J56" s="587"/>
      <c r="K56" s="587"/>
      <c r="L56" s="587"/>
      <c r="M56" s="587"/>
      <c r="N56" s="587"/>
      <c r="O56" s="587"/>
      <c r="P56" s="587"/>
      <c r="Q56" s="587"/>
      <c r="R56" s="587"/>
      <c r="S56" s="587"/>
      <c r="T56" s="587"/>
      <c r="U56" s="587"/>
      <c r="V56" s="587"/>
      <c r="W56" s="587"/>
      <c r="X56" s="587"/>
      <c r="Y56" s="587"/>
      <c r="Z56" s="587"/>
      <c r="AA56" s="587"/>
      <c r="AB56" s="587"/>
    </row>
    <row r="57" spans="1:31" s="311" customFormat="1">
      <c r="A57" s="587"/>
      <c r="B57" s="587"/>
      <c r="C57" s="587"/>
      <c r="D57" s="587"/>
      <c r="E57" s="587"/>
      <c r="F57" s="587"/>
      <c r="G57" s="587"/>
      <c r="H57" s="587"/>
      <c r="I57" s="587"/>
      <c r="J57" s="587"/>
      <c r="K57" s="587"/>
      <c r="L57" s="587"/>
      <c r="M57" s="587"/>
      <c r="N57" s="587"/>
      <c r="O57" s="587"/>
      <c r="P57" s="587"/>
      <c r="Q57" s="587"/>
      <c r="R57" s="587"/>
      <c r="S57" s="587"/>
      <c r="T57" s="587"/>
      <c r="U57" s="587"/>
      <c r="V57" s="587"/>
      <c r="W57" s="587"/>
      <c r="X57" s="587"/>
      <c r="Y57" s="587"/>
      <c r="Z57" s="587"/>
      <c r="AA57" s="587"/>
      <c r="AB57" s="587"/>
    </row>
    <row r="58" spans="1:31" s="311" customFormat="1">
      <c r="A58" s="587"/>
      <c r="B58" s="587"/>
      <c r="C58" s="587"/>
      <c r="D58" s="587"/>
      <c r="E58" s="587"/>
      <c r="F58" s="587"/>
      <c r="G58" s="587"/>
      <c r="H58" s="587"/>
      <c r="I58" s="587"/>
      <c r="J58" s="587"/>
      <c r="K58" s="587"/>
      <c r="L58" s="587"/>
      <c r="M58" s="587"/>
      <c r="N58" s="587"/>
      <c r="O58" s="587"/>
      <c r="P58" s="587"/>
      <c r="Q58" s="587"/>
      <c r="R58" s="587"/>
      <c r="S58" s="587"/>
      <c r="T58" s="587"/>
      <c r="U58" s="587"/>
      <c r="V58" s="587"/>
      <c r="W58" s="587"/>
      <c r="X58" s="587"/>
      <c r="Y58" s="587"/>
      <c r="Z58" s="587"/>
      <c r="AA58" s="587"/>
      <c r="AB58" s="587"/>
    </row>
    <row r="59" spans="1:31" s="311" customFormat="1" ht="9" customHeight="1">
      <c r="A59" s="587"/>
      <c r="B59" s="587"/>
      <c r="C59" s="587"/>
      <c r="D59" s="587"/>
      <c r="E59" s="587"/>
      <c r="F59" s="587"/>
      <c r="G59" s="587"/>
      <c r="H59" s="587"/>
      <c r="I59" s="587"/>
      <c r="J59" s="587"/>
      <c r="K59" s="587"/>
      <c r="L59" s="587"/>
      <c r="M59" s="587"/>
      <c r="N59" s="587"/>
      <c r="O59" s="587"/>
      <c r="P59" s="587"/>
      <c r="Q59" s="587"/>
      <c r="R59" s="587"/>
      <c r="S59" s="587"/>
      <c r="T59" s="587"/>
      <c r="U59" s="587"/>
      <c r="V59" s="587"/>
      <c r="W59" s="587"/>
      <c r="X59" s="587"/>
      <c r="Y59" s="587"/>
      <c r="Z59" s="587"/>
      <c r="AA59" s="587"/>
      <c r="AB59" s="587"/>
    </row>
    <row r="60" spans="1:31" s="311" customFormat="1">
      <c r="A60" s="587"/>
      <c r="B60" s="587"/>
      <c r="C60" s="587"/>
      <c r="D60" s="587"/>
      <c r="E60" s="587"/>
      <c r="F60" s="587"/>
      <c r="G60" s="587"/>
      <c r="H60" s="587"/>
      <c r="I60" s="587"/>
      <c r="J60" s="587"/>
      <c r="K60" s="587"/>
      <c r="L60" s="587"/>
      <c r="M60" s="587"/>
      <c r="N60" s="587"/>
      <c r="O60" s="587"/>
      <c r="P60" s="587"/>
      <c r="Q60" s="587"/>
      <c r="R60" s="587"/>
      <c r="S60" s="587"/>
      <c r="T60" s="587"/>
      <c r="U60" s="587"/>
      <c r="V60" s="587"/>
      <c r="W60" s="587"/>
      <c r="X60" s="587"/>
      <c r="Y60" s="587"/>
      <c r="Z60" s="587"/>
      <c r="AA60" s="587"/>
      <c r="AB60" s="587"/>
    </row>
    <row r="61" spans="1:31" s="311" customFormat="1">
      <c r="A61" s="587"/>
      <c r="B61" s="587"/>
      <c r="C61" s="587"/>
      <c r="D61" s="587"/>
      <c r="E61" s="587"/>
      <c r="F61" s="587"/>
      <c r="G61" s="587"/>
      <c r="H61" s="587"/>
      <c r="I61" s="587"/>
      <c r="J61" s="587"/>
      <c r="K61" s="587"/>
      <c r="L61" s="587"/>
      <c r="M61" s="587"/>
      <c r="N61" s="587"/>
      <c r="O61" s="587"/>
      <c r="P61" s="587"/>
      <c r="Q61" s="587"/>
      <c r="R61" s="587"/>
      <c r="S61" s="587"/>
      <c r="T61" s="587"/>
      <c r="U61" s="587"/>
      <c r="V61" s="587"/>
      <c r="W61" s="587"/>
      <c r="X61" s="587"/>
      <c r="Y61" s="587"/>
      <c r="Z61" s="587"/>
      <c r="AA61" s="587"/>
      <c r="AB61" s="587"/>
    </row>
    <row r="62" spans="1:31" s="311" customFormat="1">
      <c r="A62" s="587"/>
      <c r="B62" s="587"/>
      <c r="C62" s="587"/>
      <c r="D62" s="587"/>
      <c r="E62" s="587"/>
      <c r="F62" s="587"/>
      <c r="G62" s="587"/>
      <c r="H62" s="587"/>
      <c r="I62" s="587"/>
      <c r="J62" s="587"/>
      <c r="K62" s="587"/>
      <c r="L62" s="587"/>
      <c r="M62" s="587"/>
      <c r="N62" s="587"/>
      <c r="O62" s="587"/>
      <c r="P62" s="587"/>
      <c r="Q62" s="587"/>
      <c r="R62" s="587"/>
      <c r="S62" s="587"/>
      <c r="T62" s="587"/>
      <c r="U62" s="587"/>
      <c r="V62" s="587"/>
      <c r="W62" s="587"/>
      <c r="X62" s="587"/>
      <c r="Y62" s="587"/>
      <c r="Z62" s="587"/>
      <c r="AA62" s="587"/>
      <c r="AB62" s="587"/>
    </row>
    <row r="63" spans="1:31" s="311" customFormat="1">
      <c r="A63" s="587"/>
      <c r="B63" s="587"/>
      <c r="C63" s="587"/>
      <c r="D63" s="587"/>
      <c r="E63" s="587"/>
      <c r="F63" s="587"/>
      <c r="G63" s="587"/>
      <c r="H63" s="587"/>
      <c r="I63" s="587"/>
      <c r="J63" s="587"/>
      <c r="K63" s="587"/>
      <c r="L63" s="587"/>
      <c r="M63" s="587"/>
      <c r="N63" s="587"/>
      <c r="O63" s="587"/>
      <c r="P63" s="587"/>
      <c r="Q63" s="587"/>
      <c r="R63" s="587"/>
      <c r="S63" s="587"/>
      <c r="T63" s="587"/>
      <c r="U63" s="587"/>
      <c r="V63" s="587"/>
      <c r="W63" s="587"/>
      <c r="X63" s="587"/>
      <c r="Y63" s="587"/>
      <c r="Z63" s="587"/>
      <c r="AA63" s="587"/>
      <c r="AB63" s="587"/>
    </row>
    <row r="64" spans="1:31" s="311" customFormat="1">
      <c r="A64" s="587"/>
      <c r="B64" s="587"/>
      <c r="C64" s="587"/>
      <c r="D64" s="587"/>
      <c r="E64" s="587"/>
      <c r="F64" s="587"/>
      <c r="G64" s="587"/>
      <c r="H64" s="587"/>
      <c r="I64" s="587"/>
      <c r="J64" s="587"/>
      <c r="K64" s="587"/>
      <c r="L64" s="587"/>
      <c r="M64" s="587"/>
      <c r="N64" s="587"/>
      <c r="O64" s="587"/>
      <c r="P64" s="587"/>
      <c r="Q64" s="587"/>
      <c r="R64" s="587"/>
      <c r="S64" s="587"/>
      <c r="T64" s="587"/>
      <c r="U64" s="587"/>
      <c r="V64" s="587"/>
      <c r="W64" s="587"/>
      <c r="X64" s="587"/>
      <c r="Y64" s="587"/>
      <c r="Z64" s="587"/>
      <c r="AA64" s="587"/>
      <c r="AB64" s="587"/>
    </row>
    <row r="65" spans="1:28" s="311" customFormat="1">
      <c r="A65" s="587"/>
      <c r="B65" s="587"/>
      <c r="C65" s="587"/>
      <c r="D65" s="587"/>
      <c r="E65" s="587"/>
      <c r="F65" s="587"/>
      <c r="G65" s="587"/>
      <c r="H65" s="587"/>
      <c r="I65" s="587"/>
      <c r="J65" s="587"/>
      <c r="K65" s="587"/>
      <c r="L65" s="587"/>
      <c r="M65" s="587"/>
      <c r="N65" s="587"/>
      <c r="O65" s="587"/>
      <c r="P65" s="587"/>
      <c r="Q65" s="587"/>
      <c r="R65" s="587"/>
      <c r="S65" s="587"/>
      <c r="T65" s="587"/>
      <c r="U65" s="587"/>
      <c r="V65" s="587"/>
      <c r="W65" s="587"/>
      <c r="X65" s="587"/>
      <c r="Y65" s="587"/>
      <c r="Z65" s="587"/>
      <c r="AA65" s="587"/>
      <c r="AB65" s="587"/>
    </row>
    <row r="66" spans="1:28" s="311" customFormat="1">
      <c r="A66" s="587"/>
      <c r="B66" s="587"/>
      <c r="C66" s="587"/>
      <c r="D66" s="587"/>
      <c r="E66" s="587"/>
      <c r="F66" s="587"/>
      <c r="G66" s="587"/>
      <c r="H66" s="587"/>
      <c r="I66" s="587"/>
      <c r="J66" s="587"/>
      <c r="K66" s="587"/>
      <c r="L66" s="587"/>
      <c r="M66" s="587"/>
      <c r="N66" s="587"/>
      <c r="O66" s="587"/>
      <c r="P66" s="587"/>
      <c r="Q66" s="587"/>
      <c r="R66" s="587"/>
      <c r="S66" s="587"/>
      <c r="T66" s="587"/>
      <c r="U66" s="587"/>
      <c r="V66" s="587"/>
      <c r="W66" s="587"/>
      <c r="X66" s="587"/>
      <c r="Y66" s="587"/>
      <c r="Z66" s="587"/>
      <c r="AA66" s="587"/>
      <c r="AB66" s="587"/>
    </row>
    <row r="67" spans="1:28" s="311" customFormat="1">
      <c r="A67" s="587"/>
      <c r="B67" s="587"/>
      <c r="C67" s="587"/>
      <c r="D67" s="587"/>
      <c r="E67" s="587"/>
      <c r="F67" s="587"/>
      <c r="G67" s="587"/>
      <c r="H67" s="587"/>
      <c r="I67" s="587"/>
      <c r="J67" s="587"/>
      <c r="K67" s="587"/>
      <c r="L67" s="587"/>
      <c r="M67" s="587"/>
      <c r="N67" s="587"/>
      <c r="O67" s="587"/>
      <c r="P67" s="587"/>
      <c r="Q67" s="587"/>
      <c r="R67" s="587"/>
      <c r="S67" s="587"/>
      <c r="T67" s="587"/>
      <c r="U67" s="587"/>
      <c r="V67" s="587"/>
      <c r="W67" s="587"/>
      <c r="X67" s="587"/>
      <c r="Y67" s="587"/>
      <c r="Z67" s="587"/>
      <c r="AA67" s="587"/>
      <c r="AB67" s="587"/>
    </row>
    <row r="68" spans="1:28" s="311" customFormat="1">
      <c r="A68" s="587"/>
      <c r="B68" s="587"/>
      <c r="C68" s="587"/>
      <c r="D68" s="587"/>
      <c r="E68" s="587"/>
      <c r="F68" s="587"/>
      <c r="G68" s="587"/>
      <c r="H68" s="587"/>
      <c r="I68" s="587"/>
      <c r="J68" s="587"/>
      <c r="K68" s="587"/>
      <c r="L68" s="587"/>
      <c r="M68" s="587"/>
      <c r="N68" s="587"/>
      <c r="O68" s="587"/>
      <c r="P68" s="587"/>
      <c r="Q68" s="587"/>
      <c r="R68" s="587"/>
      <c r="S68" s="587"/>
      <c r="T68" s="587"/>
      <c r="U68" s="587"/>
      <c r="V68" s="587"/>
      <c r="W68" s="587"/>
      <c r="X68" s="587"/>
      <c r="Y68" s="587"/>
      <c r="Z68" s="587"/>
      <c r="AA68" s="587"/>
      <c r="AB68" s="587"/>
    </row>
    <row r="69" spans="1:28" s="311" customFormat="1">
      <c r="A69" s="587"/>
      <c r="B69" s="587"/>
      <c r="C69" s="587"/>
      <c r="D69" s="587"/>
      <c r="E69" s="587"/>
      <c r="F69" s="587"/>
      <c r="G69" s="587"/>
      <c r="H69" s="587"/>
      <c r="I69" s="587"/>
      <c r="J69" s="587"/>
      <c r="K69" s="587"/>
      <c r="L69" s="587"/>
      <c r="M69" s="587"/>
      <c r="N69" s="587"/>
      <c r="O69" s="587"/>
      <c r="P69" s="587"/>
      <c r="Q69" s="587"/>
      <c r="R69" s="587"/>
      <c r="S69" s="587"/>
      <c r="T69" s="587"/>
      <c r="U69" s="587"/>
      <c r="V69" s="587"/>
      <c r="W69" s="587"/>
      <c r="X69" s="587"/>
      <c r="Y69" s="587"/>
      <c r="Z69" s="587"/>
      <c r="AA69" s="587"/>
      <c r="AB69" s="587"/>
    </row>
    <row r="70" spans="1:28" s="311" customFormat="1">
      <c r="A70" s="587"/>
      <c r="B70" s="587"/>
      <c r="C70" s="587"/>
      <c r="D70" s="587"/>
      <c r="E70" s="587"/>
      <c r="F70" s="587"/>
      <c r="H70" s="648"/>
      <c r="I70" s="587"/>
      <c r="J70" s="648"/>
      <c r="K70" s="648"/>
      <c r="L70" s="648"/>
      <c r="M70" s="648"/>
      <c r="N70" s="648"/>
      <c r="O70" s="648"/>
      <c r="P70" s="648"/>
      <c r="Q70" s="648"/>
      <c r="R70" s="648"/>
      <c r="S70" s="587"/>
      <c r="T70" s="587"/>
      <c r="U70" s="587"/>
      <c r="V70" s="587"/>
      <c r="W70" s="587"/>
      <c r="X70" s="587"/>
      <c r="Y70" s="587"/>
      <c r="Z70" s="587"/>
      <c r="AA70" s="587"/>
      <c r="AB70" s="587"/>
    </row>
    <row r="71" spans="1:28" s="311" customFormat="1">
      <c r="A71" s="587"/>
      <c r="B71" s="587"/>
      <c r="C71" s="587"/>
      <c r="D71" s="587"/>
      <c r="E71" s="587"/>
      <c r="F71" s="587"/>
      <c r="H71" s="597"/>
      <c r="I71" s="649"/>
      <c r="J71" s="597"/>
      <c r="K71" s="597"/>
      <c r="L71" s="597"/>
      <c r="M71" s="597"/>
      <c r="N71" s="597"/>
      <c r="O71" s="597"/>
      <c r="P71" s="597"/>
      <c r="Q71" s="597"/>
      <c r="R71" s="597"/>
      <c r="S71" s="597"/>
      <c r="T71" s="587"/>
      <c r="V71" s="587"/>
      <c r="W71" s="587"/>
      <c r="X71" s="587"/>
      <c r="Y71" s="587"/>
      <c r="Z71" s="587"/>
      <c r="AA71" s="587"/>
      <c r="AB71" s="587"/>
    </row>
    <row r="72" spans="1:28" s="311" customFormat="1">
      <c r="A72" s="587"/>
      <c r="B72" s="587"/>
      <c r="C72" s="587"/>
      <c r="D72" s="587"/>
      <c r="E72" s="587"/>
      <c r="F72" s="587"/>
      <c r="H72" s="597"/>
      <c r="I72" s="649"/>
      <c r="J72" s="597"/>
      <c r="K72" s="597"/>
      <c r="L72" s="597"/>
      <c r="M72" s="597"/>
      <c r="N72" s="597"/>
      <c r="O72" s="597"/>
      <c r="P72" s="597"/>
      <c r="Q72" s="597"/>
      <c r="R72" s="597"/>
      <c r="S72" s="597"/>
      <c r="T72" s="587"/>
      <c r="V72" s="587"/>
      <c r="W72" s="587"/>
      <c r="X72" s="587"/>
      <c r="Y72" s="587"/>
      <c r="Z72" s="587"/>
      <c r="AA72" s="587"/>
      <c r="AB72" s="587"/>
    </row>
    <row r="73" spans="1:28" s="311" customFormat="1">
      <c r="A73" s="587"/>
      <c r="B73" s="587"/>
      <c r="C73" s="587"/>
      <c r="D73" s="587"/>
      <c r="E73" s="587"/>
      <c r="F73" s="587"/>
      <c r="H73" s="597"/>
      <c r="I73" s="649"/>
      <c r="J73" s="597"/>
      <c r="K73" s="597"/>
      <c r="L73" s="597"/>
      <c r="M73" s="597"/>
      <c r="N73" s="597"/>
      <c r="O73" s="597"/>
      <c r="P73" s="597"/>
      <c r="Q73" s="597"/>
      <c r="R73" s="597"/>
      <c r="S73" s="597"/>
      <c r="T73" s="587"/>
      <c r="V73" s="587"/>
      <c r="W73" s="587"/>
      <c r="X73" s="587"/>
      <c r="Y73" s="587"/>
      <c r="Z73" s="587"/>
      <c r="AA73" s="587"/>
      <c r="AB73" s="587"/>
    </row>
    <row r="74" spans="1:28" s="311" customFormat="1">
      <c r="A74" s="587"/>
      <c r="B74" s="587"/>
      <c r="C74" s="587"/>
      <c r="D74" s="587"/>
      <c r="E74" s="587"/>
      <c r="F74" s="587"/>
      <c r="H74" s="597"/>
      <c r="I74" s="649"/>
      <c r="J74" s="597"/>
      <c r="K74" s="597"/>
      <c r="L74" s="597"/>
      <c r="M74" s="597"/>
      <c r="N74" s="597"/>
      <c r="O74" s="597"/>
      <c r="P74" s="597"/>
      <c r="Q74" s="597"/>
      <c r="R74" s="597"/>
      <c r="S74" s="597"/>
      <c r="T74" s="587"/>
      <c r="V74" s="587"/>
      <c r="W74" s="587"/>
      <c r="X74" s="587"/>
      <c r="Y74" s="587"/>
      <c r="Z74" s="587"/>
      <c r="AA74" s="587"/>
      <c r="AB74" s="587"/>
    </row>
    <row r="75" spans="1:28" s="311" customFormat="1">
      <c r="A75" s="587"/>
      <c r="B75" s="587"/>
      <c r="C75" s="587"/>
      <c r="D75" s="587"/>
      <c r="E75" s="587"/>
      <c r="F75" s="587"/>
      <c r="H75" s="597"/>
      <c r="I75" s="649"/>
      <c r="J75" s="597"/>
      <c r="K75" s="597"/>
      <c r="L75" s="597"/>
      <c r="M75" s="597"/>
      <c r="N75" s="597"/>
      <c r="O75" s="597"/>
      <c r="P75" s="597"/>
      <c r="Q75" s="597"/>
      <c r="R75" s="597"/>
      <c r="S75" s="597"/>
      <c r="T75" s="587"/>
      <c r="V75" s="587"/>
      <c r="W75" s="587"/>
      <c r="X75" s="587"/>
      <c r="Y75" s="587"/>
      <c r="Z75" s="587"/>
      <c r="AA75" s="587"/>
      <c r="AB75" s="587"/>
    </row>
    <row r="76" spans="1:28" s="311" customFormat="1">
      <c r="A76" s="587"/>
      <c r="B76" s="587"/>
      <c r="C76" s="587"/>
      <c r="D76" s="587"/>
      <c r="E76" s="587"/>
      <c r="F76" s="587"/>
      <c r="H76" s="650"/>
      <c r="I76" s="649"/>
      <c r="J76" s="597"/>
      <c r="K76" s="597"/>
      <c r="L76" s="597"/>
      <c r="M76" s="597"/>
      <c r="N76" s="597"/>
      <c r="O76" s="597"/>
      <c r="P76" s="597"/>
      <c r="Q76" s="597"/>
      <c r="R76" s="597"/>
      <c r="S76" s="597"/>
      <c r="T76" s="587"/>
      <c r="V76" s="587"/>
      <c r="W76" s="587"/>
      <c r="X76" s="587"/>
      <c r="Y76" s="587"/>
      <c r="Z76" s="587"/>
      <c r="AA76" s="587"/>
      <c r="AB76" s="587"/>
    </row>
    <row r="77" spans="1:28" s="311" customFormat="1">
      <c r="A77" s="587"/>
      <c r="B77" s="587"/>
      <c r="C77" s="587"/>
      <c r="D77" s="587"/>
      <c r="E77" s="587"/>
      <c r="F77" s="587"/>
      <c r="G77" s="587"/>
      <c r="H77" s="587"/>
      <c r="I77" s="587"/>
      <c r="J77" s="587"/>
      <c r="K77" s="587"/>
      <c r="L77" s="587"/>
      <c r="M77" s="587"/>
      <c r="N77" s="587"/>
      <c r="O77" s="587"/>
      <c r="P77" s="587"/>
      <c r="Q77" s="587"/>
      <c r="R77" s="587"/>
      <c r="S77" s="587"/>
      <c r="T77" s="587"/>
      <c r="U77" s="587"/>
      <c r="V77" s="587"/>
      <c r="W77" s="587"/>
      <c r="X77" s="587"/>
      <c r="Y77" s="587"/>
      <c r="Z77" s="587"/>
      <c r="AA77" s="587"/>
      <c r="AB77" s="587"/>
    </row>
    <row r="78" spans="1:28" s="311" customFormat="1">
      <c r="A78" s="587"/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  <c r="Y78" s="587"/>
      <c r="Z78" s="587"/>
      <c r="AA78" s="587"/>
      <c r="AB78" s="587"/>
    </row>
    <row r="79" spans="1:28" s="311" customFormat="1">
      <c r="A79" s="587"/>
      <c r="B79" s="587"/>
      <c r="C79" s="587"/>
      <c r="D79" s="587"/>
      <c r="E79" s="587"/>
      <c r="F79" s="587"/>
      <c r="G79" s="587"/>
      <c r="H79" s="587"/>
      <c r="I79" s="587"/>
      <c r="J79" s="587"/>
      <c r="K79" s="587"/>
      <c r="L79" s="587"/>
      <c r="M79" s="587"/>
      <c r="N79" s="587"/>
      <c r="O79" s="587"/>
      <c r="P79" s="587"/>
      <c r="Q79" s="587"/>
      <c r="R79" s="587"/>
      <c r="S79" s="587"/>
      <c r="T79" s="587"/>
      <c r="U79" s="587"/>
      <c r="V79" s="587"/>
      <c r="W79" s="587"/>
      <c r="X79" s="587"/>
      <c r="Y79" s="587"/>
      <c r="Z79" s="587"/>
      <c r="AA79" s="587"/>
      <c r="AB79" s="587"/>
    </row>
    <row r="80" spans="1:28" s="311" customFormat="1">
      <c r="A80" s="587"/>
      <c r="B80" s="587"/>
      <c r="C80" s="587"/>
      <c r="D80" s="587"/>
      <c r="E80" s="587"/>
      <c r="F80" s="587"/>
      <c r="G80" s="587"/>
      <c r="H80" s="587"/>
      <c r="I80" s="587"/>
      <c r="J80" s="587"/>
      <c r="K80" s="587"/>
      <c r="L80" s="587"/>
      <c r="M80" s="587"/>
      <c r="N80" s="587"/>
      <c r="O80" s="587"/>
      <c r="P80" s="587"/>
      <c r="Q80" s="587"/>
      <c r="R80" s="587"/>
      <c r="S80" s="587"/>
      <c r="T80" s="587"/>
      <c r="U80" s="587"/>
      <c r="V80" s="587"/>
      <c r="W80" s="587"/>
      <c r="X80" s="587"/>
      <c r="Y80" s="587"/>
      <c r="Z80" s="587"/>
      <c r="AA80" s="587"/>
      <c r="AB80" s="587"/>
    </row>
    <row r="81" spans="1:28" s="311" customFormat="1">
      <c r="A81" s="587"/>
      <c r="B81" s="587"/>
      <c r="C81" s="587"/>
      <c r="D81" s="587"/>
      <c r="E81" s="587"/>
      <c r="F81" s="587"/>
      <c r="G81" s="587"/>
      <c r="H81" s="587"/>
      <c r="I81" s="587"/>
      <c r="J81" s="587"/>
      <c r="K81" s="587"/>
      <c r="L81" s="587"/>
      <c r="M81" s="587"/>
      <c r="N81" s="587"/>
      <c r="O81" s="587"/>
      <c r="P81" s="587"/>
      <c r="Q81" s="587"/>
      <c r="R81" s="587"/>
      <c r="S81" s="587"/>
      <c r="T81" s="587"/>
      <c r="U81" s="587"/>
      <c r="V81" s="587"/>
      <c r="W81" s="587"/>
      <c r="X81" s="587"/>
      <c r="Y81" s="587"/>
      <c r="Z81" s="587"/>
      <c r="AA81" s="587"/>
      <c r="AB81" s="587"/>
    </row>
    <row r="82" spans="1:28" s="311" customFormat="1">
      <c r="A82" s="587"/>
      <c r="B82" s="587"/>
      <c r="C82" s="587"/>
      <c r="D82" s="587"/>
      <c r="E82" s="587"/>
      <c r="F82" s="587"/>
      <c r="G82" s="587"/>
      <c r="H82" s="587"/>
      <c r="I82" s="587"/>
      <c r="J82" s="587"/>
      <c r="K82" s="587"/>
      <c r="L82" s="587"/>
      <c r="M82" s="587"/>
      <c r="N82" s="587"/>
      <c r="O82" s="587"/>
      <c r="P82" s="587"/>
      <c r="Q82" s="587"/>
      <c r="R82" s="587"/>
      <c r="S82" s="587"/>
      <c r="T82" s="587"/>
      <c r="U82" s="587"/>
      <c r="V82" s="587"/>
      <c r="W82" s="587"/>
      <c r="X82" s="587"/>
      <c r="Y82" s="587"/>
      <c r="Z82" s="587"/>
      <c r="AA82" s="587"/>
      <c r="AB82" s="587"/>
    </row>
    <row r="83" spans="1:28" s="311" customFormat="1">
      <c r="A83" s="587"/>
      <c r="B83" s="587"/>
      <c r="C83" s="587"/>
      <c r="D83" s="587"/>
      <c r="E83" s="587"/>
      <c r="F83" s="587"/>
      <c r="G83" s="587"/>
      <c r="H83" s="587"/>
      <c r="I83" s="587"/>
      <c r="J83" s="587"/>
      <c r="K83" s="587"/>
      <c r="L83" s="587"/>
      <c r="M83" s="587"/>
      <c r="N83" s="587"/>
      <c r="O83" s="587"/>
      <c r="P83" s="587"/>
      <c r="Q83" s="587"/>
      <c r="R83" s="587"/>
      <c r="S83" s="587"/>
      <c r="T83" s="587"/>
      <c r="U83" s="587"/>
      <c r="V83" s="587"/>
      <c r="W83" s="587"/>
      <c r="X83" s="587"/>
      <c r="Y83" s="587"/>
      <c r="Z83" s="587"/>
      <c r="AA83" s="587"/>
      <c r="AB83" s="587"/>
    </row>
    <row r="84" spans="1:28" s="311" customFormat="1">
      <c r="A84" s="587"/>
      <c r="B84" s="587"/>
      <c r="C84" s="587"/>
      <c r="D84" s="587"/>
      <c r="E84" s="587"/>
      <c r="F84" s="587"/>
      <c r="G84" s="587"/>
      <c r="H84" s="587"/>
      <c r="I84" s="587"/>
      <c r="J84" s="587"/>
      <c r="K84" s="587"/>
      <c r="L84" s="587"/>
      <c r="M84" s="587"/>
      <c r="N84" s="587"/>
      <c r="O84" s="587"/>
      <c r="P84" s="587"/>
      <c r="Q84" s="587"/>
      <c r="R84" s="587"/>
      <c r="S84" s="587"/>
      <c r="T84" s="587"/>
      <c r="U84" s="587"/>
      <c r="V84" s="587"/>
      <c r="W84" s="587"/>
      <c r="X84" s="587"/>
      <c r="Y84" s="587"/>
      <c r="Z84" s="587"/>
      <c r="AA84" s="587"/>
      <c r="AB84" s="587"/>
    </row>
    <row r="85" spans="1:28" s="311" customFormat="1">
      <c r="A85" s="587"/>
      <c r="B85" s="587"/>
      <c r="C85" s="587"/>
      <c r="D85" s="587"/>
      <c r="E85" s="587"/>
      <c r="F85" s="587"/>
      <c r="G85" s="587"/>
      <c r="H85" s="587"/>
      <c r="I85" s="587"/>
      <c r="J85" s="587"/>
      <c r="K85" s="587"/>
      <c r="L85" s="587"/>
      <c r="M85" s="587"/>
      <c r="N85" s="587"/>
      <c r="O85" s="587"/>
      <c r="P85" s="587"/>
      <c r="Q85" s="587"/>
      <c r="R85" s="587"/>
      <c r="S85" s="587"/>
      <c r="T85" s="587"/>
      <c r="U85" s="587"/>
      <c r="V85" s="587"/>
      <c r="W85" s="587"/>
      <c r="X85" s="587"/>
      <c r="Y85" s="587"/>
      <c r="Z85" s="587"/>
      <c r="AA85" s="587"/>
      <c r="AB85" s="587"/>
    </row>
    <row r="86" spans="1:28" s="311" customFormat="1">
      <c r="A86" s="587"/>
      <c r="B86" s="587"/>
      <c r="C86" s="587"/>
      <c r="D86" s="587"/>
      <c r="E86" s="587"/>
      <c r="F86" s="587"/>
      <c r="G86" s="587"/>
      <c r="H86" s="587"/>
      <c r="I86" s="587"/>
      <c r="J86" s="587"/>
      <c r="K86" s="587"/>
      <c r="L86" s="587"/>
      <c r="M86" s="587"/>
      <c r="N86" s="587"/>
      <c r="O86" s="587"/>
      <c r="P86" s="587"/>
      <c r="Q86" s="587"/>
      <c r="R86" s="587"/>
      <c r="S86" s="587"/>
      <c r="T86" s="587"/>
      <c r="U86" s="587"/>
      <c r="V86" s="587"/>
      <c r="W86" s="587"/>
      <c r="X86" s="587"/>
      <c r="Y86" s="587"/>
      <c r="Z86" s="587"/>
      <c r="AA86" s="587"/>
      <c r="AB86" s="587"/>
    </row>
    <row r="87" spans="1:28" s="311" customFormat="1">
      <c r="A87" s="587"/>
      <c r="B87" s="587"/>
      <c r="C87" s="587"/>
      <c r="D87" s="587"/>
      <c r="E87" s="587"/>
      <c r="F87" s="587"/>
      <c r="G87" s="587"/>
      <c r="H87" s="587"/>
      <c r="I87" s="587"/>
      <c r="J87" s="587"/>
      <c r="K87" s="587"/>
      <c r="L87" s="587"/>
      <c r="M87" s="587"/>
      <c r="N87" s="587"/>
      <c r="O87" s="587"/>
      <c r="P87" s="587"/>
      <c r="Q87" s="587"/>
      <c r="R87" s="587"/>
      <c r="S87" s="587"/>
      <c r="T87" s="587"/>
      <c r="U87" s="587"/>
      <c r="V87" s="587"/>
      <c r="W87" s="587"/>
      <c r="X87" s="587"/>
      <c r="Y87" s="587"/>
      <c r="Z87" s="587"/>
      <c r="AA87" s="587"/>
      <c r="AB87" s="587"/>
    </row>
    <row r="88" spans="1:28" s="311" customFormat="1">
      <c r="A88" s="587"/>
      <c r="B88" s="587"/>
      <c r="C88" s="587"/>
      <c r="D88" s="587"/>
      <c r="E88" s="587"/>
      <c r="F88" s="587"/>
      <c r="G88" s="587"/>
      <c r="H88" s="587"/>
      <c r="I88" s="587"/>
      <c r="J88" s="587"/>
      <c r="K88" s="587"/>
      <c r="L88" s="587"/>
      <c r="M88" s="587"/>
      <c r="N88" s="587"/>
      <c r="O88" s="587"/>
      <c r="P88" s="587"/>
      <c r="Q88" s="587"/>
      <c r="R88" s="587"/>
      <c r="S88" s="587"/>
      <c r="U88" s="587"/>
      <c r="V88" s="587"/>
      <c r="W88" s="587"/>
      <c r="X88" s="587"/>
      <c r="Y88" s="587"/>
      <c r="Z88" s="587"/>
      <c r="AA88" s="587"/>
      <c r="AB88" s="587"/>
    </row>
    <row r="89" spans="1:28" s="311" customFormat="1">
      <c r="B89" s="587"/>
      <c r="C89" s="587"/>
      <c r="D89" s="587"/>
      <c r="E89" s="587"/>
      <c r="F89" s="587"/>
      <c r="G89" s="587"/>
      <c r="H89" s="587"/>
      <c r="I89" s="587"/>
      <c r="J89" s="587"/>
      <c r="K89" s="587"/>
      <c r="L89" s="587"/>
      <c r="M89" s="587"/>
      <c r="N89" s="587"/>
      <c r="O89" s="587"/>
      <c r="P89" s="587"/>
      <c r="Q89" s="587"/>
      <c r="R89" s="587"/>
      <c r="U89" s="587"/>
      <c r="V89" s="587"/>
      <c r="W89" s="587"/>
      <c r="X89" s="587"/>
      <c r="Y89" s="587"/>
      <c r="Z89" s="587"/>
      <c r="AA89" s="587"/>
      <c r="AB89" s="587"/>
    </row>
    <row r="90" spans="1:28" s="311" customFormat="1"/>
    <row r="91" spans="1:28" s="311" customFormat="1"/>
    <row r="92" spans="1:28" s="311" customFormat="1"/>
    <row r="93" spans="1:28" s="311" customFormat="1"/>
    <row r="94" spans="1:28" s="311" customFormat="1"/>
    <row r="95" spans="1:28" s="311" customFormat="1"/>
    <row r="96" spans="1:28" s="311" customFormat="1"/>
    <row r="97" s="311" customFormat="1"/>
    <row r="98" s="311" customFormat="1"/>
    <row r="99" s="311" customFormat="1"/>
    <row r="100" s="311" customFormat="1"/>
    <row r="101" s="311" customFormat="1"/>
    <row r="102" s="311" customFormat="1"/>
    <row r="103" s="311" customFormat="1"/>
    <row r="104" s="311" customFormat="1"/>
    <row r="105" s="311" customFormat="1"/>
    <row r="106" s="311" customFormat="1"/>
    <row r="107" s="311" customFormat="1"/>
    <row r="108" s="311" customFormat="1"/>
    <row r="109" s="311" customFormat="1"/>
    <row r="110" s="311" customFormat="1"/>
    <row r="111" s="311" customFormat="1"/>
    <row r="112" s="311" customFormat="1"/>
    <row r="113" s="311" customFormat="1"/>
    <row r="114" s="311" customFormat="1"/>
    <row r="115" s="311" customFormat="1"/>
    <row r="116" s="311" customFormat="1"/>
    <row r="117" s="311" customFormat="1"/>
    <row r="118" s="311" customFormat="1"/>
    <row r="119" s="311" customFormat="1"/>
    <row r="120" s="311" customFormat="1"/>
    <row r="121" s="311" customFormat="1"/>
    <row r="122" s="311" customFormat="1"/>
    <row r="123" s="311" customFormat="1"/>
    <row r="124" s="311" customFormat="1"/>
    <row r="125" s="311" customFormat="1"/>
    <row r="126" s="311" customFormat="1"/>
    <row r="127" s="311" customFormat="1"/>
    <row r="128" s="311" customFormat="1"/>
    <row r="129" s="311" customFormat="1"/>
    <row r="130" s="311" customFormat="1"/>
    <row r="131" s="311" customFormat="1"/>
    <row r="132" s="311" customFormat="1"/>
    <row r="133" s="311" customFormat="1"/>
    <row r="134" s="311" customFormat="1"/>
    <row r="135" s="311" customFormat="1"/>
    <row r="136" s="311" customFormat="1"/>
    <row r="137" s="311" customFormat="1"/>
    <row r="138" s="311" customFormat="1"/>
    <row r="139" s="311" customFormat="1"/>
    <row r="140" s="311" customFormat="1"/>
    <row r="141" s="311" customFormat="1"/>
    <row r="142" s="311" customFormat="1"/>
    <row r="143" s="311" customFormat="1"/>
    <row r="144" s="311" customFormat="1"/>
    <row r="145" s="311" customFormat="1"/>
    <row r="146" s="311" customFormat="1"/>
    <row r="147" s="311" customFormat="1"/>
    <row r="148" s="311" customFormat="1"/>
    <row r="149" s="311" customFormat="1"/>
    <row r="150" s="311" customFormat="1"/>
    <row r="151" s="311" customFormat="1"/>
    <row r="152" s="311" customFormat="1"/>
    <row r="153" s="311" customFormat="1"/>
    <row r="154" s="311" customFormat="1"/>
    <row r="155" s="311" customFormat="1"/>
    <row r="156" s="311" customFormat="1"/>
    <row r="157" s="311" customFormat="1"/>
    <row r="158" s="311" customFormat="1"/>
    <row r="159" s="311" customFormat="1"/>
    <row r="160" s="311" customFormat="1"/>
    <row r="161" s="311" customFormat="1"/>
    <row r="162" s="311" customFormat="1"/>
    <row r="163" s="311" customFormat="1"/>
    <row r="164" s="311" customFormat="1"/>
    <row r="165" s="311" customFormat="1"/>
    <row r="166" s="311" customFormat="1"/>
    <row r="167" s="311" customFormat="1"/>
    <row r="168" s="311" customFormat="1"/>
    <row r="169" s="311" customFormat="1"/>
    <row r="170" s="311" customFormat="1"/>
    <row r="171" s="311" customFormat="1"/>
    <row r="172" s="311" customFormat="1"/>
    <row r="173" s="311" customFormat="1"/>
    <row r="174" s="311" customFormat="1"/>
    <row r="175" s="311" customFormat="1"/>
    <row r="176" s="311" customFormat="1"/>
    <row r="177" s="311" customFormat="1"/>
    <row r="178" s="311" customFormat="1"/>
    <row r="179" s="311" customFormat="1"/>
    <row r="180" s="311" customFormat="1"/>
    <row r="181" s="311" customFormat="1"/>
    <row r="182" s="311" customFormat="1"/>
    <row r="183" s="311" customFormat="1"/>
    <row r="184" s="311" customFormat="1"/>
    <row r="185" s="311" customFormat="1"/>
    <row r="186" s="311" customFormat="1"/>
    <row r="187" s="311" customFormat="1"/>
    <row r="188" s="311" customFormat="1"/>
    <row r="189" s="311" customFormat="1"/>
    <row r="190" s="311" customFormat="1"/>
    <row r="191" s="311" customFormat="1"/>
    <row r="192" s="311" customFormat="1"/>
    <row r="193" s="311" customFormat="1"/>
    <row r="194" s="311" customFormat="1"/>
    <row r="195" s="311" customFormat="1"/>
    <row r="196" s="311" customFormat="1"/>
    <row r="197" s="311" customFormat="1"/>
    <row r="198" s="311" customFormat="1"/>
    <row r="199" s="311" customFormat="1"/>
    <row r="200" s="311" customFormat="1"/>
    <row r="201" s="311" customFormat="1"/>
    <row r="202" s="311" customFormat="1"/>
    <row r="203" s="311" customFormat="1"/>
    <row r="204" s="311" customFormat="1"/>
    <row r="205" s="311" customFormat="1"/>
    <row r="206" s="311" customFormat="1"/>
    <row r="207" s="311" customFormat="1"/>
    <row r="208" s="311" customFormat="1"/>
    <row r="209" s="311" customFormat="1"/>
    <row r="210" s="311" customFormat="1"/>
    <row r="211" s="311" customFormat="1"/>
    <row r="212" s="311" customFormat="1"/>
    <row r="213" s="311" customFormat="1"/>
    <row r="214" s="311" customFormat="1"/>
    <row r="215" s="311" customFormat="1"/>
    <row r="216" s="311" customFormat="1"/>
    <row r="217" s="311" customFormat="1"/>
    <row r="218" s="311" customFormat="1"/>
    <row r="219" s="311" customFormat="1"/>
    <row r="220" s="311" customFormat="1"/>
    <row r="221" s="311" customFormat="1"/>
    <row r="222" s="311" customFormat="1"/>
    <row r="223" s="311" customFormat="1"/>
    <row r="224" s="311" customFormat="1"/>
    <row r="225" s="311" customFormat="1"/>
    <row r="226" s="311" customFormat="1"/>
    <row r="227" s="311" customFormat="1"/>
    <row r="228" s="311" customFormat="1"/>
    <row r="229" s="311" customFormat="1"/>
    <row r="230" s="311" customFormat="1"/>
    <row r="231" s="311" customFormat="1"/>
    <row r="232" s="311" customFormat="1"/>
    <row r="233" s="311" customFormat="1"/>
    <row r="234" s="311" customFormat="1"/>
    <row r="235" s="311" customFormat="1"/>
    <row r="236" s="311" customFormat="1"/>
    <row r="237" s="311" customFormat="1"/>
    <row r="238" s="311" customFormat="1"/>
    <row r="239" s="311" customFormat="1"/>
    <row r="240" s="311" customFormat="1"/>
    <row r="241" s="311" customFormat="1"/>
    <row r="242" s="311" customFormat="1"/>
    <row r="243" s="311" customFormat="1"/>
    <row r="244" s="311" customFormat="1"/>
    <row r="245" s="311" customFormat="1"/>
    <row r="246" s="311" customFormat="1"/>
    <row r="247" s="311" customFormat="1"/>
    <row r="248" s="311" customFormat="1"/>
    <row r="249" s="311" customFormat="1"/>
    <row r="250" s="311" customFormat="1"/>
    <row r="251" s="311" customFormat="1"/>
    <row r="252" s="311" customFormat="1"/>
    <row r="253" s="311" customFormat="1"/>
    <row r="254" s="311" customFormat="1"/>
    <row r="255" s="311" customFormat="1"/>
    <row r="256" s="311" customFormat="1"/>
    <row r="257" s="311" customFormat="1"/>
    <row r="258" s="311" customFormat="1"/>
    <row r="259" s="311" customFormat="1"/>
    <row r="260" s="311" customFormat="1"/>
    <row r="261" s="311" customFormat="1"/>
    <row r="262" s="311" customFormat="1"/>
    <row r="263" s="311" customFormat="1"/>
    <row r="264" s="311" customFormat="1"/>
    <row r="265" s="311" customFormat="1"/>
    <row r="266" s="311" customFormat="1"/>
    <row r="267" s="311" customFormat="1"/>
    <row r="268" s="311" customFormat="1"/>
    <row r="269" s="311" customFormat="1"/>
    <row r="270" s="311" customFormat="1"/>
    <row r="271" s="311" customFormat="1"/>
    <row r="272" s="311" customFormat="1"/>
    <row r="273" s="311" customFormat="1"/>
    <row r="274" s="311" customFormat="1"/>
    <row r="275" s="311" customFormat="1"/>
    <row r="276" s="311" customFormat="1"/>
    <row r="277" s="311" customFormat="1"/>
    <row r="278" s="311" customFormat="1"/>
    <row r="279" s="311" customFormat="1"/>
    <row r="280" s="311" customFormat="1"/>
    <row r="281" s="311" customFormat="1"/>
    <row r="282" s="311" customFormat="1"/>
    <row r="283" s="311" customFormat="1"/>
    <row r="284" s="311" customFormat="1"/>
    <row r="285" s="311" customFormat="1"/>
    <row r="286" s="311" customFormat="1"/>
    <row r="287" s="311" customFormat="1"/>
    <row r="288" s="311" customFormat="1"/>
    <row r="289" s="311" customFormat="1"/>
    <row r="290" s="311" customFormat="1"/>
    <row r="291" s="311" customFormat="1"/>
    <row r="292" s="311" customFormat="1"/>
    <row r="293" s="311" customFormat="1"/>
    <row r="294" s="311" customFormat="1"/>
    <row r="295" s="311" customFormat="1"/>
    <row r="296" s="311" customFormat="1"/>
    <row r="297" s="311" customFormat="1"/>
    <row r="298" s="311" customFormat="1"/>
    <row r="299" s="311" customFormat="1"/>
    <row r="300" s="311" customFormat="1"/>
    <row r="301" s="311" customFormat="1"/>
    <row r="302" s="311" customFormat="1"/>
    <row r="303" s="311" customFormat="1"/>
    <row r="304" s="311" customFormat="1"/>
    <row r="305" s="311" customFormat="1"/>
    <row r="306" s="311" customFormat="1"/>
    <row r="307" s="311" customFormat="1"/>
    <row r="308" s="311" customFormat="1"/>
    <row r="309" s="311" customFormat="1"/>
    <row r="310" s="311" customFormat="1"/>
    <row r="311" s="311" customFormat="1"/>
    <row r="312" s="311" customFormat="1"/>
    <row r="313" s="311" customFormat="1"/>
    <row r="314" s="311" customFormat="1"/>
    <row r="315" s="311" customFormat="1"/>
    <row r="316" s="311" customFormat="1"/>
    <row r="317" s="311" customFormat="1"/>
    <row r="318" s="311" customFormat="1"/>
    <row r="319" s="311" customFormat="1"/>
    <row r="320" s="311" customFormat="1"/>
    <row r="321" s="311" customFormat="1"/>
    <row r="322" s="311" customFormat="1"/>
    <row r="323" s="311" customFormat="1"/>
    <row r="324" s="311" customFormat="1"/>
    <row r="325" s="311" customFormat="1"/>
    <row r="326" s="311" customFormat="1"/>
    <row r="327" s="311" customFormat="1"/>
    <row r="328" s="311" customFormat="1"/>
    <row r="329" s="311" customFormat="1"/>
    <row r="330" s="311" customFormat="1"/>
    <row r="331" s="311" customFormat="1"/>
    <row r="332" s="311" customFormat="1"/>
    <row r="333" s="311" customFormat="1"/>
    <row r="334" s="311" customFormat="1"/>
    <row r="335" s="311" customFormat="1"/>
    <row r="336" s="311" customFormat="1"/>
    <row r="337" s="311" customFormat="1"/>
    <row r="338" s="311" customFormat="1"/>
    <row r="339" s="311" customFormat="1"/>
    <row r="340" s="311" customFormat="1"/>
    <row r="341" s="311" customFormat="1"/>
    <row r="342" s="311" customFormat="1"/>
    <row r="343" s="311" customFormat="1"/>
    <row r="344" s="311" customFormat="1"/>
    <row r="345" s="311" customFormat="1"/>
    <row r="346" s="311" customFormat="1"/>
    <row r="347" s="311" customFormat="1"/>
    <row r="348" s="311" customFormat="1"/>
    <row r="349" s="311" customFormat="1"/>
    <row r="350" s="311" customFormat="1"/>
    <row r="351" s="311" customFormat="1"/>
    <row r="352" s="311" customFormat="1"/>
    <row r="353" s="311" customFormat="1"/>
    <row r="354" s="311" customFormat="1"/>
    <row r="355" s="311" customFormat="1"/>
    <row r="356" s="311" customFormat="1"/>
    <row r="357" s="311" customFormat="1"/>
    <row r="358" s="311" customFormat="1"/>
    <row r="359" s="311" customFormat="1"/>
    <row r="360" s="311" customFormat="1"/>
    <row r="361" s="311" customFormat="1"/>
    <row r="362" s="311" customFormat="1"/>
    <row r="363" s="311" customFormat="1"/>
    <row r="364" s="311" customFormat="1"/>
    <row r="365" s="311" customFormat="1"/>
    <row r="366" s="311" customFormat="1"/>
    <row r="367" s="311" customFormat="1"/>
    <row r="368" s="311" customFormat="1"/>
    <row r="369" s="311" customFormat="1"/>
    <row r="370" s="311" customFormat="1"/>
    <row r="371" s="311" customFormat="1"/>
    <row r="372" s="311" customFormat="1"/>
    <row r="373" s="311" customFormat="1"/>
    <row r="374" s="311" customFormat="1"/>
    <row r="375" s="311" customFormat="1"/>
    <row r="376" s="311" customFormat="1"/>
    <row r="377" s="311" customFormat="1"/>
    <row r="378" s="311" customFormat="1"/>
    <row r="379" s="311" customFormat="1"/>
    <row r="380" s="311" customFormat="1"/>
    <row r="381" s="311" customFormat="1"/>
    <row r="382" s="311" customFormat="1"/>
    <row r="383" s="311" customFormat="1"/>
    <row r="384" s="311" customFormat="1"/>
    <row r="385" s="311" customFormat="1"/>
    <row r="386" s="311" customFormat="1"/>
    <row r="387" s="311" customFormat="1"/>
    <row r="388" s="311" customFormat="1"/>
    <row r="389" s="311" customFormat="1"/>
    <row r="390" s="311" customFormat="1"/>
    <row r="391" s="311" customFormat="1"/>
    <row r="392" s="311" customFormat="1"/>
    <row r="393" s="311" customFormat="1"/>
    <row r="394" s="311" customFormat="1"/>
    <row r="395" s="311" customFormat="1"/>
    <row r="396" s="311" customFormat="1"/>
    <row r="397" s="311" customFormat="1"/>
    <row r="398" s="311" customFormat="1"/>
    <row r="399" s="311" customFormat="1"/>
    <row r="400" s="311" customFormat="1"/>
    <row r="401" s="311" customFormat="1"/>
    <row r="402" s="311" customFormat="1"/>
    <row r="403" s="311" customFormat="1"/>
    <row r="404" s="311" customFormat="1"/>
    <row r="405" s="311" customFormat="1"/>
    <row r="406" s="311" customFormat="1"/>
    <row r="407" s="311" customFormat="1"/>
    <row r="408" s="311" customFormat="1"/>
    <row r="409" s="311" customFormat="1"/>
    <row r="410" s="311" customFormat="1"/>
    <row r="411" s="311" customFormat="1"/>
    <row r="412" s="311" customFormat="1"/>
    <row r="413" s="311" customFormat="1"/>
    <row r="414" s="311" customFormat="1"/>
    <row r="415" s="311" customFormat="1"/>
    <row r="416" s="311" customFormat="1"/>
    <row r="417" s="311" customFormat="1"/>
    <row r="418" s="311" customFormat="1"/>
    <row r="419" s="311" customFormat="1"/>
    <row r="420" s="311" customFormat="1"/>
    <row r="421" s="311" customFormat="1"/>
    <row r="422" s="311" customFormat="1"/>
    <row r="423" s="311" customFormat="1"/>
    <row r="424" s="311" customFormat="1"/>
    <row r="425" s="311" customFormat="1"/>
    <row r="426" s="311" customFormat="1"/>
    <row r="427" s="311" customFormat="1"/>
    <row r="428" s="311" customFormat="1"/>
    <row r="429" s="311" customFormat="1"/>
    <row r="430" s="311" customFormat="1"/>
    <row r="431" s="311" customFormat="1"/>
    <row r="432" s="311" customFormat="1"/>
    <row r="433" s="311" customFormat="1"/>
    <row r="434" s="311" customFormat="1"/>
    <row r="435" s="311" customFormat="1"/>
    <row r="436" s="311" customFormat="1"/>
    <row r="437" s="311" customFormat="1"/>
    <row r="438" s="311" customFormat="1"/>
    <row r="439" s="311" customFormat="1"/>
    <row r="440" s="311" customFormat="1"/>
    <row r="441" s="311" customFormat="1"/>
    <row r="442" s="311" customFormat="1"/>
    <row r="443" s="311" customFormat="1"/>
    <row r="444" s="311" customFormat="1"/>
    <row r="445" s="311" customFormat="1"/>
    <row r="446" s="311" customFormat="1"/>
    <row r="447" s="311" customFormat="1"/>
    <row r="448" s="311" customFormat="1"/>
    <row r="449" s="311" customFormat="1"/>
    <row r="450" s="311" customFormat="1"/>
    <row r="451" s="311" customFormat="1"/>
    <row r="452" s="311" customFormat="1"/>
    <row r="453" s="311" customFormat="1"/>
    <row r="454" s="311" customFormat="1"/>
    <row r="455" s="311" customFormat="1"/>
    <row r="456" s="311" customFormat="1"/>
    <row r="457" s="311" customFormat="1"/>
    <row r="458" s="311" customFormat="1"/>
    <row r="459" s="311" customFormat="1"/>
    <row r="460" s="311" customFormat="1"/>
    <row r="461" s="311" customFormat="1"/>
    <row r="462" s="311" customFormat="1"/>
    <row r="463" s="311" customFormat="1"/>
    <row r="464" s="311" customFormat="1"/>
    <row r="465" s="311" customFormat="1"/>
    <row r="466" s="311" customFormat="1"/>
    <row r="467" s="311" customFormat="1"/>
    <row r="468" s="311" customFormat="1"/>
    <row r="469" s="311" customFormat="1"/>
    <row r="470" s="311" customFormat="1"/>
    <row r="471" s="311" customFormat="1"/>
    <row r="472" s="311" customFormat="1"/>
    <row r="473" s="311" customFormat="1"/>
    <row r="474" s="311" customFormat="1"/>
    <row r="475" s="311" customFormat="1"/>
    <row r="476" s="311" customFormat="1"/>
    <row r="477" s="311" customFormat="1"/>
    <row r="478" s="311" customFormat="1"/>
    <row r="479" s="311" customFormat="1"/>
    <row r="480" s="311" customFormat="1"/>
    <row r="481" s="311" customFormat="1"/>
    <row r="482" s="311" customFormat="1"/>
    <row r="483" s="311" customFormat="1"/>
    <row r="484" s="311" customFormat="1"/>
    <row r="485" s="311" customFormat="1"/>
    <row r="486" s="311" customFormat="1"/>
    <row r="487" s="311" customFormat="1"/>
    <row r="488" s="311" customFormat="1"/>
    <row r="489" s="311" customFormat="1"/>
    <row r="490" s="311" customFormat="1"/>
    <row r="491" s="311" customFormat="1"/>
    <row r="492" s="311" customFormat="1"/>
    <row r="493" s="311" customFormat="1"/>
    <row r="494" s="311" customFormat="1"/>
    <row r="495" s="311" customFormat="1"/>
    <row r="496" s="311" customFormat="1"/>
    <row r="497" s="311" customFormat="1"/>
    <row r="498" s="311" customFormat="1"/>
    <row r="499" s="311" customFormat="1"/>
    <row r="500" s="311" customFormat="1"/>
    <row r="501" s="311" customFormat="1"/>
    <row r="502" s="311" customFormat="1"/>
    <row r="503" s="311" customFormat="1"/>
    <row r="504" s="311" customFormat="1"/>
    <row r="505" s="311" customFormat="1"/>
    <row r="506" s="311" customFormat="1"/>
    <row r="507" s="311" customFormat="1"/>
    <row r="508" s="311" customFormat="1"/>
    <row r="509" s="311" customFormat="1"/>
    <row r="510" s="311" customFormat="1"/>
    <row r="511" s="311" customFormat="1"/>
    <row r="512" s="311" customFormat="1"/>
    <row r="513" s="311" customFormat="1"/>
    <row r="514" s="311" customFormat="1"/>
    <row r="515" s="311" customFormat="1"/>
    <row r="516" s="311" customFormat="1"/>
    <row r="517" s="311" customFormat="1"/>
    <row r="518" s="311" customFormat="1"/>
    <row r="519" s="311" customFormat="1"/>
    <row r="520" s="311" customFormat="1"/>
    <row r="521" s="311" customFormat="1"/>
    <row r="522" s="311" customFormat="1"/>
    <row r="523" s="311" customFormat="1"/>
    <row r="524" s="311" customFormat="1"/>
    <row r="525" s="311" customFormat="1"/>
    <row r="526" s="311" customFormat="1"/>
    <row r="527" s="311" customFormat="1"/>
    <row r="528" s="311" customFormat="1"/>
    <row r="529" s="311" customFormat="1"/>
    <row r="530" s="311" customFormat="1"/>
    <row r="531" s="311" customFormat="1"/>
    <row r="532" s="311" customFormat="1"/>
    <row r="533" s="311" customFormat="1"/>
    <row r="534" s="311" customFormat="1"/>
    <row r="535" s="311" customFormat="1"/>
    <row r="536" s="311" customFormat="1"/>
    <row r="537" s="311" customFormat="1"/>
    <row r="538" s="311" customFormat="1"/>
    <row r="539" s="311" customFormat="1"/>
    <row r="540" s="311" customFormat="1"/>
    <row r="541" s="311" customFormat="1"/>
    <row r="542" s="311" customFormat="1"/>
    <row r="543" s="311" customFormat="1"/>
    <row r="544" s="311" customFormat="1"/>
    <row r="545" s="311" customFormat="1"/>
    <row r="546" s="311" customFormat="1"/>
    <row r="547" s="311" customFormat="1"/>
    <row r="548" s="311" customFormat="1"/>
    <row r="549" s="311" customFormat="1"/>
    <row r="550" s="311" customFormat="1"/>
    <row r="551" s="311" customFormat="1"/>
    <row r="552" s="311" customFormat="1"/>
    <row r="553" s="311" customFormat="1"/>
    <row r="554" s="311" customFormat="1"/>
    <row r="555" s="311" customFormat="1"/>
    <row r="556" s="311" customFormat="1"/>
    <row r="557" s="311" customFormat="1"/>
    <row r="558" s="311" customFormat="1"/>
    <row r="559" s="311" customFormat="1"/>
    <row r="560" s="311" customFormat="1"/>
    <row r="561" s="311" customFormat="1"/>
    <row r="562" s="311" customFormat="1"/>
    <row r="563" s="311" customFormat="1"/>
    <row r="564" s="311" customFormat="1"/>
    <row r="565" s="311" customFormat="1"/>
    <row r="566" s="311" customFormat="1"/>
    <row r="567" s="311" customFormat="1"/>
    <row r="568" s="311" customFormat="1"/>
    <row r="569" s="311" customFormat="1"/>
    <row r="570" s="311" customFormat="1"/>
    <row r="571" s="311" customFormat="1"/>
    <row r="572" s="311" customFormat="1"/>
    <row r="573" s="311" customFormat="1"/>
    <row r="574" s="311" customFormat="1"/>
    <row r="575" s="311" customFormat="1"/>
    <row r="576" s="311" customFormat="1"/>
    <row r="577" s="311" customFormat="1"/>
    <row r="578" s="311" customFormat="1"/>
    <row r="579" s="311" customFormat="1"/>
    <row r="580" s="311" customFormat="1"/>
    <row r="581" s="311" customFormat="1"/>
    <row r="582" s="311" customFormat="1"/>
    <row r="583" s="311" customFormat="1"/>
    <row r="584" s="311" customFormat="1"/>
    <row r="585" s="311" customFormat="1"/>
    <row r="586" s="311" customFormat="1"/>
    <row r="587" s="311" customFormat="1"/>
    <row r="588" s="311" customFormat="1"/>
    <row r="589" s="311" customFormat="1"/>
    <row r="590" s="311" customFormat="1"/>
    <row r="591" s="311" customFormat="1"/>
    <row r="592" s="311" customFormat="1"/>
    <row r="593" s="311" customFormat="1"/>
    <row r="594" s="311" customFormat="1"/>
    <row r="595" s="311" customFormat="1"/>
    <row r="596" s="311" customFormat="1"/>
    <row r="597" s="311" customFormat="1"/>
    <row r="598" s="311" customFormat="1"/>
    <row r="599" s="311" customFormat="1"/>
    <row r="600" s="311" customFormat="1"/>
    <row r="601" s="311" customFormat="1"/>
    <row r="602" s="311" customFormat="1"/>
    <row r="603" s="311" customFormat="1"/>
    <row r="604" s="311" customFormat="1"/>
    <row r="605" s="311" customFormat="1"/>
    <row r="606" s="311" customFormat="1"/>
    <row r="607" s="311" customFormat="1"/>
    <row r="608" s="311" customFormat="1"/>
    <row r="609" s="311" customFormat="1"/>
    <row r="610" s="311" customFormat="1"/>
    <row r="611" s="311" customFormat="1"/>
    <row r="612" s="311" customFormat="1"/>
    <row r="613" s="311" customFormat="1"/>
    <row r="614" s="311" customFormat="1"/>
    <row r="615" s="311" customFormat="1"/>
    <row r="616" s="311" customFormat="1"/>
    <row r="617" s="311" customFormat="1"/>
    <row r="618" s="311" customFormat="1"/>
    <row r="619" s="311" customFormat="1"/>
    <row r="620" s="311" customFormat="1"/>
    <row r="621" s="311" customFormat="1"/>
    <row r="622" s="311" customFormat="1"/>
    <row r="623" s="311" customFormat="1"/>
    <row r="624" s="311" customFormat="1"/>
    <row r="625" s="311" customFormat="1"/>
    <row r="626" s="311" customFormat="1"/>
    <row r="627" s="311" customFormat="1"/>
    <row r="628" s="311" customFormat="1"/>
    <row r="629" s="311" customFormat="1"/>
    <row r="630" s="311" customFormat="1"/>
    <row r="631" s="311" customFormat="1"/>
    <row r="632" s="311" customFormat="1"/>
    <row r="633" s="311" customFormat="1"/>
    <row r="634" s="311" customFormat="1"/>
    <row r="635" s="311" customFormat="1"/>
    <row r="636" s="311" customFormat="1"/>
    <row r="637" s="311" customFormat="1"/>
    <row r="638" s="311" customFormat="1"/>
    <row r="639" s="311" customFormat="1"/>
    <row r="640" s="311" customFormat="1"/>
    <row r="641" s="311" customFormat="1"/>
    <row r="642" s="311" customFormat="1"/>
    <row r="643" s="311" customFormat="1"/>
    <row r="644" s="311" customFormat="1"/>
    <row r="645" s="311" customFormat="1"/>
    <row r="646" s="311" customFormat="1"/>
    <row r="647" s="311" customFormat="1"/>
    <row r="648" s="311" customFormat="1"/>
    <row r="649" s="311" customFormat="1"/>
    <row r="650" s="311" customFormat="1"/>
    <row r="651" s="311" customFormat="1"/>
    <row r="652" s="311" customFormat="1"/>
    <row r="653" s="311" customFormat="1"/>
    <row r="654" s="311" customFormat="1"/>
    <row r="655" s="311" customFormat="1"/>
    <row r="656" s="311" customFormat="1"/>
    <row r="657" s="311" customFormat="1"/>
    <row r="658" s="311" customFormat="1"/>
    <row r="659" s="311" customFormat="1"/>
    <row r="660" s="311" customFormat="1"/>
    <row r="661" s="311" customFormat="1"/>
    <row r="662" s="311" customFormat="1"/>
    <row r="663" s="311" customFormat="1"/>
    <row r="664" s="311" customFormat="1"/>
    <row r="665" s="311" customFormat="1"/>
    <row r="666" s="311" customFormat="1"/>
    <row r="667" s="311" customFormat="1"/>
    <row r="668" s="311" customFormat="1"/>
    <row r="669" s="311" customFormat="1"/>
    <row r="670" s="311" customFormat="1"/>
    <row r="671" s="311" customFormat="1"/>
    <row r="672" s="311" customFormat="1"/>
    <row r="673" s="311" customFormat="1"/>
    <row r="674" s="311" customFormat="1"/>
    <row r="675" s="311" customFormat="1"/>
    <row r="676" s="311" customFormat="1"/>
    <row r="677" s="311" customFormat="1"/>
    <row r="678" s="311" customFormat="1"/>
    <row r="679" s="311" customFormat="1"/>
    <row r="680" s="311" customFormat="1"/>
    <row r="681" s="311" customFormat="1"/>
    <row r="682" s="311" customFormat="1"/>
    <row r="683" s="311" customFormat="1"/>
    <row r="684" s="311" customFormat="1"/>
    <row r="685" s="311" customFormat="1"/>
    <row r="686" s="311" customFormat="1"/>
    <row r="687" s="311" customFormat="1"/>
    <row r="688" s="311" customFormat="1"/>
    <row r="689" s="311" customFormat="1"/>
    <row r="690" s="311" customFormat="1"/>
    <row r="691" s="311" customFormat="1"/>
    <row r="692" s="311" customFormat="1"/>
    <row r="693" s="311" customFormat="1"/>
    <row r="694" s="311" customFormat="1"/>
    <row r="695" s="311" customFormat="1"/>
    <row r="696" s="311" customFormat="1"/>
    <row r="697" s="311" customFormat="1"/>
    <row r="698" s="311" customFormat="1"/>
    <row r="699" s="311" customFormat="1"/>
    <row r="700" s="311" customFormat="1"/>
    <row r="701" s="311" customFormat="1"/>
    <row r="702" s="311" customFormat="1"/>
    <row r="703" s="311" customFormat="1"/>
    <row r="704" s="311" customFormat="1"/>
    <row r="705" s="311" customFormat="1"/>
    <row r="706" s="311" customFormat="1"/>
    <row r="707" s="311" customFormat="1"/>
    <row r="708" s="311" customFormat="1"/>
    <row r="709" s="311" customFormat="1"/>
    <row r="710" s="311" customFormat="1"/>
    <row r="711" s="311" customFormat="1"/>
    <row r="712" s="311" customFormat="1"/>
    <row r="713" s="311" customFormat="1"/>
    <row r="714" s="311" customFormat="1"/>
    <row r="715" s="311" customFormat="1"/>
    <row r="716" s="311" customFormat="1"/>
    <row r="717" s="311" customFormat="1"/>
    <row r="718" s="311" customFormat="1"/>
    <row r="719" s="311" customFormat="1"/>
    <row r="720" s="311" customFormat="1"/>
    <row r="721" s="311" customFormat="1"/>
    <row r="722" s="311" customFormat="1"/>
    <row r="723" s="311" customFormat="1"/>
    <row r="724" s="311" customFormat="1"/>
    <row r="725" s="311" customFormat="1"/>
    <row r="726" s="311" customFormat="1"/>
    <row r="727" s="311" customFormat="1"/>
    <row r="728" s="311" customFormat="1"/>
    <row r="729" s="311" customFormat="1"/>
    <row r="730" s="311" customFormat="1"/>
    <row r="731" s="311" customFormat="1"/>
    <row r="732" s="311" customFormat="1"/>
    <row r="733" s="311" customFormat="1"/>
    <row r="734" s="311" customFormat="1"/>
    <row r="735" s="311" customFormat="1"/>
    <row r="736" s="311" customFormat="1"/>
    <row r="737" s="311" customFormat="1"/>
    <row r="738" s="311" customFormat="1"/>
    <row r="739" s="311" customFormat="1"/>
    <row r="740" s="311" customFormat="1"/>
    <row r="741" s="311" customFormat="1"/>
    <row r="742" s="311" customFormat="1"/>
    <row r="743" s="311" customFormat="1"/>
    <row r="744" s="311" customFormat="1"/>
    <row r="745" s="311" customFormat="1"/>
    <row r="746" s="311" customFormat="1"/>
    <row r="747" s="311" customFormat="1"/>
    <row r="748" s="311" customFormat="1"/>
    <row r="749" s="311" customFormat="1"/>
    <row r="750" s="311" customFormat="1"/>
    <row r="751" s="311" customFormat="1"/>
    <row r="752" s="311" customFormat="1"/>
    <row r="753" s="311" customFormat="1"/>
    <row r="754" s="311" customFormat="1"/>
    <row r="755" s="311" customFormat="1"/>
    <row r="756" s="311" customFormat="1"/>
    <row r="757" s="311" customFormat="1"/>
    <row r="758" s="311" customFormat="1"/>
    <row r="759" s="311" customFormat="1"/>
    <row r="760" s="311" customFormat="1"/>
    <row r="761" s="311" customFormat="1"/>
    <row r="762" s="311" customFormat="1"/>
    <row r="763" s="311" customFormat="1"/>
    <row r="764" s="311" customFormat="1"/>
    <row r="765" s="311" customFormat="1"/>
    <row r="766" s="311" customFormat="1"/>
    <row r="767" s="311" customFormat="1"/>
    <row r="768" s="311" customFormat="1"/>
    <row r="769" s="311" customFormat="1"/>
    <row r="770" s="311" customFormat="1"/>
    <row r="771" s="311" customFormat="1"/>
    <row r="772" s="311" customFormat="1"/>
    <row r="773" s="311" customFormat="1"/>
    <row r="774" s="311" customFormat="1"/>
    <row r="775" s="311" customFormat="1"/>
    <row r="776" s="311" customFormat="1"/>
    <row r="777" s="311" customFormat="1"/>
    <row r="778" s="311" customFormat="1"/>
    <row r="779" s="311" customFormat="1"/>
    <row r="780" s="311" customFormat="1"/>
    <row r="781" s="311" customFormat="1"/>
    <row r="782" s="311" customFormat="1"/>
    <row r="783" s="311" customFormat="1"/>
    <row r="784" s="311" customFormat="1"/>
    <row r="785" s="311" customFormat="1"/>
    <row r="786" s="311" customFormat="1"/>
    <row r="787" s="311" customFormat="1"/>
    <row r="788" s="311" customFormat="1"/>
    <row r="789" s="311" customFormat="1"/>
    <row r="790" s="311" customFormat="1"/>
    <row r="791" s="311" customFormat="1"/>
    <row r="792" s="311" customFormat="1"/>
    <row r="793" s="311" customFormat="1"/>
    <row r="794" s="311" customFormat="1"/>
    <row r="795" s="311" customFormat="1"/>
    <row r="796" s="311" customFormat="1"/>
    <row r="797" s="311" customFormat="1"/>
    <row r="798" s="311" customFormat="1"/>
    <row r="799" s="311" customFormat="1"/>
    <row r="800" s="311" customFormat="1"/>
    <row r="801" s="311" customFormat="1"/>
    <row r="802" s="311" customFormat="1"/>
    <row r="803" s="311" customFormat="1"/>
    <row r="804" s="311" customFormat="1"/>
    <row r="805" s="311" customFormat="1"/>
    <row r="806" s="311" customFormat="1"/>
    <row r="807" s="311" customFormat="1"/>
    <row r="808" s="311" customFormat="1"/>
    <row r="809" s="311" customFormat="1"/>
    <row r="810" s="311" customFormat="1"/>
    <row r="811" s="311" customFormat="1"/>
    <row r="812" s="311" customFormat="1"/>
    <row r="813" s="311" customFormat="1"/>
    <row r="814" s="311" customFormat="1"/>
    <row r="815" s="311" customFormat="1"/>
    <row r="816" s="311" customFormat="1"/>
    <row r="817" s="311" customFormat="1"/>
    <row r="818" s="311" customFormat="1"/>
    <row r="819" s="311" customFormat="1"/>
    <row r="820" s="311" customFormat="1"/>
    <row r="821" s="311" customFormat="1"/>
    <row r="822" s="311" customFormat="1"/>
    <row r="823" s="311" customFormat="1"/>
    <row r="824" s="311" customFormat="1"/>
    <row r="825" s="311" customFormat="1"/>
    <row r="826" s="311" customFormat="1"/>
    <row r="827" s="311" customFormat="1"/>
    <row r="828" s="311" customFormat="1"/>
    <row r="829" s="311" customFormat="1"/>
    <row r="830" s="311" customFormat="1"/>
    <row r="831" s="311" customFormat="1"/>
    <row r="832" s="311" customFormat="1"/>
    <row r="833" s="311" customFormat="1"/>
    <row r="834" s="311" customFormat="1"/>
    <row r="835" s="311" customFormat="1"/>
    <row r="836" s="311" customFormat="1"/>
    <row r="837" s="311" customFormat="1"/>
    <row r="838" s="311" customFormat="1"/>
    <row r="839" s="311" customFormat="1"/>
    <row r="840" s="311" customFormat="1"/>
    <row r="841" s="311" customFormat="1"/>
    <row r="842" s="311" customFormat="1"/>
    <row r="843" s="311" customFormat="1"/>
    <row r="844" s="311" customFormat="1"/>
    <row r="845" s="311" customFormat="1"/>
    <row r="846" s="311" customFormat="1"/>
    <row r="847" s="311" customFormat="1"/>
    <row r="848" s="311" customFormat="1"/>
    <row r="849" s="311" customFormat="1"/>
    <row r="850" s="311" customFormat="1"/>
    <row r="851" s="311" customFormat="1"/>
    <row r="852" s="311" customFormat="1"/>
    <row r="853" s="311" customFormat="1"/>
    <row r="854" s="311" customFormat="1"/>
    <row r="855" s="311" customFormat="1"/>
    <row r="856" s="311" customFormat="1"/>
    <row r="857" s="311" customFormat="1"/>
    <row r="858" s="311" customFormat="1"/>
    <row r="859" s="311" customFormat="1"/>
    <row r="860" s="311" customFormat="1"/>
    <row r="861" s="311" customFormat="1"/>
    <row r="862" s="311" customFormat="1"/>
    <row r="863" s="311" customFormat="1"/>
    <row r="864" s="311" customFormat="1"/>
    <row r="865" s="311" customFormat="1"/>
    <row r="866" s="311" customFormat="1"/>
    <row r="867" s="311" customFormat="1"/>
    <row r="868" s="311" customFormat="1"/>
    <row r="869" s="311" customFormat="1"/>
    <row r="870" s="311" customFormat="1"/>
    <row r="871" s="311" customFormat="1"/>
    <row r="872" s="311" customFormat="1"/>
    <row r="873" s="311" customFormat="1"/>
    <row r="874" s="311" customFormat="1"/>
    <row r="875" s="311" customFormat="1"/>
    <row r="876" s="311" customFormat="1"/>
    <row r="877" s="311" customFormat="1"/>
    <row r="878" s="311" customFormat="1"/>
    <row r="879" s="311" customFormat="1"/>
    <row r="880" s="311" customFormat="1"/>
    <row r="881" s="311" customFormat="1"/>
    <row r="882" s="311" customFormat="1"/>
    <row r="883" s="311" customFormat="1"/>
    <row r="884" s="311" customFormat="1"/>
    <row r="885" s="311" customFormat="1"/>
    <row r="886" s="311" customFormat="1"/>
    <row r="887" s="311" customFormat="1"/>
    <row r="888" s="311" customFormat="1"/>
    <row r="889" s="311" customFormat="1"/>
    <row r="890" s="311" customFormat="1"/>
    <row r="891" s="311" customFormat="1"/>
    <row r="892" s="311" customFormat="1"/>
    <row r="893" s="311" customFormat="1"/>
    <row r="894" s="311" customFormat="1"/>
    <row r="895" s="311" customFormat="1"/>
    <row r="896" s="311" customFormat="1"/>
    <row r="897" s="311" customFormat="1"/>
    <row r="898" s="311" customFormat="1"/>
    <row r="899" s="311" customFormat="1"/>
    <row r="900" s="311" customFormat="1"/>
    <row r="901" s="311" customFormat="1"/>
    <row r="902" s="311" customFormat="1"/>
    <row r="903" s="311" customFormat="1"/>
    <row r="904" s="311" customFormat="1"/>
    <row r="905" s="311" customFormat="1"/>
    <row r="906" s="311" customFormat="1"/>
    <row r="907" s="311" customFormat="1"/>
    <row r="908" s="311" customFormat="1"/>
    <row r="909" s="311" customFormat="1"/>
    <row r="910" s="311" customFormat="1"/>
    <row r="911" s="311" customFormat="1"/>
    <row r="912" s="311" customFormat="1"/>
    <row r="913" s="311" customFormat="1"/>
    <row r="914" s="311" customFormat="1"/>
    <row r="915" s="311" customFormat="1"/>
    <row r="916" s="311" customFormat="1"/>
    <row r="917" s="311" customFormat="1"/>
    <row r="918" s="311" customFormat="1"/>
    <row r="919" s="311" customFormat="1"/>
    <row r="920" s="311" customFormat="1"/>
    <row r="921" s="311" customFormat="1"/>
    <row r="922" s="311" customFormat="1"/>
    <row r="923" s="311" customFormat="1"/>
    <row r="924" s="311" customFormat="1"/>
    <row r="925" s="311" customFormat="1"/>
    <row r="926" s="311" customFormat="1"/>
    <row r="927" s="311" customFormat="1"/>
    <row r="928" s="311" customFormat="1"/>
    <row r="929" s="311" customFormat="1"/>
    <row r="930" s="311" customFormat="1"/>
    <row r="931" s="311" customFormat="1"/>
    <row r="932" s="311" customFormat="1"/>
    <row r="933" s="311" customFormat="1"/>
    <row r="934" s="311" customFormat="1"/>
    <row r="935" s="311" customFormat="1"/>
    <row r="936" s="311" customFormat="1"/>
    <row r="937" s="311" customFormat="1"/>
    <row r="938" s="311" customFormat="1"/>
    <row r="939" s="311" customFormat="1"/>
    <row r="940" s="311" customFormat="1"/>
    <row r="941" s="311" customFormat="1"/>
    <row r="942" s="311" customFormat="1"/>
    <row r="943" s="311" customFormat="1"/>
    <row r="944" s="311" customFormat="1"/>
    <row r="945" s="311" customFormat="1"/>
    <row r="946" s="311" customFormat="1"/>
    <row r="947" s="311" customFormat="1"/>
    <row r="948" s="311" customFormat="1"/>
    <row r="949" s="311" customFormat="1"/>
    <row r="950" s="311" customFormat="1"/>
    <row r="951" s="311" customFormat="1"/>
    <row r="952" s="311" customFormat="1"/>
    <row r="953" s="311" customFormat="1"/>
    <row r="954" s="311" customFormat="1"/>
    <row r="955" s="311" customFormat="1"/>
    <row r="956" s="311" customFormat="1"/>
    <row r="957" s="311" customFormat="1"/>
    <row r="958" s="311" customFormat="1"/>
    <row r="959" s="311" customFormat="1"/>
    <row r="960" s="311" customFormat="1"/>
    <row r="961" s="311" customFormat="1"/>
    <row r="962" s="311" customFormat="1"/>
    <row r="963" s="311" customFormat="1"/>
    <row r="964" s="311" customFormat="1"/>
    <row r="965" s="311" customFormat="1"/>
    <row r="966" s="311" customFormat="1"/>
    <row r="967" s="311" customFormat="1"/>
    <row r="968" s="311" customFormat="1"/>
    <row r="969" s="311" customFormat="1"/>
    <row r="970" s="311" customFormat="1"/>
    <row r="971" s="311" customFormat="1"/>
    <row r="972" s="311" customFormat="1"/>
    <row r="973" s="311" customFormat="1"/>
    <row r="974" s="311" customFormat="1"/>
    <row r="975" s="311" customFormat="1"/>
    <row r="976" s="311" customFormat="1"/>
    <row r="977" s="311" customFormat="1"/>
    <row r="978" s="311" customFormat="1"/>
    <row r="979" s="311" customFormat="1"/>
    <row r="980" s="311" customFormat="1"/>
    <row r="981" s="311" customFormat="1"/>
    <row r="982" s="311" customFormat="1"/>
    <row r="983" s="311" customFormat="1"/>
    <row r="984" s="311" customFormat="1"/>
    <row r="985" s="311" customFormat="1"/>
    <row r="986" s="311" customFormat="1"/>
    <row r="987" s="311" customFormat="1"/>
    <row r="988" s="311" customFormat="1"/>
    <row r="989" s="311" customFormat="1"/>
    <row r="990" s="311" customFormat="1"/>
    <row r="991" s="311" customFormat="1"/>
    <row r="992" s="311" customFormat="1"/>
    <row r="993" s="311" customFormat="1"/>
    <row r="994" s="311" customFormat="1"/>
    <row r="995" s="311" customFormat="1"/>
    <row r="996" s="311" customFormat="1"/>
    <row r="997" s="311" customFormat="1"/>
    <row r="998" s="311" customFormat="1"/>
    <row r="999" s="311" customFormat="1"/>
    <row r="1000" s="311" customFormat="1"/>
    <row r="1001" s="311" customFormat="1"/>
    <row r="1002" s="311" customFormat="1"/>
    <row r="1003" s="311" customFormat="1"/>
    <row r="1004" s="311" customFormat="1"/>
    <row r="1005" s="311" customFormat="1"/>
    <row r="1006" s="311" customFormat="1"/>
    <row r="1007" s="311" customFormat="1"/>
    <row r="1008" s="311" customFormat="1"/>
    <row r="1009" s="311" customFormat="1"/>
    <row r="1010" s="311" customFormat="1"/>
    <row r="1011" s="311" customFormat="1"/>
    <row r="1012" s="311" customFormat="1"/>
    <row r="1013" s="311" customFormat="1"/>
    <row r="1014" s="311" customFormat="1"/>
    <row r="1015" s="311" customFormat="1"/>
    <row r="1016" s="311" customFormat="1"/>
    <row r="1017" s="311" customFormat="1"/>
    <row r="1018" s="311" customFormat="1"/>
    <row r="1019" s="311" customFormat="1"/>
    <row r="1020" s="311" customFormat="1"/>
    <row r="1021" s="311" customFormat="1"/>
    <row r="1022" s="311" customFormat="1"/>
    <row r="1023" s="311" customFormat="1"/>
    <row r="1024" s="311" customFormat="1"/>
    <row r="1025" s="311" customFormat="1"/>
    <row r="1026" s="311" customFormat="1"/>
    <row r="1027" s="311" customFormat="1"/>
    <row r="1028" s="311" customFormat="1"/>
    <row r="1029" s="311" customFormat="1"/>
    <row r="1030" s="311" customFormat="1"/>
    <row r="1031" s="311" customFormat="1"/>
    <row r="1032" s="311" customFormat="1"/>
    <row r="1033" s="311" customFormat="1"/>
    <row r="1034" s="311" customFormat="1"/>
    <row r="1035" s="311" customFormat="1"/>
    <row r="1036" s="311" customFormat="1"/>
    <row r="1037" s="311" customFormat="1"/>
    <row r="1038" s="311" customFormat="1"/>
    <row r="1039" s="311" customFormat="1"/>
    <row r="1040" s="311" customFormat="1"/>
    <row r="1041" s="311" customFormat="1"/>
    <row r="1042" s="311" customFormat="1"/>
    <row r="1043" s="311" customFormat="1"/>
    <row r="1044" s="311" customFormat="1"/>
    <row r="1045" s="311" customFormat="1"/>
    <row r="1046" s="311" customFormat="1"/>
    <row r="1047" s="311" customFormat="1"/>
    <row r="1048" s="311" customFormat="1"/>
    <row r="1049" s="311" customFormat="1"/>
    <row r="1050" s="311" customFormat="1"/>
    <row r="1051" s="311" customFormat="1"/>
    <row r="1052" s="311" customFormat="1"/>
    <row r="1053" s="311" customFormat="1"/>
    <row r="1054" s="311" customFormat="1"/>
    <row r="1055" s="311" customFormat="1"/>
    <row r="1056" s="311" customFormat="1"/>
    <row r="1057" s="311" customFormat="1"/>
    <row r="1058" s="311" customFormat="1"/>
    <row r="1059" s="311" customFormat="1"/>
    <row r="1060" s="311" customFormat="1"/>
    <row r="1061" s="311" customFormat="1"/>
    <row r="1062" s="311" customFormat="1"/>
    <row r="1063" s="311" customFormat="1"/>
    <row r="1064" s="311" customFormat="1"/>
    <row r="1065" s="311" customFormat="1"/>
    <row r="1066" s="311" customFormat="1"/>
    <row r="1067" s="311" customFormat="1"/>
    <row r="1068" s="311" customFormat="1"/>
    <row r="1069" s="311" customFormat="1"/>
    <row r="1070" s="311" customFormat="1"/>
    <row r="1071" s="311" customFormat="1"/>
    <row r="1072" s="311" customFormat="1"/>
    <row r="1073" s="311" customFormat="1"/>
    <row r="1074" s="311" customFormat="1"/>
    <row r="1075" s="311" customFormat="1"/>
    <row r="1076" s="311" customFormat="1"/>
    <row r="1077" s="311" customFormat="1"/>
    <row r="1078" s="311" customFormat="1"/>
    <row r="1079" s="311" customFormat="1"/>
    <row r="1080" s="311" customFormat="1"/>
    <row r="1081" s="311" customFormat="1"/>
    <row r="1082" s="311" customFormat="1"/>
    <row r="1083" s="311" customFormat="1"/>
    <row r="1084" s="311" customFormat="1"/>
    <row r="1085" s="311" customFormat="1"/>
    <row r="1086" s="311" customFormat="1"/>
    <row r="1087" s="311" customFormat="1"/>
    <row r="1088" s="311" customFormat="1"/>
    <row r="1089" s="311" customFormat="1"/>
    <row r="1090" s="311" customFormat="1"/>
    <row r="1091" s="311" customFormat="1"/>
    <row r="1092" s="311" customFormat="1"/>
    <row r="1093" s="311" customFormat="1"/>
    <row r="1094" s="311" customFormat="1"/>
    <row r="1095" s="311" customFormat="1"/>
    <row r="1096" s="311" customFormat="1"/>
    <row r="1097" s="311" customFormat="1"/>
    <row r="1098" s="311" customFormat="1"/>
    <row r="1099" s="311" customFormat="1"/>
    <row r="1100" s="311" customFormat="1"/>
    <row r="1101" s="311" customFormat="1"/>
    <row r="1102" s="311" customFormat="1"/>
    <row r="1103" s="311" customFormat="1"/>
    <row r="1104" s="311" customFormat="1"/>
    <row r="1105" s="311" customFormat="1"/>
    <row r="1106" s="311" customFormat="1"/>
    <row r="1107" s="311" customFormat="1"/>
    <row r="1108" s="311" customFormat="1"/>
    <row r="1109" s="311" customFormat="1"/>
    <row r="1110" s="311" customFormat="1"/>
    <row r="1111" s="311" customFormat="1"/>
    <row r="1112" s="311" customFormat="1"/>
    <row r="1113" s="311" customFormat="1"/>
    <row r="1114" s="311" customFormat="1"/>
    <row r="1115" s="311" customFormat="1"/>
    <row r="1116" s="311" customFormat="1"/>
    <row r="1117" s="311" customFormat="1"/>
    <row r="1118" s="311" customFormat="1"/>
    <row r="1119" s="311" customFormat="1"/>
    <row r="1120" s="311" customFormat="1"/>
    <row r="1121" s="311" customFormat="1"/>
    <row r="1122" s="311" customFormat="1"/>
    <row r="1123" s="311" customFormat="1"/>
    <row r="1124" s="311" customFormat="1"/>
    <row r="1125" s="311" customFormat="1"/>
    <row r="1126" s="311" customFormat="1"/>
    <row r="1127" s="311" customFormat="1"/>
    <row r="1128" s="311" customFormat="1"/>
    <row r="1129" s="311" customFormat="1"/>
    <row r="1130" s="311" customFormat="1"/>
    <row r="1131" s="311" customFormat="1"/>
    <row r="1132" s="311" customFormat="1"/>
    <row r="1133" s="311" customFormat="1"/>
    <row r="1134" s="311" customFormat="1"/>
    <row r="1135" s="311" customFormat="1"/>
    <row r="1136" s="311" customFormat="1"/>
    <row r="1137" s="311" customFormat="1"/>
    <row r="1138" s="311" customFormat="1"/>
    <row r="1139" s="311" customFormat="1"/>
    <row r="1140" s="311" customFormat="1"/>
    <row r="1141" s="311" customFormat="1"/>
    <row r="1142" s="311" customFormat="1"/>
    <row r="1143" s="311" customFormat="1"/>
    <row r="1144" s="311" customFormat="1"/>
    <row r="1145" s="311" customFormat="1"/>
    <row r="1146" s="311" customFormat="1"/>
    <row r="1147" s="311" customFormat="1"/>
    <row r="1148" s="311" customFormat="1"/>
    <row r="1149" s="311" customFormat="1"/>
    <row r="1150" s="311" customFormat="1"/>
    <row r="1151" s="311" customFormat="1"/>
    <row r="1152" s="311" customFormat="1"/>
    <row r="1153" s="311" customFormat="1"/>
    <row r="1154" s="311" customFormat="1"/>
    <row r="1155" s="311" customFormat="1"/>
    <row r="1156" s="311" customFormat="1"/>
    <row r="1157" s="311" customFormat="1"/>
    <row r="1158" s="311" customFormat="1"/>
    <row r="1159" s="311" customFormat="1"/>
    <row r="1160" s="311" customFormat="1"/>
    <row r="1161" s="311" customFormat="1"/>
    <row r="1162" s="311" customFormat="1"/>
    <row r="1163" s="311" customFormat="1"/>
    <row r="1164" s="311" customFormat="1"/>
    <row r="1165" s="311" customFormat="1"/>
    <row r="1166" s="311" customFormat="1"/>
    <row r="1167" s="311" customFormat="1"/>
    <row r="1168" s="311" customFormat="1"/>
    <row r="1169" s="311" customFormat="1"/>
    <row r="1170" s="311" customFormat="1"/>
    <row r="1171" s="311" customFormat="1"/>
    <row r="1172" s="311" customFormat="1"/>
    <row r="1173" s="311" customFormat="1"/>
    <row r="1174" s="311" customFormat="1"/>
    <row r="1175" s="311" customFormat="1"/>
    <row r="1176" s="311" customFormat="1"/>
    <row r="1177" s="311" customFormat="1"/>
    <row r="1178" s="311" customFormat="1"/>
    <row r="1179" s="311" customFormat="1"/>
    <row r="1180" s="311" customFormat="1"/>
    <row r="1181" s="311" customFormat="1"/>
    <row r="1182" s="311" customFormat="1"/>
    <row r="1183" s="311" customFormat="1"/>
    <row r="1184" s="311" customFormat="1"/>
    <row r="1185" s="311" customFormat="1"/>
    <row r="1186" s="311" customFormat="1"/>
    <row r="1187" s="311" customFormat="1"/>
    <row r="1188" s="311" customFormat="1"/>
    <row r="1189" s="311" customFormat="1"/>
    <row r="1190" s="311" customFormat="1"/>
    <row r="1191" s="311" customFormat="1"/>
    <row r="1192" s="311" customFormat="1"/>
    <row r="1193" s="311" customFormat="1"/>
    <row r="1194" s="311" customFormat="1"/>
    <row r="1195" s="311" customFormat="1"/>
    <row r="1196" s="311" customFormat="1"/>
    <row r="1197" s="311" customFormat="1"/>
    <row r="1198" s="311" customFormat="1"/>
    <row r="1199" s="311" customFormat="1"/>
    <row r="1200" s="311" customFormat="1"/>
    <row r="1201" s="311" customFormat="1"/>
    <row r="1202" s="311" customFormat="1"/>
    <row r="1203" s="311" customFormat="1"/>
    <row r="1204" s="311" customFormat="1"/>
    <row r="1205" s="311" customFormat="1"/>
    <row r="1206" s="311" customFormat="1"/>
    <row r="1207" s="311" customFormat="1"/>
    <row r="1208" s="311" customFormat="1"/>
    <row r="1209" s="311" customFormat="1"/>
    <row r="1210" s="311" customFormat="1"/>
    <row r="1211" s="311" customFormat="1"/>
    <row r="1212" s="311" customFormat="1"/>
    <row r="1213" s="311" customFormat="1"/>
    <row r="1214" s="311" customFormat="1"/>
    <row r="1215" s="311" customFormat="1"/>
    <row r="1216" s="311" customFormat="1"/>
    <row r="1217" s="311" customFormat="1"/>
    <row r="1218" s="311" customFormat="1"/>
    <row r="1219" s="311" customFormat="1"/>
    <row r="1220" s="311" customFormat="1"/>
    <row r="1221" s="311" customFormat="1"/>
    <row r="1222" s="311" customFormat="1"/>
    <row r="1223" s="311" customFormat="1"/>
    <row r="1224" s="311" customFormat="1"/>
    <row r="1225" s="311" customFormat="1"/>
    <row r="1226" s="311" customFormat="1"/>
    <row r="1227" s="311" customFormat="1"/>
    <row r="1228" s="311" customFormat="1"/>
    <row r="1229" s="311" customFormat="1"/>
    <row r="1230" s="311" customFormat="1"/>
    <row r="1231" s="311" customFormat="1"/>
    <row r="1232" s="311" customFormat="1"/>
    <row r="1233" s="311" customFormat="1"/>
    <row r="1234" s="311" customFormat="1"/>
    <row r="1235" s="311" customFormat="1"/>
    <row r="1236" s="311" customFormat="1"/>
    <row r="1237" s="311" customFormat="1"/>
    <row r="1238" s="311" customFormat="1"/>
    <row r="1239" s="311" customFormat="1"/>
    <row r="1240" s="311" customFormat="1"/>
    <row r="1241" s="311" customFormat="1"/>
    <row r="1242" s="311" customFormat="1"/>
    <row r="1243" s="311" customFormat="1"/>
    <row r="1244" s="311" customFormat="1"/>
    <row r="1245" s="311" customFormat="1"/>
    <row r="1246" s="311" customFormat="1"/>
    <row r="1247" s="311" customFormat="1"/>
    <row r="1248" s="311" customFormat="1"/>
    <row r="1249" s="311" customFormat="1"/>
    <row r="1250" s="311" customFormat="1"/>
    <row r="1251" s="311" customFormat="1"/>
    <row r="1252" s="311" customFormat="1"/>
    <row r="1253" s="311" customFormat="1"/>
    <row r="1254" s="311" customFormat="1"/>
    <row r="1255" s="311" customFormat="1"/>
    <row r="1256" s="311" customFormat="1"/>
    <row r="1257" s="311" customFormat="1"/>
    <row r="1258" s="311" customFormat="1"/>
    <row r="1259" s="311" customFormat="1"/>
    <row r="1260" s="311" customFormat="1"/>
    <row r="1261" s="311" customFormat="1"/>
    <row r="1262" s="311" customFormat="1"/>
    <row r="1263" s="311" customFormat="1"/>
    <row r="1264" s="311" customFormat="1"/>
    <row r="1265" s="311" customFormat="1"/>
    <row r="1266" s="311" customFormat="1"/>
    <row r="1267" s="311" customFormat="1"/>
    <row r="1268" s="311" customFormat="1"/>
    <row r="1269" s="311" customFormat="1"/>
    <row r="1270" s="311" customFormat="1"/>
    <row r="1271" s="311" customFormat="1"/>
    <row r="1272" s="311" customFormat="1"/>
    <row r="1273" s="311" customFormat="1"/>
    <row r="1274" s="311" customFormat="1"/>
    <row r="1275" s="311" customFormat="1"/>
    <row r="1276" s="311" customFormat="1"/>
    <row r="1277" s="311" customFormat="1"/>
    <row r="1278" s="311" customFormat="1"/>
    <row r="1279" s="311" customFormat="1"/>
    <row r="1280" s="311" customFormat="1"/>
    <row r="1281" s="311" customFormat="1"/>
    <row r="1282" s="311" customFormat="1"/>
    <row r="1283" s="311" customFormat="1"/>
    <row r="1284" s="311" customFormat="1"/>
    <row r="1285" s="311" customFormat="1"/>
    <row r="1286" s="311" customFormat="1"/>
    <row r="1287" s="311" customFormat="1"/>
    <row r="1288" s="311" customFormat="1"/>
    <row r="1289" s="311" customFormat="1"/>
    <row r="1290" s="311" customFormat="1"/>
    <row r="1291" s="311" customFormat="1"/>
    <row r="1292" s="311" customFormat="1"/>
    <row r="1293" s="311" customFormat="1"/>
    <row r="1294" s="311" customFormat="1"/>
    <row r="1295" s="311" customFormat="1"/>
    <row r="1296" s="311" customFormat="1"/>
    <row r="1297" s="311" customFormat="1"/>
    <row r="1298" s="311" customFormat="1"/>
    <row r="1299" s="311" customFormat="1"/>
    <row r="1300" s="311" customFormat="1"/>
    <row r="1301" s="311" customFormat="1"/>
    <row r="1302" s="311" customFormat="1"/>
    <row r="1303" s="311" customFormat="1"/>
    <row r="1304" s="311" customFormat="1"/>
    <row r="1305" s="311" customFormat="1"/>
    <row r="1306" s="311" customFormat="1"/>
    <row r="1307" s="311" customFormat="1"/>
    <row r="1308" s="311" customFormat="1"/>
    <row r="1309" s="311" customFormat="1"/>
    <row r="1310" s="311" customFormat="1"/>
    <row r="1311" s="311" customFormat="1"/>
    <row r="1312" s="311" customFormat="1"/>
    <row r="1313" s="311" customFormat="1"/>
    <row r="1314" s="311" customFormat="1"/>
    <row r="1315" s="311" customFormat="1"/>
    <row r="1316" s="311" customFormat="1"/>
    <row r="1317" s="311" customFormat="1"/>
    <row r="1318" s="311" customFormat="1"/>
    <row r="1319" s="311" customFormat="1"/>
    <row r="1320" s="311" customFormat="1"/>
    <row r="1321" s="311" customFormat="1"/>
    <row r="1322" s="311" customFormat="1"/>
    <row r="1323" s="311" customFormat="1"/>
    <row r="1324" s="311" customFormat="1"/>
    <row r="1325" s="311" customFormat="1"/>
    <row r="1326" s="311" customFormat="1"/>
    <row r="1327" s="311" customFormat="1"/>
    <row r="1328" s="311" customFormat="1"/>
    <row r="1329" s="311" customFormat="1"/>
    <row r="1330" s="311" customFormat="1"/>
    <row r="1331" s="311" customFormat="1"/>
    <row r="1332" s="311" customFormat="1"/>
    <row r="1333" s="311" customFormat="1"/>
    <row r="1334" s="311" customFormat="1"/>
    <row r="1335" s="311" customFormat="1"/>
    <row r="1336" s="311" customFormat="1"/>
    <row r="1337" s="311" customFormat="1"/>
    <row r="1338" s="311" customFormat="1"/>
    <row r="1339" s="311" customFormat="1"/>
    <row r="1340" s="311" customFormat="1"/>
    <row r="1341" s="311" customFormat="1"/>
    <row r="1342" s="311" customFormat="1"/>
    <row r="1343" s="311" customFormat="1"/>
    <row r="1344" s="311" customFormat="1"/>
    <row r="1345" s="311" customFormat="1"/>
    <row r="1346" s="311" customFormat="1"/>
    <row r="1347" s="311" customFormat="1"/>
    <row r="1348" s="311" customFormat="1"/>
    <row r="1349" s="311" customFormat="1"/>
    <row r="1350" s="311" customFormat="1"/>
    <row r="1351" s="311" customFormat="1"/>
    <row r="1352" s="311" customFormat="1"/>
    <row r="1353" s="311" customFormat="1"/>
    <row r="1354" s="311" customFormat="1"/>
    <row r="1355" s="311" customFormat="1"/>
    <row r="1356" s="311" customFormat="1"/>
    <row r="1357" s="311" customFormat="1"/>
    <row r="1358" s="311" customFormat="1"/>
    <row r="1359" s="311" customFormat="1"/>
    <row r="1360" s="311" customFormat="1"/>
    <row r="1361" s="311" customFormat="1"/>
    <row r="1362" s="311" customFormat="1"/>
    <row r="1363" s="311" customFormat="1"/>
    <row r="1364" s="311" customFormat="1"/>
    <row r="1365" s="311" customFormat="1"/>
    <row r="1366" s="311" customFormat="1"/>
    <row r="1367" s="311" customFormat="1"/>
    <row r="1368" s="311" customFormat="1"/>
    <row r="1369" s="311" customFormat="1"/>
    <row r="1370" s="311" customFormat="1"/>
    <row r="1371" s="311" customFormat="1"/>
    <row r="1372" s="311" customFormat="1"/>
    <row r="1373" s="311" customFormat="1"/>
    <row r="1374" s="311" customFormat="1"/>
    <row r="1375" s="311" customFormat="1"/>
    <row r="1376" s="311" customFormat="1"/>
    <row r="1377" s="311" customFormat="1"/>
    <row r="1378" s="311" customFormat="1"/>
    <row r="1379" s="311" customFormat="1"/>
    <row r="1380" s="311" customFormat="1"/>
    <row r="1381" s="311" customFormat="1"/>
    <row r="1382" s="311" customFormat="1"/>
    <row r="1383" s="311" customFormat="1"/>
    <row r="1384" s="311" customFormat="1"/>
    <row r="1385" s="311" customFormat="1"/>
    <row r="1386" s="311" customFormat="1"/>
    <row r="1387" s="311" customFormat="1"/>
    <row r="1388" s="311" customFormat="1"/>
    <row r="1389" s="311" customFormat="1"/>
    <row r="1390" s="311" customFormat="1"/>
    <row r="1391" s="311" customFormat="1"/>
    <row r="1392" s="311" customFormat="1"/>
    <row r="1393" s="311" customFormat="1"/>
    <row r="1394" s="311" customFormat="1"/>
    <row r="1395" s="311" customFormat="1"/>
    <row r="1396" s="311" customFormat="1"/>
    <row r="1397" s="311" customFormat="1"/>
    <row r="1398" s="311" customFormat="1"/>
    <row r="1399" s="311" customFormat="1"/>
    <row r="1400" s="311" customFormat="1"/>
    <row r="1401" s="311" customFormat="1"/>
    <row r="1402" s="311" customFormat="1"/>
    <row r="1403" s="311" customFormat="1"/>
    <row r="1404" s="311" customFormat="1"/>
    <row r="1405" s="311" customFormat="1"/>
    <row r="1406" s="311" customFormat="1"/>
    <row r="1407" s="311" customFormat="1"/>
    <row r="1408" s="311" customFormat="1"/>
    <row r="1409" s="311" customFormat="1"/>
    <row r="1410" s="311" customFormat="1"/>
    <row r="1411" s="311" customFormat="1"/>
    <row r="1412" s="311" customFormat="1"/>
    <row r="1413" s="311" customFormat="1"/>
    <row r="1414" s="311" customFormat="1"/>
    <row r="1415" s="311" customFormat="1"/>
    <row r="1416" s="311" customFormat="1"/>
    <row r="1417" s="311" customFormat="1"/>
    <row r="1418" s="311" customFormat="1"/>
    <row r="1419" s="311" customFormat="1"/>
    <row r="1420" s="311" customFormat="1"/>
    <row r="1421" s="311" customFormat="1"/>
    <row r="1422" s="311" customFormat="1"/>
    <row r="1423" s="311" customFormat="1"/>
    <row r="1424" s="311" customFormat="1"/>
    <row r="1425" s="311" customFormat="1"/>
    <row r="1426" s="311" customFormat="1"/>
    <row r="1427" s="311" customFormat="1"/>
    <row r="1428" s="311" customFormat="1"/>
    <row r="1429" s="311" customFormat="1"/>
    <row r="1430" s="311" customFormat="1"/>
    <row r="1431" s="311" customFormat="1"/>
    <row r="1432" s="311" customFormat="1"/>
    <row r="1433" s="311" customFormat="1"/>
    <row r="1434" s="311" customFormat="1"/>
    <row r="1435" s="311" customFormat="1"/>
    <row r="1436" s="311" customFormat="1"/>
    <row r="1437" s="311" customFormat="1"/>
    <row r="1438" s="311" customFormat="1"/>
    <row r="1439" s="311" customFormat="1"/>
    <row r="1440" s="311" customFormat="1"/>
    <row r="1441" s="311" customFormat="1"/>
    <row r="1442" s="311" customFormat="1"/>
    <row r="1443" s="311" customFormat="1"/>
    <row r="1444" s="311" customFormat="1"/>
    <row r="1445" s="311" customFormat="1"/>
    <row r="1446" s="311" customFormat="1"/>
    <row r="1447" s="311" customFormat="1"/>
    <row r="1448" s="311" customFormat="1"/>
    <row r="1449" s="311" customFormat="1"/>
    <row r="1450" s="311" customFormat="1"/>
    <row r="1451" s="311" customFormat="1"/>
    <row r="1452" s="311" customFormat="1"/>
    <row r="1453" s="311" customFormat="1"/>
    <row r="1454" s="311" customFormat="1"/>
    <row r="1455" s="311" customFormat="1"/>
    <row r="1456" s="311" customFormat="1"/>
    <row r="1457" s="311" customFormat="1"/>
    <row r="1458" s="311" customFormat="1"/>
    <row r="1459" s="311" customFormat="1"/>
    <row r="1460" s="311" customFormat="1"/>
    <row r="1461" s="311" customFormat="1"/>
    <row r="1462" s="311" customFormat="1"/>
    <row r="1463" s="311" customFormat="1"/>
    <row r="1464" s="311" customFormat="1"/>
    <row r="1465" s="311" customFormat="1"/>
    <row r="1466" s="311" customFormat="1"/>
    <row r="1467" s="311" customFormat="1"/>
    <row r="1468" s="311" customFormat="1"/>
    <row r="1469" s="311" customFormat="1"/>
    <row r="1470" s="311" customFormat="1"/>
    <row r="1471" s="311" customFormat="1"/>
    <row r="1472" s="311" customFormat="1"/>
    <row r="1473" s="311" customFormat="1"/>
    <row r="1474" s="311" customFormat="1"/>
    <row r="1475" s="311" customFormat="1"/>
    <row r="1476" s="311" customFormat="1"/>
    <row r="1477" s="311" customFormat="1"/>
    <row r="1478" s="311" customFormat="1"/>
    <row r="1479" s="311" customFormat="1"/>
    <row r="1480" s="311" customFormat="1"/>
    <row r="1481" s="311" customFormat="1"/>
    <row r="1482" s="311" customFormat="1"/>
    <row r="1483" s="311" customFormat="1"/>
    <row r="1484" s="311" customFormat="1"/>
    <row r="1485" s="311" customFormat="1"/>
    <row r="1486" s="311" customFormat="1"/>
    <row r="1487" s="311" customFormat="1"/>
    <row r="1488" s="311" customFormat="1"/>
    <row r="1489" s="311" customFormat="1"/>
    <row r="1490" s="311" customFormat="1"/>
    <row r="1491" s="311" customFormat="1"/>
    <row r="1492" s="311" customFormat="1"/>
    <row r="1493" s="311" customFormat="1"/>
    <row r="1494" s="311" customFormat="1"/>
    <row r="1495" s="311" customFormat="1"/>
    <row r="1496" s="311" customFormat="1"/>
    <row r="1497" s="311" customFormat="1"/>
    <row r="1498" s="311" customFormat="1"/>
    <row r="1499" s="311" customFormat="1"/>
    <row r="1500" s="311" customFormat="1"/>
    <row r="1501" s="311" customFormat="1"/>
    <row r="1502" s="311" customFormat="1"/>
    <row r="1503" s="311" customFormat="1"/>
    <row r="1504" s="311" customFormat="1"/>
    <row r="1505" s="311" customFormat="1"/>
    <row r="1506" s="311" customFormat="1"/>
    <row r="1507" s="311" customFormat="1"/>
    <row r="1508" s="311" customFormat="1"/>
    <row r="1509" s="311" customFormat="1"/>
    <row r="1510" s="311" customFormat="1"/>
    <row r="1511" s="311" customFormat="1"/>
    <row r="1512" s="311" customFormat="1"/>
    <row r="1513" s="311" customFormat="1"/>
    <row r="1514" s="311" customFormat="1"/>
    <row r="1515" s="311" customFormat="1"/>
    <row r="1516" s="311" customFormat="1"/>
    <row r="1517" s="311" customFormat="1"/>
    <row r="1518" s="311" customFormat="1"/>
    <row r="1519" s="311" customFormat="1"/>
    <row r="1520" s="311" customFormat="1"/>
    <row r="1521" s="311" customFormat="1"/>
    <row r="1522" s="311" customFormat="1"/>
    <row r="1523" s="311" customFormat="1"/>
    <row r="1524" s="311" customFormat="1"/>
    <row r="1525" s="311" customFormat="1"/>
    <row r="1526" s="311" customFormat="1"/>
    <row r="1527" s="311" customFormat="1"/>
    <row r="1528" s="311" customFormat="1"/>
    <row r="1529" s="311" customFormat="1"/>
    <row r="1530" s="311" customFormat="1"/>
    <row r="1531" s="311" customFormat="1"/>
    <row r="1532" s="311" customFormat="1"/>
    <row r="1533" s="311" customFormat="1"/>
    <row r="1534" s="311" customFormat="1"/>
    <row r="1535" s="311" customFormat="1"/>
    <row r="1536" s="311" customFormat="1"/>
    <row r="1537" s="311" customFormat="1"/>
    <row r="1538" s="311" customFormat="1"/>
    <row r="1539" s="311" customFormat="1"/>
    <row r="1540" s="311" customFormat="1"/>
    <row r="1541" s="311" customFormat="1"/>
    <row r="1542" s="311" customFormat="1"/>
    <row r="1543" s="311" customFormat="1"/>
    <row r="1544" s="311" customFormat="1"/>
    <row r="1545" s="311" customFormat="1"/>
    <row r="1546" s="311" customFormat="1"/>
    <row r="1547" s="311" customFormat="1"/>
    <row r="1548" s="311" customFormat="1"/>
    <row r="1549" s="311" customFormat="1"/>
    <row r="1550" s="311" customFormat="1"/>
    <row r="1551" s="311" customFormat="1"/>
    <row r="1552" s="311" customFormat="1"/>
    <row r="1553" s="311" customFormat="1"/>
    <row r="1554" s="311" customFormat="1"/>
    <row r="1555" s="311" customFormat="1"/>
    <row r="1556" s="311" customFormat="1"/>
    <row r="1557" s="311" customFormat="1"/>
    <row r="1558" s="311" customFormat="1"/>
    <row r="1559" s="311" customFormat="1"/>
    <row r="1560" s="311" customFormat="1"/>
    <row r="1561" s="311" customFormat="1"/>
    <row r="1562" s="311" customFormat="1"/>
    <row r="1563" s="311" customFormat="1"/>
    <row r="1564" s="311" customFormat="1"/>
    <row r="1565" s="311" customFormat="1"/>
    <row r="1566" s="311" customFormat="1"/>
    <row r="1567" s="311" customFormat="1"/>
    <row r="1568" s="311" customFormat="1"/>
    <row r="1569" s="311" customFormat="1"/>
    <row r="1570" s="311" customFormat="1"/>
    <row r="1571" s="311" customFormat="1"/>
    <row r="1572" s="311" customFormat="1"/>
    <row r="1573" s="311" customFormat="1"/>
    <row r="1574" s="311" customFormat="1"/>
    <row r="1575" s="311" customFormat="1"/>
    <row r="1576" s="311" customFormat="1"/>
    <row r="1577" s="311" customFormat="1"/>
    <row r="1578" s="311" customFormat="1"/>
    <row r="1579" s="311" customFormat="1"/>
    <row r="1580" s="311" customFormat="1"/>
    <row r="1581" s="311" customFormat="1"/>
    <row r="1582" s="311" customFormat="1"/>
    <row r="1583" s="311" customFormat="1"/>
    <row r="1584" s="311" customFormat="1"/>
    <row r="1585" s="311" customFormat="1"/>
    <row r="1586" s="311" customFormat="1"/>
    <row r="1587" s="311" customFormat="1"/>
    <row r="1588" s="311" customFormat="1"/>
    <row r="1589" s="311" customFormat="1"/>
    <row r="1590" s="311" customFormat="1"/>
    <row r="1591" s="311" customFormat="1"/>
    <row r="1592" s="311" customFormat="1"/>
    <row r="1593" s="311" customFormat="1"/>
    <row r="1594" s="311" customFormat="1"/>
    <row r="1595" s="311" customFormat="1"/>
    <row r="1596" s="311" customFormat="1"/>
    <row r="1597" s="311" customFormat="1"/>
    <row r="1598" s="311" customFormat="1"/>
    <row r="1599" s="311" customFormat="1"/>
    <row r="1600" s="311" customFormat="1"/>
    <row r="1601" s="311" customFormat="1"/>
    <row r="1602" s="311" customFormat="1"/>
    <row r="1603" s="311" customFormat="1"/>
    <row r="1604" s="311" customFormat="1"/>
    <row r="1605" s="311" customFormat="1"/>
    <row r="1606" s="311" customFormat="1"/>
    <row r="1607" s="311" customFormat="1"/>
    <row r="1608" s="311" customFormat="1"/>
    <row r="1609" s="311" customFormat="1"/>
    <row r="1610" s="311" customFormat="1"/>
    <row r="1611" s="311" customFormat="1"/>
    <row r="1612" s="311" customFormat="1"/>
    <row r="1613" s="311" customFormat="1"/>
    <row r="1614" s="311" customFormat="1"/>
    <row r="1615" s="311" customFormat="1"/>
    <row r="1616" s="311" customFormat="1"/>
    <row r="1617" s="311" customFormat="1"/>
    <row r="1618" s="311" customFormat="1"/>
    <row r="1619" s="311" customFormat="1"/>
    <row r="1620" s="311" customFormat="1"/>
    <row r="1621" s="311" customFormat="1"/>
    <row r="1622" s="311" customFormat="1"/>
    <row r="1623" s="311" customFormat="1"/>
    <row r="1624" s="311" customFormat="1"/>
    <row r="1625" s="311" customFormat="1"/>
    <row r="1626" s="311" customFormat="1"/>
    <row r="1627" s="311" customFormat="1"/>
    <row r="1628" s="311" customFormat="1"/>
    <row r="1629" s="311" customFormat="1"/>
    <row r="1630" s="311" customFormat="1"/>
    <row r="1631" s="311" customFormat="1"/>
    <row r="1632" s="311" customFormat="1"/>
    <row r="1633" s="311" customFormat="1"/>
    <row r="1634" s="311" customFormat="1"/>
    <row r="1635" s="311" customFormat="1"/>
    <row r="1636" s="311" customFormat="1"/>
    <row r="1637" s="311" customFormat="1"/>
    <row r="1638" s="311" customFormat="1"/>
    <row r="1639" s="311" customFormat="1"/>
    <row r="1640" s="311" customFormat="1"/>
    <row r="1641" s="311" customFormat="1"/>
    <row r="1642" s="311" customFormat="1"/>
    <row r="1643" s="311" customFormat="1"/>
    <row r="1644" s="311" customFormat="1"/>
    <row r="1645" s="311" customFormat="1"/>
    <row r="1646" s="311" customFormat="1"/>
    <row r="1647" s="311" customFormat="1"/>
    <row r="1648" s="311" customFormat="1"/>
    <row r="1649" s="311" customFormat="1"/>
    <row r="1650" s="311" customFormat="1"/>
    <row r="1651" s="311" customFormat="1"/>
    <row r="1652" s="311" customFormat="1"/>
    <row r="1653" s="311" customFormat="1"/>
    <row r="1654" s="311" customFormat="1"/>
    <row r="1655" s="311" customFormat="1"/>
    <row r="1656" s="311" customFormat="1"/>
    <row r="1657" s="311" customFormat="1"/>
    <row r="1658" s="311" customFormat="1"/>
    <row r="1659" s="311" customFormat="1"/>
    <row r="1660" s="311" customFormat="1"/>
    <row r="1661" s="311" customFormat="1"/>
    <row r="1662" s="311" customFormat="1"/>
    <row r="1663" s="311" customFormat="1"/>
    <row r="1664" s="311" customFormat="1"/>
    <row r="1665" s="311" customFormat="1"/>
    <row r="1666" s="311" customFormat="1"/>
    <row r="1667" s="311" customFormat="1"/>
    <row r="1668" s="311" customFormat="1"/>
    <row r="1669" s="311" customFormat="1"/>
    <row r="1670" s="311" customFormat="1"/>
    <row r="1671" s="311" customFormat="1"/>
    <row r="1672" s="311" customFormat="1"/>
    <row r="1673" s="311" customFormat="1"/>
    <row r="1674" s="311" customFormat="1"/>
    <row r="1675" s="311" customFormat="1"/>
    <row r="1676" s="311" customFormat="1"/>
    <row r="1677" s="311" customFormat="1"/>
    <row r="1678" s="311" customFormat="1"/>
    <row r="1679" s="311" customFormat="1"/>
    <row r="1680" s="311" customFormat="1"/>
    <row r="1681" s="311" customFormat="1"/>
    <row r="1682" s="311" customFormat="1"/>
    <row r="1683" s="311" customFormat="1"/>
    <row r="1684" s="311" customFormat="1"/>
    <row r="1685" s="311" customFormat="1"/>
    <row r="1686" s="311" customFormat="1"/>
    <row r="1687" s="311" customFormat="1"/>
    <row r="1688" s="311" customFormat="1"/>
    <row r="1689" s="311" customFormat="1"/>
    <row r="1690" s="311" customFormat="1"/>
    <row r="1691" s="311" customFormat="1"/>
    <row r="1692" s="311" customFormat="1"/>
    <row r="1693" s="311" customFormat="1"/>
    <row r="1694" s="311" customFormat="1"/>
    <row r="1695" s="311" customFormat="1"/>
    <row r="1696" s="311" customFormat="1"/>
    <row r="1697" s="311" customFormat="1"/>
    <row r="1698" s="311" customFormat="1"/>
    <row r="1699" s="311" customFormat="1"/>
    <row r="1700" s="311" customFormat="1"/>
    <row r="1701" s="311" customFormat="1"/>
    <row r="1702" s="311" customFormat="1"/>
    <row r="1703" s="311" customFormat="1"/>
    <row r="1704" s="311" customFormat="1"/>
    <row r="1705" s="311" customFormat="1"/>
    <row r="1706" s="311" customFormat="1"/>
    <row r="1707" s="311" customFormat="1"/>
    <row r="1708" s="311" customFormat="1"/>
    <row r="1709" s="311" customFormat="1"/>
    <row r="1710" s="311" customFormat="1"/>
    <row r="1711" s="311" customFormat="1"/>
    <row r="1712" s="311" customFormat="1"/>
    <row r="1713" s="311" customFormat="1"/>
    <row r="1714" s="311" customFormat="1"/>
    <row r="1715" s="311" customFormat="1"/>
    <row r="1716" s="311" customFormat="1"/>
    <row r="1717" s="311" customFormat="1"/>
    <row r="1718" s="311" customFormat="1"/>
    <row r="1719" s="311" customFormat="1"/>
    <row r="1720" s="311" customFormat="1"/>
    <row r="1721" s="311" customFormat="1"/>
    <row r="1722" s="311" customFormat="1"/>
    <row r="1723" s="311" customFormat="1"/>
    <row r="1724" s="311" customFormat="1"/>
    <row r="1725" s="311" customFormat="1"/>
    <row r="1726" s="311" customFormat="1"/>
    <row r="1727" s="311" customFormat="1"/>
    <row r="1728" s="311" customFormat="1"/>
    <row r="1729" s="311" customFormat="1"/>
    <row r="1730" s="311" customFormat="1"/>
    <row r="1731" s="311" customFormat="1"/>
    <row r="1732" s="311" customFormat="1"/>
    <row r="1733" s="311" customFormat="1"/>
    <row r="1734" s="311" customFormat="1"/>
    <row r="1735" s="311" customFormat="1"/>
    <row r="1736" s="311" customFormat="1"/>
    <row r="1737" s="311" customFormat="1"/>
    <row r="1738" s="311" customFormat="1"/>
    <row r="1739" s="311" customFormat="1"/>
    <row r="1740" s="311" customFormat="1"/>
    <row r="1741" s="311" customFormat="1"/>
    <row r="1742" s="311" customFormat="1"/>
    <row r="1743" s="311" customFormat="1"/>
    <row r="1744" s="311" customFormat="1"/>
    <row r="1745" s="311" customFormat="1"/>
    <row r="1746" s="311" customFormat="1"/>
    <row r="1747" s="311" customFormat="1"/>
    <row r="1748" s="311" customFormat="1"/>
    <row r="1749" s="311" customFormat="1"/>
    <row r="1750" s="311" customFormat="1"/>
    <row r="1751" s="311" customFormat="1"/>
    <row r="1752" s="311" customFormat="1"/>
    <row r="1753" s="311" customFormat="1"/>
    <row r="1754" s="311" customFormat="1"/>
    <row r="1755" s="311" customFormat="1"/>
    <row r="1756" s="311" customFormat="1"/>
    <row r="1757" s="311" customFormat="1"/>
    <row r="1758" s="311" customFormat="1"/>
    <row r="1759" s="311" customFormat="1"/>
    <row r="1760" s="311" customFormat="1"/>
    <row r="1761" s="311" customFormat="1"/>
    <row r="1762" s="311" customFormat="1"/>
    <row r="1763" s="311" customFormat="1"/>
    <row r="1764" s="311" customFormat="1"/>
    <row r="1765" s="311" customFormat="1"/>
    <row r="1766" s="311" customFormat="1"/>
    <row r="1767" s="311" customFormat="1"/>
    <row r="1768" s="311" customFormat="1"/>
    <row r="1769" s="311" customFormat="1"/>
    <row r="1770" s="311" customFormat="1"/>
    <row r="1771" s="311" customFormat="1"/>
    <row r="1772" s="311" customFormat="1"/>
    <row r="1773" s="311" customFormat="1"/>
    <row r="1774" s="311" customFormat="1"/>
    <row r="1775" s="311" customFormat="1"/>
    <row r="1776" s="311" customFormat="1"/>
    <row r="1777" s="311" customFormat="1"/>
    <row r="1778" s="311" customFormat="1"/>
    <row r="1779" s="311" customFormat="1"/>
    <row r="1780" s="311" customFormat="1"/>
    <row r="1781" s="311" customFormat="1"/>
    <row r="1782" s="311" customFormat="1"/>
    <row r="1783" s="311" customFormat="1"/>
    <row r="1784" s="311" customFormat="1"/>
    <row r="1785" s="311" customFormat="1"/>
    <row r="1786" s="311" customFormat="1"/>
    <row r="1787" s="311" customFormat="1"/>
    <row r="1788" s="311" customFormat="1"/>
    <row r="1789" s="311" customFormat="1"/>
    <row r="1790" s="311" customFormat="1"/>
    <row r="1791" s="311" customFormat="1"/>
    <row r="1792" s="311" customFormat="1"/>
    <row r="1793" s="311" customFormat="1"/>
    <row r="1794" s="311" customFormat="1"/>
    <row r="1795" s="311" customFormat="1"/>
    <row r="1796" s="311" customFormat="1"/>
    <row r="1797" s="311" customFormat="1"/>
    <row r="1798" s="311" customFormat="1"/>
    <row r="1799" s="311" customFormat="1"/>
    <row r="1800" s="311" customFormat="1"/>
    <row r="1801" s="311" customFormat="1"/>
    <row r="1802" s="311" customFormat="1"/>
    <row r="1803" s="311" customFormat="1"/>
    <row r="1804" s="311" customFormat="1"/>
    <row r="1805" s="311" customFormat="1"/>
    <row r="1806" s="311" customFormat="1"/>
    <row r="1807" s="311" customFormat="1"/>
    <row r="1808" s="311" customFormat="1"/>
    <row r="1809" s="311" customFormat="1"/>
    <row r="1810" s="311" customFormat="1"/>
    <row r="1811" s="311" customFormat="1"/>
    <row r="1812" s="311" customFormat="1"/>
    <row r="1813" s="311" customFormat="1"/>
    <row r="1814" s="311" customFormat="1"/>
    <row r="1815" s="311" customFormat="1"/>
    <row r="1816" s="311" customFormat="1"/>
    <row r="1817" s="311" customFormat="1"/>
    <row r="1818" s="311" customFormat="1"/>
    <row r="1819" s="311" customFormat="1"/>
    <row r="1820" s="311" customFormat="1"/>
    <row r="1821" s="311" customFormat="1"/>
    <row r="1822" s="311" customFormat="1"/>
    <row r="1823" s="311" customFormat="1"/>
    <row r="1824" s="311" customFormat="1"/>
    <row r="1825" s="311" customFormat="1"/>
    <row r="1826" s="311" customFormat="1"/>
    <row r="1827" s="311" customFormat="1"/>
    <row r="1828" s="311" customFormat="1"/>
    <row r="1829" s="311" customFormat="1"/>
    <row r="1830" s="311" customFormat="1"/>
    <row r="1831" s="311" customFormat="1"/>
    <row r="1832" s="311" customFormat="1"/>
    <row r="1833" s="311" customFormat="1"/>
    <row r="1834" s="311" customFormat="1"/>
    <row r="1835" s="311" customFormat="1"/>
    <row r="1836" s="311" customFormat="1"/>
    <row r="1837" s="311" customFormat="1"/>
    <row r="1838" s="311" customFormat="1"/>
    <row r="1839" s="311" customFormat="1"/>
    <row r="1840" s="311" customFormat="1"/>
    <row r="1841" s="311" customFormat="1"/>
    <row r="1842" s="311" customFormat="1"/>
    <row r="1843" s="311" customFormat="1"/>
    <row r="1844" s="311" customFormat="1"/>
    <row r="1845" s="311" customFormat="1"/>
    <row r="1846" s="311" customFormat="1"/>
    <row r="1847" s="311" customFormat="1"/>
    <row r="1848" s="311" customFormat="1"/>
    <row r="1849" s="311" customFormat="1"/>
    <row r="1850" s="311" customFormat="1"/>
    <row r="1851" s="311" customFormat="1"/>
    <row r="1852" s="311" customFormat="1"/>
    <row r="1853" s="311" customFormat="1"/>
    <row r="1854" s="311" customFormat="1"/>
    <row r="1855" s="311" customFormat="1"/>
    <row r="1856" s="311" customFormat="1"/>
    <row r="1857" s="311" customFormat="1"/>
    <row r="1858" s="311" customFormat="1"/>
    <row r="1859" s="311" customFormat="1"/>
    <row r="1860" s="311" customFormat="1"/>
    <row r="1861" s="311" customFormat="1"/>
    <row r="1862" s="311" customFormat="1"/>
    <row r="1863" s="311" customFormat="1"/>
    <row r="1864" s="311" customFormat="1"/>
    <row r="1865" s="311" customFormat="1"/>
    <row r="1866" s="311" customFormat="1"/>
    <row r="1867" s="311" customFormat="1"/>
    <row r="1868" s="311" customFormat="1"/>
    <row r="1869" s="311" customFormat="1"/>
    <row r="1870" s="311" customFormat="1"/>
    <row r="1871" s="311" customFormat="1"/>
    <row r="1872" s="311" customFormat="1"/>
    <row r="1873" s="311" customFormat="1"/>
    <row r="1874" s="311" customFormat="1"/>
    <row r="1875" s="311" customFormat="1"/>
    <row r="1876" s="311" customFormat="1"/>
    <row r="1877" s="311" customFormat="1"/>
    <row r="1878" s="311" customFormat="1"/>
    <row r="1879" s="311" customFormat="1"/>
    <row r="1880" s="311" customFormat="1"/>
    <row r="1881" s="311" customFormat="1"/>
    <row r="1882" s="311" customFormat="1"/>
    <row r="1883" s="311" customFormat="1"/>
    <row r="1884" s="311" customFormat="1"/>
    <row r="1885" s="311" customFormat="1"/>
    <row r="1886" s="311" customFormat="1"/>
    <row r="1887" s="311" customFormat="1"/>
    <row r="1888" s="311" customFormat="1"/>
    <row r="1889" s="311" customFormat="1"/>
    <row r="1890" s="311" customFormat="1"/>
    <row r="1891" s="311" customFormat="1"/>
    <row r="1892" s="311" customFormat="1"/>
    <row r="1893" s="311" customFormat="1"/>
    <row r="1894" s="311" customFormat="1"/>
    <row r="1895" s="311" customFormat="1"/>
    <row r="1896" s="311" customFormat="1"/>
    <row r="1897" s="311" customFormat="1"/>
    <row r="1898" s="311" customFormat="1"/>
    <row r="1899" s="311" customFormat="1"/>
    <row r="1900" s="311" customFormat="1"/>
    <row r="1901" s="311" customFormat="1"/>
    <row r="1902" s="311" customFormat="1"/>
    <row r="1903" s="311" customFormat="1"/>
    <row r="1904" s="311" customFormat="1"/>
    <row r="1905" s="311" customFormat="1"/>
    <row r="1906" s="311" customFormat="1"/>
    <row r="1907" s="311" customFormat="1"/>
    <row r="1908" s="311" customFormat="1"/>
    <row r="1909" s="311" customFormat="1"/>
    <row r="1910" s="311" customFormat="1"/>
    <row r="1911" s="311" customFormat="1"/>
    <row r="1912" s="311" customFormat="1"/>
    <row r="1913" s="311" customFormat="1"/>
    <row r="1914" s="311" customFormat="1"/>
    <row r="1915" s="311" customFormat="1"/>
    <row r="1916" s="311" customFormat="1"/>
    <row r="1917" s="311" customFormat="1"/>
    <row r="1918" s="311" customFormat="1"/>
    <row r="1919" s="311" customFormat="1"/>
    <row r="1920" s="311" customFormat="1"/>
    <row r="1921" s="311" customFormat="1"/>
    <row r="1922" s="311" customFormat="1"/>
    <row r="1923" s="311" customFormat="1"/>
    <row r="1924" s="311" customFormat="1"/>
    <row r="1925" s="311" customFormat="1"/>
    <row r="1926" s="311" customFormat="1"/>
    <row r="1927" s="311" customFormat="1"/>
    <row r="1928" s="311" customFormat="1"/>
    <row r="1929" s="311" customFormat="1"/>
    <row r="1930" s="311" customFormat="1"/>
    <row r="1931" s="311" customFormat="1"/>
    <row r="1932" s="311" customFormat="1"/>
    <row r="1933" s="311" customFormat="1"/>
    <row r="1934" s="311" customFormat="1"/>
    <row r="1935" s="311" customFormat="1"/>
    <row r="1936" s="311" customFormat="1"/>
    <row r="1937" s="311" customFormat="1"/>
    <row r="1938" s="311" customFormat="1"/>
    <row r="1939" s="311" customFormat="1"/>
    <row r="1940" s="311" customFormat="1"/>
    <row r="1941" s="311" customFormat="1"/>
    <row r="1942" s="311" customFormat="1"/>
    <row r="1943" s="311" customFormat="1"/>
    <row r="1944" s="311" customFormat="1"/>
    <row r="1945" s="311" customFormat="1"/>
    <row r="1946" s="311" customFormat="1"/>
    <row r="1947" s="311" customFormat="1"/>
    <row r="1948" s="311" customFormat="1"/>
    <row r="1949" s="311" customFormat="1"/>
    <row r="1950" s="311" customFormat="1"/>
    <row r="1951" s="311" customFormat="1"/>
    <row r="1952" s="311" customFormat="1"/>
    <row r="1953" s="311" customFormat="1"/>
    <row r="1954" s="311" customFormat="1"/>
    <row r="1955" s="311" customFormat="1"/>
    <row r="1956" s="311" customFormat="1"/>
    <row r="1957" s="311" customFormat="1"/>
    <row r="1958" s="311" customFormat="1"/>
    <row r="1959" s="311" customFormat="1"/>
    <row r="1960" s="311" customFormat="1"/>
    <row r="1961" s="311" customFormat="1"/>
    <row r="1962" s="311" customFormat="1"/>
    <row r="1963" s="311" customFormat="1"/>
    <row r="1964" s="311" customFormat="1"/>
    <row r="1965" s="311" customFormat="1"/>
    <row r="1966" s="311" customFormat="1"/>
    <row r="1967" s="311" customFormat="1"/>
    <row r="1968" s="311" customFormat="1"/>
    <row r="1969" s="311" customFormat="1"/>
    <row r="1970" s="311" customFormat="1"/>
    <row r="1971" s="311" customFormat="1"/>
    <row r="1972" s="311" customFormat="1"/>
    <row r="1973" s="311" customFormat="1"/>
    <row r="1974" s="311" customFormat="1"/>
    <row r="1975" s="311" customFormat="1"/>
    <row r="1976" s="311" customFormat="1"/>
    <row r="1977" s="311" customFormat="1"/>
    <row r="1978" s="311" customFormat="1"/>
    <row r="1979" s="311" customFormat="1"/>
    <row r="1980" s="311" customFormat="1"/>
    <row r="1981" s="311" customFormat="1"/>
    <row r="1982" s="311" customFormat="1"/>
    <row r="1983" s="311" customFormat="1"/>
    <row r="1984" s="311" customFormat="1"/>
    <row r="1985" s="311" customFormat="1"/>
    <row r="1986" s="311" customFormat="1"/>
    <row r="1987" s="311" customFormat="1"/>
    <row r="1988" s="311" customFormat="1"/>
    <row r="1989" s="311" customFormat="1"/>
    <row r="1990" s="311" customFormat="1"/>
    <row r="1991" s="311" customFormat="1"/>
    <row r="1992" s="311" customFormat="1"/>
    <row r="1993" s="311" customFormat="1"/>
    <row r="1994" s="311" customFormat="1"/>
    <row r="1995" s="311" customFormat="1"/>
    <row r="1996" s="311" customFormat="1"/>
    <row r="1997" s="311" customFormat="1"/>
    <row r="1998" s="311" customFormat="1"/>
    <row r="1999" s="311" customFormat="1"/>
    <row r="2000" s="311" customFormat="1"/>
    <row r="2001" s="311" customFormat="1"/>
    <row r="2002" s="311" customFormat="1"/>
    <row r="2003" s="311" customFormat="1"/>
    <row r="2004" s="311" customFormat="1"/>
    <row r="2005" s="311" customFormat="1"/>
    <row r="2006" s="311" customFormat="1"/>
    <row r="2007" s="311" customFormat="1"/>
    <row r="2008" s="311" customFormat="1"/>
    <row r="2009" s="311" customFormat="1"/>
    <row r="2010" s="311" customFormat="1"/>
    <row r="2011" s="311" customFormat="1"/>
    <row r="2012" s="311" customFormat="1"/>
    <row r="2013" s="311" customFormat="1"/>
    <row r="2014" s="311" customFormat="1"/>
    <row r="2015" s="311" customFormat="1"/>
    <row r="2016" s="311" customFormat="1"/>
    <row r="2017" s="311" customFormat="1"/>
    <row r="2018" s="311" customFormat="1"/>
    <row r="2019" s="311" customFormat="1"/>
    <row r="2020" s="311" customFormat="1"/>
    <row r="2021" s="311" customFormat="1"/>
    <row r="2022" s="311" customFormat="1"/>
    <row r="2023" s="311" customFormat="1"/>
    <row r="2024" s="311" customFormat="1"/>
    <row r="2025" s="311" customFormat="1"/>
    <row r="2026" s="311" customFormat="1"/>
    <row r="2027" s="311" customFormat="1"/>
    <row r="2028" s="311" customFormat="1"/>
    <row r="2029" s="311" customFormat="1"/>
    <row r="2030" s="311" customFormat="1"/>
    <row r="2031" s="311" customFormat="1"/>
    <row r="2032" s="311" customFormat="1"/>
    <row r="2033" s="311" customFormat="1"/>
    <row r="2034" s="311" customFormat="1"/>
    <row r="2035" s="311" customFormat="1"/>
    <row r="2036" s="311" customFormat="1"/>
    <row r="2037" s="311" customFormat="1"/>
    <row r="2038" s="311" customFormat="1"/>
    <row r="2039" s="311" customFormat="1"/>
    <row r="2040" s="311" customFormat="1"/>
    <row r="2041" s="311" customFormat="1"/>
    <row r="2042" s="311" customFormat="1"/>
    <row r="2043" s="311" customFormat="1"/>
    <row r="2044" s="311" customFormat="1"/>
    <row r="2045" s="311" customFormat="1"/>
    <row r="2046" s="311" customFormat="1"/>
    <row r="2047" s="311" customFormat="1"/>
    <row r="2048" s="311" customFormat="1"/>
    <row r="2049" s="311" customFormat="1"/>
    <row r="2050" s="311" customFormat="1"/>
    <row r="2051" s="311" customFormat="1"/>
    <row r="2052" s="311" customFormat="1"/>
    <row r="2053" s="311" customFormat="1"/>
    <row r="2054" s="311" customFormat="1"/>
    <row r="2055" s="311" customFormat="1"/>
    <row r="2056" s="311" customFormat="1"/>
    <row r="2057" s="311" customFormat="1"/>
    <row r="2058" s="311" customFormat="1"/>
    <row r="2059" s="311" customFormat="1"/>
    <row r="2060" s="311" customFormat="1"/>
    <row r="2061" s="311" customFormat="1"/>
    <row r="2062" s="311" customFormat="1"/>
    <row r="2063" s="311" customFormat="1"/>
    <row r="2064" s="311" customFormat="1"/>
    <row r="2065" s="311" customFormat="1"/>
    <row r="2066" s="311" customFormat="1"/>
    <row r="2067" s="311" customFormat="1"/>
    <row r="2068" s="311" customFormat="1"/>
    <row r="2069" s="311" customFormat="1"/>
    <row r="2070" s="311" customFormat="1"/>
    <row r="2071" s="311" customFormat="1"/>
    <row r="2072" s="311" customFormat="1"/>
    <row r="2073" s="311" customFormat="1"/>
    <row r="2074" s="311" customFormat="1"/>
    <row r="2075" s="311" customFormat="1"/>
    <row r="2076" s="311" customFormat="1"/>
    <row r="2077" s="311" customFormat="1"/>
    <row r="2078" s="311" customFormat="1"/>
    <row r="2079" s="311" customFormat="1"/>
    <row r="2080" s="311" customFormat="1"/>
    <row r="2081" s="311" customFormat="1"/>
    <row r="2082" s="311" customFormat="1"/>
    <row r="2083" s="311" customFormat="1"/>
    <row r="2084" s="311" customFormat="1"/>
    <row r="2085" s="311" customFormat="1"/>
    <row r="2086" s="311" customFormat="1"/>
    <row r="2087" s="311" customFormat="1"/>
    <row r="2088" s="311" customFormat="1"/>
    <row r="2089" s="311" customFormat="1"/>
    <row r="2090" s="311" customFormat="1"/>
    <row r="2091" s="311" customFormat="1"/>
    <row r="2092" s="311" customFormat="1"/>
    <row r="2093" s="311" customFormat="1"/>
    <row r="2094" s="311" customFormat="1"/>
    <row r="2095" s="311" customFormat="1"/>
    <row r="2096" s="311" customFormat="1"/>
    <row r="2097" s="311" customFormat="1"/>
    <row r="2098" s="311" customFormat="1"/>
    <row r="2099" s="311" customFormat="1"/>
    <row r="2100" s="311" customFormat="1"/>
    <row r="2101" s="311" customFormat="1"/>
    <row r="2102" s="311" customFormat="1"/>
    <row r="2103" s="311" customFormat="1"/>
    <row r="2104" s="311" customFormat="1"/>
    <row r="2105" s="311" customFormat="1"/>
    <row r="2106" s="311" customFormat="1"/>
    <row r="2107" s="311" customFormat="1"/>
    <row r="2108" s="311" customFormat="1"/>
    <row r="2109" s="311" customFormat="1"/>
    <row r="2110" s="311" customFormat="1"/>
    <row r="2111" s="311" customFormat="1"/>
    <row r="2112" s="311" customFormat="1"/>
    <row r="2113" s="311" customFormat="1"/>
    <row r="2114" s="311" customFormat="1"/>
    <row r="2115" s="311" customFormat="1"/>
    <row r="2116" s="311" customFormat="1"/>
    <row r="2117" s="311" customFormat="1"/>
    <row r="2118" s="311" customFormat="1"/>
    <row r="2119" s="311" customFormat="1"/>
    <row r="2120" s="311" customFormat="1"/>
    <row r="2121" s="311" customFormat="1"/>
    <row r="2122" s="311" customFormat="1"/>
    <row r="2123" s="311" customFormat="1"/>
    <row r="2124" s="311" customFormat="1"/>
    <row r="2125" s="311" customFormat="1"/>
    <row r="2126" s="311" customFormat="1"/>
    <row r="2127" s="311" customFormat="1"/>
    <row r="2128" s="311" customFormat="1"/>
    <row r="2129" s="311" customFormat="1"/>
    <row r="2130" s="311" customFormat="1"/>
    <row r="2131" s="311" customFormat="1"/>
    <row r="2132" s="311" customFormat="1"/>
    <row r="2133" s="311" customFormat="1"/>
    <row r="2134" s="311" customFormat="1"/>
    <row r="2135" s="311" customFormat="1"/>
    <row r="2136" s="311" customFormat="1"/>
    <row r="2137" s="311" customFormat="1"/>
    <row r="2138" s="311" customFormat="1"/>
    <row r="2139" s="311" customFormat="1"/>
    <row r="2140" s="311" customFormat="1"/>
    <row r="2141" s="311" customFormat="1"/>
    <row r="2142" s="311" customFormat="1"/>
    <row r="2143" s="311" customFormat="1"/>
    <row r="2144" s="311" customFormat="1"/>
    <row r="2145" s="311" customFormat="1"/>
    <row r="2146" s="311" customFormat="1"/>
    <row r="2147" s="311" customFormat="1"/>
    <row r="2148" s="311" customFormat="1"/>
    <row r="2149" s="311" customFormat="1"/>
    <row r="2150" s="311" customFormat="1"/>
    <row r="2151" s="311" customFormat="1"/>
    <row r="2152" s="311" customFormat="1"/>
    <row r="2153" s="311" customFormat="1"/>
    <row r="2154" s="311" customFormat="1"/>
    <row r="2155" s="311" customFormat="1"/>
    <row r="2156" s="311" customFormat="1"/>
    <row r="2157" s="311" customFormat="1"/>
    <row r="2158" s="311" customFormat="1"/>
    <row r="2159" s="311" customFormat="1"/>
    <row r="2160" s="311" customFormat="1"/>
    <row r="2161" s="311" customFormat="1"/>
    <row r="2162" s="311" customFormat="1"/>
    <row r="2163" s="311" customFormat="1"/>
    <row r="2164" s="311" customFormat="1"/>
    <row r="2165" s="311" customFormat="1"/>
    <row r="2166" s="311" customFormat="1"/>
    <row r="2167" s="311" customFormat="1"/>
    <row r="2168" s="311" customFormat="1"/>
    <row r="2169" s="311" customFormat="1"/>
    <row r="2170" s="311" customFormat="1"/>
    <row r="2171" s="311" customFormat="1"/>
    <row r="2172" s="311" customFormat="1"/>
    <row r="2173" s="311" customFormat="1"/>
    <row r="2174" s="311" customFormat="1"/>
    <row r="2175" s="311" customFormat="1"/>
    <row r="2176" s="311" customFormat="1"/>
    <row r="2177" s="311" customFormat="1"/>
    <row r="2178" s="311" customFormat="1"/>
    <row r="2179" s="311" customFormat="1"/>
    <row r="2180" s="311" customFormat="1"/>
    <row r="2181" s="311" customFormat="1"/>
    <row r="2182" s="311" customFormat="1"/>
    <row r="2183" s="311" customFormat="1"/>
    <row r="2184" s="311" customFormat="1"/>
    <row r="2185" s="311" customFormat="1"/>
    <row r="2186" s="311" customFormat="1"/>
    <row r="2187" s="311" customFormat="1"/>
    <row r="2188" s="311" customFormat="1"/>
    <row r="2189" s="311" customFormat="1"/>
    <row r="2190" s="311" customFormat="1"/>
    <row r="2191" s="311" customFormat="1"/>
    <row r="2192" s="311" customFormat="1"/>
    <row r="2193" s="311" customFormat="1"/>
    <row r="2194" s="311" customFormat="1"/>
    <row r="2195" s="311" customFormat="1"/>
    <row r="2196" s="311" customFormat="1"/>
    <row r="2197" s="311" customFormat="1"/>
    <row r="2198" s="311" customFormat="1"/>
    <row r="2199" s="311" customFormat="1"/>
    <row r="2200" s="311" customFormat="1"/>
    <row r="2201" s="311" customFormat="1"/>
    <row r="2202" s="311" customFormat="1"/>
    <row r="2203" s="311" customFormat="1"/>
    <row r="2204" s="311" customFormat="1"/>
    <row r="2205" s="311" customFormat="1"/>
    <row r="2206" s="311" customFormat="1"/>
    <row r="2207" s="311" customFormat="1"/>
    <row r="2208" s="311" customFormat="1"/>
    <row r="2209" s="311" customFormat="1"/>
    <row r="2210" s="311" customFormat="1"/>
    <row r="2211" s="311" customFormat="1"/>
    <row r="2212" s="311" customFormat="1"/>
    <row r="2213" s="311" customFormat="1"/>
    <row r="2214" s="311" customFormat="1"/>
    <row r="2215" s="311" customFormat="1"/>
  </sheetData>
  <mergeCells count="2">
    <mergeCell ref="A1:S1"/>
    <mergeCell ref="A2:S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O39"/>
  <sheetViews>
    <sheetView topLeftCell="A5" workbookViewId="0">
      <selection activeCell="AZ21" sqref="AZ21:AZ23"/>
    </sheetView>
  </sheetViews>
  <sheetFormatPr defaultColWidth="4.85546875" defaultRowHeight="15"/>
  <cols>
    <col min="1" max="1" width="51.7109375" style="159" customWidth="1"/>
    <col min="2" max="12" width="0" style="159" hidden="1" customWidth="1"/>
    <col min="13" max="13" width="0" style="697" hidden="1" customWidth="1"/>
    <col min="14" max="18" width="0" style="159" hidden="1" customWidth="1"/>
    <col min="19" max="21" width="0" style="697" hidden="1" customWidth="1"/>
    <col min="22" max="22" width="0" style="159" hidden="1" customWidth="1"/>
    <col min="23" max="23" width="0" style="698" hidden="1" customWidth="1"/>
    <col min="24" max="25" width="0" style="697" hidden="1" customWidth="1"/>
    <col min="26" max="30" width="0" style="159" hidden="1" customWidth="1"/>
    <col min="31" max="31" width="0" style="697" hidden="1" customWidth="1"/>
    <col min="32" max="36" width="0" style="159" hidden="1" customWidth="1"/>
    <col min="37" max="37" width="0" style="697" hidden="1" customWidth="1"/>
    <col min="38" max="42" width="0" style="159" hidden="1" customWidth="1"/>
    <col min="43" max="43" width="0" style="697" hidden="1" customWidth="1"/>
    <col min="44" max="48" width="6" style="159" customWidth="1"/>
    <col min="49" max="49" width="7.42578125" style="697" customWidth="1"/>
    <col min="50" max="54" width="6" style="159" customWidth="1"/>
    <col min="55" max="55" width="8.85546875" style="697" customWidth="1"/>
    <col min="56" max="60" width="6" style="159" customWidth="1"/>
    <col min="61" max="61" width="8.5703125" style="697" customWidth="1"/>
    <col min="62" max="62" width="53.85546875" style="159" customWidth="1"/>
    <col min="63" max="16384" width="4.85546875" style="159"/>
  </cols>
  <sheetData>
    <row r="2" spans="1:67" ht="18">
      <c r="A2" s="1224" t="s">
        <v>649</v>
      </c>
      <c r="B2" s="1224"/>
      <c r="C2" s="1224"/>
      <c r="D2" s="1224"/>
      <c r="E2" s="1224"/>
      <c r="F2" s="1224"/>
      <c r="G2" s="1224"/>
      <c r="H2" s="1224"/>
      <c r="I2" s="1224"/>
      <c r="J2" s="1224"/>
      <c r="K2" s="1224"/>
      <c r="L2" s="1224"/>
      <c r="M2" s="1224"/>
      <c r="N2" s="1224"/>
      <c r="O2" s="1224"/>
      <c r="P2" s="1224"/>
      <c r="Q2" s="1224"/>
      <c r="R2" s="1224"/>
      <c r="S2" s="1224"/>
      <c r="T2" s="1224"/>
      <c r="U2" s="1224"/>
      <c r="V2" s="1224"/>
      <c r="W2" s="1224"/>
      <c r="X2" s="1224"/>
      <c r="Y2" s="1224"/>
      <c r="Z2" s="1224"/>
      <c r="AA2" s="1224"/>
      <c r="AB2" s="1224"/>
      <c r="AC2" s="1224"/>
      <c r="AD2" s="1224"/>
      <c r="AE2" s="1224"/>
      <c r="AF2" s="1224"/>
      <c r="AG2" s="1224"/>
      <c r="AH2" s="1224"/>
      <c r="AI2" s="1224"/>
      <c r="AJ2" s="1224"/>
      <c r="AK2" s="1224"/>
      <c r="AL2" s="1224"/>
      <c r="AM2" s="1224"/>
      <c r="AN2" s="1224"/>
      <c r="AO2" s="1224"/>
      <c r="AP2" s="1224"/>
      <c r="AQ2" s="1224"/>
      <c r="AR2" s="1224"/>
      <c r="AS2" s="1224"/>
      <c r="AT2" s="1224"/>
      <c r="AU2" s="1224"/>
      <c r="AV2" s="1224"/>
      <c r="AW2" s="1224"/>
      <c r="AX2" s="1224"/>
      <c r="AY2" s="1224"/>
      <c r="AZ2" s="1224"/>
      <c r="BA2" s="1224"/>
      <c r="BB2" s="1224"/>
      <c r="BC2" s="1224"/>
      <c r="BD2" s="1224"/>
      <c r="BE2" s="1224"/>
      <c r="BF2" s="1224"/>
      <c r="BG2" s="1224"/>
      <c r="BH2" s="1224"/>
      <c r="BI2" s="1224"/>
      <c r="BJ2" s="1224"/>
    </row>
    <row r="3" spans="1:67">
      <c r="A3" s="1225" t="s">
        <v>650</v>
      </c>
      <c r="B3" s="1225"/>
      <c r="C3" s="1225"/>
      <c r="D3" s="1225"/>
      <c r="E3" s="1225"/>
      <c r="F3" s="1225"/>
      <c r="G3" s="1225"/>
      <c r="H3" s="1225"/>
      <c r="I3" s="1225"/>
      <c r="J3" s="1225"/>
      <c r="K3" s="1225"/>
      <c r="L3" s="1225"/>
      <c r="M3" s="1225"/>
      <c r="N3" s="1225"/>
      <c r="O3" s="1225"/>
      <c r="P3" s="1225"/>
      <c r="Q3" s="1225"/>
      <c r="R3" s="1225"/>
      <c r="S3" s="1225"/>
      <c r="T3" s="1225"/>
      <c r="U3" s="1225"/>
      <c r="V3" s="1225"/>
      <c r="W3" s="1225"/>
      <c r="X3" s="1225"/>
      <c r="Y3" s="1225"/>
      <c r="Z3" s="1225"/>
      <c r="AA3" s="1225"/>
      <c r="AB3" s="1225"/>
      <c r="AC3" s="1225"/>
      <c r="AD3" s="1225"/>
      <c r="AE3" s="1225"/>
      <c r="AF3" s="1225"/>
      <c r="AG3" s="1225"/>
      <c r="AH3" s="1225"/>
      <c r="AI3" s="1225"/>
      <c r="AJ3" s="1225"/>
      <c r="AK3" s="1225"/>
      <c r="AL3" s="1225"/>
      <c r="AM3" s="1225"/>
      <c r="AN3" s="1225"/>
      <c r="AO3" s="1225"/>
      <c r="AP3" s="1225"/>
      <c r="AQ3" s="1225"/>
      <c r="AR3" s="1225"/>
      <c r="AS3" s="1225"/>
      <c r="AT3" s="1225"/>
      <c r="AU3" s="1225"/>
      <c r="AV3" s="1225"/>
      <c r="AW3" s="1225"/>
      <c r="AX3" s="1225"/>
      <c r="AY3" s="1225"/>
      <c r="AZ3" s="1225"/>
      <c r="BA3" s="1225"/>
      <c r="BB3" s="1225"/>
      <c r="BC3" s="1225"/>
      <c r="BD3" s="1225"/>
      <c r="BE3" s="1225"/>
      <c r="BF3" s="1225"/>
      <c r="BG3" s="1225"/>
      <c r="BH3" s="1225"/>
      <c r="BI3" s="1225"/>
      <c r="BJ3" s="1225"/>
    </row>
    <row r="4" spans="1:67">
      <c r="A4" s="696"/>
      <c r="B4" s="696"/>
      <c r="C4" s="696"/>
      <c r="D4" s="696"/>
      <c r="E4" s="696"/>
      <c r="F4" s="696"/>
      <c r="G4" s="696"/>
      <c r="H4" s="696"/>
      <c r="N4" s="696"/>
      <c r="T4" s="696"/>
      <c r="Z4" s="699"/>
      <c r="AF4" s="699"/>
      <c r="AL4" s="699"/>
      <c r="AR4" s="699"/>
      <c r="AX4" s="699"/>
      <c r="BD4" s="699"/>
    </row>
    <row r="5" spans="1:67" s="701" customFormat="1" ht="26.25" customHeight="1">
      <c r="A5" s="1226" t="s">
        <v>566</v>
      </c>
      <c r="B5" s="1228">
        <v>2008</v>
      </c>
      <c r="C5" s="1229"/>
      <c r="D5" s="1229"/>
      <c r="E5" s="1229"/>
      <c r="F5" s="1229"/>
      <c r="G5" s="1230"/>
      <c r="H5" s="1228">
        <v>2009</v>
      </c>
      <c r="I5" s="1229"/>
      <c r="J5" s="1229"/>
      <c r="K5" s="1229"/>
      <c r="L5" s="1229"/>
      <c r="M5" s="1230"/>
      <c r="N5" s="1228">
        <v>2010</v>
      </c>
      <c r="O5" s="1229"/>
      <c r="P5" s="1229"/>
      <c r="Q5" s="1229"/>
      <c r="R5" s="1229"/>
      <c r="S5" s="1231"/>
      <c r="T5" s="1228">
        <v>2011</v>
      </c>
      <c r="U5" s="1229"/>
      <c r="V5" s="1229"/>
      <c r="W5" s="1229"/>
      <c r="X5" s="1229"/>
      <c r="Y5" s="1231"/>
      <c r="Z5" s="1232">
        <v>2013</v>
      </c>
      <c r="AA5" s="1233"/>
      <c r="AB5" s="1233"/>
      <c r="AC5" s="1233"/>
      <c r="AD5" s="1233"/>
      <c r="AE5" s="1234"/>
      <c r="AF5" s="1232">
        <v>2014</v>
      </c>
      <c r="AG5" s="1233"/>
      <c r="AH5" s="1233"/>
      <c r="AI5" s="1233"/>
      <c r="AJ5" s="1233"/>
      <c r="AK5" s="1233"/>
      <c r="AL5" s="1235">
        <v>2015</v>
      </c>
      <c r="AM5" s="1235"/>
      <c r="AN5" s="1235"/>
      <c r="AO5" s="1235"/>
      <c r="AP5" s="1235"/>
      <c r="AQ5" s="1235"/>
      <c r="AR5" s="1235">
        <v>2016</v>
      </c>
      <c r="AS5" s="1235"/>
      <c r="AT5" s="1235"/>
      <c r="AU5" s="1235"/>
      <c r="AV5" s="1235"/>
      <c r="AW5" s="1240"/>
      <c r="AX5" s="1241">
        <v>2017</v>
      </c>
      <c r="AY5" s="1235"/>
      <c r="AZ5" s="1235"/>
      <c r="BA5" s="1235"/>
      <c r="BB5" s="1235"/>
      <c r="BC5" s="1240"/>
      <c r="BD5" s="1241">
        <v>2018</v>
      </c>
      <c r="BE5" s="1235"/>
      <c r="BF5" s="1235"/>
      <c r="BG5" s="1235"/>
      <c r="BH5" s="1235"/>
      <c r="BI5" s="1240"/>
      <c r="BJ5" s="1242" t="s">
        <v>567</v>
      </c>
      <c r="BK5" s="700"/>
      <c r="BL5" s="700"/>
      <c r="BM5" s="700"/>
      <c r="BN5" s="700"/>
      <c r="BO5" s="700"/>
    </row>
    <row r="6" spans="1:67" ht="210.75" customHeight="1">
      <c r="A6" s="1227"/>
      <c r="B6" s="702" t="s">
        <v>568</v>
      </c>
      <c r="C6" s="703" t="s">
        <v>569</v>
      </c>
      <c r="D6" s="704" t="s">
        <v>570</v>
      </c>
      <c r="E6" s="705" t="s">
        <v>571</v>
      </c>
      <c r="F6" s="706" t="s">
        <v>572</v>
      </c>
      <c r="G6" s="707" t="s">
        <v>573</v>
      </c>
      <c r="H6" s="708" t="s">
        <v>574</v>
      </c>
      <c r="I6" s="709" t="s">
        <v>575</v>
      </c>
      <c r="J6" s="710" t="s">
        <v>576</v>
      </c>
      <c r="K6" s="711" t="s">
        <v>577</v>
      </c>
      <c r="L6" s="712" t="s">
        <v>578</v>
      </c>
      <c r="M6" s="713" t="s">
        <v>579</v>
      </c>
      <c r="N6" s="714" t="s">
        <v>580</v>
      </c>
      <c r="O6" s="715" t="s">
        <v>581</v>
      </c>
      <c r="P6" s="716" t="s">
        <v>582</v>
      </c>
      <c r="Q6" s="715" t="s">
        <v>583</v>
      </c>
      <c r="R6" s="715" t="s">
        <v>584</v>
      </c>
      <c r="S6" s="717" t="s">
        <v>585</v>
      </c>
      <c r="T6" s="718" t="s">
        <v>586</v>
      </c>
      <c r="U6" s="719" t="s">
        <v>587</v>
      </c>
      <c r="V6" s="716" t="s">
        <v>588</v>
      </c>
      <c r="W6" s="720" t="s">
        <v>589</v>
      </c>
      <c r="X6" s="719" t="s">
        <v>590</v>
      </c>
      <c r="Y6" s="717" t="s">
        <v>591</v>
      </c>
      <c r="Z6" s="721" t="s">
        <v>592</v>
      </c>
      <c r="AA6" s="722" t="s">
        <v>593</v>
      </c>
      <c r="AB6" s="723" t="s">
        <v>594</v>
      </c>
      <c r="AC6" s="722" t="s">
        <v>595</v>
      </c>
      <c r="AD6" s="722" t="s">
        <v>596</v>
      </c>
      <c r="AE6" s="724" t="s">
        <v>597</v>
      </c>
      <c r="AF6" s="721" t="s">
        <v>598</v>
      </c>
      <c r="AG6" s="722" t="s">
        <v>599</v>
      </c>
      <c r="AH6" s="723" t="s">
        <v>600</v>
      </c>
      <c r="AI6" s="709" t="s">
        <v>601</v>
      </c>
      <c r="AJ6" s="709" t="s">
        <v>602</v>
      </c>
      <c r="AK6" s="803" t="s">
        <v>603</v>
      </c>
      <c r="AL6" s="722" t="s">
        <v>604</v>
      </c>
      <c r="AM6" s="722" t="s">
        <v>605</v>
      </c>
      <c r="AN6" s="723" t="s">
        <v>606</v>
      </c>
      <c r="AO6" s="722" t="s">
        <v>607</v>
      </c>
      <c r="AP6" s="722" t="s">
        <v>608</v>
      </c>
      <c r="AQ6" s="803" t="s">
        <v>609</v>
      </c>
      <c r="AR6" s="722" t="s">
        <v>610</v>
      </c>
      <c r="AS6" s="722" t="s">
        <v>611</v>
      </c>
      <c r="AT6" s="723" t="s">
        <v>612</v>
      </c>
      <c r="AU6" s="722" t="s">
        <v>613</v>
      </c>
      <c r="AV6" s="722" t="s">
        <v>614</v>
      </c>
      <c r="AW6" s="724" t="s">
        <v>615</v>
      </c>
      <c r="AX6" s="725" t="s">
        <v>616</v>
      </c>
      <c r="AY6" s="726" t="s">
        <v>617</v>
      </c>
      <c r="AZ6" s="727" t="s">
        <v>618</v>
      </c>
      <c r="BA6" s="726" t="s">
        <v>619</v>
      </c>
      <c r="BB6" s="726" t="s">
        <v>620</v>
      </c>
      <c r="BC6" s="728" t="s">
        <v>621</v>
      </c>
      <c r="BD6" s="725" t="s">
        <v>622</v>
      </c>
      <c r="BE6" s="726" t="s">
        <v>623</v>
      </c>
      <c r="BF6" s="727" t="s">
        <v>624</v>
      </c>
      <c r="BG6" s="726" t="s">
        <v>625</v>
      </c>
      <c r="BH6" s="726" t="s">
        <v>626</v>
      </c>
      <c r="BI6" s="728" t="s">
        <v>627</v>
      </c>
      <c r="BJ6" s="1243"/>
    </row>
    <row r="7" spans="1:67" s="742" customFormat="1" ht="21">
      <c r="A7" s="729" t="s">
        <v>8</v>
      </c>
      <c r="B7" s="730">
        <f>SUM(B8:B14)</f>
        <v>340</v>
      </c>
      <c r="C7" s="1244">
        <f>SUM(C8:D14)</f>
        <v>565</v>
      </c>
      <c r="D7" s="1244"/>
      <c r="E7" s="731">
        <f>SUM(E8:E14)</f>
        <v>227</v>
      </c>
      <c r="F7" s="1244">
        <f>C7-E7</f>
        <v>338</v>
      </c>
      <c r="G7" s="1245"/>
      <c r="H7" s="732">
        <v>338</v>
      </c>
      <c r="I7" s="733">
        <f>SUM(I8:I14)</f>
        <v>415</v>
      </c>
      <c r="J7" s="1244">
        <f>SUM(J8:K14)</f>
        <v>753</v>
      </c>
      <c r="K7" s="1244"/>
      <c r="L7" s="733">
        <f>SUM(L8:L14)</f>
        <v>401</v>
      </c>
      <c r="M7" s="733">
        <f>SUM(M8:M14)</f>
        <v>352</v>
      </c>
      <c r="N7" s="734">
        <f>SUM(N8:N14)</f>
        <v>352</v>
      </c>
      <c r="O7" s="735">
        <f>SUM(O8:O14)</f>
        <v>280</v>
      </c>
      <c r="P7" s="1246">
        <f>SUM(P8:Q14)</f>
        <v>632</v>
      </c>
      <c r="Q7" s="1246"/>
      <c r="R7" s="735">
        <f>SUM(R8:R14)</f>
        <v>180</v>
      </c>
      <c r="S7" s="735">
        <f>SUM(S8:S14)</f>
        <v>452</v>
      </c>
      <c r="T7" s="736">
        <f>SUM(T8:T14)</f>
        <v>452</v>
      </c>
      <c r="U7" s="737">
        <f>SUM(U8:U14)</f>
        <v>342</v>
      </c>
      <c r="V7" s="1247">
        <f>SUM(V8:W14)</f>
        <v>794</v>
      </c>
      <c r="W7" s="1247"/>
      <c r="X7" s="737">
        <f>SUM(X8:X14)</f>
        <v>328</v>
      </c>
      <c r="Y7" s="737">
        <f>SUM(Y8:Y14)</f>
        <v>466</v>
      </c>
      <c r="Z7" s="738">
        <v>277</v>
      </c>
      <c r="AA7" s="739">
        <v>401</v>
      </c>
      <c r="AB7" s="1248">
        <v>678</v>
      </c>
      <c r="AC7" s="1248"/>
      <c r="AD7" s="739">
        <v>389</v>
      </c>
      <c r="AE7" s="739">
        <v>289</v>
      </c>
      <c r="AF7" s="738">
        <f>SUM(AF8:AF14)</f>
        <v>289</v>
      </c>
      <c r="AG7" s="739">
        <f>SUM(AG8:AG14)</f>
        <v>365</v>
      </c>
      <c r="AH7" s="1248">
        <v>654</v>
      </c>
      <c r="AI7" s="1248"/>
      <c r="AJ7" s="739">
        <v>414</v>
      </c>
      <c r="AK7" s="739">
        <v>238</v>
      </c>
      <c r="AL7" s="738">
        <v>238</v>
      </c>
      <c r="AM7" s="739">
        <v>413</v>
      </c>
      <c r="AN7" s="1248">
        <v>651</v>
      </c>
      <c r="AO7" s="1248"/>
      <c r="AP7" s="739">
        <v>329</v>
      </c>
      <c r="AQ7" s="739">
        <v>323</v>
      </c>
      <c r="AR7" s="739">
        <v>323</v>
      </c>
      <c r="AS7" s="739">
        <v>615</v>
      </c>
      <c r="AT7" s="1248">
        <v>938</v>
      </c>
      <c r="AU7" s="1248"/>
      <c r="AV7" s="739">
        <v>373</v>
      </c>
      <c r="AW7" s="740">
        <v>563</v>
      </c>
      <c r="AX7" s="738">
        <v>563</v>
      </c>
      <c r="AY7" s="739">
        <v>473</v>
      </c>
      <c r="AZ7" s="1248">
        <v>1036</v>
      </c>
      <c r="BA7" s="1248"/>
      <c r="BB7" s="739">
        <v>552</v>
      </c>
      <c r="BC7" s="739">
        <v>484</v>
      </c>
      <c r="BD7" s="738">
        <v>476</v>
      </c>
      <c r="BE7" s="739">
        <v>484</v>
      </c>
      <c r="BF7" s="1248">
        <v>960</v>
      </c>
      <c r="BG7" s="1248"/>
      <c r="BH7" s="739">
        <v>311</v>
      </c>
      <c r="BI7" s="740">
        <v>646</v>
      </c>
      <c r="BJ7" s="741" t="s">
        <v>141</v>
      </c>
    </row>
    <row r="8" spans="1:67" s="759" customFormat="1" ht="42">
      <c r="A8" s="743" t="s">
        <v>628</v>
      </c>
      <c r="B8" s="744">
        <v>311</v>
      </c>
      <c r="C8" s="1236">
        <v>520</v>
      </c>
      <c r="D8" s="1236"/>
      <c r="E8" s="745">
        <v>196</v>
      </c>
      <c r="F8" s="1236">
        <f t="shared" ref="F8:F14" si="0">C8-E8</f>
        <v>324</v>
      </c>
      <c r="G8" s="1237"/>
      <c r="H8" s="744">
        <v>324</v>
      </c>
      <c r="I8" s="745">
        <v>289</v>
      </c>
      <c r="J8" s="1236">
        <v>613</v>
      </c>
      <c r="K8" s="1236"/>
      <c r="L8" s="745">
        <v>345</v>
      </c>
      <c r="M8" s="746">
        <v>268</v>
      </c>
      <c r="N8" s="747">
        <v>268</v>
      </c>
      <c r="O8" s="748">
        <v>245</v>
      </c>
      <c r="P8" s="1238">
        <v>513</v>
      </c>
      <c r="Q8" s="1238"/>
      <c r="R8" s="748">
        <v>150</v>
      </c>
      <c r="S8" s="749">
        <v>363</v>
      </c>
      <c r="T8" s="750">
        <v>363</v>
      </c>
      <c r="U8" s="751">
        <v>247</v>
      </c>
      <c r="V8" s="1239">
        <v>610</v>
      </c>
      <c r="W8" s="1239"/>
      <c r="X8" s="751">
        <v>238</v>
      </c>
      <c r="Y8" s="752">
        <v>372</v>
      </c>
      <c r="Z8" s="753">
        <v>232</v>
      </c>
      <c r="AA8" s="754">
        <v>306</v>
      </c>
      <c r="AB8" s="1249">
        <v>538</v>
      </c>
      <c r="AC8" s="1249"/>
      <c r="AD8" s="754">
        <v>325</v>
      </c>
      <c r="AE8" s="755">
        <f>AB8-AD8</f>
        <v>213</v>
      </c>
      <c r="AF8" s="753">
        <v>213</v>
      </c>
      <c r="AG8" s="754">
        <v>280</v>
      </c>
      <c r="AH8" s="1249">
        <v>493</v>
      </c>
      <c r="AI8" s="1249"/>
      <c r="AJ8" s="754">
        <v>302</v>
      </c>
      <c r="AK8" s="754">
        <v>198</v>
      </c>
      <c r="AL8" s="753">
        <v>198</v>
      </c>
      <c r="AM8" s="754">
        <v>355</v>
      </c>
      <c r="AN8" s="1249">
        <v>553</v>
      </c>
      <c r="AO8" s="1249"/>
      <c r="AP8" s="754">
        <v>277</v>
      </c>
      <c r="AQ8" s="754">
        <v>276</v>
      </c>
      <c r="AR8" s="778">
        <v>276</v>
      </c>
      <c r="AS8" s="754">
        <v>455</v>
      </c>
      <c r="AT8" s="1249">
        <v>731</v>
      </c>
      <c r="AU8" s="1249"/>
      <c r="AV8" s="754">
        <v>251</v>
      </c>
      <c r="AW8" s="755">
        <v>481</v>
      </c>
      <c r="AX8" s="756">
        <v>481</v>
      </c>
      <c r="AY8" s="757">
        <v>254</v>
      </c>
      <c r="AZ8" s="1250">
        <v>735</v>
      </c>
      <c r="BA8" s="1250"/>
      <c r="BB8" s="757">
        <v>339</v>
      </c>
      <c r="BC8" s="757">
        <v>396</v>
      </c>
      <c r="BD8" s="756">
        <v>391</v>
      </c>
      <c r="BE8" s="757">
        <v>292</v>
      </c>
      <c r="BF8" s="1250">
        <v>683</v>
      </c>
      <c r="BG8" s="1250"/>
      <c r="BH8" s="757">
        <v>178</v>
      </c>
      <c r="BI8" s="801">
        <v>493</v>
      </c>
      <c r="BJ8" s="758" t="s">
        <v>629</v>
      </c>
    </row>
    <row r="9" spans="1:67" s="759" customFormat="1" ht="18">
      <c r="A9" s="743" t="s">
        <v>630</v>
      </c>
      <c r="B9" s="744">
        <v>7</v>
      </c>
      <c r="C9" s="1236">
        <v>23</v>
      </c>
      <c r="D9" s="1236"/>
      <c r="E9" s="745">
        <v>11</v>
      </c>
      <c r="F9" s="1236">
        <f t="shared" si="0"/>
        <v>12</v>
      </c>
      <c r="G9" s="1237"/>
      <c r="H9" s="744">
        <v>12</v>
      </c>
      <c r="I9" s="745">
        <v>81</v>
      </c>
      <c r="J9" s="1236">
        <v>93</v>
      </c>
      <c r="K9" s="1236"/>
      <c r="L9" s="745">
        <v>12</v>
      </c>
      <c r="M9" s="746">
        <v>81</v>
      </c>
      <c r="N9" s="747">
        <v>81</v>
      </c>
      <c r="O9" s="748">
        <v>33</v>
      </c>
      <c r="P9" s="1238">
        <v>114</v>
      </c>
      <c r="Q9" s="1238"/>
      <c r="R9" s="748">
        <v>27</v>
      </c>
      <c r="S9" s="749">
        <v>87</v>
      </c>
      <c r="T9" s="750">
        <v>87</v>
      </c>
      <c r="U9" s="751">
        <v>49</v>
      </c>
      <c r="V9" s="1239">
        <v>136</v>
      </c>
      <c r="W9" s="1239"/>
      <c r="X9" s="751">
        <v>53</v>
      </c>
      <c r="Y9" s="752">
        <v>83</v>
      </c>
      <c r="Z9" s="753">
        <v>37</v>
      </c>
      <c r="AA9" s="754">
        <v>84</v>
      </c>
      <c r="AB9" s="1249">
        <v>121</v>
      </c>
      <c r="AC9" s="1249"/>
      <c r="AD9" s="754">
        <v>55</v>
      </c>
      <c r="AE9" s="755">
        <f t="shared" ref="AE9:AE14" si="1">AB9-AD9</f>
        <v>66</v>
      </c>
      <c r="AF9" s="753">
        <v>66</v>
      </c>
      <c r="AG9" s="754">
        <v>64</v>
      </c>
      <c r="AH9" s="1249">
        <v>130</v>
      </c>
      <c r="AI9" s="1249"/>
      <c r="AJ9" s="754">
        <v>89</v>
      </c>
      <c r="AK9" s="754">
        <v>33</v>
      </c>
      <c r="AL9" s="753">
        <v>33</v>
      </c>
      <c r="AM9" s="754">
        <v>51</v>
      </c>
      <c r="AN9" s="1249">
        <v>84</v>
      </c>
      <c r="AO9" s="1249"/>
      <c r="AP9" s="754">
        <v>46</v>
      </c>
      <c r="AQ9" s="754">
        <v>38</v>
      </c>
      <c r="AR9" s="778">
        <v>38</v>
      </c>
      <c r="AS9" s="754">
        <v>133</v>
      </c>
      <c r="AT9" s="1249">
        <v>171</v>
      </c>
      <c r="AU9" s="1249"/>
      <c r="AV9" s="754">
        <v>95</v>
      </c>
      <c r="AW9" s="755">
        <v>75</v>
      </c>
      <c r="AX9" s="756">
        <v>75</v>
      </c>
      <c r="AY9" s="757">
        <v>198</v>
      </c>
      <c r="AZ9" s="1250">
        <v>273</v>
      </c>
      <c r="BA9" s="1250"/>
      <c r="BB9" s="757">
        <v>192</v>
      </c>
      <c r="BC9" s="757">
        <v>81</v>
      </c>
      <c r="BD9" s="756">
        <v>81</v>
      </c>
      <c r="BE9" s="757">
        <v>146</v>
      </c>
      <c r="BF9" s="1250">
        <v>227</v>
      </c>
      <c r="BG9" s="1250"/>
      <c r="BH9" s="757">
        <v>129</v>
      </c>
      <c r="BI9" s="801">
        <v>108</v>
      </c>
      <c r="BJ9" s="760" t="s">
        <v>631</v>
      </c>
    </row>
    <row r="10" spans="1:67" s="759" customFormat="1" ht="18">
      <c r="A10" s="761" t="s">
        <v>632</v>
      </c>
      <c r="B10" s="744">
        <v>7</v>
      </c>
      <c r="C10" s="1236">
        <v>7</v>
      </c>
      <c r="D10" s="1236"/>
      <c r="E10" s="745">
        <v>7</v>
      </c>
      <c r="F10" s="1236">
        <f t="shared" si="0"/>
        <v>0</v>
      </c>
      <c r="G10" s="1237"/>
      <c r="H10" s="744">
        <v>0</v>
      </c>
      <c r="I10" s="745">
        <v>0</v>
      </c>
      <c r="J10" s="1236">
        <v>0</v>
      </c>
      <c r="K10" s="1236"/>
      <c r="L10" s="745">
        <v>0</v>
      </c>
      <c r="M10" s="746">
        <v>0</v>
      </c>
      <c r="N10" s="747">
        <v>0</v>
      </c>
      <c r="O10" s="748">
        <v>0</v>
      </c>
      <c r="P10" s="1238">
        <v>0</v>
      </c>
      <c r="Q10" s="1238"/>
      <c r="R10" s="748">
        <v>0</v>
      </c>
      <c r="S10" s="749">
        <v>0</v>
      </c>
      <c r="T10" s="750">
        <v>0</v>
      </c>
      <c r="U10" s="751">
        <v>2</v>
      </c>
      <c r="V10" s="1239">
        <v>2</v>
      </c>
      <c r="W10" s="1239"/>
      <c r="X10" s="751">
        <v>0</v>
      </c>
      <c r="Y10" s="752">
        <v>2</v>
      </c>
      <c r="Z10" s="753">
        <v>1</v>
      </c>
      <c r="AA10" s="754">
        <v>1</v>
      </c>
      <c r="AB10" s="1249">
        <v>2</v>
      </c>
      <c r="AC10" s="1249"/>
      <c r="AD10" s="754">
        <v>1</v>
      </c>
      <c r="AE10" s="755">
        <f t="shared" si="1"/>
        <v>1</v>
      </c>
      <c r="AF10" s="753">
        <v>1</v>
      </c>
      <c r="AG10" s="754">
        <v>0</v>
      </c>
      <c r="AH10" s="1249">
        <v>1</v>
      </c>
      <c r="AI10" s="1249"/>
      <c r="AJ10" s="754">
        <v>1</v>
      </c>
      <c r="AK10" s="754">
        <v>0</v>
      </c>
      <c r="AL10" s="753">
        <v>0</v>
      </c>
      <c r="AM10" s="754">
        <v>5</v>
      </c>
      <c r="AN10" s="1249">
        <v>5</v>
      </c>
      <c r="AO10" s="1249"/>
      <c r="AP10" s="754">
        <v>0</v>
      </c>
      <c r="AQ10" s="754">
        <v>5</v>
      </c>
      <c r="AR10" s="778">
        <v>5</v>
      </c>
      <c r="AS10" s="754">
        <v>1</v>
      </c>
      <c r="AT10" s="1249">
        <v>6</v>
      </c>
      <c r="AU10" s="1249"/>
      <c r="AV10" s="754">
        <v>1</v>
      </c>
      <c r="AW10" s="755">
        <v>5</v>
      </c>
      <c r="AX10" s="756">
        <v>5</v>
      </c>
      <c r="AY10" s="757">
        <v>0</v>
      </c>
      <c r="AZ10" s="1250">
        <v>5</v>
      </c>
      <c r="BA10" s="1250"/>
      <c r="BB10" s="757">
        <v>0</v>
      </c>
      <c r="BC10" s="757">
        <v>5</v>
      </c>
      <c r="BD10" s="756">
        <v>2</v>
      </c>
      <c r="BE10" s="757">
        <v>1</v>
      </c>
      <c r="BF10" s="1250">
        <v>3</v>
      </c>
      <c r="BG10" s="1250"/>
      <c r="BH10" s="757">
        <v>1</v>
      </c>
      <c r="BI10" s="801">
        <v>1</v>
      </c>
      <c r="BJ10" s="760" t="s">
        <v>633</v>
      </c>
      <c r="BK10" s="762"/>
    </row>
    <row r="11" spans="1:67" s="759" customFormat="1" ht="18">
      <c r="A11" s="743" t="s">
        <v>634</v>
      </c>
      <c r="B11" s="744">
        <v>1</v>
      </c>
      <c r="C11" s="1236">
        <v>1</v>
      </c>
      <c r="D11" s="1236"/>
      <c r="E11" s="745">
        <v>1</v>
      </c>
      <c r="F11" s="1236">
        <f t="shared" si="0"/>
        <v>0</v>
      </c>
      <c r="G11" s="1237"/>
      <c r="H11" s="744">
        <v>0</v>
      </c>
      <c r="I11" s="745">
        <v>19</v>
      </c>
      <c r="J11" s="1236">
        <v>19</v>
      </c>
      <c r="K11" s="1236"/>
      <c r="L11" s="745">
        <v>19</v>
      </c>
      <c r="M11" s="746">
        <v>0</v>
      </c>
      <c r="N11" s="747">
        <v>0</v>
      </c>
      <c r="O11" s="748">
        <v>0</v>
      </c>
      <c r="P11" s="1238">
        <v>0</v>
      </c>
      <c r="Q11" s="1238"/>
      <c r="R11" s="748">
        <v>0</v>
      </c>
      <c r="S11" s="749">
        <v>0</v>
      </c>
      <c r="T11" s="750">
        <v>0</v>
      </c>
      <c r="U11" s="751">
        <v>15</v>
      </c>
      <c r="V11" s="1239">
        <v>15</v>
      </c>
      <c r="W11" s="1239"/>
      <c r="X11" s="751">
        <v>15</v>
      </c>
      <c r="Y11" s="752">
        <v>0</v>
      </c>
      <c r="Z11" s="753">
        <v>0</v>
      </c>
      <c r="AA11" s="754">
        <v>2</v>
      </c>
      <c r="AB11" s="1249">
        <v>2</v>
      </c>
      <c r="AC11" s="1249"/>
      <c r="AD11" s="754">
        <v>2</v>
      </c>
      <c r="AE11" s="755">
        <f>AB11-AD11</f>
        <v>0</v>
      </c>
      <c r="AF11" s="753">
        <v>0</v>
      </c>
      <c r="AG11" s="754">
        <v>0</v>
      </c>
      <c r="AH11" s="1249">
        <v>0</v>
      </c>
      <c r="AI11" s="1249"/>
      <c r="AJ11" s="754">
        <v>0</v>
      </c>
      <c r="AK11" s="754">
        <v>0</v>
      </c>
      <c r="AL11" s="753">
        <v>0</v>
      </c>
      <c r="AM11" s="754">
        <v>0</v>
      </c>
      <c r="AN11" s="1249">
        <v>0</v>
      </c>
      <c r="AO11" s="1249"/>
      <c r="AP11" s="754">
        <v>0</v>
      </c>
      <c r="AQ11" s="754">
        <v>0</v>
      </c>
      <c r="AR11" s="778">
        <v>0</v>
      </c>
      <c r="AS11" s="754">
        <v>0</v>
      </c>
      <c r="AT11" s="1249">
        <v>0</v>
      </c>
      <c r="AU11" s="1249"/>
      <c r="AV11" s="754">
        <v>0</v>
      </c>
      <c r="AW11" s="755">
        <v>0</v>
      </c>
      <c r="AX11" s="756">
        <v>0</v>
      </c>
      <c r="AY11" s="757">
        <v>0</v>
      </c>
      <c r="AZ11" s="1250">
        <v>0</v>
      </c>
      <c r="BA11" s="1250"/>
      <c r="BB11" s="757">
        <v>0</v>
      </c>
      <c r="BC11" s="757">
        <v>0</v>
      </c>
      <c r="BD11" s="756">
        <v>0</v>
      </c>
      <c r="BE11" s="757">
        <v>0</v>
      </c>
      <c r="BF11" s="1250">
        <v>0</v>
      </c>
      <c r="BG11" s="1250"/>
      <c r="BH11" s="757">
        <v>0</v>
      </c>
      <c r="BI11" s="801">
        <v>0</v>
      </c>
      <c r="BJ11" s="760" t="s">
        <v>635</v>
      </c>
    </row>
    <row r="12" spans="1:67" s="759" customFormat="1" ht="21">
      <c r="A12" s="743" t="s">
        <v>636</v>
      </c>
      <c r="B12" s="744">
        <v>0</v>
      </c>
      <c r="C12" s="1236">
        <v>0</v>
      </c>
      <c r="D12" s="1236"/>
      <c r="E12" s="745">
        <v>0</v>
      </c>
      <c r="F12" s="1236">
        <v>0</v>
      </c>
      <c r="G12" s="1237"/>
      <c r="H12" s="744">
        <v>0</v>
      </c>
      <c r="I12" s="745">
        <v>22</v>
      </c>
      <c r="J12" s="1236">
        <v>22</v>
      </c>
      <c r="K12" s="1236"/>
      <c r="L12" s="745">
        <v>22</v>
      </c>
      <c r="M12" s="746">
        <v>0</v>
      </c>
      <c r="N12" s="747">
        <v>0</v>
      </c>
      <c r="O12" s="748">
        <v>1</v>
      </c>
      <c r="P12" s="1238">
        <v>1</v>
      </c>
      <c r="Q12" s="1238"/>
      <c r="R12" s="748">
        <v>1</v>
      </c>
      <c r="S12" s="749">
        <v>0</v>
      </c>
      <c r="T12" s="750">
        <v>0</v>
      </c>
      <c r="U12" s="751">
        <v>20</v>
      </c>
      <c r="V12" s="1239">
        <v>20</v>
      </c>
      <c r="W12" s="1239"/>
      <c r="X12" s="751">
        <v>20</v>
      </c>
      <c r="Y12" s="752">
        <v>0</v>
      </c>
      <c r="Z12" s="753">
        <v>0</v>
      </c>
      <c r="AA12" s="754">
        <v>2</v>
      </c>
      <c r="AB12" s="1249">
        <v>2</v>
      </c>
      <c r="AC12" s="1249"/>
      <c r="AD12" s="754">
        <v>2</v>
      </c>
      <c r="AE12" s="755">
        <f t="shared" si="1"/>
        <v>0</v>
      </c>
      <c r="AF12" s="753">
        <v>0</v>
      </c>
      <c r="AG12" s="754">
        <v>15</v>
      </c>
      <c r="AH12" s="1249">
        <v>0</v>
      </c>
      <c r="AI12" s="1249"/>
      <c r="AJ12" s="754">
        <v>15</v>
      </c>
      <c r="AK12" s="754">
        <v>0</v>
      </c>
      <c r="AL12" s="753">
        <v>0</v>
      </c>
      <c r="AM12" s="754">
        <v>0</v>
      </c>
      <c r="AN12" s="1249">
        <v>0</v>
      </c>
      <c r="AO12" s="1249"/>
      <c r="AP12" s="754">
        <v>0</v>
      </c>
      <c r="AQ12" s="754">
        <v>0</v>
      </c>
      <c r="AR12" s="778">
        <v>0</v>
      </c>
      <c r="AS12" s="754">
        <v>0</v>
      </c>
      <c r="AT12" s="1249">
        <v>0</v>
      </c>
      <c r="AU12" s="1249"/>
      <c r="AV12" s="754">
        <v>0</v>
      </c>
      <c r="AW12" s="755">
        <v>0</v>
      </c>
      <c r="AX12" s="756">
        <v>0</v>
      </c>
      <c r="AY12" s="757">
        <v>1</v>
      </c>
      <c r="AZ12" s="1250">
        <v>1</v>
      </c>
      <c r="BA12" s="1250"/>
      <c r="BB12" s="757">
        <v>1</v>
      </c>
      <c r="BC12" s="757">
        <v>0</v>
      </c>
      <c r="BD12" s="756">
        <v>0</v>
      </c>
      <c r="BE12" s="757">
        <v>0</v>
      </c>
      <c r="BF12" s="1250">
        <v>0</v>
      </c>
      <c r="BG12" s="1250"/>
      <c r="BH12" s="757">
        <v>0</v>
      </c>
      <c r="BI12" s="801">
        <v>0</v>
      </c>
      <c r="BJ12" s="763" t="s">
        <v>637</v>
      </c>
    </row>
    <row r="13" spans="1:67" s="759" customFormat="1" ht="21">
      <c r="A13" s="743" t="s">
        <v>638</v>
      </c>
      <c r="B13" s="744">
        <v>0</v>
      </c>
      <c r="C13" s="1236">
        <v>0</v>
      </c>
      <c r="D13" s="1236"/>
      <c r="E13" s="745">
        <v>0</v>
      </c>
      <c r="F13" s="1236">
        <v>0</v>
      </c>
      <c r="G13" s="1237"/>
      <c r="H13" s="744">
        <v>0</v>
      </c>
      <c r="I13" s="745">
        <v>0</v>
      </c>
      <c r="J13" s="1236">
        <v>0</v>
      </c>
      <c r="K13" s="1236"/>
      <c r="L13" s="745">
        <v>0</v>
      </c>
      <c r="M13" s="746">
        <v>0</v>
      </c>
      <c r="N13" s="747">
        <v>0</v>
      </c>
      <c r="O13" s="748">
        <v>0</v>
      </c>
      <c r="P13" s="1238">
        <v>0</v>
      </c>
      <c r="Q13" s="1238"/>
      <c r="R13" s="748">
        <v>0</v>
      </c>
      <c r="S13" s="749">
        <v>0</v>
      </c>
      <c r="T13" s="750">
        <v>0</v>
      </c>
      <c r="U13" s="751">
        <v>1</v>
      </c>
      <c r="V13" s="1239">
        <v>1</v>
      </c>
      <c r="W13" s="1239"/>
      <c r="X13" s="751">
        <v>0</v>
      </c>
      <c r="Y13" s="752">
        <v>1</v>
      </c>
      <c r="Z13" s="753">
        <v>0</v>
      </c>
      <c r="AA13" s="754">
        <v>0</v>
      </c>
      <c r="AB13" s="1249">
        <v>0</v>
      </c>
      <c r="AC13" s="1249"/>
      <c r="AD13" s="754">
        <v>0</v>
      </c>
      <c r="AE13" s="755">
        <f t="shared" si="1"/>
        <v>0</v>
      </c>
      <c r="AF13" s="753">
        <v>0</v>
      </c>
      <c r="AG13" s="754">
        <v>0</v>
      </c>
      <c r="AH13" s="1249">
        <v>0</v>
      </c>
      <c r="AI13" s="1249"/>
      <c r="AJ13" s="754">
        <v>0</v>
      </c>
      <c r="AK13" s="754">
        <v>0</v>
      </c>
      <c r="AL13" s="753">
        <v>0</v>
      </c>
      <c r="AM13" s="754">
        <v>0</v>
      </c>
      <c r="AN13" s="1249">
        <v>0</v>
      </c>
      <c r="AO13" s="1249"/>
      <c r="AP13" s="754">
        <v>0</v>
      </c>
      <c r="AQ13" s="754">
        <v>0</v>
      </c>
      <c r="AR13" s="778">
        <v>0</v>
      </c>
      <c r="AS13" s="754">
        <v>0</v>
      </c>
      <c r="AT13" s="1249">
        <v>0</v>
      </c>
      <c r="AU13" s="1249"/>
      <c r="AV13" s="754">
        <v>0</v>
      </c>
      <c r="AW13" s="755">
        <v>0</v>
      </c>
      <c r="AX13" s="756">
        <v>0</v>
      </c>
      <c r="AY13" s="757">
        <v>0</v>
      </c>
      <c r="AZ13" s="1250">
        <v>0</v>
      </c>
      <c r="BA13" s="1250"/>
      <c r="BB13" s="757">
        <v>0</v>
      </c>
      <c r="BC13" s="757">
        <v>0</v>
      </c>
      <c r="BD13" s="756">
        <v>0</v>
      </c>
      <c r="BE13" s="757">
        <v>1</v>
      </c>
      <c r="BF13" s="1250">
        <v>1</v>
      </c>
      <c r="BG13" s="1250"/>
      <c r="BH13" s="757">
        <v>0</v>
      </c>
      <c r="BI13" s="801">
        <v>1</v>
      </c>
      <c r="BJ13" s="763" t="s">
        <v>639</v>
      </c>
    </row>
    <row r="14" spans="1:67" s="759" customFormat="1" ht="21">
      <c r="A14" s="764" t="s">
        <v>640</v>
      </c>
      <c r="B14" s="765">
        <v>14</v>
      </c>
      <c r="C14" s="1251">
        <v>14</v>
      </c>
      <c r="D14" s="1251"/>
      <c r="E14" s="766">
        <v>12</v>
      </c>
      <c r="F14" s="1251">
        <f t="shared" si="0"/>
        <v>2</v>
      </c>
      <c r="G14" s="1252"/>
      <c r="H14" s="765">
        <v>2</v>
      </c>
      <c r="I14" s="766">
        <v>4</v>
      </c>
      <c r="J14" s="1251">
        <v>6</v>
      </c>
      <c r="K14" s="1251"/>
      <c r="L14" s="766">
        <v>3</v>
      </c>
      <c r="M14" s="767">
        <v>3</v>
      </c>
      <c r="N14" s="768">
        <v>3</v>
      </c>
      <c r="O14" s="769">
        <v>1</v>
      </c>
      <c r="P14" s="1253">
        <v>4</v>
      </c>
      <c r="Q14" s="1253"/>
      <c r="R14" s="769">
        <v>2</v>
      </c>
      <c r="S14" s="770">
        <v>2</v>
      </c>
      <c r="T14" s="771">
        <v>2</v>
      </c>
      <c r="U14" s="772">
        <v>8</v>
      </c>
      <c r="V14" s="1254">
        <v>10</v>
      </c>
      <c r="W14" s="1254"/>
      <c r="X14" s="772">
        <v>2</v>
      </c>
      <c r="Y14" s="773">
        <v>8</v>
      </c>
      <c r="Z14" s="774">
        <v>7</v>
      </c>
      <c r="AA14" s="775">
        <v>6</v>
      </c>
      <c r="AB14" s="1255">
        <v>13</v>
      </c>
      <c r="AC14" s="1255"/>
      <c r="AD14" s="775">
        <v>4</v>
      </c>
      <c r="AE14" s="776">
        <f t="shared" si="1"/>
        <v>9</v>
      </c>
      <c r="AF14" s="774">
        <v>9</v>
      </c>
      <c r="AG14" s="775">
        <v>6</v>
      </c>
      <c r="AH14" s="1255">
        <v>15</v>
      </c>
      <c r="AI14" s="1255"/>
      <c r="AJ14" s="775">
        <v>7</v>
      </c>
      <c r="AK14" s="775">
        <v>7</v>
      </c>
      <c r="AL14" s="753">
        <v>7</v>
      </c>
      <c r="AM14" s="754">
        <v>2</v>
      </c>
      <c r="AN14" s="1249">
        <v>9</v>
      </c>
      <c r="AO14" s="1249"/>
      <c r="AP14" s="754">
        <v>6</v>
      </c>
      <c r="AQ14" s="754">
        <v>4</v>
      </c>
      <c r="AR14" s="778">
        <v>4</v>
      </c>
      <c r="AS14" s="754">
        <v>2</v>
      </c>
      <c r="AT14" s="1249">
        <v>6</v>
      </c>
      <c r="AU14" s="1249"/>
      <c r="AV14" s="754">
        <v>2</v>
      </c>
      <c r="AW14" s="755">
        <v>2</v>
      </c>
      <c r="AX14" s="756">
        <v>2</v>
      </c>
      <c r="AY14" s="757">
        <v>1</v>
      </c>
      <c r="AZ14" s="1250">
        <v>3</v>
      </c>
      <c r="BA14" s="1250"/>
      <c r="BB14" s="757">
        <v>2</v>
      </c>
      <c r="BC14" s="757">
        <v>1</v>
      </c>
      <c r="BD14" s="756">
        <v>1</v>
      </c>
      <c r="BE14" s="757">
        <v>1</v>
      </c>
      <c r="BF14" s="1250">
        <v>2</v>
      </c>
      <c r="BG14" s="1250"/>
      <c r="BH14" s="757">
        <v>1</v>
      </c>
      <c r="BI14" s="801">
        <v>1</v>
      </c>
      <c r="BJ14" s="760" t="s">
        <v>641</v>
      </c>
    </row>
    <row r="15" spans="1:67" s="759" customFormat="1" ht="21">
      <c r="A15" s="764" t="s">
        <v>642</v>
      </c>
      <c r="B15" s="745"/>
      <c r="C15" s="745"/>
      <c r="D15" s="745"/>
      <c r="E15" s="745"/>
      <c r="F15" s="745"/>
      <c r="G15" s="745"/>
      <c r="H15" s="745"/>
      <c r="I15" s="745"/>
      <c r="J15" s="745"/>
      <c r="K15" s="745"/>
      <c r="L15" s="745"/>
      <c r="M15" s="745"/>
      <c r="N15" s="498"/>
      <c r="O15" s="748"/>
      <c r="P15" s="748"/>
      <c r="Q15" s="748"/>
      <c r="R15" s="748"/>
      <c r="S15" s="748"/>
      <c r="T15" s="777"/>
      <c r="U15" s="751"/>
      <c r="V15" s="751"/>
      <c r="W15" s="751"/>
      <c r="X15" s="751"/>
      <c r="Y15" s="751"/>
      <c r="Z15" s="778"/>
      <c r="AA15" s="754"/>
      <c r="AB15" s="754"/>
      <c r="AC15" s="754"/>
      <c r="AD15" s="754"/>
      <c r="AE15" s="754"/>
      <c r="AF15" s="778"/>
      <c r="AG15" s="754"/>
      <c r="AH15" s="754"/>
      <c r="AI15" s="754"/>
      <c r="AJ15" s="754"/>
      <c r="AK15" s="754"/>
      <c r="AL15" s="753">
        <v>0</v>
      </c>
      <c r="AM15" s="754">
        <v>0</v>
      </c>
      <c r="AN15" s="1249">
        <v>0</v>
      </c>
      <c r="AO15" s="1249"/>
      <c r="AP15" s="754">
        <v>0</v>
      </c>
      <c r="AQ15" s="754">
        <v>0</v>
      </c>
      <c r="AR15" s="778">
        <v>0</v>
      </c>
      <c r="AS15" s="754">
        <v>0</v>
      </c>
      <c r="AT15" s="1249">
        <v>0</v>
      </c>
      <c r="AU15" s="1249"/>
      <c r="AV15" s="754">
        <v>0</v>
      </c>
      <c r="AW15" s="755">
        <v>0</v>
      </c>
      <c r="AX15" s="756">
        <v>0</v>
      </c>
      <c r="AY15" s="757">
        <v>19</v>
      </c>
      <c r="AZ15" s="1250">
        <v>19</v>
      </c>
      <c r="BA15" s="1250"/>
      <c r="BB15" s="757">
        <v>18</v>
      </c>
      <c r="BC15" s="757">
        <v>1</v>
      </c>
      <c r="BD15" s="756">
        <v>1</v>
      </c>
      <c r="BE15" s="757">
        <v>0</v>
      </c>
      <c r="BF15" s="1250">
        <v>1</v>
      </c>
      <c r="BG15" s="1250"/>
      <c r="BH15" s="757">
        <v>1</v>
      </c>
      <c r="BI15" s="801">
        <v>0</v>
      </c>
      <c r="BJ15" s="763" t="s">
        <v>643</v>
      </c>
    </row>
    <row r="16" spans="1:67" s="759" customFormat="1" ht="21">
      <c r="A16" s="779" t="s">
        <v>644</v>
      </c>
      <c r="B16" s="766"/>
      <c r="C16" s="766"/>
      <c r="D16" s="766"/>
      <c r="E16" s="766"/>
      <c r="F16" s="766"/>
      <c r="G16" s="766"/>
      <c r="H16" s="766"/>
      <c r="I16" s="766"/>
      <c r="J16" s="766"/>
      <c r="K16" s="766"/>
      <c r="L16" s="766"/>
      <c r="M16" s="766"/>
      <c r="N16" s="511"/>
      <c r="O16" s="769"/>
      <c r="P16" s="769"/>
      <c r="Q16" s="769"/>
      <c r="R16" s="769"/>
      <c r="S16" s="769"/>
      <c r="T16" s="780"/>
      <c r="U16" s="772"/>
      <c r="V16" s="772"/>
      <c r="W16" s="772"/>
      <c r="X16" s="772"/>
      <c r="Y16" s="772"/>
      <c r="Z16" s="781"/>
      <c r="AA16" s="775"/>
      <c r="AB16" s="775"/>
      <c r="AC16" s="775"/>
      <c r="AD16" s="775"/>
      <c r="AE16" s="775"/>
      <c r="AF16" s="781"/>
      <c r="AG16" s="775"/>
      <c r="AH16" s="775"/>
      <c r="AI16" s="775"/>
      <c r="AJ16" s="775"/>
      <c r="AK16" s="775"/>
      <c r="AL16" s="774">
        <v>0</v>
      </c>
      <c r="AM16" s="775">
        <v>0</v>
      </c>
      <c r="AN16" s="1255">
        <v>0</v>
      </c>
      <c r="AO16" s="1255"/>
      <c r="AP16" s="775">
        <v>0</v>
      </c>
      <c r="AQ16" s="775">
        <v>0</v>
      </c>
      <c r="AR16" s="781">
        <v>0</v>
      </c>
      <c r="AS16" s="775">
        <v>0</v>
      </c>
      <c r="AT16" s="1255">
        <v>0</v>
      </c>
      <c r="AU16" s="1255"/>
      <c r="AV16" s="775">
        <v>0</v>
      </c>
      <c r="AW16" s="776">
        <v>0</v>
      </c>
      <c r="AX16" s="782">
        <v>0</v>
      </c>
      <c r="AY16" s="783">
        <v>0</v>
      </c>
      <c r="AZ16" s="1256">
        <v>0</v>
      </c>
      <c r="BA16" s="1256"/>
      <c r="BB16" s="783">
        <v>0</v>
      </c>
      <c r="BC16" s="783">
        <v>0</v>
      </c>
      <c r="BD16" s="782">
        <v>0</v>
      </c>
      <c r="BE16" s="783">
        <v>43</v>
      </c>
      <c r="BF16" s="1256">
        <v>43</v>
      </c>
      <c r="BG16" s="1256"/>
      <c r="BH16" s="783">
        <v>1</v>
      </c>
      <c r="BI16" s="802">
        <v>42</v>
      </c>
      <c r="BJ16" s="784" t="s">
        <v>645</v>
      </c>
    </row>
    <row r="17" spans="1:62" s="796" customFormat="1" ht="15.75">
      <c r="A17" s="794" t="s">
        <v>646</v>
      </c>
      <c r="B17" s="795"/>
      <c r="C17" s="795"/>
      <c r="D17" s="795"/>
      <c r="E17" s="795"/>
      <c r="F17" s="795"/>
      <c r="G17" s="795"/>
      <c r="M17" s="797"/>
      <c r="S17" s="797"/>
      <c r="T17" s="797"/>
      <c r="U17" s="797"/>
      <c r="W17" s="798"/>
      <c r="X17" s="797"/>
      <c r="Y17" s="797"/>
      <c r="Z17" s="30"/>
      <c r="AA17" s="30"/>
      <c r="AC17" s="30"/>
      <c r="AD17" s="30"/>
      <c r="AE17" s="799"/>
      <c r="AF17" s="30"/>
      <c r="AG17" s="30"/>
      <c r="AI17" s="30"/>
      <c r="AJ17" s="30"/>
      <c r="AK17" s="799"/>
      <c r="AL17" s="30"/>
      <c r="AM17" s="30"/>
      <c r="AO17" s="30"/>
      <c r="AP17" s="30"/>
      <c r="AQ17" s="799"/>
      <c r="AR17" s="30"/>
      <c r="AS17" s="30"/>
      <c r="AU17" s="30"/>
      <c r="AV17" s="30"/>
      <c r="AW17" s="799"/>
      <c r="AX17" s="30"/>
      <c r="AY17" s="30"/>
      <c r="BA17" s="30"/>
      <c r="BB17" s="30"/>
      <c r="BC17" s="799"/>
      <c r="BD17" s="30"/>
      <c r="BE17" s="30"/>
      <c r="BG17" s="30"/>
      <c r="BH17" s="30"/>
      <c r="BI17" s="799"/>
      <c r="BJ17" s="800" t="s">
        <v>647</v>
      </c>
    </row>
    <row r="18" spans="1:62" s="759" customFormat="1" ht="12">
      <c r="M18" s="785"/>
      <c r="Q18" s="759" t="s">
        <v>648</v>
      </c>
      <c r="S18" s="785"/>
      <c r="T18" s="785"/>
      <c r="U18" s="785"/>
      <c r="W18" s="786" t="s">
        <v>648</v>
      </c>
      <c r="X18" s="785"/>
      <c r="Y18" s="785"/>
      <c r="Z18" s="787"/>
      <c r="AA18" s="787"/>
      <c r="AB18" s="787"/>
      <c r="AC18" s="787" t="s">
        <v>648</v>
      </c>
      <c r="AD18" s="787"/>
      <c r="AE18" s="788"/>
      <c r="AF18" s="789"/>
      <c r="AG18" s="789"/>
      <c r="AH18" s="789"/>
      <c r="AI18" s="789"/>
      <c r="AJ18" s="789"/>
      <c r="AK18" s="790"/>
      <c r="AL18" s="789"/>
      <c r="AM18" s="789"/>
      <c r="AN18" s="789"/>
      <c r="AO18" s="789"/>
      <c r="AP18" s="789"/>
      <c r="AQ18" s="790"/>
      <c r="AR18" s="789"/>
      <c r="AS18" s="789"/>
      <c r="AT18" s="789"/>
      <c r="AU18" s="789"/>
      <c r="AV18" s="789"/>
      <c r="AW18" s="790"/>
      <c r="AX18" s="789"/>
      <c r="AY18" s="789"/>
      <c r="AZ18" s="789"/>
      <c r="BA18" s="789"/>
      <c r="BB18" s="789"/>
      <c r="BC18" s="790"/>
      <c r="BD18" s="789"/>
      <c r="BE18" s="789"/>
      <c r="BF18" s="789"/>
      <c r="BG18" s="789"/>
      <c r="BH18" s="789"/>
      <c r="BI18" s="790"/>
      <c r="BJ18" s="787"/>
    </row>
    <row r="19" spans="1:62" s="759" customFormat="1" ht="12">
      <c r="M19" s="785"/>
      <c r="S19" s="785"/>
      <c r="T19" s="785"/>
      <c r="U19" s="785"/>
      <c r="W19" s="786"/>
      <c r="X19" s="785"/>
      <c r="Y19" s="785"/>
      <c r="Z19" s="787"/>
      <c r="AA19" s="787"/>
      <c r="AB19" s="787"/>
      <c r="AC19" s="787"/>
      <c r="AD19" s="787"/>
      <c r="AE19" s="788"/>
      <c r="AF19" s="789"/>
      <c r="AG19" s="789"/>
      <c r="AH19" s="789"/>
      <c r="AI19" s="789"/>
      <c r="AJ19" s="789"/>
      <c r="AK19" s="789"/>
      <c r="AL19" s="789"/>
      <c r="AM19" s="789"/>
      <c r="AN19" s="789"/>
      <c r="AO19" s="789"/>
      <c r="AP19" s="789"/>
      <c r="AQ19" s="789"/>
      <c r="AR19" s="789"/>
      <c r="AS19" s="789"/>
      <c r="AT19" s="789"/>
      <c r="AU19" s="789"/>
      <c r="AV19" s="789"/>
      <c r="AW19" s="790"/>
      <c r="AX19" s="789"/>
      <c r="AY19" s="789"/>
      <c r="AZ19" s="789"/>
      <c r="BA19" s="789"/>
      <c r="BB19" s="789"/>
      <c r="BC19" s="790"/>
      <c r="BD19" s="789"/>
      <c r="BE19" s="789"/>
      <c r="BF19" s="789"/>
      <c r="BG19" s="789"/>
      <c r="BH19" s="789"/>
      <c r="BI19" s="790"/>
    </row>
    <row r="20" spans="1:62">
      <c r="Q20" s="159" t="s">
        <v>648</v>
      </c>
      <c r="W20" s="698" t="s">
        <v>648</v>
      </c>
      <c r="AC20" s="159" t="s">
        <v>648</v>
      </c>
      <c r="AF20" s="791"/>
      <c r="AG20" s="791"/>
      <c r="AH20" s="1257"/>
      <c r="AI20" s="1257"/>
      <c r="AJ20" s="791"/>
      <c r="AK20" s="791"/>
      <c r="AL20" s="791"/>
      <c r="AM20" s="791"/>
      <c r="AN20" s="1257"/>
      <c r="AO20" s="1257"/>
      <c r="AP20" s="791"/>
      <c r="AQ20" s="791"/>
      <c r="AR20" s="160"/>
      <c r="AS20" s="160"/>
      <c r="AT20" s="160"/>
      <c r="AU20" s="160"/>
      <c r="AV20" s="160"/>
      <c r="AW20" s="792"/>
      <c r="AX20" s="160"/>
      <c r="AY20" s="160"/>
      <c r="AZ20" s="160"/>
      <c r="BA20" s="160"/>
      <c r="BB20" s="160"/>
      <c r="BC20" s="792"/>
      <c r="BD20" s="160"/>
      <c r="BE20" s="160"/>
      <c r="BF20" s="160"/>
      <c r="BG20" s="160"/>
      <c r="BH20" s="160"/>
      <c r="BI20" s="792"/>
    </row>
    <row r="21" spans="1:62">
      <c r="AF21" s="495"/>
      <c r="AG21" s="793"/>
      <c r="AH21" s="1258"/>
      <c r="AI21" s="1258"/>
      <c r="AJ21" s="793"/>
      <c r="AK21" s="793"/>
      <c r="AL21" s="495"/>
      <c r="AM21" s="793"/>
      <c r="AN21" s="1258"/>
      <c r="AO21" s="1258"/>
      <c r="AP21" s="793"/>
      <c r="AQ21" s="793"/>
      <c r="AR21" s="160"/>
      <c r="AS21" s="160"/>
      <c r="AT21" s="160"/>
      <c r="AU21" s="160"/>
      <c r="AV21" s="160"/>
      <c r="AW21" s="160"/>
      <c r="AX21" s="160"/>
      <c r="AY21" s="160">
        <v>473</v>
      </c>
      <c r="AZ21" s="160">
        <f>BE7</f>
        <v>484</v>
      </c>
      <c r="BA21" s="160"/>
      <c r="BB21" s="160"/>
      <c r="BC21" s="160"/>
      <c r="BD21" s="160"/>
      <c r="BE21" s="160"/>
      <c r="BF21" s="160"/>
      <c r="BG21" s="160"/>
      <c r="BH21" s="160"/>
      <c r="BI21" s="160"/>
    </row>
    <row r="22" spans="1:62">
      <c r="AF22" s="495"/>
      <c r="AG22" s="793"/>
      <c r="AH22" s="1258"/>
      <c r="AI22" s="1258"/>
      <c r="AJ22" s="793"/>
      <c r="AK22" s="793"/>
      <c r="AL22" s="495"/>
      <c r="AM22" s="793"/>
      <c r="AN22" s="1258"/>
      <c r="AO22" s="1258"/>
      <c r="AP22" s="793"/>
      <c r="AQ22" s="793"/>
      <c r="AR22" s="160"/>
      <c r="AS22" s="160"/>
      <c r="AT22" s="160"/>
      <c r="AU22" s="160"/>
      <c r="AV22" s="160"/>
      <c r="AW22" s="792"/>
      <c r="AX22" s="160"/>
      <c r="AY22" s="160">
        <v>552</v>
      </c>
      <c r="AZ22" s="160">
        <f>BH7</f>
        <v>311</v>
      </c>
      <c r="BA22" s="160"/>
      <c r="BB22" s="160"/>
      <c r="BC22" s="792"/>
      <c r="BD22" s="160"/>
      <c r="BE22" s="160"/>
      <c r="BF22" s="160"/>
      <c r="BG22" s="160"/>
      <c r="BH22" s="160"/>
      <c r="BI22" s="792"/>
    </row>
    <row r="23" spans="1:62">
      <c r="AF23" s="495"/>
      <c r="AG23" s="793"/>
      <c r="AH23" s="1258"/>
      <c r="AI23" s="1258"/>
      <c r="AJ23" s="793"/>
      <c r="AK23" s="793"/>
      <c r="AL23" s="495"/>
      <c r="AM23" s="793"/>
      <c r="AN23" s="1258"/>
      <c r="AO23" s="1258"/>
      <c r="AP23" s="793"/>
      <c r="AQ23" s="793"/>
      <c r="AR23" s="160"/>
      <c r="AS23" s="160"/>
      <c r="AT23" s="160"/>
      <c r="AU23" s="160"/>
      <c r="AV23" s="160"/>
      <c r="AW23" s="160"/>
      <c r="AX23" s="160"/>
      <c r="AY23" s="160">
        <v>484</v>
      </c>
      <c r="AZ23" s="160">
        <f>BI7</f>
        <v>646</v>
      </c>
      <c r="BA23" s="160"/>
      <c r="BB23" s="160"/>
      <c r="BC23" s="160"/>
      <c r="BD23" s="160"/>
      <c r="BE23" s="160"/>
      <c r="BF23" s="160"/>
      <c r="BG23" s="160"/>
      <c r="BH23" s="160"/>
      <c r="BI23" s="160"/>
    </row>
    <row r="24" spans="1:62">
      <c r="AF24" s="495"/>
      <c r="AG24" s="793"/>
      <c r="AH24" s="1258"/>
      <c r="AI24" s="1258"/>
      <c r="AJ24" s="793"/>
      <c r="AK24" s="793"/>
      <c r="AL24" s="495"/>
      <c r="AM24" s="793"/>
      <c r="AN24" s="1258"/>
      <c r="AO24" s="1258"/>
      <c r="AP24" s="793"/>
      <c r="AQ24" s="793"/>
      <c r="AR24" s="160"/>
      <c r="AS24" s="160"/>
      <c r="AT24" s="160"/>
      <c r="AU24" s="160"/>
      <c r="AV24" s="160"/>
      <c r="AW24" s="792"/>
      <c r="AX24" s="160"/>
      <c r="AY24" s="160"/>
      <c r="AZ24" s="160"/>
      <c r="BA24" s="160"/>
      <c r="BB24" s="160"/>
      <c r="BC24" s="792"/>
      <c r="BD24" s="160"/>
      <c r="BE24" s="160"/>
      <c r="BF24" s="160"/>
      <c r="BG24" s="160"/>
      <c r="BH24" s="160"/>
      <c r="BI24" s="792"/>
    </row>
    <row r="25" spans="1:62">
      <c r="AF25" s="495"/>
      <c r="AG25" s="793"/>
      <c r="AH25" s="1258"/>
      <c r="AI25" s="1258"/>
      <c r="AJ25" s="793"/>
      <c r="AK25" s="793"/>
      <c r="AL25" s="495"/>
      <c r="AM25" s="793"/>
      <c r="AN25" s="1258"/>
      <c r="AO25" s="1258"/>
      <c r="AP25" s="793"/>
      <c r="AQ25" s="793"/>
      <c r="AR25" s="160"/>
      <c r="AS25" s="160"/>
      <c r="AT25" s="160"/>
      <c r="AU25" s="160"/>
      <c r="AV25" s="160"/>
      <c r="AW25" s="792"/>
      <c r="AX25" s="160"/>
      <c r="AY25" s="160"/>
      <c r="AZ25" s="160"/>
      <c r="BA25" s="160"/>
      <c r="BB25" s="160"/>
      <c r="BC25" s="792"/>
      <c r="BD25" s="160"/>
      <c r="BE25" s="160"/>
      <c r="BF25" s="160"/>
      <c r="BG25" s="160"/>
      <c r="BH25" s="160"/>
      <c r="BI25" s="792"/>
    </row>
    <row r="26" spans="1:62">
      <c r="AF26" s="495"/>
      <c r="AG26" s="793"/>
      <c r="AH26" s="1258"/>
      <c r="AI26" s="1258"/>
      <c r="AJ26" s="793"/>
      <c r="AK26" s="793"/>
      <c r="AL26" s="495"/>
      <c r="AM26" s="793"/>
      <c r="AN26" s="1258"/>
      <c r="AO26" s="1258"/>
      <c r="AP26" s="793"/>
      <c r="AQ26" s="793"/>
      <c r="AR26" s="160"/>
      <c r="AS26" s="160"/>
      <c r="AT26" s="160"/>
      <c r="AU26" s="160"/>
      <c r="AV26" s="160"/>
      <c r="AW26" s="792"/>
      <c r="AX26" s="160"/>
      <c r="AY26" s="160"/>
      <c r="AZ26" s="160"/>
      <c r="BA26" s="160"/>
      <c r="BB26" s="160"/>
      <c r="BC26" s="792"/>
      <c r="BD26" s="160"/>
      <c r="BE26" s="160"/>
      <c r="BF26" s="160"/>
      <c r="BG26" s="160"/>
      <c r="BH26" s="160"/>
      <c r="BI26" s="792"/>
    </row>
    <row r="27" spans="1:62">
      <c r="AF27" s="495"/>
      <c r="AG27" s="793"/>
      <c r="AH27" s="1258"/>
      <c r="AI27" s="1258"/>
      <c r="AJ27" s="793"/>
      <c r="AK27" s="793"/>
      <c r="AL27" s="495"/>
      <c r="AM27" s="793"/>
      <c r="AN27" s="1258"/>
      <c r="AO27" s="1258"/>
      <c r="AP27" s="793"/>
      <c r="AQ27" s="793"/>
      <c r="AR27" s="160"/>
      <c r="AS27" s="160"/>
      <c r="AT27" s="160"/>
      <c r="AU27" s="160"/>
      <c r="AV27" s="160"/>
      <c r="AW27" s="792"/>
      <c r="AX27" s="160"/>
      <c r="AY27" s="160"/>
      <c r="AZ27" s="160"/>
      <c r="BA27" s="160"/>
      <c r="BB27" s="160"/>
      <c r="BC27" s="792"/>
      <c r="BD27" s="160"/>
      <c r="BE27" s="160"/>
      <c r="BF27" s="160"/>
      <c r="BG27" s="160"/>
      <c r="BH27" s="160"/>
      <c r="BI27" s="792"/>
    </row>
    <row r="28" spans="1:62">
      <c r="AF28" s="160"/>
      <c r="AG28" s="160"/>
      <c r="AH28" s="160"/>
      <c r="AI28" s="160"/>
      <c r="AJ28" s="160"/>
      <c r="AK28" s="792"/>
      <c r="AL28" s="160"/>
      <c r="AM28" s="160"/>
      <c r="AN28" s="160"/>
      <c r="AO28" s="160"/>
      <c r="AP28" s="160"/>
      <c r="AQ28" s="792"/>
      <c r="AR28" s="160"/>
      <c r="AS28" s="160"/>
      <c r="AT28" s="160"/>
      <c r="AU28" s="160"/>
      <c r="AV28" s="160"/>
      <c r="AW28" s="792"/>
      <c r="AX28" s="160"/>
      <c r="AY28" s="160"/>
      <c r="AZ28" s="160"/>
      <c r="BA28" s="160"/>
      <c r="BB28" s="160"/>
      <c r="BC28" s="792"/>
      <c r="BD28" s="160"/>
      <c r="BE28" s="160"/>
      <c r="BF28" s="160"/>
      <c r="BG28" s="160"/>
      <c r="BH28" s="160"/>
      <c r="BI28" s="792"/>
    </row>
    <row r="29" spans="1:62">
      <c r="AF29" s="160"/>
      <c r="AG29" s="160"/>
      <c r="AH29" s="160"/>
      <c r="AI29" s="160"/>
      <c r="AJ29" s="160"/>
      <c r="AK29" s="792"/>
      <c r="AL29" s="160"/>
      <c r="AM29" s="160"/>
      <c r="AN29" s="160"/>
      <c r="AO29" s="160"/>
      <c r="AP29" s="160"/>
      <c r="AQ29" s="792"/>
      <c r="AR29" s="160"/>
      <c r="AS29" s="160"/>
      <c r="AT29" s="160"/>
      <c r="AU29" s="160"/>
      <c r="AV29" s="160"/>
      <c r="AW29" s="792"/>
      <c r="AX29" s="160"/>
      <c r="AY29" s="160"/>
      <c r="AZ29" s="160"/>
      <c r="BA29" s="160"/>
      <c r="BB29" s="160"/>
      <c r="BC29" s="792"/>
      <c r="BD29" s="160"/>
      <c r="BE29" s="160"/>
      <c r="BF29" s="160"/>
      <c r="BG29" s="160"/>
      <c r="BH29" s="160"/>
      <c r="BI29" s="792"/>
    </row>
    <row r="30" spans="1:62">
      <c r="AF30" s="160"/>
      <c r="AG30" s="160"/>
      <c r="AH30" s="160"/>
      <c r="AI30" s="160"/>
      <c r="AJ30" s="160"/>
      <c r="AK30" s="792"/>
      <c r="AL30" s="160"/>
      <c r="AM30" s="160"/>
      <c r="AN30" s="160"/>
      <c r="AO30" s="160"/>
      <c r="AP30" s="160"/>
      <c r="AQ30" s="792"/>
      <c r="AR30" s="160"/>
      <c r="AS30" s="160"/>
      <c r="AT30" s="160"/>
      <c r="AU30" s="160"/>
      <c r="AV30" s="160"/>
      <c r="AW30" s="792"/>
      <c r="AX30" s="160"/>
      <c r="AY30" s="160"/>
      <c r="AZ30" s="160"/>
      <c r="BA30" s="160"/>
      <c r="BB30" s="160"/>
      <c r="BC30" s="792"/>
      <c r="BD30" s="160"/>
      <c r="BE30" s="160"/>
      <c r="BF30" s="160"/>
      <c r="BG30" s="160"/>
      <c r="BH30" s="160"/>
      <c r="BI30" s="792"/>
    </row>
    <row r="31" spans="1:62">
      <c r="AF31" s="160"/>
      <c r="AG31" s="160"/>
      <c r="AH31" s="160"/>
      <c r="AI31" s="160"/>
      <c r="AJ31" s="160"/>
      <c r="AK31" s="792"/>
      <c r="AL31" s="160"/>
      <c r="AM31" s="160"/>
      <c r="AN31" s="160"/>
      <c r="AO31" s="160"/>
      <c r="AP31" s="160"/>
      <c r="AQ31" s="792"/>
      <c r="AR31" s="160"/>
      <c r="AS31" s="160"/>
      <c r="AT31" s="160"/>
      <c r="AU31" s="160"/>
      <c r="AV31" s="160"/>
      <c r="AW31" s="792"/>
      <c r="AX31" s="160"/>
      <c r="AY31" s="160"/>
      <c r="AZ31" s="160"/>
      <c r="BA31" s="160"/>
      <c r="BB31" s="160"/>
      <c r="BC31" s="792"/>
      <c r="BD31" s="160"/>
      <c r="BE31" s="160"/>
      <c r="BF31" s="160"/>
      <c r="BG31" s="160"/>
      <c r="BH31" s="160"/>
      <c r="BI31" s="792"/>
    </row>
    <row r="32" spans="1:62">
      <c r="AF32" s="160"/>
      <c r="AG32" s="160"/>
      <c r="AH32" s="160"/>
      <c r="AI32" s="160"/>
      <c r="AJ32" s="160"/>
      <c r="AK32" s="792"/>
      <c r="AL32" s="160"/>
      <c r="AM32" s="160"/>
      <c r="AN32" s="160"/>
      <c r="AO32" s="160"/>
      <c r="AP32" s="160"/>
      <c r="AQ32" s="792"/>
      <c r="AR32" s="160"/>
      <c r="AS32" s="160"/>
      <c r="AT32" s="160"/>
      <c r="AU32" s="160"/>
      <c r="AV32" s="160"/>
      <c r="AW32" s="792"/>
      <c r="AX32" s="160"/>
      <c r="AY32" s="160"/>
      <c r="AZ32" s="160"/>
      <c r="BA32" s="160"/>
      <c r="BB32" s="160"/>
      <c r="BC32" s="792"/>
      <c r="BD32" s="160"/>
      <c r="BE32" s="160"/>
      <c r="BF32" s="160"/>
      <c r="BG32" s="160"/>
      <c r="BH32" s="160"/>
      <c r="BI32" s="792"/>
    </row>
    <row r="33" spans="32:61">
      <c r="AF33" s="160"/>
      <c r="AG33" s="160"/>
      <c r="AH33" s="160"/>
      <c r="AI33" s="160"/>
      <c r="AJ33" s="160"/>
      <c r="AK33" s="792"/>
      <c r="AL33" s="160"/>
      <c r="AM33" s="160"/>
      <c r="AN33" s="160"/>
      <c r="AO33" s="160"/>
      <c r="AP33" s="160"/>
      <c r="AQ33" s="792"/>
      <c r="AR33" s="160"/>
      <c r="AS33" s="160"/>
      <c r="AT33" s="160"/>
      <c r="AU33" s="160"/>
      <c r="AV33" s="160"/>
      <c r="AW33" s="792"/>
      <c r="AX33" s="160"/>
      <c r="AY33" s="160"/>
      <c r="AZ33" s="160"/>
      <c r="BA33" s="160"/>
      <c r="BB33" s="160"/>
      <c r="BC33" s="792"/>
      <c r="BD33" s="160"/>
      <c r="BE33" s="160"/>
      <c r="BF33" s="160"/>
      <c r="BG33" s="160"/>
      <c r="BH33" s="160"/>
      <c r="BI33" s="792"/>
    </row>
    <row r="34" spans="32:61">
      <c r="AF34" s="160"/>
      <c r="AG34" s="160"/>
      <c r="AH34" s="160"/>
      <c r="AI34" s="160"/>
      <c r="AJ34" s="160"/>
      <c r="AK34" s="792"/>
      <c r="AL34" s="160"/>
      <c r="AM34" s="160"/>
      <c r="AN34" s="160"/>
      <c r="AO34" s="160"/>
      <c r="AP34" s="160"/>
      <c r="AQ34" s="792"/>
      <c r="AR34" s="160"/>
      <c r="AS34" s="160"/>
      <c r="AT34" s="160"/>
      <c r="AU34" s="160"/>
      <c r="AV34" s="160"/>
      <c r="AW34" s="792"/>
      <c r="AX34" s="160"/>
      <c r="AY34" s="160"/>
      <c r="AZ34" s="160"/>
      <c r="BA34" s="160"/>
      <c r="BB34" s="160"/>
      <c r="BC34" s="792"/>
      <c r="BD34" s="160"/>
      <c r="BE34" s="160"/>
      <c r="BF34" s="160"/>
      <c r="BG34" s="160"/>
      <c r="BH34" s="160"/>
      <c r="BI34" s="792"/>
    </row>
    <row r="35" spans="32:61">
      <c r="AF35" s="160"/>
      <c r="AG35" s="160"/>
      <c r="AH35" s="160"/>
      <c r="AI35" s="160"/>
      <c r="AJ35" s="160"/>
      <c r="AK35" s="792"/>
      <c r="AL35" s="160"/>
      <c r="AM35" s="160"/>
      <c r="AN35" s="160"/>
      <c r="AO35" s="160"/>
      <c r="AP35" s="160"/>
      <c r="AQ35" s="792"/>
      <c r="AR35" s="160"/>
      <c r="AS35" s="160"/>
      <c r="AT35" s="160"/>
      <c r="AU35" s="160"/>
      <c r="AV35" s="160"/>
      <c r="AW35" s="792"/>
      <c r="AX35" s="160"/>
      <c r="AY35" s="160"/>
      <c r="AZ35" s="160"/>
      <c r="BA35" s="160"/>
      <c r="BB35" s="160"/>
      <c r="BC35" s="792"/>
      <c r="BD35" s="160"/>
      <c r="BE35" s="160"/>
      <c r="BF35" s="160"/>
      <c r="BG35" s="160"/>
      <c r="BH35" s="160"/>
      <c r="BI35" s="792"/>
    </row>
    <row r="36" spans="32:61">
      <c r="AF36" s="160"/>
      <c r="AG36" s="160"/>
      <c r="AH36" s="160"/>
      <c r="AI36" s="160"/>
      <c r="AJ36" s="160"/>
      <c r="AK36" s="792"/>
      <c r="AL36" s="160"/>
      <c r="AM36" s="160"/>
      <c r="AN36" s="160"/>
      <c r="AO36" s="160"/>
      <c r="AP36" s="160"/>
      <c r="AQ36" s="792"/>
      <c r="AR36" s="160"/>
      <c r="AS36" s="160"/>
      <c r="AT36" s="160"/>
      <c r="AU36" s="160"/>
      <c r="AV36" s="160"/>
      <c r="AW36" s="792"/>
      <c r="AX36" s="160"/>
      <c r="AY36" s="160"/>
      <c r="AZ36" s="160"/>
      <c r="BA36" s="160"/>
      <c r="BB36" s="160"/>
      <c r="BC36" s="792"/>
      <c r="BD36" s="160"/>
      <c r="BE36" s="160"/>
      <c r="BF36" s="160"/>
      <c r="BG36" s="160"/>
      <c r="BH36" s="160"/>
      <c r="BI36" s="792"/>
    </row>
    <row r="37" spans="32:61">
      <c r="AF37" s="160"/>
      <c r="AG37" s="160"/>
      <c r="AH37" s="160"/>
      <c r="AI37" s="160"/>
      <c r="AJ37" s="160"/>
      <c r="AK37" s="792"/>
      <c r="AL37" s="160"/>
      <c r="AM37" s="160"/>
      <c r="AN37" s="160"/>
      <c r="AO37" s="160"/>
      <c r="AP37" s="160"/>
      <c r="AQ37" s="792"/>
      <c r="AR37" s="160"/>
      <c r="AS37" s="160"/>
      <c r="AT37" s="160"/>
      <c r="AU37" s="160"/>
      <c r="AV37" s="160"/>
      <c r="AW37" s="792"/>
      <c r="AX37" s="160"/>
      <c r="AY37" s="160"/>
      <c r="AZ37" s="160"/>
      <c r="BA37" s="160"/>
      <c r="BB37" s="160"/>
      <c r="BC37" s="792"/>
      <c r="BD37" s="160"/>
      <c r="BE37" s="160"/>
      <c r="BF37" s="160"/>
      <c r="BG37" s="160"/>
      <c r="BH37" s="160"/>
      <c r="BI37" s="792"/>
    </row>
    <row r="38" spans="32:61">
      <c r="AF38" s="160"/>
      <c r="AG38" s="160"/>
      <c r="AH38" s="160"/>
      <c r="AI38" s="160"/>
      <c r="AJ38" s="160"/>
      <c r="AK38" s="792"/>
      <c r="AL38" s="160"/>
      <c r="AM38" s="160"/>
      <c r="AN38" s="160"/>
      <c r="AO38" s="160"/>
      <c r="AP38" s="160"/>
      <c r="AQ38" s="792"/>
      <c r="AR38" s="160"/>
      <c r="AS38" s="160"/>
      <c r="AT38" s="160"/>
      <c r="AU38" s="160"/>
      <c r="AV38" s="160"/>
      <c r="AW38" s="792"/>
      <c r="AX38" s="160"/>
      <c r="AY38" s="160"/>
      <c r="AZ38" s="160"/>
      <c r="BA38" s="160"/>
      <c r="BB38" s="160"/>
      <c r="BC38" s="792"/>
      <c r="BD38" s="160"/>
      <c r="BE38" s="160"/>
      <c r="BF38" s="160"/>
      <c r="BG38" s="160"/>
      <c r="BH38" s="160"/>
      <c r="BI38" s="792"/>
    </row>
    <row r="39" spans="32:61">
      <c r="AF39" s="160"/>
      <c r="AG39" s="160"/>
      <c r="AH39" s="160"/>
      <c r="AI39" s="160"/>
      <c r="AJ39" s="160"/>
      <c r="AK39" s="792"/>
      <c r="AL39" s="160"/>
      <c r="AM39" s="160"/>
      <c r="AN39" s="160"/>
      <c r="AO39" s="160"/>
      <c r="AP39" s="160"/>
      <c r="AQ39" s="792"/>
      <c r="AR39" s="160"/>
      <c r="AS39" s="160"/>
      <c r="AT39" s="160"/>
      <c r="AU39" s="160"/>
      <c r="AV39" s="160"/>
      <c r="AW39" s="792"/>
      <c r="AX39" s="160"/>
      <c r="AY39" s="160"/>
      <c r="AZ39" s="160"/>
      <c r="BA39" s="160"/>
      <c r="BB39" s="160"/>
      <c r="BC39" s="792"/>
      <c r="BD39" s="160"/>
      <c r="BE39" s="160"/>
      <c r="BF39" s="160"/>
      <c r="BG39" s="160"/>
      <c r="BH39" s="160"/>
      <c r="BI39" s="792"/>
    </row>
  </sheetData>
  <mergeCells count="126">
    <mergeCell ref="AH26:AI26"/>
    <mergeCell ref="AN26:AO26"/>
    <mergeCell ref="AH27:AI27"/>
    <mergeCell ref="AN27:AO27"/>
    <mergeCell ref="AH23:AI23"/>
    <mergeCell ref="AN23:AO23"/>
    <mergeCell ref="AH24:AI24"/>
    <mergeCell ref="AN24:AO24"/>
    <mergeCell ref="AH25:AI25"/>
    <mergeCell ref="AN25:AO25"/>
    <mergeCell ref="AH20:AI20"/>
    <mergeCell ref="AN20:AO20"/>
    <mergeCell ref="AH21:AI21"/>
    <mergeCell ref="AN21:AO21"/>
    <mergeCell ref="AH22:AI22"/>
    <mergeCell ref="AN22:AO22"/>
    <mergeCell ref="AN15:AO15"/>
    <mergeCell ref="AT15:AU15"/>
    <mergeCell ref="AZ15:BA15"/>
    <mergeCell ref="BF15:BG15"/>
    <mergeCell ref="AN16:AO16"/>
    <mergeCell ref="AT16:AU16"/>
    <mergeCell ref="AZ16:BA16"/>
    <mergeCell ref="BF16:BG16"/>
    <mergeCell ref="AB14:AC14"/>
    <mergeCell ref="AH14:AI14"/>
    <mergeCell ref="AN14:AO14"/>
    <mergeCell ref="AT14:AU14"/>
    <mergeCell ref="AZ14:BA14"/>
    <mergeCell ref="BF14:BG14"/>
    <mergeCell ref="AH13:AI13"/>
    <mergeCell ref="AN13:AO13"/>
    <mergeCell ref="AT13:AU13"/>
    <mergeCell ref="AZ13:BA13"/>
    <mergeCell ref="BF13:BG13"/>
    <mergeCell ref="C14:D14"/>
    <mergeCell ref="F14:G14"/>
    <mergeCell ref="J14:K14"/>
    <mergeCell ref="P14:Q14"/>
    <mergeCell ref="V14:W14"/>
    <mergeCell ref="C13:D13"/>
    <mergeCell ref="F13:G13"/>
    <mergeCell ref="J13:K13"/>
    <mergeCell ref="P13:Q13"/>
    <mergeCell ref="V13:W13"/>
    <mergeCell ref="AB13:AC13"/>
    <mergeCell ref="AB12:AC12"/>
    <mergeCell ref="AH12:AI12"/>
    <mergeCell ref="AN12:AO12"/>
    <mergeCell ref="AT12:AU12"/>
    <mergeCell ref="AZ12:BA12"/>
    <mergeCell ref="BF12:BG12"/>
    <mergeCell ref="AH11:AI11"/>
    <mergeCell ref="AN11:AO11"/>
    <mergeCell ref="AT11:AU11"/>
    <mergeCell ref="AZ11:BA11"/>
    <mergeCell ref="BF11:BG11"/>
    <mergeCell ref="AB11:AC11"/>
    <mergeCell ref="C12:D12"/>
    <mergeCell ref="F12:G12"/>
    <mergeCell ref="J12:K12"/>
    <mergeCell ref="P12:Q12"/>
    <mergeCell ref="V12:W12"/>
    <mergeCell ref="C11:D11"/>
    <mergeCell ref="F11:G11"/>
    <mergeCell ref="J11:K11"/>
    <mergeCell ref="P11:Q11"/>
    <mergeCell ref="V11:W11"/>
    <mergeCell ref="AZ7:BA7"/>
    <mergeCell ref="BF7:BG7"/>
    <mergeCell ref="C10:D10"/>
    <mergeCell ref="F10:G10"/>
    <mergeCell ref="J10:K10"/>
    <mergeCell ref="P10:Q10"/>
    <mergeCell ref="V10:W10"/>
    <mergeCell ref="C9:D9"/>
    <mergeCell ref="F9:G9"/>
    <mergeCell ref="J9:K9"/>
    <mergeCell ref="P9:Q9"/>
    <mergeCell ref="V9:W9"/>
    <mergeCell ref="AB10:AC10"/>
    <mergeCell ref="AH10:AI10"/>
    <mergeCell ref="AN10:AO10"/>
    <mergeCell ref="AT10:AU10"/>
    <mergeCell ref="AZ10:BA10"/>
    <mergeCell ref="BF10:BG10"/>
    <mergeCell ref="AH9:AI9"/>
    <mergeCell ref="AN9:AO9"/>
    <mergeCell ref="AT9:AU9"/>
    <mergeCell ref="AZ9:BA9"/>
    <mergeCell ref="BF9:BG9"/>
    <mergeCell ref="AB9:AC9"/>
    <mergeCell ref="C8:D8"/>
    <mergeCell ref="F8:G8"/>
    <mergeCell ref="J8:K8"/>
    <mergeCell ref="P8:Q8"/>
    <mergeCell ref="V8:W8"/>
    <mergeCell ref="AR5:AW5"/>
    <mergeCell ref="AX5:BC5"/>
    <mergeCell ref="BD5:BI5"/>
    <mergeCell ref="BJ5:BJ6"/>
    <mergeCell ref="C7:D7"/>
    <mergeCell ref="F7:G7"/>
    <mergeCell ref="J7:K7"/>
    <mergeCell ref="P7:Q7"/>
    <mergeCell ref="V7:W7"/>
    <mergeCell ref="AB7:AC7"/>
    <mergeCell ref="AB8:AC8"/>
    <mergeCell ref="AH8:AI8"/>
    <mergeCell ref="AN8:AO8"/>
    <mergeCell ref="AT8:AU8"/>
    <mergeCell ref="AZ8:BA8"/>
    <mergeCell ref="BF8:BG8"/>
    <mergeCell ref="AH7:AI7"/>
    <mergeCell ref="AN7:AO7"/>
    <mergeCell ref="AT7:AU7"/>
    <mergeCell ref="A2:BJ2"/>
    <mergeCell ref="A3:BJ3"/>
    <mergeCell ref="A5:A6"/>
    <mergeCell ref="B5:G5"/>
    <mergeCell ref="H5:M5"/>
    <mergeCell ref="N5:S5"/>
    <mergeCell ref="T5:Y5"/>
    <mergeCell ref="Z5:AE5"/>
    <mergeCell ref="AF5:AK5"/>
    <mergeCell ref="AL5:AQ5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81"/>
  <sheetViews>
    <sheetView workbookViewId="0">
      <selection activeCell="Y481" sqref="A260:Y481"/>
    </sheetView>
  </sheetViews>
  <sheetFormatPr defaultColWidth="12.28515625" defaultRowHeight="15"/>
  <cols>
    <col min="1" max="1" width="8.5703125" style="500" customWidth="1"/>
    <col min="2" max="2" width="19.85546875" style="1" customWidth="1"/>
    <col min="3" max="7" width="9.85546875" style="1" customWidth="1"/>
    <col min="8" max="8" width="1.5703125" style="1" customWidth="1"/>
    <col min="9" max="13" width="10.42578125" style="1" customWidth="1"/>
    <col min="14" max="14" width="2" style="1" customWidth="1"/>
    <col min="15" max="19" width="10.42578125" style="1" customWidth="1"/>
    <col min="20" max="20" width="1.7109375" style="1" customWidth="1"/>
    <col min="21" max="24" width="10" style="1" customWidth="1"/>
    <col min="25" max="25" width="10" style="234" customWidth="1"/>
    <col min="26" max="33" width="12.28515625" style="1"/>
    <col min="34" max="36" width="13.7109375" style="1" customWidth="1"/>
    <col min="37" max="16384" width="12.28515625" style="1"/>
  </cols>
  <sheetData>
    <row r="1" spans="1:68" ht="21">
      <c r="A1" s="1263" t="s">
        <v>355</v>
      </c>
      <c r="B1" s="1263"/>
      <c r="C1" s="1263"/>
      <c r="D1" s="1263"/>
      <c r="E1" s="1263"/>
      <c r="F1" s="1263"/>
      <c r="G1" s="1263"/>
      <c r="H1" s="1263"/>
      <c r="I1" s="1263"/>
      <c r="J1" s="1263"/>
      <c r="K1" s="1263"/>
      <c r="L1" s="1263"/>
      <c r="M1" s="1263"/>
      <c r="N1" s="1263"/>
      <c r="O1" s="1263"/>
      <c r="P1" s="1263"/>
      <c r="Q1" s="1263"/>
      <c r="R1" s="1263"/>
      <c r="S1" s="1263"/>
      <c r="T1" s="1263"/>
      <c r="U1" s="1263"/>
      <c r="V1" s="1263"/>
      <c r="W1" s="1263"/>
      <c r="X1" s="1263"/>
      <c r="Y1" s="1263"/>
    </row>
    <row r="2" spans="1:68">
      <c r="A2" s="1223" t="s">
        <v>356</v>
      </c>
      <c r="B2" s="1223"/>
      <c r="C2" s="1223"/>
      <c r="D2" s="1223"/>
      <c r="E2" s="1223"/>
      <c r="F2" s="1223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23"/>
      <c r="W2" s="1223"/>
      <c r="X2" s="1223"/>
      <c r="Y2" s="1223"/>
    </row>
    <row r="3" spans="1:68">
      <c r="A3" s="1264" t="s">
        <v>357</v>
      </c>
      <c r="B3" s="1264" t="s">
        <v>334</v>
      </c>
      <c r="C3" s="1266" t="s">
        <v>358</v>
      </c>
      <c r="D3" s="1266"/>
      <c r="E3" s="1266"/>
      <c r="F3" s="1266"/>
      <c r="G3" s="1266"/>
      <c r="H3" s="652"/>
      <c r="I3" s="1267" t="s">
        <v>359</v>
      </c>
      <c r="J3" s="1266"/>
      <c r="K3" s="1266"/>
      <c r="L3" s="1266"/>
      <c r="M3" s="1266"/>
      <c r="N3" s="653"/>
      <c r="O3" s="1266" t="s">
        <v>360</v>
      </c>
      <c r="P3" s="1266"/>
      <c r="Q3" s="1266"/>
      <c r="R3" s="1266"/>
      <c r="S3" s="1266"/>
      <c r="T3" s="653"/>
      <c r="U3" s="1266" t="s">
        <v>361</v>
      </c>
      <c r="V3" s="1266"/>
      <c r="W3" s="1266"/>
      <c r="X3" s="1266"/>
      <c r="Y3" s="1266"/>
    </row>
    <row r="4" spans="1:68" ht="25.5">
      <c r="A4" s="1265"/>
      <c r="B4" s="1265"/>
      <c r="C4" s="654" t="s">
        <v>362</v>
      </c>
      <c r="D4" s="654" t="s">
        <v>363</v>
      </c>
      <c r="E4" s="654" t="s">
        <v>308</v>
      </c>
      <c r="F4" s="654" t="s">
        <v>364</v>
      </c>
      <c r="G4" s="654" t="s">
        <v>365</v>
      </c>
      <c r="H4" s="654"/>
      <c r="I4" s="655" t="s">
        <v>362</v>
      </c>
      <c r="J4" s="654" t="s">
        <v>363</v>
      </c>
      <c r="K4" s="654" t="s">
        <v>308</v>
      </c>
      <c r="L4" s="656" t="s">
        <v>364</v>
      </c>
      <c r="M4" s="654" t="s">
        <v>365</v>
      </c>
      <c r="N4" s="657"/>
      <c r="O4" s="654" t="s">
        <v>362</v>
      </c>
      <c r="P4" s="654" t="s">
        <v>363</v>
      </c>
      <c r="Q4" s="654" t="s">
        <v>308</v>
      </c>
      <c r="R4" s="654" t="s">
        <v>364</v>
      </c>
      <c r="S4" s="654" t="s">
        <v>365</v>
      </c>
      <c r="T4" s="657"/>
      <c r="U4" s="654" t="s">
        <v>362</v>
      </c>
      <c r="V4" s="654" t="s">
        <v>363</v>
      </c>
      <c r="W4" s="654" t="s">
        <v>308</v>
      </c>
      <c r="X4" s="654" t="s">
        <v>364</v>
      </c>
      <c r="Y4" s="654" t="s">
        <v>365</v>
      </c>
    </row>
    <row r="5" spans="1:68">
      <c r="A5" s="405"/>
      <c r="B5" s="658" t="s">
        <v>366</v>
      </c>
      <c r="C5" s="659">
        <f>C6+C14</f>
        <v>4820</v>
      </c>
      <c r="D5" s="659">
        <f>D6+D14</f>
        <v>3413</v>
      </c>
      <c r="E5" s="659">
        <f>E6+E14</f>
        <v>8233</v>
      </c>
      <c r="F5" s="659">
        <f>F6+F14</f>
        <v>4123</v>
      </c>
      <c r="G5" s="659">
        <f>G6+G14</f>
        <v>4110</v>
      </c>
      <c r="H5" s="659"/>
      <c r="I5" s="660">
        <f>I6+I14</f>
        <v>72</v>
      </c>
      <c r="J5" s="659">
        <f>J6+J14</f>
        <v>86</v>
      </c>
      <c r="K5" s="659">
        <f>K6+K14</f>
        <v>158</v>
      </c>
      <c r="L5" s="659">
        <f>L6+L14</f>
        <v>53</v>
      </c>
      <c r="M5" s="659">
        <f>M6+M14</f>
        <v>105</v>
      </c>
      <c r="N5" s="661"/>
      <c r="O5" s="659">
        <f>O6+O14</f>
        <v>2025</v>
      </c>
      <c r="P5" s="659">
        <f>P6+P14</f>
        <v>6836</v>
      </c>
      <c r="Q5" s="659">
        <f>Q6+Q14</f>
        <v>8861</v>
      </c>
      <c r="R5" s="659">
        <f>R6+R14</f>
        <v>6108</v>
      </c>
      <c r="S5" s="659">
        <f>S6+S14</f>
        <v>2753</v>
      </c>
      <c r="T5" s="661"/>
      <c r="U5" s="659">
        <f>U6+U14</f>
        <v>2029</v>
      </c>
      <c r="V5" s="659">
        <f>V6+V14</f>
        <v>9821</v>
      </c>
      <c r="W5" s="659">
        <f>W6+W14</f>
        <v>11850</v>
      </c>
      <c r="X5" s="659">
        <f>X6+X14</f>
        <v>9509</v>
      </c>
      <c r="Y5" s="659">
        <f>Y6+Y14</f>
        <v>2341</v>
      </c>
      <c r="AG5" s="500"/>
    </row>
    <row r="6" spans="1:68">
      <c r="A6" s="1259" t="s">
        <v>71</v>
      </c>
      <c r="B6" s="658" t="s">
        <v>367</v>
      </c>
      <c r="C6" s="662">
        <f>SUM(C8:C13)</f>
        <v>2962</v>
      </c>
      <c r="D6" s="662">
        <f>SUM(D8:D13)</f>
        <v>2003</v>
      </c>
      <c r="E6" s="662">
        <f>SUM(E8:E13)</f>
        <v>4965</v>
      </c>
      <c r="F6" s="662">
        <f>SUM(F8:F13)</f>
        <v>2435</v>
      </c>
      <c r="G6" s="662">
        <f>SUM(G8:G13)</f>
        <v>2530</v>
      </c>
      <c r="H6" s="662"/>
      <c r="I6" s="663">
        <f>SUM(I8:I13)</f>
        <v>19</v>
      </c>
      <c r="J6" s="662">
        <f>SUM(J8:J13)</f>
        <v>39</v>
      </c>
      <c r="K6" s="662">
        <f>SUM(K8:K13)</f>
        <v>58</v>
      </c>
      <c r="L6" s="662">
        <f>SUM(L8:L13)</f>
        <v>18</v>
      </c>
      <c r="M6" s="662">
        <f>SUM(M8:M13)</f>
        <v>40</v>
      </c>
      <c r="N6" s="664"/>
      <c r="O6" s="662">
        <f>SUM(O8:O13)</f>
        <v>1212</v>
      </c>
      <c r="P6" s="662">
        <f>SUM(P8:P13)</f>
        <v>4932</v>
      </c>
      <c r="Q6" s="662">
        <f>SUM(Q8:Q13)</f>
        <v>6144</v>
      </c>
      <c r="R6" s="662">
        <f>SUM(R8:R13)</f>
        <v>4363</v>
      </c>
      <c r="S6" s="662">
        <f>SUM(S8:S13)</f>
        <v>1781</v>
      </c>
      <c r="T6" s="664"/>
      <c r="U6" s="662">
        <f>SUM(U8:U13)</f>
        <v>614</v>
      </c>
      <c r="V6" s="662">
        <f>SUM(V8:V13)</f>
        <v>3289</v>
      </c>
      <c r="W6" s="662">
        <f>SUM(W8:W13)</f>
        <v>3903</v>
      </c>
      <c r="X6" s="662">
        <f>SUM(X8:X13)</f>
        <v>3111</v>
      </c>
      <c r="Y6" s="662">
        <f>SUM(Y8:Y13)</f>
        <v>792</v>
      </c>
      <c r="AG6" s="500"/>
    </row>
    <row r="7" spans="1:68">
      <c r="A7" s="1259"/>
      <c r="B7" s="658" t="s">
        <v>346</v>
      </c>
      <c r="C7" s="662"/>
      <c r="D7" s="662"/>
      <c r="E7" s="662"/>
      <c r="F7" s="662"/>
      <c r="G7" s="662"/>
      <c r="H7" s="662"/>
      <c r="I7" s="663"/>
      <c r="J7" s="662"/>
      <c r="K7" s="662"/>
      <c r="L7" s="662"/>
      <c r="M7" s="662"/>
      <c r="N7" s="664"/>
      <c r="O7" s="662"/>
      <c r="P7" s="662"/>
      <c r="Q7" s="662"/>
      <c r="R7" s="662"/>
      <c r="S7" s="662"/>
      <c r="T7" s="664"/>
      <c r="U7" s="662"/>
      <c r="V7" s="662"/>
      <c r="W7" s="662"/>
      <c r="X7" s="662"/>
      <c r="Y7" s="662"/>
      <c r="AH7" s="665"/>
      <c r="AI7" s="665"/>
      <c r="AJ7" s="665"/>
    </row>
    <row r="8" spans="1:68">
      <c r="A8" s="410" t="s">
        <v>71</v>
      </c>
      <c r="B8" s="666" t="s">
        <v>368</v>
      </c>
      <c r="C8" s="659">
        <v>0</v>
      </c>
      <c r="D8" s="674">
        <v>0</v>
      </c>
      <c r="E8" s="674">
        <v>0</v>
      </c>
      <c r="F8" s="674">
        <v>0</v>
      </c>
      <c r="G8" s="662">
        <v>0</v>
      </c>
      <c r="H8" s="662"/>
      <c r="I8" s="686">
        <v>0</v>
      </c>
      <c r="J8" s="674">
        <v>0</v>
      </c>
      <c r="K8" s="674">
        <v>0</v>
      </c>
      <c r="L8" s="674">
        <v>0</v>
      </c>
      <c r="M8" s="662">
        <v>0</v>
      </c>
      <c r="N8" s="664"/>
      <c r="O8" s="674">
        <v>1212</v>
      </c>
      <c r="P8" s="674">
        <v>4932</v>
      </c>
      <c r="Q8" s="674">
        <v>6144</v>
      </c>
      <c r="R8" s="674">
        <v>4363</v>
      </c>
      <c r="S8" s="662">
        <v>1781</v>
      </c>
      <c r="T8" s="664"/>
      <c r="U8" s="674">
        <v>0</v>
      </c>
      <c r="V8" s="674">
        <v>0</v>
      </c>
      <c r="W8" s="674">
        <v>0</v>
      </c>
      <c r="X8" s="674">
        <v>0</v>
      </c>
      <c r="Y8" s="662">
        <v>0</v>
      </c>
      <c r="AH8" s="665"/>
      <c r="AI8" s="665"/>
      <c r="AJ8" s="665"/>
    </row>
    <row r="9" spans="1:68">
      <c r="A9" s="410" t="s">
        <v>71</v>
      </c>
      <c r="B9" s="666" t="s">
        <v>369</v>
      </c>
      <c r="C9" s="674">
        <v>1990</v>
      </c>
      <c r="D9" s="674">
        <v>864</v>
      </c>
      <c r="E9" s="674">
        <v>2854</v>
      </c>
      <c r="F9" s="674">
        <v>832</v>
      </c>
      <c r="G9" s="662">
        <v>2022</v>
      </c>
      <c r="H9" s="662"/>
      <c r="I9" s="686">
        <v>0</v>
      </c>
      <c r="J9" s="674">
        <v>0</v>
      </c>
      <c r="K9" s="674">
        <v>0</v>
      </c>
      <c r="L9" s="674">
        <v>0</v>
      </c>
      <c r="M9" s="662">
        <v>0</v>
      </c>
      <c r="N9" s="664"/>
      <c r="O9" s="674">
        <v>0</v>
      </c>
      <c r="P9" s="674">
        <v>0</v>
      </c>
      <c r="Q9" s="674">
        <v>0</v>
      </c>
      <c r="R9" s="674">
        <v>0</v>
      </c>
      <c r="S9" s="662">
        <v>0</v>
      </c>
      <c r="T9" s="664"/>
      <c r="U9" s="674">
        <v>0</v>
      </c>
      <c r="V9" s="674">
        <v>0</v>
      </c>
      <c r="W9" s="674">
        <v>0</v>
      </c>
      <c r="X9" s="674">
        <v>0</v>
      </c>
      <c r="Y9" s="662">
        <v>0</v>
      </c>
      <c r="AH9" s="665"/>
      <c r="AI9" s="665"/>
      <c r="AJ9" s="66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</row>
    <row r="10" spans="1:68">
      <c r="A10" s="410" t="s">
        <v>71</v>
      </c>
      <c r="B10" s="666" t="s">
        <v>370</v>
      </c>
      <c r="C10" s="674">
        <v>0</v>
      </c>
      <c r="D10" s="674">
        <v>0</v>
      </c>
      <c r="E10" s="674">
        <v>0</v>
      </c>
      <c r="F10" s="674">
        <v>0</v>
      </c>
      <c r="G10" s="662">
        <v>0</v>
      </c>
      <c r="H10" s="662"/>
      <c r="I10" s="686">
        <v>0</v>
      </c>
      <c r="J10" s="674">
        <v>0</v>
      </c>
      <c r="K10" s="674">
        <v>0</v>
      </c>
      <c r="L10" s="674">
        <v>0</v>
      </c>
      <c r="M10" s="662">
        <v>0</v>
      </c>
      <c r="N10" s="664"/>
      <c r="O10" s="674">
        <v>0</v>
      </c>
      <c r="P10" s="674">
        <v>0</v>
      </c>
      <c r="Q10" s="674">
        <v>0</v>
      </c>
      <c r="R10" s="674">
        <v>0</v>
      </c>
      <c r="S10" s="662">
        <v>0</v>
      </c>
      <c r="T10" s="664"/>
      <c r="U10" s="674">
        <v>589</v>
      </c>
      <c r="V10" s="674">
        <v>2825</v>
      </c>
      <c r="W10" s="674">
        <v>3414</v>
      </c>
      <c r="X10" s="674">
        <v>2688</v>
      </c>
      <c r="Y10" s="662">
        <v>726</v>
      </c>
      <c r="AH10" s="665"/>
      <c r="AI10" s="665"/>
      <c r="AJ10" s="66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</row>
    <row r="11" spans="1:68">
      <c r="A11" s="410" t="s">
        <v>71</v>
      </c>
      <c r="B11" s="666" t="s">
        <v>371</v>
      </c>
      <c r="C11" s="674">
        <v>0</v>
      </c>
      <c r="D11" s="674">
        <v>0</v>
      </c>
      <c r="E11" s="674">
        <v>0</v>
      </c>
      <c r="F11" s="674">
        <v>0</v>
      </c>
      <c r="G11" s="662">
        <v>0</v>
      </c>
      <c r="H11" s="662"/>
      <c r="I11" s="686">
        <v>19</v>
      </c>
      <c r="J11" s="674">
        <v>39</v>
      </c>
      <c r="K11" s="674">
        <v>58</v>
      </c>
      <c r="L11" s="674">
        <v>18</v>
      </c>
      <c r="M11" s="662">
        <v>40</v>
      </c>
      <c r="N11" s="664"/>
      <c r="O11" s="674">
        <v>0</v>
      </c>
      <c r="P11" s="674">
        <v>0</v>
      </c>
      <c r="Q11" s="674">
        <v>0</v>
      </c>
      <c r="R11" s="674">
        <v>0</v>
      </c>
      <c r="S11" s="662">
        <v>0</v>
      </c>
      <c r="T11" s="664"/>
      <c r="U11" s="674">
        <v>0</v>
      </c>
      <c r="V11" s="674">
        <v>0</v>
      </c>
      <c r="W11" s="674">
        <v>0</v>
      </c>
      <c r="X11" s="674">
        <v>0</v>
      </c>
      <c r="Y11" s="662">
        <v>0</v>
      </c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</row>
    <row r="12" spans="1:68">
      <c r="A12" s="410" t="s">
        <v>71</v>
      </c>
      <c r="B12" s="666" t="s">
        <v>336</v>
      </c>
      <c r="C12" s="674">
        <v>895</v>
      </c>
      <c r="D12" s="674">
        <v>1074</v>
      </c>
      <c r="E12" s="674">
        <v>1969</v>
      </c>
      <c r="F12" s="674">
        <v>1514</v>
      </c>
      <c r="G12" s="662">
        <v>455</v>
      </c>
      <c r="H12" s="662"/>
      <c r="I12" s="686">
        <v>0</v>
      </c>
      <c r="J12" s="674">
        <v>0</v>
      </c>
      <c r="K12" s="674">
        <v>0</v>
      </c>
      <c r="L12" s="674">
        <v>0</v>
      </c>
      <c r="M12" s="662">
        <v>0</v>
      </c>
      <c r="N12" s="664"/>
      <c r="O12" s="674">
        <v>0</v>
      </c>
      <c r="P12" s="674">
        <v>0</v>
      </c>
      <c r="Q12" s="674">
        <v>0</v>
      </c>
      <c r="R12" s="674">
        <v>0</v>
      </c>
      <c r="S12" s="662">
        <v>0</v>
      </c>
      <c r="T12" s="664"/>
      <c r="U12" s="674">
        <v>0</v>
      </c>
      <c r="V12" s="674">
        <v>0</v>
      </c>
      <c r="W12" s="674">
        <v>0</v>
      </c>
      <c r="X12" s="674">
        <v>0</v>
      </c>
      <c r="Y12" s="662">
        <v>0</v>
      </c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</row>
    <row r="13" spans="1:68" ht="15" customHeight="1">
      <c r="A13" s="667" t="s">
        <v>372</v>
      </c>
      <c r="B13" s="668" t="s">
        <v>373</v>
      </c>
      <c r="C13" s="687">
        <v>77</v>
      </c>
      <c r="D13" s="687">
        <v>65</v>
      </c>
      <c r="E13" s="687">
        <v>142</v>
      </c>
      <c r="F13" s="687">
        <v>89</v>
      </c>
      <c r="G13" s="688">
        <v>53</v>
      </c>
      <c r="H13" s="688"/>
      <c r="I13" s="689">
        <v>0</v>
      </c>
      <c r="J13" s="687">
        <v>0</v>
      </c>
      <c r="K13" s="687">
        <v>0</v>
      </c>
      <c r="L13" s="687">
        <v>0</v>
      </c>
      <c r="M13" s="688">
        <v>0</v>
      </c>
      <c r="N13" s="690"/>
      <c r="O13" s="687">
        <v>0</v>
      </c>
      <c r="P13" s="687">
        <v>0</v>
      </c>
      <c r="Q13" s="687">
        <v>0</v>
      </c>
      <c r="R13" s="687">
        <v>0</v>
      </c>
      <c r="S13" s="688">
        <v>0</v>
      </c>
      <c r="T13" s="690"/>
      <c r="U13" s="687">
        <v>25</v>
      </c>
      <c r="V13" s="687">
        <v>464</v>
      </c>
      <c r="W13" s="687">
        <v>489</v>
      </c>
      <c r="X13" s="687">
        <v>423</v>
      </c>
      <c r="Y13" s="688">
        <v>66</v>
      </c>
      <c r="AP13" s="45"/>
      <c r="AQ13" s="1261"/>
      <c r="AR13" s="1261"/>
      <c r="AS13" s="1262"/>
      <c r="AT13" s="1262"/>
      <c r="AU13" s="1262"/>
      <c r="AV13" s="1262"/>
      <c r="AW13" s="1262"/>
      <c r="AX13" s="669"/>
      <c r="AY13" s="1262"/>
      <c r="AZ13" s="1262"/>
      <c r="BA13" s="1262"/>
      <c r="BB13" s="1262"/>
      <c r="BC13" s="1262"/>
      <c r="BD13" s="669"/>
      <c r="BE13" s="1262"/>
      <c r="BF13" s="1262"/>
      <c r="BG13" s="1262"/>
      <c r="BH13" s="1262"/>
      <c r="BI13" s="1262"/>
      <c r="BJ13" s="669"/>
      <c r="BK13" s="1262"/>
      <c r="BL13" s="1262"/>
      <c r="BM13" s="1262"/>
      <c r="BN13" s="1262"/>
      <c r="BO13" s="1262"/>
      <c r="BP13" s="45"/>
    </row>
    <row r="14" spans="1:68" s="234" customFormat="1">
      <c r="A14" s="670"/>
      <c r="B14" s="658" t="s">
        <v>374</v>
      </c>
      <c r="C14" s="662">
        <f>C15+C30+C44+C59+C73+C89+C103+C108+C118+C127+C138+C144+C153+C159+C166+C180+C192+C202+C212+C214</f>
        <v>1858</v>
      </c>
      <c r="D14" s="662">
        <f>D15+D30+D44+D59+D73+D89+D103+D108+D118+D127+D138+D144+D153+D159+D166+D180+D192+D202+D212+D214</f>
        <v>1410</v>
      </c>
      <c r="E14" s="662">
        <f>E15+E30+E44+E59+E73+E89+E103+E108+E118+E127+E138+E144+E153+E159+E166+E180+E192+E202+E212+E214</f>
        <v>3268</v>
      </c>
      <c r="F14" s="662">
        <f>F15+F30+F44+F59+F73+F89+F103+F108+F118+F127+F138+F144+F153+F159+F166+F180+F192+F202+F212+F214</f>
        <v>1688</v>
      </c>
      <c r="G14" s="662">
        <f>G15+G30+G44+G59+G73+G89+G103+G108+G118+G127+G138+G144+G153+G159+G166+G180+G192+G202+G212+G214</f>
        <v>1580</v>
      </c>
      <c r="H14" s="662"/>
      <c r="I14" s="663">
        <f>I15+I30+I44+I59+I73+I89+I103+I108+I118+I127+I138+I144+I153+I159+I166+I180+I192+I202+I212+I214</f>
        <v>53</v>
      </c>
      <c r="J14" s="662">
        <f>J15+J30+J44+J59+J73+J89+J103+J108+J118+J127+J138+J144+J153+J159+J166+J180+J192+J202+J212+J214</f>
        <v>47</v>
      </c>
      <c r="K14" s="662">
        <f>K15+K30+K44+K59+K73+K89+K103+K108+K118+K127+K138+K144+K153+K159+K166+K180+K192+K202+K212+K214</f>
        <v>100</v>
      </c>
      <c r="L14" s="662">
        <f>L15+L30+L44+L59+L73+L89+L103+L108+L118+L127+L138+L144+L153+L159+L166+L180+L192+L202+L212+L214</f>
        <v>35</v>
      </c>
      <c r="M14" s="662">
        <f>M15+M30+M44+M59+M73+M89+M103+M108+M118+M127+M138+M144+M153+M159+M166+M180+M192+M202+M212+M214</f>
        <v>65</v>
      </c>
      <c r="N14" s="664"/>
      <c r="O14" s="662">
        <f>O15+O30+O44+O59+O73+O89+O103+O108+O118+O127+O138+O144+O153+O159+O166+O180+O192+O202+O212+O214</f>
        <v>813</v>
      </c>
      <c r="P14" s="662">
        <f>P15+P30+P44+P59+P73+P89+P103+P108+P118+P127+P138+P144+P153+P159+P166+P180+P192+P202+P212+P214</f>
        <v>1904</v>
      </c>
      <c r="Q14" s="662">
        <f>Q15+Q30+Q44+Q59+Q73+Q89+Q103+Q108+Q118+Q127+Q138+Q144+Q153+Q159+Q166+Q180+Q192+Q202+Q212+Q214</f>
        <v>2717</v>
      </c>
      <c r="R14" s="662">
        <f>R15+R30+R44+R59+R73+R89+R103+R108+R118+R127+R138+R144+R153+R159+R166+R180+R192+R202+R212+R214</f>
        <v>1745</v>
      </c>
      <c r="S14" s="662">
        <f>S15+S30+S44+S59+S73+S89+S103+S108+S118+S127+S138+S144+S153+S159+S166+S180+S192+S202+S212+S214</f>
        <v>972</v>
      </c>
      <c r="T14" s="664"/>
      <c r="U14" s="662">
        <f>U15+U30+U44+U59+U73+U89+U103+U108+U118+U127+U138+U144+U153+U159+U166+U180+U192+U202+U212+U214</f>
        <v>1415</v>
      </c>
      <c r="V14" s="662">
        <f>V15+V30+V44+V59+V73+V89+V103+V108+V118+V127+V138+V144+V153+V159+V166+V180+V192+V202+V212+V214</f>
        <v>6532</v>
      </c>
      <c r="W14" s="662">
        <f>W15+W30+W44+W59+W73+W89+W103+W108+W118+W127+W138+W144+W153+W159+W166+W180+W192+W202+W212+W214</f>
        <v>7947</v>
      </c>
      <c r="X14" s="662">
        <f>X15+X30+X44+X59+X73+X89+X103+X108+X118+X127+X138+X144+X153+X159+X166+X180+X192+X202+X212+X214</f>
        <v>6398</v>
      </c>
      <c r="Y14" s="662">
        <f>Y15+Y30+Y44+Y59+Y73+Y89+Y103+Y108+Y118+Y127+Y138+Y144+Y153+Y159+Y166+Y180+Y192+Y202+Y212+Y214</f>
        <v>1549</v>
      </c>
      <c r="AA14" s="1"/>
      <c r="AB14" s="1"/>
      <c r="AC14" s="1"/>
      <c r="AD14" s="1"/>
      <c r="AE14" s="1"/>
      <c r="AP14" s="671"/>
      <c r="AQ14" s="1261"/>
      <c r="AR14" s="1261"/>
      <c r="AS14" s="672"/>
      <c r="AT14" s="672"/>
      <c r="AU14" s="672"/>
      <c r="AV14" s="672"/>
      <c r="AW14" s="672"/>
      <c r="AX14" s="672"/>
      <c r="AY14" s="672"/>
      <c r="AZ14" s="672"/>
      <c r="BA14" s="672"/>
      <c r="BB14" s="669"/>
      <c r="BC14" s="672"/>
      <c r="BD14" s="672"/>
      <c r="BE14" s="672"/>
      <c r="BF14" s="672"/>
      <c r="BG14" s="672"/>
      <c r="BH14" s="672"/>
      <c r="BI14" s="672"/>
      <c r="BJ14" s="672"/>
      <c r="BK14" s="672"/>
      <c r="BL14" s="672"/>
      <c r="BM14" s="672"/>
      <c r="BN14" s="673"/>
      <c r="BO14" s="673"/>
      <c r="BP14" s="671"/>
    </row>
    <row r="15" spans="1:68" s="234" customFormat="1">
      <c r="A15" s="405" t="s">
        <v>97</v>
      </c>
      <c r="B15" s="658" t="s">
        <v>8</v>
      </c>
      <c r="C15" s="662">
        <f>SUM(C16:C29)</f>
        <v>75</v>
      </c>
      <c r="D15" s="662">
        <f>SUM(D16:D29)</f>
        <v>50</v>
      </c>
      <c r="E15" s="662">
        <f>SUM(E16:E29)</f>
        <v>125</v>
      </c>
      <c r="F15" s="662">
        <f>SUM(F16:F29)</f>
        <v>37</v>
      </c>
      <c r="G15" s="662">
        <f>SUM(G16:G29)</f>
        <v>88</v>
      </c>
      <c r="H15" s="662"/>
      <c r="I15" s="663">
        <f>SUM(I16:I29)</f>
        <v>1</v>
      </c>
      <c r="J15" s="662">
        <f>SUM(J16:J29)</f>
        <v>1</v>
      </c>
      <c r="K15" s="662">
        <f>SUM(K16:K29)</f>
        <v>2</v>
      </c>
      <c r="L15" s="662">
        <f>SUM(L16:L29)</f>
        <v>0</v>
      </c>
      <c r="M15" s="662">
        <f>SUM(M16:M29)</f>
        <v>2</v>
      </c>
      <c r="N15" s="664"/>
      <c r="O15" s="662">
        <f>SUM(O16:O29)</f>
        <v>44</v>
      </c>
      <c r="P15" s="662">
        <f>SUM(P16:P29)</f>
        <v>62</v>
      </c>
      <c r="Q15" s="662">
        <f>SUM(Q16:Q29)</f>
        <v>106</v>
      </c>
      <c r="R15" s="662">
        <f>SUM(R16:R29)</f>
        <v>63</v>
      </c>
      <c r="S15" s="662">
        <f>SUM(S16:S29)</f>
        <v>43</v>
      </c>
      <c r="T15" s="664"/>
      <c r="U15" s="662">
        <f>SUM(U16:U29)</f>
        <v>95</v>
      </c>
      <c r="V15" s="662">
        <f>SUM(V16:V29)</f>
        <v>253</v>
      </c>
      <c r="W15" s="662">
        <f>SUM(W16:W29)</f>
        <v>348</v>
      </c>
      <c r="X15" s="662">
        <f>SUM(X16:X29)</f>
        <v>272</v>
      </c>
      <c r="Y15" s="662">
        <f>SUM(Y16:Y29)</f>
        <v>76</v>
      </c>
      <c r="AA15" s="1"/>
      <c r="AB15" s="1"/>
      <c r="AC15" s="1"/>
      <c r="AD15" s="1"/>
      <c r="AE15" s="1"/>
      <c r="AP15" s="671"/>
      <c r="AQ15" s="405"/>
      <c r="AR15" s="658"/>
      <c r="AS15" s="659"/>
      <c r="AT15" s="659"/>
      <c r="AU15" s="659"/>
      <c r="AV15" s="659"/>
      <c r="AW15" s="659"/>
      <c r="AX15" s="659"/>
      <c r="AY15" s="659"/>
      <c r="AZ15" s="659"/>
      <c r="BA15" s="659"/>
      <c r="BB15" s="659"/>
      <c r="BC15" s="659"/>
      <c r="BD15" s="659"/>
      <c r="BE15" s="659"/>
      <c r="BF15" s="659"/>
      <c r="BG15" s="659"/>
      <c r="BH15" s="659"/>
      <c r="BI15" s="659"/>
      <c r="BJ15" s="659"/>
      <c r="BK15" s="659"/>
      <c r="BL15" s="659"/>
      <c r="BM15" s="659"/>
      <c r="BN15" s="659"/>
      <c r="BO15" s="659"/>
      <c r="BP15" s="671"/>
    </row>
    <row r="16" spans="1:68" s="159" customFormat="1">
      <c r="A16" s="410" t="s">
        <v>97</v>
      </c>
      <c r="B16" s="666" t="s">
        <v>375</v>
      </c>
      <c r="C16" s="674">
        <v>0</v>
      </c>
      <c r="D16" s="674">
        <v>0</v>
      </c>
      <c r="E16" s="674">
        <v>0</v>
      </c>
      <c r="F16" s="674">
        <v>0</v>
      </c>
      <c r="G16" s="674">
        <v>0</v>
      </c>
      <c r="H16" s="674"/>
      <c r="I16" s="686">
        <v>0</v>
      </c>
      <c r="J16" s="674">
        <v>0</v>
      </c>
      <c r="K16" s="674">
        <v>0</v>
      </c>
      <c r="L16" s="674">
        <v>0</v>
      </c>
      <c r="M16" s="674">
        <v>0</v>
      </c>
      <c r="N16" s="691"/>
      <c r="O16" s="674">
        <v>0</v>
      </c>
      <c r="P16" s="674">
        <v>0</v>
      </c>
      <c r="Q16" s="674">
        <v>0</v>
      </c>
      <c r="R16" s="674">
        <v>0</v>
      </c>
      <c r="S16" s="674">
        <v>0</v>
      </c>
      <c r="T16" s="691"/>
      <c r="U16" s="674">
        <v>0</v>
      </c>
      <c r="V16" s="674">
        <v>2</v>
      </c>
      <c r="W16" s="674">
        <v>2</v>
      </c>
      <c r="X16" s="674">
        <v>1</v>
      </c>
      <c r="Y16" s="674">
        <v>1</v>
      </c>
      <c r="AP16" s="160"/>
      <c r="AQ16" s="410"/>
      <c r="AR16" s="666"/>
      <c r="AS16" s="674"/>
      <c r="AT16" s="674"/>
      <c r="AU16" s="674"/>
      <c r="AV16" s="674"/>
      <c r="AW16" s="674"/>
      <c r="AX16" s="674"/>
      <c r="AY16" s="674"/>
      <c r="AZ16" s="674"/>
      <c r="BA16" s="674"/>
      <c r="BB16" s="674"/>
      <c r="BC16" s="674"/>
      <c r="BD16" s="674"/>
      <c r="BE16" s="674"/>
      <c r="BF16" s="674"/>
      <c r="BG16" s="674"/>
      <c r="BH16" s="674"/>
      <c r="BI16" s="674"/>
      <c r="BJ16" s="674"/>
      <c r="BK16" s="674"/>
      <c r="BL16" s="674"/>
      <c r="BM16" s="674"/>
      <c r="BN16" s="674"/>
      <c r="BO16" s="674"/>
      <c r="BP16" s="160"/>
    </row>
    <row r="17" spans="1:68" s="159" customFormat="1">
      <c r="A17" s="410" t="s">
        <v>97</v>
      </c>
      <c r="B17" s="666" t="s">
        <v>376</v>
      </c>
      <c r="C17" s="674">
        <v>1</v>
      </c>
      <c r="D17" s="674">
        <v>0</v>
      </c>
      <c r="E17" s="674">
        <v>1</v>
      </c>
      <c r="F17" s="674">
        <v>1</v>
      </c>
      <c r="G17" s="674">
        <v>0</v>
      </c>
      <c r="H17" s="674"/>
      <c r="I17" s="686">
        <v>0</v>
      </c>
      <c r="J17" s="674">
        <v>0</v>
      </c>
      <c r="K17" s="674">
        <v>0</v>
      </c>
      <c r="L17" s="674">
        <v>0</v>
      </c>
      <c r="M17" s="674">
        <v>0</v>
      </c>
      <c r="N17" s="691"/>
      <c r="O17" s="674">
        <v>0</v>
      </c>
      <c r="P17" s="674">
        <v>0</v>
      </c>
      <c r="Q17" s="674">
        <v>0</v>
      </c>
      <c r="R17" s="674">
        <v>0</v>
      </c>
      <c r="S17" s="674">
        <v>0</v>
      </c>
      <c r="T17" s="691"/>
      <c r="U17" s="674">
        <v>1</v>
      </c>
      <c r="V17" s="674">
        <v>4</v>
      </c>
      <c r="W17" s="674">
        <v>5</v>
      </c>
      <c r="X17" s="674">
        <v>5</v>
      </c>
      <c r="Y17" s="674">
        <v>0</v>
      </c>
      <c r="AP17" s="160"/>
      <c r="AQ17" s="675"/>
      <c r="AR17" s="666"/>
      <c r="AS17" s="674"/>
      <c r="AT17" s="674"/>
      <c r="AU17" s="674"/>
      <c r="AV17" s="674"/>
      <c r="AW17" s="674"/>
      <c r="AX17" s="674"/>
      <c r="AY17" s="674"/>
      <c r="AZ17" s="674"/>
      <c r="BA17" s="674"/>
      <c r="BB17" s="674"/>
      <c r="BC17" s="674"/>
      <c r="BD17" s="674"/>
      <c r="BE17" s="674"/>
      <c r="BF17" s="674"/>
      <c r="BG17" s="674"/>
      <c r="BH17" s="674"/>
      <c r="BI17" s="674"/>
      <c r="BJ17" s="674"/>
      <c r="BK17" s="674"/>
      <c r="BL17" s="674"/>
      <c r="BM17" s="674"/>
      <c r="BN17" s="674"/>
      <c r="BO17" s="674"/>
      <c r="BP17" s="160"/>
    </row>
    <row r="18" spans="1:68" s="159" customFormat="1">
      <c r="A18" s="410" t="s">
        <v>97</v>
      </c>
      <c r="B18" s="666" t="s">
        <v>377</v>
      </c>
      <c r="C18" s="674">
        <v>0</v>
      </c>
      <c r="D18" s="674">
        <v>1</v>
      </c>
      <c r="E18" s="674">
        <v>1</v>
      </c>
      <c r="F18" s="674">
        <v>0</v>
      </c>
      <c r="G18" s="674">
        <v>1</v>
      </c>
      <c r="H18" s="674"/>
      <c r="I18" s="686">
        <v>0</v>
      </c>
      <c r="J18" s="674">
        <v>0</v>
      </c>
      <c r="K18" s="674">
        <v>0</v>
      </c>
      <c r="L18" s="674">
        <v>0</v>
      </c>
      <c r="M18" s="674">
        <v>0</v>
      </c>
      <c r="N18" s="691"/>
      <c r="O18" s="674">
        <v>0</v>
      </c>
      <c r="P18" s="674">
        <v>1</v>
      </c>
      <c r="Q18" s="674">
        <v>1</v>
      </c>
      <c r="R18" s="674">
        <v>1</v>
      </c>
      <c r="S18" s="674">
        <v>0</v>
      </c>
      <c r="T18" s="691"/>
      <c r="U18" s="674">
        <v>2</v>
      </c>
      <c r="V18" s="674">
        <v>4</v>
      </c>
      <c r="W18" s="674">
        <v>6</v>
      </c>
      <c r="X18" s="674">
        <v>5</v>
      </c>
      <c r="Y18" s="674">
        <v>1</v>
      </c>
      <c r="AP18" s="160"/>
      <c r="AQ18" s="410"/>
      <c r="AR18" s="666"/>
      <c r="AS18" s="674"/>
      <c r="AT18" s="674"/>
      <c r="AU18" s="674"/>
      <c r="AV18" s="674"/>
      <c r="AW18" s="674"/>
      <c r="AX18" s="674"/>
      <c r="AY18" s="674"/>
      <c r="AZ18" s="674"/>
      <c r="BA18" s="674"/>
      <c r="BB18" s="674"/>
      <c r="BC18" s="674"/>
      <c r="BD18" s="674"/>
      <c r="BE18" s="674"/>
      <c r="BF18" s="674"/>
      <c r="BG18" s="674"/>
      <c r="BH18" s="674"/>
      <c r="BI18" s="674"/>
      <c r="BJ18" s="674"/>
      <c r="BK18" s="674"/>
      <c r="BL18" s="674"/>
      <c r="BM18" s="674"/>
      <c r="BN18" s="674"/>
      <c r="BO18" s="674"/>
      <c r="BP18" s="160"/>
    </row>
    <row r="19" spans="1:68" s="159" customFormat="1">
      <c r="A19" s="410" t="s">
        <v>97</v>
      </c>
      <c r="B19" s="666" t="s">
        <v>378</v>
      </c>
      <c r="C19" s="674">
        <v>16</v>
      </c>
      <c r="D19" s="674">
        <v>11</v>
      </c>
      <c r="E19" s="674">
        <v>27</v>
      </c>
      <c r="F19" s="674">
        <v>11</v>
      </c>
      <c r="G19" s="674">
        <v>16</v>
      </c>
      <c r="H19" s="674"/>
      <c r="I19" s="686">
        <v>0</v>
      </c>
      <c r="J19" s="674">
        <v>0</v>
      </c>
      <c r="K19" s="674">
        <v>0</v>
      </c>
      <c r="L19" s="674">
        <v>0</v>
      </c>
      <c r="M19" s="674">
        <v>0</v>
      </c>
      <c r="N19" s="691"/>
      <c r="O19" s="674">
        <v>9</v>
      </c>
      <c r="P19" s="674">
        <v>6</v>
      </c>
      <c r="Q19" s="674">
        <v>15</v>
      </c>
      <c r="R19" s="674">
        <v>9</v>
      </c>
      <c r="S19" s="674">
        <v>6</v>
      </c>
      <c r="T19" s="691"/>
      <c r="U19" s="674">
        <v>23</v>
      </c>
      <c r="V19" s="674">
        <v>65</v>
      </c>
      <c r="W19" s="674">
        <v>88</v>
      </c>
      <c r="X19" s="674">
        <v>62</v>
      </c>
      <c r="Y19" s="674">
        <v>26</v>
      </c>
      <c r="AP19" s="160"/>
      <c r="AQ19" s="410"/>
      <c r="AR19" s="666"/>
      <c r="AS19" s="674"/>
      <c r="AT19" s="674"/>
      <c r="AU19" s="674"/>
      <c r="AV19" s="674"/>
      <c r="AW19" s="674"/>
      <c r="AX19" s="674"/>
      <c r="AY19" s="674"/>
      <c r="AZ19" s="674"/>
      <c r="BA19" s="674"/>
      <c r="BB19" s="674"/>
      <c r="BC19" s="674"/>
      <c r="BD19" s="674"/>
      <c r="BE19" s="674"/>
      <c r="BF19" s="674"/>
      <c r="BG19" s="674"/>
      <c r="BH19" s="674"/>
      <c r="BI19" s="674"/>
      <c r="BJ19" s="674"/>
      <c r="BK19" s="674"/>
      <c r="BL19" s="674"/>
      <c r="BM19" s="674"/>
      <c r="BN19" s="674"/>
      <c r="BO19" s="674"/>
      <c r="BP19" s="160"/>
    </row>
    <row r="20" spans="1:68" s="159" customFormat="1">
      <c r="A20" s="410" t="s">
        <v>97</v>
      </c>
      <c r="B20" s="666" t="s">
        <v>379</v>
      </c>
      <c r="C20" s="674">
        <v>11</v>
      </c>
      <c r="D20" s="674">
        <v>1</v>
      </c>
      <c r="E20" s="674">
        <v>12</v>
      </c>
      <c r="F20" s="674">
        <v>1</v>
      </c>
      <c r="G20" s="674">
        <v>11</v>
      </c>
      <c r="H20" s="674"/>
      <c r="I20" s="686">
        <v>0</v>
      </c>
      <c r="J20" s="674">
        <v>0</v>
      </c>
      <c r="K20" s="674">
        <v>0</v>
      </c>
      <c r="L20" s="674">
        <v>0</v>
      </c>
      <c r="M20" s="674">
        <v>0</v>
      </c>
      <c r="N20" s="691"/>
      <c r="O20" s="674">
        <v>10</v>
      </c>
      <c r="P20" s="674">
        <v>10</v>
      </c>
      <c r="Q20" s="674">
        <v>20</v>
      </c>
      <c r="R20" s="674">
        <v>13</v>
      </c>
      <c r="S20" s="674">
        <v>7</v>
      </c>
      <c r="T20" s="691"/>
      <c r="U20" s="674">
        <v>7</v>
      </c>
      <c r="V20" s="674">
        <v>28</v>
      </c>
      <c r="W20" s="674">
        <v>35</v>
      </c>
      <c r="X20" s="674">
        <v>31</v>
      </c>
      <c r="Y20" s="674">
        <v>4</v>
      </c>
      <c r="AP20" s="160"/>
      <c r="AQ20" s="410"/>
      <c r="AR20" s="666"/>
      <c r="AS20" s="674"/>
      <c r="AT20" s="674"/>
      <c r="AU20" s="674"/>
      <c r="AV20" s="674"/>
      <c r="AW20" s="674"/>
      <c r="AX20" s="674"/>
      <c r="AY20" s="674"/>
      <c r="AZ20" s="674"/>
      <c r="BA20" s="674"/>
      <c r="BB20" s="674"/>
      <c r="BC20" s="674"/>
      <c r="BD20" s="674"/>
      <c r="BE20" s="674"/>
      <c r="BF20" s="674"/>
      <c r="BG20" s="674"/>
      <c r="BH20" s="674"/>
      <c r="BI20" s="674"/>
      <c r="BJ20" s="674"/>
      <c r="BK20" s="674"/>
      <c r="BL20" s="674"/>
      <c r="BM20" s="674"/>
      <c r="BN20" s="674"/>
      <c r="BO20" s="674"/>
      <c r="BP20" s="160"/>
    </row>
    <row r="21" spans="1:68" s="159" customFormat="1">
      <c r="A21" s="410" t="s">
        <v>97</v>
      </c>
      <c r="B21" s="666" t="s">
        <v>380</v>
      </c>
      <c r="C21" s="674">
        <v>13</v>
      </c>
      <c r="D21" s="674">
        <v>2</v>
      </c>
      <c r="E21" s="674">
        <v>15</v>
      </c>
      <c r="F21" s="674">
        <v>1</v>
      </c>
      <c r="G21" s="674">
        <v>14</v>
      </c>
      <c r="H21" s="674"/>
      <c r="I21" s="686">
        <v>1</v>
      </c>
      <c r="J21" s="674">
        <v>0</v>
      </c>
      <c r="K21" s="674">
        <v>1</v>
      </c>
      <c r="L21" s="674">
        <v>0</v>
      </c>
      <c r="M21" s="674">
        <v>1</v>
      </c>
      <c r="N21" s="691"/>
      <c r="O21" s="674">
        <v>4</v>
      </c>
      <c r="P21" s="674">
        <v>5</v>
      </c>
      <c r="Q21" s="674">
        <v>9</v>
      </c>
      <c r="R21" s="674">
        <v>1</v>
      </c>
      <c r="S21" s="674">
        <v>8</v>
      </c>
      <c r="T21" s="691"/>
      <c r="U21" s="674">
        <v>7</v>
      </c>
      <c r="V21" s="674">
        <v>24</v>
      </c>
      <c r="W21" s="674">
        <v>31</v>
      </c>
      <c r="X21" s="674">
        <v>23</v>
      </c>
      <c r="Y21" s="674">
        <v>8</v>
      </c>
      <c r="AP21" s="160"/>
      <c r="AQ21" s="410"/>
      <c r="AR21" s="666"/>
      <c r="AS21" s="674"/>
      <c r="AT21" s="674"/>
      <c r="AU21" s="674"/>
      <c r="AV21" s="674"/>
      <c r="AW21" s="674"/>
      <c r="AX21" s="674"/>
      <c r="AY21" s="674"/>
      <c r="AZ21" s="674"/>
      <c r="BA21" s="674"/>
      <c r="BB21" s="674"/>
      <c r="BC21" s="674"/>
      <c r="BD21" s="674"/>
      <c r="BE21" s="674"/>
      <c r="BF21" s="674"/>
      <c r="BG21" s="674"/>
      <c r="BH21" s="674"/>
      <c r="BI21" s="674"/>
      <c r="BJ21" s="674"/>
      <c r="BK21" s="674"/>
      <c r="BL21" s="674"/>
      <c r="BM21" s="674"/>
      <c r="BN21" s="674"/>
      <c r="BO21" s="674"/>
      <c r="BP21" s="160"/>
    </row>
    <row r="22" spans="1:68" s="159" customFormat="1">
      <c r="A22" s="410" t="s">
        <v>97</v>
      </c>
      <c r="B22" s="666" t="s">
        <v>381</v>
      </c>
      <c r="C22" s="674">
        <v>3</v>
      </c>
      <c r="D22" s="674">
        <v>4</v>
      </c>
      <c r="E22" s="674">
        <v>7</v>
      </c>
      <c r="F22" s="674">
        <v>4</v>
      </c>
      <c r="G22" s="674">
        <v>3</v>
      </c>
      <c r="H22" s="674"/>
      <c r="I22" s="686">
        <v>0</v>
      </c>
      <c r="J22" s="674">
        <v>0</v>
      </c>
      <c r="K22" s="674">
        <v>0</v>
      </c>
      <c r="L22" s="674">
        <v>0</v>
      </c>
      <c r="M22" s="674">
        <v>0</v>
      </c>
      <c r="N22" s="691"/>
      <c r="O22" s="674">
        <v>6</v>
      </c>
      <c r="P22" s="674">
        <v>10</v>
      </c>
      <c r="Q22" s="674">
        <v>16</v>
      </c>
      <c r="R22" s="674">
        <v>14</v>
      </c>
      <c r="S22" s="674">
        <v>2</v>
      </c>
      <c r="T22" s="691"/>
      <c r="U22" s="674">
        <v>3</v>
      </c>
      <c r="V22" s="674">
        <v>12</v>
      </c>
      <c r="W22" s="674">
        <v>15</v>
      </c>
      <c r="X22" s="674">
        <v>15</v>
      </c>
      <c r="Y22" s="674">
        <v>0</v>
      </c>
      <c r="AP22" s="160"/>
      <c r="AQ22" s="410"/>
      <c r="AR22" s="666"/>
      <c r="AS22" s="674"/>
      <c r="AT22" s="674"/>
      <c r="AU22" s="674"/>
      <c r="AV22" s="674"/>
      <c r="AW22" s="674"/>
      <c r="AX22" s="674"/>
      <c r="AY22" s="674"/>
      <c r="AZ22" s="674"/>
      <c r="BA22" s="674"/>
      <c r="BB22" s="674"/>
      <c r="BC22" s="674"/>
      <c r="BD22" s="674"/>
      <c r="BE22" s="674"/>
      <c r="BF22" s="674"/>
      <c r="BG22" s="674"/>
      <c r="BH22" s="674"/>
      <c r="BI22" s="674"/>
      <c r="BJ22" s="674"/>
      <c r="BK22" s="674"/>
      <c r="BL22" s="674"/>
      <c r="BM22" s="674"/>
      <c r="BN22" s="674"/>
      <c r="BO22" s="674"/>
      <c r="BP22" s="160"/>
    </row>
    <row r="23" spans="1:68" s="159" customFormat="1">
      <c r="A23" s="410" t="s">
        <v>97</v>
      </c>
      <c r="B23" s="666" t="s">
        <v>382</v>
      </c>
      <c r="C23" s="674">
        <v>3</v>
      </c>
      <c r="D23" s="674">
        <v>11</v>
      </c>
      <c r="E23" s="674">
        <v>14</v>
      </c>
      <c r="F23" s="674">
        <v>0</v>
      </c>
      <c r="G23" s="674">
        <v>14</v>
      </c>
      <c r="H23" s="674"/>
      <c r="I23" s="686">
        <v>0</v>
      </c>
      <c r="J23" s="674">
        <v>0</v>
      </c>
      <c r="K23" s="674">
        <v>0</v>
      </c>
      <c r="L23" s="674">
        <v>0</v>
      </c>
      <c r="M23" s="674">
        <v>0</v>
      </c>
      <c r="N23" s="691"/>
      <c r="O23" s="674">
        <v>7</v>
      </c>
      <c r="P23" s="674">
        <v>19</v>
      </c>
      <c r="Q23" s="674">
        <v>26</v>
      </c>
      <c r="R23" s="674">
        <v>12</v>
      </c>
      <c r="S23" s="674">
        <v>14</v>
      </c>
      <c r="T23" s="691"/>
      <c r="U23" s="674">
        <v>26</v>
      </c>
      <c r="V23" s="674">
        <v>39</v>
      </c>
      <c r="W23" s="674">
        <v>65</v>
      </c>
      <c r="X23" s="674">
        <v>48</v>
      </c>
      <c r="Y23" s="674">
        <v>17</v>
      </c>
      <c r="AP23" s="160"/>
      <c r="AQ23" s="410"/>
      <c r="AR23" s="666"/>
      <c r="AS23" s="674"/>
      <c r="AT23" s="674"/>
      <c r="AU23" s="674"/>
      <c r="AV23" s="674"/>
      <c r="AW23" s="674"/>
      <c r="AX23" s="674"/>
      <c r="AY23" s="674"/>
      <c r="AZ23" s="674"/>
      <c r="BA23" s="674"/>
      <c r="BB23" s="674"/>
      <c r="BC23" s="674"/>
      <c r="BD23" s="674"/>
      <c r="BE23" s="674"/>
      <c r="BF23" s="674"/>
      <c r="BG23" s="674"/>
      <c r="BH23" s="674"/>
      <c r="BI23" s="674"/>
      <c r="BJ23" s="674"/>
      <c r="BK23" s="674"/>
      <c r="BL23" s="674"/>
      <c r="BM23" s="674"/>
      <c r="BN23" s="674"/>
      <c r="BO23" s="674"/>
      <c r="BP23" s="160"/>
    </row>
    <row r="24" spans="1:68" s="159" customFormat="1">
      <c r="A24" s="410" t="s">
        <v>97</v>
      </c>
      <c r="B24" s="666" t="s">
        <v>383</v>
      </c>
      <c r="C24" s="674">
        <v>7</v>
      </c>
      <c r="D24" s="674">
        <v>1</v>
      </c>
      <c r="E24" s="674">
        <v>8</v>
      </c>
      <c r="F24" s="674">
        <v>5</v>
      </c>
      <c r="G24" s="674">
        <v>3</v>
      </c>
      <c r="H24" s="674"/>
      <c r="I24" s="686">
        <v>0</v>
      </c>
      <c r="J24" s="674">
        <v>0</v>
      </c>
      <c r="K24" s="674">
        <v>0</v>
      </c>
      <c r="L24" s="674">
        <v>0</v>
      </c>
      <c r="M24" s="674">
        <v>0</v>
      </c>
      <c r="N24" s="691"/>
      <c r="O24" s="674">
        <v>1</v>
      </c>
      <c r="P24" s="674">
        <v>1</v>
      </c>
      <c r="Q24" s="674">
        <v>2</v>
      </c>
      <c r="R24" s="674">
        <v>1</v>
      </c>
      <c r="S24" s="674">
        <v>1</v>
      </c>
      <c r="T24" s="691"/>
      <c r="U24" s="674">
        <v>4</v>
      </c>
      <c r="V24" s="674">
        <v>10</v>
      </c>
      <c r="W24" s="674">
        <v>14</v>
      </c>
      <c r="X24" s="674">
        <v>12</v>
      </c>
      <c r="Y24" s="674">
        <v>2</v>
      </c>
      <c r="AP24" s="160"/>
      <c r="AQ24" s="410"/>
      <c r="AR24" s="666"/>
      <c r="AS24" s="674"/>
      <c r="AT24" s="674"/>
      <c r="AU24" s="674"/>
      <c r="AV24" s="674"/>
      <c r="AW24" s="674"/>
      <c r="AX24" s="674"/>
      <c r="AY24" s="674"/>
      <c r="AZ24" s="674"/>
      <c r="BA24" s="674"/>
      <c r="BB24" s="674"/>
      <c r="BC24" s="674"/>
      <c r="BD24" s="674"/>
      <c r="BE24" s="674"/>
      <c r="BF24" s="674"/>
      <c r="BG24" s="674"/>
      <c r="BH24" s="674"/>
      <c r="BI24" s="674"/>
      <c r="BJ24" s="674"/>
      <c r="BK24" s="674"/>
      <c r="BL24" s="674"/>
      <c r="BM24" s="674"/>
      <c r="BN24" s="674"/>
      <c r="BO24" s="674"/>
      <c r="BP24" s="160"/>
    </row>
    <row r="25" spans="1:68" s="159" customFormat="1">
      <c r="A25" s="410" t="s">
        <v>97</v>
      </c>
      <c r="B25" s="666" t="s">
        <v>384</v>
      </c>
      <c r="C25" s="674">
        <v>0</v>
      </c>
      <c r="D25" s="674">
        <v>2</v>
      </c>
      <c r="E25" s="674">
        <v>2</v>
      </c>
      <c r="F25" s="674">
        <v>1</v>
      </c>
      <c r="G25" s="674">
        <v>1</v>
      </c>
      <c r="H25" s="674"/>
      <c r="I25" s="686">
        <v>0</v>
      </c>
      <c r="J25" s="674">
        <v>0</v>
      </c>
      <c r="K25" s="674">
        <v>0</v>
      </c>
      <c r="L25" s="674">
        <v>0</v>
      </c>
      <c r="M25" s="674">
        <v>0</v>
      </c>
      <c r="N25" s="691"/>
      <c r="O25" s="674">
        <v>0</v>
      </c>
      <c r="P25" s="674">
        <v>4</v>
      </c>
      <c r="Q25" s="674">
        <v>4</v>
      </c>
      <c r="R25" s="674">
        <v>4</v>
      </c>
      <c r="S25" s="674">
        <v>0</v>
      </c>
      <c r="T25" s="691"/>
      <c r="U25" s="674">
        <v>4</v>
      </c>
      <c r="V25" s="674">
        <v>12</v>
      </c>
      <c r="W25" s="674">
        <v>16</v>
      </c>
      <c r="X25" s="674">
        <v>16</v>
      </c>
      <c r="Y25" s="674">
        <v>0</v>
      </c>
      <c r="AP25" s="160"/>
      <c r="AQ25" s="410"/>
      <c r="AR25" s="666"/>
      <c r="AS25" s="674"/>
      <c r="AT25" s="674"/>
      <c r="AU25" s="674"/>
      <c r="AV25" s="674"/>
      <c r="AW25" s="674"/>
      <c r="AX25" s="674"/>
      <c r="AY25" s="674"/>
      <c r="AZ25" s="674"/>
      <c r="BA25" s="674"/>
      <c r="BB25" s="674"/>
      <c r="BC25" s="674"/>
      <c r="BD25" s="674"/>
      <c r="BE25" s="674"/>
      <c r="BF25" s="674"/>
      <c r="BG25" s="674"/>
      <c r="BH25" s="674"/>
      <c r="BI25" s="674"/>
      <c r="BJ25" s="674"/>
      <c r="BK25" s="674"/>
      <c r="BL25" s="674"/>
      <c r="BM25" s="674"/>
      <c r="BN25" s="674"/>
      <c r="BO25" s="674"/>
      <c r="BP25" s="160"/>
    </row>
    <row r="26" spans="1:68" s="159" customFormat="1">
      <c r="A26" s="410" t="s">
        <v>97</v>
      </c>
      <c r="B26" s="666" t="s">
        <v>385</v>
      </c>
      <c r="C26" s="674">
        <v>5</v>
      </c>
      <c r="D26" s="674">
        <v>1</v>
      </c>
      <c r="E26" s="674">
        <v>6</v>
      </c>
      <c r="F26" s="674">
        <v>1</v>
      </c>
      <c r="G26" s="674">
        <v>5</v>
      </c>
      <c r="H26" s="674"/>
      <c r="I26" s="686">
        <v>0</v>
      </c>
      <c r="J26" s="674">
        <v>0</v>
      </c>
      <c r="K26" s="674">
        <v>0</v>
      </c>
      <c r="L26" s="674">
        <v>0</v>
      </c>
      <c r="M26" s="674">
        <v>0</v>
      </c>
      <c r="N26" s="691"/>
      <c r="O26" s="674">
        <v>1</v>
      </c>
      <c r="P26" s="674">
        <v>1</v>
      </c>
      <c r="Q26" s="674">
        <v>2</v>
      </c>
      <c r="R26" s="674">
        <v>2</v>
      </c>
      <c r="S26" s="674">
        <v>0</v>
      </c>
      <c r="T26" s="691"/>
      <c r="U26" s="674">
        <v>5</v>
      </c>
      <c r="V26" s="674">
        <v>9</v>
      </c>
      <c r="W26" s="674">
        <v>14</v>
      </c>
      <c r="X26" s="674">
        <v>8</v>
      </c>
      <c r="Y26" s="674">
        <v>6</v>
      </c>
      <c r="AP26" s="160"/>
      <c r="AQ26" s="410"/>
      <c r="AR26" s="666"/>
      <c r="AS26" s="674"/>
      <c r="AT26" s="674"/>
      <c r="AU26" s="674"/>
      <c r="AV26" s="674"/>
      <c r="AW26" s="674"/>
      <c r="AX26" s="674"/>
      <c r="AY26" s="674"/>
      <c r="AZ26" s="674"/>
      <c r="BA26" s="674"/>
      <c r="BB26" s="674"/>
      <c r="BC26" s="674"/>
      <c r="BD26" s="674"/>
      <c r="BE26" s="674"/>
      <c r="BF26" s="674"/>
      <c r="BG26" s="674"/>
      <c r="BH26" s="674"/>
      <c r="BI26" s="674"/>
      <c r="BJ26" s="674"/>
      <c r="BK26" s="674"/>
      <c r="BL26" s="674"/>
      <c r="BM26" s="674"/>
      <c r="BN26" s="674"/>
      <c r="BO26" s="674"/>
      <c r="BP26" s="160"/>
    </row>
    <row r="27" spans="1:68" s="159" customFormat="1">
      <c r="A27" s="410" t="s">
        <v>97</v>
      </c>
      <c r="B27" s="666" t="s">
        <v>386</v>
      </c>
      <c r="C27" s="674">
        <v>0</v>
      </c>
      <c r="D27" s="674">
        <v>0</v>
      </c>
      <c r="E27" s="674">
        <v>0</v>
      </c>
      <c r="F27" s="674">
        <v>0</v>
      </c>
      <c r="G27" s="674">
        <v>0</v>
      </c>
      <c r="H27" s="674"/>
      <c r="I27" s="686">
        <v>0</v>
      </c>
      <c r="J27" s="674">
        <v>0</v>
      </c>
      <c r="K27" s="674">
        <v>0</v>
      </c>
      <c r="L27" s="674">
        <v>0</v>
      </c>
      <c r="M27" s="674">
        <v>0</v>
      </c>
      <c r="N27" s="691"/>
      <c r="O27" s="674">
        <v>1</v>
      </c>
      <c r="P27" s="674">
        <v>0</v>
      </c>
      <c r="Q27" s="674">
        <v>1</v>
      </c>
      <c r="R27" s="674">
        <v>1</v>
      </c>
      <c r="S27" s="674">
        <v>0</v>
      </c>
      <c r="T27" s="691"/>
      <c r="U27" s="674">
        <v>3</v>
      </c>
      <c r="V27" s="674">
        <v>16</v>
      </c>
      <c r="W27" s="674">
        <v>19</v>
      </c>
      <c r="X27" s="674">
        <v>17</v>
      </c>
      <c r="Y27" s="674">
        <v>2</v>
      </c>
      <c r="AP27" s="160"/>
      <c r="AQ27" s="410"/>
      <c r="AR27" s="666"/>
      <c r="AS27" s="674"/>
      <c r="AT27" s="674"/>
      <c r="AU27" s="674"/>
      <c r="AV27" s="674"/>
      <c r="AW27" s="674"/>
      <c r="AX27" s="674"/>
      <c r="AY27" s="674"/>
      <c r="AZ27" s="674"/>
      <c r="BA27" s="674"/>
      <c r="BB27" s="674"/>
      <c r="BC27" s="674"/>
      <c r="BD27" s="674"/>
      <c r="BE27" s="674"/>
      <c r="BF27" s="674"/>
      <c r="BG27" s="674"/>
      <c r="BH27" s="674"/>
      <c r="BI27" s="674"/>
      <c r="BJ27" s="674"/>
      <c r="BK27" s="674"/>
      <c r="BL27" s="674"/>
      <c r="BM27" s="674"/>
      <c r="BN27" s="674"/>
      <c r="BO27" s="674"/>
      <c r="BP27" s="160"/>
    </row>
    <row r="28" spans="1:68" s="159" customFormat="1">
      <c r="A28" s="410" t="s">
        <v>97</v>
      </c>
      <c r="B28" s="666" t="s">
        <v>387</v>
      </c>
      <c r="C28" s="674">
        <v>2</v>
      </c>
      <c r="D28" s="674">
        <v>0</v>
      </c>
      <c r="E28" s="674">
        <v>2</v>
      </c>
      <c r="F28" s="674">
        <v>1</v>
      </c>
      <c r="G28" s="674">
        <v>1</v>
      </c>
      <c r="H28" s="674"/>
      <c r="I28" s="686">
        <v>0</v>
      </c>
      <c r="J28" s="674">
        <v>0</v>
      </c>
      <c r="K28" s="674">
        <v>0</v>
      </c>
      <c r="L28" s="674">
        <v>0</v>
      </c>
      <c r="M28" s="674">
        <v>0</v>
      </c>
      <c r="N28" s="691"/>
      <c r="O28" s="674">
        <v>1</v>
      </c>
      <c r="P28" s="674">
        <v>2</v>
      </c>
      <c r="Q28" s="674">
        <v>3</v>
      </c>
      <c r="R28" s="674">
        <v>0</v>
      </c>
      <c r="S28" s="674">
        <v>3</v>
      </c>
      <c r="T28" s="691"/>
      <c r="U28" s="674">
        <v>3</v>
      </c>
      <c r="V28" s="674">
        <v>12</v>
      </c>
      <c r="W28" s="674">
        <v>15</v>
      </c>
      <c r="X28" s="674">
        <v>12</v>
      </c>
      <c r="Y28" s="674">
        <v>3</v>
      </c>
      <c r="AP28" s="160"/>
      <c r="AQ28" s="410"/>
      <c r="AR28" s="666"/>
      <c r="AS28" s="674"/>
      <c r="AT28" s="674"/>
      <c r="AU28" s="674"/>
      <c r="AV28" s="674"/>
      <c r="AW28" s="674"/>
      <c r="AX28" s="674"/>
      <c r="AY28" s="674"/>
      <c r="AZ28" s="674"/>
      <c r="BA28" s="674"/>
      <c r="BB28" s="674"/>
      <c r="BC28" s="674"/>
      <c r="BD28" s="674"/>
      <c r="BE28" s="674"/>
      <c r="BF28" s="674"/>
      <c r="BG28" s="674"/>
      <c r="BH28" s="674"/>
      <c r="BI28" s="674"/>
      <c r="BJ28" s="674"/>
      <c r="BK28" s="674"/>
      <c r="BL28" s="674"/>
      <c r="BM28" s="674"/>
      <c r="BN28" s="674"/>
      <c r="BO28" s="674"/>
      <c r="BP28" s="160"/>
    </row>
    <row r="29" spans="1:68" s="159" customFormat="1">
      <c r="A29" s="667" t="s">
        <v>97</v>
      </c>
      <c r="B29" s="668" t="s">
        <v>388</v>
      </c>
      <c r="C29" s="687">
        <v>14</v>
      </c>
      <c r="D29" s="687">
        <v>16</v>
      </c>
      <c r="E29" s="687">
        <v>30</v>
      </c>
      <c r="F29" s="687">
        <v>11</v>
      </c>
      <c r="G29" s="687">
        <v>19</v>
      </c>
      <c r="H29" s="687"/>
      <c r="I29" s="689">
        <v>0</v>
      </c>
      <c r="J29" s="687">
        <v>1</v>
      </c>
      <c r="K29" s="687">
        <v>1</v>
      </c>
      <c r="L29" s="687">
        <v>0</v>
      </c>
      <c r="M29" s="687">
        <v>1</v>
      </c>
      <c r="N29" s="692"/>
      <c r="O29" s="687">
        <v>4</v>
      </c>
      <c r="P29" s="687">
        <v>3</v>
      </c>
      <c r="Q29" s="687">
        <v>7</v>
      </c>
      <c r="R29" s="687">
        <v>5</v>
      </c>
      <c r="S29" s="687">
        <v>2</v>
      </c>
      <c r="T29" s="692"/>
      <c r="U29" s="687">
        <v>7</v>
      </c>
      <c r="V29" s="687">
        <v>16</v>
      </c>
      <c r="W29" s="687">
        <v>23</v>
      </c>
      <c r="X29" s="687">
        <v>17</v>
      </c>
      <c r="Y29" s="687">
        <v>6</v>
      </c>
      <c r="AP29" s="160"/>
      <c r="AQ29" s="410"/>
      <c r="AR29" s="666"/>
      <c r="AS29" s="674"/>
      <c r="AT29" s="674"/>
      <c r="AU29" s="674"/>
      <c r="AV29" s="674"/>
      <c r="AW29" s="674"/>
      <c r="AX29" s="674"/>
      <c r="AY29" s="674"/>
      <c r="AZ29" s="674"/>
      <c r="BA29" s="674"/>
      <c r="BB29" s="674"/>
      <c r="BC29" s="674"/>
      <c r="BD29" s="674"/>
      <c r="BE29" s="674"/>
      <c r="BF29" s="674"/>
      <c r="BG29" s="674"/>
      <c r="BH29" s="674"/>
      <c r="BI29" s="674"/>
      <c r="BJ29" s="674"/>
      <c r="BK29" s="674"/>
      <c r="BL29" s="674"/>
      <c r="BM29" s="674"/>
      <c r="BN29" s="674"/>
      <c r="BO29" s="674"/>
      <c r="BP29" s="160"/>
    </row>
    <row r="30" spans="1:68" s="234" customFormat="1">
      <c r="A30" s="405" t="s">
        <v>99</v>
      </c>
      <c r="B30" s="658" t="s">
        <v>8</v>
      </c>
      <c r="C30" s="662">
        <f>SUM(C31:C43)</f>
        <v>84</v>
      </c>
      <c r="D30" s="662">
        <f>SUM(D31:D43)</f>
        <v>71</v>
      </c>
      <c r="E30" s="662">
        <f>SUM(E31:E43)</f>
        <v>155</v>
      </c>
      <c r="F30" s="662">
        <f>SUM(F31:F43)</f>
        <v>99</v>
      </c>
      <c r="G30" s="662">
        <f>SUM(G31:G43)</f>
        <v>56</v>
      </c>
      <c r="H30" s="662"/>
      <c r="I30" s="663">
        <f t="shared" ref="I30:M30" si="0">SUM(I31:I43)</f>
        <v>2</v>
      </c>
      <c r="J30" s="662">
        <f t="shared" si="0"/>
        <v>0</v>
      </c>
      <c r="K30" s="662">
        <f t="shared" si="0"/>
        <v>2</v>
      </c>
      <c r="L30" s="662">
        <f t="shared" si="0"/>
        <v>0</v>
      </c>
      <c r="M30" s="662">
        <f t="shared" si="0"/>
        <v>2</v>
      </c>
      <c r="N30" s="664"/>
      <c r="O30" s="662">
        <f>SUM(O31:O43)</f>
        <v>22</v>
      </c>
      <c r="P30" s="662">
        <f>SUM(P31:P43)</f>
        <v>95</v>
      </c>
      <c r="Q30" s="662">
        <f>SUM(Q31:Q43)</f>
        <v>117</v>
      </c>
      <c r="R30" s="662">
        <f>SUM(R31:R43)</f>
        <v>62</v>
      </c>
      <c r="S30" s="662">
        <f>SUM(S31:S43)</f>
        <v>55</v>
      </c>
      <c r="T30" s="664"/>
      <c r="U30" s="662">
        <f>SUM(U31:U43)</f>
        <v>93</v>
      </c>
      <c r="V30" s="662">
        <f>SUM(V31:V43)</f>
        <v>497</v>
      </c>
      <c r="W30" s="662">
        <f>SUM(W31:W43)</f>
        <v>590</v>
      </c>
      <c r="X30" s="662">
        <f>SUM(X31:X43)</f>
        <v>431</v>
      </c>
      <c r="Y30" s="662">
        <f>SUM(Y31:Y43)</f>
        <v>159</v>
      </c>
      <c r="AA30" s="1"/>
      <c r="AB30" s="1"/>
      <c r="AC30" s="1"/>
      <c r="AD30" s="1"/>
      <c r="AE30" s="1"/>
      <c r="AP30" s="671"/>
      <c r="AQ30" s="405"/>
      <c r="AR30" s="658"/>
      <c r="AS30" s="662"/>
      <c r="AT30" s="662"/>
      <c r="AU30" s="662"/>
      <c r="AV30" s="662"/>
      <c r="AW30" s="662"/>
      <c r="AX30" s="662"/>
      <c r="AY30" s="662"/>
      <c r="AZ30" s="662"/>
      <c r="BA30" s="662"/>
      <c r="BB30" s="662"/>
      <c r="BC30" s="662"/>
      <c r="BD30" s="662"/>
      <c r="BE30" s="662"/>
      <c r="BF30" s="662"/>
      <c r="BG30" s="662"/>
      <c r="BH30" s="662"/>
      <c r="BI30" s="662"/>
      <c r="BJ30" s="662"/>
      <c r="BK30" s="662"/>
      <c r="BL30" s="662"/>
      <c r="BM30" s="662"/>
      <c r="BN30" s="662"/>
      <c r="BO30" s="662"/>
      <c r="BP30" s="671"/>
    </row>
    <row r="31" spans="1:68" s="159" customFormat="1">
      <c r="A31" s="410" t="s">
        <v>99</v>
      </c>
      <c r="B31" s="666" t="s">
        <v>389</v>
      </c>
      <c r="C31" s="674">
        <v>1</v>
      </c>
      <c r="D31" s="674">
        <v>0</v>
      </c>
      <c r="E31" s="674">
        <v>1</v>
      </c>
      <c r="F31" s="674">
        <v>1</v>
      </c>
      <c r="G31" s="674">
        <v>0</v>
      </c>
      <c r="H31" s="674"/>
      <c r="I31" s="686">
        <v>0</v>
      </c>
      <c r="J31" s="674">
        <v>0</v>
      </c>
      <c r="K31" s="674">
        <v>0</v>
      </c>
      <c r="L31" s="674">
        <v>0</v>
      </c>
      <c r="M31" s="674">
        <v>0</v>
      </c>
      <c r="N31" s="691"/>
      <c r="O31" s="674">
        <v>0</v>
      </c>
      <c r="P31" s="674">
        <v>3</v>
      </c>
      <c r="Q31" s="674">
        <v>3</v>
      </c>
      <c r="R31" s="674">
        <v>3</v>
      </c>
      <c r="S31" s="674">
        <v>0</v>
      </c>
      <c r="T31" s="691"/>
      <c r="U31" s="674">
        <v>0</v>
      </c>
      <c r="V31" s="674">
        <v>6</v>
      </c>
      <c r="W31" s="674">
        <v>6</v>
      </c>
      <c r="X31" s="674">
        <v>3</v>
      </c>
      <c r="Y31" s="674">
        <v>3</v>
      </c>
      <c r="AP31" s="160"/>
      <c r="AQ31" s="410"/>
      <c r="AR31" s="666"/>
      <c r="AS31" s="674"/>
      <c r="AT31" s="674"/>
      <c r="AU31" s="674"/>
      <c r="AV31" s="674"/>
      <c r="AW31" s="674"/>
      <c r="AX31" s="674"/>
      <c r="AY31" s="674"/>
      <c r="AZ31" s="674"/>
      <c r="BA31" s="674"/>
      <c r="BB31" s="674"/>
      <c r="BC31" s="674"/>
      <c r="BD31" s="674"/>
      <c r="BE31" s="674"/>
      <c r="BF31" s="674"/>
      <c r="BG31" s="674"/>
      <c r="BH31" s="674"/>
      <c r="BI31" s="674"/>
      <c r="BJ31" s="674"/>
      <c r="BK31" s="674"/>
      <c r="BL31" s="674"/>
      <c r="BM31" s="674"/>
      <c r="BN31" s="674"/>
      <c r="BO31" s="674"/>
      <c r="BP31" s="160"/>
    </row>
    <row r="32" spans="1:68" s="159" customFormat="1">
      <c r="A32" s="410" t="s">
        <v>99</v>
      </c>
      <c r="B32" s="666" t="s">
        <v>390</v>
      </c>
      <c r="C32" s="674">
        <v>1</v>
      </c>
      <c r="D32" s="674">
        <v>2</v>
      </c>
      <c r="E32" s="674">
        <v>3</v>
      </c>
      <c r="F32" s="674">
        <v>3</v>
      </c>
      <c r="G32" s="674">
        <v>0</v>
      </c>
      <c r="H32" s="674"/>
      <c r="I32" s="686">
        <v>0</v>
      </c>
      <c r="J32" s="674">
        <v>0</v>
      </c>
      <c r="K32" s="674">
        <v>0</v>
      </c>
      <c r="L32" s="674">
        <v>0</v>
      </c>
      <c r="M32" s="674">
        <v>0</v>
      </c>
      <c r="N32" s="691"/>
      <c r="O32" s="674">
        <v>0</v>
      </c>
      <c r="P32" s="674">
        <v>6</v>
      </c>
      <c r="Q32" s="674">
        <v>6</v>
      </c>
      <c r="R32" s="674">
        <v>4</v>
      </c>
      <c r="S32" s="674">
        <v>2</v>
      </c>
      <c r="T32" s="691"/>
      <c r="U32" s="674">
        <v>3</v>
      </c>
      <c r="V32" s="674">
        <v>41</v>
      </c>
      <c r="W32" s="674">
        <v>44</v>
      </c>
      <c r="X32" s="674">
        <v>37</v>
      </c>
      <c r="Y32" s="674">
        <v>7</v>
      </c>
      <c r="AP32" s="160"/>
      <c r="AQ32" s="410"/>
      <c r="AR32" s="666"/>
      <c r="AS32" s="674"/>
      <c r="AT32" s="674"/>
      <c r="AU32" s="674"/>
      <c r="AV32" s="674"/>
      <c r="AW32" s="674"/>
      <c r="AX32" s="674"/>
      <c r="AY32" s="674"/>
      <c r="AZ32" s="674"/>
      <c r="BA32" s="674"/>
      <c r="BB32" s="674"/>
      <c r="BC32" s="674"/>
      <c r="BD32" s="674"/>
      <c r="BE32" s="674"/>
      <c r="BF32" s="674"/>
      <c r="BG32" s="674"/>
      <c r="BH32" s="674"/>
      <c r="BI32" s="674"/>
      <c r="BJ32" s="674"/>
      <c r="BK32" s="674"/>
      <c r="BL32" s="674"/>
      <c r="BM32" s="674"/>
      <c r="BN32" s="674"/>
      <c r="BO32" s="674"/>
      <c r="BP32" s="160"/>
    </row>
    <row r="33" spans="1:68" s="159" customFormat="1">
      <c r="A33" s="410" t="s">
        <v>99</v>
      </c>
      <c r="B33" s="666" t="s">
        <v>391</v>
      </c>
      <c r="C33" s="674">
        <v>0</v>
      </c>
      <c r="D33" s="674">
        <v>1</v>
      </c>
      <c r="E33" s="674">
        <v>1</v>
      </c>
      <c r="F33" s="674">
        <v>0</v>
      </c>
      <c r="G33" s="674">
        <v>1</v>
      </c>
      <c r="H33" s="674"/>
      <c r="I33" s="686">
        <v>0</v>
      </c>
      <c r="J33" s="674">
        <v>0</v>
      </c>
      <c r="K33" s="674">
        <v>0</v>
      </c>
      <c r="L33" s="674">
        <v>0</v>
      </c>
      <c r="M33" s="674">
        <v>0</v>
      </c>
      <c r="N33" s="691"/>
      <c r="O33" s="674">
        <v>1</v>
      </c>
      <c r="P33" s="674">
        <v>1</v>
      </c>
      <c r="Q33" s="674">
        <v>2</v>
      </c>
      <c r="R33" s="674">
        <v>1</v>
      </c>
      <c r="S33" s="674">
        <v>1</v>
      </c>
      <c r="T33" s="691"/>
      <c r="U33" s="674">
        <v>3</v>
      </c>
      <c r="V33" s="674">
        <v>10</v>
      </c>
      <c r="W33" s="674">
        <v>13</v>
      </c>
      <c r="X33" s="674">
        <v>12</v>
      </c>
      <c r="Y33" s="674">
        <v>1</v>
      </c>
      <c r="AP33" s="160"/>
      <c r="AQ33" s="410"/>
      <c r="AR33" s="666"/>
      <c r="AS33" s="674"/>
      <c r="AT33" s="674"/>
      <c r="AU33" s="674"/>
      <c r="AV33" s="674"/>
      <c r="AW33" s="674"/>
      <c r="AX33" s="674"/>
      <c r="AY33" s="674"/>
      <c r="AZ33" s="674"/>
      <c r="BA33" s="674"/>
      <c r="BB33" s="674"/>
      <c r="BC33" s="674"/>
      <c r="BD33" s="674"/>
      <c r="BE33" s="674"/>
      <c r="BF33" s="674"/>
      <c r="BG33" s="674"/>
      <c r="BH33" s="674"/>
      <c r="BI33" s="674"/>
      <c r="BJ33" s="674"/>
      <c r="BK33" s="674"/>
      <c r="BL33" s="674"/>
      <c r="BM33" s="674"/>
      <c r="BN33" s="674"/>
      <c r="BO33" s="674"/>
      <c r="BP33" s="160"/>
    </row>
    <row r="34" spans="1:68" s="159" customFormat="1">
      <c r="A34" s="410" t="s">
        <v>99</v>
      </c>
      <c r="B34" s="666" t="s">
        <v>392</v>
      </c>
      <c r="C34" s="674">
        <v>1</v>
      </c>
      <c r="D34" s="674">
        <v>0</v>
      </c>
      <c r="E34" s="674">
        <v>1</v>
      </c>
      <c r="F34" s="674">
        <v>1</v>
      </c>
      <c r="G34" s="674">
        <v>0</v>
      </c>
      <c r="H34" s="674"/>
      <c r="I34" s="686">
        <v>0</v>
      </c>
      <c r="J34" s="674">
        <v>0</v>
      </c>
      <c r="K34" s="674">
        <v>0</v>
      </c>
      <c r="L34" s="674">
        <v>0</v>
      </c>
      <c r="M34" s="674">
        <v>0</v>
      </c>
      <c r="N34" s="691"/>
      <c r="O34" s="674">
        <v>0</v>
      </c>
      <c r="P34" s="674">
        <v>3</v>
      </c>
      <c r="Q34" s="674">
        <v>3</v>
      </c>
      <c r="R34" s="674">
        <v>3</v>
      </c>
      <c r="S34" s="674">
        <v>0</v>
      </c>
      <c r="T34" s="691"/>
      <c r="U34" s="674">
        <v>4</v>
      </c>
      <c r="V34" s="674">
        <v>32</v>
      </c>
      <c r="W34" s="674">
        <v>36</v>
      </c>
      <c r="X34" s="674">
        <v>34</v>
      </c>
      <c r="Y34" s="674">
        <v>2</v>
      </c>
      <c r="AP34" s="160"/>
      <c r="AQ34" s="410"/>
      <c r="AR34" s="666"/>
      <c r="AS34" s="674"/>
      <c r="AT34" s="674"/>
      <c r="AU34" s="674"/>
      <c r="AV34" s="674"/>
      <c r="AW34" s="674"/>
      <c r="AX34" s="674"/>
      <c r="AY34" s="674"/>
      <c r="AZ34" s="674"/>
      <c r="BA34" s="674"/>
      <c r="BB34" s="674"/>
      <c r="BC34" s="674"/>
      <c r="BD34" s="674"/>
      <c r="BE34" s="674"/>
      <c r="BF34" s="674"/>
      <c r="BG34" s="674"/>
      <c r="BH34" s="674"/>
      <c r="BI34" s="674"/>
      <c r="BJ34" s="674"/>
      <c r="BK34" s="674"/>
      <c r="BL34" s="674"/>
      <c r="BM34" s="674"/>
      <c r="BN34" s="674"/>
      <c r="BO34" s="674"/>
      <c r="BP34" s="160"/>
    </row>
    <row r="35" spans="1:68" s="159" customFormat="1">
      <c r="A35" s="410" t="s">
        <v>99</v>
      </c>
      <c r="B35" s="666" t="s">
        <v>393</v>
      </c>
      <c r="C35" s="674">
        <v>54</v>
      </c>
      <c r="D35" s="674">
        <v>54</v>
      </c>
      <c r="E35" s="674">
        <v>108</v>
      </c>
      <c r="F35" s="674">
        <v>75</v>
      </c>
      <c r="G35" s="674">
        <v>33</v>
      </c>
      <c r="H35" s="674"/>
      <c r="I35" s="686">
        <v>2</v>
      </c>
      <c r="J35" s="674">
        <v>0</v>
      </c>
      <c r="K35" s="674">
        <v>2</v>
      </c>
      <c r="L35" s="674">
        <v>0</v>
      </c>
      <c r="M35" s="674">
        <v>2</v>
      </c>
      <c r="N35" s="691"/>
      <c r="O35" s="674">
        <v>15</v>
      </c>
      <c r="P35" s="674">
        <v>69</v>
      </c>
      <c r="Q35" s="674">
        <v>84</v>
      </c>
      <c r="R35" s="674">
        <v>38</v>
      </c>
      <c r="S35" s="674">
        <v>46</v>
      </c>
      <c r="T35" s="691"/>
      <c r="U35" s="674">
        <v>56</v>
      </c>
      <c r="V35" s="674">
        <v>224</v>
      </c>
      <c r="W35" s="674">
        <v>280</v>
      </c>
      <c r="X35" s="674">
        <v>179</v>
      </c>
      <c r="Y35" s="674">
        <v>101</v>
      </c>
      <c r="AP35" s="160"/>
      <c r="AQ35" s="410"/>
      <c r="AR35" s="666"/>
      <c r="AS35" s="674"/>
      <c r="AT35" s="674"/>
      <c r="AU35" s="674"/>
      <c r="AV35" s="674"/>
      <c r="AW35" s="674"/>
      <c r="AX35" s="674"/>
      <c r="AY35" s="674"/>
      <c r="AZ35" s="674"/>
      <c r="BA35" s="674"/>
      <c r="BB35" s="674"/>
      <c r="BC35" s="674"/>
      <c r="BD35" s="674"/>
      <c r="BE35" s="674"/>
      <c r="BF35" s="674"/>
      <c r="BG35" s="674"/>
      <c r="BH35" s="674"/>
      <c r="BI35" s="674"/>
      <c r="BJ35" s="674"/>
      <c r="BK35" s="674"/>
      <c r="BL35" s="674"/>
      <c r="BM35" s="674"/>
      <c r="BN35" s="674"/>
      <c r="BO35" s="674"/>
      <c r="BP35" s="160"/>
    </row>
    <row r="36" spans="1:68" s="159" customFormat="1">
      <c r="A36" s="410" t="s">
        <v>99</v>
      </c>
      <c r="B36" s="666" t="s">
        <v>394</v>
      </c>
      <c r="C36" s="674">
        <v>2</v>
      </c>
      <c r="D36" s="674">
        <v>1</v>
      </c>
      <c r="E36" s="674">
        <v>3</v>
      </c>
      <c r="F36" s="674">
        <v>0</v>
      </c>
      <c r="G36" s="674">
        <v>3</v>
      </c>
      <c r="H36" s="674"/>
      <c r="I36" s="686">
        <v>0</v>
      </c>
      <c r="J36" s="674">
        <v>0</v>
      </c>
      <c r="K36" s="674">
        <v>0</v>
      </c>
      <c r="L36" s="674">
        <v>0</v>
      </c>
      <c r="M36" s="674">
        <v>0</v>
      </c>
      <c r="N36" s="691"/>
      <c r="O36" s="674">
        <v>0</v>
      </c>
      <c r="P36" s="674">
        <v>1</v>
      </c>
      <c r="Q36" s="674">
        <v>1</v>
      </c>
      <c r="R36" s="674">
        <v>0</v>
      </c>
      <c r="S36" s="674">
        <v>1</v>
      </c>
      <c r="T36" s="691"/>
      <c r="U36" s="674">
        <v>0</v>
      </c>
      <c r="V36" s="674">
        <v>6</v>
      </c>
      <c r="W36" s="674">
        <v>6</v>
      </c>
      <c r="X36" s="674">
        <v>1</v>
      </c>
      <c r="Y36" s="674">
        <v>5</v>
      </c>
      <c r="AP36" s="160"/>
      <c r="AQ36" s="410"/>
      <c r="AR36" s="666"/>
      <c r="AS36" s="674"/>
      <c r="AT36" s="674"/>
      <c r="AU36" s="674"/>
      <c r="AV36" s="674"/>
      <c r="AW36" s="674"/>
      <c r="AX36" s="674"/>
      <c r="AY36" s="674"/>
      <c r="AZ36" s="674"/>
      <c r="BA36" s="674"/>
      <c r="BB36" s="674"/>
      <c r="BC36" s="674"/>
      <c r="BD36" s="674"/>
      <c r="BE36" s="674"/>
      <c r="BF36" s="674"/>
      <c r="BG36" s="674"/>
      <c r="BH36" s="674"/>
      <c r="BI36" s="674"/>
      <c r="BJ36" s="674"/>
      <c r="BK36" s="674"/>
      <c r="BL36" s="674"/>
      <c r="BM36" s="674"/>
      <c r="BN36" s="674"/>
      <c r="BO36" s="674"/>
      <c r="BP36" s="160"/>
    </row>
    <row r="37" spans="1:68" s="159" customFormat="1">
      <c r="A37" s="410" t="s">
        <v>99</v>
      </c>
      <c r="B37" s="666" t="s">
        <v>395</v>
      </c>
      <c r="C37" s="674">
        <v>4</v>
      </c>
      <c r="D37" s="674">
        <v>2</v>
      </c>
      <c r="E37" s="674">
        <v>6</v>
      </c>
      <c r="F37" s="674">
        <v>3</v>
      </c>
      <c r="G37" s="674">
        <v>3</v>
      </c>
      <c r="H37" s="674"/>
      <c r="I37" s="686">
        <v>0</v>
      </c>
      <c r="J37" s="674">
        <v>0</v>
      </c>
      <c r="K37" s="674">
        <v>0</v>
      </c>
      <c r="L37" s="674">
        <v>0</v>
      </c>
      <c r="M37" s="674">
        <v>0</v>
      </c>
      <c r="N37" s="691"/>
      <c r="O37" s="674">
        <v>0</v>
      </c>
      <c r="P37" s="674">
        <v>0</v>
      </c>
      <c r="Q37" s="674">
        <v>0</v>
      </c>
      <c r="R37" s="674">
        <v>0</v>
      </c>
      <c r="S37" s="674">
        <v>0</v>
      </c>
      <c r="T37" s="691"/>
      <c r="U37" s="674">
        <v>4</v>
      </c>
      <c r="V37" s="674">
        <v>21</v>
      </c>
      <c r="W37" s="674">
        <v>25</v>
      </c>
      <c r="X37" s="674">
        <v>23</v>
      </c>
      <c r="Y37" s="674">
        <v>2</v>
      </c>
      <c r="AP37" s="160"/>
      <c r="AQ37" s="410"/>
      <c r="AR37" s="666"/>
      <c r="AS37" s="674"/>
      <c r="AT37" s="674"/>
      <c r="AU37" s="674"/>
      <c r="AV37" s="674"/>
      <c r="AW37" s="674"/>
      <c r="AX37" s="674"/>
      <c r="AY37" s="674"/>
      <c r="AZ37" s="674"/>
      <c r="BA37" s="674"/>
      <c r="BB37" s="674"/>
      <c r="BC37" s="674"/>
      <c r="BD37" s="674"/>
      <c r="BE37" s="674"/>
      <c r="BF37" s="674"/>
      <c r="BG37" s="674"/>
      <c r="BH37" s="674"/>
      <c r="BI37" s="674"/>
      <c r="BJ37" s="674"/>
      <c r="BK37" s="674"/>
      <c r="BL37" s="674"/>
      <c r="BM37" s="674"/>
      <c r="BN37" s="674"/>
      <c r="BO37" s="674"/>
      <c r="BP37" s="160"/>
    </row>
    <row r="38" spans="1:68" s="159" customFormat="1">
      <c r="A38" s="410" t="s">
        <v>99</v>
      </c>
      <c r="B38" s="666" t="s">
        <v>396</v>
      </c>
      <c r="C38" s="674">
        <v>3</v>
      </c>
      <c r="D38" s="674">
        <v>2</v>
      </c>
      <c r="E38" s="674">
        <v>5</v>
      </c>
      <c r="F38" s="674">
        <v>3</v>
      </c>
      <c r="G38" s="674">
        <v>2</v>
      </c>
      <c r="H38" s="674"/>
      <c r="I38" s="686">
        <v>0</v>
      </c>
      <c r="J38" s="674">
        <v>0</v>
      </c>
      <c r="K38" s="674">
        <v>0</v>
      </c>
      <c r="L38" s="674">
        <v>0</v>
      </c>
      <c r="M38" s="674">
        <v>0</v>
      </c>
      <c r="N38" s="691"/>
      <c r="O38" s="674">
        <v>0</v>
      </c>
      <c r="P38" s="674">
        <v>0</v>
      </c>
      <c r="Q38" s="674">
        <v>0</v>
      </c>
      <c r="R38" s="674">
        <v>0</v>
      </c>
      <c r="S38" s="674">
        <v>0</v>
      </c>
      <c r="T38" s="691"/>
      <c r="U38" s="674">
        <v>4</v>
      </c>
      <c r="V38" s="674">
        <v>20</v>
      </c>
      <c r="W38" s="674">
        <v>24</v>
      </c>
      <c r="X38" s="674">
        <v>20</v>
      </c>
      <c r="Y38" s="674">
        <v>4</v>
      </c>
      <c r="AP38" s="160"/>
      <c r="AQ38" s="160"/>
      <c r="AR38" s="160"/>
      <c r="AS38" s="160"/>
      <c r="AT38" s="160"/>
      <c r="AU38" s="160"/>
      <c r="AV38" s="160"/>
      <c r="AW38" s="160"/>
      <c r="AX38" s="160"/>
      <c r="AY38" s="160"/>
      <c r="AZ38" s="160"/>
      <c r="BA38" s="160"/>
      <c r="BB38" s="160"/>
      <c r="BC38" s="160"/>
      <c r="BD38" s="160"/>
      <c r="BE38" s="160"/>
      <c r="BF38" s="160"/>
      <c r="BG38" s="160"/>
      <c r="BH38" s="160"/>
      <c r="BI38" s="160"/>
      <c r="BJ38" s="160"/>
      <c r="BK38" s="160"/>
      <c r="BL38" s="160"/>
      <c r="BM38" s="160"/>
      <c r="BN38" s="160"/>
      <c r="BO38" s="160"/>
      <c r="BP38" s="160"/>
    </row>
    <row r="39" spans="1:68" s="159" customFormat="1">
      <c r="A39" s="410" t="s">
        <v>99</v>
      </c>
      <c r="B39" s="666" t="s">
        <v>397</v>
      </c>
      <c r="C39" s="674">
        <v>17</v>
      </c>
      <c r="D39" s="674">
        <v>4</v>
      </c>
      <c r="E39" s="674">
        <v>21</v>
      </c>
      <c r="F39" s="674">
        <v>7</v>
      </c>
      <c r="G39" s="674">
        <v>14</v>
      </c>
      <c r="H39" s="674"/>
      <c r="I39" s="686">
        <v>0</v>
      </c>
      <c r="J39" s="674">
        <v>0</v>
      </c>
      <c r="K39" s="674">
        <v>0</v>
      </c>
      <c r="L39" s="674">
        <v>0</v>
      </c>
      <c r="M39" s="674">
        <v>0</v>
      </c>
      <c r="N39" s="691"/>
      <c r="O39" s="674">
        <v>3</v>
      </c>
      <c r="P39" s="674">
        <v>7</v>
      </c>
      <c r="Q39" s="674">
        <v>10</v>
      </c>
      <c r="R39" s="674">
        <v>6</v>
      </c>
      <c r="S39" s="674">
        <v>4</v>
      </c>
      <c r="T39" s="691"/>
      <c r="U39" s="674">
        <v>5</v>
      </c>
      <c r="V39" s="674">
        <v>33</v>
      </c>
      <c r="W39" s="674">
        <v>38</v>
      </c>
      <c r="X39" s="674">
        <v>27</v>
      </c>
      <c r="Y39" s="674">
        <v>11</v>
      </c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60"/>
      <c r="BK39" s="160"/>
      <c r="BL39" s="160"/>
      <c r="BM39" s="160"/>
      <c r="BN39" s="160"/>
      <c r="BO39" s="160"/>
      <c r="BP39" s="160"/>
    </row>
    <row r="40" spans="1:68" s="159" customFormat="1">
      <c r="A40" s="410" t="s">
        <v>99</v>
      </c>
      <c r="B40" s="666" t="s">
        <v>398</v>
      </c>
      <c r="C40" s="674">
        <v>0</v>
      </c>
      <c r="D40" s="674">
        <v>0</v>
      </c>
      <c r="E40" s="674">
        <v>0</v>
      </c>
      <c r="F40" s="674">
        <v>0</v>
      </c>
      <c r="G40" s="674">
        <v>0</v>
      </c>
      <c r="H40" s="674"/>
      <c r="I40" s="686">
        <v>0</v>
      </c>
      <c r="J40" s="674">
        <v>0</v>
      </c>
      <c r="K40" s="674">
        <v>0</v>
      </c>
      <c r="L40" s="674">
        <v>0</v>
      </c>
      <c r="M40" s="674">
        <v>0</v>
      </c>
      <c r="N40" s="691"/>
      <c r="O40" s="674">
        <v>0</v>
      </c>
      <c r="P40" s="674">
        <v>0</v>
      </c>
      <c r="Q40" s="674">
        <v>0</v>
      </c>
      <c r="R40" s="674">
        <v>0</v>
      </c>
      <c r="S40" s="674">
        <v>0</v>
      </c>
      <c r="T40" s="691"/>
      <c r="U40" s="674">
        <v>3</v>
      </c>
      <c r="V40" s="674">
        <v>13</v>
      </c>
      <c r="W40" s="674">
        <v>16</v>
      </c>
      <c r="X40" s="674">
        <v>9</v>
      </c>
      <c r="Y40" s="674">
        <v>7</v>
      </c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60"/>
      <c r="BC40" s="160"/>
      <c r="BD40" s="160"/>
      <c r="BE40" s="160"/>
      <c r="BF40" s="160"/>
      <c r="BG40" s="160"/>
      <c r="BH40" s="160"/>
      <c r="BI40" s="160"/>
      <c r="BJ40" s="160"/>
      <c r="BK40" s="160"/>
      <c r="BL40" s="160"/>
      <c r="BM40" s="160"/>
      <c r="BN40" s="160"/>
      <c r="BO40" s="160"/>
      <c r="BP40" s="160"/>
    </row>
    <row r="41" spans="1:68" s="159" customFormat="1">
      <c r="A41" s="410" t="s">
        <v>99</v>
      </c>
      <c r="B41" s="666" t="s">
        <v>399</v>
      </c>
      <c r="C41" s="674">
        <v>1</v>
      </c>
      <c r="D41" s="674">
        <v>5</v>
      </c>
      <c r="E41" s="674">
        <v>6</v>
      </c>
      <c r="F41" s="674">
        <v>6</v>
      </c>
      <c r="G41" s="674">
        <v>0</v>
      </c>
      <c r="H41" s="674"/>
      <c r="I41" s="686">
        <v>0</v>
      </c>
      <c r="J41" s="674">
        <v>0</v>
      </c>
      <c r="K41" s="674">
        <v>0</v>
      </c>
      <c r="L41" s="674">
        <v>0</v>
      </c>
      <c r="M41" s="674">
        <v>0</v>
      </c>
      <c r="N41" s="691"/>
      <c r="O41" s="674">
        <v>3</v>
      </c>
      <c r="P41" s="674">
        <v>3</v>
      </c>
      <c r="Q41" s="674">
        <v>6</v>
      </c>
      <c r="R41" s="674">
        <v>6</v>
      </c>
      <c r="S41" s="674">
        <v>0</v>
      </c>
      <c r="T41" s="691"/>
      <c r="U41" s="674">
        <v>3</v>
      </c>
      <c r="V41" s="674">
        <v>52</v>
      </c>
      <c r="W41" s="674">
        <v>55</v>
      </c>
      <c r="X41" s="674">
        <v>54</v>
      </c>
      <c r="Y41" s="674">
        <v>1</v>
      </c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60"/>
      <c r="BG41" s="160"/>
      <c r="BH41" s="160"/>
      <c r="BI41" s="160"/>
      <c r="BJ41" s="160"/>
      <c r="BK41" s="160"/>
      <c r="BL41" s="160"/>
      <c r="BM41" s="160"/>
      <c r="BN41" s="160"/>
      <c r="BO41" s="160"/>
      <c r="BP41" s="160"/>
    </row>
    <row r="42" spans="1:68" s="159" customFormat="1">
      <c r="A42" s="410" t="s">
        <v>99</v>
      </c>
      <c r="B42" s="666" t="s">
        <v>400</v>
      </c>
      <c r="C42" s="674">
        <v>0</v>
      </c>
      <c r="D42" s="674">
        <v>0</v>
      </c>
      <c r="E42" s="674">
        <v>0</v>
      </c>
      <c r="F42" s="674">
        <v>0</v>
      </c>
      <c r="G42" s="674">
        <v>0</v>
      </c>
      <c r="H42" s="674"/>
      <c r="I42" s="686">
        <v>0</v>
      </c>
      <c r="J42" s="674">
        <v>0</v>
      </c>
      <c r="K42" s="674">
        <v>0</v>
      </c>
      <c r="L42" s="674">
        <v>0</v>
      </c>
      <c r="M42" s="674">
        <v>0</v>
      </c>
      <c r="N42" s="691"/>
      <c r="O42" s="674">
        <v>0</v>
      </c>
      <c r="P42" s="674">
        <v>0</v>
      </c>
      <c r="Q42" s="674">
        <v>0</v>
      </c>
      <c r="R42" s="674">
        <v>0</v>
      </c>
      <c r="S42" s="674">
        <v>0</v>
      </c>
      <c r="T42" s="691"/>
      <c r="U42" s="674">
        <v>7</v>
      </c>
      <c r="V42" s="674">
        <v>21</v>
      </c>
      <c r="W42" s="674">
        <v>28</v>
      </c>
      <c r="X42" s="674">
        <v>14</v>
      </c>
      <c r="Y42" s="674">
        <v>14</v>
      </c>
      <c r="AP42" s="160"/>
      <c r="AQ42" s="160"/>
      <c r="AR42" s="160"/>
      <c r="AS42" s="160"/>
      <c r="AT42" s="160"/>
      <c r="AU42" s="160"/>
      <c r="AV42" s="160"/>
      <c r="AW42" s="160"/>
      <c r="AX42" s="160"/>
      <c r="AY42" s="160"/>
      <c r="AZ42" s="160"/>
      <c r="BA42" s="160"/>
      <c r="BB42" s="160"/>
      <c r="BC42" s="160"/>
      <c r="BD42" s="160"/>
      <c r="BE42" s="160"/>
      <c r="BF42" s="160"/>
      <c r="BG42" s="160"/>
      <c r="BH42" s="160"/>
      <c r="BI42" s="160"/>
      <c r="BJ42" s="160"/>
      <c r="BK42" s="160"/>
      <c r="BL42" s="160"/>
      <c r="BM42" s="160"/>
      <c r="BN42" s="160"/>
      <c r="BO42" s="160"/>
      <c r="BP42" s="160"/>
    </row>
    <row r="43" spans="1:68" s="159" customFormat="1">
      <c r="A43" s="667" t="s">
        <v>99</v>
      </c>
      <c r="B43" s="668" t="s">
        <v>401</v>
      </c>
      <c r="C43" s="687">
        <v>0</v>
      </c>
      <c r="D43" s="687">
        <v>0</v>
      </c>
      <c r="E43" s="687">
        <v>0</v>
      </c>
      <c r="F43" s="687">
        <v>0</v>
      </c>
      <c r="G43" s="687">
        <v>0</v>
      </c>
      <c r="H43" s="687"/>
      <c r="I43" s="689">
        <v>0</v>
      </c>
      <c r="J43" s="687">
        <v>0</v>
      </c>
      <c r="K43" s="687">
        <v>0</v>
      </c>
      <c r="L43" s="687">
        <v>0</v>
      </c>
      <c r="M43" s="687">
        <v>0</v>
      </c>
      <c r="N43" s="692"/>
      <c r="O43" s="687">
        <v>0</v>
      </c>
      <c r="P43" s="687">
        <v>2</v>
      </c>
      <c r="Q43" s="687">
        <v>2</v>
      </c>
      <c r="R43" s="687">
        <v>1</v>
      </c>
      <c r="S43" s="687">
        <v>1</v>
      </c>
      <c r="T43" s="692"/>
      <c r="U43" s="687">
        <v>1</v>
      </c>
      <c r="V43" s="687">
        <v>18</v>
      </c>
      <c r="W43" s="687">
        <v>19</v>
      </c>
      <c r="X43" s="687">
        <v>18</v>
      </c>
      <c r="Y43" s="687">
        <v>1</v>
      </c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0"/>
      <c r="BB43" s="160"/>
      <c r="BC43" s="160"/>
      <c r="BD43" s="160"/>
      <c r="BE43" s="160"/>
      <c r="BF43" s="160"/>
      <c r="BG43" s="160"/>
      <c r="BH43" s="160"/>
      <c r="BI43" s="160"/>
      <c r="BJ43" s="160"/>
      <c r="BK43" s="160"/>
      <c r="BL43" s="160"/>
      <c r="BM43" s="160"/>
      <c r="BN43" s="160"/>
      <c r="BO43" s="160"/>
      <c r="BP43" s="160"/>
    </row>
    <row r="44" spans="1:68" s="234" customFormat="1">
      <c r="A44" s="405" t="s">
        <v>101</v>
      </c>
      <c r="B44" s="658" t="s">
        <v>8</v>
      </c>
      <c r="C44" s="662">
        <f>SUM(C45:C58)</f>
        <v>30</v>
      </c>
      <c r="D44" s="662">
        <f>SUM(D45:D58)</f>
        <v>20</v>
      </c>
      <c r="E44" s="662">
        <f>SUM(E45:E58)</f>
        <v>50</v>
      </c>
      <c r="F44" s="662">
        <f>SUM(F45:F58)</f>
        <v>26</v>
      </c>
      <c r="G44" s="662">
        <f>SUM(G45:G58)</f>
        <v>24</v>
      </c>
      <c r="H44" s="662"/>
      <c r="I44" s="663">
        <f>SUM(I45:I58)</f>
        <v>0</v>
      </c>
      <c r="J44" s="662">
        <f>SUM(J45:J58)</f>
        <v>1</v>
      </c>
      <c r="K44" s="662">
        <f>SUM(K45:K58)</f>
        <v>1</v>
      </c>
      <c r="L44" s="662">
        <f>SUM(L45:L58)</f>
        <v>1</v>
      </c>
      <c r="M44" s="662">
        <f>SUM(M45:M58)</f>
        <v>0</v>
      </c>
      <c r="N44" s="664"/>
      <c r="O44" s="662">
        <f>SUM(O45:O58)</f>
        <v>23</v>
      </c>
      <c r="P44" s="662">
        <f>SUM(P45:P58)</f>
        <v>52</v>
      </c>
      <c r="Q44" s="662">
        <f>SUM(Q45:Q58)</f>
        <v>75</v>
      </c>
      <c r="R44" s="662">
        <f>SUM(R45:R58)</f>
        <v>47</v>
      </c>
      <c r="S44" s="662">
        <f>SUM(S45:S58)</f>
        <v>28</v>
      </c>
      <c r="T44" s="664"/>
      <c r="U44" s="662">
        <f>SUM(U45:U58)</f>
        <v>64</v>
      </c>
      <c r="V44" s="662">
        <f>SUM(V45:V58)</f>
        <v>254</v>
      </c>
      <c r="W44" s="662">
        <f>SUM(W45:W58)</f>
        <v>318</v>
      </c>
      <c r="X44" s="662">
        <f>SUM(X45:X58)</f>
        <v>244</v>
      </c>
      <c r="Y44" s="662">
        <f>SUM(Y45:Y58)</f>
        <v>74</v>
      </c>
      <c r="AA44" s="1"/>
      <c r="AB44" s="1"/>
      <c r="AC44" s="1"/>
      <c r="AD44" s="1"/>
      <c r="AE44" s="1"/>
      <c r="AP44" s="671"/>
      <c r="AQ44" s="671"/>
      <c r="AR44" s="671"/>
      <c r="AS44" s="671"/>
      <c r="AT44" s="671"/>
      <c r="AU44" s="671"/>
      <c r="AV44" s="671"/>
      <c r="AW44" s="671"/>
      <c r="AX44" s="671"/>
      <c r="AY44" s="671"/>
      <c r="AZ44" s="671"/>
      <c r="BA44" s="671"/>
      <c r="BB44" s="671"/>
      <c r="BC44" s="671"/>
      <c r="BD44" s="671"/>
      <c r="BE44" s="671"/>
      <c r="BF44" s="671"/>
      <c r="BG44" s="671"/>
      <c r="BH44" s="671"/>
      <c r="BI44" s="671"/>
      <c r="BJ44" s="671"/>
      <c r="BK44" s="671"/>
      <c r="BL44" s="671"/>
      <c r="BM44" s="671"/>
      <c r="BN44" s="671"/>
      <c r="BO44" s="671"/>
      <c r="BP44" s="671"/>
    </row>
    <row r="45" spans="1:68" s="159" customFormat="1">
      <c r="A45" s="410" t="s">
        <v>101</v>
      </c>
      <c r="B45" s="666" t="s">
        <v>402</v>
      </c>
      <c r="C45" s="674">
        <v>2</v>
      </c>
      <c r="D45" s="674">
        <v>1</v>
      </c>
      <c r="E45" s="674">
        <v>3</v>
      </c>
      <c r="F45" s="674">
        <v>1</v>
      </c>
      <c r="G45" s="674">
        <v>2</v>
      </c>
      <c r="H45" s="674"/>
      <c r="I45" s="686">
        <v>0</v>
      </c>
      <c r="J45" s="674">
        <v>0</v>
      </c>
      <c r="K45" s="674">
        <v>0</v>
      </c>
      <c r="L45" s="674">
        <v>0</v>
      </c>
      <c r="M45" s="674">
        <v>0</v>
      </c>
      <c r="N45" s="691"/>
      <c r="O45" s="674">
        <v>2</v>
      </c>
      <c r="P45" s="674">
        <v>4</v>
      </c>
      <c r="Q45" s="674">
        <v>6</v>
      </c>
      <c r="R45" s="674">
        <v>5</v>
      </c>
      <c r="S45" s="674">
        <v>1</v>
      </c>
      <c r="T45" s="691"/>
      <c r="U45" s="674">
        <v>11</v>
      </c>
      <c r="V45" s="674">
        <v>22</v>
      </c>
      <c r="W45" s="674">
        <v>33</v>
      </c>
      <c r="X45" s="674">
        <v>30</v>
      </c>
      <c r="Y45" s="674">
        <v>3</v>
      </c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0"/>
      <c r="BB45" s="160"/>
      <c r="BC45" s="160"/>
      <c r="BD45" s="160"/>
      <c r="BE45" s="160"/>
      <c r="BF45" s="160"/>
      <c r="BG45" s="160"/>
      <c r="BH45" s="160"/>
      <c r="BI45" s="160"/>
      <c r="BJ45" s="160"/>
      <c r="BK45" s="160"/>
      <c r="BL45" s="160"/>
      <c r="BM45" s="160"/>
      <c r="BN45" s="160"/>
      <c r="BO45" s="160"/>
      <c r="BP45" s="160"/>
    </row>
    <row r="46" spans="1:68" s="159" customFormat="1">
      <c r="A46" s="410" t="s">
        <v>101</v>
      </c>
      <c r="B46" s="666" t="s">
        <v>403</v>
      </c>
      <c r="C46" s="674">
        <v>0</v>
      </c>
      <c r="D46" s="674">
        <v>0</v>
      </c>
      <c r="E46" s="674">
        <v>0</v>
      </c>
      <c r="F46" s="674">
        <v>0</v>
      </c>
      <c r="G46" s="674">
        <v>0</v>
      </c>
      <c r="H46" s="674"/>
      <c r="I46" s="686">
        <v>0</v>
      </c>
      <c r="J46" s="674">
        <v>0</v>
      </c>
      <c r="K46" s="674">
        <v>0</v>
      </c>
      <c r="L46" s="674">
        <v>0</v>
      </c>
      <c r="M46" s="674">
        <v>0</v>
      </c>
      <c r="N46" s="691"/>
      <c r="O46" s="674">
        <v>0</v>
      </c>
      <c r="P46" s="674">
        <v>0</v>
      </c>
      <c r="Q46" s="674">
        <v>0</v>
      </c>
      <c r="R46" s="674">
        <v>0</v>
      </c>
      <c r="S46" s="674">
        <v>0</v>
      </c>
      <c r="T46" s="691"/>
      <c r="U46" s="674">
        <v>1</v>
      </c>
      <c r="V46" s="674">
        <v>5</v>
      </c>
      <c r="W46" s="674">
        <v>6</v>
      </c>
      <c r="X46" s="674">
        <v>5</v>
      </c>
      <c r="Y46" s="674">
        <v>1</v>
      </c>
    </row>
    <row r="47" spans="1:68" s="159" customFormat="1">
      <c r="A47" s="410" t="s">
        <v>101</v>
      </c>
      <c r="B47" s="666" t="s">
        <v>404</v>
      </c>
      <c r="C47" s="674">
        <v>2</v>
      </c>
      <c r="D47" s="674">
        <v>2</v>
      </c>
      <c r="E47" s="674">
        <v>4</v>
      </c>
      <c r="F47" s="674">
        <v>0</v>
      </c>
      <c r="G47" s="674">
        <v>4</v>
      </c>
      <c r="H47" s="674"/>
      <c r="I47" s="686">
        <v>0</v>
      </c>
      <c r="J47" s="674">
        <v>0</v>
      </c>
      <c r="K47" s="674">
        <v>0</v>
      </c>
      <c r="L47" s="674">
        <v>0</v>
      </c>
      <c r="M47" s="674">
        <v>0</v>
      </c>
      <c r="N47" s="691"/>
      <c r="O47" s="674">
        <v>6</v>
      </c>
      <c r="P47" s="674">
        <v>9</v>
      </c>
      <c r="Q47" s="674">
        <v>15</v>
      </c>
      <c r="R47" s="674">
        <v>8</v>
      </c>
      <c r="S47" s="674">
        <v>7</v>
      </c>
      <c r="T47" s="691"/>
      <c r="U47" s="674">
        <v>5</v>
      </c>
      <c r="V47" s="674">
        <v>18</v>
      </c>
      <c r="W47" s="674">
        <v>23</v>
      </c>
      <c r="X47" s="674">
        <v>14</v>
      </c>
      <c r="Y47" s="674">
        <v>9</v>
      </c>
    </row>
    <row r="48" spans="1:68" s="159" customFormat="1">
      <c r="A48" s="410" t="s">
        <v>101</v>
      </c>
      <c r="B48" s="666" t="s">
        <v>405</v>
      </c>
      <c r="C48" s="674">
        <v>6</v>
      </c>
      <c r="D48" s="674">
        <v>4</v>
      </c>
      <c r="E48" s="674">
        <v>10</v>
      </c>
      <c r="F48" s="674">
        <v>3</v>
      </c>
      <c r="G48" s="674">
        <v>7</v>
      </c>
      <c r="H48" s="674"/>
      <c r="I48" s="686">
        <v>0</v>
      </c>
      <c r="J48" s="674">
        <v>0</v>
      </c>
      <c r="K48" s="674">
        <v>0</v>
      </c>
      <c r="L48" s="674">
        <v>0</v>
      </c>
      <c r="M48" s="674">
        <v>0</v>
      </c>
      <c r="N48" s="691"/>
      <c r="O48" s="674">
        <v>2</v>
      </c>
      <c r="P48" s="674">
        <v>2</v>
      </c>
      <c r="Q48" s="674">
        <v>4</v>
      </c>
      <c r="R48" s="674">
        <v>0</v>
      </c>
      <c r="S48" s="674">
        <v>4</v>
      </c>
      <c r="T48" s="691"/>
      <c r="U48" s="674">
        <v>4</v>
      </c>
      <c r="V48" s="674">
        <v>23</v>
      </c>
      <c r="W48" s="674">
        <v>27</v>
      </c>
      <c r="X48" s="674">
        <v>20</v>
      </c>
      <c r="Y48" s="674">
        <v>7</v>
      </c>
    </row>
    <row r="49" spans="1:31" s="159" customFormat="1">
      <c r="A49" s="410" t="s">
        <v>101</v>
      </c>
      <c r="B49" s="666" t="s">
        <v>406</v>
      </c>
      <c r="C49" s="674">
        <v>1</v>
      </c>
      <c r="D49" s="674">
        <v>0</v>
      </c>
      <c r="E49" s="674">
        <v>1</v>
      </c>
      <c r="F49" s="674">
        <v>0</v>
      </c>
      <c r="G49" s="674">
        <v>1</v>
      </c>
      <c r="H49" s="674"/>
      <c r="I49" s="686">
        <v>0</v>
      </c>
      <c r="J49" s="674">
        <v>0</v>
      </c>
      <c r="K49" s="674">
        <v>0</v>
      </c>
      <c r="L49" s="674">
        <v>0</v>
      </c>
      <c r="M49" s="674">
        <v>0</v>
      </c>
      <c r="N49" s="691"/>
      <c r="O49" s="674">
        <v>1</v>
      </c>
      <c r="P49" s="674">
        <v>3</v>
      </c>
      <c r="Q49" s="674">
        <v>4</v>
      </c>
      <c r="R49" s="674">
        <v>1</v>
      </c>
      <c r="S49" s="674">
        <v>3</v>
      </c>
      <c r="T49" s="691"/>
      <c r="U49" s="674">
        <v>2</v>
      </c>
      <c r="V49" s="674">
        <v>6</v>
      </c>
      <c r="W49" s="674">
        <v>8</v>
      </c>
      <c r="X49" s="674">
        <v>4</v>
      </c>
      <c r="Y49" s="674">
        <v>4</v>
      </c>
    </row>
    <row r="50" spans="1:31" s="159" customFormat="1">
      <c r="A50" s="410" t="s">
        <v>101</v>
      </c>
      <c r="B50" s="666" t="s">
        <v>407</v>
      </c>
      <c r="C50" s="674">
        <v>2</v>
      </c>
      <c r="D50" s="674">
        <v>0</v>
      </c>
      <c r="E50" s="674">
        <v>2</v>
      </c>
      <c r="F50" s="674">
        <v>0</v>
      </c>
      <c r="G50" s="674">
        <v>2</v>
      </c>
      <c r="H50" s="674"/>
      <c r="I50" s="686">
        <v>0</v>
      </c>
      <c r="J50" s="674">
        <v>0</v>
      </c>
      <c r="K50" s="674">
        <v>0</v>
      </c>
      <c r="L50" s="674">
        <v>0</v>
      </c>
      <c r="M50" s="674">
        <v>0</v>
      </c>
      <c r="N50" s="691"/>
      <c r="O50" s="674">
        <v>2</v>
      </c>
      <c r="P50" s="674">
        <v>1</v>
      </c>
      <c r="Q50" s="674">
        <v>3</v>
      </c>
      <c r="R50" s="674">
        <v>1</v>
      </c>
      <c r="S50" s="674">
        <v>2</v>
      </c>
      <c r="T50" s="691"/>
      <c r="U50" s="674">
        <v>8</v>
      </c>
      <c r="V50" s="674">
        <v>9</v>
      </c>
      <c r="W50" s="674">
        <v>17</v>
      </c>
      <c r="X50" s="674">
        <v>12</v>
      </c>
      <c r="Y50" s="674">
        <v>5</v>
      </c>
    </row>
    <row r="51" spans="1:31" s="159" customFormat="1">
      <c r="A51" s="410" t="s">
        <v>101</v>
      </c>
      <c r="B51" s="666" t="s">
        <v>408</v>
      </c>
      <c r="C51" s="674">
        <v>2</v>
      </c>
      <c r="D51" s="674">
        <v>6</v>
      </c>
      <c r="E51" s="674">
        <v>8</v>
      </c>
      <c r="F51" s="674">
        <v>5</v>
      </c>
      <c r="G51" s="674">
        <v>3</v>
      </c>
      <c r="H51" s="674"/>
      <c r="I51" s="686">
        <v>0</v>
      </c>
      <c r="J51" s="674">
        <v>1</v>
      </c>
      <c r="K51" s="674">
        <v>1</v>
      </c>
      <c r="L51" s="674">
        <v>1</v>
      </c>
      <c r="M51" s="674">
        <v>0</v>
      </c>
      <c r="N51" s="691"/>
      <c r="O51" s="674">
        <v>1</v>
      </c>
      <c r="P51" s="674">
        <v>9</v>
      </c>
      <c r="Q51" s="674">
        <v>10</v>
      </c>
      <c r="R51" s="674">
        <v>10</v>
      </c>
      <c r="S51" s="674">
        <v>0</v>
      </c>
      <c r="T51" s="691"/>
      <c r="U51" s="674">
        <v>11</v>
      </c>
      <c r="V51" s="674">
        <v>55</v>
      </c>
      <c r="W51" s="674">
        <v>66</v>
      </c>
      <c r="X51" s="674">
        <v>55</v>
      </c>
      <c r="Y51" s="674">
        <v>11</v>
      </c>
    </row>
    <row r="52" spans="1:31" s="159" customFormat="1">
      <c r="A52" s="410" t="s">
        <v>101</v>
      </c>
      <c r="B52" s="666" t="s">
        <v>409</v>
      </c>
      <c r="C52" s="674">
        <v>3</v>
      </c>
      <c r="D52" s="674">
        <v>0</v>
      </c>
      <c r="E52" s="674">
        <v>3</v>
      </c>
      <c r="F52" s="674">
        <v>2</v>
      </c>
      <c r="G52" s="674">
        <v>1</v>
      </c>
      <c r="H52" s="674"/>
      <c r="I52" s="686">
        <v>0</v>
      </c>
      <c r="J52" s="674">
        <v>0</v>
      </c>
      <c r="K52" s="674">
        <v>0</v>
      </c>
      <c r="L52" s="674">
        <v>0</v>
      </c>
      <c r="M52" s="674">
        <v>0</v>
      </c>
      <c r="N52" s="691"/>
      <c r="O52" s="674">
        <v>1</v>
      </c>
      <c r="P52" s="674">
        <v>1</v>
      </c>
      <c r="Q52" s="674">
        <v>2</v>
      </c>
      <c r="R52" s="674">
        <v>2</v>
      </c>
      <c r="S52" s="674">
        <v>0</v>
      </c>
      <c r="T52" s="691"/>
      <c r="U52" s="674">
        <v>1</v>
      </c>
      <c r="V52" s="674">
        <v>3</v>
      </c>
      <c r="W52" s="674">
        <v>4</v>
      </c>
      <c r="X52" s="674">
        <v>4</v>
      </c>
      <c r="Y52" s="674">
        <v>0</v>
      </c>
    </row>
    <row r="53" spans="1:31" s="159" customFormat="1">
      <c r="A53" s="410" t="s">
        <v>101</v>
      </c>
      <c r="B53" s="666" t="s">
        <v>410</v>
      </c>
      <c r="C53" s="674">
        <v>5</v>
      </c>
      <c r="D53" s="674">
        <v>2</v>
      </c>
      <c r="E53" s="674">
        <v>7</v>
      </c>
      <c r="F53" s="674">
        <v>7</v>
      </c>
      <c r="G53" s="674">
        <v>0</v>
      </c>
      <c r="H53" s="674"/>
      <c r="I53" s="686">
        <v>0</v>
      </c>
      <c r="J53" s="674">
        <v>0</v>
      </c>
      <c r="K53" s="674">
        <v>0</v>
      </c>
      <c r="L53" s="674">
        <v>0</v>
      </c>
      <c r="M53" s="674">
        <v>0</v>
      </c>
      <c r="N53" s="691"/>
      <c r="O53" s="674">
        <v>4</v>
      </c>
      <c r="P53" s="674">
        <v>2</v>
      </c>
      <c r="Q53" s="674">
        <v>6</v>
      </c>
      <c r="R53" s="674">
        <v>5</v>
      </c>
      <c r="S53" s="674">
        <v>1</v>
      </c>
      <c r="T53" s="691"/>
      <c r="U53" s="674">
        <v>4</v>
      </c>
      <c r="V53" s="674">
        <v>15</v>
      </c>
      <c r="W53" s="674">
        <v>19</v>
      </c>
      <c r="X53" s="674">
        <v>18</v>
      </c>
      <c r="Y53" s="674">
        <v>1</v>
      </c>
    </row>
    <row r="54" spans="1:31" s="159" customFormat="1">
      <c r="A54" s="410" t="s">
        <v>101</v>
      </c>
      <c r="B54" s="666" t="s">
        <v>411</v>
      </c>
      <c r="C54" s="674">
        <v>1</v>
      </c>
      <c r="D54" s="674">
        <v>0</v>
      </c>
      <c r="E54" s="674">
        <v>1</v>
      </c>
      <c r="F54" s="674">
        <v>1</v>
      </c>
      <c r="G54" s="674">
        <v>0</v>
      </c>
      <c r="H54" s="674"/>
      <c r="I54" s="686">
        <v>0</v>
      </c>
      <c r="J54" s="674">
        <v>0</v>
      </c>
      <c r="K54" s="674">
        <v>0</v>
      </c>
      <c r="L54" s="674">
        <v>0</v>
      </c>
      <c r="M54" s="674">
        <v>0</v>
      </c>
      <c r="N54" s="691"/>
      <c r="O54" s="674">
        <v>2</v>
      </c>
      <c r="P54" s="674">
        <v>1</v>
      </c>
      <c r="Q54" s="674">
        <v>3</v>
      </c>
      <c r="R54" s="674">
        <v>3</v>
      </c>
      <c r="S54" s="674">
        <v>0</v>
      </c>
      <c r="T54" s="691"/>
      <c r="U54" s="674">
        <v>5</v>
      </c>
      <c r="V54" s="674">
        <v>17</v>
      </c>
      <c r="W54" s="674">
        <v>22</v>
      </c>
      <c r="X54" s="674">
        <v>18</v>
      </c>
      <c r="Y54" s="674">
        <v>4</v>
      </c>
    </row>
    <row r="55" spans="1:31" s="159" customFormat="1">
      <c r="A55" s="410" t="s">
        <v>101</v>
      </c>
      <c r="B55" s="666" t="s">
        <v>412</v>
      </c>
      <c r="C55" s="674">
        <v>0</v>
      </c>
      <c r="D55" s="674">
        <v>1</v>
      </c>
      <c r="E55" s="674">
        <v>1</v>
      </c>
      <c r="F55" s="674">
        <v>1</v>
      </c>
      <c r="G55" s="674">
        <v>0</v>
      </c>
      <c r="H55" s="674"/>
      <c r="I55" s="686">
        <v>0</v>
      </c>
      <c r="J55" s="674">
        <v>0</v>
      </c>
      <c r="K55" s="674">
        <v>0</v>
      </c>
      <c r="L55" s="674">
        <v>0</v>
      </c>
      <c r="M55" s="674">
        <v>0</v>
      </c>
      <c r="N55" s="691"/>
      <c r="O55" s="674">
        <v>0</v>
      </c>
      <c r="P55" s="674">
        <v>2</v>
      </c>
      <c r="Q55" s="674">
        <v>2</v>
      </c>
      <c r="R55" s="674">
        <v>1</v>
      </c>
      <c r="S55" s="674">
        <v>1</v>
      </c>
      <c r="T55" s="691"/>
      <c r="U55" s="674">
        <v>1</v>
      </c>
      <c r="V55" s="674">
        <v>8</v>
      </c>
      <c r="W55" s="674">
        <v>9</v>
      </c>
      <c r="X55" s="674">
        <v>7</v>
      </c>
      <c r="Y55" s="674">
        <v>2</v>
      </c>
    </row>
    <row r="56" spans="1:31" s="159" customFormat="1">
      <c r="A56" s="410" t="s">
        <v>101</v>
      </c>
      <c r="B56" s="666" t="s">
        <v>413</v>
      </c>
      <c r="C56" s="674">
        <v>1</v>
      </c>
      <c r="D56" s="674">
        <v>0</v>
      </c>
      <c r="E56" s="674">
        <v>1</v>
      </c>
      <c r="F56" s="674">
        <v>0</v>
      </c>
      <c r="G56" s="674">
        <v>1</v>
      </c>
      <c r="H56" s="674"/>
      <c r="I56" s="686">
        <v>0</v>
      </c>
      <c r="J56" s="674">
        <v>0</v>
      </c>
      <c r="K56" s="674">
        <v>0</v>
      </c>
      <c r="L56" s="674">
        <v>0</v>
      </c>
      <c r="M56" s="674">
        <v>0</v>
      </c>
      <c r="N56" s="691"/>
      <c r="O56" s="674">
        <v>0</v>
      </c>
      <c r="P56" s="674">
        <v>2</v>
      </c>
      <c r="Q56" s="674">
        <v>2</v>
      </c>
      <c r="R56" s="674">
        <v>2</v>
      </c>
      <c r="S56" s="674">
        <v>0</v>
      </c>
      <c r="T56" s="691"/>
      <c r="U56" s="674">
        <v>2</v>
      </c>
      <c r="V56" s="674">
        <v>7</v>
      </c>
      <c r="W56" s="674">
        <v>9</v>
      </c>
      <c r="X56" s="674">
        <v>3</v>
      </c>
      <c r="Y56" s="674">
        <v>6</v>
      </c>
    </row>
    <row r="57" spans="1:31" s="159" customFormat="1">
      <c r="A57" s="410" t="s">
        <v>101</v>
      </c>
      <c r="B57" s="666" t="s">
        <v>414</v>
      </c>
      <c r="C57" s="674">
        <v>1</v>
      </c>
      <c r="D57" s="674">
        <v>2</v>
      </c>
      <c r="E57" s="674">
        <v>3</v>
      </c>
      <c r="F57" s="674">
        <v>1</v>
      </c>
      <c r="G57" s="674">
        <v>2</v>
      </c>
      <c r="H57" s="674"/>
      <c r="I57" s="686">
        <v>0</v>
      </c>
      <c r="J57" s="674">
        <v>0</v>
      </c>
      <c r="K57" s="674">
        <v>0</v>
      </c>
      <c r="L57" s="674">
        <v>0</v>
      </c>
      <c r="M57" s="674">
        <v>0</v>
      </c>
      <c r="N57" s="691"/>
      <c r="O57" s="674">
        <v>1</v>
      </c>
      <c r="P57" s="674">
        <v>4</v>
      </c>
      <c r="Q57" s="674">
        <v>5</v>
      </c>
      <c r="R57" s="674">
        <v>2</v>
      </c>
      <c r="S57" s="674">
        <v>3</v>
      </c>
      <c r="T57" s="691"/>
      <c r="U57" s="674">
        <v>4</v>
      </c>
      <c r="V57" s="674">
        <v>17</v>
      </c>
      <c r="W57" s="674">
        <v>21</v>
      </c>
      <c r="X57" s="674">
        <v>7</v>
      </c>
      <c r="Y57" s="674">
        <v>14</v>
      </c>
    </row>
    <row r="58" spans="1:31" s="159" customFormat="1">
      <c r="A58" s="667" t="s">
        <v>101</v>
      </c>
      <c r="B58" s="668" t="s">
        <v>415</v>
      </c>
      <c r="C58" s="687">
        <v>4</v>
      </c>
      <c r="D58" s="687">
        <v>2</v>
      </c>
      <c r="E58" s="687">
        <v>6</v>
      </c>
      <c r="F58" s="687">
        <v>5</v>
      </c>
      <c r="G58" s="687">
        <v>1</v>
      </c>
      <c r="H58" s="687"/>
      <c r="I58" s="689">
        <v>0</v>
      </c>
      <c r="J58" s="687">
        <v>0</v>
      </c>
      <c r="K58" s="687">
        <v>0</v>
      </c>
      <c r="L58" s="687">
        <v>0</v>
      </c>
      <c r="M58" s="687">
        <v>0</v>
      </c>
      <c r="N58" s="692"/>
      <c r="O58" s="687">
        <v>1</v>
      </c>
      <c r="P58" s="687">
        <v>12</v>
      </c>
      <c r="Q58" s="687">
        <v>13</v>
      </c>
      <c r="R58" s="687">
        <v>7</v>
      </c>
      <c r="S58" s="687">
        <v>6</v>
      </c>
      <c r="T58" s="692"/>
      <c r="U58" s="687">
        <v>5</v>
      </c>
      <c r="V58" s="687">
        <v>49</v>
      </c>
      <c r="W58" s="687">
        <v>54</v>
      </c>
      <c r="X58" s="687">
        <v>47</v>
      </c>
      <c r="Y58" s="687">
        <v>7</v>
      </c>
    </row>
    <row r="59" spans="1:31" s="234" customFormat="1">
      <c r="A59" s="405" t="s">
        <v>103</v>
      </c>
      <c r="B59" s="658" t="s">
        <v>8</v>
      </c>
      <c r="C59" s="662">
        <f>SUM(C60:C72)</f>
        <v>115</v>
      </c>
      <c r="D59" s="662">
        <f>SUM(D60:D72)</f>
        <v>34</v>
      </c>
      <c r="E59" s="662">
        <f>SUM(E60:E72)</f>
        <v>149</v>
      </c>
      <c r="F59" s="662">
        <f>SUM(F60:F72)</f>
        <v>37</v>
      </c>
      <c r="G59" s="662">
        <f>SUM(G60:G72)</f>
        <v>112</v>
      </c>
      <c r="H59" s="662"/>
      <c r="I59" s="663">
        <f>SUM(I60:I72)</f>
        <v>2</v>
      </c>
      <c r="J59" s="662">
        <f>SUM(J60:J72)</f>
        <v>0</v>
      </c>
      <c r="K59" s="662">
        <f>SUM(K60:K72)</f>
        <v>2</v>
      </c>
      <c r="L59" s="662">
        <f>SUM(L60:L72)</f>
        <v>0</v>
      </c>
      <c r="M59" s="662">
        <f>SUM(M60:M72)</f>
        <v>2</v>
      </c>
      <c r="N59" s="664"/>
      <c r="O59" s="662">
        <f>SUM(O60:O72)</f>
        <v>58</v>
      </c>
      <c r="P59" s="662">
        <f>SUM(P60:P72)</f>
        <v>59</v>
      </c>
      <c r="Q59" s="662">
        <f>SUM(Q60:Q72)</f>
        <v>117</v>
      </c>
      <c r="R59" s="662">
        <f>SUM(R60:R72)</f>
        <v>59</v>
      </c>
      <c r="S59" s="662">
        <f>SUM(S60:S72)</f>
        <v>58</v>
      </c>
      <c r="T59" s="664"/>
      <c r="U59" s="662">
        <f>SUM(U60:U72)</f>
        <v>92</v>
      </c>
      <c r="V59" s="662">
        <f>SUM(V60:V72)</f>
        <v>319</v>
      </c>
      <c r="W59" s="662">
        <f>SUM(W60:W72)</f>
        <v>411</v>
      </c>
      <c r="X59" s="662">
        <f>SUM(X60:X72)</f>
        <v>295</v>
      </c>
      <c r="Y59" s="662">
        <f>SUM(Y60:Y72)</f>
        <v>116</v>
      </c>
      <c r="AA59" s="1"/>
      <c r="AB59" s="1"/>
      <c r="AC59" s="1"/>
      <c r="AD59" s="1"/>
      <c r="AE59" s="1"/>
    </row>
    <row r="60" spans="1:31" s="159" customFormat="1">
      <c r="A60" s="410" t="s">
        <v>103</v>
      </c>
      <c r="B60" s="666" t="s">
        <v>416</v>
      </c>
      <c r="C60" s="674">
        <v>2</v>
      </c>
      <c r="D60" s="674">
        <v>1</v>
      </c>
      <c r="E60" s="674">
        <v>3</v>
      </c>
      <c r="F60" s="674">
        <v>0</v>
      </c>
      <c r="G60" s="674">
        <v>3</v>
      </c>
      <c r="H60" s="674"/>
      <c r="I60" s="686">
        <v>0</v>
      </c>
      <c r="J60" s="674">
        <v>0</v>
      </c>
      <c r="K60" s="674">
        <v>0</v>
      </c>
      <c r="L60" s="674">
        <v>0</v>
      </c>
      <c r="M60" s="674">
        <v>0</v>
      </c>
      <c r="N60" s="691"/>
      <c r="O60" s="674">
        <v>2</v>
      </c>
      <c r="P60" s="674">
        <v>0</v>
      </c>
      <c r="Q60" s="674">
        <v>2</v>
      </c>
      <c r="R60" s="674">
        <v>2</v>
      </c>
      <c r="S60" s="674">
        <v>0</v>
      </c>
      <c r="T60" s="691"/>
      <c r="U60" s="674">
        <v>6</v>
      </c>
      <c r="V60" s="674">
        <v>13</v>
      </c>
      <c r="W60" s="674">
        <v>19</v>
      </c>
      <c r="X60" s="674">
        <v>14</v>
      </c>
      <c r="Y60" s="674">
        <v>5</v>
      </c>
    </row>
    <row r="61" spans="1:31" s="159" customFormat="1">
      <c r="A61" s="410" t="s">
        <v>103</v>
      </c>
      <c r="B61" s="666" t="s">
        <v>417</v>
      </c>
      <c r="C61" s="674">
        <v>10</v>
      </c>
      <c r="D61" s="674">
        <v>1</v>
      </c>
      <c r="E61" s="674">
        <v>11</v>
      </c>
      <c r="F61" s="674">
        <v>6</v>
      </c>
      <c r="G61" s="674">
        <v>5</v>
      </c>
      <c r="H61" s="674"/>
      <c r="I61" s="686">
        <v>0</v>
      </c>
      <c r="J61" s="674">
        <v>0</v>
      </c>
      <c r="K61" s="674">
        <v>0</v>
      </c>
      <c r="L61" s="674">
        <v>0</v>
      </c>
      <c r="M61" s="674">
        <v>0</v>
      </c>
      <c r="N61" s="691"/>
      <c r="O61" s="674">
        <v>0</v>
      </c>
      <c r="P61" s="674">
        <v>9</v>
      </c>
      <c r="Q61" s="674">
        <v>9</v>
      </c>
      <c r="R61" s="674">
        <v>9</v>
      </c>
      <c r="S61" s="674">
        <v>0</v>
      </c>
      <c r="T61" s="691"/>
      <c r="U61" s="674">
        <v>2</v>
      </c>
      <c r="V61" s="674">
        <v>18</v>
      </c>
      <c r="W61" s="674">
        <v>20</v>
      </c>
      <c r="X61" s="674">
        <v>18</v>
      </c>
      <c r="Y61" s="674">
        <v>2</v>
      </c>
    </row>
    <row r="62" spans="1:31" s="159" customFormat="1">
      <c r="A62" s="410" t="s">
        <v>103</v>
      </c>
      <c r="B62" s="666" t="s">
        <v>418</v>
      </c>
      <c r="C62" s="674">
        <v>7</v>
      </c>
      <c r="D62" s="674">
        <v>6</v>
      </c>
      <c r="E62" s="674">
        <v>13</v>
      </c>
      <c r="F62" s="674">
        <v>1</v>
      </c>
      <c r="G62" s="674">
        <v>12</v>
      </c>
      <c r="H62" s="674"/>
      <c r="I62" s="686">
        <v>0</v>
      </c>
      <c r="J62" s="674">
        <v>0</v>
      </c>
      <c r="K62" s="674">
        <v>0</v>
      </c>
      <c r="L62" s="674">
        <v>0</v>
      </c>
      <c r="M62" s="674">
        <v>0</v>
      </c>
      <c r="N62" s="691"/>
      <c r="O62" s="674">
        <v>1</v>
      </c>
      <c r="P62" s="674">
        <v>0</v>
      </c>
      <c r="Q62" s="674">
        <v>1</v>
      </c>
      <c r="R62" s="674">
        <v>1</v>
      </c>
      <c r="S62" s="674">
        <v>0</v>
      </c>
      <c r="T62" s="691"/>
      <c r="U62" s="674">
        <v>3</v>
      </c>
      <c r="V62" s="674">
        <v>18</v>
      </c>
      <c r="W62" s="674">
        <v>21</v>
      </c>
      <c r="X62" s="674">
        <v>18</v>
      </c>
      <c r="Y62" s="674">
        <v>3</v>
      </c>
    </row>
    <row r="63" spans="1:31" s="159" customFormat="1">
      <c r="A63" s="410" t="s">
        <v>103</v>
      </c>
      <c r="B63" s="666" t="s">
        <v>419</v>
      </c>
      <c r="C63" s="674">
        <v>3</v>
      </c>
      <c r="D63" s="674">
        <v>0</v>
      </c>
      <c r="E63" s="674">
        <v>3</v>
      </c>
      <c r="F63" s="674">
        <v>0</v>
      </c>
      <c r="G63" s="674">
        <v>3</v>
      </c>
      <c r="H63" s="674"/>
      <c r="I63" s="686">
        <v>0</v>
      </c>
      <c r="J63" s="674">
        <v>0</v>
      </c>
      <c r="K63" s="674">
        <v>0</v>
      </c>
      <c r="L63" s="674">
        <v>0</v>
      </c>
      <c r="M63" s="674">
        <v>0</v>
      </c>
      <c r="N63" s="691"/>
      <c r="O63" s="674">
        <v>2</v>
      </c>
      <c r="P63" s="674">
        <v>2</v>
      </c>
      <c r="Q63" s="674">
        <v>4</v>
      </c>
      <c r="R63" s="674">
        <v>0</v>
      </c>
      <c r="S63" s="674">
        <v>4</v>
      </c>
      <c r="T63" s="691"/>
      <c r="U63" s="674">
        <v>2</v>
      </c>
      <c r="V63" s="674">
        <v>7</v>
      </c>
      <c r="W63" s="674">
        <v>9</v>
      </c>
      <c r="X63" s="674">
        <v>6</v>
      </c>
      <c r="Y63" s="674">
        <v>3</v>
      </c>
    </row>
    <row r="64" spans="1:31" s="159" customFormat="1">
      <c r="A64" s="410" t="s">
        <v>103</v>
      </c>
      <c r="B64" s="666" t="s">
        <v>420</v>
      </c>
      <c r="C64" s="674">
        <v>2</v>
      </c>
      <c r="D64" s="674">
        <v>0</v>
      </c>
      <c r="E64" s="674">
        <v>2</v>
      </c>
      <c r="F64" s="674">
        <v>0</v>
      </c>
      <c r="G64" s="674">
        <v>2</v>
      </c>
      <c r="H64" s="674"/>
      <c r="I64" s="686">
        <v>0</v>
      </c>
      <c r="J64" s="674">
        <v>0</v>
      </c>
      <c r="K64" s="674">
        <v>0</v>
      </c>
      <c r="L64" s="674">
        <v>0</v>
      </c>
      <c r="M64" s="674">
        <v>0</v>
      </c>
      <c r="N64" s="691"/>
      <c r="O64" s="674">
        <v>16</v>
      </c>
      <c r="P64" s="674">
        <v>7</v>
      </c>
      <c r="Q64" s="674">
        <v>23</v>
      </c>
      <c r="R64" s="674">
        <v>9</v>
      </c>
      <c r="S64" s="674">
        <v>14</v>
      </c>
      <c r="T64" s="691"/>
      <c r="U64" s="674">
        <v>7</v>
      </c>
      <c r="V64" s="674">
        <v>30</v>
      </c>
      <c r="W64" s="674">
        <v>37</v>
      </c>
      <c r="X64" s="674">
        <v>28</v>
      </c>
      <c r="Y64" s="674">
        <v>9</v>
      </c>
    </row>
    <row r="65" spans="1:34" s="159" customFormat="1">
      <c r="A65" s="410" t="s">
        <v>103</v>
      </c>
      <c r="B65" s="666" t="s">
        <v>421</v>
      </c>
      <c r="C65" s="674">
        <v>11</v>
      </c>
      <c r="D65" s="674">
        <v>3</v>
      </c>
      <c r="E65" s="674">
        <v>14</v>
      </c>
      <c r="F65" s="674">
        <v>1</v>
      </c>
      <c r="G65" s="674">
        <v>13</v>
      </c>
      <c r="H65" s="674"/>
      <c r="I65" s="686">
        <v>0</v>
      </c>
      <c r="J65" s="674">
        <v>0</v>
      </c>
      <c r="K65" s="674">
        <v>0</v>
      </c>
      <c r="L65" s="674">
        <v>0</v>
      </c>
      <c r="M65" s="674">
        <v>0</v>
      </c>
      <c r="N65" s="691"/>
      <c r="O65" s="674">
        <v>11</v>
      </c>
      <c r="P65" s="674">
        <v>2</v>
      </c>
      <c r="Q65" s="674">
        <v>13</v>
      </c>
      <c r="R65" s="674">
        <v>2</v>
      </c>
      <c r="S65" s="674">
        <v>11</v>
      </c>
      <c r="T65" s="691"/>
      <c r="U65" s="674">
        <v>7</v>
      </c>
      <c r="V65" s="674">
        <v>21</v>
      </c>
      <c r="W65" s="674">
        <v>28</v>
      </c>
      <c r="X65" s="674">
        <v>13</v>
      </c>
      <c r="Y65" s="674">
        <v>15</v>
      </c>
    </row>
    <row r="66" spans="1:34" s="159" customFormat="1">
      <c r="A66" s="410" t="s">
        <v>103</v>
      </c>
      <c r="B66" s="666" t="s">
        <v>422</v>
      </c>
      <c r="C66" s="674">
        <v>14</v>
      </c>
      <c r="D66" s="674">
        <v>0</v>
      </c>
      <c r="E66" s="674">
        <v>14</v>
      </c>
      <c r="F66" s="674">
        <v>2</v>
      </c>
      <c r="G66" s="674">
        <v>12</v>
      </c>
      <c r="H66" s="674"/>
      <c r="I66" s="686">
        <v>0</v>
      </c>
      <c r="J66" s="674">
        <v>0</v>
      </c>
      <c r="K66" s="674">
        <v>0</v>
      </c>
      <c r="L66" s="674">
        <v>0</v>
      </c>
      <c r="M66" s="674">
        <v>0</v>
      </c>
      <c r="N66" s="691"/>
      <c r="O66" s="674">
        <v>1</v>
      </c>
      <c r="P66" s="674">
        <v>4</v>
      </c>
      <c r="Q66" s="674">
        <v>5</v>
      </c>
      <c r="R66" s="674">
        <v>2</v>
      </c>
      <c r="S66" s="674">
        <v>3</v>
      </c>
      <c r="T66" s="691"/>
      <c r="U66" s="674">
        <v>4</v>
      </c>
      <c r="V66" s="674">
        <v>8</v>
      </c>
      <c r="W66" s="674">
        <v>12</v>
      </c>
      <c r="X66" s="674">
        <v>8</v>
      </c>
      <c r="Y66" s="674">
        <v>4</v>
      </c>
    </row>
    <row r="67" spans="1:34" s="159" customFormat="1">
      <c r="A67" s="410" t="s">
        <v>103</v>
      </c>
      <c r="B67" s="666" t="s">
        <v>423</v>
      </c>
      <c r="C67" s="674">
        <v>7</v>
      </c>
      <c r="D67" s="674">
        <v>4</v>
      </c>
      <c r="E67" s="674">
        <v>11</v>
      </c>
      <c r="F67" s="674">
        <v>6</v>
      </c>
      <c r="G67" s="674">
        <v>5</v>
      </c>
      <c r="H67" s="674"/>
      <c r="I67" s="686">
        <v>0</v>
      </c>
      <c r="J67" s="674">
        <v>0</v>
      </c>
      <c r="K67" s="674">
        <v>0</v>
      </c>
      <c r="L67" s="674">
        <v>0</v>
      </c>
      <c r="M67" s="674">
        <v>0</v>
      </c>
      <c r="N67" s="691"/>
      <c r="O67" s="674">
        <v>5</v>
      </c>
      <c r="P67" s="674">
        <v>8</v>
      </c>
      <c r="Q67" s="674">
        <v>13</v>
      </c>
      <c r="R67" s="674">
        <v>11</v>
      </c>
      <c r="S67" s="674">
        <v>2</v>
      </c>
      <c r="T67" s="691"/>
      <c r="U67" s="674">
        <v>9</v>
      </c>
      <c r="V67" s="674">
        <v>41</v>
      </c>
      <c r="W67" s="674">
        <v>50</v>
      </c>
      <c r="X67" s="674">
        <v>41</v>
      </c>
      <c r="Y67" s="674">
        <v>9</v>
      </c>
    </row>
    <row r="68" spans="1:34" s="159" customFormat="1">
      <c r="A68" s="410" t="s">
        <v>103</v>
      </c>
      <c r="B68" s="666" t="s">
        <v>424</v>
      </c>
      <c r="C68" s="674">
        <v>2</v>
      </c>
      <c r="D68" s="674">
        <v>0</v>
      </c>
      <c r="E68" s="674">
        <v>2</v>
      </c>
      <c r="F68" s="674">
        <v>2</v>
      </c>
      <c r="G68" s="674">
        <v>0</v>
      </c>
      <c r="H68" s="674"/>
      <c r="I68" s="686">
        <v>0</v>
      </c>
      <c r="J68" s="674">
        <v>0</v>
      </c>
      <c r="K68" s="674">
        <v>0</v>
      </c>
      <c r="L68" s="674">
        <v>0</v>
      </c>
      <c r="M68" s="674">
        <v>0</v>
      </c>
      <c r="N68" s="691"/>
      <c r="O68" s="674">
        <v>0</v>
      </c>
      <c r="P68" s="674">
        <v>1</v>
      </c>
      <c r="Q68" s="674">
        <v>1</v>
      </c>
      <c r="R68" s="674">
        <v>1</v>
      </c>
      <c r="S68" s="674">
        <v>0</v>
      </c>
      <c r="T68" s="691"/>
      <c r="U68" s="674">
        <v>3</v>
      </c>
      <c r="V68" s="674">
        <v>5</v>
      </c>
      <c r="W68" s="674">
        <v>8</v>
      </c>
      <c r="X68" s="674">
        <v>5</v>
      </c>
      <c r="Y68" s="674">
        <v>3</v>
      </c>
    </row>
    <row r="69" spans="1:34" s="159" customFormat="1">
      <c r="A69" s="410" t="s">
        <v>103</v>
      </c>
      <c r="B69" s="666" t="s">
        <v>425</v>
      </c>
      <c r="C69" s="674">
        <v>6</v>
      </c>
      <c r="D69" s="674">
        <v>3</v>
      </c>
      <c r="E69" s="674">
        <v>9</v>
      </c>
      <c r="F69" s="674">
        <v>1</v>
      </c>
      <c r="G69" s="674">
        <v>8</v>
      </c>
      <c r="H69" s="674"/>
      <c r="I69" s="686">
        <v>0</v>
      </c>
      <c r="J69" s="674">
        <v>0</v>
      </c>
      <c r="K69" s="674">
        <v>0</v>
      </c>
      <c r="L69" s="674">
        <v>0</v>
      </c>
      <c r="M69" s="674">
        <v>0</v>
      </c>
      <c r="N69" s="691"/>
      <c r="O69" s="674">
        <v>3</v>
      </c>
      <c r="P69" s="674">
        <v>8</v>
      </c>
      <c r="Q69" s="674">
        <v>11</v>
      </c>
      <c r="R69" s="674">
        <v>3</v>
      </c>
      <c r="S69" s="674">
        <v>8</v>
      </c>
      <c r="T69" s="691"/>
      <c r="U69" s="674">
        <v>6</v>
      </c>
      <c r="V69" s="674">
        <v>40</v>
      </c>
      <c r="W69" s="674">
        <v>46</v>
      </c>
      <c r="X69" s="674">
        <v>39</v>
      </c>
      <c r="Y69" s="674">
        <v>7</v>
      </c>
    </row>
    <row r="70" spans="1:34" s="159" customFormat="1">
      <c r="A70" s="410" t="s">
        <v>103</v>
      </c>
      <c r="B70" s="666" t="s">
        <v>426</v>
      </c>
      <c r="C70" s="674">
        <v>26</v>
      </c>
      <c r="D70" s="674">
        <v>5</v>
      </c>
      <c r="E70" s="674">
        <v>31</v>
      </c>
      <c r="F70" s="674">
        <v>2</v>
      </c>
      <c r="G70" s="674">
        <v>29</v>
      </c>
      <c r="H70" s="674"/>
      <c r="I70" s="686">
        <v>0</v>
      </c>
      <c r="J70" s="674">
        <v>0</v>
      </c>
      <c r="K70" s="674">
        <v>0</v>
      </c>
      <c r="L70" s="674">
        <v>0</v>
      </c>
      <c r="M70" s="674">
        <v>0</v>
      </c>
      <c r="N70" s="691"/>
      <c r="O70" s="674">
        <v>11</v>
      </c>
      <c r="P70" s="674">
        <v>5</v>
      </c>
      <c r="Q70" s="674">
        <v>16</v>
      </c>
      <c r="R70" s="674">
        <v>4</v>
      </c>
      <c r="S70" s="674">
        <v>12</v>
      </c>
      <c r="T70" s="691"/>
      <c r="U70" s="674">
        <v>35</v>
      </c>
      <c r="V70" s="674">
        <v>37</v>
      </c>
      <c r="W70" s="674">
        <v>72</v>
      </c>
      <c r="X70" s="674">
        <v>33</v>
      </c>
      <c r="Y70" s="674">
        <v>39</v>
      </c>
    </row>
    <row r="71" spans="1:34" s="159" customFormat="1">
      <c r="A71" s="410" t="s">
        <v>103</v>
      </c>
      <c r="B71" s="666" t="s">
        <v>427</v>
      </c>
      <c r="C71" s="674">
        <v>2</v>
      </c>
      <c r="D71" s="674">
        <v>1</v>
      </c>
      <c r="E71" s="674">
        <v>3</v>
      </c>
      <c r="F71" s="674">
        <v>0</v>
      </c>
      <c r="G71" s="674">
        <v>3</v>
      </c>
      <c r="H71" s="674"/>
      <c r="I71" s="686">
        <v>0</v>
      </c>
      <c r="J71" s="674">
        <v>0</v>
      </c>
      <c r="K71" s="674">
        <v>0</v>
      </c>
      <c r="L71" s="674">
        <v>0</v>
      </c>
      <c r="M71" s="674">
        <v>0</v>
      </c>
      <c r="N71" s="691"/>
      <c r="O71" s="674">
        <v>0</v>
      </c>
      <c r="P71" s="674">
        <v>0</v>
      </c>
      <c r="Q71" s="674">
        <v>0</v>
      </c>
      <c r="R71" s="674">
        <v>0</v>
      </c>
      <c r="S71" s="674">
        <v>0</v>
      </c>
      <c r="T71" s="691"/>
      <c r="U71" s="674">
        <v>2</v>
      </c>
      <c r="V71" s="674">
        <v>8</v>
      </c>
      <c r="W71" s="674">
        <v>10</v>
      </c>
      <c r="X71" s="674">
        <v>9</v>
      </c>
      <c r="Y71" s="674">
        <v>1</v>
      </c>
    </row>
    <row r="72" spans="1:34" s="159" customFormat="1">
      <c r="A72" s="667" t="s">
        <v>103</v>
      </c>
      <c r="B72" s="668" t="s">
        <v>428</v>
      </c>
      <c r="C72" s="687">
        <v>23</v>
      </c>
      <c r="D72" s="687">
        <v>10</v>
      </c>
      <c r="E72" s="687">
        <v>33</v>
      </c>
      <c r="F72" s="687">
        <v>16</v>
      </c>
      <c r="G72" s="687">
        <v>17</v>
      </c>
      <c r="H72" s="687"/>
      <c r="I72" s="689">
        <v>2</v>
      </c>
      <c r="J72" s="687">
        <v>0</v>
      </c>
      <c r="K72" s="687">
        <v>2</v>
      </c>
      <c r="L72" s="687">
        <v>0</v>
      </c>
      <c r="M72" s="687">
        <v>2</v>
      </c>
      <c r="N72" s="692"/>
      <c r="O72" s="687">
        <v>6</v>
      </c>
      <c r="P72" s="687">
        <v>13</v>
      </c>
      <c r="Q72" s="687">
        <v>19</v>
      </c>
      <c r="R72" s="687">
        <v>15</v>
      </c>
      <c r="S72" s="687">
        <v>4</v>
      </c>
      <c r="T72" s="692"/>
      <c r="U72" s="687">
        <v>6</v>
      </c>
      <c r="V72" s="687">
        <v>73</v>
      </c>
      <c r="W72" s="687">
        <v>79</v>
      </c>
      <c r="X72" s="687">
        <v>63</v>
      </c>
      <c r="Y72" s="687">
        <v>16</v>
      </c>
    </row>
    <row r="73" spans="1:34" s="234" customFormat="1">
      <c r="A73" s="405" t="s">
        <v>105</v>
      </c>
      <c r="B73" s="658" t="s">
        <v>8</v>
      </c>
      <c r="C73" s="662">
        <f>SUM(C74:C88)</f>
        <v>64</v>
      </c>
      <c r="D73" s="662">
        <f>SUM(D74:D88)</f>
        <v>67</v>
      </c>
      <c r="E73" s="662">
        <f>SUM(E74:E88)</f>
        <v>131</v>
      </c>
      <c r="F73" s="662">
        <f>SUM(F74:F88)</f>
        <v>87</v>
      </c>
      <c r="G73" s="662">
        <f>SUM(G74:G88)</f>
        <v>44</v>
      </c>
      <c r="H73" s="662"/>
      <c r="I73" s="663">
        <f>SUM(I74:I88)</f>
        <v>3</v>
      </c>
      <c r="J73" s="662">
        <f>SUM(J74:J88)</f>
        <v>3</v>
      </c>
      <c r="K73" s="662">
        <f>SUM(K74:K88)</f>
        <v>6</v>
      </c>
      <c r="L73" s="662">
        <f>SUM(L74:L88)</f>
        <v>4</v>
      </c>
      <c r="M73" s="662">
        <f>SUM(M74:M88)</f>
        <v>2</v>
      </c>
      <c r="N73" s="664"/>
      <c r="O73" s="662">
        <f>SUM(O74:O88)</f>
        <v>25</v>
      </c>
      <c r="P73" s="662">
        <f>SUM(P74:P88)</f>
        <v>142</v>
      </c>
      <c r="Q73" s="662">
        <f>SUM(Q74:Q88)</f>
        <v>167</v>
      </c>
      <c r="R73" s="662">
        <f>SUM(R74:R88)</f>
        <v>125</v>
      </c>
      <c r="S73" s="662">
        <f>SUM(S74:S88)</f>
        <v>42</v>
      </c>
      <c r="T73" s="664"/>
      <c r="U73" s="662">
        <f>SUM(U74:U88)</f>
        <v>49</v>
      </c>
      <c r="V73" s="662">
        <f>SUM(V74:V88)</f>
        <v>415</v>
      </c>
      <c r="W73" s="662">
        <f>SUM(W74:W88)</f>
        <v>464</v>
      </c>
      <c r="X73" s="662">
        <f>SUM(X74:X88)</f>
        <v>407</v>
      </c>
      <c r="Y73" s="662">
        <f>SUM(Y74:Y88)</f>
        <v>57</v>
      </c>
      <c r="AA73" s="1"/>
      <c r="AB73" s="1"/>
      <c r="AC73" s="1"/>
      <c r="AD73" s="1"/>
      <c r="AE73" s="1"/>
    </row>
    <row r="74" spans="1:34" s="159" customFormat="1">
      <c r="A74" s="410" t="s">
        <v>105</v>
      </c>
      <c r="B74" s="666" t="s">
        <v>429</v>
      </c>
      <c r="C74" s="674">
        <v>7</v>
      </c>
      <c r="D74" s="674">
        <v>2</v>
      </c>
      <c r="E74" s="674">
        <v>9</v>
      </c>
      <c r="F74" s="674">
        <v>6</v>
      </c>
      <c r="G74" s="674">
        <v>3</v>
      </c>
      <c r="H74" s="674"/>
      <c r="I74" s="686">
        <v>0</v>
      </c>
      <c r="J74" s="674">
        <v>0</v>
      </c>
      <c r="K74" s="674">
        <v>0</v>
      </c>
      <c r="L74" s="674">
        <v>0</v>
      </c>
      <c r="M74" s="674">
        <v>0</v>
      </c>
      <c r="N74" s="691"/>
      <c r="O74" s="674">
        <v>2</v>
      </c>
      <c r="P74" s="674">
        <v>7</v>
      </c>
      <c r="Q74" s="674">
        <v>9</v>
      </c>
      <c r="R74" s="674">
        <v>6</v>
      </c>
      <c r="S74" s="674">
        <v>3</v>
      </c>
      <c r="T74" s="691"/>
      <c r="U74" s="674">
        <v>19</v>
      </c>
      <c r="V74" s="674">
        <v>32</v>
      </c>
      <c r="W74" s="674">
        <v>51</v>
      </c>
      <c r="X74" s="674">
        <v>39</v>
      </c>
      <c r="Y74" s="674">
        <v>12</v>
      </c>
    </row>
    <row r="75" spans="1:34" s="159" customFormat="1">
      <c r="A75" s="410" t="s">
        <v>105</v>
      </c>
      <c r="B75" s="666" t="s">
        <v>430</v>
      </c>
      <c r="C75" s="674">
        <v>1</v>
      </c>
      <c r="D75" s="674">
        <v>0</v>
      </c>
      <c r="E75" s="674">
        <v>1</v>
      </c>
      <c r="F75" s="674">
        <v>1</v>
      </c>
      <c r="G75" s="674">
        <v>0</v>
      </c>
      <c r="H75" s="674"/>
      <c r="I75" s="686">
        <v>0</v>
      </c>
      <c r="J75" s="674">
        <v>0</v>
      </c>
      <c r="K75" s="674">
        <v>0</v>
      </c>
      <c r="L75" s="674">
        <v>0</v>
      </c>
      <c r="M75" s="674">
        <v>0</v>
      </c>
      <c r="N75" s="691"/>
      <c r="O75" s="674">
        <v>0</v>
      </c>
      <c r="P75" s="674">
        <v>0</v>
      </c>
      <c r="Q75" s="674">
        <v>0</v>
      </c>
      <c r="R75" s="674">
        <v>0</v>
      </c>
      <c r="S75" s="674">
        <v>0</v>
      </c>
      <c r="T75" s="691"/>
      <c r="U75" s="674">
        <v>1</v>
      </c>
      <c r="V75" s="674">
        <v>10</v>
      </c>
      <c r="W75" s="674">
        <v>11</v>
      </c>
      <c r="X75" s="674">
        <v>10</v>
      </c>
      <c r="Y75" s="674">
        <v>1</v>
      </c>
    </row>
    <row r="76" spans="1:34" s="159" customFormat="1">
      <c r="A76" s="410" t="s">
        <v>105</v>
      </c>
      <c r="B76" s="666" t="s">
        <v>431</v>
      </c>
      <c r="C76" s="674">
        <v>2</v>
      </c>
      <c r="D76" s="674">
        <v>2</v>
      </c>
      <c r="E76" s="674">
        <v>4</v>
      </c>
      <c r="F76" s="674">
        <v>1</v>
      </c>
      <c r="G76" s="674">
        <v>3</v>
      </c>
      <c r="H76" s="674"/>
      <c r="I76" s="686">
        <v>0</v>
      </c>
      <c r="J76" s="674">
        <v>0</v>
      </c>
      <c r="K76" s="674">
        <v>0</v>
      </c>
      <c r="L76" s="674">
        <v>0</v>
      </c>
      <c r="M76" s="674">
        <v>0</v>
      </c>
      <c r="N76" s="691"/>
      <c r="O76" s="674">
        <v>0</v>
      </c>
      <c r="P76" s="674">
        <v>3</v>
      </c>
      <c r="Q76" s="674">
        <v>3</v>
      </c>
      <c r="R76" s="674">
        <v>1</v>
      </c>
      <c r="S76" s="674">
        <v>2</v>
      </c>
      <c r="T76" s="691"/>
      <c r="U76" s="674">
        <v>2</v>
      </c>
      <c r="V76" s="674">
        <v>18</v>
      </c>
      <c r="W76" s="674">
        <v>20</v>
      </c>
      <c r="X76" s="674">
        <v>18</v>
      </c>
      <c r="Y76" s="674">
        <v>2</v>
      </c>
    </row>
    <row r="77" spans="1:34" s="159" customFormat="1">
      <c r="A77" s="410" t="s">
        <v>105</v>
      </c>
      <c r="B77" s="666" t="s">
        <v>432</v>
      </c>
      <c r="C77" s="674">
        <v>1</v>
      </c>
      <c r="D77" s="674">
        <v>1</v>
      </c>
      <c r="E77" s="674">
        <v>2</v>
      </c>
      <c r="F77" s="674">
        <v>1</v>
      </c>
      <c r="G77" s="674">
        <v>1</v>
      </c>
      <c r="H77" s="674"/>
      <c r="I77" s="686">
        <v>0</v>
      </c>
      <c r="J77" s="674">
        <v>0</v>
      </c>
      <c r="K77" s="674">
        <v>0</v>
      </c>
      <c r="L77" s="674">
        <v>0</v>
      </c>
      <c r="M77" s="674">
        <v>0</v>
      </c>
      <c r="N77" s="691"/>
      <c r="O77" s="674">
        <v>1</v>
      </c>
      <c r="P77" s="674">
        <v>1</v>
      </c>
      <c r="Q77" s="674">
        <v>2</v>
      </c>
      <c r="R77" s="674">
        <v>2</v>
      </c>
      <c r="S77" s="674">
        <v>0</v>
      </c>
      <c r="T77" s="691"/>
      <c r="U77" s="674">
        <v>4</v>
      </c>
      <c r="V77" s="674">
        <v>5</v>
      </c>
      <c r="W77" s="674">
        <v>9</v>
      </c>
      <c r="X77" s="674">
        <v>7</v>
      </c>
      <c r="Y77" s="674">
        <v>2</v>
      </c>
    </row>
    <row r="78" spans="1:34" s="159" customFormat="1">
      <c r="A78" s="410" t="s">
        <v>105</v>
      </c>
      <c r="B78" s="666" t="s">
        <v>433</v>
      </c>
      <c r="C78" s="674">
        <v>0</v>
      </c>
      <c r="D78" s="674">
        <v>0</v>
      </c>
      <c r="E78" s="674">
        <v>0</v>
      </c>
      <c r="F78" s="674">
        <v>0</v>
      </c>
      <c r="G78" s="674">
        <v>0</v>
      </c>
      <c r="H78" s="674"/>
      <c r="I78" s="686">
        <v>0</v>
      </c>
      <c r="J78" s="674">
        <v>0</v>
      </c>
      <c r="K78" s="674">
        <v>0</v>
      </c>
      <c r="L78" s="674">
        <v>0</v>
      </c>
      <c r="M78" s="674">
        <v>0</v>
      </c>
      <c r="N78" s="691"/>
      <c r="O78" s="674">
        <v>2</v>
      </c>
      <c r="P78" s="674">
        <v>8</v>
      </c>
      <c r="Q78" s="674">
        <v>10</v>
      </c>
      <c r="R78" s="674">
        <v>9</v>
      </c>
      <c r="S78" s="674">
        <v>1</v>
      </c>
      <c r="T78" s="691"/>
      <c r="U78" s="674">
        <v>2</v>
      </c>
      <c r="V78" s="674">
        <v>29</v>
      </c>
      <c r="W78" s="674">
        <v>31</v>
      </c>
      <c r="X78" s="674">
        <v>31</v>
      </c>
      <c r="Y78" s="674">
        <v>0</v>
      </c>
    </row>
    <row r="79" spans="1:34" s="159" customFormat="1">
      <c r="A79" s="410" t="s">
        <v>105</v>
      </c>
      <c r="B79" s="666" t="s">
        <v>434</v>
      </c>
      <c r="C79" s="674">
        <v>9</v>
      </c>
      <c r="D79" s="674">
        <v>3</v>
      </c>
      <c r="E79" s="674">
        <v>12</v>
      </c>
      <c r="F79" s="674">
        <v>5</v>
      </c>
      <c r="G79" s="674">
        <v>7</v>
      </c>
      <c r="H79" s="674"/>
      <c r="I79" s="686">
        <v>0</v>
      </c>
      <c r="J79" s="674">
        <v>0</v>
      </c>
      <c r="K79" s="674">
        <v>0</v>
      </c>
      <c r="L79" s="674">
        <v>0</v>
      </c>
      <c r="M79" s="674">
        <v>0</v>
      </c>
      <c r="N79" s="691"/>
      <c r="O79" s="674">
        <v>4</v>
      </c>
      <c r="P79" s="674">
        <v>24</v>
      </c>
      <c r="Q79" s="674">
        <v>28</v>
      </c>
      <c r="R79" s="674">
        <v>26</v>
      </c>
      <c r="S79" s="674">
        <v>2</v>
      </c>
      <c r="T79" s="691"/>
      <c r="U79" s="674">
        <v>1</v>
      </c>
      <c r="V79" s="674">
        <v>35</v>
      </c>
      <c r="W79" s="674">
        <v>36</v>
      </c>
      <c r="X79" s="674">
        <v>36</v>
      </c>
      <c r="Y79" s="674">
        <v>0</v>
      </c>
      <c r="AH79" s="129"/>
    </row>
    <row r="80" spans="1:34" s="159" customFormat="1">
      <c r="A80" s="410" t="s">
        <v>105</v>
      </c>
      <c r="B80" s="666" t="s">
        <v>435</v>
      </c>
      <c r="C80" s="674">
        <v>9</v>
      </c>
      <c r="D80" s="674">
        <v>14</v>
      </c>
      <c r="E80" s="674">
        <v>23</v>
      </c>
      <c r="F80" s="674">
        <v>8</v>
      </c>
      <c r="G80" s="674">
        <v>15</v>
      </c>
      <c r="H80" s="674"/>
      <c r="I80" s="686">
        <v>0</v>
      </c>
      <c r="J80" s="674">
        <v>1</v>
      </c>
      <c r="K80" s="674">
        <v>1</v>
      </c>
      <c r="L80" s="674">
        <v>0</v>
      </c>
      <c r="M80" s="674">
        <v>1</v>
      </c>
      <c r="N80" s="691"/>
      <c r="O80" s="674">
        <v>1</v>
      </c>
      <c r="P80" s="674">
        <v>24</v>
      </c>
      <c r="Q80" s="674">
        <v>25</v>
      </c>
      <c r="R80" s="674">
        <v>19</v>
      </c>
      <c r="S80" s="674">
        <v>6</v>
      </c>
      <c r="T80" s="691"/>
      <c r="U80" s="674">
        <v>1</v>
      </c>
      <c r="V80" s="674">
        <v>91</v>
      </c>
      <c r="W80" s="674">
        <v>92</v>
      </c>
      <c r="X80" s="674">
        <v>83</v>
      </c>
      <c r="Y80" s="674">
        <v>9</v>
      </c>
      <c r="AH80" s="129"/>
    </row>
    <row r="81" spans="1:34" s="159" customFormat="1">
      <c r="A81" s="410" t="s">
        <v>105</v>
      </c>
      <c r="B81" s="666" t="s">
        <v>436</v>
      </c>
      <c r="C81" s="674">
        <v>2</v>
      </c>
      <c r="D81" s="674">
        <v>3</v>
      </c>
      <c r="E81" s="674">
        <v>5</v>
      </c>
      <c r="F81" s="674">
        <v>4</v>
      </c>
      <c r="G81" s="674">
        <v>1</v>
      </c>
      <c r="H81" s="674"/>
      <c r="I81" s="686">
        <v>0</v>
      </c>
      <c r="J81" s="674">
        <v>0</v>
      </c>
      <c r="K81" s="674">
        <v>0</v>
      </c>
      <c r="L81" s="674">
        <v>0</v>
      </c>
      <c r="M81" s="674">
        <v>0</v>
      </c>
      <c r="N81" s="691"/>
      <c r="O81" s="674">
        <v>2</v>
      </c>
      <c r="P81" s="674">
        <v>8</v>
      </c>
      <c r="Q81" s="674">
        <v>10</v>
      </c>
      <c r="R81" s="674">
        <v>8</v>
      </c>
      <c r="S81" s="674">
        <v>2</v>
      </c>
      <c r="T81" s="691"/>
      <c r="U81" s="674">
        <v>6</v>
      </c>
      <c r="V81" s="674">
        <v>23</v>
      </c>
      <c r="W81" s="674">
        <v>29</v>
      </c>
      <c r="X81" s="674">
        <v>22</v>
      </c>
      <c r="Y81" s="674">
        <v>7</v>
      </c>
      <c r="AH81" s="129"/>
    </row>
    <row r="82" spans="1:34" s="159" customFormat="1">
      <c r="A82" s="410" t="s">
        <v>105</v>
      </c>
      <c r="B82" s="666" t="s">
        <v>437</v>
      </c>
      <c r="C82" s="674">
        <v>0</v>
      </c>
      <c r="D82" s="674">
        <v>1</v>
      </c>
      <c r="E82" s="674">
        <v>1</v>
      </c>
      <c r="F82" s="674">
        <v>0</v>
      </c>
      <c r="G82" s="674">
        <v>1</v>
      </c>
      <c r="H82" s="674"/>
      <c r="I82" s="686">
        <v>0</v>
      </c>
      <c r="J82" s="674">
        <v>0</v>
      </c>
      <c r="K82" s="674">
        <v>0</v>
      </c>
      <c r="L82" s="674">
        <v>0</v>
      </c>
      <c r="M82" s="674">
        <v>0</v>
      </c>
      <c r="N82" s="691"/>
      <c r="O82" s="674">
        <v>0</v>
      </c>
      <c r="P82" s="674">
        <v>8</v>
      </c>
      <c r="Q82" s="674">
        <v>8</v>
      </c>
      <c r="R82" s="674">
        <v>8</v>
      </c>
      <c r="S82" s="674">
        <v>0</v>
      </c>
      <c r="T82" s="691"/>
      <c r="U82" s="674">
        <v>0</v>
      </c>
      <c r="V82" s="674">
        <v>35</v>
      </c>
      <c r="W82" s="674">
        <v>35</v>
      </c>
      <c r="X82" s="674">
        <v>34</v>
      </c>
      <c r="Y82" s="674">
        <v>1</v>
      </c>
      <c r="AH82" s="129"/>
    </row>
    <row r="83" spans="1:34" s="159" customFormat="1">
      <c r="A83" s="410" t="s">
        <v>105</v>
      </c>
      <c r="B83" s="666" t="s">
        <v>438</v>
      </c>
      <c r="C83" s="674">
        <v>3</v>
      </c>
      <c r="D83" s="674">
        <v>1</v>
      </c>
      <c r="E83" s="674">
        <v>4</v>
      </c>
      <c r="F83" s="674">
        <v>3</v>
      </c>
      <c r="G83" s="674">
        <v>1</v>
      </c>
      <c r="H83" s="674"/>
      <c r="I83" s="686">
        <v>0</v>
      </c>
      <c r="J83" s="674">
        <v>0</v>
      </c>
      <c r="K83" s="674">
        <v>0</v>
      </c>
      <c r="L83" s="674">
        <v>0</v>
      </c>
      <c r="M83" s="674">
        <v>0</v>
      </c>
      <c r="N83" s="691"/>
      <c r="O83" s="674">
        <v>0</v>
      </c>
      <c r="P83" s="674">
        <v>18</v>
      </c>
      <c r="Q83" s="674">
        <v>18</v>
      </c>
      <c r="R83" s="674">
        <v>18</v>
      </c>
      <c r="S83" s="674">
        <v>0</v>
      </c>
      <c r="T83" s="691"/>
      <c r="U83" s="674">
        <v>0</v>
      </c>
      <c r="V83" s="674">
        <v>10</v>
      </c>
      <c r="W83" s="674">
        <v>10</v>
      </c>
      <c r="X83" s="674">
        <v>10</v>
      </c>
      <c r="Y83" s="674">
        <v>0</v>
      </c>
      <c r="AH83" s="129"/>
    </row>
    <row r="84" spans="1:34" s="159" customFormat="1">
      <c r="A84" s="410" t="s">
        <v>105</v>
      </c>
      <c r="B84" s="666" t="s">
        <v>439</v>
      </c>
      <c r="C84" s="674">
        <v>23</v>
      </c>
      <c r="D84" s="674">
        <v>29</v>
      </c>
      <c r="E84" s="674">
        <v>52</v>
      </c>
      <c r="F84" s="674">
        <v>43</v>
      </c>
      <c r="G84" s="674">
        <v>9</v>
      </c>
      <c r="H84" s="674"/>
      <c r="I84" s="686">
        <v>3</v>
      </c>
      <c r="J84" s="674">
        <v>2</v>
      </c>
      <c r="K84" s="674">
        <v>5</v>
      </c>
      <c r="L84" s="674">
        <v>4</v>
      </c>
      <c r="M84" s="674">
        <v>1</v>
      </c>
      <c r="N84" s="691"/>
      <c r="O84" s="674">
        <v>4</v>
      </c>
      <c r="P84" s="674">
        <v>18</v>
      </c>
      <c r="Q84" s="674">
        <v>22</v>
      </c>
      <c r="R84" s="674">
        <v>10</v>
      </c>
      <c r="S84" s="674">
        <v>12</v>
      </c>
      <c r="T84" s="691"/>
      <c r="U84" s="674">
        <v>4</v>
      </c>
      <c r="V84" s="674">
        <v>44</v>
      </c>
      <c r="W84" s="674">
        <v>48</v>
      </c>
      <c r="X84" s="674">
        <v>40</v>
      </c>
      <c r="Y84" s="674">
        <v>8</v>
      </c>
      <c r="AH84" s="129"/>
    </row>
    <row r="85" spans="1:34" s="159" customFormat="1">
      <c r="A85" s="410" t="s">
        <v>105</v>
      </c>
      <c r="B85" s="666" t="s">
        <v>440</v>
      </c>
      <c r="C85" s="674">
        <v>6</v>
      </c>
      <c r="D85" s="674">
        <v>7</v>
      </c>
      <c r="E85" s="674">
        <v>13</v>
      </c>
      <c r="F85" s="674">
        <v>10</v>
      </c>
      <c r="G85" s="674">
        <v>3</v>
      </c>
      <c r="H85" s="674"/>
      <c r="I85" s="686">
        <v>0</v>
      </c>
      <c r="J85" s="674">
        <v>0</v>
      </c>
      <c r="K85" s="674">
        <v>0</v>
      </c>
      <c r="L85" s="674">
        <v>0</v>
      </c>
      <c r="M85" s="674">
        <v>0</v>
      </c>
      <c r="N85" s="691"/>
      <c r="O85" s="674">
        <v>3</v>
      </c>
      <c r="P85" s="674">
        <v>9</v>
      </c>
      <c r="Q85" s="674">
        <v>12</v>
      </c>
      <c r="R85" s="674">
        <v>6</v>
      </c>
      <c r="S85" s="674">
        <v>6</v>
      </c>
      <c r="T85" s="691"/>
      <c r="U85" s="674">
        <v>4</v>
      </c>
      <c r="V85" s="674">
        <v>25</v>
      </c>
      <c r="W85" s="674">
        <v>29</v>
      </c>
      <c r="X85" s="674">
        <v>22</v>
      </c>
      <c r="Y85" s="674">
        <v>7</v>
      </c>
      <c r="AH85" s="129"/>
    </row>
    <row r="86" spans="1:34" s="159" customFormat="1">
      <c r="A86" s="410" t="s">
        <v>105</v>
      </c>
      <c r="B86" s="666" t="s">
        <v>441</v>
      </c>
      <c r="C86" s="674">
        <v>0</v>
      </c>
      <c r="D86" s="674">
        <v>0</v>
      </c>
      <c r="E86" s="674">
        <v>0</v>
      </c>
      <c r="F86" s="674">
        <v>0</v>
      </c>
      <c r="G86" s="674">
        <v>0</v>
      </c>
      <c r="H86" s="674"/>
      <c r="I86" s="686">
        <v>0</v>
      </c>
      <c r="J86" s="674">
        <v>0</v>
      </c>
      <c r="K86" s="674">
        <v>0</v>
      </c>
      <c r="L86" s="674">
        <v>0</v>
      </c>
      <c r="M86" s="674">
        <v>0</v>
      </c>
      <c r="N86" s="691"/>
      <c r="O86" s="674">
        <v>1</v>
      </c>
      <c r="P86" s="674">
        <v>4</v>
      </c>
      <c r="Q86" s="674">
        <v>5</v>
      </c>
      <c r="R86" s="674">
        <v>3</v>
      </c>
      <c r="S86" s="674">
        <v>2</v>
      </c>
      <c r="T86" s="691"/>
      <c r="U86" s="674">
        <v>0</v>
      </c>
      <c r="V86" s="674">
        <v>6</v>
      </c>
      <c r="W86" s="674">
        <v>6</v>
      </c>
      <c r="X86" s="674">
        <v>6</v>
      </c>
      <c r="Y86" s="674">
        <v>0</v>
      </c>
      <c r="AH86" s="129"/>
    </row>
    <row r="87" spans="1:34" s="159" customFormat="1">
      <c r="A87" s="410" t="s">
        <v>105</v>
      </c>
      <c r="B87" s="666" t="s">
        <v>442</v>
      </c>
      <c r="C87" s="674">
        <v>1</v>
      </c>
      <c r="D87" s="674">
        <v>4</v>
      </c>
      <c r="E87" s="674">
        <v>5</v>
      </c>
      <c r="F87" s="674">
        <v>5</v>
      </c>
      <c r="G87" s="674">
        <v>0</v>
      </c>
      <c r="H87" s="674"/>
      <c r="I87" s="686">
        <v>0</v>
      </c>
      <c r="J87" s="674">
        <v>0</v>
      </c>
      <c r="K87" s="674">
        <v>0</v>
      </c>
      <c r="L87" s="674">
        <v>0</v>
      </c>
      <c r="M87" s="674">
        <v>0</v>
      </c>
      <c r="N87" s="691"/>
      <c r="O87" s="674">
        <v>4</v>
      </c>
      <c r="P87" s="674">
        <v>10</v>
      </c>
      <c r="Q87" s="674">
        <v>14</v>
      </c>
      <c r="R87" s="674">
        <v>8</v>
      </c>
      <c r="S87" s="674">
        <v>6</v>
      </c>
      <c r="T87" s="691"/>
      <c r="U87" s="674">
        <v>2</v>
      </c>
      <c r="V87" s="674">
        <v>46</v>
      </c>
      <c r="W87" s="674">
        <v>48</v>
      </c>
      <c r="X87" s="674">
        <v>42</v>
      </c>
      <c r="Y87" s="674">
        <v>6</v>
      </c>
      <c r="AH87" s="129"/>
    </row>
    <row r="88" spans="1:34" s="159" customFormat="1">
      <c r="A88" s="667" t="s">
        <v>105</v>
      </c>
      <c r="B88" s="668" t="s">
        <v>443</v>
      </c>
      <c r="C88" s="687">
        <v>0</v>
      </c>
      <c r="D88" s="687">
        <v>0</v>
      </c>
      <c r="E88" s="687">
        <v>0</v>
      </c>
      <c r="F88" s="687">
        <v>0</v>
      </c>
      <c r="G88" s="687">
        <v>0</v>
      </c>
      <c r="H88" s="687"/>
      <c r="I88" s="689">
        <v>0</v>
      </c>
      <c r="J88" s="687">
        <v>0</v>
      </c>
      <c r="K88" s="687">
        <v>0</v>
      </c>
      <c r="L88" s="687">
        <v>0</v>
      </c>
      <c r="M88" s="687">
        <v>0</v>
      </c>
      <c r="N88" s="692"/>
      <c r="O88" s="687">
        <v>1</v>
      </c>
      <c r="P88" s="687">
        <v>0</v>
      </c>
      <c r="Q88" s="687">
        <v>1</v>
      </c>
      <c r="R88" s="687">
        <v>1</v>
      </c>
      <c r="S88" s="687">
        <v>0</v>
      </c>
      <c r="T88" s="692"/>
      <c r="U88" s="687">
        <v>3</v>
      </c>
      <c r="V88" s="687">
        <v>6</v>
      </c>
      <c r="W88" s="687">
        <v>9</v>
      </c>
      <c r="X88" s="687">
        <v>7</v>
      </c>
      <c r="Y88" s="687">
        <v>2</v>
      </c>
      <c r="AH88" s="129"/>
    </row>
    <row r="89" spans="1:34" s="234" customFormat="1">
      <c r="A89" s="405" t="s">
        <v>107</v>
      </c>
      <c r="B89" s="658" t="s">
        <v>8</v>
      </c>
      <c r="C89" s="662">
        <f>SUM(C90:C102)</f>
        <v>43</v>
      </c>
      <c r="D89" s="662">
        <f>SUM(D90:D102)</f>
        <v>35</v>
      </c>
      <c r="E89" s="662">
        <f>SUM(E90:E102)</f>
        <v>78</v>
      </c>
      <c r="F89" s="662">
        <f>SUM(F90:F102)</f>
        <v>45</v>
      </c>
      <c r="G89" s="662">
        <f>SUM(G90:G102)</f>
        <v>33</v>
      </c>
      <c r="H89" s="662"/>
      <c r="I89" s="663">
        <f>SUM(I90:I102)</f>
        <v>0</v>
      </c>
      <c r="J89" s="662">
        <f>SUM(J90:J102)</f>
        <v>1</v>
      </c>
      <c r="K89" s="662">
        <f>SUM(K90:K102)</f>
        <v>1</v>
      </c>
      <c r="L89" s="662">
        <f>SUM(L90:L102)</f>
        <v>0</v>
      </c>
      <c r="M89" s="662">
        <f>SUM(M90:M102)</f>
        <v>1</v>
      </c>
      <c r="N89" s="664"/>
      <c r="O89" s="662">
        <f>SUM(O90:O102)</f>
        <v>16</v>
      </c>
      <c r="P89" s="662">
        <f>SUM(P90:P102)</f>
        <v>47</v>
      </c>
      <c r="Q89" s="662">
        <f>SUM(Q90:Q102)</f>
        <v>63</v>
      </c>
      <c r="R89" s="662">
        <f>SUM(R90:R102)</f>
        <v>38</v>
      </c>
      <c r="S89" s="662">
        <f>SUM(S90:S102)</f>
        <v>25</v>
      </c>
      <c r="T89" s="664"/>
      <c r="U89" s="662">
        <f>SUM(U90:U102)</f>
        <v>40</v>
      </c>
      <c r="V89" s="662">
        <f>SUM(V90:V102)</f>
        <v>275</v>
      </c>
      <c r="W89" s="662">
        <f>SUM(W90:W102)</f>
        <v>315</v>
      </c>
      <c r="X89" s="662">
        <f>SUM(X90:X102)</f>
        <v>250</v>
      </c>
      <c r="Y89" s="662">
        <f>SUM(Y90:Y102)</f>
        <v>65</v>
      </c>
      <c r="AA89" s="1"/>
      <c r="AB89" s="1"/>
      <c r="AC89" s="1"/>
      <c r="AD89" s="1"/>
      <c r="AE89" s="1"/>
      <c r="AH89" s="129"/>
    </row>
    <row r="90" spans="1:34" s="159" customFormat="1">
      <c r="A90" s="410" t="s">
        <v>107</v>
      </c>
      <c r="B90" s="666" t="s">
        <v>444</v>
      </c>
      <c r="C90" s="674">
        <v>1</v>
      </c>
      <c r="D90" s="674">
        <v>0</v>
      </c>
      <c r="E90" s="674">
        <v>1</v>
      </c>
      <c r="F90" s="674">
        <v>1</v>
      </c>
      <c r="G90" s="674">
        <v>0</v>
      </c>
      <c r="H90" s="674"/>
      <c r="I90" s="686">
        <v>0</v>
      </c>
      <c r="J90" s="674">
        <v>0</v>
      </c>
      <c r="K90" s="674">
        <v>0</v>
      </c>
      <c r="L90" s="674">
        <v>0</v>
      </c>
      <c r="M90" s="674">
        <v>0</v>
      </c>
      <c r="N90" s="691"/>
      <c r="O90" s="674">
        <v>1</v>
      </c>
      <c r="P90" s="674">
        <v>2</v>
      </c>
      <c r="Q90" s="674">
        <v>3</v>
      </c>
      <c r="R90" s="674">
        <v>3</v>
      </c>
      <c r="S90" s="674">
        <v>0</v>
      </c>
      <c r="T90" s="691"/>
      <c r="U90" s="674">
        <v>3</v>
      </c>
      <c r="V90" s="674">
        <v>8</v>
      </c>
      <c r="W90" s="674">
        <v>11</v>
      </c>
      <c r="X90" s="674">
        <v>11</v>
      </c>
      <c r="Y90" s="674">
        <v>0</v>
      </c>
      <c r="AH90" s="129"/>
    </row>
    <row r="91" spans="1:34" s="159" customFormat="1">
      <c r="A91" s="410" t="s">
        <v>107</v>
      </c>
      <c r="B91" s="666" t="s">
        <v>445</v>
      </c>
      <c r="C91" s="674">
        <v>2</v>
      </c>
      <c r="D91" s="674">
        <v>7</v>
      </c>
      <c r="E91" s="674">
        <v>9</v>
      </c>
      <c r="F91" s="674">
        <v>6</v>
      </c>
      <c r="G91" s="674">
        <v>3</v>
      </c>
      <c r="H91" s="674"/>
      <c r="I91" s="686">
        <v>0</v>
      </c>
      <c r="J91" s="674">
        <v>0</v>
      </c>
      <c r="K91" s="674">
        <v>0</v>
      </c>
      <c r="L91" s="674">
        <v>0</v>
      </c>
      <c r="M91" s="674">
        <v>0</v>
      </c>
      <c r="N91" s="691"/>
      <c r="O91" s="674">
        <v>0</v>
      </c>
      <c r="P91" s="674">
        <v>3</v>
      </c>
      <c r="Q91" s="674">
        <v>3</v>
      </c>
      <c r="R91" s="674">
        <v>3</v>
      </c>
      <c r="S91" s="674">
        <v>0</v>
      </c>
      <c r="T91" s="691"/>
      <c r="U91" s="674">
        <v>2</v>
      </c>
      <c r="V91" s="674">
        <v>25</v>
      </c>
      <c r="W91" s="674">
        <v>27</v>
      </c>
      <c r="X91" s="674">
        <v>23</v>
      </c>
      <c r="Y91" s="674">
        <v>4</v>
      </c>
      <c r="AH91" s="129"/>
    </row>
    <row r="92" spans="1:34" s="159" customFormat="1">
      <c r="A92" s="410" t="s">
        <v>107</v>
      </c>
      <c r="B92" s="666" t="s">
        <v>446</v>
      </c>
      <c r="C92" s="674">
        <v>5</v>
      </c>
      <c r="D92" s="674">
        <v>3</v>
      </c>
      <c r="E92" s="674">
        <v>8</v>
      </c>
      <c r="F92" s="674">
        <v>5</v>
      </c>
      <c r="G92" s="674">
        <v>3</v>
      </c>
      <c r="H92" s="674"/>
      <c r="I92" s="686">
        <v>0</v>
      </c>
      <c r="J92" s="674">
        <v>0</v>
      </c>
      <c r="K92" s="674">
        <v>0</v>
      </c>
      <c r="L92" s="674">
        <v>0</v>
      </c>
      <c r="M92" s="674">
        <v>0</v>
      </c>
      <c r="N92" s="691"/>
      <c r="O92" s="674">
        <v>0</v>
      </c>
      <c r="P92" s="674">
        <v>3</v>
      </c>
      <c r="Q92" s="674">
        <v>3</v>
      </c>
      <c r="R92" s="674">
        <v>2</v>
      </c>
      <c r="S92" s="674">
        <v>1</v>
      </c>
      <c r="T92" s="691"/>
      <c r="U92" s="674">
        <v>1</v>
      </c>
      <c r="V92" s="674">
        <v>15</v>
      </c>
      <c r="W92" s="674">
        <v>16</v>
      </c>
      <c r="X92" s="674">
        <v>12</v>
      </c>
      <c r="Y92" s="674">
        <v>4</v>
      </c>
      <c r="AH92" s="129"/>
    </row>
    <row r="93" spans="1:34" s="159" customFormat="1">
      <c r="A93" s="410" t="s">
        <v>107</v>
      </c>
      <c r="B93" s="666" t="s">
        <v>447</v>
      </c>
      <c r="C93" s="674">
        <v>3</v>
      </c>
      <c r="D93" s="674">
        <v>0</v>
      </c>
      <c r="E93" s="674">
        <v>3</v>
      </c>
      <c r="F93" s="674">
        <v>2</v>
      </c>
      <c r="G93" s="674">
        <v>1</v>
      </c>
      <c r="H93" s="674"/>
      <c r="I93" s="686">
        <v>0</v>
      </c>
      <c r="J93" s="674">
        <v>0</v>
      </c>
      <c r="K93" s="674">
        <v>0</v>
      </c>
      <c r="L93" s="674">
        <v>0</v>
      </c>
      <c r="M93" s="674">
        <v>0</v>
      </c>
      <c r="N93" s="691"/>
      <c r="O93" s="674">
        <v>0</v>
      </c>
      <c r="P93" s="674">
        <v>0</v>
      </c>
      <c r="Q93" s="674">
        <v>0</v>
      </c>
      <c r="R93" s="674">
        <v>0</v>
      </c>
      <c r="S93" s="674">
        <v>0</v>
      </c>
      <c r="T93" s="691"/>
      <c r="U93" s="674">
        <v>1</v>
      </c>
      <c r="V93" s="674">
        <v>8</v>
      </c>
      <c r="W93" s="674">
        <v>9</v>
      </c>
      <c r="X93" s="674">
        <v>6</v>
      </c>
      <c r="Y93" s="674">
        <v>3</v>
      </c>
      <c r="AH93" s="129"/>
    </row>
    <row r="94" spans="1:34" s="159" customFormat="1">
      <c r="A94" s="410" t="s">
        <v>107</v>
      </c>
      <c r="B94" s="666" t="s">
        <v>448</v>
      </c>
      <c r="C94" s="674">
        <v>3</v>
      </c>
      <c r="D94" s="674">
        <v>0</v>
      </c>
      <c r="E94" s="674">
        <v>3</v>
      </c>
      <c r="F94" s="674">
        <v>3</v>
      </c>
      <c r="G94" s="674">
        <v>0</v>
      </c>
      <c r="H94" s="674"/>
      <c r="I94" s="686">
        <v>0</v>
      </c>
      <c r="J94" s="674">
        <v>0</v>
      </c>
      <c r="K94" s="674">
        <v>0</v>
      </c>
      <c r="L94" s="674">
        <v>0</v>
      </c>
      <c r="M94" s="674">
        <v>0</v>
      </c>
      <c r="N94" s="691"/>
      <c r="O94" s="674">
        <v>0</v>
      </c>
      <c r="P94" s="674">
        <v>2</v>
      </c>
      <c r="Q94" s="674">
        <v>2</v>
      </c>
      <c r="R94" s="674">
        <v>1</v>
      </c>
      <c r="S94" s="674">
        <v>1</v>
      </c>
      <c r="T94" s="691"/>
      <c r="U94" s="674">
        <v>1</v>
      </c>
      <c r="V94" s="674">
        <v>13</v>
      </c>
      <c r="W94" s="674">
        <v>14</v>
      </c>
      <c r="X94" s="674">
        <v>13</v>
      </c>
      <c r="Y94" s="674">
        <v>1</v>
      </c>
      <c r="AH94" s="129"/>
    </row>
    <row r="95" spans="1:34" s="159" customFormat="1">
      <c r="A95" s="410" t="s">
        <v>107</v>
      </c>
      <c r="B95" s="666" t="s">
        <v>449</v>
      </c>
      <c r="C95" s="674">
        <v>7</v>
      </c>
      <c r="D95" s="674">
        <v>4</v>
      </c>
      <c r="E95" s="674">
        <v>11</v>
      </c>
      <c r="F95" s="674">
        <v>5</v>
      </c>
      <c r="G95" s="674">
        <v>6</v>
      </c>
      <c r="H95" s="674"/>
      <c r="I95" s="686">
        <v>0</v>
      </c>
      <c r="J95" s="674">
        <v>0</v>
      </c>
      <c r="K95" s="674">
        <v>0</v>
      </c>
      <c r="L95" s="674">
        <v>0</v>
      </c>
      <c r="M95" s="674">
        <v>0</v>
      </c>
      <c r="N95" s="691"/>
      <c r="O95" s="674">
        <v>2</v>
      </c>
      <c r="P95" s="674">
        <v>6</v>
      </c>
      <c r="Q95" s="674">
        <v>8</v>
      </c>
      <c r="R95" s="674">
        <v>3</v>
      </c>
      <c r="S95" s="674">
        <v>5</v>
      </c>
      <c r="T95" s="691"/>
      <c r="U95" s="674">
        <v>6</v>
      </c>
      <c r="V95" s="674">
        <v>39</v>
      </c>
      <c r="W95" s="674">
        <v>45</v>
      </c>
      <c r="X95" s="674">
        <v>37</v>
      </c>
      <c r="Y95" s="674">
        <v>8</v>
      </c>
      <c r="AH95" s="129"/>
    </row>
    <row r="96" spans="1:34" s="159" customFormat="1">
      <c r="A96" s="410" t="s">
        <v>107</v>
      </c>
      <c r="B96" s="666" t="s">
        <v>450</v>
      </c>
      <c r="C96" s="674">
        <v>1</v>
      </c>
      <c r="D96" s="674">
        <v>3</v>
      </c>
      <c r="E96" s="674">
        <v>4</v>
      </c>
      <c r="F96" s="674">
        <v>4</v>
      </c>
      <c r="G96" s="674">
        <v>0</v>
      </c>
      <c r="H96" s="674"/>
      <c r="I96" s="686">
        <v>0</v>
      </c>
      <c r="J96" s="674">
        <v>0</v>
      </c>
      <c r="K96" s="674">
        <v>0</v>
      </c>
      <c r="L96" s="674">
        <v>0</v>
      </c>
      <c r="M96" s="674">
        <v>0</v>
      </c>
      <c r="N96" s="691"/>
      <c r="O96" s="674">
        <v>0</v>
      </c>
      <c r="P96" s="674">
        <v>4</v>
      </c>
      <c r="Q96" s="674">
        <v>4</v>
      </c>
      <c r="R96" s="674">
        <v>3</v>
      </c>
      <c r="S96" s="674">
        <v>1</v>
      </c>
      <c r="T96" s="691"/>
      <c r="U96" s="674">
        <v>4</v>
      </c>
      <c r="V96" s="674">
        <v>16</v>
      </c>
      <c r="W96" s="674">
        <v>20</v>
      </c>
      <c r="X96" s="674">
        <v>17</v>
      </c>
      <c r="Y96" s="674">
        <v>3</v>
      </c>
      <c r="AH96" s="129"/>
    </row>
    <row r="97" spans="1:34" s="159" customFormat="1">
      <c r="A97" s="410" t="s">
        <v>107</v>
      </c>
      <c r="B97" s="666" t="s">
        <v>451</v>
      </c>
      <c r="C97" s="674">
        <v>11</v>
      </c>
      <c r="D97" s="674">
        <v>9</v>
      </c>
      <c r="E97" s="674">
        <v>20</v>
      </c>
      <c r="F97" s="674">
        <v>14</v>
      </c>
      <c r="G97" s="674">
        <v>6</v>
      </c>
      <c r="H97" s="674"/>
      <c r="I97" s="686">
        <v>0</v>
      </c>
      <c r="J97" s="674">
        <v>0</v>
      </c>
      <c r="K97" s="674">
        <v>0</v>
      </c>
      <c r="L97" s="674">
        <v>0</v>
      </c>
      <c r="M97" s="674">
        <v>0</v>
      </c>
      <c r="N97" s="691"/>
      <c r="O97" s="674">
        <v>7</v>
      </c>
      <c r="P97" s="674">
        <v>11</v>
      </c>
      <c r="Q97" s="674">
        <v>18</v>
      </c>
      <c r="R97" s="674">
        <v>12</v>
      </c>
      <c r="S97" s="674">
        <v>6</v>
      </c>
      <c r="T97" s="691"/>
      <c r="U97" s="674">
        <v>9</v>
      </c>
      <c r="V97" s="674">
        <v>76</v>
      </c>
      <c r="W97" s="674">
        <v>85</v>
      </c>
      <c r="X97" s="674">
        <v>70</v>
      </c>
      <c r="Y97" s="674">
        <v>15</v>
      </c>
      <c r="AH97" s="129"/>
    </row>
    <row r="98" spans="1:34" s="159" customFormat="1">
      <c r="A98" s="410" t="s">
        <v>107</v>
      </c>
      <c r="B98" s="666" t="s">
        <v>452</v>
      </c>
      <c r="C98" s="674">
        <v>8</v>
      </c>
      <c r="D98" s="674">
        <v>7</v>
      </c>
      <c r="E98" s="674">
        <v>15</v>
      </c>
      <c r="F98" s="674">
        <v>4</v>
      </c>
      <c r="G98" s="674">
        <v>11</v>
      </c>
      <c r="H98" s="674"/>
      <c r="I98" s="686">
        <v>0</v>
      </c>
      <c r="J98" s="674">
        <v>1</v>
      </c>
      <c r="K98" s="674">
        <v>1</v>
      </c>
      <c r="L98" s="674">
        <v>0</v>
      </c>
      <c r="M98" s="674">
        <v>1</v>
      </c>
      <c r="N98" s="691"/>
      <c r="O98" s="674">
        <v>1</v>
      </c>
      <c r="P98" s="674">
        <v>10</v>
      </c>
      <c r="Q98" s="674">
        <v>11</v>
      </c>
      <c r="R98" s="674">
        <v>5</v>
      </c>
      <c r="S98" s="674">
        <v>6</v>
      </c>
      <c r="T98" s="691"/>
      <c r="U98" s="674">
        <v>8</v>
      </c>
      <c r="V98" s="674">
        <v>29</v>
      </c>
      <c r="W98" s="674">
        <v>37</v>
      </c>
      <c r="X98" s="674">
        <v>24</v>
      </c>
      <c r="Y98" s="674">
        <v>13</v>
      </c>
      <c r="AH98" s="129"/>
    </row>
    <row r="99" spans="1:34" s="159" customFormat="1">
      <c r="A99" s="410" t="s">
        <v>107</v>
      </c>
      <c r="B99" s="666" t="s">
        <v>453</v>
      </c>
      <c r="C99" s="674">
        <v>2</v>
      </c>
      <c r="D99" s="674">
        <v>1</v>
      </c>
      <c r="E99" s="674">
        <v>3</v>
      </c>
      <c r="F99" s="674">
        <v>1</v>
      </c>
      <c r="G99" s="674">
        <v>2</v>
      </c>
      <c r="H99" s="674"/>
      <c r="I99" s="686">
        <v>0</v>
      </c>
      <c r="J99" s="674">
        <v>0</v>
      </c>
      <c r="K99" s="674">
        <v>0</v>
      </c>
      <c r="L99" s="674">
        <v>0</v>
      </c>
      <c r="M99" s="674">
        <v>0</v>
      </c>
      <c r="N99" s="691"/>
      <c r="O99" s="674">
        <v>0</v>
      </c>
      <c r="P99" s="674">
        <v>0</v>
      </c>
      <c r="Q99" s="674">
        <v>0</v>
      </c>
      <c r="R99" s="674">
        <v>0</v>
      </c>
      <c r="S99" s="674">
        <v>0</v>
      </c>
      <c r="T99" s="691"/>
      <c r="U99" s="674">
        <v>3</v>
      </c>
      <c r="V99" s="674">
        <v>15</v>
      </c>
      <c r="W99" s="674">
        <v>18</v>
      </c>
      <c r="X99" s="674">
        <v>11</v>
      </c>
      <c r="Y99" s="674">
        <v>7</v>
      </c>
    </row>
    <row r="100" spans="1:34" s="159" customFormat="1">
      <c r="A100" s="410" t="s">
        <v>107</v>
      </c>
      <c r="B100" s="666" t="s">
        <v>454</v>
      </c>
      <c r="C100" s="674">
        <v>0</v>
      </c>
      <c r="D100" s="674">
        <v>0</v>
      </c>
      <c r="E100" s="674">
        <v>0</v>
      </c>
      <c r="F100" s="674">
        <v>0</v>
      </c>
      <c r="G100" s="674">
        <v>0</v>
      </c>
      <c r="H100" s="674"/>
      <c r="I100" s="686">
        <v>0</v>
      </c>
      <c r="J100" s="674">
        <v>0</v>
      </c>
      <c r="K100" s="674">
        <v>0</v>
      </c>
      <c r="L100" s="674">
        <v>0</v>
      </c>
      <c r="M100" s="674">
        <v>0</v>
      </c>
      <c r="N100" s="691"/>
      <c r="O100" s="674">
        <v>1</v>
      </c>
      <c r="P100" s="674">
        <v>2</v>
      </c>
      <c r="Q100" s="674">
        <v>3</v>
      </c>
      <c r="R100" s="674">
        <v>2</v>
      </c>
      <c r="S100" s="674">
        <v>1</v>
      </c>
      <c r="T100" s="691"/>
      <c r="U100" s="674">
        <v>0</v>
      </c>
      <c r="V100" s="674">
        <v>5</v>
      </c>
      <c r="W100" s="674">
        <v>5</v>
      </c>
      <c r="X100" s="674">
        <v>4</v>
      </c>
      <c r="Y100" s="674">
        <v>1</v>
      </c>
    </row>
    <row r="101" spans="1:34" s="159" customFormat="1">
      <c r="A101" s="410" t="s">
        <v>107</v>
      </c>
      <c r="B101" s="666" t="s">
        <v>455</v>
      </c>
      <c r="C101" s="674">
        <v>0</v>
      </c>
      <c r="D101" s="674">
        <v>0</v>
      </c>
      <c r="E101" s="674">
        <v>0</v>
      </c>
      <c r="F101" s="674">
        <v>0</v>
      </c>
      <c r="G101" s="674">
        <v>0</v>
      </c>
      <c r="H101" s="674"/>
      <c r="I101" s="686">
        <v>0</v>
      </c>
      <c r="J101" s="674">
        <v>0</v>
      </c>
      <c r="K101" s="674">
        <v>0</v>
      </c>
      <c r="L101" s="674">
        <v>0</v>
      </c>
      <c r="M101" s="674">
        <v>0</v>
      </c>
      <c r="N101" s="691"/>
      <c r="O101" s="674">
        <v>2</v>
      </c>
      <c r="P101" s="674">
        <v>0</v>
      </c>
      <c r="Q101" s="674">
        <v>2</v>
      </c>
      <c r="R101" s="674">
        <v>1</v>
      </c>
      <c r="S101" s="674">
        <v>1</v>
      </c>
      <c r="T101" s="691"/>
      <c r="U101" s="674">
        <v>1</v>
      </c>
      <c r="V101" s="674">
        <v>12</v>
      </c>
      <c r="W101" s="674">
        <v>13</v>
      </c>
      <c r="X101" s="674">
        <v>8</v>
      </c>
      <c r="Y101" s="674">
        <v>5</v>
      </c>
    </row>
    <row r="102" spans="1:34" s="159" customFormat="1">
      <c r="A102" s="667" t="s">
        <v>107</v>
      </c>
      <c r="B102" s="668" t="s">
        <v>456</v>
      </c>
      <c r="C102" s="687">
        <v>0</v>
      </c>
      <c r="D102" s="687">
        <v>1</v>
      </c>
      <c r="E102" s="687">
        <v>1</v>
      </c>
      <c r="F102" s="687">
        <v>0</v>
      </c>
      <c r="G102" s="687">
        <v>1</v>
      </c>
      <c r="H102" s="687"/>
      <c r="I102" s="689">
        <v>0</v>
      </c>
      <c r="J102" s="687">
        <v>0</v>
      </c>
      <c r="K102" s="687">
        <v>0</v>
      </c>
      <c r="L102" s="687">
        <v>0</v>
      </c>
      <c r="M102" s="687">
        <v>0</v>
      </c>
      <c r="N102" s="692"/>
      <c r="O102" s="687">
        <v>2</v>
      </c>
      <c r="P102" s="687">
        <v>4</v>
      </c>
      <c r="Q102" s="687">
        <v>6</v>
      </c>
      <c r="R102" s="687">
        <v>3</v>
      </c>
      <c r="S102" s="687">
        <v>3</v>
      </c>
      <c r="T102" s="692"/>
      <c r="U102" s="687">
        <v>1</v>
      </c>
      <c r="V102" s="687">
        <v>14</v>
      </c>
      <c r="W102" s="687">
        <v>15</v>
      </c>
      <c r="X102" s="687">
        <v>14</v>
      </c>
      <c r="Y102" s="687">
        <v>1</v>
      </c>
    </row>
    <row r="103" spans="1:34" s="234" customFormat="1">
      <c r="A103" s="405" t="s">
        <v>109</v>
      </c>
      <c r="B103" s="658" t="s">
        <v>8</v>
      </c>
      <c r="C103" s="662">
        <f>SUM(C104:C107)</f>
        <v>156</v>
      </c>
      <c r="D103" s="662">
        <f>SUM(D104:D107)</f>
        <v>71</v>
      </c>
      <c r="E103" s="662">
        <f>SUM(E104:E107)</f>
        <v>227</v>
      </c>
      <c r="F103" s="662">
        <f>SUM(F104:F107)</f>
        <v>161</v>
      </c>
      <c r="G103" s="662">
        <f>SUM(G104:G107)</f>
        <v>66</v>
      </c>
      <c r="H103" s="662"/>
      <c r="I103" s="663">
        <f>SUM(I104:I107)</f>
        <v>7</v>
      </c>
      <c r="J103" s="662">
        <f>SUM(J104:J107)</f>
        <v>1</v>
      </c>
      <c r="K103" s="662">
        <f>SUM(K104:K107)</f>
        <v>8</v>
      </c>
      <c r="L103" s="662">
        <f>SUM(L104:L107)</f>
        <v>7</v>
      </c>
      <c r="M103" s="662">
        <f>SUM(M104:M107)</f>
        <v>1</v>
      </c>
      <c r="N103" s="664"/>
      <c r="O103" s="662">
        <f>SUM(O104:O107)</f>
        <v>60</v>
      </c>
      <c r="P103" s="662">
        <f>SUM(P104:P107)</f>
        <v>70</v>
      </c>
      <c r="Q103" s="662">
        <f>SUM(Q104:Q107)</f>
        <v>130</v>
      </c>
      <c r="R103" s="662">
        <f>SUM(R104:R107)</f>
        <v>79</v>
      </c>
      <c r="S103" s="662">
        <f>SUM(S104:S107)</f>
        <v>51</v>
      </c>
      <c r="T103" s="664"/>
      <c r="U103" s="662">
        <f>SUM(U104:U107)</f>
        <v>109</v>
      </c>
      <c r="V103" s="662">
        <f>SUM(V104:V107)</f>
        <v>320</v>
      </c>
      <c r="W103" s="662">
        <f>SUM(W104:W107)</f>
        <v>429</v>
      </c>
      <c r="X103" s="662">
        <f>SUM(X104:X107)</f>
        <v>341</v>
      </c>
      <c r="Y103" s="662">
        <f>SUM(Y104:Y107)</f>
        <v>88</v>
      </c>
      <c r="AA103" s="1"/>
      <c r="AB103" s="1"/>
      <c r="AC103" s="1"/>
      <c r="AD103" s="1"/>
      <c r="AE103" s="1"/>
    </row>
    <row r="104" spans="1:34" s="159" customFormat="1">
      <c r="A104" s="410" t="s">
        <v>109</v>
      </c>
      <c r="B104" s="666" t="s">
        <v>457</v>
      </c>
      <c r="C104" s="674">
        <v>3</v>
      </c>
      <c r="D104" s="674">
        <v>1</v>
      </c>
      <c r="E104" s="674">
        <v>4</v>
      </c>
      <c r="F104" s="674">
        <v>3</v>
      </c>
      <c r="G104" s="674">
        <v>1</v>
      </c>
      <c r="H104" s="674"/>
      <c r="I104" s="686">
        <v>0</v>
      </c>
      <c r="J104" s="674">
        <v>0</v>
      </c>
      <c r="K104" s="674">
        <v>0</v>
      </c>
      <c r="L104" s="674">
        <v>0</v>
      </c>
      <c r="M104" s="674">
        <v>0</v>
      </c>
      <c r="N104" s="691"/>
      <c r="O104" s="674">
        <v>2</v>
      </c>
      <c r="P104" s="674">
        <v>3</v>
      </c>
      <c r="Q104" s="674">
        <v>5</v>
      </c>
      <c r="R104" s="674">
        <v>3</v>
      </c>
      <c r="S104" s="674">
        <v>2</v>
      </c>
      <c r="T104" s="691"/>
      <c r="U104" s="674">
        <v>11</v>
      </c>
      <c r="V104" s="674">
        <v>10</v>
      </c>
      <c r="W104" s="674">
        <v>21</v>
      </c>
      <c r="X104" s="674">
        <v>10</v>
      </c>
      <c r="Y104" s="674">
        <v>11</v>
      </c>
    </row>
    <row r="105" spans="1:34" s="159" customFormat="1">
      <c r="A105" s="410" t="s">
        <v>109</v>
      </c>
      <c r="B105" s="666" t="s">
        <v>458</v>
      </c>
      <c r="C105" s="674">
        <v>57</v>
      </c>
      <c r="D105" s="674">
        <v>27</v>
      </c>
      <c r="E105" s="674">
        <v>84</v>
      </c>
      <c r="F105" s="674">
        <v>59</v>
      </c>
      <c r="G105" s="674">
        <v>25</v>
      </c>
      <c r="H105" s="674"/>
      <c r="I105" s="686">
        <v>3</v>
      </c>
      <c r="J105" s="674">
        <v>0</v>
      </c>
      <c r="K105" s="674">
        <v>3</v>
      </c>
      <c r="L105" s="674">
        <v>3</v>
      </c>
      <c r="M105" s="674">
        <v>0</v>
      </c>
      <c r="N105" s="691"/>
      <c r="O105" s="674">
        <v>14</v>
      </c>
      <c r="P105" s="674">
        <v>16</v>
      </c>
      <c r="Q105" s="674">
        <v>30</v>
      </c>
      <c r="R105" s="674">
        <v>15</v>
      </c>
      <c r="S105" s="674">
        <v>15</v>
      </c>
      <c r="T105" s="691"/>
      <c r="U105" s="674">
        <v>29</v>
      </c>
      <c r="V105" s="674">
        <v>92</v>
      </c>
      <c r="W105" s="674">
        <v>121</v>
      </c>
      <c r="X105" s="674">
        <v>98</v>
      </c>
      <c r="Y105" s="674">
        <v>23</v>
      </c>
    </row>
    <row r="106" spans="1:34" s="159" customFormat="1">
      <c r="A106" s="410" t="s">
        <v>109</v>
      </c>
      <c r="B106" s="666" t="s">
        <v>459</v>
      </c>
      <c r="C106" s="674">
        <v>22</v>
      </c>
      <c r="D106" s="674">
        <v>11</v>
      </c>
      <c r="E106" s="674">
        <v>33</v>
      </c>
      <c r="F106" s="674">
        <v>20</v>
      </c>
      <c r="G106" s="674">
        <v>13</v>
      </c>
      <c r="H106" s="674"/>
      <c r="I106" s="686">
        <v>0</v>
      </c>
      <c r="J106" s="674">
        <v>0</v>
      </c>
      <c r="K106" s="674">
        <v>0</v>
      </c>
      <c r="L106" s="674">
        <v>0</v>
      </c>
      <c r="M106" s="674">
        <v>0</v>
      </c>
      <c r="N106" s="691"/>
      <c r="O106" s="674">
        <v>5</v>
      </c>
      <c r="P106" s="674">
        <v>12</v>
      </c>
      <c r="Q106" s="674">
        <v>17</v>
      </c>
      <c r="R106" s="674">
        <v>9</v>
      </c>
      <c r="S106" s="674">
        <v>8</v>
      </c>
      <c r="T106" s="691"/>
      <c r="U106" s="674">
        <v>8</v>
      </c>
      <c r="V106" s="674">
        <v>31</v>
      </c>
      <c r="W106" s="674">
        <v>39</v>
      </c>
      <c r="X106" s="674">
        <v>30</v>
      </c>
      <c r="Y106" s="674">
        <v>9</v>
      </c>
    </row>
    <row r="107" spans="1:34" s="159" customFormat="1">
      <c r="A107" s="667" t="s">
        <v>109</v>
      </c>
      <c r="B107" s="668" t="s">
        <v>460</v>
      </c>
      <c r="C107" s="687">
        <v>74</v>
      </c>
      <c r="D107" s="687">
        <v>32</v>
      </c>
      <c r="E107" s="687">
        <v>106</v>
      </c>
      <c r="F107" s="687">
        <v>79</v>
      </c>
      <c r="G107" s="687">
        <v>27</v>
      </c>
      <c r="H107" s="687"/>
      <c r="I107" s="689">
        <v>4</v>
      </c>
      <c r="J107" s="687">
        <v>1</v>
      </c>
      <c r="K107" s="687">
        <v>5</v>
      </c>
      <c r="L107" s="687">
        <v>4</v>
      </c>
      <c r="M107" s="687">
        <v>1</v>
      </c>
      <c r="N107" s="692"/>
      <c r="O107" s="687">
        <v>39</v>
      </c>
      <c r="P107" s="687">
        <v>39</v>
      </c>
      <c r="Q107" s="687">
        <v>78</v>
      </c>
      <c r="R107" s="687">
        <v>52</v>
      </c>
      <c r="S107" s="687">
        <v>26</v>
      </c>
      <c r="T107" s="692"/>
      <c r="U107" s="687">
        <v>61</v>
      </c>
      <c r="V107" s="687">
        <v>187</v>
      </c>
      <c r="W107" s="687">
        <v>248</v>
      </c>
      <c r="X107" s="687">
        <v>203</v>
      </c>
      <c r="Y107" s="687">
        <v>45</v>
      </c>
    </row>
    <row r="108" spans="1:34" s="234" customFormat="1">
      <c r="A108" s="405" t="s">
        <v>111</v>
      </c>
      <c r="B108" s="658" t="s">
        <v>8</v>
      </c>
      <c r="C108" s="662">
        <f>SUM(C109:C117)</f>
        <v>38</v>
      </c>
      <c r="D108" s="662">
        <f>SUM(D109:D117)</f>
        <v>204</v>
      </c>
      <c r="E108" s="662">
        <f>SUM(E109:E117)</f>
        <v>242</v>
      </c>
      <c r="F108" s="662">
        <f>SUM(F109:F117)</f>
        <v>177</v>
      </c>
      <c r="G108" s="662">
        <f>SUM(G109:G117)</f>
        <v>65</v>
      </c>
      <c r="H108" s="662"/>
      <c r="I108" s="663">
        <f>SUM(I109:I117)</f>
        <v>0</v>
      </c>
      <c r="J108" s="662">
        <f>SUM(J109:J117)</f>
        <v>3</v>
      </c>
      <c r="K108" s="662">
        <f>SUM(K109:K117)</f>
        <v>3</v>
      </c>
      <c r="L108" s="662">
        <f>SUM(L109:L117)</f>
        <v>1</v>
      </c>
      <c r="M108" s="662">
        <f>SUM(M109:M117)</f>
        <v>2</v>
      </c>
      <c r="N108" s="664"/>
      <c r="O108" s="662">
        <f>SUM(O109:O117)</f>
        <v>25</v>
      </c>
      <c r="P108" s="662">
        <f>SUM(P109:P117)</f>
        <v>112</v>
      </c>
      <c r="Q108" s="662">
        <f>SUM(Q109:Q117)</f>
        <v>137</v>
      </c>
      <c r="R108" s="662">
        <f>SUM(R109:R117)</f>
        <v>119</v>
      </c>
      <c r="S108" s="662">
        <f>SUM(S109:S117)</f>
        <v>18</v>
      </c>
      <c r="T108" s="664"/>
      <c r="U108" s="662">
        <f>SUM(U109:U117)</f>
        <v>30</v>
      </c>
      <c r="V108" s="662">
        <f>SUM(V109:V117)</f>
        <v>358</v>
      </c>
      <c r="W108" s="662">
        <f>SUM(W109:W117)</f>
        <v>388</v>
      </c>
      <c r="X108" s="662">
        <f>SUM(X109:X117)</f>
        <v>355</v>
      </c>
      <c r="Y108" s="662">
        <f>SUM(Y109:Y117)</f>
        <v>33</v>
      </c>
      <c r="AA108" s="1"/>
      <c r="AB108" s="1"/>
      <c r="AC108" s="1"/>
      <c r="AD108" s="1"/>
      <c r="AE108" s="1"/>
    </row>
    <row r="109" spans="1:34" s="159" customFormat="1">
      <c r="A109" s="410" t="s">
        <v>111</v>
      </c>
      <c r="B109" s="666" t="s">
        <v>461</v>
      </c>
      <c r="C109" s="674">
        <v>16</v>
      </c>
      <c r="D109" s="674">
        <v>7</v>
      </c>
      <c r="E109" s="674">
        <v>23</v>
      </c>
      <c r="F109" s="674">
        <v>12</v>
      </c>
      <c r="G109" s="674">
        <v>11</v>
      </c>
      <c r="H109" s="674"/>
      <c r="I109" s="686">
        <v>0</v>
      </c>
      <c r="J109" s="674">
        <v>0</v>
      </c>
      <c r="K109" s="674">
        <v>0</v>
      </c>
      <c r="L109" s="674">
        <v>0</v>
      </c>
      <c r="M109" s="674">
        <v>0</v>
      </c>
      <c r="N109" s="691"/>
      <c r="O109" s="674">
        <v>4</v>
      </c>
      <c r="P109" s="674">
        <v>14</v>
      </c>
      <c r="Q109" s="674">
        <v>18</v>
      </c>
      <c r="R109" s="674">
        <v>14</v>
      </c>
      <c r="S109" s="674">
        <v>4</v>
      </c>
      <c r="T109" s="691"/>
      <c r="U109" s="674">
        <v>17</v>
      </c>
      <c r="V109" s="674">
        <v>64</v>
      </c>
      <c r="W109" s="674">
        <v>81</v>
      </c>
      <c r="X109" s="674">
        <v>70</v>
      </c>
      <c r="Y109" s="674">
        <v>11</v>
      </c>
    </row>
    <row r="110" spans="1:34" s="159" customFormat="1">
      <c r="A110" s="410" t="s">
        <v>111</v>
      </c>
      <c r="B110" s="666" t="s">
        <v>462</v>
      </c>
      <c r="C110" s="674">
        <v>2</v>
      </c>
      <c r="D110" s="674">
        <v>1</v>
      </c>
      <c r="E110" s="674">
        <v>3</v>
      </c>
      <c r="F110" s="674">
        <v>3</v>
      </c>
      <c r="G110" s="674">
        <v>0</v>
      </c>
      <c r="H110" s="674"/>
      <c r="I110" s="686">
        <v>0</v>
      </c>
      <c r="J110" s="674">
        <v>0</v>
      </c>
      <c r="K110" s="674">
        <v>0</v>
      </c>
      <c r="L110" s="674">
        <v>0</v>
      </c>
      <c r="M110" s="674">
        <v>0</v>
      </c>
      <c r="N110" s="691"/>
      <c r="O110" s="674">
        <v>2</v>
      </c>
      <c r="P110" s="674">
        <v>3</v>
      </c>
      <c r="Q110" s="674">
        <v>5</v>
      </c>
      <c r="R110" s="674">
        <v>5</v>
      </c>
      <c r="S110" s="674">
        <v>0</v>
      </c>
      <c r="T110" s="691"/>
      <c r="U110" s="674">
        <v>1</v>
      </c>
      <c r="V110" s="674">
        <v>12</v>
      </c>
      <c r="W110" s="674">
        <v>13</v>
      </c>
      <c r="X110" s="674">
        <v>12</v>
      </c>
      <c r="Y110" s="674">
        <v>1</v>
      </c>
    </row>
    <row r="111" spans="1:34" s="159" customFormat="1">
      <c r="A111" s="410" t="s">
        <v>111</v>
      </c>
      <c r="B111" s="666" t="s">
        <v>463</v>
      </c>
      <c r="C111" s="674">
        <v>1</v>
      </c>
      <c r="D111" s="674">
        <v>2</v>
      </c>
      <c r="E111" s="674">
        <v>3</v>
      </c>
      <c r="F111" s="674">
        <v>2</v>
      </c>
      <c r="G111" s="674">
        <v>1</v>
      </c>
      <c r="H111" s="674"/>
      <c r="I111" s="686">
        <v>0</v>
      </c>
      <c r="J111" s="674">
        <v>0</v>
      </c>
      <c r="K111" s="674">
        <v>0</v>
      </c>
      <c r="L111" s="674">
        <v>0</v>
      </c>
      <c r="M111" s="674">
        <v>0</v>
      </c>
      <c r="N111" s="691"/>
      <c r="O111" s="674">
        <v>4</v>
      </c>
      <c r="P111" s="674">
        <v>17</v>
      </c>
      <c r="Q111" s="674">
        <v>21</v>
      </c>
      <c r="R111" s="674">
        <v>19</v>
      </c>
      <c r="S111" s="674">
        <v>2</v>
      </c>
      <c r="T111" s="691"/>
      <c r="U111" s="674">
        <v>0</v>
      </c>
      <c r="V111" s="674">
        <v>41</v>
      </c>
      <c r="W111" s="674">
        <v>41</v>
      </c>
      <c r="X111" s="674">
        <v>39</v>
      </c>
      <c r="Y111" s="674">
        <v>2</v>
      </c>
    </row>
    <row r="112" spans="1:34" s="159" customFormat="1">
      <c r="A112" s="410" t="s">
        <v>111</v>
      </c>
      <c r="B112" s="666" t="s">
        <v>464</v>
      </c>
      <c r="C112" s="674">
        <v>0</v>
      </c>
      <c r="D112" s="674">
        <v>3</v>
      </c>
      <c r="E112" s="674">
        <v>3</v>
      </c>
      <c r="F112" s="674">
        <v>3</v>
      </c>
      <c r="G112" s="674">
        <v>0</v>
      </c>
      <c r="H112" s="674"/>
      <c r="I112" s="686">
        <v>0</v>
      </c>
      <c r="J112" s="674">
        <v>0</v>
      </c>
      <c r="K112" s="674">
        <v>0</v>
      </c>
      <c r="L112" s="674">
        <v>0</v>
      </c>
      <c r="M112" s="674">
        <v>0</v>
      </c>
      <c r="N112" s="691"/>
      <c r="O112" s="674">
        <v>2</v>
      </c>
      <c r="P112" s="674">
        <v>11</v>
      </c>
      <c r="Q112" s="674">
        <v>13</v>
      </c>
      <c r="R112" s="674">
        <v>10</v>
      </c>
      <c r="S112" s="674">
        <v>3</v>
      </c>
      <c r="T112" s="691"/>
      <c r="U112" s="674">
        <v>1</v>
      </c>
      <c r="V112" s="674">
        <v>37</v>
      </c>
      <c r="W112" s="674">
        <v>38</v>
      </c>
      <c r="X112" s="674">
        <v>32</v>
      </c>
      <c r="Y112" s="674">
        <v>6</v>
      </c>
    </row>
    <row r="113" spans="1:31" s="159" customFormat="1">
      <c r="A113" s="410" t="s">
        <v>111</v>
      </c>
      <c r="B113" s="666" t="s">
        <v>465</v>
      </c>
      <c r="C113" s="674">
        <v>0</v>
      </c>
      <c r="D113" s="674">
        <v>1</v>
      </c>
      <c r="E113" s="674">
        <v>1</v>
      </c>
      <c r="F113" s="674">
        <v>1</v>
      </c>
      <c r="G113" s="674">
        <v>0</v>
      </c>
      <c r="H113" s="674"/>
      <c r="I113" s="686">
        <v>0</v>
      </c>
      <c r="J113" s="674">
        <v>1</v>
      </c>
      <c r="K113" s="674">
        <v>1</v>
      </c>
      <c r="L113" s="674">
        <v>0</v>
      </c>
      <c r="M113" s="674">
        <v>1</v>
      </c>
      <c r="N113" s="691"/>
      <c r="O113" s="674">
        <v>0</v>
      </c>
      <c r="P113" s="674">
        <v>9</v>
      </c>
      <c r="Q113" s="674">
        <v>9</v>
      </c>
      <c r="R113" s="674">
        <v>9</v>
      </c>
      <c r="S113" s="674">
        <v>0</v>
      </c>
      <c r="T113" s="691"/>
      <c r="U113" s="674">
        <v>0</v>
      </c>
      <c r="V113" s="674">
        <v>12</v>
      </c>
      <c r="W113" s="674">
        <v>12</v>
      </c>
      <c r="X113" s="674">
        <v>12</v>
      </c>
      <c r="Y113" s="674">
        <v>0</v>
      </c>
    </row>
    <row r="114" spans="1:31" s="159" customFormat="1">
      <c r="A114" s="410" t="s">
        <v>111</v>
      </c>
      <c r="B114" s="666" t="s">
        <v>466</v>
      </c>
      <c r="C114" s="674">
        <v>2</v>
      </c>
      <c r="D114" s="674">
        <v>50</v>
      </c>
      <c r="E114" s="674">
        <v>52</v>
      </c>
      <c r="F114" s="674">
        <v>47</v>
      </c>
      <c r="G114" s="674">
        <v>5</v>
      </c>
      <c r="H114" s="674"/>
      <c r="I114" s="686">
        <v>0</v>
      </c>
      <c r="J114" s="674">
        <v>0</v>
      </c>
      <c r="K114" s="674">
        <v>0</v>
      </c>
      <c r="L114" s="674">
        <v>0</v>
      </c>
      <c r="M114" s="674">
        <v>0</v>
      </c>
      <c r="N114" s="691"/>
      <c r="O114" s="674">
        <v>1</v>
      </c>
      <c r="P114" s="674">
        <v>8</v>
      </c>
      <c r="Q114" s="674">
        <v>9</v>
      </c>
      <c r="R114" s="674">
        <v>8</v>
      </c>
      <c r="S114" s="674">
        <v>1</v>
      </c>
      <c r="T114" s="691"/>
      <c r="U114" s="674">
        <v>0</v>
      </c>
      <c r="V114" s="674">
        <v>36</v>
      </c>
      <c r="W114" s="674">
        <v>36</v>
      </c>
      <c r="X114" s="674">
        <v>33</v>
      </c>
      <c r="Y114" s="674">
        <v>3</v>
      </c>
    </row>
    <row r="115" spans="1:31" s="159" customFormat="1">
      <c r="A115" s="410" t="s">
        <v>111</v>
      </c>
      <c r="B115" s="666" t="s">
        <v>467</v>
      </c>
      <c r="C115" s="674">
        <v>14</v>
      </c>
      <c r="D115" s="674">
        <v>127</v>
      </c>
      <c r="E115" s="674">
        <v>141</v>
      </c>
      <c r="F115" s="674">
        <v>96</v>
      </c>
      <c r="G115" s="674">
        <v>45</v>
      </c>
      <c r="H115" s="674"/>
      <c r="I115" s="686">
        <v>0</v>
      </c>
      <c r="J115" s="674">
        <v>1</v>
      </c>
      <c r="K115" s="674">
        <v>1</v>
      </c>
      <c r="L115" s="674">
        <v>0</v>
      </c>
      <c r="M115" s="674">
        <v>1</v>
      </c>
      <c r="N115" s="691"/>
      <c r="O115" s="674">
        <v>7</v>
      </c>
      <c r="P115" s="674">
        <v>18</v>
      </c>
      <c r="Q115" s="674">
        <v>25</v>
      </c>
      <c r="R115" s="674">
        <v>24</v>
      </c>
      <c r="S115" s="674">
        <v>1</v>
      </c>
      <c r="T115" s="691"/>
      <c r="U115" s="674">
        <v>5</v>
      </c>
      <c r="V115" s="674">
        <v>66</v>
      </c>
      <c r="W115" s="674">
        <v>71</v>
      </c>
      <c r="X115" s="674">
        <v>68</v>
      </c>
      <c r="Y115" s="674">
        <v>3</v>
      </c>
    </row>
    <row r="116" spans="1:31" s="159" customFormat="1">
      <c r="A116" s="410" t="s">
        <v>111</v>
      </c>
      <c r="B116" s="666" t="s">
        <v>468</v>
      </c>
      <c r="C116" s="674">
        <v>3</v>
      </c>
      <c r="D116" s="674">
        <v>11</v>
      </c>
      <c r="E116" s="674">
        <v>14</v>
      </c>
      <c r="F116" s="674">
        <v>13</v>
      </c>
      <c r="G116" s="674">
        <v>1</v>
      </c>
      <c r="H116" s="674"/>
      <c r="I116" s="686">
        <v>0</v>
      </c>
      <c r="J116" s="674">
        <v>1</v>
      </c>
      <c r="K116" s="674">
        <v>1</v>
      </c>
      <c r="L116" s="674">
        <v>1</v>
      </c>
      <c r="M116" s="674">
        <v>0</v>
      </c>
      <c r="N116" s="691"/>
      <c r="O116" s="674">
        <v>5</v>
      </c>
      <c r="P116" s="674">
        <v>15</v>
      </c>
      <c r="Q116" s="674">
        <v>20</v>
      </c>
      <c r="R116" s="674">
        <v>15</v>
      </c>
      <c r="S116" s="674">
        <v>5</v>
      </c>
      <c r="T116" s="691"/>
      <c r="U116" s="674">
        <v>2</v>
      </c>
      <c r="V116" s="674">
        <v>68</v>
      </c>
      <c r="W116" s="674">
        <v>70</v>
      </c>
      <c r="X116" s="674">
        <v>65</v>
      </c>
      <c r="Y116" s="674">
        <v>5</v>
      </c>
    </row>
    <row r="117" spans="1:31">
      <c r="A117" s="667" t="s">
        <v>111</v>
      </c>
      <c r="B117" s="668" t="s">
        <v>469</v>
      </c>
      <c r="C117" s="687">
        <v>0</v>
      </c>
      <c r="D117" s="687">
        <v>2</v>
      </c>
      <c r="E117" s="687">
        <v>2</v>
      </c>
      <c r="F117" s="687">
        <v>0</v>
      </c>
      <c r="G117" s="688">
        <v>2</v>
      </c>
      <c r="H117" s="688"/>
      <c r="I117" s="689">
        <v>0</v>
      </c>
      <c r="J117" s="687">
        <v>0</v>
      </c>
      <c r="K117" s="687">
        <v>0</v>
      </c>
      <c r="L117" s="687">
        <v>0</v>
      </c>
      <c r="M117" s="688">
        <v>0</v>
      </c>
      <c r="N117" s="690"/>
      <c r="O117" s="687">
        <v>0</v>
      </c>
      <c r="P117" s="687">
        <v>17</v>
      </c>
      <c r="Q117" s="687">
        <v>17</v>
      </c>
      <c r="R117" s="687">
        <v>15</v>
      </c>
      <c r="S117" s="688">
        <v>2</v>
      </c>
      <c r="T117" s="690"/>
      <c r="U117" s="687">
        <v>4</v>
      </c>
      <c r="V117" s="687">
        <v>22</v>
      </c>
      <c r="W117" s="687">
        <v>26</v>
      </c>
      <c r="X117" s="687">
        <v>24</v>
      </c>
      <c r="Y117" s="688">
        <v>2</v>
      </c>
    </row>
    <row r="118" spans="1:31" s="234" customFormat="1">
      <c r="A118" s="405" t="s">
        <v>113</v>
      </c>
      <c r="B118" s="658" t="s">
        <v>8</v>
      </c>
      <c r="C118" s="662">
        <f>SUM(C119:C126)</f>
        <v>55</v>
      </c>
      <c r="D118" s="662">
        <f>SUM(D119:D126)</f>
        <v>16</v>
      </c>
      <c r="E118" s="662">
        <f>SUM(E119:E126)</f>
        <v>71</v>
      </c>
      <c r="F118" s="662">
        <f>SUM(F119:F126)</f>
        <v>38</v>
      </c>
      <c r="G118" s="662">
        <f>SUM(G119:G126)</f>
        <v>33</v>
      </c>
      <c r="H118" s="662"/>
      <c r="I118" s="663">
        <f>SUM(I119:I126)</f>
        <v>0</v>
      </c>
      <c r="J118" s="662">
        <f>SUM(J119:J126)</f>
        <v>0</v>
      </c>
      <c r="K118" s="662">
        <f>SUM(K119:K126)</f>
        <v>0</v>
      </c>
      <c r="L118" s="662">
        <f>SUM(L119:L126)</f>
        <v>0</v>
      </c>
      <c r="M118" s="662">
        <f>SUM(M119:M126)</f>
        <v>0</v>
      </c>
      <c r="N118" s="664"/>
      <c r="O118" s="662">
        <f>SUM(O119:O126)</f>
        <v>40</v>
      </c>
      <c r="P118" s="662">
        <f>SUM(P119:P126)</f>
        <v>87</v>
      </c>
      <c r="Q118" s="662">
        <f>SUM(Q119:Q126)</f>
        <v>127</v>
      </c>
      <c r="R118" s="662">
        <f>SUM(R119:R126)</f>
        <v>95</v>
      </c>
      <c r="S118" s="662">
        <f>SUM(S119:S126)</f>
        <v>32</v>
      </c>
      <c r="T118" s="664"/>
      <c r="U118" s="662">
        <f>SUM(U119:U126)</f>
        <v>70</v>
      </c>
      <c r="V118" s="662">
        <f>SUM(V119:V126)</f>
        <v>239</v>
      </c>
      <c r="W118" s="662">
        <f>SUM(W119:W126)</f>
        <v>309</v>
      </c>
      <c r="X118" s="662">
        <f>SUM(X119:X126)</f>
        <v>243</v>
      </c>
      <c r="Y118" s="662">
        <f>SUM(Y119:Y126)</f>
        <v>66</v>
      </c>
      <c r="AA118" s="1"/>
      <c r="AB118" s="1"/>
      <c r="AC118" s="1"/>
      <c r="AD118" s="1"/>
      <c r="AE118" s="1"/>
    </row>
    <row r="119" spans="1:31" s="159" customFormat="1">
      <c r="A119" s="410" t="s">
        <v>113</v>
      </c>
      <c r="B119" s="666" t="s">
        <v>470</v>
      </c>
      <c r="C119" s="674">
        <v>9</v>
      </c>
      <c r="D119" s="674">
        <v>4</v>
      </c>
      <c r="E119" s="674">
        <v>13</v>
      </c>
      <c r="F119" s="674">
        <v>5</v>
      </c>
      <c r="G119" s="674">
        <v>8</v>
      </c>
      <c r="H119" s="674"/>
      <c r="I119" s="686">
        <v>0</v>
      </c>
      <c r="J119" s="674">
        <v>0</v>
      </c>
      <c r="K119" s="674">
        <v>0</v>
      </c>
      <c r="L119" s="674">
        <v>0</v>
      </c>
      <c r="M119" s="674">
        <v>0</v>
      </c>
      <c r="N119" s="691"/>
      <c r="O119" s="674">
        <v>6</v>
      </c>
      <c r="P119" s="674">
        <v>11</v>
      </c>
      <c r="Q119" s="674">
        <v>17</v>
      </c>
      <c r="R119" s="674">
        <v>9</v>
      </c>
      <c r="S119" s="674">
        <v>8</v>
      </c>
      <c r="T119" s="691"/>
      <c r="U119" s="674">
        <v>25</v>
      </c>
      <c r="V119" s="674">
        <v>58</v>
      </c>
      <c r="W119" s="674">
        <v>83</v>
      </c>
      <c r="X119" s="674">
        <v>73</v>
      </c>
      <c r="Y119" s="674">
        <v>10</v>
      </c>
    </row>
    <row r="120" spans="1:31" s="159" customFormat="1">
      <c r="A120" s="410" t="s">
        <v>113</v>
      </c>
      <c r="B120" s="666" t="s">
        <v>471</v>
      </c>
      <c r="C120" s="674">
        <v>15</v>
      </c>
      <c r="D120" s="674">
        <v>2</v>
      </c>
      <c r="E120" s="674">
        <v>17</v>
      </c>
      <c r="F120" s="674">
        <v>6</v>
      </c>
      <c r="G120" s="674">
        <v>11</v>
      </c>
      <c r="H120" s="674"/>
      <c r="I120" s="686">
        <v>0</v>
      </c>
      <c r="J120" s="674">
        <v>0</v>
      </c>
      <c r="K120" s="674">
        <v>0</v>
      </c>
      <c r="L120" s="674">
        <v>0</v>
      </c>
      <c r="M120" s="674">
        <v>0</v>
      </c>
      <c r="N120" s="691"/>
      <c r="O120" s="674">
        <v>18</v>
      </c>
      <c r="P120" s="674">
        <v>26</v>
      </c>
      <c r="Q120" s="674">
        <v>44</v>
      </c>
      <c r="R120" s="674">
        <v>36</v>
      </c>
      <c r="S120" s="674">
        <v>8</v>
      </c>
      <c r="T120" s="691"/>
      <c r="U120" s="674">
        <v>10</v>
      </c>
      <c r="V120" s="674">
        <v>35</v>
      </c>
      <c r="W120" s="674">
        <v>45</v>
      </c>
      <c r="X120" s="674">
        <v>30</v>
      </c>
      <c r="Y120" s="674">
        <v>15</v>
      </c>
    </row>
    <row r="121" spans="1:31" s="159" customFormat="1">
      <c r="A121" s="410" t="s">
        <v>113</v>
      </c>
      <c r="B121" s="666" t="s">
        <v>472</v>
      </c>
      <c r="C121" s="674">
        <v>6</v>
      </c>
      <c r="D121" s="674">
        <v>2</v>
      </c>
      <c r="E121" s="674">
        <v>8</v>
      </c>
      <c r="F121" s="674">
        <v>7</v>
      </c>
      <c r="G121" s="674">
        <v>1</v>
      </c>
      <c r="H121" s="674"/>
      <c r="I121" s="686">
        <v>0</v>
      </c>
      <c r="J121" s="674">
        <v>0</v>
      </c>
      <c r="K121" s="674">
        <v>0</v>
      </c>
      <c r="L121" s="674">
        <v>0</v>
      </c>
      <c r="M121" s="674">
        <v>0</v>
      </c>
      <c r="N121" s="691"/>
      <c r="O121" s="674">
        <v>0</v>
      </c>
      <c r="P121" s="674">
        <v>23</v>
      </c>
      <c r="Q121" s="674">
        <v>23</v>
      </c>
      <c r="R121" s="674">
        <v>21</v>
      </c>
      <c r="S121" s="674">
        <v>2</v>
      </c>
      <c r="T121" s="691"/>
      <c r="U121" s="674">
        <v>3</v>
      </c>
      <c r="V121" s="674">
        <v>37</v>
      </c>
      <c r="W121" s="674">
        <v>40</v>
      </c>
      <c r="X121" s="674">
        <v>37</v>
      </c>
      <c r="Y121" s="674">
        <v>3</v>
      </c>
    </row>
    <row r="122" spans="1:31" s="159" customFormat="1">
      <c r="A122" s="410" t="s">
        <v>113</v>
      </c>
      <c r="B122" s="666" t="s">
        <v>473</v>
      </c>
      <c r="C122" s="674">
        <v>17</v>
      </c>
      <c r="D122" s="674">
        <v>2</v>
      </c>
      <c r="E122" s="674">
        <v>19</v>
      </c>
      <c r="F122" s="674">
        <v>15</v>
      </c>
      <c r="G122" s="674">
        <v>4</v>
      </c>
      <c r="H122" s="674"/>
      <c r="I122" s="686">
        <v>0</v>
      </c>
      <c r="J122" s="674">
        <v>0</v>
      </c>
      <c r="K122" s="674">
        <v>0</v>
      </c>
      <c r="L122" s="674">
        <v>0</v>
      </c>
      <c r="M122" s="674">
        <v>0</v>
      </c>
      <c r="N122" s="691"/>
      <c r="O122" s="674">
        <v>6</v>
      </c>
      <c r="P122" s="674">
        <v>9</v>
      </c>
      <c r="Q122" s="674">
        <v>15</v>
      </c>
      <c r="R122" s="674">
        <v>11</v>
      </c>
      <c r="S122" s="674">
        <v>4</v>
      </c>
      <c r="T122" s="691"/>
      <c r="U122" s="674">
        <v>1</v>
      </c>
      <c r="V122" s="674">
        <v>29</v>
      </c>
      <c r="W122" s="674">
        <v>30</v>
      </c>
      <c r="X122" s="674">
        <v>24</v>
      </c>
      <c r="Y122" s="674">
        <v>6</v>
      </c>
    </row>
    <row r="123" spans="1:31" s="159" customFormat="1">
      <c r="A123" s="410" t="s">
        <v>113</v>
      </c>
      <c r="B123" s="666" t="s">
        <v>474</v>
      </c>
      <c r="C123" s="674">
        <v>4</v>
      </c>
      <c r="D123" s="674">
        <v>1</v>
      </c>
      <c r="E123" s="674">
        <v>5</v>
      </c>
      <c r="F123" s="674">
        <v>3</v>
      </c>
      <c r="G123" s="674">
        <v>2</v>
      </c>
      <c r="H123" s="674"/>
      <c r="I123" s="686">
        <v>0</v>
      </c>
      <c r="J123" s="674">
        <v>0</v>
      </c>
      <c r="K123" s="674">
        <v>0</v>
      </c>
      <c r="L123" s="674">
        <v>0</v>
      </c>
      <c r="M123" s="674">
        <v>0</v>
      </c>
      <c r="N123" s="691"/>
      <c r="O123" s="674">
        <v>4</v>
      </c>
      <c r="P123" s="674">
        <v>0</v>
      </c>
      <c r="Q123" s="674">
        <v>4</v>
      </c>
      <c r="R123" s="674">
        <v>1</v>
      </c>
      <c r="S123" s="674">
        <v>3</v>
      </c>
      <c r="T123" s="691"/>
      <c r="U123" s="674">
        <v>6</v>
      </c>
      <c r="V123" s="674">
        <v>14</v>
      </c>
      <c r="W123" s="674">
        <v>20</v>
      </c>
      <c r="X123" s="674">
        <v>15</v>
      </c>
      <c r="Y123" s="674">
        <v>5</v>
      </c>
    </row>
    <row r="124" spans="1:31" s="159" customFormat="1">
      <c r="A124" s="410" t="s">
        <v>113</v>
      </c>
      <c r="B124" s="666" t="s">
        <v>475</v>
      </c>
      <c r="C124" s="674">
        <v>3</v>
      </c>
      <c r="D124" s="674">
        <v>2</v>
      </c>
      <c r="E124" s="674">
        <v>5</v>
      </c>
      <c r="F124" s="674">
        <v>1</v>
      </c>
      <c r="G124" s="674">
        <v>4</v>
      </c>
      <c r="H124" s="674"/>
      <c r="I124" s="686">
        <v>0</v>
      </c>
      <c r="J124" s="674">
        <v>0</v>
      </c>
      <c r="K124" s="674">
        <v>0</v>
      </c>
      <c r="L124" s="674">
        <v>0</v>
      </c>
      <c r="M124" s="674">
        <v>0</v>
      </c>
      <c r="N124" s="691"/>
      <c r="O124" s="674">
        <v>0</v>
      </c>
      <c r="P124" s="674">
        <v>4</v>
      </c>
      <c r="Q124" s="674">
        <v>4</v>
      </c>
      <c r="R124" s="674">
        <v>2</v>
      </c>
      <c r="S124" s="674">
        <v>2</v>
      </c>
      <c r="T124" s="691"/>
      <c r="U124" s="674">
        <v>8</v>
      </c>
      <c r="V124" s="674">
        <v>28</v>
      </c>
      <c r="W124" s="674">
        <v>36</v>
      </c>
      <c r="X124" s="674">
        <v>20</v>
      </c>
      <c r="Y124" s="674">
        <v>16</v>
      </c>
    </row>
    <row r="125" spans="1:31" s="159" customFormat="1">
      <c r="A125" s="410" t="s">
        <v>113</v>
      </c>
      <c r="B125" s="666" t="s">
        <v>476</v>
      </c>
      <c r="C125" s="674">
        <v>1</v>
      </c>
      <c r="D125" s="674">
        <v>1</v>
      </c>
      <c r="E125" s="674">
        <v>2</v>
      </c>
      <c r="F125" s="674">
        <v>1</v>
      </c>
      <c r="G125" s="674">
        <v>1</v>
      </c>
      <c r="H125" s="674"/>
      <c r="I125" s="686">
        <v>0</v>
      </c>
      <c r="J125" s="674">
        <v>0</v>
      </c>
      <c r="K125" s="674">
        <v>0</v>
      </c>
      <c r="L125" s="674">
        <v>0</v>
      </c>
      <c r="M125" s="674">
        <v>0</v>
      </c>
      <c r="N125" s="691"/>
      <c r="O125" s="674">
        <v>5</v>
      </c>
      <c r="P125" s="674">
        <v>10</v>
      </c>
      <c r="Q125" s="674">
        <v>15</v>
      </c>
      <c r="R125" s="674">
        <v>11</v>
      </c>
      <c r="S125" s="674">
        <v>4</v>
      </c>
      <c r="T125" s="691"/>
      <c r="U125" s="674">
        <v>10</v>
      </c>
      <c r="V125" s="674">
        <v>14</v>
      </c>
      <c r="W125" s="674">
        <v>24</v>
      </c>
      <c r="X125" s="674">
        <v>16</v>
      </c>
      <c r="Y125" s="674">
        <v>8</v>
      </c>
    </row>
    <row r="126" spans="1:31" s="159" customFormat="1">
      <c r="A126" s="667" t="s">
        <v>113</v>
      </c>
      <c r="B126" s="668" t="s">
        <v>477</v>
      </c>
      <c r="C126" s="687">
        <v>0</v>
      </c>
      <c r="D126" s="687">
        <v>2</v>
      </c>
      <c r="E126" s="687">
        <v>2</v>
      </c>
      <c r="F126" s="687">
        <v>0</v>
      </c>
      <c r="G126" s="687">
        <v>2</v>
      </c>
      <c r="H126" s="687"/>
      <c r="I126" s="689">
        <v>0</v>
      </c>
      <c r="J126" s="687">
        <v>0</v>
      </c>
      <c r="K126" s="687">
        <v>0</v>
      </c>
      <c r="L126" s="687">
        <v>0</v>
      </c>
      <c r="M126" s="687">
        <v>0</v>
      </c>
      <c r="N126" s="692"/>
      <c r="O126" s="687">
        <v>1</v>
      </c>
      <c r="P126" s="687">
        <v>4</v>
      </c>
      <c r="Q126" s="687">
        <v>5</v>
      </c>
      <c r="R126" s="687">
        <v>4</v>
      </c>
      <c r="S126" s="687">
        <v>1</v>
      </c>
      <c r="T126" s="692"/>
      <c r="U126" s="687">
        <v>7</v>
      </c>
      <c r="V126" s="687">
        <v>24</v>
      </c>
      <c r="W126" s="687">
        <v>31</v>
      </c>
      <c r="X126" s="687">
        <v>28</v>
      </c>
      <c r="Y126" s="687">
        <v>3</v>
      </c>
    </row>
    <row r="127" spans="1:31" s="234" customFormat="1">
      <c r="A127" s="405" t="s">
        <v>115</v>
      </c>
      <c r="B127" s="658" t="s">
        <v>8</v>
      </c>
      <c r="C127" s="662">
        <f>SUM(C128:C137)</f>
        <v>48</v>
      </c>
      <c r="D127" s="662">
        <f>SUM(D128:D137)</f>
        <v>25</v>
      </c>
      <c r="E127" s="662">
        <f>SUM(E128:E137)</f>
        <v>73</v>
      </c>
      <c r="F127" s="662">
        <f>SUM(F128:F137)</f>
        <v>29</v>
      </c>
      <c r="G127" s="662">
        <f>SUM(G128:G137)</f>
        <v>44</v>
      </c>
      <c r="H127" s="662"/>
      <c r="I127" s="663">
        <f>SUM(I128:I137)</f>
        <v>2</v>
      </c>
      <c r="J127" s="662">
        <f>SUM(J128:J137)</f>
        <v>2</v>
      </c>
      <c r="K127" s="662">
        <f>SUM(K128:K137)</f>
        <v>4</v>
      </c>
      <c r="L127" s="662">
        <f>SUM(L128:L137)</f>
        <v>1</v>
      </c>
      <c r="M127" s="662">
        <f>SUM(M128:M137)</f>
        <v>3</v>
      </c>
      <c r="N127" s="664"/>
      <c r="O127" s="662">
        <f>SUM(O128:O137)</f>
        <v>40</v>
      </c>
      <c r="P127" s="662">
        <f>SUM(P128:P137)</f>
        <v>81</v>
      </c>
      <c r="Q127" s="662">
        <f>SUM(Q128:Q137)</f>
        <v>121</v>
      </c>
      <c r="R127" s="662">
        <f>SUM(R128:R137)</f>
        <v>74</v>
      </c>
      <c r="S127" s="662">
        <f>SUM(S128:S137)</f>
        <v>47</v>
      </c>
      <c r="T127" s="664"/>
      <c r="U127" s="662">
        <f>SUM(U128:U137)</f>
        <v>45</v>
      </c>
      <c r="V127" s="662">
        <f>SUM(V128:V137)</f>
        <v>306</v>
      </c>
      <c r="W127" s="662">
        <f>SUM(W128:W137)</f>
        <v>351</v>
      </c>
      <c r="X127" s="662">
        <f>SUM(X128:X137)</f>
        <v>289</v>
      </c>
      <c r="Y127" s="662">
        <f>SUM(Y128:Y137)</f>
        <v>62</v>
      </c>
      <c r="AA127" s="1"/>
      <c r="AB127" s="1"/>
      <c r="AC127" s="1"/>
      <c r="AD127" s="1"/>
      <c r="AE127" s="1"/>
    </row>
    <row r="128" spans="1:31" s="159" customFormat="1">
      <c r="A128" s="676" t="s">
        <v>115</v>
      </c>
      <c r="B128" s="666" t="s">
        <v>478</v>
      </c>
      <c r="C128" s="674">
        <v>2</v>
      </c>
      <c r="D128" s="674">
        <v>2</v>
      </c>
      <c r="E128" s="674">
        <v>4</v>
      </c>
      <c r="F128" s="674">
        <v>3</v>
      </c>
      <c r="G128" s="674">
        <v>1</v>
      </c>
      <c r="H128" s="674"/>
      <c r="I128" s="686">
        <v>0</v>
      </c>
      <c r="J128" s="674">
        <v>0</v>
      </c>
      <c r="K128" s="674">
        <v>0</v>
      </c>
      <c r="L128" s="674">
        <v>0</v>
      </c>
      <c r="M128" s="674">
        <v>0</v>
      </c>
      <c r="N128" s="691"/>
      <c r="O128" s="674">
        <v>1</v>
      </c>
      <c r="P128" s="674">
        <v>2</v>
      </c>
      <c r="Q128" s="674">
        <v>3</v>
      </c>
      <c r="R128" s="674">
        <v>0</v>
      </c>
      <c r="S128" s="674">
        <v>3</v>
      </c>
      <c r="T128" s="691"/>
      <c r="U128" s="674">
        <v>1</v>
      </c>
      <c r="V128" s="674">
        <v>15</v>
      </c>
      <c r="W128" s="674">
        <v>16</v>
      </c>
      <c r="X128" s="674">
        <v>14</v>
      </c>
      <c r="Y128" s="674">
        <v>2</v>
      </c>
    </row>
    <row r="129" spans="1:31" s="159" customFormat="1">
      <c r="A129" s="676" t="s">
        <v>115</v>
      </c>
      <c r="B129" s="666" t="s">
        <v>479</v>
      </c>
      <c r="C129" s="674">
        <v>1</v>
      </c>
      <c r="D129" s="674">
        <v>1</v>
      </c>
      <c r="E129" s="674">
        <v>2</v>
      </c>
      <c r="F129" s="674">
        <v>0</v>
      </c>
      <c r="G129" s="674">
        <v>2</v>
      </c>
      <c r="H129" s="674"/>
      <c r="I129" s="686">
        <v>1</v>
      </c>
      <c r="J129" s="674">
        <v>0</v>
      </c>
      <c r="K129" s="674">
        <v>1</v>
      </c>
      <c r="L129" s="674">
        <v>0</v>
      </c>
      <c r="M129" s="674">
        <v>1</v>
      </c>
      <c r="N129" s="691"/>
      <c r="O129" s="674">
        <v>0</v>
      </c>
      <c r="P129" s="674">
        <v>2</v>
      </c>
      <c r="Q129" s="674">
        <v>2</v>
      </c>
      <c r="R129" s="674">
        <v>1</v>
      </c>
      <c r="S129" s="674">
        <v>1</v>
      </c>
      <c r="T129" s="691"/>
      <c r="U129" s="674">
        <v>5</v>
      </c>
      <c r="V129" s="674">
        <v>22</v>
      </c>
      <c r="W129" s="674">
        <v>27</v>
      </c>
      <c r="X129" s="674">
        <v>21</v>
      </c>
      <c r="Y129" s="674">
        <v>6</v>
      </c>
    </row>
    <row r="130" spans="1:31" s="159" customFormat="1">
      <c r="A130" s="676" t="s">
        <v>115</v>
      </c>
      <c r="B130" s="666" t="s">
        <v>480</v>
      </c>
      <c r="C130" s="674">
        <v>0</v>
      </c>
      <c r="D130" s="674">
        <v>0</v>
      </c>
      <c r="E130" s="674">
        <v>0</v>
      </c>
      <c r="F130" s="674">
        <v>0</v>
      </c>
      <c r="G130" s="674">
        <v>0</v>
      </c>
      <c r="H130" s="674"/>
      <c r="I130" s="686">
        <v>0</v>
      </c>
      <c r="J130" s="674">
        <v>0</v>
      </c>
      <c r="K130" s="674">
        <v>0</v>
      </c>
      <c r="L130" s="674">
        <v>0</v>
      </c>
      <c r="M130" s="674">
        <v>0</v>
      </c>
      <c r="N130" s="691"/>
      <c r="O130" s="674">
        <v>3</v>
      </c>
      <c r="P130" s="674">
        <v>2</v>
      </c>
      <c r="Q130" s="674">
        <v>5</v>
      </c>
      <c r="R130" s="674">
        <v>3</v>
      </c>
      <c r="S130" s="674">
        <v>2</v>
      </c>
      <c r="T130" s="691"/>
      <c r="U130" s="674">
        <v>2</v>
      </c>
      <c r="V130" s="674">
        <v>23</v>
      </c>
      <c r="W130" s="674">
        <v>25</v>
      </c>
      <c r="X130" s="674">
        <v>21</v>
      </c>
      <c r="Y130" s="674">
        <v>4</v>
      </c>
    </row>
    <row r="131" spans="1:31" s="159" customFormat="1">
      <c r="A131" s="676" t="s">
        <v>115</v>
      </c>
      <c r="B131" s="666" t="s">
        <v>481</v>
      </c>
      <c r="C131" s="674">
        <v>12</v>
      </c>
      <c r="D131" s="674">
        <v>7</v>
      </c>
      <c r="E131" s="674">
        <v>19</v>
      </c>
      <c r="F131" s="674">
        <v>3</v>
      </c>
      <c r="G131" s="674">
        <v>16</v>
      </c>
      <c r="H131" s="674"/>
      <c r="I131" s="686">
        <v>0</v>
      </c>
      <c r="J131" s="674">
        <v>0</v>
      </c>
      <c r="K131" s="674">
        <v>0</v>
      </c>
      <c r="L131" s="674">
        <v>0</v>
      </c>
      <c r="M131" s="674">
        <v>0</v>
      </c>
      <c r="N131" s="691"/>
      <c r="O131" s="674">
        <v>10</v>
      </c>
      <c r="P131" s="674">
        <v>22</v>
      </c>
      <c r="Q131" s="674">
        <v>32</v>
      </c>
      <c r="R131" s="674">
        <v>11</v>
      </c>
      <c r="S131" s="674">
        <v>21</v>
      </c>
      <c r="T131" s="691"/>
      <c r="U131" s="674">
        <v>9</v>
      </c>
      <c r="V131" s="674">
        <v>74</v>
      </c>
      <c r="W131" s="674">
        <v>83</v>
      </c>
      <c r="X131" s="674">
        <v>67</v>
      </c>
      <c r="Y131" s="674">
        <v>16</v>
      </c>
    </row>
    <row r="132" spans="1:31" s="159" customFormat="1">
      <c r="A132" s="676" t="s">
        <v>115</v>
      </c>
      <c r="B132" s="666" t="s">
        <v>482</v>
      </c>
      <c r="C132" s="674">
        <v>4</v>
      </c>
      <c r="D132" s="674">
        <v>2</v>
      </c>
      <c r="E132" s="674">
        <v>6</v>
      </c>
      <c r="F132" s="674">
        <v>4</v>
      </c>
      <c r="G132" s="674">
        <v>2</v>
      </c>
      <c r="H132" s="674"/>
      <c r="I132" s="686">
        <v>0</v>
      </c>
      <c r="J132" s="674">
        <v>0</v>
      </c>
      <c r="K132" s="674">
        <v>0</v>
      </c>
      <c r="L132" s="674">
        <v>0</v>
      </c>
      <c r="M132" s="674">
        <v>0</v>
      </c>
      <c r="N132" s="691"/>
      <c r="O132" s="674">
        <v>2</v>
      </c>
      <c r="P132" s="674">
        <v>1</v>
      </c>
      <c r="Q132" s="674">
        <v>3</v>
      </c>
      <c r="R132" s="674">
        <v>2</v>
      </c>
      <c r="S132" s="674">
        <v>1</v>
      </c>
      <c r="T132" s="691"/>
      <c r="U132" s="674">
        <v>4</v>
      </c>
      <c r="V132" s="674">
        <v>10</v>
      </c>
      <c r="W132" s="674">
        <v>14</v>
      </c>
      <c r="X132" s="674">
        <v>12</v>
      </c>
      <c r="Y132" s="674">
        <v>2</v>
      </c>
    </row>
    <row r="133" spans="1:31" s="159" customFormat="1">
      <c r="A133" s="676" t="s">
        <v>115</v>
      </c>
      <c r="B133" s="666" t="s">
        <v>483</v>
      </c>
      <c r="C133" s="674">
        <v>7</v>
      </c>
      <c r="D133" s="674">
        <v>3</v>
      </c>
      <c r="E133" s="674">
        <v>10</v>
      </c>
      <c r="F133" s="674">
        <v>5</v>
      </c>
      <c r="G133" s="674">
        <v>5</v>
      </c>
      <c r="H133" s="674"/>
      <c r="I133" s="686">
        <v>0</v>
      </c>
      <c r="J133" s="674">
        <v>1</v>
      </c>
      <c r="K133" s="674">
        <v>1</v>
      </c>
      <c r="L133" s="674">
        <v>0</v>
      </c>
      <c r="M133" s="674">
        <v>1</v>
      </c>
      <c r="N133" s="691"/>
      <c r="O133" s="674">
        <v>4</v>
      </c>
      <c r="P133" s="674">
        <v>16</v>
      </c>
      <c r="Q133" s="674">
        <v>20</v>
      </c>
      <c r="R133" s="674">
        <v>14</v>
      </c>
      <c r="S133" s="674">
        <v>6</v>
      </c>
      <c r="T133" s="691"/>
      <c r="U133" s="674">
        <v>8</v>
      </c>
      <c r="V133" s="674">
        <v>32</v>
      </c>
      <c r="W133" s="674">
        <v>40</v>
      </c>
      <c r="X133" s="674">
        <v>26</v>
      </c>
      <c r="Y133" s="674">
        <v>14</v>
      </c>
    </row>
    <row r="134" spans="1:31" s="159" customFormat="1">
      <c r="A134" s="676" t="s">
        <v>115</v>
      </c>
      <c r="B134" s="666" t="s">
        <v>484</v>
      </c>
      <c r="C134" s="674">
        <v>4</v>
      </c>
      <c r="D134" s="674">
        <v>0</v>
      </c>
      <c r="E134" s="674">
        <v>4</v>
      </c>
      <c r="F134" s="674">
        <v>1</v>
      </c>
      <c r="G134" s="674">
        <v>3</v>
      </c>
      <c r="H134" s="674"/>
      <c r="I134" s="686">
        <v>0</v>
      </c>
      <c r="J134" s="674">
        <v>0</v>
      </c>
      <c r="K134" s="674">
        <v>0</v>
      </c>
      <c r="L134" s="674">
        <v>0</v>
      </c>
      <c r="M134" s="674">
        <v>0</v>
      </c>
      <c r="N134" s="691"/>
      <c r="O134" s="674">
        <v>3</v>
      </c>
      <c r="P134" s="674">
        <v>14</v>
      </c>
      <c r="Q134" s="674">
        <v>17</v>
      </c>
      <c r="R134" s="674">
        <v>15</v>
      </c>
      <c r="S134" s="674">
        <v>2</v>
      </c>
      <c r="T134" s="691"/>
      <c r="U134" s="674">
        <v>5</v>
      </c>
      <c r="V134" s="674">
        <v>17</v>
      </c>
      <c r="W134" s="674">
        <v>22</v>
      </c>
      <c r="X134" s="674">
        <v>17</v>
      </c>
      <c r="Y134" s="674">
        <v>5</v>
      </c>
    </row>
    <row r="135" spans="1:31" s="159" customFormat="1">
      <c r="A135" s="676" t="s">
        <v>115</v>
      </c>
      <c r="B135" s="666" t="s">
        <v>485</v>
      </c>
      <c r="C135" s="674">
        <v>2</v>
      </c>
      <c r="D135" s="674">
        <v>1</v>
      </c>
      <c r="E135" s="674">
        <v>3</v>
      </c>
      <c r="F135" s="674">
        <v>0</v>
      </c>
      <c r="G135" s="674">
        <v>3</v>
      </c>
      <c r="H135" s="674"/>
      <c r="I135" s="686">
        <v>0</v>
      </c>
      <c r="J135" s="674">
        <v>0</v>
      </c>
      <c r="K135" s="674">
        <v>0</v>
      </c>
      <c r="L135" s="674">
        <v>0</v>
      </c>
      <c r="M135" s="674">
        <v>0</v>
      </c>
      <c r="N135" s="691"/>
      <c r="O135" s="674">
        <v>3</v>
      </c>
      <c r="P135" s="674">
        <v>6</v>
      </c>
      <c r="Q135" s="674">
        <v>9</v>
      </c>
      <c r="R135" s="674">
        <v>4</v>
      </c>
      <c r="S135" s="674">
        <v>5</v>
      </c>
      <c r="T135" s="691"/>
      <c r="U135" s="674">
        <v>4</v>
      </c>
      <c r="V135" s="674">
        <v>31</v>
      </c>
      <c r="W135" s="674">
        <v>35</v>
      </c>
      <c r="X135" s="674">
        <v>30</v>
      </c>
      <c r="Y135" s="674">
        <v>5</v>
      </c>
    </row>
    <row r="136" spans="1:31" s="159" customFormat="1">
      <c r="A136" s="676" t="s">
        <v>115</v>
      </c>
      <c r="B136" s="666" t="s">
        <v>486</v>
      </c>
      <c r="C136" s="674">
        <v>0</v>
      </c>
      <c r="D136" s="674">
        <v>0</v>
      </c>
      <c r="E136" s="674">
        <v>0</v>
      </c>
      <c r="F136" s="674">
        <v>0</v>
      </c>
      <c r="G136" s="674">
        <v>0</v>
      </c>
      <c r="H136" s="674"/>
      <c r="I136" s="686">
        <v>0</v>
      </c>
      <c r="J136" s="674">
        <v>0</v>
      </c>
      <c r="K136" s="674">
        <v>0</v>
      </c>
      <c r="L136" s="674">
        <v>0</v>
      </c>
      <c r="M136" s="674">
        <v>0</v>
      </c>
      <c r="N136" s="691"/>
      <c r="O136" s="674">
        <v>3</v>
      </c>
      <c r="P136" s="674">
        <v>2</v>
      </c>
      <c r="Q136" s="674">
        <v>5</v>
      </c>
      <c r="R136" s="674">
        <v>4</v>
      </c>
      <c r="S136" s="674">
        <v>1</v>
      </c>
      <c r="T136" s="691"/>
      <c r="U136" s="674">
        <v>1</v>
      </c>
      <c r="V136" s="674">
        <v>16</v>
      </c>
      <c r="W136" s="674">
        <v>17</v>
      </c>
      <c r="X136" s="674">
        <v>13</v>
      </c>
      <c r="Y136" s="674">
        <v>4</v>
      </c>
    </row>
    <row r="137" spans="1:31" s="159" customFormat="1">
      <c r="A137" s="677" t="s">
        <v>115</v>
      </c>
      <c r="B137" s="668" t="s">
        <v>487</v>
      </c>
      <c r="C137" s="687">
        <v>16</v>
      </c>
      <c r="D137" s="687">
        <v>9</v>
      </c>
      <c r="E137" s="687">
        <v>25</v>
      </c>
      <c r="F137" s="687">
        <v>13</v>
      </c>
      <c r="G137" s="687">
        <v>12</v>
      </c>
      <c r="H137" s="687"/>
      <c r="I137" s="689">
        <v>1</v>
      </c>
      <c r="J137" s="687">
        <v>1</v>
      </c>
      <c r="K137" s="687">
        <v>2</v>
      </c>
      <c r="L137" s="687">
        <v>1</v>
      </c>
      <c r="M137" s="687">
        <v>1</v>
      </c>
      <c r="N137" s="692"/>
      <c r="O137" s="687">
        <v>11</v>
      </c>
      <c r="P137" s="687">
        <v>14</v>
      </c>
      <c r="Q137" s="687">
        <v>25</v>
      </c>
      <c r="R137" s="687">
        <v>20</v>
      </c>
      <c r="S137" s="687">
        <v>5</v>
      </c>
      <c r="T137" s="692"/>
      <c r="U137" s="687">
        <v>6</v>
      </c>
      <c r="V137" s="687">
        <v>66</v>
      </c>
      <c r="W137" s="687">
        <v>72</v>
      </c>
      <c r="X137" s="687">
        <v>68</v>
      </c>
      <c r="Y137" s="687">
        <v>4</v>
      </c>
    </row>
    <row r="138" spans="1:31" s="234" customFormat="1">
      <c r="A138" s="405" t="s">
        <v>117</v>
      </c>
      <c r="B138" s="658" t="s">
        <v>8</v>
      </c>
      <c r="C138" s="662">
        <f>SUM(C139:C143)</f>
        <v>6</v>
      </c>
      <c r="D138" s="662">
        <f>SUM(D139:D143)</f>
        <v>3</v>
      </c>
      <c r="E138" s="662">
        <f>SUM(E139:E143)</f>
        <v>9</v>
      </c>
      <c r="F138" s="662">
        <f>SUM(F139:F143)</f>
        <v>6</v>
      </c>
      <c r="G138" s="662">
        <f>SUM(G139:G143)</f>
        <v>3</v>
      </c>
      <c r="H138" s="662"/>
      <c r="I138" s="663">
        <f>SUM(I139:I143)</f>
        <v>0</v>
      </c>
      <c r="J138" s="662">
        <f>SUM(J139:J143)</f>
        <v>0</v>
      </c>
      <c r="K138" s="662">
        <f>SUM(K139:K143)</f>
        <v>0</v>
      </c>
      <c r="L138" s="662">
        <f>SUM(L139:L143)</f>
        <v>0</v>
      </c>
      <c r="M138" s="662">
        <f>SUM(M139:M143)</f>
        <v>0</v>
      </c>
      <c r="N138" s="664"/>
      <c r="O138" s="662">
        <f>SUM(O139:O143)</f>
        <v>3</v>
      </c>
      <c r="P138" s="662">
        <f>SUM(P139:P143)</f>
        <v>17</v>
      </c>
      <c r="Q138" s="662">
        <f>SUM(Q139:Q143)</f>
        <v>20</v>
      </c>
      <c r="R138" s="662">
        <f>SUM(R139:R143)</f>
        <v>20</v>
      </c>
      <c r="S138" s="662">
        <f>SUM(S139:S143)</f>
        <v>0</v>
      </c>
      <c r="T138" s="664"/>
      <c r="U138" s="662">
        <f>SUM(U139:U143)</f>
        <v>13</v>
      </c>
      <c r="V138" s="662">
        <f>SUM(V139:V143)</f>
        <v>56</v>
      </c>
      <c r="W138" s="662">
        <f>SUM(W139:W143)</f>
        <v>69</v>
      </c>
      <c r="X138" s="662">
        <f>SUM(X139:X143)</f>
        <v>65</v>
      </c>
      <c r="Y138" s="662">
        <f>SUM(Y139:Y143)</f>
        <v>4</v>
      </c>
      <c r="AA138" s="1"/>
      <c r="AB138" s="1"/>
      <c r="AC138" s="1"/>
      <c r="AD138" s="1"/>
      <c r="AE138" s="1"/>
    </row>
    <row r="139" spans="1:31" s="159" customFormat="1">
      <c r="A139" s="410" t="s">
        <v>117</v>
      </c>
      <c r="B139" s="666" t="s">
        <v>488</v>
      </c>
      <c r="C139" s="674">
        <v>0</v>
      </c>
      <c r="D139" s="674">
        <v>0</v>
      </c>
      <c r="E139" s="674">
        <v>0</v>
      </c>
      <c r="F139" s="674">
        <v>0</v>
      </c>
      <c r="G139" s="674">
        <v>0</v>
      </c>
      <c r="H139" s="674"/>
      <c r="I139" s="686">
        <v>0</v>
      </c>
      <c r="J139" s="674">
        <v>0</v>
      </c>
      <c r="K139" s="674">
        <v>0</v>
      </c>
      <c r="L139" s="674">
        <v>0</v>
      </c>
      <c r="M139" s="674">
        <v>0</v>
      </c>
      <c r="N139" s="691"/>
      <c r="O139" s="674">
        <v>0</v>
      </c>
      <c r="P139" s="674">
        <v>4</v>
      </c>
      <c r="Q139" s="674">
        <v>4</v>
      </c>
      <c r="R139" s="674">
        <v>4</v>
      </c>
      <c r="S139" s="674">
        <v>0</v>
      </c>
      <c r="T139" s="691"/>
      <c r="U139" s="674">
        <v>3</v>
      </c>
      <c r="V139" s="674">
        <v>22</v>
      </c>
      <c r="W139" s="674">
        <v>25</v>
      </c>
      <c r="X139" s="674">
        <v>23</v>
      </c>
      <c r="Y139" s="674">
        <v>2</v>
      </c>
    </row>
    <row r="140" spans="1:31" s="159" customFormat="1">
      <c r="A140" s="410" t="s">
        <v>117</v>
      </c>
      <c r="B140" s="666" t="s">
        <v>489</v>
      </c>
      <c r="C140" s="674">
        <v>0</v>
      </c>
      <c r="D140" s="674">
        <v>0</v>
      </c>
      <c r="E140" s="674">
        <v>0</v>
      </c>
      <c r="F140" s="674">
        <v>0</v>
      </c>
      <c r="G140" s="674">
        <v>0</v>
      </c>
      <c r="H140" s="674"/>
      <c r="I140" s="686">
        <v>0</v>
      </c>
      <c r="J140" s="674">
        <v>0</v>
      </c>
      <c r="K140" s="674">
        <v>0</v>
      </c>
      <c r="L140" s="674">
        <v>0</v>
      </c>
      <c r="M140" s="674">
        <v>0</v>
      </c>
      <c r="N140" s="691"/>
      <c r="O140" s="674">
        <v>1</v>
      </c>
      <c r="P140" s="674">
        <v>4</v>
      </c>
      <c r="Q140" s="674">
        <v>5</v>
      </c>
      <c r="R140" s="674">
        <v>5</v>
      </c>
      <c r="S140" s="674">
        <v>0</v>
      </c>
      <c r="T140" s="691"/>
      <c r="U140" s="674">
        <v>3</v>
      </c>
      <c r="V140" s="674">
        <v>5</v>
      </c>
      <c r="W140" s="674">
        <v>8</v>
      </c>
      <c r="X140" s="674">
        <v>8</v>
      </c>
      <c r="Y140" s="674">
        <v>0</v>
      </c>
    </row>
    <row r="141" spans="1:31" s="159" customFormat="1">
      <c r="A141" s="410" t="s">
        <v>117</v>
      </c>
      <c r="B141" s="666" t="s">
        <v>490</v>
      </c>
      <c r="C141" s="674">
        <v>3</v>
      </c>
      <c r="D141" s="674">
        <v>2</v>
      </c>
      <c r="E141" s="674">
        <v>5</v>
      </c>
      <c r="F141" s="674">
        <v>3</v>
      </c>
      <c r="G141" s="674">
        <v>2</v>
      </c>
      <c r="H141" s="674"/>
      <c r="I141" s="686">
        <v>0</v>
      </c>
      <c r="J141" s="674">
        <v>0</v>
      </c>
      <c r="K141" s="674">
        <v>0</v>
      </c>
      <c r="L141" s="674">
        <v>0</v>
      </c>
      <c r="M141" s="674">
        <v>0</v>
      </c>
      <c r="N141" s="691"/>
      <c r="O141" s="674">
        <v>0</v>
      </c>
      <c r="P141" s="674">
        <v>3</v>
      </c>
      <c r="Q141" s="674">
        <v>3</v>
      </c>
      <c r="R141" s="674">
        <v>3</v>
      </c>
      <c r="S141" s="674">
        <v>0</v>
      </c>
      <c r="T141" s="691"/>
      <c r="U141" s="674">
        <v>2</v>
      </c>
      <c r="V141" s="674">
        <v>8</v>
      </c>
      <c r="W141" s="674">
        <v>10</v>
      </c>
      <c r="X141" s="674">
        <v>10</v>
      </c>
      <c r="Y141" s="674">
        <v>0</v>
      </c>
    </row>
    <row r="142" spans="1:31" s="159" customFormat="1">
      <c r="A142" s="410" t="s">
        <v>117</v>
      </c>
      <c r="B142" s="666" t="s">
        <v>491</v>
      </c>
      <c r="C142" s="674">
        <v>3</v>
      </c>
      <c r="D142" s="674">
        <v>1</v>
      </c>
      <c r="E142" s="674">
        <v>4</v>
      </c>
      <c r="F142" s="674">
        <v>3</v>
      </c>
      <c r="G142" s="674">
        <v>1</v>
      </c>
      <c r="H142" s="674"/>
      <c r="I142" s="686">
        <v>0</v>
      </c>
      <c r="J142" s="674">
        <v>0</v>
      </c>
      <c r="K142" s="674">
        <v>0</v>
      </c>
      <c r="L142" s="674">
        <v>0</v>
      </c>
      <c r="M142" s="674">
        <v>0</v>
      </c>
      <c r="N142" s="691"/>
      <c r="O142" s="674">
        <v>1</v>
      </c>
      <c r="P142" s="674">
        <v>5</v>
      </c>
      <c r="Q142" s="674">
        <v>6</v>
      </c>
      <c r="R142" s="674">
        <v>6</v>
      </c>
      <c r="S142" s="674">
        <v>0</v>
      </c>
      <c r="T142" s="691"/>
      <c r="U142" s="674">
        <v>4</v>
      </c>
      <c r="V142" s="674">
        <v>14</v>
      </c>
      <c r="W142" s="674">
        <v>18</v>
      </c>
      <c r="X142" s="674">
        <v>17</v>
      </c>
      <c r="Y142" s="674">
        <v>1</v>
      </c>
    </row>
    <row r="143" spans="1:31" s="159" customFormat="1">
      <c r="A143" s="667" t="s">
        <v>117</v>
      </c>
      <c r="B143" s="668" t="s">
        <v>492</v>
      </c>
      <c r="C143" s="687">
        <v>0</v>
      </c>
      <c r="D143" s="687">
        <v>0</v>
      </c>
      <c r="E143" s="687">
        <v>0</v>
      </c>
      <c r="F143" s="687">
        <v>0</v>
      </c>
      <c r="G143" s="687">
        <v>0</v>
      </c>
      <c r="H143" s="687"/>
      <c r="I143" s="689">
        <v>0</v>
      </c>
      <c r="J143" s="687">
        <v>0</v>
      </c>
      <c r="K143" s="687">
        <v>0</v>
      </c>
      <c r="L143" s="687">
        <v>0</v>
      </c>
      <c r="M143" s="687">
        <v>0</v>
      </c>
      <c r="N143" s="692"/>
      <c r="O143" s="687">
        <v>1</v>
      </c>
      <c r="P143" s="687">
        <v>1</v>
      </c>
      <c r="Q143" s="687">
        <v>2</v>
      </c>
      <c r="R143" s="687">
        <v>2</v>
      </c>
      <c r="S143" s="687">
        <v>0</v>
      </c>
      <c r="T143" s="692"/>
      <c r="U143" s="687">
        <v>1</v>
      </c>
      <c r="V143" s="687">
        <v>7</v>
      </c>
      <c r="W143" s="687">
        <v>8</v>
      </c>
      <c r="X143" s="687">
        <v>7</v>
      </c>
      <c r="Y143" s="687">
        <v>1</v>
      </c>
    </row>
    <row r="144" spans="1:31" s="234" customFormat="1">
      <c r="A144" s="405" t="s">
        <v>119</v>
      </c>
      <c r="B144" s="658" t="s">
        <v>8</v>
      </c>
      <c r="C144" s="662">
        <f>SUM(C145:C152)</f>
        <v>14</v>
      </c>
      <c r="D144" s="662">
        <f>SUM(D145:D152)</f>
        <v>13</v>
      </c>
      <c r="E144" s="662">
        <f>SUM(E145:E152)</f>
        <v>27</v>
      </c>
      <c r="F144" s="662">
        <f>SUM(F145:F152)</f>
        <v>18</v>
      </c>
      <c r="G144" s="662">
        <f>SUM(G145:G152)</f>
        <v>9</v>
      </c>
      <c r="H144" s="662"/>
      <c r="I144" s="663">
        <f>SUM(I145:I152)</f>
        <v>1</v>
      </c>
      <c r="J144" s="662">
        <f>SUM(J145:J152)</f>
        <v>0</v>
      </c>
      <c r="K144" s="662">
        <f>SUM(K145:K152)</f>
        <v>1</v>
      </c>
      <c r="L144" s="662">
        <f>SUM(L145:L152)</f>
        <v>1</v>
      </c>
      <c r="M144" s="662">
        <f>SUM(M145:M152)</f>
        <v>0</v>
      </c>
      <c r="N144" s="664"/>
      <c r="O144" s="662">
        <f>SUM(O145:O152)</f>
        <v>5</v>
      </c>
      <c r="P144" s="662">
        <f>SUM(P145:P152)</f>
        <v>30</v>
      </c>
      <c r="Q144" s="662">
        <f>SUM(Q145:Q152)</f>
        <v>35</v>
      </c>
      <c r="R144" s="662">
        <f>SUM(R145:R152)</f>
        <v>23</v>
      </c>
      <c r="S144" s="662">
        <f>SUM(S145:S152)</f>
        <v>12</v>
      </c>
      <c r="T144" s="664"/>
      <c r="U144" s="662">
        <f>SUM(U145:U152)</f>
        <v>27</v>
      </c>
      <c r="V144" s="662">
        <f>SUM(V145:V152)</f>
        <v>136</v>
      </c>
      <c r="W144" s="662">
        <f>SUM(W145:W152)</f>
        <v>163</v>
      </c>
      <c r="X144" s="662">
        <f>SUM(X145:X152)</f>
        <v>134</v>
      </c>
      <c r="Y144" s="662">
        <f>SUM(Y145:Y152)</f>
        <v>29</v>
      </c>
      <c r="AA144" s="1"/>
      <c r="AB144" s="1"/>
      <c r="AC144" s="1"/>
      <c r="AD144" s="1"/>
      <c r="AE144" s="1"/>
    </row>
    <row r="145" spans="1:31" s="159" customFormat="1">
      <c r="A145" s="410" t="s">
        <v>119</v>
      </c>
      <c r="B145" s="666" t="s">
        <v>493</v>
      </c>
      <c r="C145" s="674">
        <v>0</v>
      </c>
      <c r="D145" s="674">
        <v>0</v>
      </c>
      <c r="E145" s="674">
        <v>0</v>
      </c>
      <c r="F145" s="674">
        <v>0</v>
      </c>
      <c r="G145" s="674">
        <v>0</v>
      </c>
      <c r="H145" s="674"/>
      <c r="I145" s="686">
        <v>0</v>
      </c>
      <c r="J145" s="674">
        <v>0</v>
      </c>
      <c r="K145" s="674">
        <v>0</v>
      </c>
      <c r="L145" s="674">
        <v>0</v>
      </c>
      <c r="M145" s="674">
        <v>0</v>
      </c>
      <c r="N145" s="691"/>
      <c r="O145" s="674">
        <v>0</v>
      </c>
      <c r="P145" s="674">
        <v>0</v>
      </c>
      <c r="Q145" s="674">
        <v>0</v>
      </c>
      <c r="R145" s="674">
        <v>0</v>
      </c>
      <c r="S145" s="674">
        <v>0</v>
      </c>
      <c r="T145" s="691"/>
      <c r="U145" s="674">
        <v>0</v>
      </c>
      <c r="V145" s="674">
        <v>0</v>
      </c>
      <c r="W145" s="674">
        <v>0</v>
      </c>
      <c r="X145" s="674">
        <v>0</v>
      </c>
      <c r="Y145" s="674">
        <v>0</v>
      </c>
    </row>
    <row r="146" spans="1:31" s="159" customFormat="1">
      <c r="A146" s="410" t="s">
        <v>119</v>
      </c>
      <c r="B146" s="666" t="s">
        <v>494</v>
      </c>
      <c r="C146" s="674">
        <v>0</v>
      </c>
      <c r="D146" s="674">
        <v>0</v>
      </c>
      <c r="E146" s="674">
        <v>0</v>
      </c>
      <c r="F146" s="674">
        <v>0</v>
      </c>
      <c r="G146" s="674">
        <v>0</v>
      </c>
      <c r="H146" s="674"/>
      <c r="I146" s="686">
        <v>0</v>
      </c>
      <c r="J146" s="674">
        <v>0</v>
      </c>
      <c r="K146" s="674">
        <v>0</v>
      </c>
      <c r="L146" s="674">
        <v>0</v>
      </c>
      <c r="M146" s="674">
        <v>0</v>
      </c>
      <c r="N146" s="691"/>
      <c r="O146" s="674">
        <v>1</v>
      </c>
      <c r="P146" s="674">
        <v>1</v>
      </c>
      <c r="Q146" s="674">
        <v>2</v>
      </c>
      <c r="R146" s="674">
        <v>2</v>
      </c>
      <c r="S146" s="674">
        <v>0</v>
      </c>
      <c r="T146" s="691"/>
      <c r="U146" s="674">
        <v>5</v>
      </c>
      <c r="V146" s="674">
        <v>14</v>
      </c>
      <c r="W146" s="674">
        <v>19</v>
      </c>
      <c r="X146" s="674">
        <v>16</v>
      </c>
      <c r="Y146" s="674">
        <v>3</v>
      </c>
    </row>
    <row r="147" spans="1:31" s="159" customFormat="1">
      <c r="A147" s="410" t="s">
        <v>119</v>
      </c>
      <c r="B147" s="666" t="s">
        <v>495</v>
      </c>
      <c r="C147" s="674">
        <v>7</v>
      </c>
      <c r="D147" s="674">
        <v>2</v>
      </c>
      <c r="E147" s="674">
        <v>9</v>
      </c>
      <c r="F147" s="674">
        <v>7</v>
      </c>
      <c r="G147" s="674">
        <v>2</v>
      </c>
      <c r="H147" s="674"/>
      <c r="I147" s="686">
        <v>0</v>
      </c>
      <c r="J147" s="674">
        <v>0</v>
      </c>
      <c r="K147" s="674">
        <v>0</v>
      </c>
      <c r="L147" s="674">
        <v>0</v>
      </c>
      <c r="M147" s="674">
        <v>0</v>
      </c>
      <c r="N147" s="691"/>
      <c r="O147" s="674">
        <v>2</v>
      </c>
      <c r="P147" s="674">
        <v>11</v>
      </c>
      <c r="Q147" s="674">
        <v>13</v>
      </c>
      <c r="R147" s="674">
        <v>9</v>
      </c>
      <c r="S147" s="674">
        <v>4</v>
      </c>
      <c r="T147" s="691"/>
      <c r="U147" s="674">
        <v>9</v>
      </c>
      <c r="V147" s="674">
        <v>54</v>
      </c>
      <c r="W147" s="674">
        <v>63</v>
      </c>
      <c r="X147" s="674">
        <v>47</v>
      </c>
      <c r="Y147" s="674">
        <v>16</v>
      </c>
    </row>
    <row r="148" spans="1:31" s="159" customFormat="1">
      <c r="A148" s="410" t="s">
        <v>119</v>
      </c>
      <c r="B148" s="666" t="s">
        <v>496</v>
      </c>
      <c r="C148" s="674">
        <v>0</v>
      </c>
      <c r="D148" s="674">
        <v>0</v>
      </c>
      <c r="E148" s="674">
        <v>0</v>
      </c>
      <c r="F148" s="674">
        <v>0</v>
      </c>
      <c r="G148" s="674">
        <v>0</v>
      </c>
      <c r="H148" s="674"/>
      <c r="I148" s="686">
        <v>0</v>
      </c>
      <c r="J148" s="674">
        <v>0</v>
      </c>
      <c r="K148" s="674">
        <v>0</v>
      </c>
      <c r="L148" s="674">
        <v>0</v>
      </c>
      <c r="M148" s="674">
        <v>0</v>
      </c>
      <c r="N148" s="691"/>
      <c r="O148" s="674">
        <v>0</v>
      </c>
      <c r="P148" s="674">
        <v>2</v>
      </c>
      <c r="Q148" s="674">
        <v>2</v>
      </c>
      <c r="R148" s="674">
        <v>0</v>
      </c>
      <c r="S148" s="674">
        <v>2</v>
      </c>
      <c r="T148" s="691"/>
      <c r="U148" s="674">
        <v>2</v>
      </c>
      <c r="V148" s="674">
        <v>7</v>
      </c>
      <c r="W148" s="674">
        <v>9</v>
      </c>
      <c r="X148" s="674">
        <v>8</v>
      </c>
      <c r="Y148" s="674">
        <v>1</v>
      </c>
    </row>
    <row r="149" spans="1:31" s="159" customFormat="1">
      <c r="A149" s="410" t="s">
        <v>119</v>
      </c>
      <c r="B149" s="666" t="s">
        <v>497</v>
      </c>
      <c r="C149" s="674">
        <v>1</v>
      </c>
      <c r="D149" s="674">
        <v>4</v>
      </c>
      <c r="E149" s="674">
        <v>5</v>
      </c>
      <c r="F149" s="674">
        <v>5</v>
      </c>
      <c r="G149" s="674">
        <v>0</v>
      </c>
      <c r="H149" s="674"/>
      <c r="I149" s="686">
        <v>0</v>
      </c>
      <c r="J149" s="674">
        <v>0</v>
      </c>
      <c r="K149" s="674">
        <v>0</v>
      </c>
      <c r="L149" s="674">
        <v>0</v>
      </c>
      <c r="M149" s="674">
        <v>0</v>
      </c>
      <c r="N149" s="691"/>
      <c r="O149" s="674">
        <v>0</v>
      </c>
      <c r="P149" s="674">
        <v>3</v>
      </c>
      <c r="Q149" s="674">
        <v>3</v>
      </c>
      <c r="R149" s="674">
        <v>2</v>
      </c>
      <c r="S149" s="674">
        <v>1</v>
      </c>
      <c r="T149" s="691"/>
      <c r="U149" s="674">
        <v>3</v>
      </c>
      <c r="V149" s="674">
        <v>27</v>
      </c>
      <c r="W149" s="674">
        <v>30</v>
      </c>
      <c r="X149" s="674">
        <v>29</v>
      </c>
      <c r="Y149" s="674">
        <v>1</v>
      </c>
    </row>
    <row r="150" spans="1:31" s="159" customFormat="1">
      <c r="A150" s="410" t="s">
        <v>119</v>
      </c>
      <c r="B150" s="666" t="s">
        <v>498</v>
      </c>
      <c r="C150" s="674">
        <v>0</v>
      </c>
      <c r="D150" s="674">
        <v>1</v>
      </c>
      <c r="E150" s="674">
        <v>1</v>
      </c>
      <c r="F150" s="674">
        <v>0</v>
      </c>
      <c r="G150" s="674">
        <v>1</v>
      </c>
      <c r="H150" s="674"/>
      <c r="I150" s="686">
        <v>0</v>
      </c>
      <c r="J150" s="674">
        <v>0</v>
      </c>
      <c r="K150" s="674">
        <v>0</v>
      </c>
      <c r="L150" s="674">
        <v>0</v>
      </c>
      <c r="M150" s="674">
        <v>0</v>
      </c>
      <c r="N150" s="691"/>
      <c r="O150" s="674">
        <v>0</v>
      </c>
      <c r="P150" s="674">
        <v>4</v>
      </c>
      <c r="Q150" s="674">
        <v>4</v>
      </c>
      <c r="R150" s="674">
        <v>2</v>
      </c>
      <c r="S150" s="674">
        <v>2</v>
      </c>
      <c r="T150" s="691"/>
      <c r="U150" s="674">
        <v>2</v>
      </c>
      <c r="V150" s="674">
        <v>10</v>
      </c>
      <c r="W150" s="674">
        <v>12</v>
      </c>
      <c r="X150" s="674">
        <v>6</v>
      </c>
      <c r="Y150" s="674">
        <v>6</v>
      </c>
    </row>
    <row r="151" spans="1:31" s="159" customFormat="1">
      <c r="A151" s="410" t="s">
        <v>119</v>
      </c>
      <c r="B151" s="666" t="s">
        <v>439</v>
      </c>
      <c r="C151" s="674">
        <v>1</v>
      </c>
      <c r="D151" s="674">
        <v>0</v>
      </c>
      <c r="E151" s="674">
        <v>1</v>
      </c>
      <c r="F151" s="674">
        <v>1</v>
      </c>
      <c r="G151" s="674">
        <v>0</v>
      </c>
      <c r="H151" s="674"/>
      <c r="I151" s="686">
        <v>0</v>
      </c>
      <c r="J151" s="674">
        <v>0</v>
      </c>
      <c r="K151" s="674">
        <v>0</v>
      </c>
      <c r="L151" s="674">
        <v>0</v>
      </c>
      <c r="M151" s="674">
        <v>0</v>
      </c>
      <c r="N151" s="691"/>
      <c r="O151" s="674">
        <v>1</v>
      </c>
      <c r="P151" s="674">
        <v>1</v>
      </c>
      <c r="Q151" s="674">
        <v>2</v>
      </c>
      <c r="R151" s="674">
        <v>2</v>
      </c>
      <c r="S151" s="674">
        <v>0</v>
      </c>
      <c r="T151" s="691"/>
      <c r="U151" s="674">
        <v>3</v>
      </c>
      <c r="V151" s="674">
        <v>4</v>
      </c>
      <c r="W151" s="674">
        <v>7</v>
      </c>
      <c r="X151" s="674">
        <v>7</v>
      </c>
      <c r="Y151" s="674">
        <v>0</v>
      </c>
    </row>
    <row r="152" spans="1:31" s="159" customFormat="1">
      <c r="A152" s="667" t="s">
        <v>119</v>
      </c>
      <c r="B152" s="668" t="s">
        <v>499</v>
      </c>
      <c r="C152" s="687">
        <v>5</v>
      </c>
      <c r="D152" s="687">
        <v>6</v>
      </c>
      <c r="E152" s="687">
        <v>11</v>
      </c>
      <c r="F152" s="687">
        <v>5</v>
      </c>
      <c r="G152" s="687">
        <v>6</v>
      </c>
      <c r="H152" s="687"/>
      <c r="I152" s="689">
        <v>1</v>
      </c>
      <c r="J152" s="687">
        <v>0</v>
      </c>
      <c r="K152" s="687">
        <v>1</v>
      </c>
      <c r="L152" s="687">
        <v>1</v>
      </c>
      <c r="M152" s="687">
        <v>0</v>
      </c>
      <c r="N152" s="692"/>
      <c r="O152" s="687">
        <v>1</v>
      </c>
      <c r="P152" s="687">
        <v>8</v>
      </c>
      <c r="Q152" s="687">
        <v>9</v>
      </c>
      <c r="R152" s="687">
        <v>6</v>
      </c>
      <c r="S152" s="687">
        <v>3</v>
      </c>
      <c r="T152" s="692"/>
      <c r="U152" s="687">
        <v>3</v>
      </c>
      <c r="V152" s="687">
        <v>20</v>
      </c>
      <c r="W152" s="687">
        <v>23</v>
      </c>
      <c r="X152" s="687">
        <v>21</v>
      </c>
      <c r="Y152" s="687">
        <v>2</v>
      </c>
    </row>
    <row r="153" spans="1:31" s="234" customFormat="1">
      <c r="A153" s="405" t="s">
        <v>121</v>
      </c>
      <c r="B153" s="658" t="s">
        <v>8</v>
      </c>
      <c r="C153" s="662">
        <f>SUM(C154:C158)</f>
        <v>15</v>
      </c>
      <c r="D153" s="662">
        <f>SUM(D154:D158)</f>
        <v>6</v>
      </c>
      <c r="E153" s="662">
        <f>SUM(E154:E158)</f>
        <v>21</v>
      </c>
      <c r="F153" s="662">
        <f>SUM(F154:F158)</f>
        <v>14</v>
      </c>
      <c r="G153" s="662">
        <f>SUM(G154:G158)</f>
        <v>7</v>
      </c>
      <c r="H153" s="662"/>
      <c r="I153" s="663">
        <f>SUM(I154:I158)</f>
        <v>1</v>
      </c>
      <c r="J153" s="662">
        <f>SUM(J154:J158)</f>
        <v>0</v>
      </c>
      <c r="K153" s="662">
        <f>SUM(K154:K158)</f>
        <v>1</v>
      </c>
      <c r="L153" s="662">
        <f>SUM(L154:L158)</f>
        <v>1</v>
      </c>
      <c r="M153" s="662">
        <f>SUM(M154:M158)</f>
        <v>0</v>
      </c>
      <c r="N153" s="664"/>
      <c r="O153" s="662">
        <f>SUM(O154:O158)</f>
        <v>17</v>
      </c>
      <c r="P153" s="662">
        <f>SUM(P154:P158)</f>
        <v>53</v>
      </c>
      <c r="Q153" s="662">
        <f>SUM(Q154:Q158)</f>
        <v>70</v>
      </c>
      <c r="R153" s="662">
        <f>SUM(R154:R158)</f>
        <v>58</v>
      </c>
      <c r="S153" s="662">
        <f>SUM(S154:S158)</f>
        <v>12</v>
      </c>
      <c r="T153" s="664"/>
      <c r="U153" s="662">
        <f>SUM(U154:U158)</f>
        <v>25</v>
      </c>
      <c r="V153" s="662">
        <f>SUM(V154:V158)</f>
        <v>143</v>
      </c>
      <c r="W153" s="662">
        <f>SUM(W154:W158)</f>
        <v>168</v>
      </c>
      <c r="X153" s="662">
        <f>SUM(X154:X158)</f>
        <v>147</v>
      </c>
      <c r="Y153" s="662">
        <f>SUM(Y154:Y158)</f>
        <v>21</v>
      </c>
      <c r="AA153" s="1"/>
      <c r="AB153" s="1"/>
      <c r="AC153" s="1"/>
      <c r="AD153" s="1"/>
      <c r="AE153" s="1"/>
    </row>
    <row r="154" spans="1:31">
      <c r="A154" s="410" t="s">
        <v>121</v>
      </c>
      <c r="B154" s="666" t="s">
        <v>500</v>
      </c>
      <c r="C154" s="674">
        <v>3</v>
      </c>
      <c r="D154" s="674">
        <v>1</v>
      </c>
      <c r="E154" s="674">
        <v>4</v>
      </c>
      <c r="F154" s="674">
        <v>2</v>
      </c>
      <c r="G154" s="674">
        <v>2</v>
      </c>
      <c r="H154" s="674"/>
      <c r="I154" s="686">
        <v>0</v>
      </c>
      <c r="J154" s="674">
        <v>0</v>
      </c>
      <c r="K154" s="674">
        <v>0</v>
      </c>
      <c r="L154" s="674">
        <v>0</v>
      </c>
      <c r="M154" s="674">
        <v>0</v>
      </c>
      <c r="N154" s="691"/>
      <c r="O154" s="674">
        <v>6</v>
      </c>
      <c r="P154" s="674">
        <v>25</v>
      </c>
      <c r="Q154" s="674">
        <v>31</v>
      </c>
      <c r="R154" s="674">
        <v>24</v>
      </c>
      <c r="S154" s="674">
        <v>7</v>
      </c>
      <c r="T154" s="691"/>
      <c r="U154" s="674">
        <v>6</v>
      </c>
      <c r="V154" s="674">
        <v>40</v>
      </c>
      <c r="W154" s="674">
        <v>46</v>
      </c>
      <c r="X154" s="674">
        <v>37</v>
      </c>
      <c r="Y154" s="674">
        <v>9</v>
      </c>
    </row>
    <row r="155" spans="1:31">
      <c r="A155" s="410" t="s">
        <v>121</v>
      </c>
      <c r="B155" s="666" t="s">
        <v>501</v>
      </c>
      <c r="C155" s="674">
        <v>1</v>
      </c>
      <c r="D155" s="674">
        <v>1</v>
      </c>
      <c r="E155" s="674">
        <v>2</v>
      </c>
      <c r="F155" s="674">
        <v>2</v>
      </c>
      <c r="G155" s="674">
        <v>0</v>
      </c>
      <c r="H155" s="674"/>
      <c r="I155" s="686">
        <v>0</v>
      </c>
      <c r="J155" s="674">
        <v>0</v>
      </c>
      <c r="K155" s="674">
        <v>0</v>
      </c>
      <c r="L155" s="674">
        <v>0</v>
      </c>
      <c r="M155" s="674">
        <v>0</v>
      </c>
      <c r="N155" s="691"/>
      <c r="O155" s="674">
        <v>3</v>
      </c>
      <c r="P155" s="674">
        <v>5</v>
      </c>
      <c r="Q155" s="674">
        <v>8</v>
      </c>
      <c r="R155" s="674">
        <v>8</v>
      </c>
      <c r="S155" s="674">
        <v>0</v>
      </c>
      <c r="T155" s="691"/>
      <c r="U155" s="674">
        <v>9</v>
      </c>
      <c r="V155" s="674">
        <v>31</v>
      </c>
      <c r="W155" s="674">
        <v>40</v>
      </c>
      <c r="X155" s="674">
        <v>36</v>
      </c>
      <c r="Y155" s="674">
        <v>4</v>
      </c>
    </row>
    <row r="156" spans="1:31">
      <c r="A156" s="410" t="s">
        <v>121</v>
      </c>
      <c r="B156" s="666" t="s">
        <v>424</v>
      </c>
      <c r="C156" s="674">
        <v>1</v>
      </c>
      <c r="D156" s="674">
        <v>0</v>
      </c>
      <c r="E156" s="674">
        <v>1</v>
      </c>
      <c r="F156" s="674">
        <v>1</v>
      </c>
      <c r="G156" s="674">
        <v>0</v>
      </c>
      <c r="H156" s="674"/>
      <c r="I156" s="686">
        <v>0</v>
      </c>
      <c r="J156" s="674">
        <v>0</v>
      </c>
      <c r="K156" s="674">
        <v>0</v>
      </c>
      <c r="L156" s="674">
        <v>0</v>
      </c>
      <c r="M156" s="674">
        <v>0</v>
      </c>
      <c r="N156" s="691"/>
      <c r="O156" s="674">
        <v>0</v>
      </c>
      <c r="P156" s="674">
        <v>3</v>
      </c>
      <c r="Q156" s="674">
        <v>3</v>
      </c>
      <c r="R156" s="674">
        <v>1</v>
      </c>
      <c r="S156" s="674">
        <v>2</v>
      </c>
      <c r="T156" s="691"/>
      <c r="U156" s="674">
        <v>3</v>
      </c>
      <c r="V156" s="674">
        <v>8</v>
      </c>
      <c r="W156" s="674">
        <v>11</v>
      </c>
      <c r="X156" s="674">
        <v>10</v>
      </c>
      <c r="Y156" s="674">
        <v>1</v>
      </c>
    </row>
    <row r="157" spans="1:31">
      <c r="A157" s="410" t="s">
        <v>121</v>
      </c>
      <c r="B157" s="666" t="s">
        <v>502</v>
      </c>
      <c r="C157" s="674">
        <v>3</v>
      </c>
      <c r="D157" s="674">
        <v>1</v>
      </c>
      <c r="E157" s="674">
        <v>4</v>
      </c>
      <c r="F157" s="674">
        <v>0</v>
      </c>
      <c r="G157" s="674">
        <v>4</v>
      </c>
      <c r="H157" s="674"/>
      <c r="I157" s="686">
        <v>0</v>
      </c>
      <c r="J157" s="674">
        <v>0</v>
      </c>
      <c r="K157" s="674">
        <v>0</v>
      </c>
      <c r="L157" s="674">
        <v>0</v>
      </c>
      <c r="M157" s="674">
        <v>0</v>
      </c>
      <c r="N157" s="691"/>
      <c r="O157" s="674">
        <v>2</v>
      </c>
      <c r="P157" s="674">
        <v>1</v>
      </c>
      <c r="Q157" s="674">
        <v>3</v>
      </c>
      <c r="R157" s="674">
        <v>3</v>
      </c>
      <c r="S157" s="674">
        <v>0</v>
      </c>
      <c r="T157" s="691"/>
      <c r="U157" s="674">
        <v>2</v>
      </c>
      <c r="V157" s="674">
        <v>11</v>
      </c>
      <c r="W157" s="674">
        <v>13</v>
      </c>
      <c r="X157" s="674">
        <v>10</v>
      </c>
      <c r="Y157" s="674">
        <v>3</v>
      </c>
    </row>
    <row r="158" spans="1:31">
      <c r="A158" s="667" t="s">
        <v>121</v>
      </c>
      <c r="B158" s="668" t="s">
        <v>503</v>
      </c>
      <c r="C158" s="687">
        <v>7</v>
      </c>
      <c r="D158" s="687">
        <v>3</v>
      </c>
      <c r="E158" s="687">
        <v>10</v>
      </c>
      <c r="F158" s="687">
        <v>9</v>
      </c>
      <c r="G158" s="687">
        <v>1</v>
      </c>
      <c r="H158" s="687"/>
      <c r="I158" s="689">
        <v>1</v>
      </c>
      <c r="J158" s="687">
        <v>0</v>
      </c>
      <c r="K158" s="687">
        <v>1</v>
      </c>
      <c r="L158" s="687">
        <v>1</v>
      </c>
      <c r="M158" s="687">
        <v>0</v>
      </c>
      <c r="N158" s="692"/>
      <c r="O158" s="687">
        <v>6</v>
      </c>
      <c r="P158" s="687">
        <v>19</v>
      </c>
      <c r="Q158" s="687">
        <v>25</v>
      </c>
      <c r="R158" s="687">
        <v>22</v>
      </c>
      <c r="S158" s="687">
        <v>3</v>
      </c>
      <c r="T158" s="692"/>
      <c r="U158" s="687">
        <v>5</v>
      </c>
      <c r="V158" s="687">
        <v>53</v>
      </c>
      <c r="W158" s="687">
        <v>58</v>
      </c>
      <c r="X158" s="687">
        <v>54</v>
      </c>
      <c r="Y158" s="687">
        <v>4</v>
      </c>
    </row>
    <row r="159" spans="1:31" s="234" customFormat="1">
      <c r="A159" s="405" t="s">
        <v>123</v>
      </c>
      <c r="B159" s="658" t="s">
        <v>8</v>
      </c>
      <c r="C159" s="662">
        <f>SUM(C160:C165)</f>
        <v>17</v>
      </c>
      <c r="D159" s="662">
        <f>SUM(D160:D165)</f>
        <v>15</v>
      </c>
      <c r="E159" s="662">
        <f>SUM(E160:E165)</f>
        <v>32</v>
      </c>
      <c r="F159" s="662">
        <f>SUM(F160:F165)</f>
        <v>18</v>
      </c>
      <c r="G159" s="662">
        <f>SUM(G160:G165)</f>
        <v>14</v>
      </c>
      <c r="H159" s="662"/>
      <c r="I159" s="663">
        <f>SUM(I160:I165)</f>
        <v>1</v>
      </c>
      <c r="J159" s="662">
        <f>SUM(J160:J165)</f>
        <v>3</v>
      </c>
      <c r="K159" s="662">
        <f>SUM(K160:K165)</f>
        <v>4</v>
      </c>
      <c r="L159" s="662">
        <f>SUM(L160:L165)</f>
        <v>4</v>
      </c>
      <c r="M159" s="662">
        <f>SUM(M160:M165)</f>
        <v>0</v>
      </c>
      <c r="N159" s="664"/>
      <c r="O159" s="662">
        <f>SUM(O160:O165)</f>
        <v>16</v>
      </c>
      <c r="P159" s="662">
        <f>SUM(P160:P165)</f>
        <v>45</v>
      </c>
      <c r="Q159" s="662">
        <f>SUM(Q160:Q165)</f>
        <v>61</v>
      </c>
      <c r="R159" s="662">
        <f>SUM(R160:R165)</f>
        <v>49</v>
      </c>
      <c r="S159" s="662">
        <f>SUM(S160:S165)</f>
        <v>12</v>
      </c>
      <c r="T159" s="664"/>
      <c r="U159" s="662">
        <f>SUM(U160:U165)</f>
        <v>24</v>
      </c>
      <c r="V159" s="662">
        <f>SUM(V160:V165)</f>
        <v>126</v>
      </c>
      <c r="W159" s="662">
        <f>SUM(W160:W165)</f>
        <v>150</v>
      </c>
      <c r="X159" s="662">
        <f>SUM(X160:X165)</f>
        <v>122</v>
      </c>
      <c r="Y159" s="662">
        <f>SUM(Y160:Y165)</f>
        <v>28</v>
      </c>
      <c r="AA159" s="1"/>
      <c r="AB159" s="1"/>
      <c r="AC159" s="1"/>
      <c r="AD159" s="1"/>
      <c r="AE159" s="1"/>
    </row>
    <row r="160" spans="1:31" s="159" customFormat="1">
      <c r="A160" s="410" t="s">
        <v>123</v>
      </c>
      <c r="B160" s="666" t="s">
        <v>504</v>
      </c>
      <c r="C160" s="674">
        <v>10</v>
      </c>
      <c r="D160" s="674">
        <v>12</v>
      </c>
      <c r="E160" s="674">
        <v>22</v>
      </c>
      <c r="F160" s="674">
        <v>15</v>
      </c>
      <c r="G160" s="674">
        <v>7</v>
      </c>
      <c r="H160" s="674"/>
      <c r="I160" s="686">
        <v>0</v>
      </c>
      <c r="J160" s="674">
        <v>3</v>
      </c>
      <c r="K160" s="674">
        <v>3</v>
      </c>
      <c r="L160" s="674">
        <v>3</v>
      </c>
      <c r="M160" s="674">
        <v>0</v>
      </c>
      <c r="N160" s="691"/>
      <c r="O160" s="674">
        <v>10</v>
      </c>
      <c r="P160" s="674">
        <v>24</v>
      </c>
      <c r="Q160" s="674">
        <v>34</v>
      </c>
      <c r="R160" s="674">
        <v>27</v>
      </c>
      <c r="S160" s="674">
        <v>7</v>
      </c>
      <c r="T160" s="691"/>
      <c r="U160" s="674">
        <v>10</v>
      </c>
      <c r="V160" s="674">
        <v>61</v>
      </c>
      <c r="W160" s="674">
        <v>71</v>
      </c>
      <c r="X160" s="674">
        <v>54</v>
      </c>
      <c r="Y160" s="674">
        <v>17</v>
      </c>
    </row>
    <row r="161" spans="1:31" s="159" customFormat="1">
      <c r="A161" s="410" t="s">
        <v>123</v>
      </c>
      <c r="B161" s="666" t="s">
        <v>505</v>
      </c>
      <c r="C161" s="674">
        <v>0</v>
      </c>
      <c r="D161" s="674">
        <v>0</v>
      </c>
      <c r="E161" s="674">
        <v>0</v>
      </c>
      <c r="F161" s="674">
        <v>0</v>
      </c>
      <c r="G161" s="674">
        <v>0</v>
      </c>
      <c r="H161" s="674"/>
      <c r="I161" s="686">
        <v>0</v>
      </c>
      <c r="J161" s="674">
        <v>0</v>
      </c>
      <c r="K161" s="674">
        <v>0</v>
      </c>
      <c r="L161" s="674">
        <v>0</v>
      </c>
      <c r="M161" s="674">
        <v>0</v>
      </c>
      <c r="N161" s="691"/>
      <c r="O161" s="674">
        <v>2</v>
      </c>
      <c r="P161" s="674">
        <v>6</v>
      </c>
      <c r="Q161" s="674">
        <v>8</v>
      </c>
      <c r="R161" s="674">
        <v>7</v>
      </c>
      <c r="S161" s="674">
        <v>1</v>
      </c>
      <c r="T161" s="691"/>
      <c r="U161" s="674">
        <v>2</v>
      </c>
      <c r="V161" s="674">
        <v>16</v>
      </c>
      <c r="W161" s="674">
        <v>18</v>
      </c>
      <c r="X161" s="674">
        <v>16</v>
      </c>
      <c r="Y161" s="674">
        <v>2</v>
      </c>
    </row>
    <row r="162" spans="1:31" s="159" customFormat="1">
      <c r="A162" s="410" t="s">
        <v>123</v>
      </c>
      <c r="B162" s="666" t="s">
        <v>506</v>
      </c>
      <c r="C162" s="674">
        <v>1</v>
      </c>
      <c r="D162" s="674">
        <v>0</v>
      </c>
      <c r="E162" s="674">
        <v>1</v>
      </c>
      <c r="F162" s="674">
        <v>0</v>
      </c>
      <c r="G162" s="674">
        <v>1</v>
      </c>
      <c r="H162" s="674"/>
      <c r="I162" s="686">
        <v>0</v>
      </c>
      <c r="J162" s="674">
        <v>0</v>
      </c>
      <c r="K162" s="674">
        <v>0</v>
      </c>
      <c r="L162" s="674">
        <v>0</v>
      </c>
      <c r="M162" s="674">
        <v>0</v>
      </c>
      <c r="N162" s="691"/>
      <c r="O162" s="674">
        <v>0</v>
      </c>
      <c r="P162" s="674">
        <v>2</v>
      </c>
      <c r="Q162" s="674">
        <v>2</v>
      </c>
      <c r="R162" s="674">
        <v>1</v>
      </c>
      <c r="S162" s="674">
        <v>1</v>
      </c>
      <c r="T162" s="691"/>
      <c r="U162" s="674">
        <v>5</v>
      </c>
      <c r="V162" s="674">
        <v>7</v>
      </c>
      <c r="W162" s="674">
        <v>12</v>
      </c>
      <c r="X162" s="674">
        <v>9</v>
      </c>
      <c r="Y162" s="674">
        <v>3</v>
      </c>
    </row>
    <row r="163" spans="1:31" s="159" customFormat="1">
      <c r="A163" s="410" t="s">
        <v>123</v>
      </c>
      <c r="B163" s="666" t="s">
        <v>507</v>
      </c>
      <c r="C163" s="674">
        <v>2</v>
      </c>
      <c r="D163" s="674">
        <v>2</v>
      </c>
      <c r="E163" s="674">
        <v>4</v>
      </c>
      <c r="F163" s="674">
        <v>1</v>
      </c>
      <c r="G163" s="674">
        <v>3</v>
      </c>
      <c r="H163" s="674"/>
      <c r="I163" s="686">
        <v>1</v>
      </c>
      <c r="J163" s="674">
        <v>0</v>
      </c>
      <c r="K163" s="674">
        <v>1</v>
      </c>
      <c r="L163" s="674">
        <v>1</v>
      </c>
      <c r="M163" s="674">
        <v>0</v>
      </c>
      <c r="N163" s="691"/>
      <c r="O163" s="674">
        <v>3</v>
      </c>
      <c r="P163" s="674">
        <v>7</v>
      </c>
      <c r="Q163" s="674">
        <v>10</v>
      </c>
      <c r="R163" s="674">
        <v>8</v>
      </c>
      <c r="S163" s="674">
        <v>2</v>
      </c>
      <c r="T163" s="691"/>
      <c r="U163" s="674">
        <v>4</v>
      </c>
      <c r="V163" s="674">
        <v>16</v>
      </c>
      <c r="W163" s="674">
        <v>20</v>
      </c>
      <c r="X163" s="674">
        <v>18</v>
      </c>
      <c r="Y163" s="674">
        <v>2</v>
      </c>
    </row>
    <row r="164" spans="1:31" s="159" customFormat="1">
      <c r="A164" s="410" t="s">
        <v>123</v>
      </c>
      <c r="B164" s="666" t="s">
        <v>508</v>
      </c>
      <c r="C164" s="674">
        <v>0</v>
      </c>
      <c r="D164" s="674">
        <v>1</v>
      </c>
      <c r="E164" s="674">
        <v>1</v>
      </c>
      <c r="F164" s="674">
        <v>1</v>
      </c>
      <c r="G164" s="674">
        <v>0</v>
      </c>
      <c r="H164" s="674"/>
      <c r="I164" s="686">
        <v>0</v>
      </c>
      <c r="J164" s="674">
        <v>0</v>
      </c>
      <c r="K164" s="674">
        <v>0</v>
      </c>
      <c r="L164" s="674">
        <v>0</v>
      </c>
      <c r="M164" s="674">
        <v>0</v>
      </c>
      <c r="N164" s="691"/>
      <c r="O164" s="674">
        <v>1</v>
      </c>
      <c r="P164" s="674">
        <v>3</v>
      </c>
      <c r="Q164" s="674">
        <v>4</v>
      </c>
      <c r="R164" s="674">
        <v>4</v>
      </c>
      <c r="S164" s="674">
        <v>0</v>
      </c>
      <c r="T164" s="691"/>
      <c r="U164" s="674">
        <v>3</v>
      </c>
      <c r="V164" s="674">
        <v>15</v>
      </c>
      <c r="W164" s="674">
        <v>18</v>
      </c>
      <c r="X164" s="674">
        <v>17</v>
      </c>
      <c r="Y164" s="674">
        <v>1</v>
      </c>
    </row>
    <row r="165" spans="1:31" s="159" customFormat="1">
      <c r="A165" s="667" t="s">
        <v>123</v>
      </c>
      <c r="B165" s="668" t="s">
        <v>442</v>
      </c>
      <c r="C165" s="687">
        <v>4</v>
      </c>
      <c r="D165" s="687">
        <v>0</v>
      </c>
      <c r="E165" s="687">
        <v>4</v>
      </c>
      <c r="F165" s="687">
        <v>1</v>
      </c>
      <c r="G165" s="687">
        <v>3</v>
      </c>
      <c r="H165" s="687"/>
      <c r="I165" s="689">
        <v>0</v>
      </c>
      <c r="J165" s="687">
        <v>0</v>
      </c>
      <c r="K165" s="687">
        <v>0</v>
      </c>
      <c r="L165" s="687">
        <v>0</v>
      </c>
      <c r="M165" s="687">
        <v>0</v>
      </c>
      <c r="N165" s="692"/>
      <c r="O165" s="687">
        <v>0</v>
      </c>
      <c r="P165" s="687">
        <v>3</v>
      </c>
      <c r="Q165" s="687">
        <v>3</v>
      </c>
      <c r="R165" s="687">
        <v>2</v>
      </c>
      <c r="S165" s="687">
        <v>1</v>
      </c>
      <c r="T165" s="692"/>
      <c r="U165" s="687">
        <v>0</v>
      </c>
      <c r="V165" s="687">
        <v>11</v>
      </c>
      <c r="W165" s="687">
        <v>11</v>
      </c>
      <c r="X165" s="687">
        <v>8</v>
      </c>
      <c r="Y165" s="687">
        <v>3</v>
      </c>
    </row>
    <row r="166" spans="1:31" s="234" customFormat="1">
      <c r="A166" s="405" t="s">
        <v>125</v>
      </c>
      <c r="B166" s="658" t="s">
        <v>8</v>
      </c>
      <c r="C166" s="662">
        <f>SUM(C167:C179)</f>
        <v>87</v>
      </c>
      <c r="D166" s="662">
        <f>SUM(D167:D179)</f>
        <v>26</v>
      </c>
      <c r="E166" s="662">
        <f>SUM(E167:E179)</f>
        <v>113</v>
      </c>
      <c r="F166" s="662">
        <f>SUM(F167:F179)</f>
        <v>65</v>
      </c>
      <c r="G166" s="662">
        <f>SUM(G167:G179)</f>
        <v>48</v>
      </c>
      <c r="H166" s="662"/>
      <c r="I166" s="663">
        <f>SUM(I167:I179)</f>
        <v>2</v>
      </c>
      <c r="J166" s="662">
        <f>SUM(J167:J179)</f>
        <v>0</v>
      </c>
      <c r="K166" s="662">
        <f>SUM(K167:K179)</f>
        <v>2</v>
      </c>
      <c r="L166" s="662">
        <f>SUM(L167:L179)</f>
        <v>1</v>
      </c>
      <c r="M166" s="662">
        <f>SUM(M167:M179)</f>
        <v>1</v>
      </c>
      <c r="N166" s="664"/>
      <c r="O166" s="662">
        <f>SUM(O167:O179)</f>
        <v>37</v>
      </c>
      <c r="P166" s="662">
        <f>SUM(P167:P179)</f>
        <v>80</v>
      </c>
      <c r="Q166" s="662">
        <f>SUM(Q167:Q179)</f>
        <v>117</v>
      </c>
      <c r="R166" s="662">
        <f>SUM(R167:R179)</f>
        <v>77</v>
      </c>
      <c r="S166" s="662">
        <f>SUM(S167:S179)</f>
        <v>40</v>
      </c>
      <c r="T166" s="664"/>
      <c r="U166" s="662">
        <f>SUM(U167:U179)</f>
        <v>99</v>
      </c>
      <c r="V166" s="662">
        <f>SUM(V167:V179)</f>
        <v>264</v>
      </c>
      <c r="W166" s="662">
        <f>SUM(W167:W179)</f>
        <v>363</v>
      </c>
      <c r="X166" s="662">
        <f>SUM(X167:X179)</f>
        <v>288</v>
      </c>
      <c r="Y166" s="662">
        <f>SUM(Y167:Y179)</f>
        <v>75</v>
      </c>
      <c r="AA166" s="1"/>
      <c r="AB166" s="1"/>
      <c r="AC166" s="1"/>
      <c r="AD166" s="1"/>
      <c r="AE166" s="1"/>
    </row>
    <row r="167" spans="1:31" s="159" customFormat="1">
      <c r="A167" s="410" t="s">
        <v>125</v>
      </c>
      <c r="B167" s="666" t="s">
        <v>509</v>
      </c>
      <c r="C167" s="674">
        <v>4</v>
      </c>
      <c r="D167" s="674">
        <v>2</v>
      </c>
      <c r="E167" s="674">
        <v>6</v>
      </c>
      <c r="F167" s="674">
        <v>3</v>
      </c>
      <c r="G167" s="674">
        <v>3</v>
      </c>
      <c r="H167" s="674"/>
      <c r="I167" s="686">
        <v>0</v>
      </c>
      <c r="J167" s="674">
        <v>0</v>
      </c>
      <c r="K167" s="674">
        <v>0</v>
      </c>
      <c r="L167" s="674">
        <v>0</v>
      </c>
      <c r="M167" s="674">
        <v>0</v>
      </c>
      <c r="N167" s="691"/>
      <c r="O167" s="674">
        <v>7</v>
      </c>
      <c r="P167" s="674">
        <v>16</v>
      </c>
      <c r="Q167" s="674">
        <v>23</v>
      </c>
      <c r="R167" s="674">
        <v>8</v>
      </c>
      <c r="S167" s="674">
        <v>15</v>
      </c>
      <c r="T167" s="691"/>
      <c r="U167" s="674">
        <v>14</v>
      </c>
      <c r="V167" s="674">
        <v>17</v>
      </c>
      <c r="W167" s="674">
        <v>31</v>
      </c>
      <c r="X167" s="674">
        <v>23</v>
      </c>
      <c r="Y167" s="674">
        <v>8</v>
      </c>
    </row>
    <row r="168" spans="1:31" s="159" customFormat="1">
      <c r="A168" s="410" t="s">
        <v>125</v>
      </c>
      <c r="B168" s="666" t="s">
        <v>510</v>
      </c>
      <c r="C168" s="674">
        <v>3</v>
      </c>
      <c r="D168" s="674">
        <v>0</v>
      </c>
      <c r="E168" s="674">
        <v>3</v>
      </c>
      <c r="F168" s="674">
        <v>2</v>
      </c>
      <c r="G168" s="674">
        <v>1</v>
      </c>
      <c r="H168" s="674"/>
      <c r="I168" s="686">
        <v>0</v>
      </c>
      <c r="J168" s="674">
        <v>0</v>
      </c>
      <c r="K168" s="674">
        <v>0</v>
      </c>
      <c r="L168" s="674">
        <v>0</v>
      </c>
      <c r="M168" s="674">
        <v>0</v>
      </c>
      <c r="N168" s="691"/>
      <c r="O168" s="674">
        <v>3</v>
      </c>
      <c r="P168" s="674">
        <v>5</v>
      </c>
      <c r="Q168" s="674">
        <v>8</v>
      </c>
      <c r="R168" s="674">
        <v>7</v>
      </c>
      <c r="S168" s="674">
        <v>1</v>
      </c>
      <c r="T168" s="691"/>
      <c r="U168" s="674">
        <v>2</v>
      </c>
      <c r="V168" s="674">
        <v>17</v>
      </c>
      <c r="W168" s="674">
        <v>19</v>
      </c>
      <c r="X168" s="674">
        <v>13</v>
      </c>
      <c r="Y168" s="674">
        <v>6</v>
      </c>
    </row>
    <row r="169" spans="1:31" s="159" customFormat="1">
      <c r="A169" s="410" t="s">
        <v>125</v>
      </c>
      <c r="B169" s="666" t="s">
        <v>511</v>
      </c>
      <c r="C169" s="674">
        <v>5</v>
      </c>
      <c r="D169" s="674">
        <v>3</v>
      </c>
      <c r="E169" s="674">
        <v>8</v>
      </c>
      <c r="F169" s="674">
        <v>3</v>
      </c>
      <c r="G169" s="674">
        <v>5</v>
      </c>
      <c r="H169" s="674"/>
      <c r="I169" s="686">
        <v>1</v>
      </c>
      <c r="J169" s="674">
        <v>0</v>
      </c>
      <c r="K169" s="674">
        <v>1</v>
      </c>
      <c r="L169" s="674">
        <v>0</v>
      </c>
      <c r="M169" s="674">
        <v>1</v>
      </c>
      <c r="N169" s="691"/>
      <c r="O169" s="674">
        <v>4</v>
      </c>
      <c r="P169" s="674">
        <v>1</v>
      </c>
      <c r="Q169" s="674">
        <v>5</v>
      </c>
      <c r="R169" s="674">
        <v>3</v>
      </c>
      <c r="S169" s="674">
        <v>2</v>
      </c>
      <c r="T169" s="691"/>
      <c r="U169" s="674">
        <v>8</v>
      </c>
      <c r="V169" s="674">
        <v>20</v>
      </c>
      <c r="W169" s="674">
        <v>28</v>
      </c>
      <c r="X169" s="674">
        <v>25</v>
      </c>
      <c r="Y169" s="674">
        <v>3</v>
      </c>
    </row>
    <row r="170" spans="1:31" s="159" customFormat="1">
      <c r="A170" s="410" t="s">
        <v>125</v>
      </c>
      <c r="B170" s="666" t="s">
        <v>512</v>
      </c>
      <c r="C170" s="674">
        <v>13</v>
      </c>
      <c r="D170" s="674">
        <v>4</v>
      </c>
      <c r="E170" s="674">
        <v>17</v>
      </c>
      <c r="F170" s="674">
        <v>11</v>
      </c>
      <c r="G170" s="674">
        <v>6</v>
      </c>
      <c r="H170" s="674"/>
      <c r="I170" s="686">
        <v>0</v>
      </c>
      <c r="J170" s="674">
        <v>0</v>
      </c>
      <c r="K170" s="674">
        <v>0</v>
      </c>
      <c r="L170" s="674">
        <v>0</v>
      </c>
      <c r="M170" s="674">
        <v>0</v>
      </c>
      <c r="N170" s="691"/>
      <c r="O170" s="674">
        <v>3</v>
      </c>
      <c r="P170" s="674">
        <v>9</v>
      </c>
      <c r="Q170" s="674">
        <v>12</v>
      </c>
      <c r="R170" s="674">
        <v>8</v>
      </c>
      <c r="S170" s="674">
        <v>4</v>
      </c>
      <c r="T170" s="691"/>
      <c r="U170" s="674">
        <v>15</v>
      </c>
      <c r="V170" s="674">
        <v>42</v>
      </c>
      <c r="W170" s="674">
        <v>57</v>
      </c>
      <c r="X170" s="674">
        <v>46</v>
      </c>
      <c r="Y170" s="674">
        <v>11</v>
      </c>
    </row>
    <row r="171" spans="1:31" s="159" customFormat="1">
      <c r="A171" s="410" t="s">
        <v>125</v>
      </c>
      <c r="B171" s="666" t="s">
        <v>513</v>
      </c>
      <c r="C171" s="674">
        <v>7</v>
      </c>
      <c r="D171" s="674">
        <v>0</v>
      </c>
      <c r="E171" s="674">
        <v>7</v>
      </c>
      <c r="F171" s="674">
        <v>2</v>
      </c>
      <c r="G171" s="674">
        <v>5</v>
      </c>
      <c r="H171" s="674"/>
      <c r="I171" s="686">
        <v>1</v>
      </c>
      <c r="J171" s="674">
        <v>0</v>
      </c>
      <c r="K171" s="674">
        <v>1</v>
      </c>
      <c r="L171" s="674">
        <v>1</v>
      </c>
      <c r="M171" s="674">
        <v>0</v>
      </c>
      <c r="N171" s="691"/>
      <c r="O171" s="674">
        <v>2</v>
      </c>
      <c r="P171" s="674">
        <v>1</v>
      </c>
      <c r="Q171" s="674">
        <v>3</v>
      </c>
      <c r="R171" s="674">
        <v>3</v>
      </c>
      <c r="S171" s="674">
        <v>0</v>
      </c>
      <c r="T171" s="691"/>
      <c r="U171" s="674">
        <v>14</v>
      </c>
      <c r="V171" s="674">
        <v>18</v>
      </c>
      <c r="W171" s="674">
        <v>32</v>
      </c>
      <c r="X171" s="674">
        <v>24</v>
      </c>
      <c r="Y171" s="674">
        <v>8</v>
      </c>
    </row>
    <row r="172" spans="1:31" s="159" customFormat="1">
      <c r="A172" s="410" t="s">
        <v>125</v>
      </c>
      <c r="B172" s="666" t="s">
        <v>468</v>
      </c>
      <c r="C172" s="674">
        <v>24</v>
      </c>
      <c r="D172" s="674">
        <v>5</v>
      </c>
      <c r="E172" s="674">
        <v>29</v>
      </c>
      <c r="F172" s="674">
        <v>24</v>
      </c>
      <c r="G172" s="674">
        <v>5</v>
      </c>
      <c r="H172" s="674"/>
      <c r="I172" s="686">
        <v>0</v>
      </c>
      <c r="J172" s="674">
        <v>0</v>
      </c>
      <c r="K172" s="674">
        <v>0</v>
      </c>
      <c r="L172" s="674">
        <v>0</v>
      </c>
      <c r="M172" s="674">
        <v>0</v>
      </c>
      <c r="N172" s="691"/>
      <c r="O172" s="674">
        <v>2</v>
      </c>
      <c r="P172" s="674">
        <v>3</v>
      </c>
      <c r="Q172" s="674">
        <v>5</v>
      </c>
      <c r="R172" s="674">
        <v>2</v>
      </c>
      <c r="S172" s="674">
        <v>3</v>
      </c>
      <c r="T172" s="691"/>
      <c r="U172" s="674">
        <v>14</v>
      </c>
      <c r="V172" s="674">
        <v>23</v>
      </c>
      <c r="W172" s="674">
        <v>37</v>
      </c>
      <c r="X172" s="674">
        <v>33</v>
      </c>
      <c r="Y172" s="674">
        <v>4</v>
      </c>
    </row>
    <row r="173" spans="1:31" s="159" customFormat="1">
      <c r="A173" s="410" t="s">
        <v>125</v>
      </c>
      <c r="B173" s="666" t="s">
        <v>514</v>
      </c>
      <c r="C173" s="674">
        <v>0</v>
      </c>
      <c r="D173" s="674">
        <v>0</v>
      </c>
      <c r="E173" s="674">
        <v>0</v>
      </c>
      <c r="F173" s="674">
        <v>0</v>
      </c>
      <c r="G173" s="674">
        <v>0</v>
      </c>
      <c r="H173" s="674"/>
      <c r="I173" s="686">
        <v>0</v>
      </c>
      <c r="J173" s="674">
        <v>0</v>
      </c>
      <c r="K173" s="674">
        <v>0</v>
      </c>
      <c r="L173" s="674">
        <v>0</v>
      </c>
      <c r="M173" s="674">
        <v>0</v>
      </c>
      <c r="N173" s="691"/>
      <c r="O173" s="674">
        <v>1</v>
      </c>
      <c r="P173" s="674">
        <v>2</v>
      </c>
      <c r="Q173" s="674">
        <v>3</v>
      </c>
      <c r="R173" s="674">
        <v>3</v>
      </c>
      <c r="S173" s="674">
        <v>0</v>
      </c>
      <c r="T173" s="691"/>
      <c r="U173" s="674">
        <v>6</v>
      </c>
      <c r="V173" s="674">
        <v>11</v>
      </c>
      <c r="W173" s="674">
        <v>17</v>
      </c>
      <c r="X173" s="674">
        <v>17</v>
      </c>
      <c r="Y173" s="674">
        <v>0</v>
      </c>
    </row>
    <row r="174" spans="1:31" s="159" customFormat="1">
      <c r="A174" s="410" t="s">
        <v>125</v>
      </c>
      <c r="B174" s="666" t="s">
        <v>515</v>
      </c>
      <c r="C174" s="674">
        <v>1</v>
      </c>
      <c r="D174" s="674">
        <v>1</v>
      </c>
      <c r="E174" s="674">
        <v>2</v>
      </c>
      <c r="F174" s="674">
        <v>1</v>
      </c>
      <c r="G174" s="674">
        <v>1</v>
      </c>
      <c r="H174" s="674"/>
      <c r="I174" s="686">
        <v>0</v>
      </c>
      <c r="J174" s="674">
        <v>0</v>
      </c>
      <c r="K174" s="674">
        <v>0</v>
      </c>
      <c r="L174" s="674">
        <v>0</v>
      </c>
      <c r="M174" s="674">
        <v>0</v>
      </c>
      <c r="N174" s="691"/>
      <c r="O174" s="674">
        <v>1</v>
      </c>
      <c r="P174" s="674">
        <v>2</v>
      </c>
      <c r="Q174" s="674">
        <v>3</v>
      </c>
      <c r="R174" s="674">
        <v>2</v>
      </c>
      <c r="S174" s="674">
        <v>1</v>
      </c>
      <c r="T174" s="691"/>
      <c r="U174" s="674">
        <v>0</v>
      </c>
      <c r="V174" s="674">
        <v>16</v>
      </c>
      <c r="W174" s="674">
        <v>16</v>
      </c>
      <c r="X174" s="674">
        <v>14</v>
      </c>
      <c r="Y174" s="674">
        <v>2</v>
      </c>
    </row>
    <row r="175" spans="1:31" s="159" customFormat="1">
      <c r="A175" s="410" t="s">
        <v>125</v>
      </c>
      <c r="B175" s="666" t="s">
        <v>516</v>
      </c>
      <c r="C175" s="674">
        <v>0</v>
      </c>
      <c r="D175" s="674">
        <v>3</v>
      </c>
      <c r="E175" s="674">
        <v>3</v>
      </c>
      <c r="F175" s="674">
        <v>2</v>
      </c>
      <c r="G175" s="674">
        <v>1</v>
      </c>
      <c r="H175" s="674"/>
      <c r="I175" s="686">
        <v>0</v>
      </c>
      <c r="J175" s="674">
        <v>0</v>
      </c>
      <c r="K175" s="674">
        <v>0</v>
      </c>
      <c r="L175" s="674">
        <v>0</v>
      </c>
      <c r="M175" s="674">
        <v>0</v>
      </c>
      <c r="N175" s="691"/>
      <c r="O175" s="674">
        <v>6</v>
      </c>
      <c r="P175" s="674">
        <v>11</v>
      </c>
      <c r="Q175" s="674">
        <v>17</v>
      </c>
      <c r="R175" s="674">
        <v>14</v>
      </c>
      <c r="S175" s="674">
        <v>3</v>
      </c>
      <c r="T175" s="691"/>
      <c r="U175" s="674">
        <v>1</v>
      </c>
      <c r="V175" s="674">
        <v>36</v>
      </c>
      <c r="W175" s="674">
        <v>37</v>
      </c>
      <c r="X175" s="674">
        <v>32</v>
      </c>
      <c r="Y175" s="674">
        <v>5</v>
      </c>
    </row>
    <row r="176" spans="1:31" s="159" customFormat="1">
      <c r="A176" s="410" t="s">
        <v>125</v>
      </c>
      <c r="B176" s="666" t="s">
        <v>517</v>
      </c>
      <c r="C176" s="674">
        <v>2</v>
      </c>
      <c r="D176" s="674">
        <v>0</v>
      </c>
      <c r="E176" s="674">
        <v>2</v>
      </c>
      <c r="F176" s="674">
        <v>0</v>
      </c>
      <c r="G176" s="674">
        <v>2</v>
      </c>
      <c r="H176" s="674"/>
      <c r="I176" s="686">
        <v>0</v>
      </c>
      <c r="J176" s="674">
        <v>0</v>
      </c>
      <c r="K176" s="674">
        <v>0</v>
      </c>
      <c r="L176" s="674">
        <v>0</v>
      </c>
      <c r="M176" s="674">
        <v>0</v>
      </c>
      <c r="N176" s="691"/>
      <c r="O176" s="674">
        <v>0</v>
      </c>
      <c r="P176" s="674">
        <v>0</v>
      </c>
      <c r="Q176" s="674">
        <v>0</v>
      </c>
      <c r="R176" s="674">
        <v>0</v>
      </c>
      <c r="S176" s="674">
        <v>0</v>
      </c>
      <c r="T176" s="691"/>
      <c r="U176" s="674">
        <v>2</v>
      </c>
      <c r="V176" s="674">
        <v>3</v>
      </c>
      <c r="W176" s="674">
        <v>5</v>
      </c>
      <c r="X176" s="674">
        <v>4</v>
      </c>
      <c r="Y176" s="674">
        <v>1</v>
      </c>
    </row>
    <row r="177" spans="1:31" s="159" customFormat="1">
      <c r="A177" s="410" t="s">
        <v>125</v>
      </c>
      <c r="B177" s="666" t="s">
        <v>518</v>
      </c>
      <c r="C177" s="674">
        <v>14</v>
      </c>
      <c r="D177" s="674">
        <v>6</v>
      </c>
      <c r="E177" s="674">
        <v>20</v>
      </c>
      <c r="F177" s="674">
        <v>10</v>
      </c>
      <c r="G177" s="674">
        <v>10</v>
      </c>
      <c r="H177" s="674"/>
      <c r="I177" s="686">
        <v>0</v>
      </c>
      <c r="J177" s="674">
        <v>0</v>
      </c>
      <c r="K177" s="674">
        <v>0</v>
      </c>
      <c r="L177" s="674">
        <v>0</v>
      </c>
      <c r="M177" s="674">
        <v>0</v>
      </c>
      <c r="N177" s="691"/>
      <c r="O177" s="674">
        <v>6</v>
      </c>
      <c r="P177" s="674">
        <v>29</v>
      </c>
      <c r="Q177" s="674">
        <v>35</v>
      </c>
      <c r="R177" s="674">
        <v>25</v>
      </c>
      <c r="S177" s="674">
        <v>10</v>
      </c>
      <c r="T177" s="691"/>
      <c r="U177" s="674">
        <v>12</v>
      </c>
      <c r="V177" s="674">
        <v>30</v>
      </c>
      <c r="W177" s="674">
        <v>42</v>
      </c>
      <c r="X177" s="674">
        <v>28</v>
      </c>
      <c r="Y177" s="674">
        <v>14</v>
      </c>
    </row>
    <row r="178" spans="1:31" s="159" customFormat="1">
      <c r="A178" s="410" t="s">
        <v>125</v>
      </c>
      <c r="B178" s="666" t="s">
        <v>519</v>
      </c>
      <c r="C178" s="674">
        <v>14</v>
      </c>
      <c r="D178" s="674">
        <v>2</v>
      </c>
      <c r="E178" s="674">
        <v>16</v>
      </c>
      <c r="F178" s="674">
        <v>7</v>
      </c>
      <c r="G178" s="674">
        <v>9</v>
      </c>
      <c r="H178" s="674"/>
      <c r="I178" s="686">
        <v>0</v>
      </c>
      <c r="J178" s="674">
        <v>0</v>
      </c>
      <c r="K178" s="674">
        <v>0</v>
      </c>
      <c r="L178" s="674">
        <v>0</v>
      </c>
      <c r="M178" s="674">
        <v>0</v>
      </c>
      <c r="N178" s="691"/>
      <c r="O178" s="674">
        <v>0</v>
      </c>
      <c r="P178" s="674">
        <v>0</v>
      </c>
      <c r="Q178" s="674">
        <v>0</v>
      </c>
      <c r="R178" s="674">
        <v>0</v>
      </c>
      <c r="S178" s="674">
        <v>0</v>
      </c>
      <c r="T178" s="691"/>
      <c r="U178" s="674">
        <v>6</v>
      </c>
      <c r="V178" s="674">
        <v>10</v>
      </c>
      <c r="W178" s="674">
        <v>16</v>
      </c>
      <c r="X178" s="674">
        <v>14</v>
      </c>
      <c r="Y178" s="674">
        <v>2</v>
      </c>
    </row>
    <row r="179" spans="1:31" s="159" customFormat="1">
      <c r="A179" s="667" t="s">
        <v>125</v>
      </c>
      <c r="B179" s="668" t="s">
        <v>479</v>
      </c>
      <c r="C179" s="687">
        <v>0</v>
      </c>
      <c r="D179" s="687">
        <v>0</v>
      </c>
      <c r="E179" s="687">
        <v>0</v>
      </c>
      <c r="F179" s="687">
        <v>0</v>
      </c>
      <c r="G179" s="687">
        <v>0</v>
      </c>
      <c r="H179" s="687"/>
      <c r="I179" s="689">
        <v>0</v>
      </c>
      <c r="J179" s="687">
        <v>0</v>
      </c>
      <c r="K179" s="687">
        <v>0</v>
      </c>
      <c r="L179" s="687">
        <v>0</v>
      </c>
      <c r="M179" s="687">
        <v>0</v>
      </c>
      <c r="N179" s="692"/>
      <c r="O179" s="687">
        <v>2</v>
      </c>
      <c r="P179" s="687">
        <v>1</v>
      </c>
      <c r="Q179" s="687">
        <v>3</v>
      </c>
      <c r="R179" s="687">
        <v>2</v>
      </c>
      <c r="S179" s="687">
        <v>1</v>
      </c>
      <c r="T179" s="692"/>
      <c r="U179" s="687">
        <v>5</v>
      </c>
      <c r="V179" s="687">
        <v>21</v>
      </c>
      <c r="W179" s="687">
        <v>26</v>
      </c>
      <c r="X179" s="687">
        <v>15</v>
      </c>
      <c r="Y179" s="687">
        <v>11</v>
      </c>
    </row>
    <row r="180" spans="1:31" s="234" customFormat="1">
      <c r="A180" s="405" t="s">
        <v>110</v>
      </c>
      <c r="B180" s="658" t="s">
        <v>8</v>
      </c>
      <c r="C180" s="662">
        <f>SUM(C181:C191)</f>
        <v>156</v>
      </c>
      <c r="D180" s="662">
        <f>SUM(D181:D191)</f>
        <v>122</v>
      </c>
      <c r="E180" s="662">
        <f>SUM(E181:E191)</f>
        <v>278</v>
      </c>
      <c r="F180" s="662">
        <f>SUM(F181:F191)</f>
        <v>149</v>
      </c>
      <c r="G180" s="662">
        <f>SUM(G181:G191)</f>
        <v>129</v>
      </c>
      <c r="H180" s="662"/>
      <c r="I180" s="663">
        <f>SUM(I181:I191)</f>
        <v>3</v>
      </c>
      <c r="J180" s="662">
        <f>SUM(J181:J191)</f>
        <v>2</v>
      </c>
      <c r="K180" s="662">
        <f>SUM(K181:K191)</f>
        <v>5</v>
      </c>
      <c r="L180" s="662">
        <f>SUM(L181:L191)</f>
        <v>3</v>
      </c>
      <c r="M180" s="662">
        <f>SUM(M181:M191)</f>
        <v>2</v>
      </c>
      <c r="N180" s="664"/>
      <c r="O180" s="662">
        <f>SUM(O181:O191)</f>
        <v>71</v>
      </c>
      <c r="P180" s="662">
        <f>SUM(P181:P191)</f>
        <v>116</v>
      </c>
      <c r="Q180" s="662">
        <f>SUM(Q181:Q191)</f>
        <v>187</v>
      </c>
      <c r="R180" s="662">
        <f>SUM(R181:R191)</f>
        <v>122</v>
      </c>
      <c r="S180" s="662">
        <f>SUM(S181:S191)</f>
        <v>65</v>
      </c>
      <c r="T180" s="664"/>
      <c r="U180" s="662">
        <f>SUM(U181:U191)</f>
        <v>122</v>
      </c>
      <c r="V180" s="662">
        <f>SUM(V181:V191)</f>
        <v>482</v>
      </c>
      <c r="W180" s="662">
        <f>SUM(W181:W191)</f>
        <v>604</v>
      </c>
      <c r="X180" s="662">
        <f>SUM(X181:X191)</f>
        <v>501</v>
      </c>
      <c r="Y180" s="662">
        <f>SUM(Y181:Y191)</f>
        <v>103</v>
      </c>
      <c r="AA180" s="1"/>
      <c r="AB180" s="1"/>
      <c r="AC180" s="1"/>
      <c r="AD180" s="1"/>
      <c r="AE180" s="1"/>
    </row>
    <row r="181" spans="1:31" s="159" customFormat="1">
      <c r="A181" s="410" t="s">
        <v>110</v>
      </c>
      <c r="B181" s="666" t="s">
        <v>520</v>
      </c>
      <c r="C181" s="674">
        <v>9</v>
      </c>
      <c r="D181" s="674">
        <v>0</v>
      </c>
      <c r="E181" s="674">
        <v>9</v>
      </c>
      <c r="F181" s="674">
        <v>1</v>
      </c>
      <c r="G181" s="674">
        <v>8</v>
      </c>
      <c r="H181" s="674"/>
      <c r="I181" s="686">
        <v>0</v>
      </c>
      <c r="J181" s="674">
        <v>0</v>
      </c>
      <c r="K181" s="674">
        <v>0</v>
      </c>
      <c r="L181" s="674">
        <v>0</v>
      </c>
      <c r="M181" s="674">
        <v>0</v>
      </c>
      <c r="N181" s="691"/>
      <c r="O181" s="674">
        <v>23</v>
      </c>
      <c r="P181" s="674">
        <v>11</v>
      </c>
      <c r="Q181" s="674">
        <v>34</v>
      </c>
      <c r="R181" s="674">
        <v>10</v>
      </c>
      <c r="S181" s="674">
        <v>24</v>
      </c>
      <c r="T181" s="691"/>
      <c r="U181" s="674">
        <v>8</v>
      </c>
      <c r="V181" s="674">
        <v>52</v>
      </c>
      <c r="W181" s="674">
        <v>60</v>
      </c>
      <c r="X181" s="674">
        <v>53</v>
      </c>
      <c r="Y181" s="674">
        <v>7</v>
      </c>
    </row>
    <row r="182" spans="1:31" s="159" customFormat="1">
      <c r="A182" s="410" t="s">
        <v>110</v>
      </c>
      <c r="B182" s="666" t="s">
        <v>521</v>
      </c>
      <c r="C182" s="674">
        <v>1</v>
      </c>
      <c r="D182" s="674">
        <v>7</v>
      </c>
      <c r="E182" s="674">
        <v>8</v>
      </c>
      <c r="F182" s="674">
        <v>6</v>
      </c>
      <c r="G182" s="674">
        <v>2</v>
      </c>
      <c r="H182" s="674"/>
      <c r="I182" s="686">
        <v>0</v>
      </c>
      <c r="J182" s="674">
        <v>2</v>
      </c>
      <c r="K182" s="674">
        <v>2</v>
      </c>
      <c r="L182" s="674">
        <v>1</v>
      </c>
      <c r="M182" s="674">
        <v>1</v>
      </c>
      <c r="N182" s="691"/>
      <c r="O182" s="674">
        <v>6</v>
      </c>
      <c r="P182" s="674">
        <v>37</v>
      </c>
      <c r="Q182" s="674">
        <v>43</v>
      </c>
      <c r="R182" s="674">
        <v>34</v>
      </c>
      <c r="S182" s="674">
        <v>9</v>
      </c>
      <c r="T182" s="691"/>
      <c r="U182" s="674">
        <v>5</v>
      </c>
      <c r="V182" s="674">
        <v>84</v>
      </c>
      <c r="W182" s="674">
        <v>89</v>
      </c>
      <c r="X182" s="674">
        <v>81</v>
      </c>
      <c r="Y182" s="674">
        <v>8</v>
      </c>
    </row>
    <row r="183" spans="1:31" s="159" customFormat="1">
      <c r="A183" s="410" t="s">
        <v>110</v>
      </c>
      <c r="B183" s="666" t="s">
        <v>522</v>
      </c>
      <c r="C183" s="674">
        <v>17</v>
      </c>
      <c r="D183" s="674">
        <v>2</v>
      </c>
      <c r="E183" s="674">
        <v>19</v>
      </c>
      <c r="F183" s="674">
        <v>3</v>
      </c>
      <c r="G183" s="674">
        <v>16</v>
      </c>
      <c r="H183" s="674"/>
      <c r="I183" s="686">
        <v>0</v>
      </c>
      <c r="J183" s="674">
        <v>0</v>
      </c>
      <c r="K183" s="674">
        <v>0</v>
      </c>
      <c r="L183" s="674">
        <v>0</v>
      </c>
      <c r="M183" s="674">
        <v>0</v>
      </c>
      <c r="N183" s="691"/>
      <c r="O183" s="674">
        <v>3</v>
      </c>
      <c r="P183" s="674">
        <v>4</v>
      </c>
      <c r="Q183" s="674">
        <v>7</v>
      </c>
      <c r="R183" s="674">
        <v>5</v>
      </c>
      <c r="S183" s="674">
        <v>2</v>
      </c>
      <c r="T183" s="691"/>
      <c r="U183" s="674">
        <v>13</v>
      </c>
      <c r="V183" s="674">
        <v>32</v>
      </c>
      <c r="W183" s="674">
        <v>45</v>
      </c>
      <c r="X183" s="674">
        <v>35</v>
      </c>
      <c r="Y183" s="674">
        <v>10</v>
      </c>
    </row>
    <row r="184" spans="1:31" s="159" customFormat="1">
      <c r="A184" s="410" t="s">
        <v>110</v>
      </c>
      <c r="B184" s="666" t="s">
        <v>523</v>
      </c>
      <c r="C184" s="674">
        <v>35</v>
      </c>
      <c r="D184" s="674">
        <v>9</v>
      </c>
      <c r="E184" s="674">
        <v>44</v>
      </c>
      <c r="F184" s="674">
        <v>37</v>
      </c>
      <c r="G184" s="674">
        <v>7</v>
      </c>
      <c r="H184" s="674"/>
      <c r="I184" s="686">
        <v>2</v>
      </c>
      <c r="J184" s="674">
        <v>0</v>
      </c>
      <c r="K184" s="674">
        <v>2</v>
      </c>
      <c r="L184" s="674">
        <v>2</v>
      </c>
      <c r="M184" s="674">
        <v>0</v>
      </c>
      <c r="N184" s="691"/>
      <c r="O184" s="674">
        <v>6</v>
      </c>
      <c r="P184" s="674">
        <v>5</v>
      </c>
      <c r="Q184" s="674">
        <v>11</v>
      </c>
      <c r="R184" s="674">
        <v>10</v>
      </c>
      <c r="S184" s="674">
        <v>1</v>
      </c>
      <c r="T184" s="691"/>
      <c r="U184" s="674">
        <v>32</v>
      </c>
      <c r="V184" s="674">
        <v>43</v>
      </c>
      <c r="W184" s="674">
        <v>75</v>
      </c>
      <c r="X184" s="674">
        <v>72</v>
      </c>
      <c r="Y184" s="674">
        <v>3</v>
      </c>
    </row>
    <row r="185" spans="1:31" s="159" customFormat="1">
      <c r="A185" s="410" t="s">
        <v>110</v>
      </c>
      <c r="B185" s="666" t="s">
        <v>524</v>
      </c>
      <c r="C185" s="674">
        <v>18</v>
      </c>
      <c r="D185" s="674">
        <v>5</v>
      </c>
      <c r="E185" s="674">
        <v>23</v>
      </c>
      <c r="F185" s="674">
        <v>3</v>
      </c>
      <c r="G185" s="674">
        <v>20</v>
      </c>
      <c r="H185" s="674"/>
      <c r="I185" s="686">
        <v>0</v>
      </c>
      <c r="J185" s="674">
        <v>0</v>
      </c>
      <c r="K185" s="674">
        <v>0</v>
      </c>
      <c r="L185" s="674">
        <v>0</v>
      </c>
      <c r="M185" s="674">
        <v>0</v>
      </c>
      <c r="N185" s="691"/>
      <c r="O185" s="674">
        <v>6</v>
      </c>
      <c r="P185" s="674">
        <v>4</v>
      </c>
      <c r="Q185" s="674">
        <v>10</v>
      </c>
      <c r="R185" s="674">
        <v>4</v>
      </c>
      <c r="S185" s="674">
        <v>6</v>
      </c>
      <c r="T185" s="691"/>
      <c r="U185" s="674">
        <v>24</v>
      </c>
      <c r="V185" s="674">
        <v>47</v>
      </c>
      <c r="W185" s="674">
        <v>71</v>
      </c>
      <c r="X185" s="674">
        <v>39</v>
      </c>
      <c r="Y185" s="674">
        <v>32</v>
      </c>
    </row>
    <row r="186" spans="1:31" s="159" customFormat="1">
      <c r="A186" s="410" t="s">
        <v>110</v>
      </c>
      <c r="B186" s="666" t="s">
        <v>525</v>
      </c>
      <c r="C186" s="674">
        <v>1</v>
      </c>
      <c r="D186" s="674">
        <v>5</v>
      </c>
      <c r="E186" s="674">
        <v>6</v>
      </c>
      <c r="F186" s="674">
        <v>2</v>
      </c>
      <c r="G186" s="674">
        <v>4</v>
      </c>
      <c r="H186" s="674"/>
      <c r="I186" s="686">
        <v>0</v>
      </c>
      <c r="J186" s="674">
        <v>0</v>
      </c>
      <c r="K186" s="674">
        <v>0</v>
      </c>
      <c r="L186" s="674">
        <v>0</v>
      </c>
      <c r="M186" s="674">
        <v>0</v>
      </c>
      <c r="N186" s="691"/>
      <c r="O186" s="674">
        <v>3</v>
      </c>
      <c r="P186" s="674">
        <v>8</v>
      </c>
      <c r="Q186" s="674">
        <v>11</v>
      </c>
      <c r="R186" s="674">
        <v>8</v>
      </c>
      <c r="S186" s="674">
        <v>3</v>
      </c>
      <c r="T186" s="691"/>
      <c r="U186" s="674">
        <v>3</v>
      </c>
      <c r="V186" s="674">
        <v>32</v>
      </c>
      <c r="W186" s="674">
        <v>35</v>
      </c>
      <c r="X186" s="674">
        <v>27</v>
      </c>
      <c r="Y186" s="674">
        <v>8</v>
      </c>
    </row>
    <row r="187" spans="1:31" s="159" customFormat="1">
      <c r="A187" s="410" t="s">
        <v>110</v>
      </c>
      <c r="B187" s="666" t="s">
        <v>526</v>
      </c>
      <c r="C187" s="674">
        <v>7</v>
      </c>
      <c r="D187" s="674">
        <v>4</v>
      </c>
      <c r="E187" s="674">
        <v>11</v>
      </c>
      <c r="F187" s="674">
        <v>6</v>
      </c>
      <c r="G187" s="674">
        <v>5</v>
      </c>
      <c r="H187" s="674"/>
      <c r="I187" s="686">
        <v>0</v>
      </c>
      <c r="J187" s="674">
        <v>0</v>
      </c>
      <c r="K187" s="674">
        <v>0</v>
      </c>
      <c r="L187" s="674">
        <v>0</v>
      </c>
      <c r="M187" s="674">
        <v>0</v>
      </c>
      <c r="N187" s="691"/>
      <c r="O187" s="674">
        <v>2</v>
      </c>
      <c r="P187" s="674">
        <v>6</v>
      </c>
      <c r="Q187" s="674">
        <v>8</v>
      </c>
      <c r="R187" s="674">
        <v>5</v>
      </c>
      <c r="S187" s="674">
        <v>3</v>
      </c>
      <c r="T187" s="691"/>
      <c r="U187" s="674">
        <v>4</v>
      </c>
      <c r="V187" s="674">
        <v>26</v>
      </c>
      <c r="W187" s="674">
        <v>30</v>
      </c>
      <c r="X187" s="674">
        <v>24</v>
      </c>
      <c r="Y187" s="674">
        <v>6</v>
      </c>
    </row>
    <row r="188" spans="1:31" s="159" customFormat="1">
      <c r="A188" s="410" t="s">
        <v>110</v>
      </c>
      <c r="B188" s="666" t="s">
        <v>527</v>
      </c>
      <c r="C188" s="674">
        <v>0</v>
      </c>
      <c r="D188" s="674">
        <v>0</v>
      </c>
      <c r="E188" s="674">
        <v>0</v>
      </c>
      <c r="F188" s="674">
        <v>0</v>
      </c>
      <c r="G188" s="674">
        <v>0</v>
      </c>
      <c r="H188" s="674"/>
      <c r="I188" s="686">
        <v>0</v>
      </c>
      <c r="J188" s="674">
        <v>0</v>
      </c>
      <c r="K188" s="674">
        <v>0</v>
      </c>
      <c r="L188" s="674">
        <v>0</v>
      </c>
      <c r="M188" s="674">
        <v>0</v>
      </c>
      <c r="N188" s="691"/>
      <c r="O188" s="674">
        <v>5</v>
      </c>
      <c r="P188" s="674">
        <v>3</v>
      </c>
      <c r="Q188" s="674">
        <v>8</v>
      </c>
      <c r="R188" s="674">
        <v>6</v>
      </c>
      <c r="S188" s="674">
        <v>2</v>
      </c>
      <c r="T188" s="691"/>
      <c r="U188" s="674">
        <v>2</v>
      </c>
      <c r="V188" s="674">
        <v>8</v>
      </c>
      <c r="W188" s="674">
        <v>10</v>
      </c>
      <c r="X188" s="674">
        <v>7</v>
      </c>
      <c r="Y188" s="674">
        <v>3</v>
      </c>
    </row>
    <row r="189" spans="1:31" s="159" customFormat="1">
      <c r="A189" s="410" t="s">
        <v>110</v>
      </c>
      <c r="B189" s="666" t="s">
        <v>528</v>
      </c>
      <c r="C189" s="674">
        <v>12</v>
      </c>
      <c r="D189" s="674">
        <v>7</v>
      </c>
      <c r="E189" s="674">
        <v>19</v>
      </c>
      <c r="F189" s="674">
        <v>6</v>
      </c>
      <c r="G189" s="674">
        <v>13</v>
      </c>
      <c r="H189" s="674"/>
      <c r="I189" s="686">
        <v>0</v>
      </c>
      <c r="J189" s="674">
        <v>0</v>
      </c>
      <c r="K189" s="674">
        <v>0</v>
      </c>
      <c r="L189" s="674">
        <v>0</v>
      </c>
      <c r="M189" s="674">
        <v>0</v>
      </c>
      <c r="N189" s="691"/>
      <c r="O189" s="674">
        <v>2</v>
      </c>
      <c r="P189" s="674">
        <v>2</v>
      </c>
      <c r="Q189" s="674">
        <v>4</v>
      </c>
      <c r="R189" s="674">
        <v>2</v>
      </c>
      <c r="S189" s="674">
        <v>2</v>
      </c>
      <c r="T189" s="691"/>
      <c r="U189" s="674">
        <v>6</v>
      </c>
      <c r="V189" s="674">
        <v>17</v>
      </c>
      <c r="W189" s="674">
        <v>23</v>
      </c>
      <c r="X189" s="674">
        <v>15</v>
      </c>
      <c r="Y189" s="674">
        <v>8</v>
      </c>
    </row>
    <row r="190" spans="1:31" s="159" customFormat="1">
      <c r="A190" s="410" t="s">
        <v>110</v>
      </c>
      <c r="B190" s="678" t="s">
        <v>529</v>
      </c>
      <c r="C190" s="674">
        <v>7</v>
      </c>
      <c r="D190" s="674">
        <v>5</v>
      </c>
      <c r="E190" s="674">
        <v>12</v>
      </c>
      <c r="F190" s="674">
        <v>6</v>
      </c>
      <c r="G190" s="674">
        <v>6</v>
      </c>
      <c r="H190" s="674"/>
      <c r="I190" s="686">
        <v>0</v>
      </c>
      <c r="J190" s="674">
        <v>0</v>
      </c>
      <c r="K190" s="674">
        <v>0</v>
      </c>
      <c r="L190" s="674">
        <v>0</v>
      </c>
      <c r="M190" s="674">
        <v>0</v>
      </c>
      <c r="N190" s="691"/>
      <c r="O190" s="674">
        <v>1</v>
      </c>
      <c r="P190" s="674">
        <v>8</v>
      </c>
      <c r="Q190" s="674">
        <v>9</v>
      </c>
      <c r="R190" s="674">
        <v>7</v>
      </c>
      <c r="S190" s="674">
        <v>2</v>
      </c>
      <c r="T190" s="691"/>
      <c r="U190" s="674">
        <v>4</v>
      </c>
      <c r="V190" s="674">
        <v>29</v>
      </c>
      <c r="W190" s="674">
        <v>33</v>
      </c>
      <c r="X190" s="674">
        <v>27</v>
      </c>
      <c r="Y190" s="674">
        <v>6</v>
      </c>
    </row>
    <row r="191" spans="1:31" s="159" customFormat="1">
      <c r="A191" s="679" t="s">
        <v>110</v>
      </c>
      <c r="B191" s="680" t="s">
        <v>530</v>
      </c>
      <c r="C191" s="687">
        <v>49</v>
      </c>
      <c r="D191" s="687">
        <v>78</v>
      </c>
      <c r="E191" s="687">
        <v>127</v>
      </c>
      <c r="F191" s="687">
        <v>79</v>
      </c>
      <c r="G191" s="687">
        <v>48</v>
      </c>
      <c r="H191" s="687"/>
      <c r="I191" s="689">
        <v>1</v>
      </c>
      <c r="J191" s="687">
        <v>0</v>
      </c>
      <c r="K191" s="687">
        <v>1</v>
      </c>
      <c r="L191" s="687">
        <v>0</v>
      </c>
      <c r="M191" s="687">
        <v>1</v>
      </c>
      <c r="N191" s="692"/>
      <c r="O191" s="687">
        <v>14</v>
      </c>
      <c r="P191" s="687">
        <v>28</v>
      </c>
      <c r="Q191" s="687">
        <v>42</v>
      </c>
      <c r="R191" s="687">
        <v>31</v>
      </c>
      <c r="S191" s="687">
        <v>11</v>
      </c>
      <c r="T191" s="692"/>
      <c r="U191" s="687">
        <v>21</v>
      </c>
      <c r="V191" s="687">
        <v>112</v>
      </c>
      <c r="W191" s="687">
        <v>133</v>
      </c>
      <c r="X191" s="687">
        <v>121</v>
      </c>
      <c r="Y191" s="687">
        <v>12</v>
      </c>
    </row>
    <row r="192" spans="1:31" s="234" customFormat="1">
      <c r="A192" s="405" t="s">
        <v>128</v>
      </c>
      <c r="B192" s="658" t="s">
        <v>8</v>
      </c>
      <c r="C192" s="662">
        <f>SUM(C193:C201)</f>
        <v>167</v>
      </c>
      <c r="D192" s="662">
        <f>SUM(D193:D201)</f>
        <v>110</v>
      </c>
      <c r="E192" s="662">
        <f>SUM(E193:E201)</f>
        <v>277</v>
      </c>
      <c r="F192" s="662">
        <f>SUM(F193:F201)</f>
        <v>86</v>
      </c>
      <c r="G192" s="662">
        <f>SUM(G193:G201)</f>
        <v>191</v>
      </c>
      <c r="H192" s="662"/>
      <c r="I192" s="663">
        <f>SUM(I193:I201)</f>
        <v>3</v>
      </c>
      <c r="J192" s="662">
        <f>SUM(J193:J201)</f>
        <v>3</v>
      </c>
      <c r="K192" s="662">
        <f>SUM(K193:K201)</f>
        <v>6</v>
      </c>
      <c r="L192" s="662">
        <f>SUM(L193:L201)</f>
        <v>0</v>
      </c>
      <c r="M192" s="662">
        <f>SUM(M193:M201)</f>
        <v>6</v>
      </c>
      <c r="N192" s="664"/>
      <c r="O192" s="662">
        <f>SUM(O193:O201)</f>
        <v>94</v>
      </c>
      <c r="P192" s="662">
        <f>SUM(P193:P201)</f>
        <v>189</v>
      </c>
      <c r="Q192" s="662">
        <f>SUM(Q193:Q201)</f>
        <v>283</v>
      </c>
      <c r="R192" s="662">
        <f>SUM(R193:R201)</f>
        <v>142</v>
      </c>
      <c r="S192" s="662">
        <f>SUM(S193:S201)</f>
        <v>141</v>
      </c>
      <c r="T192" s="664"/>
      <c r="U192" s="662">
        <f>SUM(U193:U201)</f>
        <v>92</v>
      </c>
      <c r="V192" s="662">
        <f>SUM(V193:V201)</f>
        <v>430</v>
      </c>
      <c r="W192" s="662">
        <f>SUM(W193:W201)</f>
        <v>522</v>
      </c>
      <c r="X192" s="662">
        <f>SUM(X193:X201)</f>
        <v>381</v>
      </c>
      <c r="Y192" s="662">
        <f>SUM(Y193:Y201)</f>
        <v>141</v>
      </c>
      <c r="AA192" s="1"/>
      <c r="AB192" s="1"/>
      <c r="AC192" s="1"/>
      <c r="AD192" s="1"/>
      <c r="AE192" s="1"/>
    </row>
    <row r="193" spans="1:31" s="159" customFormat="1">
      <c r="A193" s="410" t="s">
        <v>128</v>
      </c>
      <c r="B193" s="666" t="s">
        <v>531</v>
      </c>
      <c r="C193" s="674">
        <v>87</v>
      </c>
      <c r="D193" s="674">
        <v>46</v>
      </c>
      <c r="E193" s="674">
        <v>133</v>
      </c>
      <c r="F193" s="674">
        <v>45</v>
      </c>
      <c r="G193" s="674">
        <v>88</v>
      </c>
      <c r="H193" s="674"/>
      <c r="I193" s="686">
        <v>0</v>
      </c>
      <c r="J193" s="674">
        <v>0</v>
      </c>
      <c r="K193" s="674">
        <v>0</v>
      </c>
      <c r="L193" s="674">
        <v>0</v>
      </c>
      <c r="M193" s="674">
        <v>0</v>
      </c>
      <c r="N193" s="691"/>
      <c r="O193" s="674">
        <v>38</v>
      </c>
      <c r="P193" s="674">
        <v>59</v>
      </c>
      <c r="Q193" s="674">
        <v>97</v>
      </c>
      <c r="R193" s="674">
        <v>35</v>
      </c>
      <c r="S193" s="674">
        <v>62</v>
      </c>
      <c r="T193" s="691"/>
      <c r="U193" s="674">
        <v>27</v>
      </c>
      <c r="V193" s="674">
        <v>159</v>
      </c>
      <c r="W193" s="674">
        <v>186</v>
      </c>
      <c r="X193" s="674">
        <v>122</v>
      </c>
      <c r="Y193" s="674">
        <v>64</v>
      </c>
    </row>
    <row r="194" spans="1:31" s="159" customFormat="1">
      <c r="A194" s="410" t="s">
        <v>128</v>
      </c>
      <c r="B194" s="666" t="s">
        <v>523</v>
      </c>
      <c r="C194" s="674">
        <v>7</v>
      </c>
      <c r="D194" s="674">
        <v>10</v>
      </c>
      <c r="E194" s="674">
        <v>17</v>
      </c>
      <c r="F194" s="674">
        <v>2</v>
      </c>
      <c r="G194" s="674">
        <v>15</v>
      </c>
      <c r="H194" s="674"/>
      <c r="I194" s="686">
        <v>0</v>
      </c>
      <c r="J194" s="674">
        <v>2</v>
      </c>
      <c r="K194" s="674">
        <v>2</v>
      </c>
      <c r="L194" s="674">
        <v>0</v>
      </c>
      <c r="M194" s="674">
        <v>2</v>
      </c>
      <c r="N194" s="691"/>
      <c r="O194" s="674">
        <v>20</v>
      </c>
      <c r="P194" s="674">
        <v>19</v>
      </c>
      <c r="Q194" s="674">
        <v>39</v>
      </c>
      <c r="R194" s="674">
        <v>17</v>
      </c>
      <c r="S194" s="674">
        <v>22</v>
      </c>
      <c r="T194" s="691"/>
      <c r="U194" s="674">
        <v>21</v>
      </c>
      <c r="V194" s="674">
        <v>46</v>
      </c>
      <c r="W194" s="674">
        <v>67</v>
      </c>
      <c r="X194" s="674">
        <v>50</v>
      </c>
      <c r="Y194" s="674">
        <v>17</v>
      </c>
    </row>
    <row r="195" spans="1:31" s="159" customFormat="1">
      <c r="A195" s="410" t="s">
        <v>128</v>
      </c>
      <c r="B195" s="666" t="s">
        <v>503</v>
      </c>
      <c r="C195" s="674">
        <v>2</v>
      </c>
      <c r="D195" s="674">
        <v>0</v>
      </c>
      <c r="E195" s="674">
        <v>2</v>
      </c>
      <c r="F195" s="674">
        <v>1</v>
      </c>
      <c r="G195" s="674">
        <v>1</v>
      </c>
      <c r="H195" s="674"/>
      <c r="I195" s="686">
        <v>0</v>
      </c>
      <c r="J195" s="674">
        <v>0</v>
      </c>
      <c r="K195" s="674">
        <v>0</v>
      </c>
      <c r="L195" s="674">
        <v>0</v>
      </c>
      <c r="M195" s="674">
        <v>0</v>
      </c>
      <c r="N195" s="691"/>
      <c r="O195" s="674">
        <v>2</v>
      </c>
      <c r="P195" s="674">
        <v>16</v>
      </c>
      <c r="Q195" s="674">
        <v>18</v>
      </c>
      <c r="R195" s="674">
        <v>15</v>
      </c>
      <c r="S195" s="674">
        <v>3</v>
      </c>
      <c r="T195" s="691"/>
      <c r="U195" s="674">
        <v>0</v>
      </c>
      <c r="V195" s="674">
        <v>34</v>
      </c>
      <c r="W195" s="674">
        <v>34</v>
      </c>
      <c r="X195" s="674">
        <v>32</v>
      </c>
      <c r="Y195" s="674">
        <v>2</v>
      </c>
    </row>
    <row r="196" spans="1:31" s="159" customFormat="1">
      <c r="A196" s="410" t="s">
        <v>128</v>
      </c>
      <c r="B196" s="666" t="s">
        <v>532</v>
      </c>
      <c r="C196" s="674">
        <v>27</v>
      </c>
      <c r="D196" s="674">
        <v>32</v>
      </c>
      <c r="E196" s="674">
        <v>59</v>
      </c>
      <c r="F196" s="674">
        <v>26</v>
      </c>
      <c r="G196" s="674">
        <v>33</v>
      </c>
      <c r="H196" s="674"/>
      <c r="I196" s="686">
        <v>0</v>
      </c>
      <c r="J196" s="674">
        <v>1</v>
      </c>
      <c r="K196" s="674">
        <v>1</v>
      </c>
      <c r="L196" s="674">
        <v>0</v>
      </c>
      <c r="M196" s="674">
        <v>1</v>
      </c>
      <c r="N196" s="691"/>
      <c r="O196" s="674">
        <v>5</v>
      </c>
      <c r="P196" s="674">
        <v>13</v>
      </c>
      <c r="Q196" s="674">
        <v>18</v>
      </c>
      <c r="R196" s="674">
        <v>14</v>
      </c>
      <c r="S196" s="674">
        <v>4</v>
      </c>
      <c r="T196" s="691"/>
      <c r="U196" s="674">
        <v>5</v>
      </c>
      <c r="V196" s="674">
        <v>56</v>
      </c>
      <c r="W196" s="674">
        <v>61</v>
      </c>
      <c r="X196" s="674">
        <v>59</v>
      </c>
      <c r="Y196" s="674">
        <v>2</v>
      </c>
    </row>
    <row r="197" spans="1:31" s="159" customFormat="1">
      <c r="A197" s="410" t="s">
        <v>128</v>
      </c>
      <c r="B197" s="666" t="s">
        <v>533</v>
      </c>
      <c r="C197" s="674">
        <v>9</v>
      </c>
      <c r="D197" s="674">
        <v>7</v>
      </c>
      <c r="E197" s="674">
        <v>16</v>
      </c>
      <c r="F197" s="674">
        <v>6</v>
      </c>
      <c r="G197" s="674">
        <v>10</v>
      </c>
      <c r="H197" s="674"/>
      <c r="I197" s="686">
        <v>0</v>
      </c>
      <c r="J197" s="674">
        <v>0</v>
      </c>
      <c r="K197" s="674">
        <v>0</v>
      </c>
      <c r="L197" s="674">
        <v>0</v>
      </c>
      <c r="M197" s="674">
        <v>0</v>
      </c>
      <c r="N197" s="691"/>
      <c r="O197" s="674">
        <v>0</v>
      </c>
      <c r="P197" s="674">
        <v>4</v>
      </c>
      <c r="Q197" s="674">
        <v>4</v>
      </c>
      <c r="R197" s="674">
        <v>2</v>
      </c>
      <c r="S197" s="674">
        <v>2</v>
      </c>
      <c r="T197" s="691"/>
      <c r="U197" s="674">
        <v>6</v>
      </c>
      <c r="V197" s="674">
        <v>17</v>
      </c>
      <c r="W197" s="674">
        <v>23</v>
      </c>
      <c r="X197" s="674">
        <v>9</v>
      </c>
      <c r="Y197" s="674">
        <v>14</v>
      </c>
    </row>
    <row r="198" spans="1:31" s="159" customFormat="1">
      <c r="A198" s="410" t="s">
        <v>128</v>
      </c>
      <c r="B198" s="666" t="s">
        <v>534</v>
      </c>
      <c r="C198" s="674">
        <v>4</v>
      </c>
      <c r="D198" s="674">
        <v>0</v>
      </c>
      <c r="E198" s="674">
        <v>4</v>
      </c>
      <c r="F198" s="674">
        <v>0</v>
      </c>
      <c r="G198" s="674">
        <v>4</v>
      </c>
      <c r="H198" s="674"/>
      <c r="I198" s="686">
        <v>3</v>
      </c>
      <c r="J198" s="674">
        <v>0</v>
      </c>
      <c r="K198" s="674">
        <v>3</v>
      </c>
      <c r="L198" s="674">
        <v>0</v>
      </c>
      <c r="M198" s="674">
        <v>3</v>
      </c>
      <c r="N198" s="691"/>
      <c r="O198" s="674">
        <v>1</v>
      </c>
      <c r="P198" s="674">
        <v>7</v>
      </c>
      <c r="Q198" s="674">
        <v>8</v>
      </c>
      <c r="R198" s="674">
        <v>0</v>
      </c>
      <c r="S198" s="674">
        <v>8</v>
      </c>
      <c r="T198" s="691"/>
      <c r="U198" s="674">
        <v>4</v>
      </c>
      <c r="V198" s="674">
        <v>14</v>
      </c>
      <c r="W198" s="674">
        <v>18</v>
      </c>
      <c r="X198" s="674">
        <v>11</v>
      </c>
      <c r="Y198" s="674">
        <v>7</v>
      </c>
    </row>
    <row r="199" spans="1:31" s="159" customFormat="1">
      <c r="A199" s="410" t="s">
        <v>128</v>
      </c>
      <c r="B199" s="666" t="s">
        <v>535</v>
      </c>
      <c r="C199" s="674">
        <v>4</v>
      </c>
      <c r="D199" s="674">
        <v>8</v>
      </c>
      <c r="E199" s="674">
        <v>12</v>
      </c>
      <c r="F199" s="674">
        <v>0</v>
      </c>
      <c r="G199" s="674">
        <v>12</v>
      </c>
      <c r="H199" s="674"/>
      <c r="I199" s="686">
        <v>0</v>
      </c>
      <c r="J199" s="674">
        <v>0</v>
      </c>
      <c r="K199" s="674">
        <v>0</v>
      </c>
      <c r="L199" s="674">
        <v>0</v>
      </c>
      <c r="M199" s="674">
        <v>0</v>
      </c>
      <c r="N199" s="691"/>
      <c r="O199" s="674">
        <v>14</v>
      </c>
      <c r="P199" s="674">
        <v>36</v>
      </c>
      <c r="Q199" s="674">
        <v>50</v>
      </c>
      <c r="R199" s="674">
        <v>41</v>
      </c>
      <c r="S199" s="674">
        <v>9</v>
      </c>
      <c r="T199" s="691"/>
      <c r="U199" s="674">
        <v>17</v>
      </c>
      <c r="V199" s="674">
        <v>62</v>
      </c>
      <c r="W199" s="674">
        <v>79</v>
      </c>
      <c r="X199" s="674">
        <v>59</v>
      </c>
      <c r="Y199" s="674">
        <v>20</v>
      </c>
    </row>
    <row r="200" spans="1:31" s="159" customFormat="1">
      <c r="A200" s="410" t="s">
        <v>128</v>
      </c>
      <c r="B200" s="666" t="s">
        <v>536</v>
      </c>
      <c r="C200" s="674">
        <v>9</v>
      </c>
      <c r="D200" s="674">
        <v>5</v>
      </c>
      <c r="E200" s="674">
        <v>14</v>
      </c>
      <c r="F200" s="674">
        <v>0</v>
      </c>
      <c r="G200" s="674">
        <v>14</v>
      </c>
      <c r="H200" s="674"/>
      <c r="I200" s="686">
        <v>0</v>
      </c>
      <c r="J200" s="674">
        <v>0</v>
      </c>
      <c r="K200" s="674">
        <v>0</v>
      </c>
      <c r="L200" s="674">
        <v>0</v>
      </c>
      <c r="M200" s="674">
        <v>0</v>
      </c>
      <c r="N200" s="691"/>
      <c r="O200" s="674">
        <v>5</v>
      </c>
      <c r="P200" s="674">
        <v>3</v>
      </c>
      <c r="Q200" s="674">
        <v>8</v>
      </c>
      <c r="R200" s="674">
        <v>7</v>
      </c>
      <c r="S200" s="674">
        <v>1</v>
      </c>
      <c r="T200" s="691"/>
      <c r="U200" s="674">
        <v>5</v>
      </c>
      <c r="V200" s="674">
        <v>24</v>
      </c>
      <c r="W200" s="674">
        <v>29</v>
      </c>
      <c r="X200" s="674">
        <v>25</v>
      </c>
      <c r="Y200" s="674">
        <v>4</v>
      </c>
    </row>
    <row r="201" spans="1:31" s="159" customFormat="1">
      <c r="A201" s="667" t="s">
        <v>128</v>
      </c>
      <c r="B201" s="668" t="s">
        <v>537</v>
      </c>
      <c r="C201" s="687">
        <v>18</v>
      </c>
      <c r="D201" s="687">
        <v>2</v>
      </c>
      <c r="E201" s="687">
        <v>20</v>
      </c>
      <c r="F201" s="687">
        <v>6</v>
      </c>
      <c r="G201" s="687">
        <v>14</v>
      </c>
      <c r="H201" s="687"/>
      <c r="I201" s="689">
        <v>0</v>
      </c>
      <c r="J201" s="687">
        <v>0</v>
      </c>
      <c r="K201" s="687">
        <v>0</v>
      </c>
      <c r="L201" s="687">
        <v>0</v>
      </c>
      <c r="M201" s="687">
        <v>0</v>
      </c>
      <c r="N201" s="692"/>
      <c r="O201" s="687">
        <v>9</v>
      </c>
      <c r="P201" s="687">
        <v>32</v>
      </c>
      <c r="Q201" s="687">
        <v>41</v>
      </c>
      <c r="R201" s="687">
        <v>11</v>
      </c>
      <c r="S201" s="687">
        <v>30</v>
      </c>
      <c r="T201" s="692"/>
      <c r="U201" s="687">
        <v>7</v>
      </c>
      <c r="V201" s="687">
        <v>18</v>
      </c>
      <c r="W201" s="687">
        <v>25</v>
      </c>
      <c r="X201" s="687">
        <v>14</v>
      </c>
      <c r="Y201" s="687">
        <v>11</v>
      </c>
    </row>
    <row r="202" spans="1:31" s="234" customFormat="1">
      <c r="A202" s="405" t="s">
        <v>130</v>
      </c>
      <c r="B202" s="658" t="s">
        <v>8</v>
      </c>
      <c r="C202" s="662">
        <f>SUM(C203:C211)</f>
        <v>292</v>
      </c>
      <c r="D202" s="662">
        <f>SUM(D203:D211)</f>
        <v>124</v>
      </c>
      <c r="E202" s="662">
        <f>SUM(E203:E211)</f>
        <v>416</v>
      </c>
      <c r="F202" s="662">
        <f>SUM(F203:F211)</f>
        <v>176</v>
      </c>
      <c r="G202" s="662">
        <f>SUM(G203:G211)</f>
        <v>240</v>
      </c>
      <c r="H202" s="662"/>
      <c r="I202" s="663">
        <f>SUM(I203:I211)</f>
        <v>5</v>
      </c>
      <c r="J202" s="662">
        <f>SUM(J203:J211)</f>
        <v>2</v>
      </c>
      <c r="K202" s="662">
        <f>SUM(K203:K211)</f>
        <v>7</v>
      </c>
      <c r="L202" s="662">
        <f>SUM(L203:L211)</f>
        <v>4</v>
      </c>
      <c r="M202" s="662">
        <f>SUM(M203:M211)</f>
        <v>3</v>
      </c>
      <c r="N202" s="664"/>
      <c r="O202" s="662">
        <f>SUM(O203:O211)</f>
        <v>70</v>
      </c>
      <c r="P202" s="662">
        <f>SUM(P203:P211)</f>
        <v>147</v>
      </c>
      <c r="Q202" s="662">
        <f>SUM(Q203:Q211)</f>
        <v>217</v>
      </c>
      <c r="R202" s="662">
        <f>SUM(R203:R211)</f>
        <v>119</v>
      </c>
      <c r="S202" s="662">
        <f>SUM(S203:S211)</f>
        <v>98</v>
      </c>
      <c r="T202" s="664"/>
      <c r="U202" s="662">
        <f>SUM(U203:U211)</f>
        <v>124</v>
      </c>
      <c r="V202" s="662">
        <f>SUM(V203:V211)</f>
        <v>483</v>
      </c>
      <c r="W202" s="662">
        <f>SUM(W203:W211)</f>
        <v>607</v>
      </c>
      <c r="X202" s="662">
        <f>SUM(X203:X211)</f>
        <v>475</v>
      </c>
      <c r="Y202" s="662">
        <f>SUM(Y203:Y211)</f>
        <v>132</v>
      </c>
      <c r="AA202" s="1"/>
      <c r="AB202" s="1"/>
      <c r="AC202" s="1"/>
      <c r="AD202" s="1"/>
      <c r="AE202" s="1"/>
    </row>
    <row r="203" spans="1:31" s="159" customFormat="1">
      <c r="A203" s="410" t="s">
        <v>130</v>
      </c>
      <c r="B203" s="666" t="s">
        <v>489</v>
      </c>
      <c r="C203" s="674">
        <v>102</v>
      </c>
      <c r="D203" s="674">
        <v>59</v>
      </c>
      <c r="E203" s="674">
        <v>161</v>
      </c>
      <c r="F203" s="674">
        <v>29</v>
      </c>
      <c r="G203" s="674">
        <v>132</v>
      </c>
      <c r="H203" s="674"/>
      <c r="I203" s="686">
        <v>0</v>
      </c>
      <c r="J203" s="674">
        <v>2</v>
      </c>
      <c r="K203" s="674">
        <v>2</v>
      </c>
      <c r="L203" s="674">
        <v>0</v>
      </c>
      <c r="M203" s="674">
        <v>2</v>
      </c>
      <c r="N203" s="691"/>
      <c r="O203" s="674">
        <v>38</v>
      </c>
      <c r="P203" s="674">
        <v>94</v>
      </c>
      <c r="Q203" s="674">
        <v>132</v>
      </c>
      <c r="R203" s="674">
        <v>68</v>
      </c>
      <c r="S203" s="674">
        <v>64</v>
      </c>
      <c r="T203" s="691"/>
      <c r="U203" s="674">
        <v>45</v>
      </c>
      <c r="V203" s="674">
        <v>215</v>
      </c>
      <c r="W203" s="674">
        <v>260</v>
      </c>
      <c r="X203" s="674">
        <v>205</v>
      </c>
      <c r="Y203" s="674">
        <v>55</v>
      </c>
    </row>
    <row r="204" spans="1:31" s="159" customFormat="1">
      <c r="A204" s="410" t="s">
        <v>130</v>
      </c>
      <c r="B204" s="666" t="s">
        <v>538</v>
      </c>
      <c r="C204" s="674">
        <v>14</v>
      </c>
      <c r="D204" s="674">
        <v>14</v>
      </c>
      <c r="E204" s="674">
        <v>28</v>
      </c>
      <c r="F204" s="674">
        <v>13</v>
      </c>
      <c r="G204" s="674">
        <v>15</v>
      </c>
      <c r="H204" s="674"/>
      <c r="I204" s="686">
        <v>0</v>
      </c>
      <c r="J204" s="674">
        <v>0</v>
      </c>
      <c r="K204" s="674">
        <v>0</v>
      </c>
      <c r="L204" s="674">
        <v>0</v>
      </c>
      <c r="M204" s="674">
        <v>0</v>
      </c>
      <c r="N204" s="691"/>
      <c r="O204" s="674">
        <v>1</v>
      </c>
      <c r="P204" s="674">
        <v>6</v>
      </c>
      <c r="Q204" s="674">
        <v>7</v>
      </c>
      <c r="R204" s="674">
        <v>5</v>
      </c>
      <c r="S204" s="674">
        <v>2</v>
      </c>
      <c r="T204" s="691"/>
      <c r="U204" s="674">
        <v>12</v>
      </c>
      <c r="V204" s="674">
        <v>32</v>
      </c>
      <c r="W204" s="674">
        <v>44</v>
      </c>
      <c r="X204" s="674">
        <v>34</v>
      </c>
      <c r="Y204" s="674">
        <v>10</v>
      </c>
    </row>
    <row r="205" spans="1:31" s="159" customFormat="1">
      <c r="A205" s="410" t="s">
        <v>130</v>
      </c>
      <c r="B205" s="666" t="s">
        <v>539</v>
      </c>
      <c r="C205" s="674">
        <v>4</v>
      </c>
      <c r="D205" s="674">
        <v>0</v>
      </c>
      <c r="E205" s="674">
        <v>4</v>
      </c>
      <c r="F205" s="674">
        <v>4</v>
      </c>
      <c r="G205" s="674">
        <v>0</v>
      </c>
      <c r="H205" s="674"/>
      <c r="I205" s="686">
        <v>0</v>
      </c>
      <c r="J205" s="674">
        <v>0</v>
      </c>
      <c r="K205" s="674">
        <v>0</v>
      </c>
      <c r="L205" s="674">
        <v>0</v>
      </c>
      <c r="M205" s="674">
        <v>0</v>
      </c>
      <c r="N205" s="691"/>
      <c r="O205" s="674">
        <v>1</v>
      </c>
      <c r="P205" s="674">
        <v>4</v>
      </c>
      <c r="Q205" s="674">
        <v>5</v>
      </c>
      <c r="R205" s="674">
        <v>4</v>
      </c>
      <c r="S205" s="674">
        <v>1</v>
      </c>
      <c r="T205" s="691"/>
      <c r="U205" s="674">
        <v>2</v>
      </c>
      <c r="V205" s="674">
        <v>31</v>
      </c>
      <c r="W205" s="674">
        <v>33</v>
      </c>
      <c r="X205" s="674">
        <v>28</v>
      </c>
      <c r="Y205" s="674">
        <v>5</v>
      </c>
    </row>
    <row r="206" spans="1:31" s="159" customFormat="1">
      <c r="A206" s="410" t="s">
        <v>130</v>
      </c>
      <c r="B206" s="666" t="s">
        <v>540</v>
      </c>
      <c r="C206" s="674">
        <v>4</v>
      </c>
      <c r="D206" s="674">
        <v>1</v>
      </c>
      <c r="E206" s="674">
        <v>5</v>
      </c>
      <c r="F206" s="674">
        <v>2</v>
      </c>
      <c r="G206" s="674">
        <v>3</v>
      </c>
      <c r="H206" s="674"/>
      <c r="I206" s="686">
        <v>0</v>
      </c>
      <c r="J206" s="674">
        <v>0</v>
      </c>
      <c r="K206" s="674">
        <v>0</v>
      </c>
      <c r="L206" s="674">
        <v>0</v>
      </c>
      <c r="M206" s="674">
        <v>0</v>
      </c>
      <c r="N206" s="691"/>
      <c r="O206" s="674">
        <v>0</v>
      </c>
      <c r="P206" s="674">
        <v>1</v>
      </c>
      <c r="Q206" s="674">
        <v>1</v>
      </c>
      <c r="R206" s="674">
        <v>1</v>
      </c>
      <c r="S206" s="674">
        <v>0</v>
      </c>
      <c r="T206" s="691"/>
      <c r="U206" s="674">
        <v>5</v>
      </c>
      <c r="V206" s="674">
        <v>17</v>
      </c>
      <c r="W206" s="674">
        <v>22</v>
      </c>
      <c r="X206" s="674">
        <v>15</v>
      </c>
      <c r="Y206" s="674">
        <v>7</v>
      </c>
    </row>
    <row r="207" spans="1:31" s="159" customFormat="1">
      <c r="A207" s="410" t="s">
        <v>130</v>
      </c>
      <c r="B207" s="666" t="s">
        <v>541</v>
      </c>
      <c r="C207" s="674">
        <v>5</v>
      </c>
      <c r="D207" s="674">
        <v>4</v>
      </c>
      <c r="E207" s="674">
        <v>9</v>
      </c>
      <c r="F207" s="674">
        <v>3</v>
      </c>
      <c r="G207" s="674">
        <v>6</v>
      </c>
      <c r="H207" s="674"/>
      <c r="I207" s="686">
        <v>0</v>
      </c>
      <c r="J207" s="674">
        <v>0</v>
      </c>
      <c r="K207" s="674">
        <v>0</v>
      </c>
      <c r="L207" s="674">
        <v>0</v>
      </c>
      <c r="M207" s="674">
        <v>0</v>
      </c>
      <c r="N207" s="691"/>
      <c r="O207" s="674">
        <v>4</v>
      </c>
      <c r="P207" s="674">
        <v>14</v>
      </c>
      <c r="Q207" s="674">
        <v>18</v>
      </c>
      <c r="R207" s="674">
        <v>11</v>
      </c>
      <c r="S207" s="674">
        <v>7</v>
      </c>
      <c r="T207" s="691"/>
      <c r="U207" s="674">
        <v>11</v>
      </c>
      <c r="V207" s="674">
        <v>42</v>
      </c>
      <c r="W207" s="674">
        <v>53</v>
      </c>
      <c r="X207" s="674">
        <v>46</v>
      </c>
      <c r="Y207" s="674">
        <v>7</v>
      </c>
    </row>
    <row r="208" spans="1:31" s="159" customFormat="1">
      <c r="A208" s="410" t="s">
        <v>130</v>
      </c>
      <c r="B208" s="666" t="s">
        <v>542</v>
      </c>
      <c r="C208" s="674">
        <v>7</v>
      </c>
      <c r="D208" s="674">
        <v>1</v>
      </c>
      <c r="E208" s="674">
        <v>8</v>
      </c>
      <c r="F208" s="674">
        <v>2</v>
      </c>
      <c r="G208" s="674">
        <v>6</v>
      </c>
      <c r="H208" s="674"/>
      <c r="I208" s="686">
        <v>0</v>
      </c>
      <c r="J208" s="674">
        <v>0</v>
      </c>
      <c r="K208" s="674">
        <v>0</v>
      </c>
      <c r="L208" s="674">
        <v>0</v>
      </c>
      <c r="M208" s="674">
        <v>0</v>
      </c>
      <c r="N208" s="691"/>
      <c r="O208" s="674">
        <v>4</v>
      </c>
      <c r="P208" s="674">
        <v>3</v>
      </c>
      <c r="Q208" s="674">
        <v>7</v>
      </c>
      <c r="R208" s="674">
        <v>3</v>
      </c>
      <c r="S208" s="674">
        <v>4</v>
      </c>
      <c r="T208" s="691"/>
      <c r="U208" s="674">
        <v>5</v>
      </c>
      <c r="V208" s="674">
        <v>24</v>
      </c>
      <c r="W208" s="674">
        <v>29</v>
      </c>
      <c r="X208" s="674">
        <v>16</v>
      </c>
      <c r="Y208" s="674">
        <v>13</v>
      </c>
    </row>
    <row r="209" spans="1:31" s="159" customFormat="1">
      <c r="A209" s="410" t="s">
        <v>130</v>
      </c>
      <c r="B209" s="666" t="s">
        <v>543</v>
      </c>
      <c r="C209" s="674">
        <v>47</v>
      </c>
      <c r="D209" s="674">
        <v>9</v>
      </c>
      <c r="E209" s="674">
        <v>56</v>
      </c>
      <c r="F209" s="674">
        <v>41</v>
      </c>
      <c r="G209" s="674">
        <v>15</v>
      </c>
      <c r="H209" s="674"/>
      <c r="I209" s="686">
        <v>5</v>
      </c>
      <c r="J209" s="674">
        <v>0</v>
      </c>
      <c r="K209" s="674">
        <v>5</v>
      </c>
      <c r="L209" s="674">
        <v>4</v>
      </c>
      <c r="M209" s="674">
        <v>1</v>
      </c>
      <c r="N209" s="691"/>
      <c r="O209" s="674">
        <v>8</v>
      </c>
      <c r="P209" s="674">
        <v>9</v>
      </c>
      <c r="Q209" s="674">
        <v>17</v>
      </c>
      <c r="R209" s="674">
        <v>7</v>
      </c>
      <c r="S209" s="674">
        <v>10</v>
      </c>
      <c r="T209" s="691"/>
      <c r="U209" s="674">
        <v>11</v>
      </c>
      <c r="V209" s="674">
        <v>41</v>
      </c>
      <c r="W209" s="674">
        <v>52</v>
      </c>
      <c r="X209" s="674">
        <v>43</v>
      </c>
      <c r="Y209" s="674">
        <v>9</v>
      </c>
    </row>
    <row r="210" spans="1:31" s="159" customFormat="1">
      <c r="A210" s="410" t="s">
        <v>130</v>
      </c>
      <c r="B210" s="666" t="s">
        <v>544</v>
      </c>
      <c r="C210" s="674">
        <v>18</v>
      </c>
      <c r="D210" s="674">
        <v>5</v>
      </c>
      <c r="E210" s="674">
        <v>23</v>
      </c>
      <c r="F210" s="674">
        <v>5</v>
      </c>
      <c r="G210" s="674">
        <v>18</v>
      </c>
      <c r="H210" s="674"/>
      <c r="I210" s="686">
        <v>0</v>
      </c>
      <c r="J210" s="674">
        <v>0</v>
      </c>
      <c r="K210" s="674">
        <v>0</v>
      </c>
      <c r="L210" s="674">
        <v>0</v>
      </c>
      <c r="M210" s="674">
        <v>0</v>
      </c>
      <c r="N210" s="691"/>
      <c r="O210" s="674">
        <v>1</v>
      </c>
      <c r="P210" s="674">
        <v>4</v>
      </c>
      <c r="Q210" s="674">
        <v>5</v>
      </c>
      <c r="R210" s="674">
        <v>2</v>
      </c>
      <c r="S210" s="674">
        <v>3</v>
      </c>
      <c r="T210" s="691"/>
      <c r="U210" s="674">
        <v>8</v>
      </c>
      <c r="V210" s="674">
        <v>35</v>
      </c>
      <c r="W210" s="674">
        <v>43</v>
      </c>
      <c r="X210" s="674">
        <v>32</v>
      </c>
      <c r="Y210" s="674">
        <v>11</v>
      </c>
    </row>
    <row r="211" spans="1:31" s="159" customFormat="1">
      <c r="A211" s="667" t="s">
        <v>130</v>
      </c>
      <c r="B211" s="668" t="s">
        <v>545</v>
      </c>
      <c r="C211" s="687">
        <v>91</v>
      </c>
      <c r="D211" s="687">
        <v>31</v>
      </c>
      <c r="E211" s="687">
        <v>122</v>
      </c>
      <c r="F211" s="687">
        <v>77</v>
      </c>
      <c r="G211" s="687">
        <v>45</v>
      </c>
      <c r="H211" s="687"/>
      <c r="I211" s="689">
        <v>0</v>
      </c>
      <c r="J211" s="687">
        <v>0</v>
      </c>
      <c r="K211" s="687">
        <v>0</v>
      </c>
      <c r="L211" s="687">
        <v>0</v>
      </c>
      <c r="M211" s="687">
        <v>0</v>
      </c>
      <c r="N211" s="692"/>
      <c r="O211" s="687">
        <v>13</v>
      </c>
      <c r="P211" s="687">
        <v>12</v>
      </c>
      <c r="Q211" s="687">
        <v>25</v>
      </c>
      <c r="R211" s="687">
        <v>18</v>
      </c>
      <c r="S211" s="687">
        <v>7</v>
      </c>
      <c r="T211" s="692"/>
      <c r="U211" s="687">
        <v>25</v>
      </c>
      <c r="V211" s="687">
        <v>46</v>
      </c>
      <c r="W211" s="687">
        <v>71</v>
      </c>
      <c r="X211" s="687">
        <v>56</v>
      </c>
      <c r="Y211" s="687">
        <v>15</v>
      </c>
    </row>
    <row r="212" spans="1:31" s="234" customFormat="1">
      <c r="A212" s="405" t="s">
        <v>132</v>
      </c>
      <c r="B212" s="658" t="s">
        <v>8</v>
      </c>
      <c r="C212" s="662">
        <f>C213</f>
        <v>177</v>
      </c>
      <c r="D212" s="662">
        <f>D213</f>
        <v>152</v>
      </c>
      <c r="E212" s="662">
        <f>E213</f>
        <v>329</v>
      </c>
      <c r="F212" s="662">
        <f>F213</f>
        <v>198</v>
      </c>
      <c r="G212" s="662">
        <f>G213</f>
        <v>131</v>
      </c>
      <c r="H212" s="662"/>
      <c r="I212" s="663">
        <f>I213</f>
        <v>9</v>
      </c>
      <c r="J212" s="662">
        <f>J213</f>
        <v>12</v>
      </c>
      <c r="K212" s="662">
        <f>K213</f>
        <v>21</v>
      </c>
      <c r="L212" s="662">
        <f>L213</f>
        <v>4</v>
      </c>
      <c r="M212" s="662">
        <f>M213</f>
        <v>17</v>
      </c>
      <c r="N212" s="664"/>
      <c r="O212" s="662">
        <f>O213</f>
        <v>42</v>
      </c>
      <c r="P212" s="662">
        <f>P213</f>
        <v>82</v>
      </c>
      <c r="Q212" s="662">
        <f>Q213</f>
        <v>124</v>
      </c>
      <c r="R212" s="662">
        <f>R213</f>
        <v>74</v>
      </c>
      <c r="S212" s="662">
        <f>S213</f>
        <v>50</v>
      </c>
      <c r="T212" s="664"/>
      <c r="U212" s="662">
        <f>U213</f>
        <v>64</v>
      </c>
      <c r="V212" s="662">
        <f>V213</f>
        <v>385</v>
      </c>
      <c r="W212" s="662">
        <f>W213</f>
        <v>449</v>
      </c>
      <c r="X212" s="662">
        <f>X213</f>
        <v>393</v>
      </c>
      <c r="Y212" s="662">
        <f>Y213</f>
        <v>56</v>
      </c>
      <c r="AA212" s="1"/>
      <c r="AB212" s="1"/>
      <c r="AC212" s="1"/>
      <c r="AD212" s="1"/>
      <c r="AE212" s="1"/>
    </row>
    <row r="213" spans="1:31" s="159" customFormat="1">
      <c r="A213" s="667" t="s">
        <v>132</v>
      </c>
      <c r="B213" s="668" t="s">
        <v>546</v>
      </c>
      <c r="C213" s="687">
        <v>177</v>
      </c>
      <c r="D213" s="687">
        <v>152</v>
      </c>
      <c r="E213" s="687">
        <v>329</v>
      </c>
      <c r="F213" s="687">
        <v>198</v>
      </c>
      <c r="G213" s="687">
        <v>131</v>
      </c>
      <c r="H213" s="687"/>
      <c r="I213" s="689">
        <v>9</v>
      </c>
      <c r="J213" s="687">
        <v>12</v>
      </c>
      <c r="K213" s="687">
        <v>21</v>
      </c>
      <c r="L213" s="687">
        <v>4</v>
      </c>
      <c r="M213" s="687">
        <v>17</v>
      </c>
      <c r="N213" s="692"/>
      <c r="O213" s="687">
        <v>42</v>
      </c>
      <c r="P213" s="687">
        <v>82</v>
      </c>
      <c r="Q213" s="687">
        <v>124</v>
      </c>
      <c r="R213" s="687">
        <v>74</v>
      </c>
      <c r="S213" s="687">
        <v>50</v>
      </c>
      <c r="T213" s="692"/>
      <c r="U213" s="687">
        <v>64</v>
      </c>
      <c r="V213" s="687">
        <v>385</v>
      </c>
      <c r="W213" s="687">
        <v>449</v>
      </c>
      <c r="X213" s="687">
        <v>393</v>
      </c>
      <c r="Y213" s="687">
        <v>56</v>
      </c>
    </row>
    <row r="214" spans="1:31" s="671" customFormat="1">
      <c r="A214" s="405" t="s">
        <v>102</v>
      </c>
      <c r="B214" s="658" t="s">
        <v>8</v>
      </c>
      <c r="C214" s="662">
        <f>SUM(C215:C220)</f>
        <v>219</v>
      </c>
      <c r="D214" s="662">
        <f>SUM(D215:D220)</f>
        <v>246</v>
      </c>
      <c r="E214" s="662">
        <f>SUM(E215:E220)</f>
        <v>465</v>
      </c>
      <c r="F214" s="662">
        <f>SUM(F215:F220)</f>
        <v>222</v>
      </c>
      <c r="G214" s="662">
        <f>SUM(G215:G220)</f>
        <v>243</v>
      </c>
      <c r="H214" s="662"/>
      <c r="I214" s="663">
        <f>SUM(I215:I220)</f>
        <v>11</v>
      </c>
      <c r="J214" s="662">
        <f>SUM(J215:J220)</f>
        <v>13</v>
      </c>
      <c r="K214" s="662">
        <f>SUM(K215:K220)</f>
        <v>24</v>
      </c>
      <c r="L214" s="662">
        <f>SUM(L215:L220)</f>
        <v>3</v>
      </c>
      <c r="M214" s="662">
        <f>SUM(M215:M220)</f>
        <v>21</v>
      </c>
      <c r="N214" s="664"/>
      <c r="O214" s="662">
        <f>SUM(O215:O220)</f>
        <v>105</v>
      </c>
      <c r="P214" s="662">
        <f>SUM(P215:P220)</f>
        <v>338</v>
      </c>
      <c r="Q214" s="662">
        <f>SUM(Q215:Q220)</f>
        <v>443</v>
      </c>
      <c r="R214" s="662">
        <f>SUM(R215:R220)</f>
        <v>300</v>
      </c>
      <c r="S214" s="662">
        <f>SUM(S215:S220)</f>
        <v>143</v>
      </c>
      <c r="T214" s="664"/>
      <c r="U214" s="662">
        <f>SUM(U215:U220)</f>
        <v>138</v>
      </c>
      <c r="V214" s="662">
        <f>SUM(V215:V220)</f>
        <v>791</v>
      </c>
      <c r="W214" s="662">
        <f>SUM(W215:W220)</f>
        <v>929</v>
      </c>
      <c r="X214" s="662">
        <f>SUM(X215:X220)</f>
        <v>765</v>
      </c>
      <c r="Y214" s="662">
        <f>SUM(Y215:Y220)</f>
        <v>164</v>
      </c>
      <c r="AA214" s="1"/>
      <c r="AB214" s="1"/>
      <c r="AC214" s="1"/>
      <c r="AD214" s="1"/>
      <c r="AE214" s="1"/>
    </row>
    <row r="215" spans="1:31">
      <c r="A215" s="410" t="s">
        <v>102</v>
      </c>
      <c r="B215" s="666" t="s">
        <v>520</v>
      </c>
      <c r="C215" s="674">
        <v>136</v>
      </c>
      <c r="D215" s="674">
        <v>87</v>
      </c>
      <c r="E215" s="674">
        <v>223</v>
      </c>
      <c r="F215" s="674">
        <v>94</v>
      </c>
      <c r="G215" s="662">
        <v>129</v>
      </c>
      <c r="H215" s="662"/>
      <c r="I215" s="686">
        <v>11</v>
      </c>
      <c r="J215" s="674">
        <v>4</v>
      </c>
      <c r="K215" s="674">
        <v>15</v>
      </c>
      <c r="L215" s="674">
        <v>3</v>
      </c>
      <c r="M215" s="662">
        <v>12</v>
      </c>
      <c r="N215" s="664"/>
      <c r="O215" s="674">
        <v>58</v>
      </c>
      <c r="P215" s="674">
        <v>176</v>
      </c>
      <c r="Q215" s="674">
        <v>234</v>
      </c>
      <c r="R215" s="674">
        <v>144</v>
      </c>
      <c r="S215" s="662">
        <v>90</v>
      </c>
      <c r="T215" s="664"/>
      <c r="U215" s="674">
        <v>48</v>
      </c>
      <c r="V215" s="674">
        <v>320</v>
      </c>
      <c r="W215" s="674">
        <v>368</v>
      </c>
      <c r="X215" s="674">
        <v>302</v>
      </c>
      <c r="Y215" s="662">
        <v>66</v>
      </c>
    </row>
    <row r="216" spans="1:31">
      <c r="A216" s="410" t="s">
        <v>102</v>
      </c>
      <c r="B216" s="666" t="s">
        <v>547</v>
      </c>
      <c r="C216" s="674">
        <v>10</v>
      </c>
      <c r="D216" s="674">
        <v>54</v>
      </c>
      <c r="E216" s="674">
        <v>64</v>
      </c>
      <c r="F216" s="674">
        <v>41</v>
      </c>
      <c r="G216" s="674">
        <v>23</v>
      </c>
      <c r="H216" s="674"/>
      <c r="I216" s="686">
        <v>0</v>
      </c>
      <c r="J216" s="674">
        <v>6</v>
      </c>
      <c r="K216" s="674">
        <v>6</v>
      </c>
      <c r="L216" s="674">
        <v>0</v>
      </c>
      <c r="M216" s="674">
        <v>6</v>
      </c>
      <c r="N216" s="691"/>
      <c r="O216" s="674">
        <v>3</v>
      </c>
      <c r="P216" s="674">
        <v>36</v>
      </c>
      <c r="Q216" s="674">
        <v>39</v>
      </c>
      <c r="R216" s="674">
        <v>29</v>
      </c>
      <c r="S216" s="674">
        <v>10</v>
      </c>
      <c r="T216" s="691"/>
      <c r="U216" s="674">
        <v>4</v>
      </c>
      <c r="V216" s="674">
        <v>116</v>
      </c>
      <c r="W216" s="674">
        <v>120</v>
      </c>
      <c r="X216" s="674">
        <v>111</v>
      </c>
      <c r="Y216" s="674">
        <v>9</v>
      </c>
    </row>
    <row r="217" spans="1:31">
      <c r="A217" s="410" t="s">
        <v>102</v>
      </c>
      <c r="B217" s="666" t="s">
        <v>548</v>
      </c>
      <c r="C217" s="674">
        <v>1</v>
      </c>
      <c r="D217" s="674">
        <v>7</v>
      </c>
      <c r="E217" s="674">
        <v>8</v>
      </c>
      <c r="F217" s="674">
        <v>8</v>
      </c>
      <c r="G217" s="674">
        <v>0</v>
      </c>
      <c r="H217" s="674"/>
      <c r="I217" s="686">
        <v>0</v>
      </c>
      <c r="J217" s="674">
        <v>0</v>
      </c>
      <c r="K217" s="674">
        <v>0</v>
      </c>
      <c r="L217" s="674">
        <v>0</v>
      </c>
      <c r="M217" s="674">
        <v>0</v>
      </c>
      <c r="N217" s="691"/>
      <c r="O217" s="674">
        <v>3</v>
      </c>
      <c r="P217" s="674">
        <v>19</v>
      </c>
      <c r="Q217" s="674">
        <v>22</v>
      </c>
      <c r="R217" s="674">
        <v>19</v>
      </c>
      <c r="S217" s="674">
        <v>3</v>
      </c>
      <c r="T217" s="691"/>
      <c r="U217" s="674">
        <v>6</v>
      </c>
      <c r="V217" s="674">
        <v>81</v>
      </c>
      <c r="W217" s="674">
        <v>87</v>
      </c>
      <c r="X217" s="674">
        <v>81</v>
      </c>
      <c r="Y217" s="674">
        <v>6</v>
      </c>
    </row>
    <row r="218" spans="1:31">
      <c r="A218" s="410" t="s">
        <v>102</v>
      </c>
      <c r="B218" s="666" t="s">
        <v>442</v>
      </c>
      <c r="C218" s="674">
        <v>16</v>
      </c>
      <c r="D218" s="674">
        <v>24</v>
      </c>
      <c r="E218" s="674">
        <v>40</v>
      </c>
      <c r="F218" s="674">
        <v>29</v>
      </c>
      <c r="G218" s="674">
        <v>11</v>
      </c>
      <c r="H218" s="674"/>
      <c r="I218" s="686">
        <v>0</v>
      </c>
      <c r="J218" s="674">
        <v>0</v>
      </c>
      <c r="K218" s="674">
        <v>0</v>
      </c>
      <c r="L218" s="674">
        <v>0</v>
      </c>
      <c r="M218" s="674">
        <v>0</v>
      </c>
      <c r="N218" s="691"/>
      <c r="O218" s="674">
        <v>8</v>
      </c>
      <c r="P218" s="674">
        <v>12</v>
      </c>
      <c r="Q218" s="674">
        <v>20</v>
      </c>
      <c r="R218" s="674">
        <v>12</v>
      </c>
      <c r="S218" s="674">
        <v>8</v>
      </c>
      <c r="T218" s="691"/>
      <c r="U218" s="674">
        <v>9</v>
      </c>
      <c r="V218" s="674">
        <v>83</v>
      </c>
      <c r="W218" s="674">
        <v>92</v>
      </c>
      <c r="X218" s="674">
        <v>75</v>
      </c>
      <c r="Y218" s="674">
        <v>17</v>
      </c>
    </row>
    <row r="219" spans="1:31">
      <c r="A219" s="410" t="s">
        <v>102</v>
      </c>
      <c r="B219" s="666" t="s">
        <v>549</v>
      </c>
      <c r="C219" s="674">
        <v>37</v>
      </c>
      <c r="D219" s="674">
        <v>54</v>
      </c>
      <c r="E219" s="674">
        <v>91</v>
      </c>
      <c r="F219" s="674">
        <v>33</v>
      </c>
      <c r="G219" s="674">
        <v>58</v>
      </c>
      <c r="H219" s="674"/>
      <c r="I219" s="686">
        <v>0</v>
      </c>
      <c r="J219" s="674">
        <v>3</v>
      </c>
      <c r="K219" s="674">
        <v>3</v>
      </c>
      <c r="L219" s="674">
        <v>0</v>
      </c>
      <c r="M219" s="674">
        <v>3</v>
      </c>
      <c r="N219" s="691"/>
      <c r="O219" s="674">
        <v>25</v>
      </c>
      <c r="P219" s="674">
        <v>32</v>
      </c>
      <c r="Q219" s="674">
        <v>57</v>
      </c>
      <c r="R219" s="674">
        <v>39</v>
      </c>
      <c r="S219" s="674">
        <v>18</v>
      </c>
      <c r="T219" s="691"/>
      <c r="U219" s="674">
        <v>51</v>
      </c>
      <c r="V219" s="674">
        <v>133</v>
      </c>
      <c r="W219" s="674">
        <v>184</v>
      </c>
      <c r="X219" s="674">
        <v>150</v>
      </c>
      <c r="Y219" s="674">
        <v>34</v>
      </c>
    </row>
    <row r="220" spans="1:31">
      <c r="A220" s="418" t="s">
        <v>102</v>
      </c>
      <c r="B220" s="681" t="s">
        <v>550</v>
      </c>
      <c r="C220" s="693">
        <v>19</v>
      </c>
      <c r="D220" s="693">
        <v>20</v>
      </c>
      <c r="E220" s="693">
        <v>39</v>
      </c>
      <c r="F220" s="693">
        <v>17</v>
      </c>
      <c r="G220" s="693">
        <v>22</v>
      </c>
      <c r="H220" s="693"/>
      <c r="I220" s="694">
        <v>0</v>
      </c>
      <c r="J220" s="693">
        <v>0</v>
      </c>
      <c r="K220" s="693">
        <v>0</v>
      </c>
      <c r="L220" s="693">
        <v>0</v>
      </c>
      <c r="M220" s="693">
        <v>0</v>
      </c>
      <c r="N220" s="695"/>
      <c r="O220" s="693">
        <v>8</v>
      </c>
      <c r="P220" s="693">
        <v>63</v>
      </c>
      <c r="Q220" s="693">
        <v>71</v>
      </c>
      <c r="R220" s="693">
        <v>57</v>
      </c>
      <c r="S220" s="693">
        <v>14</v>
      </c>
      <c r="T220" s="695"/>
      <c r="U220" s="693">
        <v>20</v>
      </c>
      <c r="V220" s="693">
        <v>58</v>
      </c>
      <c r="W220" s="693">
        <v>78</v>
      </c>
      <c r="X220" s="693">
        <v>46</v>
      </c>
      <c r="Y220" s="693">
        <v>32</v>
      </c>
    </row>
    <row r="221" spans="1:31">
      <c r="A221" s="682" t="s">
        <v>353</v>
      </c>
      <c r="U221" s="159"/>
      <c r="V221" s="159"/>
      <c r="W221" s="159"/>
      <c r="X221" s="159"/>
      <c r="Y221" s="224" t="s">
        <v>354</v>
      </c>
    </row>
    <row r="222" spans="1:31" ht="21">
      <c r="S222" s="683"/>
      <c r="T222" s="684"/>
      <c r="U222" s="684"/>
      <c r="V222" s="684"/>
      <c r="W222" s="684"/>
      <c r="X222" s="685" t="s">
        <v>551</v>
      </c>
      <c r="Y222" s="685" t="s">
        <v>552</v>
      </c>
    </row>
    <row r="226" spans="1:33">
      <c r="AD226" s="500"/>
    </row>
    <row r="227" spans="1:33">
      <c r="AD227" s="500"/>
      <c r="AE227" s="658" t="s">
        <v>553</v>
      </c>
      <c r="AF227" s="658" t="s">
        <v>554</v>
      </c>
      <c r="AG227" s="658" t="s">
        <v>555</v>
      </c>
    </row>
    <row r="228" spans="1:33">
      <c r="AD228" s="658" t="s">
        <v>556</v>
      </c>
      <c r="AE228" s="49">
        <f>E5+K5</f>
        <v>8391</v>
      </c>
      <c r="AF228" s="49">
        <f>Q5</f>
        <v>8861</v>
      </c>
      <c r="AG228" s="49">
        <f>W5</f>
        <v>11850</v>
      </c>
    </row>
    <row r="229" spans="1:33">
      <c r="AD229" s="658" t="s">
        <v>557</v>
      </c>
      <c r="AE229" s="49">
        <f>E6+K6</f>
        <v>5023</v>
      </c>
      <c r="AF229" s="49">
        <f>Q6</f>
        <v>6144</v>
      </c>
      <c r="AG229" s="49">
        <f>W6</f>
        <v>3903</v>
      </c>
    </row>
    <row r="230" spans="1:33">
      <c r="AD230" s="658" t="s">
        <v>558</v>
      </c>
      <c r="AE230" s="49">
        <f>E14+K14</f>
        <v>3368</v>
      </c>
      <c r="AF230" s="49">
        <f>Q14</f>
        <v>2717</v>
      </c>
      <c r="AG230" s="49">
        <f>W14</f>
        <v>7947</v>
      </c>
    </row>
    <row r="237" spans="1:33">
      <c r="A237" s="1"/>
      <c r="AE237" s="500" t="s">
        <v>559</v>
      </c>
    </row>
    <row r="238" spans="1:33">
      <c r="A238" s="1"/>
      <c r="AD238" s="500"/>
      <c r="AE238" s="658" t="s">
        <v>553</v>
      </c>
      <c r="AF238" s="658" t="s">
        <v>554</v>
      </c>
      <c r="AG238" s="658" t="s">
        <v>555</v>
      </c>
    </row>
    <row r="239" spans="1:33">
      <c r="A239" s="1"/>
      <c r="AD239" s="658" t="s">
        <v>556</v>
      </c>
      <c r="AE239" s="49">
        <f>AE253/AE228*100</f>
        <v>49.767608151590991</v>
      </c>
      <c r="AF239" s="49">
        <f>AF253/AF228*100</f>
        <v>68.931271865477939</v>
      </c>
      <c r="AG239" s="49">
        <f t="shared" ref="AG239" si="1">AG253/AG228*100</f>
        <v>80.244725738396625</v>
      </c>
    </row>
    <row r="240" spans="1:33">
      <c r="A240" s="1"/>
      <c r="AD240" s="658" t="s">
        <v>557</v>
      </c>
      <c r="AE240" s="49">
        <f t="shared" ref="AE240:AG241" si="2">AE254/AE229*100</f>
        <v>48.835357356161659</v>
      </c>
      <c r="AF240" s="49">
        <f t="shared" si="2"/>
        <v>71.012369791666657</v>
      </c>
      <c r="AG240" s="49">
        <f t="shared" si="2"/>
        <v>79.707916986933128</v>
      </c>
    </row>
    <row r="241" spans="1:33">
      <c r="A241" s="1"/>
      <c r="AD241" s="658" t="s">
        <v>558</v>
      </c>
      <c r="AE241" s="49">
        <f t="shared" si="2"/>
        <v>51.157957244655584</v>
      </c>
      <c r="AF241" s="49">
        <f t="shared" si="2"/>
        <v>64.225248435774745</v>
      </c>
      <c r="AG241" s="49">
        <f t="shared" si="2"/>
        <v>80.508367937586513</v>
      </c>
    </row>
    <row r="242" spans="1:33">
      <c r="A242" s="1"/>
      <c r="AD242" s="500"/>
    </row>
    <row r="243" spans="1:33">
      <c r="A243" s="1"/>
      <c r="AD243" s="500"/>
      <c r="AE243" s="1" t="s">
        <v>560</v>
      </c>
    </row>
    <row r="244" spans="1:33">
      <c r="A244" s="1"/>
      <c r="AD244" s="500"/>
      <c r="AE244" s="658" t="s">
        <v>553</v>
      </c>
      <c r="AF244" s="658" t="s">
        <v>554</v>
      </c>
      <c r="AG244" s="658" t="s">
        <v>555</v>
      </c>
    </row>
    <row r="245" spans="1:33">
      <c r="A245" s="1"/>
      <c r="AD245" s="658" t="s">
        <v>556</v>
      </c>
      <c r="AE245" s="665">
        <f>G5+M5</f>
        <v>4215</v>
      </c>
      <c r="AF245" s="665">
        <f>S5</f>
        <v>2753</v>
      </c>
      <c r="AG245" s="665">
        <f>Y5</f>
        <v>2341</v>
      </c>
    </row>
    <row r="246" spans="1:33">
      <c r="A246" s="1"/>
      <c r="AD246" s="658" t="s">
        <v>557</v>
      </c>
      <c r="AE246" s="665">
        <f>G6+M6</f>
        <v>2570</v>
      </c>
      <c r="AF246" s="665">
        <f>S6</f>
        <v>1781</v>
      </c>
      <c r="AG246" s="665">
        <f>Y6</f>
        <v>792</v>
      </c>
    </row>
    <row r="247" spans="1:33">
      <c r="A247" s="1"/>
      <c r="AD247" s="658" t="s">
        <v>558</v>
      </c>
      <c r="AE247" s="665">
        <f>G14+M14</f>
        <v>1645</v>
      </c>
      <c r="AF247" s="665">
        <f>S14</f>
        <v>972</v>
      </c>
      <c r="AG247" s="665">
        <f>Y14</f>
        <v>1549</v>
      </c>
    </row>
    <row r="248" spans="1:33">
      <c r="A248" s="1"/>
      <c r="AD248" s="658"/>
      <c r="AE248" s="665"/>
      <c r="AF248" s="665"/>
      <c r="AG248" s="665"/>
    </row>
    <row r="249" spans="1:33">
      <c r="A249" s="1"/>
      <c r="AD249" s="500"/>
    </row>
    <row r="250" spans="1:33">
      <c r="A250" s="1"/>
      <c r="AD250" s="500"/>
    </row>
    <row r="251" spans="1:33">
      <c r="A251" s="1"/>
      <c r="AD251" s="500"/>
      <c r="AE251" s="1" t="s">
        <v>561</v>
      </c>
    </row>
    <row r="252" spans="1:33">
      <c r="A252" s="1"/>
      <c r="AD252" s="500"/>
      <c r="AE252" s="658" t="s">
        <v>553</v>
      </c>
      <c r="AF252" s="658" t="s">
        <v>554</v>
      </c>
      <c r="AG252" s="658" t="s">
        <v>555</v>
      </c>
    </row>
    <row r="253" spans="1:33">
      <c r="A253" s="1"/>
      <c r="AD253" s="658" t="s">
        <v>556</v>
      </c>
      <c r="AE253" s="665">
        <f>F5+L5</f>
        <v>4176</v>
      </c>
      <c r="AF253" s="665">
        <f>R5</f>
        <v>6108</v>
      </c>
      <c r="AG253" s="665">
        <f>X5</f>
        <v>9509</v>
      </c>
    </row>
    <row r="254" spans="1:33">
      <c r="A254" s="1"/>
      <c r="AD254" s="658" t="s">
        <v>557</v>
      </c>
      <c r="AE254" s="665">
        <f>F6+L6</f>
        <v>2453</v>
      </c>
      <c r="AF254" s="665">
        <f>R6</f>
        <v>4363</v>
      </c>
      <c r="AG254" s="665">
        <f>X6</f>
        <v>3111</v>
      </c>
    </row>
    <row r="255" spans="1:33" ht="21">
      <c r="A255" s="1260"/>
      <c r="B255" s="1260"/>
      <c r="C255" s="1260"/>
      <c r="D255" s="1260"/>
      <c r="E255" s="1260"/>
      <c r="F255" s="1260"/>
      <c r="G255" s="1260"/>
      <c r="H255" s="1260"/>
      <c r="I255" s="1260"/>
      <c r="J255" s="1260"/>
      <c r="K255" s="1260"/>
      <c r="L255" s="1260"/>
      <c r="M255" s="1260"/>
      <c r="N255" s="1260"/>
      <c r="O255" s="1260"/>
      <c r="P255" s="1260"/>
      <c r="Q255" s="1260"/>
      <c r="R255" s="1260"/>
      <c r="S255" s="1260"/>
      <c r="T255" s="1260"/>
      <c r="U255" s="1260"/>
      <c r="V255" s="1260"/>
      <c r="W255" s="1260"/>
      <c r="X255" s="1260"/>
      <c r="Y255" s="1260"/>
      <c r="AD255" s="658" t="s">
        <v>558</v>
      </c>
      <c r="AE255" s="665">
        <f>F14+L14</f>
        <v>1723</v>
      </c>
      <c r="AF255" s="665">
        <f>R14</f>
        <v>1745</v>
      </c>
      <c r="AG255" s="665">
        <f>X14</f>
        <v>6398</v>
      </c>
    </row>
    <row r="256" spans="1:33">
      <c r="A256" s="1223"/>
      <c r="B256" s="1223"/>
      <c r="C256" s="1223"/>
      <c r="D256" s="1223"/>
      <c r="E256" s="1223"/>
      <c r="F256" s="1223"/>
      <c r="G256" s="1223"/>
      <c r="H256" s="1223"/>
      <c r="I256" s="1223"/>
      <c r="J256" s="1223"/>
      <c r="K256" s="1223"/>
      <c r="L256" s="1223"/>
      <c r="M256" s="1223"/>
      <c r="N256" s="1223"/>
      <c r="O256" s="1223"/>
      <c r="P256" s="1223"/>
      <c r="Q256" s="1223"/>
      <c r="R256" s="1223"/>
      <c r="S256" s="1223"/>
      <c r="T256" s="1223"/>
      <c r="U256" s="1223"/>
      <c r="V256" s="1223"/>
      <c r="W256" s="1223"/>
      <c r="X256" s="1223"/>
      <c r="Y256" s="1223"/>
      <c r="AD256" s="500"/>
    </row>
    <row r="257" spans="1:33">
      <c r="A257" s="1261"/>
      <c r="B257" s="1261"/>
      <c r="C257" s="1262"/>
      <c r="D257" s="1262"/>
      <c r="E257" s="1262"/>
      <c r="F257" s="1262"/>
      <c r="G257" s="1262"/>
      <c r="H257" s="669"/>
      <c r="I257" s="1262"/>
      <c r="J257" s="1262"/>
      <c r="K257" s="1262"/>
      <c r="L257" s="1262"/>
      <c r="M257" s="1262"/>
      <c r="N257" s="669"/>
      <c r="O257" s="1262"/>
      <c r="P257" s="1262"/>
      <c r="Q257" s="1262"/>
      <c r="R257" s="1262"/>
      <c r="S257" s="1262"/>
      <c r="T257" s="669"/>
      <c r="U257" s="1262"/>
      <c r="V257" s="1262"/>
      <c r="W257" s="1262"/>
      <c r="X257" s="1262"/>
      <c r="Y257" s="1262"/>
      <c r="AD257" s="500" t="s">
        <v>8</v>
      </c>
    </row>
    <row r="258" spans="1:33">
      <c r="A258" s="1261"/>
      <c r="B258" s="1261"/>
      <c r="C258" s="672"/>
      <c r="D258" s="672"/>
      <c r="E258" s="672"/>
      <c r="F258" s="672"/>
      <c r="G258" s="672"/>
      <c r="H258" s="672"/>
      <c r="I258" s="672"/>
      <c r="J258" s="672"/>
      <c r="K258" s="672"/>
      <c r="L258" s="669"/>
      <c r="M258" s="672"/>
      <c r="N258" s="672"/>
      <c r="O258" s="672"/>
      <c r="P258" s="672"/>
      <c r="Q258" s="672"/>
      <c r="R258" s="672"/>
      <c r="S258" s="672"/>
      <c r="T258" s="672"/>
      <c r="U258" s="672"/>
      <c r="V258" s="672"/>
      <c r="W258" s="672"/>
      <c r="X258" s="672"/>
      <c r="Y258" s="672"/>
      <c r="AD258" s="500"/>
      <c r="AE258" s="1" t="s">
        <v>70</v>
      </c>
      <c r="AF258" s="1" t="s">
        <v>71</v>
      </c>
      <c r="AG258" s="1" t="s">
        <v>72</v>
      </c>
    </row>
    <row r="259" spans="1:33">
      <c r="A259" s="405"/>
      <c r="B259" s="658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59"/>
      <c r="P259" s="659"/>
      <c r="Q259" s="659"/>
      <c r="R259" s="659"/>
      <c r="S259" s="659"/>
      <c r="T259" s="659"/>
      <c r="U259" s="659"/>
      <c r="V259" s="659"/>
      <c r="W259" s="659"/>
      <c r="X259" s="659"/>
      <c r="Y259" s="659"/>
      <c r="AD259" s="1" t="s">
        <v>562</v>
      </c>
      <c r="AE259" s="665">
        <f>C5+I5+O5+U5</f>
        <v>8946</v>
      </c>
      <c r="AF259" s="665">
        <f>C6+I6+O6+U6</f>
        <v>4807</v>
      </c>
      <c r="AG259" s="665">
        <f>C14+I14+O14+U14</f>
        <v>4139</v>
      </c>
    </row>
    <row r="260" spans="1:33" ht="21">
      <c r="A260" s="1260"/>
      <c r="B260" s="1260"/>
      <c r="C260" s="1260"/>
      <c r="D260" s="1260"/>
      <c r="E260" s="1260"/>
      <c r="F260" s="1260"/>
      <c r="G260" s="1260"/>
      <c r="H260" s="1260"/>
      <c r="I260" s="1260"/>
      <c r="J260" s="1260"/>
      <c r="K260" s="1260"/>
      <c r="L260" s="1260"/>
      <c r="M260" s="1260"/>
      <c r="N260" s="1260"/>
      <c r="O260" s="1260"/>
      <c r="P260" s="1260"/>
      <c r="Q260" s="1260"/>
      <c r="R260" s="1260"/>
      <c r="S260" s="1260"/>
      <c r="T260" s="1260"/>
      <c r="U260" s="1260"/>
      <c r="V260" s="1260"/>
      <c r="W260" s="1260"/>
      <c r="X260" s="1260"/>
      <c r="Y260" s="1260"/>
      <c r="AD260" s="1" t="s">
        <v>563</v>
      </c>
      <c r="AE260" s="665">
        <f>D5+J5+P5+V5</f>
        <v>20156</v>
      </c>
      <c r="AF260" s="665">
        <f>D6+J6+P6+V6</f>
        <v>10263</v>
      </c>
      <c r="AG260" s="665">
        <f>D14+J14+P14+V14</f>
        <v>9893</v>
      </c>
    </row>
    <row r="261" spans="1:33">
      <c r="A261" s="1223"/>
      <c r="B261" s="1223"/>
      <c r="C261" s="1223"/>
      <c r="D261" s="1223"/>
      <c r="E261" s="1223"/>
      <c r="F261" s="1223"/>
      <c r="G261" s="1223"/>
      <c r="H261" s="1223"/>
      <c r="I261" s="1223"/>
      <c r="J261" s="1223"/>
      <c r="K261" s="1223"/>
      <c r="L261" s="1223"/>
      <c r="M261" s="1223"/>
      <c r="N261" s="1223"/>
      <c r="O261" s="1223"/>
      <c r="P261" s="1223"/>
      <c r="Q261" s="1223"/>
      <c r="R261" s="1223"/>
      <c r="S261" s="1223"/>
      <c r="T261" s="1223"/>
      <c r="U261" s="1223"/>
      <c r="V261" s="1223"/>
      <c r="W261" s="1223"/>
      <c r="X261" s="1223"/>
      <c r="Y261" s="1223"/>
      <c r="AD261" s="1" t="s">
        <v>561</v>
      </c>
      <c r="AE261" s="665">
        <f>F5+L5+R5+X5</f>
        <v>19793</v>
      </c>
      <c r="AF261" s="665">
        <f>F6+L6+R6+X6</f>
        <v>9927</v>
      </c>
      <c r="AG261" s="665">
        <f>F14+L14+R14+X14</f>
        <v>9866</v>
      </c>
    </row>
    <row r="262" spans="1:33">
      <c r="A262" s="1261"/>
      <c r="B262" s="1261"/>
      <c r="C262" s="1262"/>
      <c r="D262" s="1262"/>
      <c r="E262" s="1262"/>
      <c r="F262" s="1262"/>
      <c r="G262" s="1262"/>
      <c r="H262" s="805"/>
      <c r="I262" s="1262"/>
      <c r="J262" s="1262"/>
      <c r="K262" s="1262"/>
      <c r="L262" s="1262"/>
      <c r="M262" s="1262"/>
      <c r="N262" s="805"/>
      <c r="O262" s="1262"/>
      <c r="P262" s="1262"/>
      <c r="Q262" s="1262"/>
      <c r="R262" s="1262"/>
      <c r="S262" s="1262"/>
      <c r="T262" s="805"/>
      <c r="U262" s="1262"/>
      <c r="V262" s="1262"/>
      <c r="W262" s="1262"/>
      <c r="X262" s="1262"/>
      <c r="Y262" s="1262"/>
      <c r="AD262" s="1" t="s">
        <v>560</v>
      </c>
      <c r="AE262" s="665">
        <f>G5+M5+S5+Y5</f>
        <v>9309</v>
      </c>
      <c r="AF262" s="665">
        <f>G6+M6+S6+Y6</f>
        <v>5143</v>
      </c>
      <c r="AG262" s="665">
        <f>G14+M14+S14+Y14</f>
        <v>4166</v>
      </c>
    </row>
    <row r="263" spans="1:33">
      <c r="A263" s="1261"/>
      <c r="B263" s="1261"/>
      <c r="C263" s="672"/>
      <c r="D263" s="672"/>
      <c r="E263" s="672"/>
      <c r="F263" s="672"/>
      <c r="G263" s="672"/>
      <c r="H263" s="672"/>
      <c r="I263" s="672"/>
      <c r="J263" s="672"/>
      <c r="K263" s="672"/>
      <c r="L263" s="805"/>
      <c r="M263" s="672"/>
      <c r="N263" s="672"/>
      <c r="O263" s="672"/>
      <c r="P263" s="672"/>
      <c r="Q263" s="672"/>
      <c r="R263" s="672"/>
      <c r="S263" s="672"/>
      <c r="T263" s="672"/>
      <c r="U263" s="672"/>
      <c r="V263" s="672"/>
      <c r="W263" s="672"/>
      <c r="X263" s="672"/>
      <c r="Y263" s="672"/>
      <c r="AD263" s="500"/>
      <c r="AE263" s="658"/>
      <c r="AF263" s="658"/>
      <c r="AG263" s="658"/>
    </row>
    <row r="264" spans="1:33">
      <c r="A264" s="804"/>
      <c r="B264" s="658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59"/>
      <c r="P264" s="659"/>
      <c r="Q264" s="659"/>
      <c r="R264" s="659"/>
      <c r="S264" s="659"/>
      <c r="T264" s="659"/>
      <c r="U264" s="659"/>
      <c r="V264" s="659"/>
      <c r="W264" s="659"/>
      <c r="X264" s="659"/>
      <c r="Y264" s="659"/>
    </row>
    <row r="265" spans="1:33">
      <c r="A265" s="1259"/>
      <c r="B265" s="658"/>
      <c r="C265" s="662"/>
      <c r="D265" s="662"/>
      <c r="E265" s="662"/>
      <c r="F265" s="662"/>
      <c r="G265" s="662"/>
      <c r="H265" s="662"/>
      <c r="I265" s="662"/>
      <c r="J265" s="662"/>
      <c r="K265" s="662"/>
      <c r="L265" s="662"/>
      <c r="M265" s="662"/>
      <c r="N265" s="662"/>
      <c r="O265" s="662"/>
      <c r="P265" s="662"/>
      <c r="Q265" s="662"/>
      <c r="R265" s="662"/>
      <c r="S265" s="662"/>
      <c r="T265" s="662"/>
      <c r="U265" s="662"/>
      <c r="V265" s="662"/>
      <c r="W265" s="662"/>
      <c r="X265" s="662"/>
      <c r="Y265" s="662"/>
    </row>
    <row r="266" spans="1:33">
      <c r="A266" s="1259"/>
      <c r="B266" s="658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</row>
    <row r="267" spans="1:33">
      <c r="A267" s="410"/>
      <c r="B267" s="666"/>
      <c r="C267" s="659"/>
      <c r="D267" s="674"/>
      <c r="E267" s="674"/>
      <c r="F267" s="674"/>
      <c r="G267" s="662"/>
      <c r="H267" s="662"/>
      <c r="I267" s="674"/>
      <c r="J267" s="674"/>
      <c r="K267" s="674"/>
      <c r="L267" s="674"/>
      <c r="M267" s="662"/>
      <c r="N267" s="662"/>
      <c r="O267" s="674"/>
      <c r="P267" s="674"/>
      <c r="Q267" s="674"/>
      <c r="R267" s="674"/>
      <c r="S267" s="662"/>
      <c r="T267" s="662"/>
      <c r="U267" s="674"/>
      <c r="V267" s="674"/>
      <c r="W267" s="674"/>
      <c r="X267" s="674"/>
      <c r="Y267" s="662"/>
    </row>
    <row r="268" spans="1:33">
      <c r="A268" s="410"/>
      <c r="B268" s="666"/>
      <c r="C268" s="674"/>
      <c r="D268" s="674"/>
      <c r="E268" s="674"/>
      <c r="F268" s="674"/>
      <c r="G268" s="662"/>
      <c r="H268" s="662"/>
      <c r="I268" s="674"/>
      <c r="J268" s="674"/>
      <c r="K268" s="674"/>
      <c r="L268" s="674"/>
      <c r="M268" s="662"/>
      <c r="N268" s="662"/>
      <c r="O268" s="674"/>
      <c r="P268" s="674"/>
      <c r="Q268" s="674"/>
      <c r="R268" s="674"/>
      <c r="S268" s="662"/>
      <c r="T268" s="662"/>
      <c r="U268" s="674"/>
      <c r="V268" s="674"/>
      <c r="W268" s="674"/>
      <c r="X268" s="674"/>
      <c r="Y268" s="662"/>
      <c r="AD268" s="269"/>
      <c r="AE268" s="269" t="s">
        <v>364</v>
      </c>
      <c r="AF268" s="269" t="s">
        <v>564</v>
      </c>
      <c r="AG268" s="1" t="s">
        <v>565</v>
      </c>
    </row>
    <row r="269" spans="1:33">
      <c r="A269" s="410"/>
      <c r="B269" s="666"/>
      <c r="C269" s="674"/>
      <c r="D269" s="674"/>
      <c r="E269" s="674"/>
      <c r="F269" s="674"/>
      <c r="G269" s="662"/>
      <c r="H269" s="662"/>
      <c r="I269" s="674"/>
      <c r="J269" s="674"/>
      <c r="K269" s="674"/>
      <c r="L269" s="674"/>
      <c r="M269" s="662"/>
      <c r="N269" s="662"/>
      <c r="O269" s="674"/>
      <c r="P269" s="674"/>
      <c r="Q269" s="674"/>
      <c r="R269" s="674"/>
      <c r="S269" s="662"/>
      <c r="T269" s="662"/>
      <c r="U269" s="674"/>
      <c r="V269" s="674"/>
      <c r="W269" s="674"/>
      <c r="X269" s="674"/>
      <c r="Y269" s="662"/>
      <c r="AD269" s="405" t="s">
        <v>97</v>
      </c>
      <c r="AE269" s="1">
        <f>F15+L15+R15+X15</f>
        <v>372</v>
      </c>
      <c r="AF269" s="1">
        <f>G15+M15+S15+Y15</f>
        <v>209</v>
      </c>
      <c r="AG269" s="1">
        <f>E15+K15+Q15+W15</f>
        <v>581</v>
      </c>
    </row>
    <row r="270" spans="1:33">
      <c r="A270" s="410"/>
      <c r="B270" s="666"/>
      <c r="C270" s="674"/>
      <c r="D270" s="674"/>
      <c r="E270" s="674"/>
      <c r="F270" s="674"/>
      <c r="G270" s="662"/>
      <c r="H270" s="662"/>
      <c r="I270" s="674"/>
      <c r="J270" s="674"/>
      <c r="K270" s="674"/>
      <c r="L270" s="674"/>
      <c r="M270" s="662"/>
      <c r="N270" s="662"/>
      <c r="O270" s="674"/>
      <c r="P270" s="674"/>
      <c r="Q270" s="674"/>
      <c r="R270" s="674"/>
      <c r="S270" s="662"/>
      <c r="T270" s="662"/>
      <c r="U270" s="674"/>
      <c r="V270" s="674"/>
      <c r="W270" s="674"/>
      <c r="X270" s="674"/>
      <c r="Y270" s="662"/>
      <c r="AD270" s="405" t="s">
        <v>99</v>
      </c>
      <c r="AE270" s="1">
        <f>F30+L30+R30+X30</f>
        <v>592</v>
      </c>
      <c r="AF270" s="1">
        <f>G30+M30+S30+Y30</f>
        <v>272</v>
      </c>
      <c r="AG270" s="1">
        <f>E30+K30+Q30+W30</f>
        <v>864</v>
      </c>
    </row>
    <row r="271" spans="1:33">
      <c r="A271" s="410"/>
      <c r="B271" s="666"/>
      <c r="C271" s="674"/>
      <c r="D271" s="674"/>
      <c r="E271" s="674"/>
      <c r="F271" s="674"/>
      <c r="G271" s="662"/>
      <c r="H271" s="662"/>
      <c r="I271" s="674"/>
      <c r="J271" s="674"/>
      <c r="K271" s="674"/>
      <c r="L271" s="674"/>
      <c r="M271" s="662"/>
      <c r="N271" s="662"/>
      <c r="O271" s="674"/>
      <c r="P271" s="674"/>
      <c r="Q271" s="674"/>
      <c r="R271" s="674"/>
      <c r="S271" s="662"/>
      <c r="T271" s="662"/>
      <c r="U271" s="674"/>
      <c r="V271" s="674"/>
      <c r="W271" s="674"/>
      <c r="X271" s="674"/>
      <c r="Y271" s="662"/>
      <c r="AD271" s="405" t="s">
        <v>101</v>
      </c>
      <c r="AE271" s="1">
        <f>F44+L44+R44+X44</f>
        <v>318</v>
      </c>
      <c r="AF271" s="1">
        <f>G44+M44+S44+Y44</f>
        <v>126</v>
      </c>
      <c r="AG271" s="1">
        <f>E44+K44+Q44+W44</f>
        <v>444</v>
      </c>
    </row>
    <row r="272" spans="1:33">
      <c r="A272" s="410"/>
      <c r="B272" s="666"/>
      <c r="C272" s="674"/>
      <c r="D272" s="674"/>
      <c r="E272" s="674"/>
      <c r="F272" s="674"/>
      <c r="G272" s="662"/>
      <c r="H272" s="662"/>
      <c r="I272" s="674"/>
      <c r="J272" s="674"/>
      <c r="K272" s="674"/>
      <c r="L272" s="674"/>
      <c r="M272" s="662"/>
      <c r="N272" s="662"/>
      <c r="O272" s="674"/>
      <c r="P272" s="674"/>
      <c r="Q272" s="674"/>
      <c r="R272" s="674"/>
      <c r="S272" s="662"/>
      <c r="T272" s="662"/>
      <c r="U272" s="674"/>
      <c r="V272" s="674"/>
      <c r="W272" s="674"/>
      <c r="X272" s="674"/>
      <c r="Y272" s="662"/>
      <c r="AD272" s="405" t="s">
        <v>103</v>
      </c>
      <c r="AE272" s="1">
        <f>F59+L59+R59+X59</f>
        <v>391</v>
      </c>
      <c r="AF272" s="1">
        <f>G59+M59+S59+Y59</f>
        <v>288</v>
      </c>
      <c r="AG272" s="1">
        <f>E59+K59+Q59+W59</f>
        <v>679</v>
      </c>
    </row>
    <row r="273" spans="1:33">
      <c r="A273" s="670"/>
      <c r="B273" s="658"/>
      <c r="C273" s="662"/>
      <c r="D273" s="662"/>
      <c r="E273" s="662"/>
      <c r="F273" s="662"/>
      <c r="G273" s="662"/>
      <c r="H273" s="662"/>
      <c r="I273" s="662"/>
      <c r="J273" s="662"/>
      <c r="K273" s="662"/>
      <c r="L273" s="662"/>
      <c r="M273" s="662"/>
      <c r="N273" s="662"/>
      <c r="O273" s="662"/>
      <c r="P273" s="662"/>
      <c r="Q273" s="662"/>
      <c r="R273" s="662"/>
      <c r="S273" s="662"/>
      <c r="T273" s="662"/>
      <c r="U273" s="662"/>
      <c r="V273" s="662"/>
      <c r="W273" s="662"/>
      <c r="X273" s="662"/>
      <c r="Y273" s="662"/>
      <c r="AD273" s="405" t="s">
        <v>105</v>
      </c>
      <c r="AE273" s="1">
        <f>F73+L73+R73+X73</f>
        <v>623</v>
      </c>
      <c r="AF273" s="1">
        <f>G73+M73+S73+Y73</f>
        <v>145</v>
      </c>
      <c r="AG273" s="1">
        <f>E73+K73+Q73+W73</f>
        <v>768</v>
      </c>
    </row>
    <row r="274" spans="1:33">
      <c r="A274" s="804"/>
      <c r="B274" s="658"/>
      <c r="C274" s="662"/>
      <c r="D274" s="662"/>
      <c r="E274" s="662"/>
      <c r="F274" s="662"/>
      <c r="G274" s="662"/>
      <c r="H274" s="662"/>
      <c r="I274" s="662"/>
      <c r="J274" s="662"/>
      <c r="K274" s="662"/>
      <c r="L274" s="662"/>
      <c r="M274" s="662"/>
      <c r="N274" s="662"/>
      <c r="O274" s="662"/>
      <c r="P274" s="662"/>
      <c r="Q274" s="662"/>
      <c r="R274" s="662"/>
      <c r="S274" s="662"/>
      <c r="T274" s="662"/>
      <c r="U274" s="662"/>
      <c r="V274" s="662"/>
      <c r="W274" s="662"/>
      <c r="X274" s="662"/>
      <c r="Y274" s="662"/>
      <c r="AD274" s="405" t="s">
        <v>107</v>
      </c>
      <c r="AE274" s="1">
        <f>F89+L89+R89+X89</f>
        <v>333</v>
      </c>
      <c r="AF274" s="1">
        <f>G89+M89+S89+Y89</f>
        <v>124</v>
      </c>
      <c r="AG274" s="1">
        <f>E89+K89+Q89+W89</f>
        <v>457</v>
      </c>
    </row>
    <row r="275" spans="1:33">
      <c r="A275" s="410"/>
      <c r="B275" s="666"/>
      <c r="C275" s="674"/>
      <c r="D275" s="674"/>
      <c r="E275" s="674"/>
      <c r="F275" s="674"/>
      <c r="G275" s="674"/>
      <c r="H275" s="674"/>
      <c r="I275" s="674"/>
      <c r="J275" s="674"/>
      <c r="K275" s="674"/>
      <c r="L275" s="674"/>
      <c r="M275" s="674"/>
      <c r="N275" s="674"/>
      <c r="O275" s="674"/>
      <c r="P275" s="674"/>
      <c r="Q275" s="674"/>
      <c r="R275" s="674"/>
      <c r="S275" s="674"/>
      <c r="T275" s="674"/>
      <c r="U275" s="674"/>
      <c r="V275" s="674"/>
      <c r="W275" s="674"/>
      <c r="X275" s="674"/>
      <c r="Y275" s="674"/>
      <c r="AD275" s="405" t="s">
        <v>109</v>
      </c>
      <c r="AE275" s="1">
        <f>F103+L103+R103+X103</f>
        <v>588</v>
      </c>
      <c r="AF275" s="1">
        <f>G103+M103+S103+Y103</f>
        <v>206</v>
      </c>
      <c r="AG275" s="1">
        <f>E103+K103+Q103+W103</f>
        <v>794</v>
      </c>
    </row>
    <row r="276" spans="1:33">
      <c r="A276" s="410"/>
      <c r="B276" s="666"/>
      <c r="C276" s="674"/>
      <c r="D276" s="674"/>
      <c r="E276" s="674"/>
      <c r="F276" s="674"/>
      <c r="G276" s="674"/>
      <c r="H276" s="674"/>
      <c r="I276" s="674"/>
      <c r="J276" s="674"/>
      <c r="K276" s="674"/>
      <c r="L276" s="674"/>
      <c r="M276" s="674"/>
      <c r="N276" s="674"/>
      <c r="O276" s="674"/>
      <c r="P276" s="674"/>
      <c r="Q276" s="674"/>
      <c r="R276" s="674"/>
      <c r="S276" s="674"/>
      <c r="T276" s="674"/>
      <c r="U276" s="674"/>
      <c r="V276" s="674"/>
      <c r="W276" s="674"/>
      <c r="X276" s="674"/>
      <c r="Y276" s="674"/>
      <c r="AD276" s="405" t="s">
        <v>111</v>
      </c>
      <c r="AE276" s="1">
        <f>F108+L108+R108+X108</f>
        <v>652</v>
      </c>
      <c r="AF276" s="1">
        <f>G108+M108+S108+Y108</f>
        <v>118</v>
      </c>
      <c r="AG276" s="1">
        <f>E108+K108+Q108+W108</f>
        <v>770</v>
      </c>
    </row>
    <row r="277" spans="1:33">
      <c r="A277" s="410"/>
      <c r="B277" s="666"/>
      <c r="C277" s="674"/>
      <c r="D277" s="674"/>
      <c r="E277" s="674"/>
      <c r="F277" s="674"/>
      <c r="G277" s="674"/>
      <c r="H277" s="674"/>
      <c r="I277" s="674"/>
      <c r="J277" s="674"/>
      <c r="K277" s="674"/>
      <c r="L277" s="674"/>
      <c r="M277" s="674"/>
      <c r="N277" s="674"/>
      <c r="O277" s="674"/>
      <c r="P277" s="674"/>
      <c r="Q277" s="674"/>
      <c r="R277" s="674"/>
      <c r="S277" s="674"/>
      <c r="T277" s="674"/>
      <c r="U277" s="674"/>
      <c r="V277" s="674"/>
      <c r="W277" s="674"/>
      <c r="X277" s="674"/>
      <c r="Y277" s="674"/>
      <c r="AD277" s="405" t="s">
        <v>113</v>
      </c>
      <c r="AE277" s="1">
        <f>F118+L118+R118+X118</f>
        <v>376</v>
      </c>
      <c r="AF277" s="1">
        <f>G118+M118+S118+Y118</f>
        <v>131</v>
      </c>
      <c r="AG277" s="1">
        <f>E118+K118+Q118+W118</f>
        <v>507</v>
      </c>
    </row>
    <row r="278" spans="1:33">
      <c r="A278" s="410"/>
      <c r="B278" s="666"/>
      <c r="C278" s="674"/>
      <c r="D278" s="674"/>
      <c r="E278" s="674"/>
      <c r="F278" s="674"/>
      <c r="G278" s="674"/>
      <c r="H278" s="674"/>
      <c r="I278" s="674"/>
      <c r="J278" s="674"/>
      <c r="K278" s="674"/>
      <c r="L278" s="674"/>
      <c r="M278" s="674"/>
      <c r="N278" s="674"/>
      <c r="O278" s="674"/>
      <c r="P278" s="674"/>
      <c r="Q278" s="674"/>
      <c r="R278" s="674"/>
      <c r="S278" s="674"/>
      <c r="T278" s="674"/>
      <c r="U278" s="674"/>
      <c r="V278" s="674"/>
      <c r="W278" s="674"/>
      <c r="X278" s="674"/>
      <c r="Y278" s="674"/>
      <c r="AD278" s="405" t="s">
        <v>115</v>
      </c>
      <c r="AE278" s="1">
        <f>F127+L127+R127+X127</f>
        <v>393</v>
      </c>
      <c r="AF278" s="1">
        <f>G127+M127+S127+Y127</f>
        <v>156</v>
      </c>
      <c r="AG278" s="1">
        <f>E127+K127+Q127+W127</f>
        <v>549</v>
      </c>
    </row>
    <row r="279" spans="1:33">
      <c r="A279" s="410"/>
      <c r="B279" s="666"/>
      <c r="C279" s="674"/>
      <c r="D279" s="674"/>
      <c r="E279" s="674"/>
      <c r="F279" s="674"/>
      <c r="G279" s="674"/>
      <c r="H279" s="674"/>
      <c r="I279" s="674"/>
      <c r="J279" s="674"/>
      <c r="K279" s="674"/>
      <c r="L279" s="674"/>
      <c r="M279" s="674"/>
      <c r="N279" s="674"/>
      <c r="O279" s="674"/>
      <c r="P279" s="674"/>
      <c r="Q279" s="674"/>
      <c r="R279" s="674"/>
      <c r="S279" s="674"/>
      <c r="T279" s="674"/>
      <c r="U279" s="674"/>
      <c r="V279" s="674"/>
      <c r="W279" s="674"/>
      <c r="X279" s="674"/>
      <c r="Y279" s="674"/>
      <c r="AD279" s="405" t="s">
        <v>117</v>
      </c>
      <c r="AE279" s="1">
        <f>F138+L138+R138+X138</f>
        <v>91</v>
      </c>
      <c r="AF279" s="1">
        <f>G138+M138+S138+Y138</f>
        <v>7</v>
      </c>
      <c r="AG279" s="1">
        <f>E138+K138+Q138+W138</f>
        <v>98</v>
      </c>
    </row>
    <row r="280" spans="1:33">
      <c r="A280" s="410"/>
      <c r="B280" s="666"/>
      <c r="C280" s="674"/>
      <c r="D280" s="674"/>
      <c r="E280" s="674"/>
      <c r="F280" s="674"/>
      <c r="G280" s="674"/>
      <c r="H280" s="674"/>
      <c r="I280" s="674"/>
      <c r="J280" s="674"/>
      <c r="K280" s="674"/>
      <c r="L280" s="674"/>
      <c r="M280" s="674"/>
      <c r="N280" s="674"/>
      <c r="O280" s="674"/>
      <c r="P280" s="674"/>
      <c r="Q280" s="674"/>
      <c r="R280" s="674"/>
      <c r="S280" s="674"/>
      <c r="T280" s="674"/>
      <c r="U280" s="674"/>
      <c r="V280" s="674"/>
      <c r="W280" s="674"/>
      <c r="X280" s="674"/>
      <c r="Y280" s="674"/>
      <c r="AD280" s="405" t="s">
        <v>119</v>
      </c>
      <c r="AE280" s="1">
        <f>F144+L144+R144+X144</f>
        <v>176</v>
      </c>
      <c r="AF280" s="1">
        <f>G144+M144+S144+Y144</f>
        <v>50</v>
      </c>
      <c r="AG280" s="1">
        <f>E144+K144+Q144+W144</f>
        <v>226</v>
      </c>
    </row>
    <row r="281" spans="1:33">
      <c r="A281" s="410"/>
      <c r="B281" s="666"/>
      <c r="C281" s="674"/>
      <c r="D281" s="674"/>
      <c r="E281" s="674"/>
      <c r="F281" s="674"/>
      <c r="G281" s="674"/>
      <c r="H281" s="674"/>
      <c r="I281" s="674"/>
      <c r="J281" s="674"/>
      <c r="K281" s="674"/>
      <c r="L281" s="674"/>
      <c r="M281" s="674"/>
      <c r="N281" s="674"/>
      <c r="O281" s="674"/>
      <c r="P281" s="674"/>
      <c r="Q281" s="674"/>
      <c r="R281" s="674"/>
      <c r="S281" s="674"/>
      <c r="T281" s="674"/>
      <c r="U281" s="674"/>
      <c r="V281" s="674"/>
      <c r="W281" s="674"/>
      <c r="X281" s="674"/>
      <c r="Y281" s="674"/>
      <c r="AD281" s="405" t="s">
        <v>121</v>
      </c>
      <c r="AE281" s="1">
        <f>F153+L153+R153+X153</f>
        <v>220</v>
      </c>
      <c r="AF281" s="1">
        <f>G153+M153+S153+Y153</f>
        <v>40</v>
      </c>
      <c r="AG281" s="1">
        <f>E153+K153+Q153+W153</f>
        <v>260</v>
      </c>
    </row>
    <row r="282" spans="1:33">
      <c r="A282" s="410"/>
      <c r="B282" s="666"/>
      <c r="C282" s="674"/>
      <c r="D282" s="674"/>
      <c r="E282" s="674"/>
      <c r="F282" s="674"/>
      <c r="G282" s="674"/>
      <c r="H282" s="674"/>
      <c r="I282" s="674"/>
      <c r="J282" s="674"/>
      <c r="K282" s="674"/>
      <c r="L282" s="674"/>
      <c r="M282" s="674"/>
      <c r="N282" s="674"/>
      <c r="O282" s="674"/>
      <c r="P282" s="674"/>
      <c r="Q282" s="674"/>
      <c r="R282" s="674"/>
      <c r="S282" s="674"/>
      <c r="T282" s="674"/>
      <c r="U282" s="674"/>
      <c r="V282" s="674"/>
      <c r="W282" s="674"/>
      <c r="X282" s="674"/>
      <c r="Y282" s="674"/>
      <c r="AD282" s="405" t="s">
        <v>123</v>
      </c>
      <c r="AE282" s="1">
        <f>F159+L159+R159+X159</f>
        <v>193</v>
      </c>
      <c r="AF282" s="1">
        <f>G159+M159+S159+Y159</f>
        <v>54</v>
      </c>
      <c r="AG282" s="1">
        <f>E159+K159+Q159+W159</f>
        <v>247</v>
      </c>
    </row>
    <row r="283" spans="1:33">
      <c r="A283" s="410"/>
      <c r="B283" s="666"/>
      <c r="C283" s="674"/>
      <c r="D283" s="674"/>
      <c r="E283" s="674"/>
      <c r="F283" s="674"/>
      <c r="G283" s="674"/>
      <c r="H283" s="674"/>
      <c r="I283" s="674"/>
      <c r="J283" s="674"/>
      <c r="K283" s="674"/>
      <c r="L283" s="674"/>
      <c r="M283" s="674"/>
      <c r="N283" s="674"/>
      <c r="O283" s="674"/>
      <c r="P283" s="674"/>
      <c r="Q283" s="674"/>
      <c r="R283" s="674"/>
      <c r="S283" s="674"/>
      <c r="T283" s="674"/>
      <c r="U283" s="674"/>
      <c r="V283" s="674"/>
      <c r="W283" s="674"/>
      <c r="X283" s="674"/>
      <c r="Y283" s="674"/>
      <c r="AD283" s="405" t="s">
        <v>125</v>
      </c>
      <c r="AE283" s="1">
        <f>F166+L166+R166+X166</f>
        <v>431</v>
      </c>
      <c r="AF283" s="1">
        <f>G166+M166+S166+Y166</f>
        <v>164</v>
      </c>
      <c r="AG283" s="1">
        <f>E166+K166+Q166+W166</f>
        <v>595</v>
      </c>
    </row>
    <row r="284" spans="1:33">
      <c r="A284" s="410"/>
      <c r="B284" s="666"/>
      <c r="C284" s="674"/>
      <c r="D284" s="674"/>
      <c r="E284" s="674"/>
      <c r="F284" s="674"/>
      <c r="G284" s="674"/>
      <c r="H284" s="674"/>
      <c r="I284" s="674"/>
      <c r="J284" s="674"/>
      <c r="K284" s="674"/>
      <c r="L284" s="674"/>
      <c r="M284" s="674"/>
      <c r="N284" s="674"/>
      <c r="O284" s="674"/>
      <c r="P284" s="674"/>
      <c r="Q284" s="674"/>
      <c r="R284" s="674"/>
      <c r="S284" s="674"/>
      <c r="T284" s="674"/>
      <c r="U284" s="674"/>
      <c r="V284" s="674"/>
      <c r="W284" s="674"/>
      <c r="X284" s="674"/>
      <c r="Y284" s="674"/>
      <c r="AD284" s="405" t="s">
        <v>110</v>
      </c>
      <c r="AE284" s="1">
        <f>F180+L180+R180+X180</f>
        <v>775</v>
      </c>
      <c r="AF284" s="1">
        <f>G180+M180+S180+Y180</f>
        <v>299</v>
      </c>
      <c r="AG284" s="1">
        <f>E180+K180+Q180+W180</f>
        <v>1074</v>
      </c>
    </row>
    <row r="285" spans="1:33">
      <c r="A285" s="410"/>
      <c r="B285" s="666"/>
      <c r="C285" s="674"/>
      <c r="D285" s="674"/>
      <c r="E285" s="674"/>
      <c r="F285" s="674"/>
      <c r="G285" s="674"/>
      <c r="H285" s="674"/>
      <c r="I285" s="674"/>
      <c r="J285" s="674"/>
      <c r="K285" s="674"/>
      <c r="L285" s="674"/>
      <c r="M285" s="674"/>
      <c r="N285" s="674"/>
      <c r="O285" s="674"/>
      <c r="P285" s="674"/>
      <c r="Q285" s="674"/>
      <c r="R285" s="674"/>
      <c r="S285" s="674"/>
      <c r="T285" s="674"/>
      <c r="U285" s="674"/>
      <c r="V285" s="674"/>
      <c r="W285" s="674"/>
      <c r="X285" s="674"/>
      <c r="Y285" s="674"/>
      <c r="AD285" s="405" t="s">
        <v>128</v>
      </c>
      <c r="AE285" s="1">
        <f>F192+L192+R192+X192</f>
        <v>609</v>
      </c>
      <c r="AF285" s="1">
        <f>G192+M192+S192+Y192</f>
        <v>479</v>
      </c>
      <c r="AG285" s="1">
        <f>E192+K192+Q192+W192</f>
        <v>1088</v>
      </c>
    </row>
    <row r="286" spans="1:33">
      <c r="A286" s="410"/>
      <c r="B286" s="666"/>
      <c r="C286" s="674"/>
      <c r="D286" s="674"/>
      <c r="E286" s="674"/>
      <c r="F286" s="674"/>
      <c r="G286" s="674"/>
      <c r="H286" s="674"/>
      <c r="I286" s="674"/>
      <c r="J286" s="674"/>
      <c r="K286" s="674"/>
      <c r="L286" s="674"/>
      <c r="M286" s="674"/>
      <c r="N286" s="674"/>
      <c r="O286" s="674"/>
      <c r="P286" s="674"/>
      <c r="Q286" s="674"/>
      <c r="R286" s="674"/>
      <c r="S286" s="674"/>
      <c r="T286" s="674"/>
      <c r="U286" s="674"/>
      <c r="V286" s="674"/>
      <c r="W286" s="674"/>
      <c r="X286" s="674"/>
      <c r="Y286" s="674"/>
      <c r="AD286" s="405" t="s">
        <v>130</v>
      </c>
      <c r="AE286" s="1">
        <f>F202+L202+R202+X202</f>
        <v>774</v>
      </c>
      <c r="AF286" s="1">
        <f>G202+M202+S202+Y202</f>
        <v>473</v>
      </c>
      <c r="AG286" s="1">
        <f>E202+K202+Q202+W202</f>
        <v>1247</v>
      </c>
    </row>
    <row r="287" spans="1:33">
      <c r="A287" s="410"/>
      <c r="B287" s="666"/>
      <c r="C287" s="674"/>
      <c r="D287" s="674"/>
      <c r="E287" s="674"/>
      <c r="F287" s="674"/>
      <c r="G287" s="674"/>
      <c r="H287" s="674"/>
      <c r="I287" s="674"/>
      <c r="J287" s="674"/>
      <c r="K287" s="674"/>
      <c r="L287" s="674"/>
      <c r="M287" s="674"/>
      <c r="N287" s="674"/>
      <c r="O287" s="674"/>
      <c r="P287" s="674"/>
      <c r="Q287" s="674"/>
      <c r="R287" s="674"/>
      <c r="S287" s="674"/>
      <c r="T287" s="674"/>
      <c r="U287" s="674"/>
      <c r="V287" s="674"/>
      <c r="W287" s="674"/>
      <c r="X287" s="674"/>
      <c r="Y287" s="674"/>
      <c r="AD287" s="405" t="s">
        <v>132</v>
      </c>
      <c r="AE287" s="1">
        <f>F212+L212+R212+X212</f>
        <v>669</v>
      </c>
      <c r="AF287" s="1">
        <f>G212+M212+S212+Y212</f>
        <v>254</v>
      </c>
      <c r="AG287" s="1">
        <f>E212+K212+Q212+W212</f>
        <v>923</v>
      </c>
    </row>
    <row r="288" spans="1:33">
      <c r="A288" s="410"/>
      <c r="B288" s="666"/>
      <c r="C288" s="674"/>
      <c r="D288" s="674"/>
      <c r="E288" s="674"/>
      <c r="F288" s="674"/>
      <c r="G288" s="674"/>
      <c r="H288" s="674"/>
      <c r="I288" s="674"/>
      <c r="J288" s="674"/>
      <c r="K288" s="674"/>
      <c r="L288" s="674"/>
      <c r="M288" s="674"/>
      <c r="N288" s="674"/>
      <c r="O288" s="674"/>
      <c r="P288" s="674"/>
      <c r="Q288" s="674"/>
      <c r="R288" s="674"/>
      <c r="S288" s="674"/>
      <c r="T288" s="674"/>
      <c r="U288" s="674"/>
      <c r="V288" s="674"/>
      <c r="W288" s="674"/>
      <c r="X288" s="674"/>
      <c r="Y288" s="674"/>
      <c r="AD288" s="405" t="s">
        <v>102</v>
      </c>
      <c r="AE288" s="1">
        <f>F214+L214+R214+X214</f>
        <v>1290</v>
      </c>
      <c r="AF288" s="1">
        <f>G214+M214+S214+Y214</f>
        <v>571</v>
      </c>
      <c r="AG288" s="1">
        <f>E214+K214+Q214+W214</f>
        <v>1861</v>
      </c>
    </row>
    <row r="289" spans="1:34">
      <c r="A289" s="804"/>
      <c r="B289" s="658"/>
      <c r="C289" s="662"/>
      <c r="D289" s="662"/>
      <c r="E289" s="662"/>
      <c r="F289" s="662"/>
      <c r="G289" s="662"/>
      <c r="H289" s="662"/>
      <c r="I289" s="662"/>
      <c r="J289" s="662"/>
      <c r="K289" s="662"/>
      <c r="L289" s="662"/>
      <c r="M289" s="662"/>
      <c r="N289" s="662"/>
      <c r="O289" s="662"/>
      <c r="P289" s="662"/>
      <c r="Q289" s="662"/>
      <c r="R289" s="662"/>
      <c r="S289" s="662"/>
      <c r="T289" s="662"/>
      <c r="U289" s="662"/>
      <c r="V289" s="662"/>
      <c r="W289" s="662"/>
      <c r="X289" s="662"/>
      <c r="Y289" s="662"/>
    </row>
    <row r="290" spans="1:34">
      <c r="A290" s="410"/>
      <c r="B290" s="666"/>
      <c r="C290" s="674"/>
      <c r="D290" s="674"/>
      <c r="E290" s="674"/>
      <c r="F290" s="674"/>
      <c r="G290" s="674"/>
      <c r="H290" s="674"/>
      <c r="I290" s="674"/>
      <c r="J290" s="674"/>
      <c r="K290" s="674"/>
      <c r="L290" s="674"/>
      <c r="M290" s="674"/>
      <c r="N290" s="674"/>
      <c r="O290" s="674"/>
      <c r="P290" s="674"/>
      <c r="Q290" s="674"/>
      <c r="R290" s="674"/>
      <c r="S290" s="674"/>
      <c r="T290" s="674"/>
      <c r="U290" s="674"/>
      <c r="V290" s="674"/>
      <c r="W290" s="674"/>
      <c r="X290" s="674"/>
      <c r="Y290" s="674"/>
    </row>
    <row r="291" spans="1:34">
      <c r="A291" s="410"/>
      <c r="B291" s="666"/>
      <c r="C291" s="674"/>
      <c r="D291" s="674"/>
      <c r="E291" s="674"/>
      <c r="F291" s="674"/>
      <c r="G291" s="674"/>
      <c r="H291" s="674"/>
      <c r="I291" s="674"/>
      <c r="J291" s="674"/>
      <c r="K291" s="674"/>
      <c r="L291" s="674"/>
      <c r="M291" s="674"/>
      <c r="N291" s="674"/>
      <c r="O291" s="674"/>
      <c r="P291" s="674"/>
      <c r="Q291" s="674"/>
      <c r="R291" s="674"/>
      <c r="S291" s="674"/>
      <c r="T291" s="674"/>
      <c r="U291" s="674"/>
      <c r="V291" s="674"/>
      <c r="W291" s="674"/>
      <c r="X291" s="674"/>
      <c r="Y291" s="674"/>
    </row>
    <row r="292" spans="1:34">
      <c r="A292" s="410"/>
      <c r="B292" s="666"/>
      <c r="C292" s="674"/>
      <c r="D292" s="674"/>
      <c r="E292" s="674"/>
      <c r="F292" s="674"/>
      <c r="G292" s="674"/>
      <c r="H292" s="674"/>
      <c r="I292" s="674"/>
      <c r="J292" s="674"/>
      <c r="K292" s="674"/>
      <c r="L292" s="674"/>
      <c r="M292" s="674"/>
      <c r="N292" s="674"/>
      <c r="O292" s="674"/>
      <c r="P292" s="674"/>
      <c r="Q292" s="674"/>
      <c r="R292" s="674"/>
      <c r="S292" s="674"/>
      <c r="T292" s="674"/>
      <c r="U292" s="674"/>
      <c r="V292" s="674"/>
      <c r="W292" s="674"/>
      <c r="X292" s="674"/>
      <c r="Y292" s="674"/>
    </row>
    <row r="293" spans="1:34">
      <c r="A293" s="410"/>
      <c r="B293" s="666"/>
      <c r="C293" s="674"/>
      <c r="D293" s="674"/>
      <c r="E293" s="674"/>
      <c r="F293" s="674"/>
      <c r="G293" s="674"/>
      <c r="H293" s="674"/>
      <c r="I293" s="674"/>
      <c r="J293" s="674"/>
      <c r="K293" s="674"/>
      <c r="L293" s="674"/>
      <c r="M293" s="674"/>
      <c r="N293" s="674"/>
      <c r="O293" s="674"/>
      <c r="P293" s="674"/>
      <c r="Q293" s="674"/>
      <c r="R293" s="674"/>
      <c r="S293" s="674"/>
      <c r="T293" s="674"/>
      <c r="U293" s="674"/>
      <c r="V293" s="674"/>
      <c r="W293" s="674"/>
      <c r="X293" s="674"/>
      <c r="Y293" s="674"/>
      <c r="AE293" s="405" t="s">
        <v>97</v>
      </c>
      <c r="AF293" s="243">
        <f>AE269/AG269*100</f>
        <v>64.027538726333916</v>
      </c>
      <c r="AH293" s="1">
        <v>18101</v>
      </c>
    </row>
    <row r="294" spans="1:34">
      <c r="A294" s="410"/>
      <c r="B294" s="666"/>
      <c r="C294" s="674"/>
      <c r="D294" s="674"/>
      <c r="E294" s="674"/>
      <c r="F294" s="674"/>
      <c r="G294" s="674"/>
      <c r="H294" s="674"/>
      <c r="I294" s="674"/>
      <c r="J294" s="674"/>
      <c r="K294" s="674"/>
      <c r="L294" s="674"/>
      <c r="M294" s="674"/>
      <c r="N294" s="674"/>
      <c r="O294" s="674"/>
      <c r="P294" s="674"/>
      <c r="Q294" s="674"/>
      <c r="R294" s="674"/>
      <c r="S294" s="674"/>
      <c r="T294" s="674"/>
      <c r="U294" s="674"/>
      <c r="V294" s="674"/>
      <c r="W294" s="674"/>
      <c r="X294" s="674"/>
      <c r="Y294" s="674"/>
      <c r="AE294" s="405" t="s">
        <v>99</v>
      </c>
      <c r="AF294" s="243">
        <f t="shared" ref="AF294:AF312" si="3">AE270/AG270*100</f>
        <v>68.518518518518519</v>
      </c>
      <c r="AH294" s="1">
        <v>6772</v>
      </c>
    </row>
    <row r="295" spans="1:34">
      <c r="A295" s="410"/>
      <c r="B295" s="666"/>
      <c r="C295" s="674"/>
      <c r="D295" s="674"/>
      <c r="E295" s="674"/>
      <c r="F295" s="674"/>
      <c r="G295" s="674"/>
      <c r="H295" s="674"/>
      <c r="I295" s="674"/>
      <c r="J295" s="674"/>
      <c r="K295" s="674"/>
      <c r="L295" s="674"/>
      <c r="M295" s="674"/>
      <c r="N295" s="674"/>
      <c r="O295" s="674"/>
      <c r="P295" s="674"/>
      <c r="Q295" s="674"/>
      <c r="R295" s="674"/>
      <c r="S295" s="674"/>
      <c r="T295" s="674"/>
      <c r="U295" s="674"/>
      <c r="V295" s="674"/>
      <c r="W295" s="674"/>
      <c r="X295" s="674"/>
      <c r="Y295" s="674"/>
      <c r="AE295" s="405" t="s">
        <v>101</v>
      </c>
      <c r="AF295" s="243">
        <f t="shared" si="3"/>
        <v>71.621621621621628</v>
      </c>
      <c r="AH295" s="1">
        <v>11329</v>
      </c>
    </row>
    <row r="296" spans="1:34">
      <c r="A296" s="410"/>
      <c r="B296" s="666"/>
      <c r="C296" s="674"/>
      <c r="D296" s="674"/>
      <c r="E296" s="674"/>
      <c r="F296" s="674"/>
      <c r="G296" s="674"/>
      <c r="H296" s="674"/>
      <c r="I296" s="674"/>
      <c r="J296" s="674"/>
      <c r="K296" s="674"/>
      <c r="L296" s="674"/>
      <c r="M296" s="674"/>
      <c r="N296" s="674"/>
      <c r="O296" s="674"/>
      <c r="P296" s="674"/>
      <c r="Q296" s="674"/>
      <c r="R296" s="674"/>
      <c r="S296" s="674"/>
      <c r="T296" s="674"/>
      <c r="U296" s="674"/>
      <c r="V296" s="674"/>
      <c r="W296" s="674"/>
      <c r="X296" s="674"/>
      <c r="Y296" s="674"/>
      <c r="AE296" s="405" t="s">
        <v>103</v>
      </c>
      <c r="AF296" s="243">
        <f t="shared" si="3"/>
        <v>57.584683357879229</v>
      </c>
    </row>
    <row r="297" spans="1:34">
      <c r="A297" s="410"/>
      <c r="B297" s="666"/>
      <c r="C297" s="674"/>
      <c r="D297" s="674"/>
      <c r="E297" s="674"/>
      <c r="F297" s="674"/>
      <c r="G297" s="674"/>
      <c r="H297" s="674"/>
      <c r="I297" s="674"/>
      <c r="J297" s="674"/>
      <c r="K297" s="674"/>
      <c r="L297" s="674"/>
      <c r="M297" s="674"/>
      <c r="N297" s="674"/>
      <c r="O297" s="674"/>
      <c r="P297" s="674"/>
      <c r="Q297" s="674"/>
      <c r="R297" s="674"/>
      <c r="S297" s="674"/>
      <c r="T297" s="674"/>
      <c r="U297" s="674"/>
      <c r="V297" s="674"/>
      <c r="W297" s="674"/>
      <c r="X297" s="674"/>
      <c r="Y297" s="674"/>
      <c r="AE297" s="405" t="s">
        <v>105</v>
      </c>
      <c r="AF297" s="243">
        <f t="shared" si="3"/>
        <v>81.119791666666657</v>
      </c>
    </row>
    <row r="298" spans="1:34">
      <c r="A298" s="410"/>
      <c r="B298" s="666"/>
      <c r="C298" s="674"/>
      <c r="D298" s="674"/>
      <c r="E298" s="674"/>
      <c r="F298" s="674"/>
      <c r="G298" s="674"/>
      <c r="H298" s="674"/>
      <c r="I298" s="674"/>
      <c r="J298" s="674"/>
      <c r="K298" s="674"/>
      <c r="L298" s="674"/>
      <c r="M298" s="674"/>
      <c r="N298" s="674"/>
      <c r="O298" s="674"/>
      <c r="P298" s="674"/>
      <c r="Q298" s="674"/>
      <c r="R298" s="674"/>
      <c r="S298" s="674"/>
      <c r="T298" s="674"/>
      <c r="U298" s="674"/>
      <c r="V298" s="674"/>
      <c r="W298" s="674"/>
      <c r="X298" s="674"/>
      <c r="Y298" s="674"/>
      <c r="AE298" s="405" t="s">
        <v>107</v>
      </c>
      <c r="AF298" s="243">
        <f t="shared" si="3"/>
        <v>72.866520787746168</v>
      </c>
    </row>
    <row r="299" spans="1:34">
      <c r="A299" s="410"/>
      <c r="B299" s="666"/>
      <c r="C299" s="674"/>
      <c r="D299" s="674"/>
      <c r="E299" s="674"/>
      <c r="F299" s="674"/>
      <c r="G299" s="674"/>
      <c r="H299" s="674"/>
      <c r="I299" s="674"/>
      <c r="J299" s="674"/>
      <c r="K299" s="674"/>
      <c r="L299" s="674"/>
      <c r="M299" s="674"/>
      <c r="N299" s="674"/>
      <c r="O299" s="674"/>
      <c r="P299" s="674"/>
      <c r="Q299" s="674"/>
      <c r="R299" s="674"/>
      <c r="S299" s="674"/>
      <c r="T299" s="674"/>
      <c r="U299" s="674"/>
      <c r="V299" s="674"/>
      <c r="W299" s="674"/>
      <c r="X299" s="674"/>
      <c r="Y299" s="674"/>
      <c r="AE299" s="405" t="s">
        <v>109</v>
      </c>
      <c r="AF299" s="243">
        <f t="shared" si="3"/>
        <v>74.05541561712846</v>
      </c>
    </row>
    <row r="300" spans="1:34">
      <c r="A300" s="410"/>
      <c r="B300" s="666"/>
      <c r="C300" s="674"/>
      <c r="D300" s="674"/>
      <c r="E300" s="674"/>
      <c r="F300" s="674"/>
      <c r="G300" s="674"/>
      <c r="H300" s="674"/>
      <c r="I300" s="674"/>
      <c r="J300" s="674"/>
      <c r="K300" s="674"/>
      <c r="L300" s="674"/>
      <c r="M300" s="674"/>
      <c r="N300" s="674"/>
      <c r="O300" s="674"/>
      <c r="P300" s="674"/>
      <c r="Q300" s="674"/>
      <c r="R300" s="674"/>
      <c r="S300" s="674"/>
      <c r="T300" s="674"/>
      <c r="U300" s="674"/>
      <c r="V300" s="674"/>
      <c r="W300" s="674"/>
      <c r="X300" s="674"/>
      <c r="Y300" s="674"/>
      <c r="AE300" s="405" t="s">
        <v>111</v>
      </c>
      <c r="AF300" s="243">
        <f t="shared" si="3"/>
        <v>84.675324675324674</v>
      </c>
    </row>
    <row r="301" spans="1:34">
      <c r="A301" s="410"/>
      <c r="B301" s="666"/>
      <c r="C301" s="674"/>
      <c r="D301" s="674"/>
      <c r="E301" s="674"/>
      <c r="F301" s="674"/>
      <c r="G301" s="674"/>
      <c r="H301" s="674"/>
      <c r="I301" s="674"/>
      <c r="J301" s="674"/>
      <c r="K301" s="674"/>
      <c r="L301" s="674"/>
      <c r="M301" s="674"/>
      <c r="N301" s="674"/>
      <c r="O301" s="674"/>
      <c r="P301" s="674"/>
      <c r="Q301" s="674"/>
      <c r="R301" s="674"/>
      <c r="S301" s="674"/>
      <c r="T301" s="674"/>
      <c r="U301" s="674"/>
      <c r="V301" s="674"/>
      <c r="W301" s="674"/>
      <c r="X301" s="674"/>
      <c r="Y301" s="674"/>
      <c r="AE301" s="405" t="s">
        <v>113</v>
      </c>
      <c r="AF301" s="243">
        <f t="shared" si="3"/>
        <v>74.161735700197241</v>
      </c>
    </row>
    <row r="302" spans="1:34">
      <c r="A302" s="410"/>
      <c r="B302" s="666"/>
      <c r="C302" s="674"/>
      <c r="D302" s="674"/>
      <c r="E302" s="674"/>
      <c r="F302" s="674"/>
      <c r="G302" s="674"/>
      <c r="H302" s="674"/>
      <c r="I302" s="674"/>
      <c r="J302" s="674"/>
      <c r="K302" s="674"/>
      <c r="L302" s="674"/>
      <c r="M302" s="674"/>
      <c r="N302" s="674"/>
      <c r="O302" s="674"/>
      <c r="P302" s="674"/>
      <c r="Q302" s="674"/>
      <c r="R302" s="674"/>
      <c r="S302" s="674"/>
      <c r="T302" s="674"/>
      <c r="U302" s="674"/>
      <c r="V302" s="674"/>
      <c r="W302" s="674"/>
      <c r="X302" s="674"/>
      <c r="Y302" s="674"/>
      <c r="AE302" s="405" t="s">
        <v>115</v>
      </c>
      <c r="AF302" s="243">
        <f t="shared" si="3"/>
        <v>71.58469945355192</v>
      </c>
    </row>
    <row r="303" spans="1:34">
      <c r="A303" s="804"/>
      <c r="B303" s="658"/>
      <c r="C303" s="662"/>
      <c r="D303" s="662"/>
      <c r="E303" s="662"/>
      <c r="F303" s="662"/>
      <c r="G303" s="662"/>
      <c r="H303" s="662"/>
      <c r="I303" s="662"/>
      <c r="J303" s="662"/>
      <c r="K303" s="662"/>
      <c r="L303" s="662"/>
      <c r="M303" s="662"/>
      <c r="N303" s="662"/>
      <c r="O303" s="662"/>
      <c r="P303" s="662"/>
      <c r="Q303" s="662"/>
      <c r="R303" s="662"/>
      <c r="S303" s="662"/>
      <c r="T303" s="662"/>
      <c r="U303" s="662"/>
      <c r="V303" s="662"/>
      <c r="W303" s="662"/>
      <c r="X303" s="662"/>
      <c r="Y303" s="662"/>
      <c r="AE303" s="405" t="s">
        <v>117</v>
      </c>
      <c r="AF303" s="243">
        <f t="shared" si="3"/>
        <v>92.857142857142861</v>
      </c>
    </row>
    <row r="304" spans="1:34">
      <c r="A304" s="410"/>
      <c r="B304" s="666"/>
      <c r="C304" s="674"/>
      <c r="D304" s="674"/>
      <c r="E304" s="674"/>
      <c r="F304" s="674"/>
      <c r="G304" s="674"/>
      <c r="H304" s="674"/>
      <c r="I304" s="674"/>
      <c r="J304" s="674"/>
      <c r="K304" s="674"/>
      <c r="L304" s="674"/>
      <c r="M304" s="674"/>
      <c r="N304" s="674"/>
      <c r="O304" s="674"/>
      <c r="P304" s="674"/>
      <c r="Q304" s="674"/>
      <c r="R304" s="674"/>
      <c r="S304" s="674"/>
      <c r="T304" s="674"/>
      <c r="U304" s="674"/>
      <c r="V304" s="674"/>
      <c r="W304" s="674"/>
      <c r="X304" s="674"/>
      <c r="Y304" s="674"/>
      <c r="AE304" s="405" t="s">
        <v>119</v>
      </c>
      <c r="AF304" s="243">
        <f t="shared" si="3"/>
        <v>77.876106194690266</v>
      </c>
    </row>
    <row r="305" spans="1:32">
      <c r="A305" s="410"/>
      <c r="B305" s="666"/>
      <c r="C305" s="674"/>
      <c r="D305" s="674"/>
      <c r="E305" s="674"/>
      <c r="F305" s="674"/>
      <c r="G305" s="674"/>
      <c r="H305" s="674"/>
      <c r="I305" s="674"/>
      <c r="J305" s="674"/>
      <c r="K305" s="674"/>
      <c r="L305" s="674"/>
      <c r="M305" s="674"/>
      <c r="N305" s="674"/>
      <c r="O305" s="674"/>
      <c r="P305" s="674"/>
      <c r="Q305" s="674"/>
      <c r="R305" s="674"/>
      <c r="S305" s="674"/>
      <c r="T305" s="674"/>
      <c r="U305" s="674"/>
      <c r="V305" s="674"/>
      <c r="W305" s="674"/>
      <c r="X305" s="674"/>
      <c r="Y305" s="674"/>
      <c r="AE305" s="405" t="s">
        <v>121</v>
      </c>
      <c r="AF305" s="243">
        <f t="shared" si="3"/>
        <v>84.615384615384613</v>
      </c>
    </row>
    <row r="306" spans="1:32">
      <c r="A306" s="410"/>
      <c r="B306" s="666"/>
      <c r="C306" s="674"/>
      <c r="D306" s="674"/>
      <c r="E306" s="674"/>
      <c r="F306" s="674"/>
      <c r="G306" s="674"/>
      <c r="H306" s="674"/>
      <c r="I306" s="674"/>
      <c r="J306" s="674"/>
      <c r="K306" s="674"/>
      <c r="L306" s="674"/>
      <c r="M306" s="674"/>
      <c r="N306" s="674"/>
      <c r="O306" s="674"/>
      <c r="P306" s="674"/>
      <c r="Q306" s="674"/>
      <c r="R306" s="674"/>
      <c r="S306" s="674"/>
      <c r="T306" s="674"/>
      <c r="U306" s="674"/>
      <c r="V306" s="674"/>
      <c r="W306" s="674"/>
      <c r="X306" s="674"/>
      <c r="Y306" s="674"/>
      <c r="AE306" s="405" t="s">
        <v>123</v>
      </c>
      <c r="AF306" s="243">
        <f t="shared" si="3"/>
        <v>78.137651821862349</v>
      </c>
    </row>
    <row r="307" spans="1:32">
      <c r="A307" s="410"/>
      <c r="B307" s="666"/>
      <c r="C307" s="674"/>
      <c r="D307" s="674"/>
      <c r="E307" s="674"/>
      <c r="F307" s="674"/>
      <c r="G307" s="674"/>
      <c r="H307" s="674"/>
      <c r="I307" s="674"/>
      <c r="J307" s="674"/>
      <c r="K307" s="674"/>
      <c r="L307" s="674"/>
      <c r="M307" s="674"/>
      <c r="N307" s="674"/>
      <c r="O307" s="674"/>
      <c r="P307" s="674"/>
      <c r="Q307" s="674"/>
      <c r="R307" s="674"/>
      <c r="S307" s="674"/>
      <c r="T307" s="674"/>
      <c r="U307" s="674"/>
      <c r="V307" s="674"/>
      <c r="W307" s="674"/>
      <c r="X307" s="674"/>
      <c r="Y307" s="674"/>
      <c r="AE307" s="405" t="s">
        <v>125</v>
      </c>
      <c r="AF307" s="243">
        <f t="shared" si="3"/>
        <v>72.436974789915965</v>
      </c>
    </row>
    <row r="308" spans="1:32">
      <c r="A308" s="410"/>
      <c r="B308" s="666"/>
      <c r="C308" s="674"/>
      <c r="D308" s="674"/>
      <c r="E308" s="674"/>
      <c r="F308" s="674"/>
      <c r="G308" s="674"/>
      <c r="H308" s="674"/>
      <c r="I308" s="674"/>
      <c r="J308" s="674"/>
      <c r="K308" s="674"/>
      <c r="L308" s="674"/>
      <c r="M308" s="674"/>
      <c r="N308" s="674"/>
      <c r="O308" s="674"/>
      <c r="P308" s="674"/>
      <c r="Q308" s="674"/>
      <c r="R308" s="674"/>
      <c r="S308" s="674"/>
      <c r="T308" s="674"/>
      <c r="U308" s="674"/>
      <c r="V308" s="674"/>
      <c r="W308" s="674"/>
      <c r="X308" s="674"/>
      <c r="Y308" s="674"/>
      <c r="AE308" s="405" t="s">
        <v>110</v>
      </c>
      <c r="AF308" s="243">
        <f t="shared" si="3"/>
        <v>72.160148975791444</v>
      </c>
    </row>
    <row r="309" spans="1:32">
      <c r="A309" s="410"/>
      <c r="B309" s="666"/>
      <c r="C309" s="674"/>
      <c r="D309" s="674"/>
      <c r="E309" s="674"/>
      <c r="F309" s="674"/>
      <c r="G309" s="674"/>
      <c r="H309" s="674"/>
      <c r="I309" s="674"/>
      <c r="J309" s="674"/>
      <c r="K309" s="674"/>
      <c r="L309" s="674"/>
      <c r="M309" s="674"/>
      <c r="N309" s="674"/>
      <c r="O309" s="674"/>
      <c r="P309" s="674"/>
      <c r="Q309" s="674"/>
      <c r="R309" s="674"/>
      <c r="S309" s="674"/>
      <c r="T309" s="674"/>
      <c r="U309" s="674"/>
      <c r="V309" s="674"/>
      <c r="W309" s="674"/>
      <c r="X309" s="674"/>
      <c r="Y309" s="674"/>
      <c r="AE309" s="405" t="s">
        <v>128</v>
      </c>
      <c r="AF309" s="243">
        <f t="shared" si="3"/>
        <v>55.974264705882348</v>
      </c>
    </row>
    <row r="310" spans="1:32">
      <c r="A310" s="410"/>
      <c r="B310" s="666"/>
      <c r="C310" s="674"/>
      <c r="D310" s="674"/>
      <c r="E310" s="674"/>
      <c r="F310" s="674"/>
      <c r="G310" s="674"/>
      <c r="H310" s="674"/>
      <c r="I310" s="674"/>
      <c r="J310" s="674"/>
      <c r="K310" s="674"/>
      <c r="L310" s="674"/>
      <c r="M310" s="674"/>
      <c r="N310" s="674"/>
      <c r="O310" s="674"/>
      <c r="P310" s="674"/>
      <c r="Q310" s="674"/>
      <c r="R310" s="674"/>
      <c r="S310" s="674"/>
      <c r="T310" s="674"/>
      <c r="U310" s="674"/>
      <c r="V310" s="674"/>
      <c r="W310" s="674"/>
      <c r="X310" s="674"/>
      <c r="Y310" s="674"/>
      <c r="AE310" s="405" t="s">
        <v>130</v>
      </c>
      <c r="AF310" s="243">
        <f t="shared" si="3"/>
        <v>62.068965517241381</v>
      </c>
    </row>
    <row r="311" spans="1:32">
      <c r="A311" s="410"/>
      <c r="B311" s="666"/>
      <c r="C311" s="674"/>
      <c r="D311" s="674"/>
      <c r="E311" s="674"/>
      <c r="F311" s="674"/>
      <c r="G311" s="674"/>
      <c r="H311" s="674"/>
      <c r="I311" s="674"/>
      <c r="J311" s="674"/>
      <c r="K311" s="674"/>
      <c r="L311" s="674"/>
      <c r="M311" s="674"/>
      <c r="N311" s="674"/>
      <c r="O311" s="674"/>
      <c r="P311" s="674"/>
      <c r="Q311" s="674"/>
      <c r="R311" s="674"/>
      <c r="S311" s="674"/>
      <c r="T311" s="674"/>
      <c r="U311" s="674"/>
      <c r="V311" s="674"/>
      <c r="W311" s="674"/>
      <c r="X311" s="674"/>
      <c r="Y311" s="674"/>
      <c r="AE311" s="405" t="s">
        <v>132</v>
      </c>
      <c r="AF311" s="243">
        <f t="shared" si="3"/>
        <v>72.481040086673886</v>
      </c>
    </row>
    <row r="312" spans="1:32">
      <c r="A312" s="410"/>
      <c r="B312" s="666"/>
      <c r="C312" s="674"/>
      <c r="D312" s="674"/>
      <c r="E312" s="674"/>
      <c r="F312" s="674"/>
      <c r="G312" s="674"/>
      <c r="H312" s="674"/>
      <c r="I312" s="674"/>
      <c r="J312" s="674"/>
      <c r="K312" s="674"/>
      <c r="L312" s="674"/>
      <c r="M312" s="674"/>
      <c r="N312" s="674"/>
      <c r="O312" s="674"/>
      <c r="P312" s="674"/>
      <c r="Q312" s="674"/>
      <c r="R312" s="674"/>
      <c r="S312" s="674"/>
      <c r="T312" s="674"/>
      <c r="U312" s="674"/>
      <c r="V312" s="674"/>
      <c r="W312" s="674"/>
      <c r="X312" s="674"/>
      <c r="Y312" s="674"/>
      <c r="AE312" s="405" t="s">
        <v>102</v>
      </c>
      <c r="AF312" s="243">
        <f t="shared" si="3"/>
        <v>69.31757119828049</v>
      </c>
    </row>
    <row r="313" spans="1:32">
      <c r="A313" s="410"/>
      <c r="B313" s="666"/>
      <c r="C313" s="674"/>
      <c r="D313" s="674"/>
      <c r="E313" s="674"/>
      <c r="F313" s="674"/>
      <c r="G313" s="674"/>
      <c r="H313" s="674"/>
      <c r="I313" s="674"/>
      <c r="J313" s="674"/>
      <c r="K313" s="674"/>
      <c r="L313" s="674"/>
      <c r="M313" s="674"/>
      <c r="N313" s="674"/>
      <c r="O313" s="674"/>
      <c r="P313" s="674"/>
      <c r="Q313" s="674"/>
      <c r="R313" s="674"/>
      <c r="S313" s="674"/>
      <c r="T313" s="674"/>
      <c r="U313" s="674"/>
      <c r="V313" s="674"/>
      <c r="W313" s="674"/>
      <c r="X313" s="674"/>
      <c r="Y313" s="674"/>
    </row>
    <row r="314" spans="1:32">
      <c r="A314" s="410"/>
      <c r="B314" s="666"/>
      <c r="C314" s="674"/>
      <c r="D314" s="674"/>
      <c r="E314" s="674"/>
      <c r="F314" s="674"/>
      <c r="G314" s="674"/>
      <c r="H314" s="674"/>
      <c r="I314" s="674"/>
      <c r="J314" s="674"/>
      <c r="K314" s="674"/>
      <c r="L314" s="674"/>
      <c r="M314" s="674"/>
      <c r="N314" s="674"/>
      <c r="O314" s="674"/>
      <c r="P314" s="674"/>
      <c r="Q314" s="674"/>
      <c r="R314" s="674"/>
      <c r="S314" s="674"/>
      <c r="T314" s="674"/>
      <c r="U314" s="674"/>
      <c r="V314" s="674"/>
      <c r="W314" s="674"/>
      <c r="X314" s="674"/>
      <c r="Y314" s="674"/>
    </row>
    <row r="315" spans="1:32">
      <c r="A315" s="410"/>
      <c r="B315" s="666"/>
      <c r="C315" s="674"/>
      <c r="D315" s="674"/>
      <c r="E315" s="674"/>
      <c r="F315" s="674"/>
      <c r="G315" s="674"/>
      <c r="H315" s="674"/>
      <c r="I315" s="674"/>
      <c r="J315" s="674"/>
      <c r="K315" s="674"/>
      <c r="L315" s="674"/>
      <c r="M315" s="674"/>
      <c r="N315" s="674"/>
      <c r="O315" s="674"/>
      <c r="P315" s="674"/>
      <c r="Q315" s="674"/>
      <c r="R315" s="674"/>
      <c r="S315" s="674"/>
      <c r="T315" s="674"/>
      <c r="U315" s="674"/>
      <c r="V315" s="674"/>
      <c r="W315" s="674"/>
      <c r="X315" s="674"/>
      <c r="Y315" s="674"/>
    </row>
    <row r="316" spans="1:32">
      <c r="A316" s="410"/>
      <c r="B316" s="666"/>
      <c r="C316" s="674"/>
      <c r="D316" s="674"/>
      <c r="E316" s="674"/>
      <c r="F316" s="674"/>
      <c r="G316" s="674"/>
      <c r="H316" s="674"/>
      <c r="I316" s="674"/>
      <c r="J316" s="674"/>
      <c r="K316" s="674"/>
      <c r="L316" s="674"/>
      <c r="M316" s="674"/>
      <c r="N316" s="674"/>
      <c r="O316" s="674"/>
      <c r="P316" s="674"/>
      <c r="Q316" s="674"/>
      <c r="R316" s="674"/>
      <c r="S316" s="674"/>
      <c r="T316" s="674"/>
      <c r="U316" s="674"/>
      <c r="V316" s="674"/>
      <c r="W316" s="674"/>
      <c r="X316" s="674"/>
      <c r="Y316" s="674"/>
    </row>
    <row r="317" spans="1:32">
      <c r="A317" s="410"/>
      <c r="B317" s="666"/>
      <c r="C317" s="674"/>
      <c r="D317" s="674"/>
      <c r="E317" s="674"/>
      <c r="F317" s="674"/>
      <c r="G317" s="674"/>
      <c r="H317" s="674"/>
      <c r="I317" s="674"/>
      <c r="J317" s="674"/>
      <c r="K317" s="674"/>
      <c r="L317" s="674"/>
      <c r="M317" s="674"/>
      <c r="N317" s="674"/>
      <c r="O317" s="674"/>
      <c r="P317" s="674"/>
      <c r="Q317" s="674"/>
      <c r="R317" s="674"/>
      <c r="S317" s="674"/>
      <c r="T317" s="674"/>
      <c r="U317" s="674"/>
      <c r="V317" s="674"/>
      <c r="W317" s="674"/>
      <c r="X317" s="674"/>
      <c r="Y317" s="674"/>
    </row>
    <row r="318" spans="1:32">
      <c r="A318" s="804"/>
      <c r="B318" s="658"/>
      <c r="C318" s="662"/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P318" s="662"/>
      <c r="Q318" s="662"/>
      <c r="R318" s="662"/>
      <c r="S318" s="662"/>
      <c r="T318" s="662"/>
      <c r="U318" s="662"/>
      <c r="V318" s="662"/>
      <c r="W318" s="662"/>
      <c r="X318" s="662"/>
      <c r="Y318" s="662"/>
    </row>
    <row r="319" spans="1:32">
      <c r="A319" s="410"/>
      <c r="B319" s="666"/>
      <c r="C319" s="674"/>
      <c r="D319" s="674"/>
      <c r="E319" s="674"/>
      <c r="F319" s="674"/>
      <c r="G319" s="674"/>
      <c r="H319" s="674"/>
      <c r="I319" s="674"/>
      <c r="J319" s="674"/>
      <c r="K319" s="674"/>
      <c r="L319" s="674"/>
      <c r="M319" s="674"/>
      <c r="N319" s="674"/>
      <c r="O319" s="674"/>
      <c r="P319" s="674"/>
      <c r="Q319" s="674"/>
      <c r="R319" s="674"/>
      <c r="S319" s="674"/>
      <c r="T319" s="674"/>
      <c r="U319" s="674"/>
      <c r="V319" s="674"/>
      <c r="W319" s="674"/>
      <c r="X319" s="674"/>
      <c r="Y319" s="674"/>
    </row>
    <row r="320" spans="1:32">
      <c r="A320" s="410"/>
      <c r="B320" s="666"/>
      <c r="C320" s="674"/>
      <c r="D320" s="674"/>
      <c r="E320" s="674"/>
      <c r="F320" s="674"/>
      <c r="G320" s="674"/>
      <c r="H320" s="674"/>
      <c r="I320" s="674"/>
      <c r="J320" s="674"/>
      <c r="K320" s="674"/>
      <c r="L320" s="674"/>
      <c r="M320" s="674"/>
      <c r="N320" s="674"/>
      <c r="O320" s="674"/>
      <c r="P320" s="674"/>
      <c r="Q320" s="674"/>
      <c r="R320" s="674"/>
      <c r="S320" s="674"/>
      <c r="T320" s="674"/>
      <c r="U320" s="674"/>
      <c r="V320" s="674"/>
      <c r="W320" s="674"/>
      <c r="X320" s="674"/>
      <c r="Y320" s="674"/>
    </row>
    <row r="321" spans="1:25">
      <c r="A321" s="410"/>
      <c r="B321" s="666"/>
      <c r="C321" s="674"/>
      <c r="D321" s="674"/>
      <c r="E321" s="674"/>
      <c r="F321" s="674"/>
      <c r="G321" s="674"/>
      <c r="H321" s="674"/>
      <c r="I321" s="674"/>
      <c r="J321" s="674"/>
      <c r="K321" s="674"/>
      <c r="L321" s="674"/>
      <c r="M321" s="674"/>
      <c r="N321" s="674"/>
      <c r="O321" s="674"/>
      <c r="P321" s="674"/>
      <c r="Q321" s="674"/>
      <c r="R321" s="674"/>
      <c r="S321" s="674"/>
      <c r="T321" s="674"/>
      <c r="U321" s="674"/>
      <c r="V321" s="674"/>
      <c r="W321" s="674"/>
      <c r="X321" s="674"/>
      <c r="Y321" s="674"/>
    </row>
    <row r="322" spans="1:25">
      <c r="A322" s="410"/>
      <c r="B322" s="666"/>
      <c r="C322" s="674"/>
      <c r="D322" s="674"/>
      <c r="E322" s="674"/>
      <c r="F322" s="674"/>
      <c r="G322" s="674"/>
      <c r="H322" s="674"/>
      <c r="I322" s="674"/>
      <c r="J322" s="674"/>
      <c r="K322" s="674"/>
      <c r="L322" s="674"/>
      <c r="M322" s="674"/>
      <c r="N322" s="674"/>
      <c r="O322" s="674"/>
      <c r="P322" s="674"/>
      <c r="Q322" s="674"/>
      <c r="R322" s="674"/>
      <c r="S322" s="674"/>
      <c r="T322" s="674"/>
      <c r="U322" s="674"/>
      <c r="V322" s="674"/>
      <c r="W322" s="674"/>
      <c r="X322" s="674"/>
      <c r="Y322" s="674"/>
    </row>
    <row r="323" spans="1:25">
      <c r="A323" s="410"/>
      <c r="B323" s="666"/>
      <c r="C323" s="674"/>
      <c r="D323" s="674"/>
      <c r="E323" s="674"/>
      <c r="F323" s="674"/>
      <c r="G323" s="674"/>
      <c r="H323" s="674"/>
      <c r="I323" s="674"/>
      <c r="J323" s="674"/>
      <c r="K323" s="674"/>
      <c r="L323" s="674"/>
      <c r="M323" s="674"/>
      <c r="N323" s="674"/>
      <c r="O323" s="674"/>
      <c r="P323" s="674"/>
      <c r="Q323" s="674"/>
      <c r="R323" s="674"/>
      <c r="S323" s="674"/>
      <c r="T323" s="674"/>
      <c r="U323" s="674"/>
      <c r="V323" s="674"/>
      <c r="W323" s="674"/>
      <c r="X323" s="674"/>
      <c r="Y323" s="674"/>
    </row>
    <row r="324" spans="1:25">
      <c r="A324" s="410"/>
      <c r="B324" s="666"/>
      <c r="C324" s="674"/>
      <c r="D324" s="674"/>
      <c r="E324" s="674"/>
      <c r="F324" s="674"/>
      <c r="G324" s="674"/>
      <c r="H324" s="674"/>
      <c r="I324" s="674"/>
      <c r="J324" s="674"/>
      <c r="K324" s="674"/>
      <c r="L324" s="674"/>
      <c r="M324" s="674"/>
      <c r="N324" s="674"/>
      <c r="O324" s="674"/>
      <c r="P324" s="674"/>
      <c r="Q324" s="674"/>
      <c r="R324" s="674"/>
      <c r="S324" s="674"/>
      <c r="T324" s="674"/>
      <c r="U324" s="674"/>
      <c r="V324" s="674"/>
      <c r="W324" s="674"/>
      <c r="X324" s="674"/>
      <c r="Y324" s="674"/>
    </row>
    <row r="325" spans="1:25">
      <c r="A325" s="410"/>
      <c r="B325" s="666"/>
      <c r="C325" s="674"/>
      <c r="D325" s="674"/>
      <c r="E325" s="674"/>
      <c r="F325" s="674"/>
      <c r="G325" s="674"/>
      <c r="H325" s="674"/>
      <c r="I325" s="674"/>
      <c r="J325" s="674"/>
      <c r="K325" s="674"/>
      <c r="L325" s="674"/>
      <c r="M325" s="674"/>
      <c r="N325" s="674"/>
      <c r="O325" s="674"/>
      <c r="P325" s="674"/>
      <c r="Q325" s="674"/>
      <c r="R325" s="674"/>
      <c r="S325" s="674"/>
      <c r="T325" s="674"/>
      <c r="U325" s="674"/>
      <c r="V325" s="674"/>
      <c r="W325" s="674"/>
      <c r="X325" s="674"/>
      <c r="Y325" s="674"/>
    </row>
    <row r="326" spans="1:25">
      <c r="A326" s="410"/>
      <c r="B326" s="666"/>
      <c r="C326" s="674"/>
      <c r="D326" s="674"/>
      <c r="E326" s="674"/>
      <c r="F326" s="674"/>
      <c r="G326" s="674"/>
      <c r="H326" s="674"/>
      <c r="I326" s="674"/>
      <c r="J326" s="674"/>
      <c r="K326" s="674"/>
      <c r="L326" s="674"/>
      <c r="M326" s="674"/>
      <c r="N326" s="674"/>
      <c r="O326" s="674"/>
      <c r="P326" s="674"/>
      <c r="Q326" s="674"/>
      <c r="R326" s="674"/>
      <c r="S326" s="674"/>
      <c r="T326" s="674"/>
      <c r="U326" s="674"/>
      <c r="V326" s="674"/>
      <c r="W326" s="674"/>
      <c r="X326" s="674"/>
      <c r="Y326" s="674"/>
    </row>
    <row r="327" spans="1:25">
      <c r="A327" s="410"/>
      <c r="B327" s="666"/>
      <c r="C327" s="674"/>
      <c r="D327" s="674"/>
      <c r="E327" s="674"/>
      <c r="F327" s="674"/>
      <c r="G327" s="674"/>
      <c r="H327" s="674"/>
      <c r="I327" s="674"/>
      <c r="J327" s="674"/>
      <c r="K327" s="674"/>
      <c r="L327" s="674"/>
      <c r="M327" s="674"/>
      <c r="N327" s="674"/>
      <c r="O327" s="674"/>
      <c r="P327" s="674"/>
      <c r="Q327" s="674"/>
      <c r="R327" s="674"/>
      <c r="S327" s="674"/>
      <c r="T327" s="674"/>
      <c r="U327" s="674"/>
      <c r="V327" s="674"/>
      <c r="W327" s="674"/>
      <c r="X327" s="674"/>
      <c r="Y327" s="674"/>
    </row>
    <row r="328" spans="1:25">
      <c r="A328" s="410"/>
      <c r="B328" s="666"/>
      <c r="C328" s="674"/>
      <c r="D328" s="674"/>
      <c r="E328" s="674"/>
      <c r="F328" s="674"/>
      <c r="G328" s="674"/>
      <c r="H328" s="674"/>
      <c r="I328" s="674"/>
      <c r="J328" s="674"/>
      <c r="K328" s="674"/>
      <c r="L328" s="674"/>
      <c r="M328" s="674"/>
      <c r="N328" s="674"/>
      <c r="O328" s="674"/>
      <c r="P328" s="674"/>
      <c r="Q328" s="674"/>
      <c r="R328" s="674"/>
      <c r="S328" s="674"/>
      <c r="T328" s="674"/>
      <c r="U328" s="674"/>
      <c r="V328" s="674"/>
      <c r="W328" s="674"/>
      <c r="X328" s="674"/>
      <c r="Y328" s="674"/>
    </row>
    <row r="329" spans="1:25">
      <c r="A329" s="410"/>
      <c r="B329" s="666"/>
      <c r="C329" s="674"/>
      <c r="D329" s="674"/>
      <c r="E329" s="674"/>
      <c r="F329" s="674"/>
      <c r="G329" s="674"/>
      <c r="H329" s="674"/>
      <c r="I329" s="674"/>
      <c r="J329" s="674"/>
      <c r="K329" s="674"/>
      <c r="L329" s="674"/>
      <c r="M329" s="674"/>
      <c r="N329" s="674"/>
      <c r="O329" s="674"/>
      <c r="P329" s="674"/>
      <c r="Q329" s="674"/>
      <c r="R329" s="674"/>
      <c r="S329" s="674"/>
      <c r="T329" s="674"/>
      <c r="U329" s="674"/>
      <c r="V329" s="674"/>
      <c r="W329" s="674"/>
      <c r="X329" s="674"/>
      <c r="Y329" s="674"/>
    </row>
    <row r="330" spans="1:25">
      <c r="A330" s="410"/>
      <c r="B330" s="666"/>
      <c r="C330" s="674"/>
      <c r="D330" s="674"/>
      <c r="E330" s="674"/>
      <c r="F330" s="674"/>
      <c r="G330" s="674"/>
      <c r="H330" s="674"/>
      <c r="I330" s="674"/>
      <c r="J330" s="674"/>
      <c r="K330" s="674"/>
      <c r="L330" s="674"/>
      <c r="M330" s="674"/>
      <c r="N330" s="674"/>
      <c r="O330" s="674"/>
      <c r="P330" s="674"/>
      <c r="Q330" s="674"/>
      <c r="R330" s="674"/>
      <c r="S330" s="674"/>
      <c r="T330" s="674"/>
      <c r="U330" s="674"/>
      <c r="V330" s="674"/>
      <c r="W330" s="674"/>
      <c r="X330" s="674"/>
      <c r="Y330" s="674"/>
    </row>
    <row r="331" spans="1:25">
      <c r="A331" s="410"/>
      <c r="B331" s="666"/>
      <c r="C331" s="674"/>
      <c r="D331" s="674"/>
      <c r="E331" s="674"/>
      <c r="F331" s="674"/>
      <c r="G331" s="674"/>
      <c r="H331" s="674"/>
      <c r="I331" s="674"/>
      <c r="J331" s="674"/>
      <c r="K331" s="674"/>
      <c r="L331" s="674"/>
      <c r="M331" s="674"/>
      <c r="N331" s="674"/>
      <c r="O331" s="674"/>
      <c r="P331" s="674"/>
      <c r="Q331" s="674"/>
      <c r="R331" s="674"/>
      <c r="S331" s="674"/>
      <c r="T331" s="674"/>
      <c r="U331" s="674"/>
      <c r="V331" s="674"/>
      <c r="W331" s="674"/>
      <c r="X331" s="674"/>
      <c r="Y331" s="674"/>
    </row>
    <row r="332" spans="1:25">
      <c r="A332" s="804"/>
      <c r="B332" s="658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</row>
    <row r="333" spans="1:25">
      <c r="A333" s="410"/>
      <c r="B333" s="666"/>
      <c r="C333" s="674"/>
      <c r="D333" s="674"/>
      <c r="E333" s="674"/>
      <c r="F333" s="674"/>
      <c r="G333" s="674"/>
      <c r="H333" s="674"/>
      <c r="I333" s="674"/>
      <c r="J333" s="674"/>
      <c r="K333" s="674"/>
      <c r="L333" s="674"/>
      <c r="M333" s="674"/>
      <c r="N333" s="674"/>
      <c r="O333" s="674"/>
      <c r="P333" s="674"/>
      <c r="Q333" s="674"/>
      <c r="R333" s="674"/>
      <c r="S333" s="674"/>
      <c r="T333" s="674"/>
      <c r="U333" s="674"/>
      <c r="V333" s="674"/>
      <c r="W333" s="674"/>
      <c r="X333" s="674"/>
      <c r="Y333" s="674"/>
    </row>
    <row r="334" spans="1:25">
      <c r="A334" s="410"/>
      <c r="B334" s="666"/>
      <c r="C334" s="674"/>
      <c r="D334" s="674"/>
      <c r="E334" s="674"/>
      <c r="F334" s="674"/>
      <c r="G334" s="674"/>
      <c r="H334" s="674"/>
      <c r="I334" s="674"/>
      <c r="J334" s="674"/>
      <c r="K334" s="674"/>
      <c r="L334" s="674"/>
      <c r="M334" s="674"/>
      <c r="N334" s="674"/>
      <c r="O334" s="674"/>
      <c r="P334" s="674"/>
      <c r="Q334" s="674"/>
      <c r="R334" s="674"/>
      <c r="S334" s="674"/>
      <c r="T334" s="674"/>
      <c r="U334" s="674"/>
      <c r="V334" s="674"/>
      <c r="W334" s="674"/>
      <c r="X334" s="674"/>
      <c r="Y334" s="674"/>
    </row>
    <row r="335" spans="1:25">
      <c r="A335" s="410"/>
      <c r="B335" s="666"/>
      <c r="C335" s="674"/>
      <c r="D335" s="674"/>
      <c r="E335" s="674"/>
      <c r="F335" s="674"/>
      <c r="G335" s="674"/>
      <c r="H335" s="674"/>
      <c r="I335" s="674"/>
      <c r="J335" s="674"/>
      <c r="K335" s="674"/>
      <c r="L335" s="674"/>
      <c r="M335" s="674"/>
      <c r="N335" s="674"/>
      <c r="O335" s="674"/>
      <c r="P335" s="674"/>
      <c r="Q335" s="674"/>
      <c r="R335" s="674"/>
      <c r="S335" s="674"/>
      <c r="T335" s="674"/>
      <c r="U335" s="674"/>
      <c r="V335" s="674"/>
      <c r="W335" s="674"/>
      <c r="X335" s="674"/>
      <c r="Y335" s="674"/>
    </row>
    <row r="336" spans="1:25">
      <c r="A336" s="410"/>
      <c r="B336" s="666"/>
      <c r="C336" s="674"/>
      <c r="D336" s="674"/>
      <c r="E336" s="674"/>
      <c r="F336" s="674"/>
      <c r="G336" s="674"/>
      <c r="H336" s="674"/>
      <c r="I336" s="674"/>
      <c r="J336" s="674"/>
      <c r="K336" s="674"/>
      <c r="L336" s="674"/>
      <c r="M336" s="674"/>
      <c r="N336" s="674"/>
      <c r="O336" s="674"/>
      <c r="P336" s="674"/>
      <c r="Q336" s="674"/>
      <c r="R336" s="674"/>
      <c r="S336" s="674"/>
      <c r="T336" s="674"/>
      <c r="U336" s="674"/>
      <c r="V336" s="674"/>
      <c r="W336" s="674"/>
      <c r="X336" s="674"/>
      <c r="Y336" s="674"/>
    </row>
    <row r="337" spans="1:25">
      <c r="A337" s="410"/>
      <c r="B337" s="666"/>
      <c r="C337" s="674"/>
      <c r="D337" s="674"/>
      <c r="E337" s="674"/>
      <c r="F337" s="674"/>
      <c r="G337" s="674"/>
      <c r="H337" s="674"/>
      <c r="I337" s="674"/>
      <c r="J337" s="674"/>
      <c r="K337" s="674"/>
      <c r="L337" s="674"/>
      <c r="M337" s="674"/>
      <c r="N337" s="674"/>
      <c r="O337" s="674"/>
      <c r="P337" s="674"/>
      <c r="Q337" s="674"/>
      <c r="R337" s="674"/>
      <c r="S337" s="674"/>
      <c r="T337" s="674"/>
      <c r="U337" s="674"/>
      <c r="V337" s="674"/>
      <c r="W337" s="674"/>
      <c r="X337" s="674"/>
      <c r="Y337" s="674"/>
    </row>
    <row r="338" spans="1:25">
      <c r="A338" s="410"/>
      <c r="B338" s="666"/>
      <c r="C338" s="674"/>
      <c r="D338" s="674"/>
      <c r="E338" s="674"/>
      <c r="F338" s="674"/>
      <c r="G338" s="674"/>
      <c r="H338" s="674"/>
      <c r="I338" s="674"/>
      <c r="J338" s="674"/>
      <c r="K338" s="674"/>
      <c r="L338" s="674"/>
      <c r="M338" s="674"/>
      <c r="N338" s="674"/>
      <c r="O338" s="674"/>
      <c r="P338" s="674"/>
      <c r="Q338" s="674"/>
      <c r="R338" s="674"/>
      <c r="S338" s="674"/>
      <c r="T338" s="674"/>
      <c r="U338" s="674"/>
      <c r="V338" s="674"/>
      <c r="W338" s="674"/>
      <c r="X338" s="674"/>
      <c r="Y338" s="674"/>
    </row>
    <row r="339" spans="1:25">
      <c r="A339" s="410"/>
      <c r="B339" s="666"/>
      <c r="C339" s="674"/>
      <c r="D339" s="674"/>
      <c r="E339" s="674"/>
      <c r="F339" s="674"/>
      <c r="G339" s="674"/>
      <c r="H339" s="674"/>
      <c r="I339" s="674"/>
      <c r="J339" s="674"/>
      <c r="K339" s="674"/>
      <c r="L339" s="674"/>
      <c r="M339" s="674"/>
      <c r="N339" s="674"/>
      <c r="O339" s="674"/>
      <c r="P339" s="674"/>
      <c r="Q339" s="674"/>
      <c r="R339" s="674"/>
      <c r="S339" s="674"/>
      <c r="T339" s="674"/>
      <c r="U339" s="674"/>
      <c r="V339" s="674"/>
      <c r="W339" s="674"/>
      <c r="X339" s="674"/>
      <c r="Y339" s="674"/>
    </row>
    <row r="340" spans="1:25">
      <c r="A340" s="410"/>
      <c r="B340" s="666"/>
      <c r="C340" s="674"/>
      <c r="D340" s="674"/>
      <c r="E340" s="674"/>
      <c r="F340" s="674"/>
      <c r="G340" s="674"/>
      <c r="H340" s="674"/>
      <c r="I340" s="674"/>
      <c r="J340" s="674"/>
      <c r="K340" s="674"/>
      <c r="L340" s="674"/>
      <c r="M340" s="674"/>
      <c r="N340" s="674"/>
      <c r="O340" s="674"/>
      <c r="P340" s="674"/>
      <c r="Q340" s="674"/>
      <c r="R340" s="674"/>
      <c r="S340" s="674"/>
      <c r="T340" s="674"/>
      <c r="U340" s="674"/>
      <c r="V340" s="674"/>
      <c r="W340" s="674"/>
      <c r="X340" s="674"/>
      <c r="Y340" s="674"/>
    </row>
    <row r="341" spans="1:25">
      <c r="A341" s="410"/>
      <c r="B341" s="666"/>
      <c r="C341" s="674"/>
      <c r="D341" s="674"/>
      <c r="E341" s="674"/>
      <c r="F341" s="674"/>
      <c r="G341" s="674"/>
      <c r="H341" s="674"/>
      <c r="I341" s="674"/>
      <c r="J341" s="674"/>
      <c r="K341" s="674"/>
      <c r="L341" s="674"/>
      <c r="M341" s="674"/>
      <c r="N341" s="674"/>
      <c r="O341" s="674"/>
      <c r="P341" s="674"/>
      <c r="Q341" s="674"/>
      <c r="R341" s="674"/>
      <c r="S341" s="674"/>
      <c r="T341" s="674"/>
      <c r="U341" s="674"/>
      <c r="V341" s="674"/>
      <c r="W341" s="674"/>
      <c r="X341" s="674"/>
      <c r="Y341" s="674"/>
    </row>
    <row r="342" spans="1:25">
      <c r="A342" s="410"/>
      <c r="B342" s="666"/>
      <c r="C342" s="674"/>
      <c r="D342" s="674"/>
      <c r="E342" s="674"/>
      <c r="F342" s="674"/>
      <c r="G342" s="674"/>
      <c r="H342" s="674"/>
      <c r="I342" s="674"/>
      <c r="J342" s="674"/>
      <c r="K342" s="674"/>
      <c r="L342" s="674"/>
      <c r="M342" s="674"/>
      <c r="N342" s="674"/>
      <c r="O342" s="674"/>
      <c r="P342" s="674"/>
      <c r="Q342" s="674"/>
      <c r="R342" s="674"/>
      <c r="S342" s="674"/>
      <c r="T342" s="674"/>
      <c r="U342" s="674"/>
      <c r="V342" s="674"/>
      <c r="W342" s="674"/>
      <c r="X342" s="674"/>
      <c r="Y342" s="674"/>
    </row>
    <row r="343" spans="1:25">
      <c r="A343" s="410"/>
      <c r="B343" s="666"/>
      <c r="C343" s="674"/>
      <c r="D343" s="674"/>
      <c r="E343" s="674"/>
      <c r="F343" s="674"/>
      <c r="G343" s="674"/>
      <c r="H343" s="674"/>
      <c r="I343" s="674"/>
      <c r="J343" s="674"/>
      <c r="K343" s="674"/>
      <c r="L343" s="674"/>
      <c r="M343" s="674"/>
      <c r="N343" s="674"/>
      <c r="O343" s="674"/>
      <c r="P343" s="674"/>
      <c r="Q343" s="674"/>
      <c r="R343" s="674"/>
      <c r="S343" s="674"/>
      <c r="T343" s="674"/>
      <c r="U343" s="674"/>
      <c r="V343" s="674"/>
      <c r="W343" s="674"/>
      <c r="X343" s="674"/>
      <c r="Y343" s="674"/>
    </row>
    <row r="344" spans="1:25">
      <c r="A344" s="410"/>
      <c r="B344" s="666"/>
      <c r="C344" s="674"/>
      <c r="D344" s="674"/>
      <c r="E344" s="674"/>
      <c r="F344" s="674"/>
      <c r="G344" s="674"/>
      <c r="H344" s="674"/>
      <c r="I344" s="674"/>
      <c r="J344" s="674"/>
      <c r="K344" s="674"/>
      <c r="L344" s="674"/>
      <c r="M344" s="674"/>
      <c r="N344" s="674"/>
      <c r="O344" s="674"/>
      <c r="P344" s="674"/>
      <c r="Q344" s="674"/>
      <c r="R344" s="674"/>
      <c r="S344" s="674"/>
      <c r="T344" s="674"/>
      <c r="U344" s="674"/>
      <c r="V344" s="674"/>
      <c r="W344" s="674"/>
      <c r="X344" s="674"/>
      <c r="Y344" s="674"/>
    </row>
    <row r="345" spans="1:25">
      <c r="A345" s="410"/>
      <c r="B345" s="666"/>
      <c r="C345" s="674"/>
      <c r="D345" s="674"/>
      <c r="E345" s="674"/>
      <c r="F345" s="674"/>
      <c r="G345" s="674"/>
      <c r="H345" s="674"/>
      <c r="I345" s="674"/>
      <c r="J345" s="674"/>
      <c r="K345" s="674"/>
      <c r="L345" s="674"/>
      <c r="M345" s="674"/>
      <c r="N345" s="674"/>
      <c r="O345" s="674"/>
      <c r="P345" s="674"/>
      <c r="Q345" s="674"/>
      <c r="R345" s="674"/>
      <c r="S345" s="674"/>
      <c r="T345" s="674"/>
      <c r="U345" s="674"/>
      <c r="V345" s="674"/>
      <c r="W345" s="674"/>
      <c r="X345" s="674"/>
      <c r="Y345" s="674"/>
    </row>
    <row r="346" spans="1:25">
      <c r="A346" s="410"/>
      <c r="B346" s="666"/>
      <c r="C346" s="674"/>
      <c r="D346" s="674"/>
      <c r="E346" s="674"/>
      <c r="F346" s="674"/>
      <c r="G346" s="674"/>
      <c r="H346" s="674"/>
      <c r="I346" s="674"/>
      <c r="J346" s="674"/>
      <c r="K346" s="674"/>
      <c r="L346" s="674"/>
      <c r="M346" s="674"/>
      <c r="N346" s="674"/>
      <c r="O346" s="674"/>
      <c r="P346" s="674"/>
      <c r="Q346" s="674"/>
      <c r="R346" s="674"/>
      <c r="S346" s="674"/>
      <c r="T346" s="674"/>
      <c r="U346" s="674"/>
      <c r="V346" s="674"/>
      <c r="W346" s="674"/>
      <c r="X346" s="674"/>
      <c r="Y346" s="674"/>
    </row>
    <row r="347" spans="1:25">
      <c r="A347" s="410"/>
      <c r="B347" s="666"/>
      <c r="C347" s="674"/>
      <c r="D347" s="674"/>
      <c r="E347" s="674"/>
      <c r="F347" s="674"/>
      <c r="G347" s="674"/>
      <c r="H347" s="674"/>
      <c r="I347" s="674"/>
      <c r="J347" s="674"/>
      <c r="K347" s="674"/>
      <c r="L347" s="674"/>
      <c r="M347" s="674"/>
      <c r="N347" s="674"/>
      <c r="O347" s="674"/>
      <c r="P347" s="674"/>
      <c r="Q347" s="674"/>
      <c r="R347" s="674"/>
      <c r="S347" s="674"/>
      <c r="T347" s="674"/>
      <c r="U347" s="674"/>
      <c r="V347" s="674"/>
      <c r="W347" s="674"/>
      <c r="X347" s="674"/>
      <c r="Y347" s="674"/>
    </row>
    <row r="348" spans="1:25">
      <c r="A348" s="804"/>
      <c r="B348" s="658"/>
      <c r="C348" s="662"/>
      <c r="D348" s="662"/>
      <c r="E348" s="662"/>
      <c r="F348" s="662"/>
      <c r="G348" s="662"/>
      <c r="H348" s="662"/>
      <c r="I348" s="662"/>
      <c r="J348" s="662"/>
      <c r="K348" s="662"/>
      <c r="L348" s="662"/>
      <c r="M348" s="662"/>
      <c r="N348" s="662"/>
      <c r="O348" s="662"/>
      <c r="P348" s="662"/>
      <c r="Q348" s="662"/>
      <c r="R348" s="662"/>
      <c r="S348" s="662"/>
      <c r="T348" s="662"/>
      <c r="U348" s="662"/>
      <c r="V348" s="662"/>
      <c r="W348" s="662"/>
      <c r="X348" s="662"/>
      <c r="Y348" s="662"/>
    </row>
    <row r="349" spans="1:25">
      <c r="A349" s="410"/>
      <c r="B349" s="666"/>
      <c r="C349" s="674"/>
      <c r="D349" s="674"/>
      <c r="E349" s="674"/>
      <c r="F349" s="674"/>
      <c r="G349" s="674"/>
      <c r="H349" s="674"/>
      <c r="I349" s="674"/>
      <c r="J349" s="674"/>
      <c r="K349" s="674"/>
      <c r="L349" s="674"/>
      <c r="M349" s="674"/>
      <c r="N349" s="674"/>
      <c r="O349" s="674"/>
      <c r="P349" s="674"/>
      <c r="Q349" s="674"/>
      <c r="R349" s="674"/>
      <c r="S349" s="674"/>
      <c r="T349" s="674"/>
      <c r="U349" s="674"/>
      <c r="V349" s="674"/>
      <c r="W349" s="674"/>
      <c r="X349" s="674"/>
      <c r="Y349" s="674"/>
    </row>
    <row r="350" spans="1:25">
      <c r="A350" s="410"/>
      <c r="B350" s="666"/>
      <c r="C350" s="674"/>
      <c r="D350" s="674"/>
      <c r="E350" s="674"/>
      <c r="F350" s="674"/>
      <c r="G350" s="674"/>
      <c r="H350" s="674"/>
      <c r="I350" s="674"/>
      <c r="J350" s="674"/>
      <c r="K350" s="674"/>
      <c r="L350" s="674"/>
      <c r="M350" s="674"/>
      <c r="N350" s="674"/>
      <c r="O350" s="674"/>
      <c r="P350" s="674"/>
      <c r="Q350" s="674"/>
      <c r="R350" s="674"/>
      <c r="S350" s="674"/>
      <c r="T350" s="674"/>
      <c r="U350" s="674"/>
      <c r="V350" s="674"/>
      <c r="W350" s="674"/>
      <c r="X350" s="674"/>
      <c r="Y350" s="674"/>
    </row>
    <row r="351" spans="1:25">
      <c r="A351" s="410"/>
      <c r="B351" s="666"/>
      <c r="C351" s="674"/>
      <c r="D351" s="674"/>
      <c r="E351" s="674"/>
      <c r="F351" s="674"/>
      <c r="G351" s="674"/>
      <c r="H351" s="674"/>
      <c r="I351" s="674"/>
      <c r="J351" s="674"/>
      <c r="K351" s="674"/>
      <c r="L351" s="674"/>
      <c r="M351" s="674"/>
      <c r="N351" s="674"/>
      <c r="O351" s="674"/>
      <c r="P351" s="674"/>
      <c r="Q351" s="674"/>
      <c r="R351" s="674"/>
      <c r="S351" s="674"/>
      <c r="T351" s="674"/>
      <c r="U351" s="674"/>
      <c r="V351" s="674"/>
      <c r="W351" s="674"/>
      <c r="X351" s="674"/>
      <c r="Y351" s="674"/>
    </row>
    <row r="352" spans="1:25">
      <c r="A352" s="410"/>
      <c r="B352" s="666"/>
      <c r="C352" s="674"/>
      <c r="D352" s="674"/>
      <c r="E352" s="674"/>
      <c r="F352" s="674"/>
      <c r="G352" s="674"/>
      <c r="H352" s="674"/>
      <c r="I352" s="674"/>
      <c r="J352" s="674"/>
      <c r="K352" s="674"/>
      <c r="L352" s="674"/>
      <c r="M352" s="674"/>
      <c r="N352" s="674"/>
      <c r="O352" s="674"/>
      <c r="P352" s="674"/>
      <c r="Q352" s="674"/>
      <c r="R352" s="674"/>
      <c r="S352" s="674"/>
      <c r="T352" s="674"/>
      <c r="U352" s="674"/>
      <c r="V352" s="674"/>
      <c r="W352" s="674"/>
      <c r="X352" s="674"/>
      <c r="Y352" s="674"/>
    </row>
    <row r="353" spans="1:25">
      <c r="A353" s="410"/>
      <c r="B353" s="666"/>
      <c r="C353" s="674"/>
      <c r="D353" s="674"/>
      <c r="E353" s="674"/>
      <c r="F353" s="674"/>
      <c r="G353" s="674"/>
      <c r="H353" s="674"/>
      <c r="I353" s="674"/>
      <c r="J353" s="674"/>
      <c r="K353" s="674"/>
      <c r="L353" s="674"/>
      <c r="M353" s="674"/>
      <c r="N353" s="674"/>
      <c r="O353" s="674"/>
      <c r="P353" s="674"/>
      <c r="Q353" s="674"/>
      <c r="R353" s="674"/>
      <c r="S353" s="674"/>
      <c r="T353" s="674"/>
      <c r="U353" s="674"/>
      <c r="V353" s="674"/>
      <c r="W353" s="674"/>
      <c r="X353" s="674"/>
      <c r="Y353" s="674"/>
    </row>
    <row r="354" spans="1:25">
      <c r="A354" s="410"/>
      <c r="B354" s="666"/>
      <c r="C354" s="674"/>
      <c r="D354" s="674"/>
      <c r="E354" s="674"/>
      <c r="F354" s="674"/>
      <c r="G354" s="674"/>
      <c r="H354" s="674"/>
      <c r="I354" s="674"/>
      <c r="J354" s="674"/>
      <c r="K354" s="674"/>
      <c r="L354" s="674"/>
      <c r="M354" s="674"/>
      <c r="N354" s="674"/>
      <c r="O354" s="674"/>
      <c r="P354" s="674"/>
      <c r="Q354" s="674"/>
      <c r="R354" s="674"/>
      <c r="S354" s="674"/>
      <c r="T354" s="674"/>
      <c r="U354" s="674"/>
      <c r="V354" s="674"/>
      <c r="W354" s="674"/>
      <c r="X354" s="674"/>
      <c r="Y354" s="674"/>
    </row>
    <row r="355" spans="1:25">
      <c r="A355" s="410"/>
      <c r="B355" s="666"/>
      <c r="C355" s="674"/>
      <c r="D355" s="674"/>
      <c r="E355" s="674"/>
      <c r="F355" s="674"/>
      <c r="G355" s="674"/>
      <c r="H355" s="674"/>
      <c r="I355" s="674"/>
      <c r="J355" s="674"/>
      <c r="K355" s="674"/>
      <c r="L355" s="674"/>
      <c r="M355" s="674"/>
      <c r="N355" s="674"/>
      <c r="O355" s="674"/>
      <c r="P355" s="674"/>
      <c r="Q355" s="674"/>
      <c r="R355" s="674"/>
      <c r="S355" s="674"/>
      <c r="T355" s="674"/>
      <c r="U355" s="674"/>
      <c r="V355" s="674"/>
      <c r="W355" s="674"/>
      <c r="X355" s="674"/>
      <c r="Y355" s="674"/>
    </row>
    <row r="356" spans="1:25">
      <c r="A356" s="410"/>
      <c r="B356" s="666"/>
      <c r="C356" s="674"/>
      <c r="D356" s="674"/>
      <c r="E356" s="674"/>
      <c r="F356" s="674"/>
      <c r="G356" s="674"/>
      <c r="H356" s="674"/>
      <c r="I356" s="674"/>
      <c r="J356" s="674"/>
      <c r="K356" s="674"/>
      <c r="L356" s="674"/>
      <c r="M356" s="674"/>
      <c r="N356" s="674"/>
      <c r="O356" s="674"/>
      <c r="P356" s="674"/>
      <c r="Q356" s="674"/>
      <c r="R356" s="674"/>
      <c r="S356" s="674"/>
      <c r="T356" s="674"/>
      <c r="U356" s="674"/>
      <c r="V356" s="674"/>
      <c r="W356" s="674"/>
      <c r="X356" s="674"/>
      <c r="Y356" s="674"/>
    </row>
    <row r="357" spans="1:25">
      <c r="A357" s="410"/>
      <c r="B357" s="666"/>
      <c r="C357" s="674"/>
      <c r="D357" s="674"/>
      <c r="E357" s="674"/>
      <c r="F357" s="674"/>
      <c r="G357" s="674"/>
      <c r="H357" s="674"/>
      <c r="I357" s="674"/>
      <c r="J357" s="674"/>
      <c r="K357" s="674"/>
      <c r="L357" s="674"/>
      <c r="M357" s="674"/>
      <c r="N357" s="674"/>
      <c r="O357" s="674"/>
      <c r="P357" s="674"/>
      <c r="Q357" s="674"/>
      <c r="R357" s="674"/>
      <c r="S357" s="674"/>
      <c r="T357" s="674"/>
      <c r="U357" s="674"/>
      <c r="V357" s="674"/>
      <c r="W357" s="674"/>
      <c r="X357" s="674"/>
      <c r="Y357" s="674"/>
    </row>
    <row r="358" spans="1:25">
      <c r="A358" s="410"/>
      <c r="B358" s="666"/>
      <c r="C358" s="674"/>
      <c r="D358" s="674"/>
      <c r="E358" s="674"/>
      <c r="F358" s="674"/>
      <c r="G358" s="674"/>
      <c r="H358" s="674"/>
      <c r="I358" s="674"/>
      <c r="J358" s="674"/>
      <c r="K358" s="674"/>
      <c r="L358" s="674"/>
      <c r="M358" s="674"/>
      <c r="N358" s="674"/>
      <c r="O358" s="674"/>
      <c r="P358" s="674"/>
      <c r="Q358" s="674"/>
      <c r="R358" s="674"/>
      <c r="S358" s="674"/>
      <c r="T358" s="674"/>
      <c r="U358" s="674"/>
      <c r="V358" s="674"/>
      <c r="W358" s="674"/>
      <c r="X358" s="674"/>
      <c r="Y358" s="674"/>
    </row>
    <row r="359" spans="1:25">
      <c r="A359" s="410"/>
      <c r="B359" s="666"/>
      <c r="C359" s="674"/>
      <c r="D359" s="674"/>
      <c r="E359" s="674"/>
      <c r="F359" s="674"/>
      <c r="G359" s="674"/>
      <c r="H359" s="674"/>
      <c r="I359" s="674"/>
      <c r="J359" s="674"/>
      <c r="K359" s="674"/>
      <c r="L359" s="674"/>
      <c r="M359" s="674"/>
      <c r="N359" s="674"/>
      <c r="O359" s="674"/>
      <c r="P359" s="674"/>
      <c r="Q359" s="674"/>
      <c r="R359" s="674"/>
      <c r="S359" s="674"/>
      <c r="T359" s="674"/>
      <c r="U359" s="674"/>
      <c r="V359" s="674"/>
      <c r="W359" s="674"/>
      <c r="X359" s="674"/>
      <c r="Y359" s="674"/>
    </row>
    <row r="360" spans="1:25">
      <c r="A360" s="410"/>
      <c r="B360" s="666"/>
      <c r="C360" s="674"/>
      <c r="D360" s="674"/>
      <c r="E360" s="674"/>
      <c r="F360" s="674"/>
      <c r="G360" s="674"/>
      <c r="H360" s="674"/>
      <c r="I360" s="674"/>
      <c r="J360" s="674"/>
      <c r="K360" s="674"/>
      <c r="L360" s="674"/>
      <c r="M360" s="674"/>
      <c r="N360" s="674"/>
      <c r="O360" s="674"/>
      <c r="P360" s="674"/>
      <c r="Q360" s="674"/>
      <c r="R360" s="674"/>
      <c r="S360" s="674"/>
      <c r="T360" s="674"/>
      <c r="U360" s="674"/>
      <c r="V360" s="674"/>
      <c r="W360" s="674"/>
      <c r="X360" s="674"/>
      <c r="Y360" s="674"/>
    </row>
    <row r="361" spans="1:25">
      <c r="A361" s="410"/>
      <c r="B361" s="666"/>
      <c r="C361" s="674"/>
      <c r="D361" s="674"/>
      <c r="E361" s="674"/>
      <c r="F361" s="674"/>
      <c r="G361" s="674"/>
      <c r="H361" s="674"/>
      <c r="I361" s="674"/>
      <c r="J361" s="674"/>
      <c r="K361" s="674"/>
      <c r="L361" s="674"/>
      <c r="M361" s="674"/>
      <c r="N361" s="674"/>
      <c r="O361" s="674"/>
      <c r="P361" s="674"/>
      <c r="Q361" s="674"/>
      <c r="R361" s="674"/>
      <c r="S361" s="674"/>
      <c r="T361" s="674"/>
      <c r="U361" s="674"/>
      <c r="V361" s="674"/>
      <c r="W361" s="674"/>
      <c r="X361" s="674"/>
      <c r="Y361" s="674"/>
    </row>
    <row r="362" spans="1:25">
      <c r="A362" s="804"/>
      <c r="B362" s="658"/>
      <c r="C362" s="662"/>
      <c r="D362" s="662"/>
      <c r="E362" s="662"/>
      <c r="F362" s="662"/>
      <c r="G362" s="662"/>
      <c r="H362" s="662"/>
      <c r="I362" s="662"/>
      <c r="J362" s="662"/>
      <c r="K362" s="662"/>
      <c r="L362" s="662"/>
      <c r="M362" s="662"/>
      <c r="N362" s="662"/>
      <c r="O362" s="662"/>
      <c r="P362" s="662"/>
      <c r="Q362" s="662"/>
      <c r="R362" s="662"/>
      <c r="S362" s="662"/>
      <c r="T362" s="662"/>
      <c r="U362" s="662"/>
      <c r="V362" s="662"/>
      <c r="W362" s="662"/>
      <c r="X362" s="662"/>
      <c r="Y362" s="662"/>
    </row>
    <row r="363" spans="1:25">
      <c r="A363" s="410"/>
      <c r="B363" s="666"/>
      <c r="C363" s="674"/>
      <c r="D363" s="674"/>
      <c r="E363" s="674"/>
      <c r="F363" s="674"/>
      <c r="G363" s="674"/>
      <c r="H363" s="674"/>
      <c r="I363" s="674"/>
      <c r="J363" s="674"/>
      <c r="K363" s="674"/>
      <c r="L363" s="674"/>
      <c r="M363" s="674"/>
      <c r="N363" s="674"/>
      <c r="O363" s="674"/>
      <c r="P363" s="674"/>
      <c r="Q363" s="674"/>
      <c r="R363" s="674"/>
      <c r="S363" s="674"/>
      <c r="T363" s="674"/>
      <c r="U363" s="674"/>
      <c r="V363" s="674"/>
      <c r="W363" s="674"/>
      <c r="X363" s="674"/>
      <c r="Y363" s="674"/>
    </row>
    <row r="364" spans="1:25">
      <c r="A364" s="410"/>
      <c r="B364" s="666"/>
      <c r="C364" s="674"/>
      <c r="D364" s="674"/>
      <c r="E364" s="674"/>
      <c r="F364" s="674"/>
      <c r="G364" s="674"/>
      <c r="H364" s="674"/>
      <c r="I364" s="674"/>
      <c r="J364" s="674"/>
      <c r="K364" s="674"/>
      <c r="L364" s="674"/>
      <c r="M364" s="674"/>
      <c r="N364" s="674"/>
      <c r="O364" s="674"/>
      <c r="P364" s="674"/>
      <c r="Q364" s="674"/>
      <c r="R364" s="674"/>
      <c r="S364" s="674"/>
      <c r="T364" s="674"/>
      <c r="U364" s="674"/>
      <c r="V364" s="674"/>
      <c r="W364" s="674"/>
      <c r="X364" s="674"/>
      <c r="Y364" s="674"/>
    </row>
    <row r="365" spans="1:25">
      <c r="A365" s="410"/>
      <c r="B365" s="666"/>
      <c r="C365" s="674"/>
      <c r="D365" s="674"/>
      <c r="E365" s="674"/>
      <c r="F365" s="674"/>
      <c r="G365" s="674"/>
      <c r="H365" s="674"/>
      <c r="I365" s="674"/>
      <c r="J365" s="674"/>
      <c r="K365" s="674"/>
      <c r="L365" s="674"/>
      <c r="M365" s="674"/>
      <c r="N365" s="674"/>
      <c r="O365" s="674"/>
      <c r="P365" s="674"/>
      <c r="Q365" s="674"/>
      <c r="R365" s="674"/>
      <c r="S365" s="674"/>
      <c r="T365" s="674"/>
      <c r="U365" s="674"/>
      <c r="V365" s="674"/>
      <c r="W365" s="674"/>
      <c r="X365" s="674"/>
      <c r="Y365" s="674"/>
    </row>
    <row r="366" spans="1:25">
      <c r="A366" s="410"/>
      <c r="B366" s="666"/>
      <c r="C366" s="674"/>
      <c r="D366" s="674"/>
      <c r="E366" s="674"/>
      <c r="F366" s="674"/>
      <c r="G366" s="674"/>
      <c r="H366" s="674"/>
      <c r="I366" s="674"/>
      <c r="J366" s="674"/>
      <c r="K366" s="674"/>
      <c r="L366" s="674"/>
      <c r="M366" s="674"/>
      <c r="N366" s="674"/>
      <c r="O366" s="674"/>
      <c r="P366" s="674"/>
      <c r="Q366" s="674"/>
      <c r="R366" s="674"/>
      <c r="S366" s="674"/>
      <c r="T366" s="674"/>
      <c r="U366" s="674"/>
      <c r="V366" s="674"/>
      <c r="W366" s="674"/>
      <c r="X366" s="674"/>
      <c r="Y366" s="674"/>
    </row>
    <row r="367" spans="1:25">
      <c r="A367" s="804"/>
      <c r="B367" s="658"/>
      <c r="C367" s="662"/>
      <c r="D367" s="662"/>
      <c r="E367" s="662"/>
      <c r="F367" s="662"/>
      <c r="G367" s="662"/>
      <c r="H367" s="662"/>
      <c r="I367" s="662"/>
      <c r="J367" s="662"/>
      <c r="K367" s="662"/>
      <c r="L367" s="662"/>
      <c r="M367" s="662"/>
      <c r="N367" s="662"/>
      <c r="O367" s="662"/>
      <c r="P367" s="662"/>
      <c r="Q367" s="662"/>
      <c r="R367" s="662"/>
      <c r="S367" s="662"/>
      <c r="T367" s="662"/>
      <c r="U367" s="662"/>
      <c r="V367" s="662"/>
      <c r="W367" s="662"/>
      <c r="X367" s="662"/>
      <c r="Y367" s="662"/>
    </row>
    <row r="368" spans="1:25">
      <c r="A368" s="410"/>
      <c r="B368" s="666"/>
      <c r="C368" s="674"/>
      <c r="D368" s="674"/>
      <c r="E368" s="674"/>
      <c r="F368" s="674"/>
      <c r="G368" s="674"/>
      <c r="H368" s="674"/>
      <c r="I368" s="674"/>
      <c r="J368" s="674"/>
      <c r="K368" s="674"/>
      <c r="L368" s="674"/>
      <c r="M368" s="674"/>
      <c r="N368" s="674"/>
      <c r="O368" s="674"/>
      <c r="P368" s="674"/>
      <c r="Q368" s="674"/>
      <c r="R368" s="674"/>
      <c r="S368" s="674"/>
      <c r="T368" s="674"/>
      <c r="U368" s="674"/>
      <c r="V368" s="674"/>
      <c r="W368" s="674"/>
      <c r="X368" s="674"/>
      <c r="Y368" s="674"/>
    </row>
    <row r="369" spans="1:25">
      <c r="A369" s="410"/>
      <c r="B369" s="666"/>
      <c r="C369" s="674"/>
      <c r="D369" s="674"/>
      <c r="E369" s="674"/>
      <c r="F369" s="674"/>
      <c r="G369" s="674"/>
      <c r="H369" s="674"/>
      <c r="I369" s="674"/>
      <c r="J369" s="674"/>
      <c r="K369" s="674"/>
      <c r="L369" s="674"/>
      <c r="M369" s="674"/>
      <c r="N369" s="674"/>
      <c r="O369" s="674"/>
      <c r="P369" s="674"/>
      <c r="Q369" s="674"/>
      <c r="R369" s="674"/>
      <c r="S369" s="674"/>
      <c r="T369" s="674"/>
      <c r="U369" s="674"/>
      <c r="V369" s="674"/>
      <c r="W369" s="674"/>
      <c r="X369" s="674"/>
      <c r="Y369" s="674"/>
    </row>
    <row r="370" spans="1:25">
      <c r="A370" s="410"/>
      <c r="B370" s="666"/>
      <c r="C370" s="674"/>
      <c r="D370" s="674"/>
      <c r="E370" s="674"/>
      <c r="F370" s="674"/>
      <c r="G370" s="674"/>
      <c r="H370" s="674"/>
      <c r="I370" s="674"/>
      <c r="J370" s="674"/>
      <c r="K370" s="674"/>
      <c r="L370" s="674"/>
      <c r="M370" s="674"/>
      <c r="N370" s="674"/>
      <c r="O370" s="674"/>
      <c r="P370" s="674"/>
      <c r="Q370" s="674"/>
      <c r="R370" s="674"/>
      <c r="S370" s="674"/>
      <c r="T370" s="674"/>
      <c r="U370" s="674"/>
      <c r="V370" s="674"/>
      <c r="W370" s="674"/>
      <c r="X370" s="674"/>
      <c r="Y370" s="674"/>
    </row>
    <row r="371" spans="1:25">
      <c r="A371" s="410"/>
      <c r="B371" s="666"/>
      <c r="C371" s="674"/>
      <c r="D371" s="674"/>
      <c r="E371" s="674"/>
      <c r="F371" s="674"/>
      <c r="G371" s="674"/>
      <c r="H371" s="674"/>
      <c r="I371" s="674"/>
      <c r="J371" s="674"/>
      <c r="K371" s="674"/>
      <c r="L371" s="674"/>
      <c r="M371" s="674"/>
      <c r="N371" s="674"/>
      <c r="O371" s="674"/>
      <c r="P371" s="674"/>
      <c r="Q371" s="674"/>
      <c r="R371" s="674"/>
      <c r="S371" s="674"/>
      <c r="T371" s="674"/>
      <c r="U371" s="674"/>
      <c r="V371" s="674"/>
      <c r="W371" s="674"/>
      <c r="X371" s="674"/>
      <c r="Y371" s="674"/>
    </row>
    <row r="372" spans="1:25">
      <c r="A372" s="410"/>
      <c r="B372" s="666"/>
      <c r="C372" s="674"/>
      <c r="D372" s="674"/>
      <c r="E372" s="674"/>
      <c r="F372" s="674"/>
      <c r="G372" s="674"/>
      <c r="H372" s="674"/>
      <c r="I372" s="674"/>
      <c r="J372" s="674"/>
      <c r="K372" s="674"/>
      <c r="L372" s="674"/>
      <c r="M372" s="674"/>
      <c r="N372" s="674"/>
      <c r="O372" s="674"/>
      <c r="P372" s="674"/>
      <c r="Q372" s="674"/>
      <c r="R372" s="674"/>
      <c r="S372" s="674"/>
      <c r="T372" s="674"/>
      <c r="U372" s="674"/>
      <c r="V372" s="674"/>
      <c r="W372" s="674"/>
      <c r="X372" s="674"/>
      <c r="Y372" s="674"/>
    </row>
    <row r="373" spans="1:25">
      <c r="A373" s="410"/>
      <c r="B373" s="666"/>
      <c r="C373" s="674"/>
      <c r="D373" s="674"/>
      <c r="E373" s="674"/>
      <c r="F373" s="674"/>
      <c r="G373" s="674"/>
      <c r="H373" s="674"/>
      <c r="I373" s="674"/>
      <c r="J373" s="674"/>
      <c r="K373" s="674"/>
      <c r="L373" s="674"/>
      <c r="M373" s="674"/>
      <c r="N373" s="674"/>
      <c r="O373" s="674"/>
      <c r="P373" s="674"/>
      <c r="Q373" s="674"/>
      <c r="R373" s="674"/>
      <c r="S373" s="674"/>
      <c r="T373" s="674"/>
      <c r="U373" s="674"/>
      <c r="V373" s="674"/>
      <c r="W373" s="674"/>
      <c r="X373" s="674"/>
      <c r="Y373" s="674"/>
    </row>
    <row r="374" spans="1:25">
      <c r="A374" s="410"/>
      <c r="B374" s="666"/>
      <c r="C374" s="674"/>
      <c r="D374" s="674"/>
      <c r="E374" s="674"/>
      <c r="F374" s="674"/>
      <c r="G374" s="674"/>
      <c r="H374" s="674"/>
      <c r="I374" s="674"/>
      <c r="J374" s="674"/>
      <c r="K374" s="674"/>
      <c r="L374" s="674"/>
      <c r="M374" s="674"/>
      <c r="N374" s="674"/>
      <c r="O374" s="674"/>
      <c r="P374" s="674"/>
      <c r="Q374" s="674"/>
      <c r="R374" s="674"/>
      <c r="S374" s="674"/>
      <c r="T374" s="674"/>
      <c r="U374" s="674"/>
      <c r="V374" s="674"/>
      <c r="W374" s="674"/>
      <c r="X374" s="674"/>
      <c r="Y374" s="674"/>
    </row>
    <row r="375" spans="1:25">
      <c r="A375" s="410"/>
      <c r="B375" s="666"/>
      <c r="C375" s="674"/>
      <c r="D375" s="674"/>
      <c r="E375" s="674"/>
      <c r="F375" s="674"/>
      <c r="G375" s="674"/>
      <c r="H375" s="674"/>
      <c r="I375" s="674"/>
      <c r="J375" s="674"/>
      <c r="K375" s="674"/>
      <c r="L375" s="674"/>
      <c r="M375" s="674"/>
      <c r="N375" s="674"/>
      <c r="O375" s="674"/>
      <c r="P375" s="674"/>
      <c r="Q375" s="674"/>
      <c r="R375" s="674"/>
      <c r="S375" s="674"/>
      <c r="T375" s="674"/>
      <c r="U375" s="674"/>
      <c r="V375" s="674"/>
      <c r="W375" s="674"/>
      <c r="X375" s="674"/>
      <c r="Y375" s="674"/>
    </row>
    <row r="376" spans="1:25">
      <c r="A376" s="410"/>
      <c r="B376" s="666"/>
      <c r="C376" s="674"/>
      <c r="D376" s="674"/>
      <c r="E376" s="674"/>
      <c r="F376" s="674"/>
      <c r="G376" s="662"/>
      <c r="H376" s="662"/>
      <c r="I376" s="674"/>
      <c r="J376" s="674"/>
      <c r="K376" s="674"/>
      <c r="L376" s="674"/>
      <c r="M376" s="662"/>
      <c r="N376" s="662"/>
      <c r="O376" s="674"/>
      <c r="P376" s="674"/>
      <c r="Q376" s="674"/>
      <c r="R376" s="674"/>
      <c r="S376" s="662"/>
      <c r="T376" s="662"/>
      <c r="U376" s="674"/>
      <c r="V376" s="674"/>
      <c r="W376" s="674"/>
      <c r="X376" s="674"/>
      <c r="Y376" s="662"/>
    </row>
    <row r="377" spans="1:25">
      <c r="A377" s="804"/>
      <c r="B377" s="658"/>
      <c r="C377" s="662"/>
      <c r="D377" s="662"/>
      <c r="E377" s="662"/>
      <c r="F377" s="662"/>
      <c r="G377" s="662"/>
      <c r="H377" s="662"/>
      <c r="I377" s="662"/>
      <c r="J377" s="662"/>
      <c r="K377" s="662"/>
      <c r="L377" s="662"/>
      <c r="M377" s="662"/>
      <c r="N377" s="662"/>
      <c r="O377" s="662"/>
      <c r="P377" s="662"/>
      <c r="Q377" s="662"/>
      <c r="R377" s="662"/>
      <c r="S377" s="662"/>
      <c r="T377" s="662"/>
      <c r="U377" s="662"/>
      <c r="V377" s="662"/>
      <c r="W377" s="662"/>
      <c r="X377" s="662"/>
      <c r="Y377" s="662"/>
    </row>
    <row r="378" spans="1:25">
      <c r="A378" s="410"/>
      <c r="B378" s="666"/>
      <c r="C378" s="674"/>
      <c r="D378" s="674"/>
      <c r="E378" s="674"/>
      <c r="F378" s="674"/>
      <c r="G378" s="674"/>
      <c r="H378" s="674"/>
      <c r="I378" s="674"/>
      <c r="J378" s="674"/>
      <c r="K378" s="674"/>
      <c r="L378" s="674"/>
      <c r="M378" s="674"/>
      <c r="N378" s="674"/>
      <c r="O378" s="674"/>
      <c r="P378" s="674"/>
      <c r="Q378" s="674"/>
      <c r="R378" s="674"/>
      <c r="S378" s="674"/>
      <c r="T378" s="674"/>
      <c r="U378" s="674"/>
      <c r="V378" s="674"/>
      <c r="W378" s="674"/>
      <c r="X378" s="674"/>
      <c r="Y378" s="674"/>
    </row>
    <row r="379" spans="1:25">
      <c r="A379" s="410"/>
      <c r="B379" s="666"/>
      <c r="C379" s="674"/>
      <c r="D379" s="674"/>
      <c r="E379" s="674"/>
      <c r="F379" s="674"/>
      <c r="G379" s="674"/>
      <c r="H379" s="674"/>
      <c r="I379" s="674"/>
      <c r="J379" s="674"/>
      <c r="K379" s="674"/>
      <c r="L379" s="674"/>
      <c r="M379" s="674"/>
      <c r="N379" s="674"/>
      <c r="O379" s="674"/>
      <c r="P379" s="674"/>
      <c r="Q379" s="674"/>
      <c r="R379" s="674"/>
      <c r="S379" s="674"/>
      <c r="T379" s="674"/>
      <c r="U379" s="674"/>
      <c r="V379" s="674"/>
      <c r="W379" s="674"/>
      <c r="X379" s="674"/>
      <c r="Y379" s="674"/>
    </row>
    <row r="380" spans="1:25">
      <c r="A380" s="410"/>
      <c r="B380" s="666"/>
      <c r="C380" s="674"/>
      <c r="D380" s="674"/>
      <c r="E380" s="674"/>
      <c r="F380" s="674"/>
      <c r="G380" s="674"/>
      <c r="H380" s="674"/>
      <c r="I380" s="674"/>
      <c r="J380" s="674"/>
      <c r="K380" s="674"/>
      <c r="L380" s="674"/>
      <c r="M380" s="674"/>
      <c r="N380" s="674"/>
      <c r="O380" s="674"/>
      <c r="P380" s="674"/>
      <c r="Q380" s="674"/>
      <c r="R380" s="674"/>
      <c r="S380" s="674"/>
      <c r="T380" s="674"/>
      <c r="U380" s="674"/>
      <c r="V380" s="674"/>
      <c r="W380" s="674"/>
      <c r="X380" s="674"/>
      <c r="Y380" s="674"/>
    </row>
    <row r="381" spans="1:25">
      <c r="A381" s="410"/>
      <c r="B381" s="666"/>
      <c r="C381" s="674"/>
      <c r="D381" s="674"/>
      <c r="E381" s="674"/>
      <c r="F381" s="674"/>
      <c r="G381" s="674"/>
      <c r="H381" s="674"/>
      <c r="I381" s="674"/>
      <c r="J381" s="674"/>
      <c r="K381" s="674"/>
      <c r="L381" s="674"/>
      <c r="M381" s="674"/>
      <c r="N381" s="674"/>
      <c r="O381" s="674"/>
      <c r="P381" s="674"/>
      <c r="Q381" s="674"/>
      <c r="R381" s="674"/>
      <c r="S381" s="674"/>
      <c r="T381" s="674"/>
      <c r="U381" s="674"/>
      <c r="V381" s="674"/>
      <c r="W381" s="674"/>
      <c r="X381" s="674"/>
      <c r="Y381" s="674"/>
    </row>
    <row r="382" spans="1:25">
      <c r="A382" s="410"/>
      <c r="B382" s="666"/>
      <c r="C382" s="674"/>
      <c r="D382" s="674"/>
      <c r="E382" s="674"/>
      <c r="F382" s="674"/>
      <c r="G382" s="674"/>
      <c r="H382" s="674"/>
      <c r="I382" s="674"/>
      <c r="J382" s="674"/>
      <c r="K382" s="674"/>
      <c r="L382" s="674"/>
      <c r="M382" s="674"/>
      <c r="N382" s="674"/>
      <c r="O382" s="674"/>
      <c r="P382" s="674"/>
      <c r="Q382" s="674"/>
      <c r="R382" s="674"/>
      <c r="S382" s="674"/>
      <c r="T382" s="674"/>
      <c r="U382" s="674"/>
      <c r="V382" s="674"/>
      <c r="W382" s="674"/>
      <c r="X382" s="674"/>
      <c r="Y382" s="674"/>
    </row>
    <row r="383" spans="1:25">
      <c r="A383" s="410"/>
      <c r="B383" s="666"/>
      <c r="C383" s="674"/>
      <c r="D383" s="674"/>
      <c r="E383" s="674"/>
      <c r="F383" s="674"/>
      <c r="G383" s="674"/>
      <c r="H383" s="674"/>
      <c r="I383" s="674"/>
      <c r="J383" s="674"/>
      <c r="K383" s="674"/>
      <c r="L383" s="674"/>
      <c r="M383" s="674"/>
      <c r="N383" s="674"/>
      <c r="O383" s="674"/>
      <c r="P383" s="674"/>
      <c r="Q383" s="674"/>
      <c r="R383" s="674"/>
      <c r="S383" s="674"/>
      <c r="T383" s="674"/>
      <c r="U383" s="674"/>
      <c r="V383" s="674"/>
      <c r="W383" s="674"/>
      <c r="X383" s="674"/>
      <c r="Y383" s="674"/>
    </row>
    <row r="384" spans="1:25">
      <c r="A384" s="410"/>
      <c r="B384" s="666"/>
      <c r="C384" s="674"/>
      <c r="D384" s="674"/>
      <c r="E384" s="674"/>
      <c r="F384" s="674"/>
      <c r="G384" s="674"/>
      <c r="H384" s="674"/>
      <c r="I384" s="674"/>
      <c r="J384" s="674"/>
      <c r="K384" s="674"/>
      <c r="L384" s="674"/>
      <c r="M384" s="674"/>
      <c r="N384" s="674"/>
      <c r="O384" s="674"/>
      <c r="P384" s="674"/>
      <c r="Q384" s="674"/>
      <c r="R384" s="674"/>
      <c r="S384" s="674"/>
      <c r="T384" s="674"/>
      <c r="U384" s="674"/>
      <c r="V384" s="674"/>
      <c r="W384" s="674"/>
      <c r="X384" s="674"/>
      <c r="Y384" s="674"/>
    </row>
    <row r="385" spans="1:25">
      <c r="A385" s="410"/>
      <c r="B385" s="666"/>
      <c r="C385" s="674"/>
      <c r="D385" s="674"/>
      <c r="E385" s="674"/>
      <c r="F385" s="674"/>
      <c r="G385" s="674"/>
      <c r="H385" s="674"/>
      <c r="I385" s="674"/>
      <c r="J385" s="674"/>
      <c r="K385" s="674"/>
      <c r="L385" s="674"/>
      <c r="M385" s="674"/>
      <c r="N385" s="674"/>
      <c r="O385" s="674"/>
      <c r="P385" s="674"/>
      <c r="Q385" s="674"/>
      <c r="R385" s="674"/>
      <c r="S385" s="674"/>
      <c r="T385" s="674"/>
      <c r="U385" s="674"/>
      <c r="V385" s="674"/>
      <c r="W385" s="674"/>
      <c r="X385" s="674"/>
      <c r="Y385" s="674"/>
    </row>
    <row r="386" spans="1:25">
      <c r="A386" s="804"/>
      <c r="B386" s="658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</row>
    <row r="387" spans="1:25">
      <c r="A387" s="676"/>
      <c r="B387" s="666"/>
      <c r="C387" s="674"/>
      <c r="D387" s="674"/>
      <c r="E387" s="674"/>
      <c r="F387" s="674"/>
      <c r="G387" s="674"/>
      <c r="H387" s="674"/>
      <c r="I387" s="674"/>
      <c r="J387" s="674"/>
      <c r="K387" s="674"/>
      <c r="L387" s="674"/>
      <c r="M387" s="674"/>
      <c r="N387" s="674"/>
      <c r="O387" s="674"/>
      <c r="P387" s="674"/>
      <c r="Q387" s="674"/>
      <c r="R387" s="674"/>
      <c r="S387" s="674"/>
      <c r="T387" s="674"/>
      <c r="U387" s="674"/>
      <c r="V387" s="674"/>
      <c r="W387" s="674"/>
      <c r="X387" s="674"/>
      <c r="Y387" s="674"/>
    </row>
    <row r="388" spans="1:25">
      <c r="A388" s="676"/>
      <c r="B388" s="666"/>
      <c r="C388" s="674"/>
      <c r="D388" s="674"/>
      <c r="E388" s="674"/>
      <c r="F388" s="674"/>
      <c r="G388" s="674"/>
      <c r="H388" s="674"/>
      <c r="I388" s="674"/>
      <c r="J388" s="674"/>
      <c r="K388" s="674"/>
      <c r="L388" s="674"/>
      <c r="M388" s="674"/>
      <c r="N388" s="674"/>
      <c r="O388" s="674"/>
      <c r="P388" s="674"/>
      <c r="Q388" s="674"/>
      <c r="R388" s="674"/>
      <c r="S388" s="674"/>
      <c r="T388" s="674"/>
      <c r="U388" s="674"/>
      <c r="V388" s="674"/>
      <c r="W388" s="674"/>
      <c r="X388" s="674"/>
      <c r="Y388" s="674"/>
    </row>
    <row r="389" spans="1:25">
      <c r="A389" s="676"/>
      <c r="B389" s="666"/>
      <c r="C389" s="674"/>
      <c r="D389" s="674"/>
      <c r="E389" s="674"/>
      <c r="F389" s="674"/>
      <c r="G389" s="674"/>
      <c r="H389" s="674"/>
      <c r="I389" s="674"/>
      <c r="J389" s="674"/>
      <c r="K389" s="674"/>
      <c r="L389" s="674"/>
      <c r="M389" s="674"/>
      <c r="N389" s="674"/>
      <c r="O389" s="674"/>
      <c r="P389" s="674"/>
      <c r="Q389" s="674"/>
      <c r="R389" s="674"/>
      <c r="S389" s="674"/>
      <c r="T389" s="674"/>
      <c r="U389" s="674"/>
      <c r="V389" s="674"/>
      <c r="W389" s="674"/>
      <c r="X389" s="674"/>
      <c r="Y389" s="674"/>
    </row>
    <row r="390" spans="1:25">
      <c r="A390" s="676"/>
      <c r="B390" s="666"/>
      <c r="C390" s="674"/>
      <c r="D390" s="674"/>
      <c r="E390" s="674"/>
      <c r="F390" s="674"/>
      <c r="G390" s="674"/>
      <c r="H390" s="674"/>
      <c r="I390" s="674"/>
      <c r="J390" s="674"/>
      <c r="K390" s="674"/>
      <c r="L390" s="674"/>
      <c r="M390" s="674"/>
      <c r="N390" s="674"/>
      <c r="O390" s="674"/>
      <c r="P390" s="674"/>
      <c r="Q390" s="674"/>
      <c r="R390" s="674"/>
      <c r="S390" s="674"/>
      <c r="T390" s="674"/>
      <c r="U390" s="674"/>
      <c r="V390" s="674"/>
      <c r="W390" s="674"/>
      <c r="X390" s="674"/>
      <c r="Y390" s="674"/>
    </row>
    <row r="391" spans="1:25">
      <c r="A391" s="676"/>
      <c r="B391" s="666"/>
      <c r="C391" s="674"/>
      <c r="D391" s="674"/>
      <c r="E391" s="674"/>
      <c r="F391" s="674"/>
      <c r="G391" s="674"/>
      <c r="H391" s="674"/>
      <c r="I391" s="674"/>
      <c r="J391" s="674"/>
      <c r="K391" s="674"/>
      <c r="L391" s="674"/>
      <c r="M391" s="674"/>
      <c r="N391" s="674"/>
      <c r="O391" s="674"/>
      <c r="P391" s="674"/>
      <c r="Q391" s="674"/>
      <c r="R391" s="674"/>
      <c r="S391" s="674"/>
      <c r="T391" s="674"/>
      <c r="U391" s="674"/>
      <c r="V391" s="674"/>
      <c r="W391" s="674"/>
      <c r="X391" s="674"/>
      <c r="Y391" s="674"/>
    </row>
    <row r="392" spans="1:25">
      <c r="A392" s="676"/>
      <c r="B392" s="666"/>
      <c r="C392" s="674"/>
      <c r="D392" s="674"/>
      <c r="E392" s="674"/>
      <c r="F392" s="674"/>
      <c r="G392" s="674"/>
      <c r="H392" s="674"/>
      <c r="I392" s="674"/>
      <c r="J392" s="674"/>
      <c r="K392" s="674"/>
      <c r="L392" s="674"/>
      <c r="M392" s="674"/>
      <c r="N392" s="674"/>
      <c r="O392" s="674"/>
      <c r="P392" s="674"/>
      <c r="Q392" s="674"/>
      <c r="R392" s="674"/>
      <c r="S392" s="674"/>
      <c r="T392" s="674"/>
      <c r="U392" s="674"/>
      <c r="V392" s="674"/>
      <c r="W392" s="674"/>
      <c r="X392" s="674"/>
      <c r="Y392" s="674"/>
    </row>
    <row r="393" spans="1:25">
      <c r="A393" s="676"/>
      <c r="B393" s="666"/>
      <c r="C393" s="674"/>
      <c r="D393" s="674"/>
      <c r="E393" s="674"/>
      <c r="F393" s="674"/>
      <c r="G393" s="674"/>
      <c r="H393" s="674"/>
      <c r="I393" s="674"/>
      <c r="J393" s="674"/>
      <c r="K393" s="674"/>
      <c r="L393" s="674"/>
      <c r="M393" s="674"/>
      <c r="N393" s="674"/>
      <c r="O393" s="674"/>
      <c r="P393" s="674"/>
      <c r="Q393" s="674"/>
      <c r="R393" s="674"/>
      <c r="S393" s="674"/>
      <c r="T393" s="674"/>
      <c r="U393" s="674"/>
      <c r="V393" s="674"/>
      <c r="W393" s="674"/>
      <c r="X393" s="674"/>
      <c r="Y393" s="674"/>
    </row>
    <row r="394" spans="1:25">
      <c r="A394" s="676"/>
      <c r="B394" s="666"/>
      <c r="C394" s="674"/>
      <c r="D394" s="674"/>
      <c r="E394" s="674"/>
      <c r="F394" s="674"/>
      <c r="G394" s="674"/>
      <c r="H394" s="674"/>
      <c r="I394" s="674"/>
      <c r="J394" s="674"/>
      <c r="K394" s="674"/>
      <c r="L394" s="674"/>
      <c r="M394" s="674"/>
      <c r="N394" s="674"/>
      <c r="O394" s="674"/>
      <c r="P394" s="674"/>
      <c r="Q394" s="674"/>
      <c r="R394" s="674"/>
      <c r="S394" s="674"/>
      <c r="T394" s="674"/>
      <c r="U394" s="674"/>
      <c r="V394" s="674"/>
      <c r="W394" s="674"/>
      <c r="X394" s="674"/>
      <c r="Y394" s="674"/>
    </row>
    <row r="395" spans="1:25">
      <c r="A395" s="676"/>
      <c r="B395" s="666"/>
      <c r="C395" s="674"/>
      <c r="D395" s="674"/>
      <c r="E395" s="674"/>
      <c r="F395" s="674"/>
      <c r="G395" s="674"/>
      <c r="H395" s="674"/>
      <c r="I395" s="674"/>
      <c r="J395" s="674"/>
      <c r="K395" s="674"/>
      <c r="L395" s="674"/>
      <c r="M395" s="674"/>
      <c r="N395" s="674"/>
      <c r="O395" s="674"/>
      <c r="P395" s="674"/>
      <c r="Q395" s="674"/>
      <c r="R395" s="674"/>
      <c r="S395" s="674"/>
      <c r="T395" s="674"/>
      <c r="U395" s="674"/>
      <c r="V395" s="674"/>
      <c r="W395" s="674"/>
      <c r="X395" s="674"/>
      <c r="Y395" s="674"/>
    </row>
    <row r="396" spans="1:25">
      <c r="A396" s="676"/>
      <c r="B396" s="666"/>
      <c r="C396" s="674"/>
      <c r="D396" s="674"/>
      <c r="E396" s="674"/>
      <c r="F396" s="674"/>
      <c r="G396" s="674"/>
      <c r="H396" s="674"/>
      <c r="I396" s="674"/>
      <c r="J396" s="674"/>
      <c r="K396" s="674"/>
      <c r="L396" s="674"/>
      <c r="M396" s="674"/>
      <c r="N396" s="674"/>
      <c r="O396" s="674"/>
      <c r="P396" s="674"/>
      <c r="Q396" s="674"/>
      <c r="R396" s="674"/>
      <c r="S396" s="674"/>
      <c r="T396" s="674"/>
      <c r="U396" s="674"/>
      <c r="V396" s="674"/>
      <c r="W396" s="674"/>
      <c r="X396" s="674"/>
      <c r="Y396" s="674"/>
    </row>
    <row r="397" spans="1:25">
      <c r="A397" s="804"/>
      <c r="B397" s="658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</row>
    <row r="398" spans="1:25">
      <c r="A398" s="410"/>
      <c r="B398" s="666"/>
      <c r="C398" s="674"/>
      <c r="D398" s="674"/>
      <c r="E398" s="674"/>
      <c r="F398" s="674"/>
      <c r="G398" s="674"/>
      <c r="H398" s="674"/>
      <c r="I398" s="674"/>
      <c r="J398" s="674"/>
      <c r="K398" s="674"/>
      <c r="L398" s="674"/>
      <c r="M398" s="674"/>
      <c r="N398" s="674"/>
      <c r="O398" s="674"/>
      <c r="P398" s="674"/>
      <c r="Q398" s="674"/>
      <c r="R398" s="674"/>
      <c r="S398" s="674"/>
      <c r="T398" s="674"/>
      <c r="U398" s="674"/>
      <c r="V398" s="674"/>
      <c r="W398" s="674"/>
      <c r="X398" s="674"/>
      <c r="Y398" s="674"/>
    </row>
    <row r="399" spans="1:25">
      <c r="A399" s="410"/>
      <c r="B399" s="666"/>
      <c r="C399" s="674"/>
      <c r="D399" s="674"/>
      <c r="E399" s="674"/>
      <c r="F399" s="674"/>
      <c r="G399" s="674"/>
      <c r="H399" s="674"/>
      <c r="I399" s="674"/>
      <c r="J399" s="674"/>
      <c r="K399" s="674"/>
      <c r="L399" s="674"/>
      <c r="M399" s="674"/>
      <c r="N399" s="674"/>
      <c r="O399" s="674"/>
      <c r="P399" s="674"/>
      <c r="Q399" s="674"/>
      <c r="R399" s="674"/>
      <c r="S399" s="674"/>
      <c r="T399" s="674"/>
      <c r="U399" s="674"/>
      <c r="V399" s="674"/>
      <c r="W399" s="674"/>
      <c r="X399" s="674"/>
      <c r="Y399" s="674"/>
    </row>
    <row r="400" spans="1:25">
      <c r="A400" s="410"/>
      <c r="B400" s="666"/>
      <c r="C400" s="674"/>
      <c r="D400" s="674"/>
      <c r="E400" s="674"/>
      <c r="F400" s="674"/>
      <c r="G400" s="674"/>
      <c r="H400" s="674"/>
      <c r="I400" s="674"/>
      <c r="J400" s="674"/>
      <c r="K400" s="674"/>
      <c r="L400" s="674"/>
      <c r="M400" s="674"/>
      <c r="N400" s="674"/>
      <c r="O400" s="674"/>
      <c r="P400" s="674"/>
      <c r="Q400" s="674"/>
      <c r="R400" s="674"/>
      <c r="S400" s="674"/>
      <c r="T400" s="674"/>
      <c r="U400" s="674"/>
      <c r="V400" s="674"/>
      <c r="W400" s="674"/>
      <c r="X400" s="674"/>
      <c r="Y400" s="674"/>
    </row>
    <row r="401" spans="1:25">
      <c r="A401" s="410"/>
      <c r="B401" s="666"/>
      <c r="C401" s="674"/>
      <c r="D401" s="674"/>
      <c r="E401" s="674"/>
      <c r="F401" s="674"/>
      <c r="G401" s="674"/>
      <c r="H401" s="674"/>
      <c r="I401" s="674"/>
      <c r="J401" s="674"/>
      <c r="K401" s="674"/>
      <c r="L401" s="674"/>
      <c r="M401" s="674"/>
      <c r="N401" s="674"/>
      <c r="O401" s="674"/>
      <c r="P401" s="674"/>
      <c r="Q401" s="674"/>
      <c r="R401" s="674"/>
      <c r="S401" s="674"/>
      <c r="T401" s="674"/>
      <c r="U401" s="674"/>
      <c r="V401" s="674"/>
      <c r="W401" s="674"/>
      <c r="X401" s="674"/>
      <c r="Y401" s="674"/>
    </row>
    <row r="402" spans="1:25">
      <c r="A402" s="410"/>
      <c r="B402" s="666"/>
      <c r="C402" s="674"/>
      <c r="D402" s="674"/>
      <c r="E402" s="674"/>
      <c r="F402" s="674"/>
      <c r="G402" s="674"/>
      <c r="H402" s="674"/>
      <c r="I402" s="674"/>
      <c r="J402" s="674"/>
      <c r="K402" s="674"/>
      <c r="L402" s="674"/>
      <c r="M402" s="674"/>
      <c r="N402" s="674"/>
      <c r="O402" s="674"/>
      <c r="P402" s="674"/>
      <c r="Q402" s="674"/>
      <c r="R402" s="674"/>
      <c r="S402" s="674"/>
      <c r="T402" s="674"/>
      <c r="U402" s="674"/>
      <c r="V402" s="674"/>
      <c r="W402" s="674"/>
      <c r="X402" s="674"/>
      <c r="Y402" s="674"/>
    </row>
    <row r="403" spans="1:25">
      <c r="A403" s="804"/>
      <c r="B403" s="658"/>
      <c r="C403" s="662"/>
      <c r="D403" s="662"/>
      <c r="E403" s="662"/>
      <c r="F403" s="662"/>
      <c r="G403" s="662"/>
      <c r="H403" s="662"/>
      <c r="I403" s="662"/>
      <c r="J403" s="662"/>
      <c r="K403" s="662"/>
      <c r="L403" s="662"/>
      <c r="M403" s="662"/>
      <c r="N403" s="662"/>
      <c r="O403" s="662"/>
      <c r="P403" s="662"/>
      <c r="Q403" s="662"/>
      <c r="R403" s="662"/>
      <c r="S403" s="662"/>
      <c r="T403" s="662"/>
      <c r="U403" s="662"/>
      <c r="V403" s="662"/>
      <c r="W403" s="662"/>
      <c r="X403" s="662"/>
      <c r="Y403" s="662"/>
    </row>
    <row r="404" spans="1:25">
      <c r="A404" s="410"/>
      <c r="B404" s="666"/>
      <c r="C404" s="674"/>
      <c r="D404" s="674"/>
      <c r="E404" s="674"/>
      <c r="F404" s="674"/>
      <c r="G404" s="674"/>
      <c r="H404" s="674"/>
      <c r="I404" s="674"/>
      <c r="J404" s="674"/>
      <c r="K404" s="674"/>
      <c r="L404" s="674"/>
      <c r="M404" s="674"/>
      <c r="N404" s="674"/>
      <c r="O404" s="674"/>
      <c r="P404" s="674"/>
      <c r="Q404" s="674"/>
      <c r="R404" s="674"/>
      <c r="S404" s="674"/>
      <c r="T404" s="674"/>
      <c r="U404" s="674"/>
      <c r="V404" s="674"/>
      <c r="W404" s="674"/>
      <c r="X404" s="674"/>
      <c r="Y404" s="674"/>
    </row>
    <row r="405" spans="1:25">
      <c r="A405" s="410"/>
      <c r="B405" s="666"/>
      <c r="C405" s="674"/>
      <c r="D405" s="674"/>
      <c r="E405" s="674"/>
      <c r="F405" s="674"/>
      <c r="G405" s="674"/>
      <c r="H405" s="674"/>
      <c r="I405" s="674"/>
      <c r="J405" s="674"/>
      <c r="K405" s="674"/>
      <c r="L405" s="674"/>
      <c r="M405" s="674"/>
      <c r="N405" s="674"/>
      <c r="O405" s="674"/>
      <c r="P405" s="674"/>
      <c r="Q405" s="674"/>
      <c r="R405" s="674"/>
      <c r="S405" s="674"/>
      <c r="T405" s="674"/>
      <c r="U405" s="674"/>
      <c r="V405" s="674"/>
      <c r="W405" s="674"/>
      <c r="X405" s="674"/>
      <c r="Y405" s="674"/>
    </row>
    <row r="406" spans="1:25">
      <c r="A406" s="410"/>
      <c r="B406" s="666"/>
      <c r="C406" s="674"/>
      <c r="D406" s="674"/>
      <c r="E406" s="674"/>
      <c r="F406" s="674"/>
      <c r="G406" s="674"/>
      <c r="H406" s="674"/>
      <c r="I406" s="674"/>
      <c r="J406" s="674"/>
      <c r="K406" s="674"/>
      <c r="L406" s="674"/>
      <c r="M406" s="674"/>
      <c r="N406" s="674"/>
      <c r="O406" s="674"/>
      <c r="P406" s="674"/>
      <c r="Q406" s="674"/>
      <c r="R406" s="674"/>
      <c r="S406" s="674"/>
      <c r="T406" s="674"/>
      <c r="U406" s="674"/>
      <c r="V406" s="674"/>
      <c r="W406" s="674"/>
      <c r="X406" s="674"/>
      <c r="Y406" s="674"/>
    </row>
    <row r="407" spans="1:25">
      <c r="A407" s="410"/>
      <c r="B407" s="666"/>
      <c r="C407" s="674"/>
      <c r="D407" s="674"/>
      <c r="E407" s="674"/>
      <c r="F407" s="674"/>
      <c r="G407" s="674"/>
      <c r="H407" s="674"/>
      <c r="I407" s="674"/>
      <c r="J407" s="674"/>
      <c r="K407" s="674"/>
      <c r="L407" s="674"/>
      <c r="M407" s="674"/>
      <c r="N407" s="674"/>
      <c r="O407" s="674"/>
      <c r="P407" s="674"/>
      <c r="Q407" s="674"/>
      <c r="R407" s="674"/>
      <c r="S407" s="674"/>
      <c r="T407" s="674"/>
      <c r="U407" s="674"/>
      <c r="V407" s="674"/>
      <c r="W407" s="674"/>
      <c r="X407" s="674"/>
      <c r="Y407" s="674"/>
    </row>
    <row r="408" spans="1:25">
      <c r="A408" s="410"/>
      <c r="B408" s="666"/>
      <c r="C408" s="674"/>
      <c r="D408" s="674"/>
      <c r="E408" s="674"/>
      <c r="F408" s="674"/>
      <c r="G408" s="674"/>
      <c r="H408" s="674"/>
      <c r="I408" s="674"/>
      <c r="J408" s="674"/>
      <c r="K408" s="674"/>
      <c r="L408" s="674"/>
      <c r="M408" s="674"/>
      <c r="N408" s="674"/>
      <c r="O408" s="674"/>
      <c r="P408" s="674"/>
      <c r="Q408" s="674"/>
      <c r="R408" s="674"/>
      <c r="S408" s="674"/>
      <c r="T408" s="674"/>
      <c r="U408" s="674"/>
      <c r="V408" s="674"/>
      <c r="W408" s="674"/>
      <c r="X408" s="674"/>
      <c r="Y408" s="674"/>
    </row>
    <row r="409" spans="1:25">
      <c r="A409" s="410"/>
      <c r="B409" s="666"/>
      <c r="C409" s="674"/>
      <c r="D409" s="674"/>
      <c r="E409" s="674"/>
      <c r="F409" s="674"/>
      <c r="G409" s="674"/>
      <c r="H409" s="674"/>
      <c r="I409" s="674"/>
      <c r="J409" s="674"/>
      <c r="K409" s="674"/>
      <c r="L409" s="674"/>
      <c r="M409" s="674"/>
      <c r="N409" s="674"/>
      <c r="O409" s="674"/>
      <c r="P409" s="674"/>
      <c r="Q409" s="674"/>
      <c r="R409" s="674"/>
      <c r="S409" s="674"/>
      <c r="T409" s="674"/>
      <c r="U409" s="674"/>
      <c r="V409" s="674"/>
      <c r="W409" s="674"/>
      <c r="X409" s="674"/>
      <c r="Y409" s="674"/>
    </row>
    <row r="410" spans="1:25">
      <c r="A410" s="410"/>
      <c r="B410" s="666"/>
      <c r="C410" s="674"/>
      <c r="D410" s="674"/>
      <c r="E410" s="674"/>
      <c r="F410" s="674"/>
      <c r="G410" s="674"/>
      <c r="H410" s="674"/>
      <c r="I410" s="674"/>
      <c r="J410" s="674"/>
      <c r="K410" s="674"/>
      <c r="L410" s="674"/>
      <c r="M410" s="674"/>
      <c r="N410" s="674"/>
      <c r="O410" s="674"/>
      <c r="P410" s="674"/>
      <c r="Q410" s="674"/>
      <c r="R410" s="674"/>
      <c r="S410" s="674"/>
      <c r="T410" s="674"/>
      <c r="U410" s="674"/>
      <c r="V410" s="674"/>
      <c r="W410" s="674"/>
      <c r="X410" s="674"/>
      <c r="Y410" s="674"/>
    </row>
    <row r="411" spans="1:25">
      <c r="A411" s="410"/>
      <c r="B411" s="666"/>
      <c r="C411" s="674"/>
      <c r="D411" s="674"/>
      <c r="E411" s="674"/>
      <c r="F411" s="674"/>
      <c r="G411" s="674"/>
      <c r="H411" s="674"/>
      <c r="I411" s="674"/>
      <c r="J411" s="674"/>
      <c r="K411" s="674"/>
      <c r="L411" s="674"/>
      <c r="M411" s="674"/>
      <c r="N411" s="674"/>
      <c r="O411" s="674"/>
      <c r="P411" s="674"/>
      <c r="Q411" s="674"/>
      <c r="R411" s="674"/>
      <c r="S411" s="674"/>
      <c r="T411" s="674"/>
      <c r="U411" s="674"/>
      <c r="V411" s="674"/>
      <c r="W411" s="674"/>
      <c r="X411" s="674"/>
      <c r="Y411" s="674"/>
    </row>
    <row r="412" spans="1:25">
      <c r="A412" s="804"/>
      <c r="B412" s="658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</row>
    <row r="413" spans="1:25">
      <c r="A413" s="410"/>
      <c r="B413" s="666"/>
      <c r="C413" s="674"/>
      <c r="D413" s="674"/>
      <c r="E413" s="674"/>
      <c r="F413" s="674"/>
      <c r="G413" s="674"/>
      <c r="H413" s="674"/>
      <c r="I413" s="674"/>
      <c r="J413" s="674"/>
      <c r="K413" s="674"/>
      <c r="L413" s="674"/>
      <c r="M413" s="674"/>
      <c r="N413" s="674"/>
      <c r="O413" s="674"/>
      <c r="P413" s="674"/>
      <c r="Q413" s="674"/>
      <c r="R413" s="674"/>
      <c r="S413" s="674"/>
      <c r="T413" s="674"/>
      <c r="U413" s="674"/>
      <c r="V413" s="674"/>
      <c r="W413" s="674"/>
      <c r="X413" s="674"/>
      <c r="Y413" s="674"/>
    </row>
    <row r="414" spans="1:25">
      <c r="A414" s="410"/>
      <c r="B414" s="666"/>
      <c r="C414" s="674"/>
      <c r="D414" s="674"/>
      <c r="E414" s="674"/>
      <c r="F414" s="674"/>
      <c r="G414" s="674"/>
      <c r="H414" s="674"/>
      <c r="I414" s="674"/>
      <c r="J414" s="674"/>
      <c r="K414" s="674"/>
      <c r="L414" s="674"/>
      <c r="M414" s="674"/>
      <c r="N414" s="674"/>
      <c r="O414" s="674"/>
      <c r="P414" s="674"/>
      <c r="Q414" s="674"/>
      <c r="R414" s="674"/>
      <c r="S414" s="674"/>
      <c r="T414" s="674"/>
      <c r="U414" s="674"/>
      <c r="V414" s="674"/>
      <c r="W414" s="674"/>
      <c r="X414" s="674"/>
      <c r="Y414" s="674"/>
    </row>
    <row r="415" spans="1:25">
      <c r="A415" s="410"/>
      <c r="B415" s="666"/>
      <c r="C415" s="674"/>
      <c r="D415" s="674"/>
      <c r="E415" s="674"/>
      <c r="F415" s="674"/>
      <c r="G415" s="674"/>
      <c r="H415" s="674"/>
      <c r="I415" s="674"/>
      <c r="J415" s="674"/>
      <c r="K415" s="674"/>
      <c r="L415" s="674"/>
      <c r="M415" s="674"/>
      <c r="N415" s="674"/>
      <c r="O415" s="674"/>
      <c r="P415" s="674"/>
      <c r="Q415" s="674"/>
      <c r="R415" s="674"/>
      <c r="S415" s="674"/>
      <c r="T415" s="674"/>
      <c r="U415" s="674"/>
      <c r="V415" s="674"/>
      <c r="W415" s="674"/>
      <c r="X415" s="674"/>
      <c r="Y415" s="674"/>
    </row>
    <row r="416" spans="1:25">
      <c r="A416" s="410"/>
      <c r="B416" s="666"/>
      <c r="C416" s="674"/>
      <c r="D416" s="674"/>
      <c r="E416" s="674"/>
      <c r="F416" s="674"/>
      <c r="G416" s="674"/>
      <c r="H416" s="674"/>
      <c r="I416" s="674"/>
      <c r="J416" s="674"/>
      <c r="K416" s="674"/>
      <c r="L416" s="674"/>
      <c r="M416" s="674"/>
      <c r="N416" s="674"/>
      <c r="O416" s="674"/>
      <c r="P416" s="674"/>
      <c r="Q416" s="674"/>
      <c r="R416" s="674"/>
      <c r="S416" s="674"/>
      <c r="T416" s="674"/>
      <c r="U416" s="674"/>
      <c r="V416" s="674"/>
      <c r="W416" s="674"/>
      <c r="X416" s="674"/>
      <c r="Y416" s="674"/>
    </row>
    <row r="417" spans="1:25">
      <c r="A417" s="410"/>
      <c r="B417" s="666"/>
      <c r="C417" s="674"/>
      <c r="D417" s="674"/>
      <c r="E417" s="674"/>
      <c r="F417" s="674"/>
      <c r="G417" s="674"/>
      <c r="H417" s="674"/>
      <c r="I417" s="674"/>
      <c r="J417" s="674"/>
      <c r="K417" s="674"/>
      <c r="L417" s="674"/>
      <c r="M417" s="674"/>
      <c r="N417" s="674"/>
      <c r="O417" s="674"/>
      <c r="P417" s="674"/>
      <c r="Q417" s="674"/>
      <c r="R417" s="674"/>
      <c r="S417" s="674"/>
      <c r="T417" s="674"/>
      <c r="U417" s="674"/>
      <c r="V417" s="674"/>
      <c r="W417" s="674"/>
      <c r="X417" s="674"/>
      <c r="Y417" s="674"/>
    </row>
    <row r="418" spans="1:25">
      <c r="A418" s="804"/>
      <c r="B418" s="658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</row>
    <row r="419" spans="1:25">
      <c r="A419" s="410"/>
      <c r="B419" s="666"/>
      <c r="C419" s="674"/>
      <c r="D419" s="674"/>
      <c r="E419" s="674"/>
      <c r="F419" s="674"/>
      <c r="G419" s="674"/>
      <c r="H419" s="674"/>
      <c r="I419" s="674"/>
      <c r="J419" s="674"/>
      <c r="K419" s="674"/>
      <c r="L419" s="674"/>
      <c r="M419" s="674"/>
      <c r="N419" s="674"/>
      <c r="O419" s="674"/>
      <c r="P419" s="674"/>
      <c r="Q419" s="674"/>
      <c r="R419" s="674"/>
      <c r="S419" s="674"/>
      <c r="T419" s="674"/>
      <c r="U419" s="674"/>
      <c r="V419" s="674"/>
      <c r="W419" s="674"/>
      <c r="X419" s="674"/>
      <c r="Y419" s="674"/>
    </row>
    <row r="420" spans="1:25">
      <c r="A420" s="410"/>
      <c r="B420" s="666"/>
      <c r="C420" s="674"/>
      <c r="D420" s="674"/>
      <c r="E420" s="674"/>
      <c r="F420" s="674"/>
      <c r="G420" s="674"/>
      <c r="H420" s="674"/>
      <c r="I420" s="674"/>
      <c r="J420" s="674"/>
      <c r="K420" s="674"/>
      <c r="L420" s="674"/>
      <c r="M420" s="674"/>
      <c r="N420" s="674"/>
      <c r="O420" s="674"/>
      <c r="P420" s="674"/>
      <c r="Q420" s="674"/>
      <c r="R420" s="674"/>
      <c r="S420" s="674"/>
      <c r="T420" s="674"/>
      <c r="U420" s="674"/>
      <c r="V420" s="674"/>
      <c r="W420" s="674"/>
      <c r="X420" s="674"/>
      <c r="Y420" s="674"/>
    </row>
    <row r="421" spans="1:25">
      <c r="A421" s="410"/>
      <c r="B421" s="666"/>
      <c r="C421" s="674"/>
      <c r="D421" s="674"/>
      <c r="E421" s="674"/>
      <c r="F421" s="674"/>
      <c r="G421" s="674"/>
      <c r="H421" s="674"/>
      <c r="I421" s="674"/>
      <c r="J421" s="674"/>
      <c r="K421" s="674"/>
      <c r="L421" s="674"/>
      <c r="M421" s="674"/>
      <c r="N421" s="674"/>
      <c r="O421" s="674"/>
      <c r="P421" s="674"/>
      <c r="Q421" s="674"/>
      <c r="R421" s="674"/>
      <c r="S421" s="674"/>
      <c r="T421" s="674"/>
      <c r="U421" s="674"/>
      <c r="V421" s="674"/>
      <c r="W421" s="674"/>
      <c r="X421" s="674"/>
      <c r="Y421" s="674"/>
    </row>
    <row r="422" spans="1:25">
      <c r="A422" s="410"/>
      <c r="B422" s="666"/>
      <c r="C422" s="674"/>
      <c r="D422" s="674"/>
      <c r="E422" s="674"/>
      <c r="F422" s="674"/>
      <c r="G422" s="674"/>
      <c r="H422" s="674"/>
      <c r="I422" s="674"/>
      <c r="J422" s="674"/>
      <c r="K422" s="674"/>
      <c r="L422" s="674"/>
      <c r="M422" s="674"/>
      <c r="N422" s="674"/>
      <c r="O422" s="674"/>
      <c r="P422" s="674"/>
      <c r="Q422" s="674"/>
      <c r="R422" s="674"/>
      <c r="S422" s="674"/>
      <c r="T422" s="674"/>
      <c r="U422" s="674"/>
      <c r="V422" s="674"/>
      <c r="W422" s="674"/>
      <c r="X422" s="674"/>
      <c r="Y422" s="674"/>
    </row>
    <row r="423" spans="1:25">
      <c r="A423" s="410"/>
      <c r="B423" s="666"/>
      <c r="C423" s="674"/>
      <c r="D423" s="674"/>
      <c r="E423" s="674"/>
      <c r="F423" s="674"/>
      <c r="G423" s="674"/>
      <c r="H423" s="674"/>
      <c r="I423" s="674"/>
      <c r="J423" s="674"/>
      <c r="K423" s="674"/>
      <c r="L423" s="674"/>
      <c r="M423" s="674"/>
      <c r="N423" s="674"/>
      <c r="O423" s="674"/>
      <c r="P423" s="674"/>
      <c r="Q423" s="674"/>
      <c r="R423" s="674"/>
      <c r="S423" s="674"/>
      <c r="T423" s="674"/>
      <c r="U423" s="674"/>
      <c r="V423" s="674"/>
      <c r="W423" s="674"/>
      <c r="X423" s="674"/>
      <c r="Y423" s="674"/>
    </row>
    <row r="424" spans="1:25">
      <c r="A424" s="410"/>
      <c r="B424" s="666"/>
      <c r="C424" s="674"/>
      <c r="D424" s="674"/>
      <c r="E424" s="674"/>
      <c r="F424" s="674"/>
      <c r="G424" s="674"/>
      <c r="H424" s="674"/>
      <c r="I424" s="674"/>
      <c r="J424" s="674"/>
      <c r="K424" s="674"/>
      <c r="L424" s="674"/>
      <c r="M424" s="674"/>
      <c r="N424" s="674"/>
      <c r="O424" s="674"/>
      <c r="P424" s="674"/>
      <c r="Q424" s="674"/>
      <c r="R424" s="674"/>
      <c r="S424" s="674"/>
      <c r="T424" s="674"/>
      <c r="U424" s="674"/>
      <c r="V424" s="674"/>
      <c r="W424" s="674"/>
      <c r="X424" s="674"/>
      <c r="Y424" s="674"/>
    </row>
    <row r="425" spans="1:25">
      <c r="A425" s="804"/>
      <c r="B425" s="658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</row>
    <row r="426" spans="1:25">
      <c r="A426" s="410"/>
      <c r="B426" s="666"/>
      <c r="C426" s="674"/>
      <c r="D426" s="674"/>
      <c r="E426" s="674"/>
      <c r="F426" s="674"/>
      <c r="G426" s="674"/>
      <c r="H426" s="674"/>
      <c r="I426" s="674"/>
      <c r="J426" s="674"/>
      <c r="K426" s="674"/>
      <c r="L426" s="674"/>
      <c r="M426" s="674"/>
      <c r="N426" s="674"/>
      <c r="O426" s="674"/>
      <c r="P426" s="674"/>
      <c r="Q426" s="674"/>
      <c r="R426" s="674"/>
      <c r="S426" s="674"/>
      <c r="T426" s="674"/>
      <c r="U426" s="674"/>
      <c r="V426" s="674"/>
      <c r="W426" s="674"/>
      <c r="X426" s="674"/>
      <c r="Y426" s="674"/>
    </row>
    <row r="427" spans="1:25">
      <c r="A427" s="410"/>
      <c r="B427" s="666"/>
      <c r="C427" s="674"/>
      <c r="D427" s="674"/>
      <c r="E427" s="674"/>
      <c r="F427" s="674"/>
      <c r="G427" s="674"/>
      <c r="H427" s="674"/>
      <c r="I427" s="674"/>
      <c r="J427" s="674"/>
      <c r="K427" s="674"/>
      <c r="L427" s="674"/>
      <c r="M427" s="674"/>
      <c r="N427" s="674"/>
      <c r="O427" s="674"/>
      <c r="P427" s="674"/>
      <c r="Q427" s="674"/>
      <c r="R427" s="674"/>
      <c r="S427" s="674"/>
      <c r="T427" s="674"/>
      <c r="U427" s="674"/>
      <c r="V427" s="674"/>
      <c r="W427" s="674"/>
      <c r="X427" s="674"/>
      <c r="Y427" s="674"/>
    </row>
    <row r="428" spans="1:25">
      <c r="A428" s="410"/>
      <c r="B428" s="666"/>
      <c r="C428" s="674"/>
      <c r="D428" s="674"/>
      <c r="E428" s="674"/>
      <c r="F428" s="674"/>
      <c r="G428" s="674"/>
      <c r="H428" s="674"/>
      <c r="I428" s="674"/>
      <c r="J428" s="674"/>
      <c r="K428" s="674"/>
      <c r="L428" s="674"/>
      <c r="M428" s="674"/>
      <c r="N428" s="674"/>
      <c r="O428" s="674"/>
      <c r="P428" s="674"/>
      <c r="Q428" s="674"/>
      <c r="R428" s="674"/>
      <c r="S428" s="674"/>
      <c r="T428" s="674"/>
      <c r="U428" s="674"/>
      <c r="V428" s="674"/>
      <c r="W428" s="674"/>
      <c r="X428" s="674"/>
      <c r="Y428" s="674"/>
    </row>
    <row r="429" spans="1:25">
      <c r="A429" s="410"/>
      <c r="B429" s="666"/>
      <c r="C429" s="674"/>
      <c r="D429" s="674"/>
      <c r="E429" s="674"/>
      <c r="F429" s="674"/>
      <c r="G429" s="674"/>
      <c r="H429" s="674"/>
      <c r="I429" s="674"/>
      <c r="J429" s="674"/>
      <c r="K429" s="674"/>
      <c r="L429" s="674"/>
      <c r="M429" s="674"/>
      <c r="N429" s="674"/>
      <c r="O429" s="674"/>
      <c r="P429" s="674"/>
      <c r="Q429" s="674"/>
      <c r="R429" s="674"/>
      <c r="S429" s="674"/>
      <c r="T429" s="674"/>
      <c r="U429" s="674"/>
      <c r="V429" s="674"/>
      <c r="W429" s="674"/>
      <c r="X429" s="674"/>
      <c r="Y429" s="674"/>
    </row>
    <row r="430" spans="1:25">
      <c r="A430" s="410"/>
      <c r="B430" s="666"/>
      <c r="C430" s="674"/>
      <c r="D430" s="674"/>
      <c r="E430" s="674"/>
      <c r="F430" s="674"/>
      <c r="G430" s="674"/>
      <c r="H430" s="674"/>
      <c r="I430" s="674"/>
      <c r="J430" s="674"/>
      <c r="K430" s="674"/>
      <c r="L430" s="674"/>
      <c r="M430" s="674"/>
      <c r="N430" s="674"/>
      <c r="O430" s="674"/>
      <c r="P430" s="674"/>
      <c r="Q430" s="674"/>
      <c r="R430" s="674"/>
      <c r="S430" s="674"/>
      <c r="T430" s="674"/>
      <c r="U430" s="674"/>
      <c r="V430" s="674"/>
      <c r="W430" s="674"/>
      <c r="X430" s="674"/>
      <c r="Y430" s="674"/>
    </row>
    <row r="431" spans="1:25">
      <c r="A431" s="410"/>
      <c r="B431" s="666"/>
      <c r="C431" s="674"/>
      <c r="D431" s="674"/>
      <c r="E431" s="674"/>
      <c r="F431" s="674"/>
      <c r="G431" s="674"/>
      <c r="H431" s="674"/>
      <c r="I431" s="674"/>
      <c r="J431" s="674"/>
      <c r="K431" s="674"/>
      <c r="L431" s="674"/>
      <c r="M431" s="674"/>
      <c r="N431" s="674"/>
      <c r="O431" s="674"/>
      <c r="P431" s="674"/>
      <c r="Q431" s="674"/>
      <c r="R431" s="674"/>
      <c r="S431" s="674"/>
      <c r="T431" s="674"/>
      <c r="U431" s="674"/>
      <c r="V431" s="674"/>
      <c r="W431" s="674"/>
      <c r="X431" s="674"/>
      <c r="Y431" s="674"/>
    </row>
    <row r="432" spans="1:25">
      <c r="A432" s="410"/>
      <c r="B432" s="666"/>
      <c r="C432" s="674"/>
      <c r="D432" s="674"/>
      <c r="E432" s="674"/>
      <c r="F432" s="674"/>
      <c r="G432" s="674"/>
      <c r="H432" s="674"/>
      <c r="I432" s="674"/>
      <c r="J432" s="674"/>
      <c r="K432" s="674"/>
      <c r="L432" s="674"/>
      <c r="M432" s="674"/>
      <c r="N432" s="674"/>
      <c r="O432" s="674"/>
      <c r="P432" s="674"/>
      <c r="Q432" s="674"/>
      <c r="R432" s="674"/>
      <c r="S432" s="674"/>
      <c r="T432" s="674"/>
      <c r="U432" s="674"/>
      <c r="V432" s="674"/>
      <c r="W432" s="674"/>
      <c r="X432" s="674"/>
      <c r="Y432" s="674"/>
    </row>
    <row r="433" spans="1:25">
      <c r="A433" s="410"/>
      <c r="B433" s="666"/>
      <c r="C433" s="674"/>
      <c r="D433" s="674"/>
      <c r="E433" s="674"/>
      <c r="F433" s="674"/>
      <c r="G433" s="674"/>
      <c r="H433" s="674"/>
      <c r="I433" s="674"/>
      <c r="J433" s="674"/>
      <c r="K433" s="674"/>
      <c r="L433" s="674"/>
      <c r="M433" s="674"/>
      <c r="N433" s="674"/>
      <c r="O433" s="674"/>
      <c r="P433" s="674"/>
      <c r="Q433" s="674"/>
      <c r="R433" s="674"/>
      <c r="S433" s="674"/>
      <c r="T433" s="674"/>
      <c r="U433" s="674"/>
      <c r="V433" s="674"/>
      <c r="W433" s="674"/>
      <c r="X433" s="674"/>
      <c r="Y433" s="674"/>
    </row>
    <row r="434" spans="1:25">
      <c r="A434" s="410"/>
      <c r="B434" s="666"/>
      <c r="C434" s="674"/>
      <c r="D434" s="674"/>
      <c r="E434" s="674"/>
      <c r="F434" s="674"/>
      <c r="G434" s="674"/>
      <c r="H434" s="674"/>
      <c r="I434" s="674"/>
      <c r="J434" s="674"/>
      <c r="K434" s="674"/>
      <c r="L434" s="674"/>
      <c r="M434" s="674"/>
      <c r="N434" s="674"/>
      <c r="O434" s="674"/>
      <c r="P434" s="674"/>
      <c r="Q434" s="674"/>
      <c r="R434" s="674"/>
      <c r="S434" s="674"/>
      <c r="T434" s="674"/>
      <c r="U434" s="674"/>
      <c r="V434" s="674"/>
      <c r="W434" s="674"/>
      <c r="X434" s="674"/>
      <c r="Y434" s="674"/>
    </row>
    <row r="435" spans="1:25">
      <c r="A435" s="410"/>
      <c r="B435" s="666"/>
      <c r="C435" s="674"/>
      <c r="D435" s="674"/>
      <c r="E435" s="674"/>
      <c r="F435" s="674"/>
      <c r="G435" s="674"/>
      <c r="H435" s="674"/>
      <c r="I435" s="674"/>
      <c r="J435" s="674"/>
      <c r="K435" s="674"/>
      <c r="L435" s="674"/>
      <c r="M435" s="674"/>
      <c r="N435" s="674"/>
      <c r="O435" s="674"/>
      <c r="P435" s="674"/>
      <c r="Q435" s="674"/>
      <c r="R435" s="674"/>
      <c r="S435" s="674"/>
      <c r="T435" s="674"/>
      <c r="U435" s="674"/>
      <c r="V435" s="674"/>
      <c r="W435" s="674"/>
      <c r="X435" s="674"/>
      <c r="Y435" s="674"/>
    </row>
    <row r="436" spans="1:25">
      <c r="A436" s="410"/>
      <c r="B436" s="666"/>
      <c r="C436" s="674"/>
      <c r="D436" s="674"/>
      <c r="E436" s="674"/>
      <c r="F436" s="674"/>
      <c r="G436" s="674"/>
      <c r="H436" s="674"/>
      <c r="I436" s="674"/>
      <c r="J436" s="674"/>
      <c r="K436" s="674"/>
      <c r="L436" s="674"/>
      <c r="M436" s="674"/>
      <c r="N436" s="674"/>
      <c r="O436" s="674"/>
      <c r="P436" s="674"/>
      <c r="Q436" s="674"/>
      <c r="R436" s="674"/>
      <c r="S436" s="674"/>
      <c r="T436" s="674"/>
      <c r="U436" s="674"/>
      <c r="V436" s="674"/>
      <c r="W436" s="674"/>
      <c r="X436" s="674"/>
      <c r="Y436" s="674"/>
    </row>
    <row r="437" spans="1:25">
      <c r="A437" s="410"/>
      <c r="B437" s="666"/>
      <c r="C437" s="674"/>
      <c r="D437" s="674"/>
      <c r="E437" s="674"/>
      <c r="F437" s="674"/>
      <c r="G437" s="674"/>
      <c r="H437" s="674"/>
      <c r="I437" s="674"/>
      <c r="J437" s="674"/>
      <c r="K437" s="674"/>
      <c r="L437" s="674"/>
      <c r="M437" s="674"/>
      <c r="N437" s="674"/>
      <c r="O437" s="674"/>
      <c r="P437" s="674"/>
      <c r="Q437" s="674"/>
      <c r="R437" s="674"/>
      <c r="S437" s="674"/>
      <c r="T437" s="674"/>
      <c r="U437" s="674"/>
      <c r="V437" s="674"/>
      <c r="W437" s="674"/>
      <c r="X437" s="674"/>
      <c r="Y437" s="674"/>
    </row>
    <row r="438" spans="1:25">
      <c r="A438" s="410"/>
      <c r="B438" s="666"/>
      <c r="C438" s="674"/>
      <c r="D438" s="674"/>
      <c r="E438" s="674"/>
      <c r="F438" s="674"/>
      <c r="G438" s="674"/>
      <c r="H438" s="674"/>
      <c r="I438" s="674"/>
      <c r="J438" s="674"/>
      <c r="K438" s="674"/>
      <c r="L438" s="674"/>
      <c r="M438" s="674"/>
      <c r="N438" s="674"/>
      <c r="O438" s="674"/>
      <c r="P438" s="674"/>
      <c r="Q438" s="674"/>
      <c r="R438" s="674"/>
      <c r="S438" s="674"/>
      <c r="T438" s="674"/>
      <c r="U438" s="674"/>
      <c r="V438" s="674"/>
      <c r="W438" s="674"/>
      <c r="X438" s="674"/>
      <c r="Y438" s="674"/>
    </row>
    <row r="439" spans="1:25">
      <c r="A439" s="804"/>
      <c r="B439" s="658"/>
      <c r="C439" s="662"/>
      <c r="D439" s="662"/>
      <c r="E439" s="662"/>
      <c r="F439" s="662"/>
      <c r="G439" s="662"/>
      <c r="H439" s="662"/>
      <c r="I439" s="662"/>
      <c r="J439" s="662"/>
      <c r="K439" s="662"/>
      <c r="L439" s="662"/>
      <c r="M439" s="662"/>
      <c r="N439" s="662"/>
      <c r="O439" s="662"/>
      <c r="P439" s="662"/>
      <c r="Q439" s="662"/>
      <c r="R439" s="662"/>
      <c r="S439" s="662"/>
      <c r="T439" s="662"/>
      <c r="U439" s="662"/>
      <c r="V439" s="662"/>
      <c r="W439" s="662"/>
      <c r="X439" s="662"/>
      <c r="Y439" s="662"/>
    </row>
    <row r="440" spans="1:25">
      <c r="A440" s="410"/>
      <c r="B440" s="666"/>
      <c r="C440" s="674"/>
      <c r="D440" s="674"/>
      <c r="E440" s="674"/>
      <c r="F440" s="674"/>
      <c r="G440" s="674"/>
      <c r="H440" s="674"/>
      <c r="I440" s="674"/>
      <c r="J440" s="674"/>
      <c r="K440" s="674"/>
      <c r="L440" s="674"/>
      <c r="M440" s="674"/>
      <c r="N440" s="674"/>
      <c r="O440" s="674"/>
      <c r="P440" s="674"/>
      <c r="Q440" s="674"/>
      <c r="R440" s="674"/>
      <c r="S440" s="674"/>
      <c r="T440" s="674"/>
      <c r="U440" s="674"/>
      <c r="V440" s="674"/>
      <c r="W440" s="674"/>
      <c r="X440" s="674"/>
      <c r="Y440" s="674"/>
    </row>
    <row r="441" spans="1:25">
      <c r="A441" s="410"/>
      <c r="B441" s="666"/>
      <c r="C441" s="674"/>
      <c r="D441" s="674"/>
      <c r="E441" s="674"/>
      <c r="F441" s="674"/>
      <c r="G441" s="674"/>
      <c r="H441" s="674"/>
      <c r="I441" s="674"/>
      <c r="J441" s="674"/>
      <c r="K441" s="674"/>
      <c r="L441" s="674"/>
      <c r="M441" s="674"/>
      <c r="N441" s="674"/>
      <c r="O441" s="674"/>
      <c r="P441" s="674"/>
      <c r="Q441" s="674"/>
      <c r="R441" s="674"/>
      <c r="S441" s="674"/>
      <c r="T441" s="674"/>
      <c r="U441" s="674"/>
      <c r="V441" s="674"/>
      <c r="W441" s="674"/>
      <c r="X441" s="674"/>
      <c r="Y441" s="674"/>
    </row>
    <row r="442" spans="1:25">
      <c r="A442" s="410"/>
      <c r="B442" s="666"/>
      <c r="C442" s="674"/>
      <c r="D442" s="674"/>
      <c r="E442" s="674"/>
      <c r="F442" s="674"/>
      <c r="G442" s="674"/>
      <c r="H442" s="674"/>
      <c r="I442" s="674"/>
      <c r="J442" s="674"/>
      <c r="K442" s="674"/>
      <c r="L442" s="674"/>
      <c r="M442" s="674"/>
      <c r="N442" s="674"/>
      <c r="O442" s="674"/>
      <c r="P442" s="674"/>
      <c r="Q442" s="674"/>
      <c r="R442" s="674"/>
      <c r="S442" s="674"/>
      <c r="T442" s="674"/>
      <c r="U442" s="674"/>
      <c r="V442" s="674"/>
      <c r="W442" s="674"/>
      <c r="X442" s="674"/>
      <c r="Y442" s="674"/>
    </row>
    <row r="443" spans="1:25">
      <c r="A443" s="410"/>
      <c r="B443" s="666"/>
      <c r="C443" s="674"/>
      <c r="D443" s="674"/>
      <c r="E443" s="674"/>
      <c r="F443" s="674"/>
      <c r="G443" s="674"/>
      <c r="H443" s="674"/>
      <c r="I443" s="674"/>
      <c r="J443" s="674"/>
      <c r="K443" s="674"/>
      <c r="L443" s="674"/>
      <c r="M443" s="674"/>
      <c r="N443" s="674"/>
      <c r="O443" s="674"/>
      <c r="P443" s="674"/>
      <c r="Q443" s="674"/>
      <c r="R443" s="674"/>
      <c r="S443" s="674"/>
      <c r="T443" s="674"/>
      <c r="U443" s="674"/>
      <c r="V443" s="674"/>
      <c r="W443" s="674"/>
      <c r="X443" s="674"/>
      <c r="Y443" s="674"/>
    </row>
    <row r="444" spans="1:25">
      <c r="A444" s="410"/>
      <c r="B444" s="666"/>
      <c r="C444" s="674"/>
      <c r="D444" s="674"/>
      <c r="E444" s="674"/>
      <c r="F444" s="674"/>
      <c r="G444" s="674"/>
      <c r="H444" s="674"/>
      <c r="I444" s="674"/>
      <c r="J444" s="674"/>
      <c r="K444" s="674"/>
      <c r="L444" s="674"/>
      <c r="M444" s="674"/>
      <c r="N444" s="674"/>
      <c r="O444" s="674"/>
      <c r="P444" s="674"/>
      <c r="Q444" s="674"/>
      <c r="R444" s="674"/>
      <c r="S444" s="674"/>
      <c r="T444" s="674"/>
      <c r="U444" s="674"/>
      <c r="V444" s="674"/>
      <c r="W444" s="674"/>
      <c r="X444" s="674"/>
      <c r="Y444" s="674"/>
    </row>
    <row r="445" spans="1:25">
      <c r="A445" s="410"/>
      <c r="B445" s="666"/>
      <c r="C445" s="674"/>
      <c r="D445" s="674"/>
      <c r="E445" s="674"/>
      <c r="F445" s="674"/>
      <c r="G445" s="674"/>
      <c r="H445" s="674"/>
      <c r="I445" s="674"/>
      <c r="J445" s="674"/>
      <c r="K445" s="674"/>
      <c r="L445" s="674"/>
      <c r="M445" s="674"/>
      <c r="N445" s="674"/>
      <c r="O445" s="674"/>
      <c r="P445" s="674"/>
      <c r="Q445" s="674"/>
      <c r="R445" s="674"/>
      <c r="S445" s="674"/>
      <c r="T445" s="674"/>
      <c r="U445" s="674"/>
      <c r="V445" s="674"/>
      <c r="W445" s="674"/>
      <c r="X445" s="674"/>
      <c r="Y445" s="674"/>
    </row>
    <row r="446" spans="1:25">
      <c r="A446" s="410"/>
      <c r="B446" s="666"/>
      <c r="C446" s="674"/>
      <c r="D446" s="674"/>
      <c r="E446" s="674"/>
      <c r="F446" s="674"/>
      <c r="G446" s="674"/>
      <c r="H446" s="674"/>
      <c r="I446" s="674"/>
      <c r="J446" s="674"/>
      <c r="K446" s="674"/>
      <c r="L446" s="674"/>
      <c r="M446" s="674"/>
      <c r="N446" s="674"/>
      <c r="O446" s="674"/>
      <c r="P446" s="674"/>
      <c r="Q446" s="674"/>
      <c r="R446" s="674"/>
      <c r="S446" s="674"/>
      <c r="T446" s="674"/>
      <c r="U446" s="674"/>
      <c r="V446" s="674"/>
      <c r="W446" s="674"/>
      <c r="X446" s="674"/>
      <c r="Y446" s="674"/>
    </row>
    <row r="447" spans="1:25">
      <c r="A447" s="410"/>
      <c r="B447" s="666"/>
      <c r="C447" s="674"/>
      <c r="D447" s="674"/>
      <c r="E447" s="674"/>
      <c r="F447" s="674"/>
      <c r="G447" s="674"/>
      <c r="H447" s="674"/>
      <c r="I447" s="674"/>
      <c r="J447" s="674"/>
      <c r="K447" s="674"/>
      <c r="L447" s="674"/>
      <c r="M447" s="674"/>
      <c r="N447" s="674"/>
      <c r="O447" s="674"/>
      <c r="P447" s="674"/>
      <c r="Q447" s="674"/>
      <c r="R447" s="674"/>
      <c r="S447" s="674"/>
      <c r="T447" s="674"/>
      <c r="U447" s="674"/>
      <c r="V447" s="674"/>
      <c r="W447" s="674"/>
      <c r="X447" s="674"/>
      <c r="Y447" s="674"/>
    </row>
    <row r="448" spans="1:25">
      <c r="A448" s="410"/>
      <c r="B448" s="666"/>
      <c r="C448" s="674"/>
      <c r="D448" s="674"/>
      <c r="E448" s="674"/>
      <c r="F448" s="674"/>
      <c r="G448" s="674"/>
      <c r="H448" s="674"/>
      <c r="I448" s="674"/>
      <c r="J448" s="674"/>
      <c r="K448" s="674"/>
      <c r="L448" s="674"/>
      <c r="M448" s="674"/>
      <c r="N448" s="674"/>
      <c r="O448" s="674"/>
      <c r="P448" s="674"/>
      <c r="Q448" s="674"/>
      <c r="R448" s="674"/>
      <c r="S448" s="674"/>
      <c r="T448" s="674"/>
      <c r="U448" s="674"/>
      <c r="V448" s="674"/>
      <c r="W448" s="674"/>
      <c r="X448" s="674"/>
      <c r="Y448" s="674"/>
    </row>
    <row r="449" spans="1:25">
      <c r="A449" s="410"/>
      <c r="B449" s="678"/>
      <c r="C449" s="674"/>
      <c r="D449" s="674"/>
      <c r="E449" s="674"/>
      <c r="F449" s="674"/>
      <c r="G449" s="674"/>
      <c r="H449" s="674"/>
      <c r="I449" s="674"/>
      <c r="J449" s="674"/>
      <c r="K449" s="674"/>
      <c r="L449" s="674"/>
      <c r="M449" s="674"/>
      <c r="N449" s="674"/>
      <c r="O449" s="674"/>
      <c r="P449" s="674"/>
      <c r="Q449" s="674"/>
      <c r="R449" s="674"/>
      <c r="S449" s="674"/>
      <c r="T449" s="674"/>
      <c r="U449" s="674"/>
      <c r="V449" s="674"/>
      <c r="W449" s="674"/>
      <c r="X449" s="674"/>
      <c r="Y449" s="674"/>
    </row>
    <row r="450" spans="1:25">
      <c r="A450" s="410"/>
      <c r="B450" s="678"/>
      <c r="C450" s="674"/>
      <c r="D450" s="674"/>
      <c r="E450" s="674"/>
      <c r="F450" s="674"/>
      <c r="G450" s="674"/>
      <c r="H450" s="674"/>
      <c r="I450" s="674"/>
      <c r="J450" s="674"/>
      <c r="K450" s="674"/>
      <c r="L450" s="674"/>
      <c r="M450" s="674"/>
      <c r="N450" s="674"/>
      <c r="O450" s="674"/>
      <c r="P450" s="674"/>
      <c r="Q450" s="674"/>
      <c r="R450" s="674"/>
      <c r="S450" s="674"/>
      <c r="T450" s="674"/>
      <c r="U450" s="674"/>
      <c r="V450" s="674"/>
      <c r="W450" s="674"/>
      <c r="X450" s="674"/>
      <c r="Y450" s="674"/>
    </row>
    <row r="451" spans="1:25">
      <c r="A451" s="804"/>
      <c r="B451" s="658"/>
      <c r="C451" s="662"/>
      <c r="D451" s="662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2"/>
      <c r="U451" s="662"/>
      <c r="V451" s="662"/>
      <c r="W451" s="662"/>
      <c r="X451" s="662"/>
      <c r="Y451" s="662"/>
    </row>
    <row r="452" spans="1:25">
      <c r="A452" s="410"/>
      <c r="B452" s="666"/>
      <c r="C452" s="674"/>
      <c r="D452" s="674"/>
      <c r="E452" s="674"/>
      <c r="F452" s="674"/>
      <c r="G452" s="674"/>
      <c r="H452" s="674"/>
      <c r="I452" s="674"/>
      <c r="J452" s="674"/>
      <c r="K452" s="674"/>
      <c r="L452" s="674"/>
      <c r="M452" s="674"/>
      <c r="N452" s="674"/>
      <c r="O452" s="674"/>
      <c r="P452" s="674"/>
      <c r="Q452" s="674"/>
      <c r="R452" s="674"/>
      <c r="S452" s="674"/>
      <c r="T452" s="674"/>
      <c r="U452" s="674"/>
      <c r="V452" s="674"/>
      <c r="W452" s="674"/>
      <c r="X452" s="674"/>
      <c r="Y452" s="674"/>
    </row>
    <row r="453" spans="1:25">
      <c r="A453" s="410"/>
      <c r="B453" s="666"/>
      <c r="C453" s="674"/>
      <c r="D453" s="674"/>
      <c r="E453" s="674"/>
      <c r="F453" s="674"/>
      <c r="G453" s="674"/>
      <c r="H453" s="674"/>
      <c r="I453" s="674"/>
      <c r="J453" s="674"/>
      <c r="K453" s="674"/>
      <c r="L453" s="674"/>
      <c r="M453" s="674"/>
      <c r="N453" s="674"/>
      <c r="O453" s="674"/>
      <c r="P453" s="674"/>
      <c r="Q453" s="674"/>
      <c r="R453" s="674"/>
      <c r="S453" s="674"/>
      <c r="T453" s="674"/>
      <c r="U453" s="674"/>
      <c r="V453" s="674"/>
      <c r="W453" s="674"/>
      <c r="X453" s="674"/>
      <c r="Y453" s="674"/>
    </row>
    <row r="454" spans="1:25">
      <c r="A454" s="410"/>
      <c r="B454" s="666"/>
      <c r="C454" s="674"/>
      <c r="D454" s="674"/>
      <c r="E454" s="674"/>
      <c r="F454" s="674"/>
      <c r="G454" s="674"/>
      <c r="H454" s="674"/>
      <c r="I454" s="674"/>
      <c r="J454" s="674"/>
      <c r="K454" s="674"/>
      <c r="L454" s="674"/>
      <c r="M454" s="674"/>
      <c r="N454" s="674"/>
      <c r="O454" s="674"/>
      <c r="P454" s="674"/>
      <c r="Q454" s="674"/>
      <c r="R454" s="674"/>
      <c r="S454" s="674"/>
      <c r="T454" s="674"/>
      <c r="U454" s="674"/>
      <c r="V454" s="674"/>
      <c r="W454" s="674"/>
      <c r="X454" s="674"/>
      <c r="Y454" s="674"/>
    </row>
    <row r="455" spans="1:25">
      <c r="A455" s="410"/>
      <c r="B455" s="666"/>
      <c r="C455" s="674"/>
      <c r="D455" s="674"/>
      <c r="E455" s="674"/>
      <c r="F455" s="674"/>
      <c r="G455" s="674"/>
      <c r="H455" s="674"/>
      <c r="I455" s="674"/>
      <c r="J455" s="674"/>
      <c r="K455" s="674"/>
      <c r="L455" s="674"/>
      <c r="M455" s="674"/>
      <c r="N455" s="674"/>
      <c r="O455" s="674"/>
      <c r="P455" s="674"/>
      <c r="Q455" s="674"/>
      <c r="R455" s="674"/>
      <c r="S455" s="674"/>
      <c r="T455" s="674"/>
      <c r="U455" s="674"/>
      <c r="V455" s="674"/>
      <c r="W455" s="674"/>
      <c r="X455" s="674"/>
      <c r="Y455" s="674"/>
    </row>
    <row r="456" spans="1:25">
      <c r="A456" s="410"/>
      <c r="B456" s="666"/>
      <c r="C456" s="674"/>
      <c r="D456" s="674"/>
      <c r="E456" s="674"/>
      <c r="F456" s="674"/>
      <c r="G456" s="674"/>
      <c r="H456" s="674"/>
      <c r="I456" s="674"/>
      <c r="J456" s="674"/>
      <c r="K456" s="674"/>
      <c r="L456" s="674"/>
      <c r="M456" s="674"/>
      <c r="N456" s="674"/>
      <c r="O456" s="674"/>
      <c r="P456" s="674"/>
      <c r="Q456" s="674"/>
      <c r="R456" s="674"/>
      <c r="S456" s="674"/>
      <c r="T456" s="674"/>
      <c r="U456" s="674"/>
      <c r="V456" s="674"/>
      <c r="W456" s="674"/>
      <c r="X456" s="674"/>
      <c r="Y456" s="674"/>
    </row>
    <row r="457" spans="1:25">
      <c r="A457" s="410"/>
      <c r="B457" s="666"/>
      <c r="C457" s="674"/>
      <c r="D457" s="674"/>
      <c r="E457" s="674"/>
      <c r="F457" s="674"/>
      <c r="G457" s="674"/>
      <c r="H457" s="674"/>
      <c r="I457" s="674"/>
      <c r="J457" s="674"/>
      <c r="K457" s="674"/>
      <c r="L457" s="674"/>
      <c r="M457" s="674"/>
      <c r="N457" s="674"/>
      <c r="O457" s="674"/>
      <c r="P457" s="674"/>
      <c r="Q457" s="674"/>
      <c r="R457" s="674"/>
      <c r="S457" s="674"/>
      <c r="T457" s="674"/>
      <c r="U457" s="674"/>
      <c r="V457" s="674"/>
      <c r="W457" s="674"/>
      <c r="X457" s="674"/>
      <c r="Y457" s="674"/>
    </row>
    <row r="458" spans="1:25">
      <c r="A458" s="410"/>
      <c r="B458" s="666"/>
      <c r="C458" s="674"/>
      <c r="D458" s="674"/>
      <c r="E458" s="674"/>
      <c r="F458" s="674"/>
      <c r="G458" s="674"/>
      <c r="H458" s="674"/>
      <c r="I458" s="674"/>
      <c r="J458" s="674"/>
      <c r="K458" s="674"/>
      <c r="L458" s="674"/>
      <c r="M458" s="674"/>
      <c r="N458" s="674"/>
      <c r="O458" s="674"/>
      <c r="P458" s="674"/>
      <c r="Q458" s="674"/>
      <c r="R458" s="674"/>
      <c r="S458" s="674"/>
      <c r="T458" s="674"/>
      <c r="U458" s="674"/>
      <c r="V458" s="674"/>
      <c r="W458" s="674"/>
      <c r="X458" s="674"/>
      <c r="Y458" s="674"/>
    </row>
    <row r="459" spans="1:25">
      <c r="A459" s="410"/>
      <c r="B459" s="666"/>
      <c r="C459" s="674"/>
      <c r="D459" s="674"/>
      <c r="E459" s="674"/>
      <c r="F459" s="674"/>
      <c r="G459" s="674"/>
      <c r="H459" s="674"/>
      <c r="I459" s="674"/>
      <c r="J459" s="674"/>
      <c r="K459" s="674"/>
      <c r="L459" s="674"/>
      <c r="M459" s="674"/>
      <c r="N459" s="674"/>
      <c r="O459" s="674"/>
      <c r="P459" s="674"/>
      <c r="Q459" s="674"/>
      <c r="R459" s="674"/>
      <c r="S459" s="674"/>
      <c r="T459" s="674"/>
      <c r="U459" s="674"/>
      <c r="V459" s="674"/>
      <c r="W459" s="674"/>
      <c r="X459" s="674"/>
      <c r="Y459" s="674"/>
    </row>
    <row r="460" spans="1:25">
      <c r="A460" s="410"/>
      <c r="B460" s="666"/>
      <c r="C460" s="674"/>
      <c r="D460" s="674"/>
      <c r="E460" s="674"/>
      <c r="F460" s="674"/>
      <c r="G460" s="674"/>
      <c r="H460" s="674"/>
      <c r="I460" s="674"/>
      <c r="J460" s="674"/>
      <c r="K460" s="674"/>
      <c r="L460" s="674"/>
      <c r="M460" s="674"/>
      <c r="N460" s="674"/>
      <c r="O460" s="674"/>
      <c r="P460" s="674"/>
      <c r="Q460" s="674"/>
      <c r="R460" s="674"/>
      <c r="S460" s="674"/>
      <c r="T460" s="674"/>
      <c r="U460" s="674"/>
      <c r="V460" s="674"/>
      <c r="W460" s="674"/>
      <c r="X460" s="674"/>
      <c r="Y460" s="674"/>
    </row>
    <row r="461" spans="1:25">
      <c r="A461" s="804"/>
      <c r="B461" s="658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</row>
    <row r="462" spans="1:25">
      <c r="A462" s="410"/>
      <c r="B462" s="666"/>
      <c r="C462" s="674"/>
      <c r="D462" s="674"/>
      <c r="E462" s="674"/>
      <c r="F462" s="674"/>
      <c r="G462" s="674"/>
      <c r="H462" s="674"/>
      <c r="I462" s="674"/>
      <c r="J462" s="674"/>
      <c r="K462" s="674"/>
      <c r="L462" s="674"/>
      <c r="M462" s="674"/>
      <c r="N462" s="674"/>
      <c r="O462" s="674"/>
      <c r="P462" s="674"/>
      <c r="Q462" s="674"/>
      <c r="R462" s="674"/>
      <c r="S462" s="674"/>
      <c r="T462" s="674"/>
      <c r="U462" s="674"/>
      <c r="V462" s="674"/>
      <c r="W462" s="674"/>
      <c r="X462" s="674"/>
      <c r="Y462" s="674"/>
    </row>
    <row r="463" spans="1:25">
      <c r="A463" s="410"/>
      <c r="B463" s="666"/>
      <c r="C463" s="674"/>
      <c r="D463" s="674"/>
      <c r="E463" s="674"/>
      <c r="F463" s="674"/>
      <c r="G463" s="674"/>
      <c r="H463" s="674"/>
      <c r="I463" s="674"/>
      <c r="J463" s="674"/>
      <c r="K463" s="674"/>
      <c r="L463" s="674"/>
      <c r="M463" s="674"/>
      <c r="N463" s="674"/>
      <c r="O463" s="674"/>
      <c r="P463" s="674"/>
      <c r="Q463" s="674"/>
      <c r="R463" s="674"/>
      <c r="S463" s="674"/>
      <c r="T463" s="674"/>
      <c r="U463" s="674"/>
      <c r="V463" s="674"/>
      <c r="W463" s="674"/>
      <c r="X463" s="674"/>
      <c r="Y463" s="674"/>
    </row>
    <row r="464" spans="1:25">
      <c r="A464" s="410"/>
      <c r="B464" s="666"/>
      <c r="C464" s="674"/>
      <c r="D464" s="674"/>
      <c r="E464" s="674"/>
      <c r="F464" s="674"/>
      <c r="G464" s="674"/>
      <c r="H464" s="674"/>
      <c r="I464" s="674"/>
      <c r="J464" s="674"/>
      <c r="K464" s="674"/>
      <c r="L464" s="674"/>
      <c r="M464" s="674"/>
      <c r="N464" s="674"/>
      <c r="O464" s="674"/>
      <c r="P464" s="674"/>
      <c r="Q464" s="674"/>
      <c r="R464" s="674"/>
      <c r="S464" s="674"/>
      <c r="T464" s="674"/>
      <c r="U464" s="674"/>
      <c r="V464" s="674"/>
      <c r="W464" s="674"/>
      <c r="X464" s="674"/>
      <c r="Y464" s="674"/>
    </row>
    <row r="465" spans="1:25">
      <c r="A465" s="410"/>
      <c r="B465" s="666"/>
      <c r="C465" s="674"/>
      <c r="D465" s="674"/>
      <c r="E465" s="674"/>
      <c r="F465" s="674"/>
      <c r="G465" s="674"/>
      <c r="H465" s="674"/>
      <c r="I465" s="674"/>
      <c r="J465" s="674"/>
      <c r="K465" s="674"/>
      <c r="L465" s="674"/>
      <c r="M465" s="674"/>
      <c r="N465" s="674"/>
      <c r="O465" s="674"/>
      <c r="P465" s="674"/>
      <c r="Q465" s="674"/>
      <c r="R465" s="674"/>
      <c r="S465" s="674"/>
      <c r="T465" s="674"/>
      <c r="U465" s="674"/>
      <c r="V465" s="674"/>
      <c r="W465" s="674"/>
      <c r="X465" s="674"/>
      <c r="Y465" s="674"/>
    </row>
    <row r="466" spans="1:25">
      <c r="A466" s="410"/>
      <c r="B466" s="666"/>
      <c r="C466" s="674"/>
      <c r="D466" s="674"/>
      <c r="E466" s="674"/>
      <c r="F466" s="674"/>
      <c r="G466" s="674"/>
      <c r="H466" s="674"/>
      <c r="I466" s="674"/>
      <c r="J466" s="674"/>
      <c r="K466" s="674"/>
      <c r="L466" s="674"/>
      <c r="M466" s="674"/>
      <c r="N466" s="674"/>
      <c r="O466" s="674"/>
      <c r="P466" s="674"/>
      <c r="Q466" s="674"/>
      <c r="R466" s="674"/>
      <c r="S466" s="674"/>
      <c r="T466" s="674"/>
      <c r="U466" s="674"/>
      <c r="V466" s="674"/>
      <c r="W466" s="674"/>
      <c r="X466" s="674"/>
      <c r="Y466" s="674"/>
    </row>
    <row r="467" spans="1:25">
      <c r="A467" s="410"/>
      <c r="B467" s="666"/>
      <c r="C467" s="674"/>
      <c r="D467" s="674"/>
      <c r="E467" s="674"/>
      <c r="F467" s="674"/>
      <c r="G467" s="674"/>
      <c r="H467" s="674"/>
      <c r="I467" s="674"/>
      <c r="J467" s="674"/>
      <c r="K467" s="674"/>
      <c r="L467" s="674"/>
      <c r="M467" s="674"/>
      <c r="N467" s="674"/>
      <c r="O467" s="674"/>
      <c r="P467" s="674"/>
      <c r="Q467" s="674"/>
      <c r="R467" s="674"/>
      <c r="S467" s="674"/>
      <c r="T467" s="674"/>
      <c r="U467" s="674"/>
      <c r="V467" s="674"/>
      <c r="W467" s="674"/>
      <c r="X467" s="674"/>
      <c r="Y467" s="674"/>
    </row>
    <row r="468" spans="1:25">
      <c r="A468" s="410"/>
      <c r="B468" s="666"/>
      <c r="C468" s="674"/>
      <c r="D468" s="674"/>
      <c r="E468" s="674"/>
      <c r="F468" s="674"/>
      <c r="G468" s="674"/>
      <c r="H468" s="674"/>
      <c r="I468" s="674"/>
      <c r="J468" s="674"/>
      <c r="K468" s="674"/>
      <c r="L468" s="674"/>
      <c r="M468" s="674"/>
      <c r="N468" s="674"/>
      <c r="O468" s="674"/>
      <c r="P468" s="674"/>
      <c r="Q468" s="674"/>
      <c r="R468" s="674"/>
      <c r="S468" s="674"/>
      <c r="T468" s="674"/>
      <c r="U468" s="674"/>
      <c r="V468" s="674"/>
      <c r="W468" s="674"/>
      <c r="X468" s="674"/>
      <c r="Y468" s="674"/>
    </row>
    <row r="469" spans="1:25">
      <c r="A469" s="410"/>
      <c r="B469" s="666"/>
      <c r="C469" s="674"/>
      <c r="D469" s="674"/>
      <c r="E469" s="674"/>
      <c r="F469" s="674"/>
      <c r="G469" s="674"/>
      <c r="H469" s="674"/>
      <c r="I469" s="674"/>
      <c r="J469" s="674"/>
      <c r="K469" s="674"/>
      <c r="L469" s="674"/>
      <c r="M469" s="674"/>
      <c r="N469" s="674"/>
      <c r="O469" s="674"/>
      <c r="P469" s="674"/>
      <c r="Q469" s="674"/>
      <c r="R469" s="674"/>
      <c r="S469" s="674"/>
      <c r="T469" s="674"/>
      <c r="U469" s="674"/>
      <c r="V469" s="674"/>
      <c r="W469" s="674"/>
      <c r="X469" s="674"/>
      <c r="Y469" s="674"/>
    </row>
    <row r="470" spans="1:25">
      <c r="A470" s="410"/>
      <c r="B470" s="666"/>
      <c r="C470" s="674"/>
      <c r="D470" s="674"/>
      <c r="E470" s="674"/>
      <c r="F470" s="674"/>
      <c r="G470" s="674"/>
      <c r="H470" s="674"/>
      <c r="I470" s="674"/>
      <c r="J470" s="674"/>
      <c r="K470" s="674"/>
      <c r="L470" s="674"/>
      <c r="M470" s="674"/>
      <c r="N470" s="674"/>
      <c r="O470" s="674"/>
      <c r="P470" s="674"/>
      <c r="Q470" s="674"/>
      <c r="R470" s="674"/>
      <c r="S470" s="674"/>
      <c r="T470" s="674"/>
      <c r="U470" s="674"/>
      <c r="V470" s="674"/>
      <c r="W470" s="674"/>
      <c r="X470" s="674"/>
      <c r="Y470" s="674"/>
    </row>
    <row r="471" spans="1:25">
      <c r="A471" s="804"/>
      <c r="B471" s="658"/>
      <c r="C471" s="662"/>
      <c r="D471" s="662"/>
      <c r="E471" s="662"/>
      <c r="F471" s="662"/>
      <c r="G471" s="662"/>
      <c r="H471" s="662"/>
      <c r="I471" s="662"/>
      <c r="J471" s="662"/>
      <c r="K471" s="662"/>
      <c r="L471" s="662"/>
      <c r="M471" s="662"/>
      <c r="N471" s="662"/>
      <c r="O471" s="662"/>
      <c r="P471" s="662"/>
      <c r="Q471" s="662"/>
      <c r="R471" s="662"/>
      <c r="S471" s="662"/>
      <c r="T471" s="662"/>
      <c r="U471" s="662"/>
      <c r="V471" s="662"/>
      <c r="W471" s="662"/>
      <c r="X471" s="662"/>
      <c r="Y471" s="662"/>
    </row>
    <row r="472" spans="1:25">
      <c r="A472" s="410"/>
      <c r="B472" s="666"/>
      <c r="C472" s="674"/>
      <c r="D472" s="674"/>
      <c r="E472" s="674"/>
      <c r="F472" s="674"/>
      <c r="G472" s="674"/>
      <c r="H472" s="674"/>
      <c r="I472" s="674"/>
      <c r="J472" s="674"/>
      <c r="K472" s="674"/>
      <c r="L472" s="674"/>
      <c r="M472" s="674"/>
      <c r="N472" s="674"/>
      <c r="O472" s="674"/>
      <c r="P472" s="674"/>
      <c r="Q472" s="674"/>
      <c r="R472" s="674"/>
      <c r="S472" s="674"/>
      <c r="T472" s="674"/>
      <c r="U472" s="674"/>
      <c r="V472" s="674"/>
      <c r="W472" s="674"/>
      <c r="X472" s="674"/>
      <c r="Y472" s="674"/>
    </row>
    <row r="473" spans="1:25">
      <c r="A473" s="804"/>
      <c r="B473" s="658"/>
      <c r="C473" s="662"/>
      <c r="D473" s="662"/>
      <c r="E473" s="662"/>
      <c r="F473" s="662"/>
      <c r="G473" s="662"/>
      <c r="H473" s="662"/>
      <c r="I473" s="662"/>
      <c r="J473" s="662"/>
      <c r="K473" s="662"/>
      <c r="L473" s="662"/>
      <c r="M473" s="662"/>
      <c r="N473" s="662"/>
      <c r="O473" s="662"/>
      <c r="P473" s="662"/>
      <c r="Q473" s="662"/>
      <c r="R473" s="662"/>
      <c r="S473" s="662"/>
      <c r="T473" s="662"/>
      <c r="U473" s="662"/>
      <c r="V473" s="662"/>
      <c r="W473" s="662"/>
      <c r="X473" s="662"/>
      <c r="Y473" s="662"/>
    </row>
    <row r="474" spans="1:25">
      <c r="A474" s="410"/>
      <c r="B474" s="666"/>
      <c r="C474" s="674"/>
      <c r="D474" s="674"/>
      <c r="E474" s="674"/>
      <c r="F474" s="674"/>
      <c r="G474" s="662"/>
      <c r="H474" s="662"/>
      <c r="I474" s="674"/>
      <c r="J474" s="674"/>
      <c r="K474" s="674"/>
      <c r="L474" s="674"/>
      <c r="M474" s="662"/>
      <c r="N474" s="662"/>
      <c r="O474" s="674"/>
      <c r="P474" s="674"/>
      <c r="Q474" s="674"/>
      <c r="R474" s="674"/>
      <c r="S474" s="662"/>
      <c r="T474" s="662"/>
      <c r="U474" s="674"/>
      <c r="V474" s="674"/>
      <c r="W474" s="674"/>
      <c r="X474" s="674"/>
      <c r="Y474" s="662"/>
    </row>
    <row r="475" spans="1:25">
      <c r="A475" s="410"/>
      <c r="B475" s="666"/>
      <c r="C475" s="674"/>
      <c r="D475" s="674"/>
      <c r="E475" s="674"/>
      <c r="F475" s="674"/>
      <c r="G475" s="674"/>
      <c r="H475" s="674"/>
      <c r="I475" s="674"/>
      <c r="J475" s="674"/>
      <c r="K475" s="674"/>
      <c r="L475" s="674"/>
      <c r="M475" s="674"/>
      <c r="N475" s="674"/>
      <c r="O475" s="674"/>
      <c r="P475" s="674"/>
      <c r="Q475" s="674"/>
      <c r="R475" s="674"/>
      <c r="S475" s="674"/>
      <c r="T475" s="674"/>
      <c r="U475" s="674"/>
      <c r="V475" s="674"/>
      <c r="W475" s="674"/>
      <c r="X475" s="674"/>
      <c r="Y475" s="674"/>
    </row>
    <row r="476" spans="1:25">
      <c r="A476" s="410"/>
      <c r="B476" s="666"/>
      <c r="C476" s="674"/>
      <c r="D476" s="674"/>
      <c r="E476" s="674"/>
      <c r="F476" s="674"/>
      <c r="G476" s="674"/>
      <c r="H476" s="674"/>
      <c r="I476" s="674"/>
      <c r="J476" s="674"/>
      <c r="K476" s="674"/>
      <c r="L476" s="674"/>
      <c r="M476" s="674"/>
      <c r="N476" s="674"/>
      <c r="O476" s="674"/>
      <c r="P476" s="674"/>
      <c r="Q476" s="674"/>
      <c r="R476" s="674"/>
      <c r="S476" s="674"/>
      <c r="T476" s="674"/>
      <c r="U476" s="674"/>
      <c r="V476" s="674"/>
      <c r="W476" s="674"/>
      <c r="X476" s="674"/>
      <c r="Y476" s="674"/>
    </row>
    <row r="477" spans="1:25">
      <c r="A477" s="410"/>
      <c r="B477" s="666"/>
      <c r="C477" s="674"/>
      <c r="D477" s="674"/>
      <c r="E477" s="674"/>
      <c r="F477" s="674"/>
      <c r="G477" s="674"/>
      <c r="H477" s="674"/>
      <c r="I477" s="674"/>
      <c r="J477" s="674"/>
      <c r="K477" s="674"/>
      <c r="L477" s="674"/>
      <c r="M477" s="674"/>
      <c r="N477" s="674"/>
      <c r="O477" s="674"/>
      <c r="P477" s="674"/>
      <c r="Q477" s="674"/>
      <c r="R477" s="674"/>
      <c r="S477" s="674"/>
      <c r="T477" s="674"/>
      <c r="U477" s="674"/>
      <c r="V477" s="674"/>
      <c r="W477" s="674"/>
      <c r="X477" s="674"/>
      <c r="Y477" s="674"/>
    </row>
    <row r="478" spans="1:25">
      <c r="A478" s="410"/>
      <c r="B478" s="666"/>
      <c r="C478" s="674"/>
      <c r="D478" s="674"/>
      <c r="E478" s="674"/>
      <c r="F478" s="674"/>
      <c r="G478" s="674"/>
      <c r="H478" s="674"/>
      <c r="I478" s="674"/>
      <c r="J478" s="674"/>
      <c r="K478" s="674"/>
      <c r="L478" s="674"/>
      <c r="M478" s="674"/>
      <c r="N478" s="674"/>
      <c r="O478" s="674"/>
      <c r="P478" s="674"/>
      <c r="Q478" s="674"/>
      <c r="R478" s="674"/>
      <c r="S478" s="674"/>
      <c r="T478" s="674"/>
      <c r="U478" s="674"/>
      <c r="V478" s="674"/>
      <c r="W478" s="674"/>
      <c r="X478" s="674"/>
      <c r="Y478" s="674"/>
    </row>
    <row r="479" spans="1:25">
      <c r="A479" s="410"/>
      <c r="B479" s="666"/>
      <c r="C479" s="674"/>
      <c r="D479" s="674"/>
      <c r="E479" s="674"/>
      <c r="F479" s="674"/>
      <c r="G479" s="674"/>
      <c r="H479" s="674"/>
      <c r="I479" s="674"/>
      <c r="J479" s="674"/>
      <c r="K479" s="674"/>
      <c r="L479" s="674"/>
      <c r="M479" s="674"/>
      <c r="N479" s="674"/>
      <c r="O479" s="674"/>
      <c r="P479" s="674"/>
      <c r="Q479" s="674"/>
      <c r="R479" s="674"/>
      <c r="S479" s="674"/>
      <c r="T479" s="674"/>
      <c r="U479" s="674"/>
      <c r="V479" s="674"/>
      <c r="W479" s="674"/>
      <c r="X479" s="674"/>
      <c r="Y479" s="674"/>
    </row>
    <row r="480" spans="1:25">
      <c r="A480" s="806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160"/>
      <c r="V480" s="160"/>
      <c r="W480" s="160"/>
      <c r="X480" s="160"/>
      <c r="Y480" s="807"/>
    </row>
    <row r="481" spans="1:25" ht="21">
      <c r="A481" s="506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808"/>
      <c r="T481" s="809"/>
      <c r="U481" s="809"/>
      <c r="V481" s="809"/>
      <c r="W481" s="809"/>
      <c r="X481" s="810"/>
      <c r="Y481" s="810"/>
    </row>
  </sheetData>
  <mergeCells count="32">
    <mergeCell ref="A1:Y1"/>
    <mergeCell ref="A2:Y2"/>
    <mergeCell ref="A3:A4"/>
    <mergeCell ref="B3:B4"/>
    <mergeCell ref="C3:G3"/>
    <mergeCell ref="I3:M3"/>
    <mergeCell ref="O3:S3"/>
    <mergeCell ref="U3:Y3"/>
    <mergeCell ref="A6:A7"/>
    <mergeCell ref="AQ13:AQ14"/>
    <mergeCell ref="AR13:AR14"/>
    <mergeCell ref="AS13:AW13"/>
    <mergeCell ref="AY13:BC13"/>
    <mergeCell ref="BK13:BO13"/>
    <mergeCell ref="A255:Y255"/>
    <mergeCell ref="A256:Y256"/>
    <mergeCell ref="A257:A258"/>
    <mergeCell ref="B257:B258"/>
    <mergeCell ref="C257:G257"/>
    <mergeCell ref="I257:M257"/>
    <mergeCell ref="O257:S257"/>
    <mergeCell ref="U257:Y257"/>
    <mergeCell ref="BE13:BI13"/>
    <mergeCell ref="A265:A266"/>
    <mergeCell ref="A260:Y260"/>
    <mergeCell ref="A261:Y261"/>
    <mergeCell ref="A262:A263"/>
    <mergeCell ref="B262:B263"/>
    <mergeCell ref="C262:G262"/>
    <mergeCell ref="I262:M262"/>
    <mergeCell ref="O262:S262"/>
    <mergeCell ref="U262:Y26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6"/>
  <sheetViews>
    <sheetView zoomScale="112" zoomScaleNormal="112" workbookViewId="0">
      <selection activeCell="AT37" sqref="AT37"/>
    </sheetView>
  </sheetViews>
  <sheetFormatPr defaultColWidth="9.140625" defaultRowHeight="18.75"/>
  <cols>
    <col min="1" max="1" width="25" style="872" customWidth="1"/>
    <col min="2" max="2" width="13.7109375" style="873" hidden="1" customWidth="1"/>
    <col min="3" max="3" width="12.5703125" style="873" hidden="1" customWidth="1"/>
    <col min="4" max="4" width="13.28515625" style="873" hidden="1" customWidth="1"/>
    <col min="5" max="5" width="12.140625" style="873" hidden="1" customWidth="1"/>
    <col min="6" max="6" width="9.5703125" style="873" hidden="1" customWidth="1"/>
    <col min="7" max="7" width="1.140625" style="873" hidden="1" customWidth="1"/>
    <col min="8" max="8" width="13.28515625" style="873" hidden="1" customWidth="1"/>
    <col min="9" max="9" width="14.42578125" style="873" hidden="1" customWidth="1"/>
    <col min="10" max="10" width="14.28515625" style="873" hidden="1" customWidth="1"/>
    <col min="11" max="12" width="11.28515625" style="873" hidden="1" customWidth="1"/>
    <col min="13" max="13" width="13.28515625" style="873" hidden="1" customWidth="1"/>
    <col min="14" max="14" width="14.42578125" style="873" hidden="1" customWidth="1"/>
    <col min="15" max="15" width="14.28515625" style="873" hidden="1" customWidth="1"/>
    <col min="16" max="17" width="11.28515625" style="873" hidden="1" customWidth="1"/>
    <col min="18" max="18" width="13.28515625" style="873" hidden="1" customWidth="1"/>
    <col min="19" max="19" width="14.42578125" style="873" hidden="1" customWidth="1"/>
    <col min="20" max="20" width="14.28515625" style="873" hidden="1" customWidth="1"/>
    <col min="21" max="22" width="11.28515625" style="873" hidden="1" customWidth="1"/>
    <col min="23" max="32" width="11.140625" style="873" hidden="1" customWidth="1"/>
    <col min="33" max="42" width="12.28515625" style="873" customWidth="1"/>
    <col min="43" max="43" width="17.85546875" style="874" customWidth="1"/>
    <col min="44" max="44" width="4.85546875" style="872" customWidth="1"/>
    <col min="45" max="16384" width="9.140625" style="872"/>
  </cols>
  <sheetData>
    <row r="1" spans="1:64" s="811" customFormat="1">
      <c r="A1" s="1279" t="s">
        <v>651</v>
      </c>
      <c r="B1" s="1279"/>
      <c r="C1" s="1279"/>
      <c r="D1" s="1279"/>
      <c r="E1" s="1279"/>
      <c r="F1" s="1279"/>
      <c r="G1" s="1279"/>
      <c r="H1" s="1279"/>
      <c r="I1" s="1279"/>
      <c r="J1" s="1279"/>
      <c r="K1" s="1279"/>
      <c r="L1" s="1279"/>
      <c r="M1" s="1279"/>
      <c r="N1" s="1279"/>
      <c r="O1" s="1279"/>
      <c r="P1" s="1279"/>
      <c r="Q1" s="1279"/>
      <c r="R1" s="1279"/>
      <c r="S1" s="1279"/>
      <c r="T1" s="1279"/>
      <c r="U1" s="1279"/>
      <c r="V1" s="1279"/>
      <c r="W1" s="1279"/>
      <c r="X1" s="1279"/>
      <c r="Y1" s="1279"/>
      <c r="Z1" s="1279"/>
      <c r="AA1" s="1279"/>
      <c r="AB1" s="1279"/>
      <c r="AC1" s="1279"/>
      <c r="AD1" s="1279"/>
      <c r="AE1" s="1279"/>
      <c r="AF1" s="1279"/>
      <c r="AG1" s="1279"/>
      <c r="AH1" s="1279"/>
      <c r="AI1" s="1279"/>
      <c r="AJ1" s="1279"/>
      <c r="AK1" s="1279"/>
      <c r="AL1" s="1279"/>
      <c r="AM1" s="1279"/>
      <c r="AN1" s="1279"/>
      <c r="AO1" s="1279"/>
      <c r="AP1" s="1279"/>
      <c r="AQ1" s="1279"/>
    </row>
    <row r="2" spans="1:64" s="577" customFormat="1" ht="12.75">
      <c r="A2" s="1280" t="s">
        <v>652</v>
      </c>
      <c r="B2" s="1281"/>
      <c r="C2" s="1281"/>
      <c r="D2" s="1281"/>
      <c r="E2" s="1281"/>
      <c r="F2" s="1281"/>
      <c r="G2" s="1281"/>
      <c r="H2" s="1281"/>
      <c r="I2" s="1281"/>
      <c r="J2" s="1281"/>
      <c r="K2" s="1281"/>
      <c r="L2" s="1281"/>
      <c r="M2" s="1281"/>
      <c r="N2" s="1281"/>
      <c r="O2" s="1281"/>
      <c r="P2" s="1281"/>
      <c r="Q2" s="1281"/>
      <c r="R2" s="1281"/>
      <c r="S2" s="1281"/>
      <c r="T2" s="1281"/>
      <c r="U2" s="1281"/>
      <c r="V2" s="1281"/>
      <c r="W2" s="1281"/>
      <c r="X2" s="1281"/>
      <c r="Y2" s="1281"/>
      <c r="Z2" s="1281"/>
      <c r="AA2" s="1281"/>
      <c r="AB2" s="1281"/>
      <c r="AC2" s="1281"/>
      <c r="AD2" s="1281"/>
      <c r="AE2" s="1281"/>
      <c r="AF2" s="1281"/>
      <c r="AG2" s="1281"/>
      <c r="AH2" s="1281"/>
      <c r="AI2" s="1281"/>
      <c r="AJ2" s="1281"/>
      <c r="AK2" s="1281"/>
      <c r="AL2" s="1281"/>
      <c r="AM2" s="1281"/>
      <c r="AN2" s="1281"/>
      <c r="AO2" s="1281"/>
      <c r="AP2" s="1281"/>
      <c r="AQ2" s="1281"/>
    </row>
    <row r="3" spans="1:64" s="814" customFormat="1" ht="12.75">
      <c r="A3" s="1282" t="s">
        <v>72</v>
      </c>
      <c r="B3" s="1285">
        <v>2011</v>
      </c>
      <c r="C3" s="1286"/>
      <c r="D3" s="1286"/>
      <c r="E3" s="1286"/>
      <c r="F3" s="1286"/>
      <c r="G3" s="812"/>
      <c r="H3" s="1287">
        <v>2012</v>
      </c>
      <c r="I3" s="1286"/>
      <c r="J3" s="1286"/>
      <c r="K3" s="1286"/>
      <c r="L3" s="1288"/>
      <c r="M3" s="1286">
        <v>2013</v>
      </c>
      <c r="N3" s="1286"/>
      <c r="O3" s="1286"/>
      <c r="P3" s="1286"/>
      <c r="Q3" s="1286"/>
      <c r="R3" s="1287">
        <v>2014</v>
      </c>
      <c r="S3" s="1286"/>
      <c r="T3" s="1286"/>
      <c r="U3" s="1286"/>
      <c r="V3" s="1288"/>
      <c r="W3" s="1286">
        <v>2015</v>
      </c>
      <c r="X3" s="1286"/>
      <c r="Y3" s="1286"/>
      <c r="Z3" s="1286"/>
      <c r="AA3" s="1286"/>
      <c r="AB3" s="1287">
        <v>2016</v>
      </c>
      <c r="AC3" s="1286"/>
      <c r="AD3" s="1286"/>
      <c r="AE3" s="1286"/>
      <c r="AF3" s="1286"/>
      <c r="AG3" s="1268">
        <v>2017</v>
      </c>
      <c r="AH3" s="1269"/>
      <c r="AI3" s="1269"/>
      <c r="AJ3" s="1269"/>
      <c r="AK3" s="1269"/>
      <c r="AL3" s="1268">
        <v>2018</v>
      </c>
      <c r="AM3" s="1269"/>
      <c r="AN3" s="1269"/>
      <c r="AO3" s="1269"/>
      <c r="AP3" s="1269"/>
      <c r="AQ3" s="1270" t="s">
        <v>653</v>
      </c>
      <c r="AR3" s="813"/>
    </row>
    <row r="4" spans="1:64" s="825" customFormat="1" ht="17.25" customHeight="1">
      <c r="A4" s="1283"/>
      <c r="B4" s="815" t="s">
        <v>553</v>
      </c>
      <c r="C4" s="815" t="s">
        <v>360</v>
      </c>
      <c r="D4" s="815" t="s">
        <v>555</v>
      </c>
      <c r="E4" s="815" t="s">
        <v>654</v>
      </c>
      <c r="F4" s="815" t="s">
        <v>655</v>
      </c>
      <c r="G4" s="816"/>
      <c r="H4" s="817" t="s">
        <v>553</v>
      </c>
      <c r="I4" s="815" t="s">
        <v>360</v>
      </c>
      <c r="J4" s="815" t="s">
        <v>555</v>
      </c>
      <c r="K4" s="815" t="s">
        <v>654</v>
      </c>
      <c r="L4" s="818" t="s">
        <v>655</v>
      </c>
      <c r="M4" s="819" t="s">
        <v>553</v>
      </c>
      <c r="N4" s="815" t="s">
        <v>360</v>
      </c>
      <c r="O4" s="815" t="s">
        <v>555</v>
      </c>
      <c r="P4" s="815" t="s">
        <v>654</v>
      </c>
      <c r="Q4" s="820" t="s">
        <v>655</v>
      </c>
      <c r="R4" s="817" t="s">
        <v>553</v>
      </c>
      <c r="S4" s="815" t="s">
        <v>360</v>
      </c>
      <c r="T4" s="815" t="s">
        <v>555</v>
      </c>
      <c r="U4" s="815" t="s">
        <v>654</v>
      </c>
      <c r="V4" s="818" t="s">
        <v>655</v>
      </c>
      <c r="W4" s="819" t="s">
        <v>553</v>
      </c>
      <c r="X4" s="815" t="s">
        <v>360</v>
      </c>
      <c r="Y4" s="815" t="s">
        <v>555</v>
      </c>
      <c r="Z4" s="815" t="s">
        <v>654</v>
      </c>
      <c r="AA4" s="820" t="s">
        <v>655</v>
      </c>
      <c r="AB4" s="817" t="s">
        <v>553</v>
      </c>
      <c r="AC4" s="815" t="s">
        <v>360</v>
      </c>
      <c r="AD4" s="815" t="s">
        <v>555</v>
      </c>
      <c r="AE4" s="815" t="s">
        <v>654</v>
      </c>
      <c r="AF4" s="820" t="s">
        <v>655</v>
      </c>
      <c r="AG4" s="821" t="s">
        <v>553</v>
      </c>
      <c r="AH4" s="822" t="s">
        <v>360</v>
      </c>
      <c r="AI4" s="822" t="s">
        <v>555</v>
      </c>
      <c r="AJ4" s="822" t="s">
        <v>654</v>
      </c>
      <c r="AK4" s="822" t="s">
        <v>655</v>
      </c>
      <c r="AL4" s="821" t="s">
        <v>553</v>
      </c>
      <c r="AM4" s="822" t="s">
        <v>360</v>
      </c>
      <c r="AN4" s="822" t="s">
        <v>555</v>
      </c>
      <c r="AO4" s="822" t="s">
        <v>654</v>
      </c>
      <c r="AP4" s="823" t="s">
        <v>655</v>
      </c>
      <c r="AQ4" s="1271"/>
      <c r="AR4" s="824"/>
    </row>
    <row r="5" spans="1:64" s="833" customFormat="1">
      <c r="A5" s="1284"/>
      <c r="B5" s="826" t="s">
        <v>656</v>
      </c>
      <c r="C5" s="826" t="s">
        <v>657</v>
      </c>
      <c r="D5" s="826" t="s">
        <v>658</v>
      </c>
      <c r="E5" s="827" t="s">
        <v>659</v>
      </c>
      <c r="F5" s="828" t="s">
        <v>660</v>
      </c>
      <c r="G5" s="829"/>
      <c r="H5" s="830" t="s">
        <v>656</v>
      </c>
      <c r="I5" s="826" t="s">
        <v>657</v>
      </c>
      <c r="J5" s="826" t="s">
        <v>658</v>
      </c>
      <c r="K5" s="827" t="s">
        <v>659</v>
      </c>
      <c r="L5" s="829" t="s">
        <v>660</v>
      </c>
      <c r="M5" s="831" t="s">
        <v>656</v>
      </c>
      <c r="N5" s="826" t="s">
        <v>657</v>
      </c>
      <c r="O5" s="826" t="s">
        <v>658</v>
      </c>
      <c r="P5" s="827" t="s">
        <v>659</v>
      </c>
      <c r="Q5" s="828" t="s">
        <v>660</v>
      </c>
      <c r="R5" s="830" t="s">
        <v>661</v>
      </c>
      <c r="S5" s="826" t="s">
        <v>662</v>
      </c>
      <c r="T5" s="826" t="s">
        <v>658</v>
      </c>
      <c r="U5" s="827" t="s">
        <v>659</v>
      </c>
      <c r="V5" s="829" t="s">
        <v>660</v>
      </c>
      <c r="W5" s="831" t="s">
        <v>661</v>
      </c>
      <c r="X5" s="826" t="s">
        <v>662</v>
      </c>
      <c r="Y5" s="826" t="s">
        <v>658</v>
      </c>
      <c r="Z5" s="827" t="s">
        <v>659</v>
      </c>
      <c r="AA5" s="828" t="s">
        <v>660</v>
      </c>
      <c r="AB5" s="830" t="s">
        <v>661</v>
      </c>
      <c r="AC5" s="826" t="s">
        <v>662</v>
      </c>
      <c r="AD5" s="826" t="s">
        <v>658</v>
      </c>
      <c r="AE5" s="827" t="s">
        <v>659</v>
      </c>
      <c r="AF5" s="828" t="s">
        <v>660</v>
      </c>
      <c r="AG5" s="832" t="s">
        <v>661</v>
      </c>
      <c r="AH5" s="828" t="s">
        <v>662</v>
      </c>
      <c r="AI5" s="828" t="s">
        <v>658</v>
      </c>
      <c r="AJ5" s="828" t="s">
        <v>659</v>
      </c>
      <c r="AK5" s="828" t="s">
        <v>660</v>
      </c>
      <c r="AL5" s="832" t="s">
        <v>661</v>
      </c>
      <c r="AM5" s="828" t="s">
        <v>662</v>
      </c>
      <c r="AN5" s="828" t="s">
        <v>658</v>
      </c>
      <c r="AO5" s="828" t="s">
        <v>659</v>
      </c>
      <c r="AP5" s="828" t="s">
        <v>660</v>
      </c>
      <c r="AQ5" s="1272"/>
      <c r="BD5" s="815"/>
      <c r="BE5" s="1273" t="s">
        <v>663</v>
      </c>
      <c r="BF5" s="1274"/>
      <c r="BG5" s="1274"/>
      <c r="BH5" s="1275"/>
      <c r="BI5" s="1276" t="s">
        <v>664</v>
      </c>
      <c r="BJ5" s="1277"/>
      <c r="BK5" s="1277"/>
      <c r="BL5" s="1278"/>
    </row>
    <row r="6" spans="1:64" s="842" customFormat="1">
      <c r="A6" s="834" t="s">
        <v>665</v>
      </c>
      <c r="B6" s="835">
        <f>B7+B13</f>
        <v>2764</v>
      </c>
      <c r="C6" s="835">
        <f>C7+C13</f>
        <v>6827</v>
      </c>
      <c r="D6" s="835">
        <f>D7+D13</f>
        <v>6264</v>
      </c>
      <c r="E6" s="835">
        <f>E7+E13</f>
        <v>5960</v>
      </c>
      <c r="F6" s="835">
        <f>F7+F13</f>
        <v>2985</v>
      </c>
      <c r="G6" s="836"/>
      <c r="H6" s="837">
        <f t="shared" ref="H6:AP6" si="0">H7+H13</f>
        <v>2376</v>
      </c>
      <c r="I6" s="835">
        <f t="shared" si="0"/>
        <v>6425</v>
      </c>
      <c r="J6" s="835">
        <f t="shared" si="0"/>
        <v>5981</v>
      </c>
      <c r="K6" s="835">
        <f t="shared" si="0"/>
        <v>5600</v>
      </c>
      <c r="L6" s="836">
        <f t="shared" si="0"/>
        <v>2945</v>
      </c>
      <c r="M6" s="835">
        <f t="shared" si="0"/>
        <v>5634</v>
      </c>
      <c r="N6" s="835">
        <f t="shared" si="0"/>
        <v>3769</v>
      </c>
      <c r="O6" s="835">
        <f t="shared" si="0"/>
        <v>6512</v>
      </c>
      <c r="P6" s="835">
        <f t="shared" si="0"/>
        <v>5527</v>
      </c>
      <c r="Q6" s="838">
        <f t="shared" si="0"/>
        <v>3234</v>
      </c>
      <c r="R6" s="837">
        <f t="shared" si="0"/>
        <v>3174</v>
      </c>
      <c r="S6" s="835">
        <f t="shared" si="0"/>
        <v>7414</v>
      </c>
      <c r="T6" s="835">
        <f t="shared" si="0"/>
        <v>8157</v>
      </c>
      <c r="U6" s="835">
        <f t="shared" si="0"/>
        <v>5587</v>
      </c>
      <c r="V6" s="836">
        <f t="shared" si="0"/>
        <v>3414</v>
      </c>
      <c r="W6" s="835">
        <f t="shared" si="0"/>
        <v>3556</v>
      </c>
      <c r="X6" s="835">
        <f t="shared" si="0"/>
        <v>5290</v>
      </c>
      <c r="Y6" s="835">
        <f t="shared" si="0"/>
        <v>9477</v>
      </c>
      <c r="Z6" s="835">
        <f t="shared" si="0"/>
        <v>5763</v>
      </c>
      <c r="AA6" s="838">
        <f t="shared" si="0"/>
        <v>3358</v>
      </c>
      <c r="AB6" s="837">
        <f t="shared" si="0"/>
        <v>5339</v>
      </c>
      <c r="AC6" s="835">
        <f t="shared" si="0"/>
        <v>5021</v>
      </c>
      <c r="AD6" s="835">
        <f t="shared" si="0"/>
        <v>9828</v>
      </c>
      <c r="AE6" s="835">
        <f t="shared" si="0"/>
        <v>5488</v>
      </c>
      <c r="AF6" s="838">
        <f t="shared" si="0"/>
        <v>3417</v>
      </c>
      <c r="AG6" s="839">
        <f t="shared" si="0"/>
        <v>5421</v>
      </c>
      <c r="AH6" s="283">
        <f t="shared" si="0"/>
        <v>5692</v>
      </c>
      <c r="AI6" s="283">
        <f t="shared" si="0"/>
        <v>9582</v>
      </c>
      <c r="AJ6" s="283">
        <f t="shared" si="0"/>
        <v>5048</v>
      </c>
      <c r="AK6" s="283">
        <f t="shared" si="0"/>
        <v>3211</v>
      </c>
      <c r="AL6" s="839">
        <f t="shared" si="0"/>
        <v>3499</v>
      </c>
      <c r="AM6" s="283">
        <f t="shared" si="0"/>
        <v>6836</v>
      </c>
      <c r="AN6" s="283">
        <f t="shared" si="0"/>
        <v>9821</v>
      </c>
      <c r="AO6" s="283">
        <f t="shared" si="0"/>
        <v>5178</v>
      </c>
      <c r="AP6" s="840">
        <f t="shared" si="0"/>
        <v>3109</v>
      </c>
      <c r="AQ6" s="841" t="s">
        <v>141</v>
      </c>
      <c r="BD6" s="843"/>
      <c r="BE6" s="844">
        <v>2015</v>
      </c>
      <c r="BF6" s="844">
        <v>2016</v>
      </c>
      <c r="BG6" s="844">
        <v>2017</v>
      </c>
      <c r="BH6" s="844">
        <v>2018</v>
      </c>
      <c r="BI6" s="844">
        <v>2015</v>
      </c>
      <c r="BJ6" s="844">
        <v>2016</v>
      </c>
      <c r="BK6" s="844">
        <v>2017</v>
      </c>
      <c r="BL6" s="844">
        <v>2018</v>
      </c>
    </row>
    <row r="7" spans="1:64" s="844" customFormat="1">
      <c r="A7" s="834" t="s">
        <v>666</v>
      </c>
      <c r="B7" s="845">
        <f>SUM(B8:B12)</f>
        <v>1570</v>
      </c>
      <c r="C7" s="845">
        <f>SUM(C8:C12)</f>
        <v>2558</v>
      </c>
      <c r="D7" s="845">
        <f>SUM(D8:D12)</f>
        <v>2038</v>
      </c>
      <c r="E7" s="845">
        <f>SUM(E8:E12)</f>
        <v>2311</v>
      </c>
      <c r="F7" s="845">
        <f>SUM(F8:F12)</f>
        <v>1181</v>
      </c>
      <c r="G7" s="846"/>
      <c r="H7" s="847">
        <f t="shared" ref="H7:AP7" si="1">SUM(H8:H12)</f>
        <v>1241</v>
      </c>
      <c r="I7" s="845">
        <f t="shared" si="1"/>
        <v>2277</v>
      </c>
      <c r="J7" s="845">
        <f t="shared" si="1"/>
        <v>2251</v>
      </c>
      <c r="K7" s="845">
        <f t="shared" si="1"/>
        <v>2305</v>
      </c>
      <c r="L7" s="846">
        <f t="shared" si="1"/>
        <v>1254</v>
      </c>
      <c r="M7" s="845">
        <f t="shared" si="1"/>
        <v>1649</v>
      </c>
      <c r="N7" s="845">
        <f t="shared" si="1"/>
        <v>2453</v>
      </c>
      <c r="O7" s="845">
        <f t="shared" si="1"/>
        <v>2502</v>
      </c>
      <c r="P7" s="845">
        <f t="shared" si="1"/>
        <v>2362</v>
      </c>
      <c r="Q7" s="848">
        <f t="shared" si="1"/>
        <v>1411</v>
      </c>
      <c r="R7" s="847">
        <f t="shared" si="1"/>
        <v>1850</v>
      </c>
      <c r="S7" s="845">
        <f t="shared" si="1"/>
        <v>2589</v>
      </c>
      <c r="T7" s="845">
        <f t="shared" si="1"/>
        <v>2603</v>
      </c>
      <c r="U7" s="845">
        <f t="shared" si="1"/>
        <v>2357</v>
      </c>
      <c r="V7" s="846">
        <f t="shared" si="1"/>
        <v>1426</v>
      </c>
      <c r="W7" s="845">
        <f t="shared" si="1"/>
        <v>2354</v>
      </c>
      <c r="X7" s="845">
        <f t="shared" si="1"/>
        <v>2377</v>
      </c>
      <c r="Y7" s="845">
        <f t="shared" si="1"/>
        <v>2706</v>
      </c>
      <c r="Z7" s="845">
        <f t="shared" si="1"/>
        <v>2417</v>
      </c>
      <c r="AA7" s="848">
        <f t="shared" si="1"/>
        <v>1288</v>
      </c>
      <c r="AB7" s="847">
        <f t="shared" si="1"/>
        <v>2977</v>
      </c>
      <c r="AC7" s="845">
        <f t="shared" si="1"/>
        <v>2732</v>
      </c>
      <c r="AD7" s="845">
        <f t="shared" si="1"/>
        <v>2569</v>
      </c>
      <c r="AE7" s="845">
        <f t="shared" si="1"/>
        <v>2304</v>
      </c>
      <c r="AF7" s="848">
        <f t="shared" si="1"/>
        <v>1341</v>
      </c>
      <c r="AG7" s="839">
        <f t="shared" si="1"/>
        <v>3037</v>
      </c>
      <c r="AH7" s="283">
        <f t="shared" si="1"/>
        <v>3607</v>
      </c>
      <c r="AI7" s="283">
        <f t="shared" si="1"/>
        <v>2567</v>
      </c>
      <c r="AJ7" s="283">
        <f t="shared" si="1"/>
        <v>1979</v>
      </c>
      <c r="AK7" s="283">
        <f t="shared" si="1"/>
        <v>1248</v>
      </c>
      <c r="AL7" s="839">
        <f t="shared" si="1"/>
        <v>1977</v>
      </c>
      <c r="AM7" s="283">
        <f t="shared" si="1"/>
        <v>4932</v>
      </c>
      <c r="AN7" s="283">
        <f t="shared" si="1"/>
        <v>2825</v>
      </c>
      <c r="AO7" s="283">
        <f t="shared" si="1"/>
        <v>2191</v>
      </c>
      <c r="AP7" s="840">
        <f t="shared" si="1"/>
        <v>1156</v>
      </c>
      <c r="AQ7" s="849" t="s">
        <v>68</v>
      </c>
      <c r="AU7" s="842"/>
      <c r="AV7" s="842"/>
      <c r="AW7" s="842"/>
      <c r="AX7" s="842"/>
      <c r="AY7" s="842"/>
      <c r="AZ7" s="842"/>
      <c r="BA7" s="842"/>
      <c r="BB7" s="842"/>
      <c r="BD7" s="843" t="s">
        <v>70</v>
      </c>
      <c r="BE7" s="835">
        <f>Z6</f>
        <v>5763</v>
      </c>
      <c r="BF7" s="835">
        <f>AE6</f>
        <v>5488</v>
      </c>
      <c r="BG7" s="835">
        <f>AJ6</f>
        <v>5048</v>
      </c>
      <c r="BH7" s="835">
        <f>AO6</f>
        <v>5178</v>
      </c>
      <c r="BI7" s="835">
        <f>AA6</f>
        <v>3358</v>
      </c>
      <c r="BJ7" s="835">
        <f>AF6</f>
        <v>3417</v>
      </c>
      <c r="BK7" s="835">
        <f>AK6</f>
        <v>3211</v>
      </c>
      <c r="BL7" s="835">
        <f>AP6</f>
        <v>3109</v>
      </c>
    </row>
    <row r="8" spans="1:64" s="844" customFormat="1">
      <c r="A8" s="850" t="s">
        <v>338</v>
      </c>
      <c r="B8" s="851">
        <v>108</v>
      </c>
      <c r="C8" s="851">
        <v>0</v>
      </c>
      <c r="D8" s="851">
        <v>0</v>
      </c>
      <c r="E8" s="851">
        <v>0</v>
      </c>
      <c r="F8" s="851">
        <v>0</v>
      </c>
      <c r="G8" s="852"/>
      <c r="H8" s="853">
        <v>83</v>
      </c>
      <c r="I8" s="851">
        <v>0</v>
      </c>
      <c r="J8" s="851">
        <v>0</v>
      </c>
      <c r="K8" s="851">
        <v>0</v>
      </c>
      <c r="L8" s="852">
        <v>0</v>
      </c>
      <c r="M8" s="854">
        <v>103</v>
      </c>
      <c r="N8" s="851">
        <v>0</v>
      </c>
      <c r="O8" s="851">
        <v>0</v>
      </c>
      <c r="P8" s="851">
        <v>0</v>
      </c>
      <c r="Q8" s="855">
        <v>0</v>
      </c>
      <c r="R8" s="853">
        <v>64</v>
      </c>
      <c r="S8" s="851">
        <v>0</v>
      </c>
      <c r="T8" s="851">
        <v>0</v>
      </c>
      <c r="U8" s="851">
        <v>0</v>
      </c>
      <c r="V8" s="852">
        <v>0</v>
      </c>
      <c r="W8" s="854">
        <v>25</v>
      </c>
      <c r="X8" s="851">
        <v>0</v>
      </c>
      <c r="Y8" s="851">
        <v>0</v>
      </c>
      <c r="Z8" s="851">
        <v>0</v>
      </c>
      <c r="AA8" s="855">
        <v>0</v>
      </c>
      <c r="AB8" s="853">
        <v>46</v>
      </c>
      <c r="AC8" s="851">
        <v>0</v>
      </c>
      <c r="AD8" s="851">
        <v>0</v>
      </c>
      <c r="AE8" s="851">
        <v>0</v>
      </c>
      <c r="AF8" s="855">
        <v>0</v>
      </c>
      <c r="AG8" s="856">
        <v>42</v>
      </c>
      <c r="AH8" s="34">
        <v>0</v>
      </c>
      <c r="AI8" s="34">
        <v>0</v>
      </c>
      <c r="AJ8" s="34">
        <v>0</v>
      </c>
      <c r="AK8" s="34">
        <v>0</v>
      </c>
      <c r="AL8" s="856">
        <v>39</v>
      </c>
      <c r="AM8" s="34">
        <v>0</v>
      </c>
      <c r="AN8" s="34">
        <v>0</v>
      </c>
      <c r="AO8" s="34">
        <v>0</v>
      </c>
      <c r="AP8" s="1036">
        <v>0</v>
      </c>
      <c r="AQ8" s="857" t="s">
        <v>667</v>
      </c>
      <c r="AU8" s="842"/>
      <c r="AV8" s="842"/>
      <c r="AW8" s="842"/>
      <c r="AX8" s="842"/>
      <c r="AY8" s="842"/>
      <c r="AZ8" s="842"/>
      <c r="BA8" s="842"/>
      <c r="BB8" s="842"/>
      <c r="BD8" s="843" t="s">
        <v>666</v>
      </c>
      <c r="BE8" s="835">
        <f>Z7</f>
        <v>2417</v>
      </c>
      <c r="BF8" s="835">
        <f>AE7</f>
        <v>2304</v>
      </c>
      <c r="BG8" s="835">
        <f>AJ7</f>
        <v>1979</v>
      </c>
      <c r="BH8" s="835">
        <f>AO7</f>
        <v>2191</v>
      </c>
      <c r="BI8" s="835">
        <f>AA7</f>
        <v>1288</v>
      </c>
      <c r="BJ8" s="835">
        <f>AF7</f>
        <v>1341</v>
      </c>
      <c r="BK8" s="835">
        <f>AK7</f>
        <v>1248</v>
      </c>
      <c r="BL8" s="835">
        <f>AP7</f>
        <v>1156</v>
      </c>
    </row>
    <row r="9" spans="1:64" s="844" customFormat="1">
      <c r="A9" s="850" t="s">
        <v>340</v>
      </c>
      <c r="B9" s="851">
        <v>0</v>
      </c>
      <c r="C9" s="851">
        <v>0</v>
      </c>
      <c r="D9" s="851">
        <v>2038</v>
      </c>
      <c r="E9" s="851">
        <v>2311</v>
      </c>
      <c r="F9" s="851">
        <v>1181</v>
      </c>
      <c r="G9" s="852"/>
      <c r="H9" s="853">
        <v>0</v>
      </c>
      <c r="I9" s="851">
        <v>0</v>
      </c>
      <c r="J9" s="851">
        <v>2251</v>
      </c>
      <c r="K9" s="851">
        <v>2305</v>
      </c>
      <c r="L9" s="852">
        <v>1254</v>
      </c>
      <c r="M9" s="854">
        <v>0</v>
      </c>
      <c r="N9" s="851">
        <v>0</v>
      </c>
      <c r="O9" s="851">
        <v>2502</v>
      </c>
      <c r="P9" s="851">
        <v>2362</v>
      </c>
      <c r="Q9" s="855">
        <v>1411</v>
      </c>
      <c r="R9" s="853">
        <v>0</v>
      </c>
      <c r="S9" s="851">
        <v>0</v>
      </c>
      <c r="T9" s="851">
        <v>2603</v>
      </c>
      <c r="U9" s="851">
        <v>2357</v>
      </c>
      <c r="V9" s="852">
        <v>1426</v>
      </c>
      <c r="W9" s="854">
        <v>0</v>
      </c>
      <c r="X9" s="851">
        <v>0</v>
      </c>
      <c r="Y9" s="851">
        <v>2706</v>
      </c>
      <c r="Z9" s="851">
        <v>2417</v>
      </c>
      <c r="AA9" s="855">
        <v>1288</v>
      </c>
      <c r="AB9" s="853">
        <v>0</v>
      </c>
      <c r="AC9" s="851">
        <v>0</v>
      </c>
      <c r="AD9" s="851">
        <v>2569</v>
      </c>
      <c r="AE9" s="851">
        <v>2304</v>
      </c>
      <c r="AF9" s="855">
        <v>1341</v>
      </c>
      <c r="AG9" s="856">
        <v>0</v>
      </c>
      <c r="AH9" s="34">
        <v>0</v>
      </c>
      <c r="AI9" s="34">
        <v>2567</v>
      </c>
      <c r="AJ9" s="34">
        <v>1979</v>
      </c>
      <c r="AK9" s="34">
        <v>1248</v>
      </c>
      <c r="AL9" s="856">
        <v>0</v>
      </c>
      <c r="AM9" s="34">
        <v>0</v>
      </c>
      <c r="AN9" s="34">
        <v>2825</v>
      </c>
      <c r="AO9" s="34">
        <v>2191</v>
      </c>
      <c r="AP9" s="1036">
        <v>1156</v>
      </c>
      <c r="AQ9" s="857" t="s">
        <v>668</v>
      </c>
      <c r="AU9" s="842"/>
      <c r="AV9" s="842"/>
      <c r="AW9" s="842"/>
      <c r="AX9" s="842"/>
      <c r="AY9" s="842"/>
      <c r="AZ9" s="842"/>
      <c r="BA9" s="842"/>
      <c r="BB9" s="842"/>
      <c r="BD9" s="858" t="s">
        <v>669</v>
      </c>
      <c r="BE9" s="835">
        <f>Z13</f>
        <v>3346</v>
      </c>
      <c r="BF9" s="835">
        <f>AE13</f>
        <v>3184</v>
      </c>
      <c r="BG9" s="835">
        <f>AJ13</f>
        <v>3069</v>
      </c>
      <c r="BH9" s="835">
        <f>AO13</f>
        <v>2987</v>
      </c>
      <c r="BI9" s="835">
        <f>AA13</f>
        <v>2070</v>
      </c>
      <c r="BJ9" s="835">
        <f>AF13</f>
        <v>2076</v>
      </c>
      <c r="BK9" s="835">
        <f>AK13</f>
        <v>1963</v>
      </c>
      <c r="BL9" s="835">
        <f>AP13</f>
        <v>1953</v>
      </c>
    </row>
    <row r="10" spans="1:64" s="844" customFormat="1">
      <c r="A10" s="850" t="s">
        <v>342</v>
      </c>
      <c r="B10" s="851">
        <v>1462</v>
      </c>
      <c r="C10" s="851">
        <v>0</v>
      </c>
      <c r="D10" s="851">
        <v>0</v>
      </c>
      <c r="E10" s="851">
        <v>0</v>
      </c>
      <c r="F10" s="851">
        <v>0</v>
      </c>
      <c r="G10" s="852"/>
      <c r="H10" s="853">
        <v>1158</v>
      </c>
      <c r="I10" s="851">
        <v>0</v>
      </c>
      <c r="J10" s="851">
        <v>0</v>
      </c>
      <c r="K10" s="851">
        <v>0</v>
      </c>
      <c r="L10" s="852">
        <v>0</v>
      </c>
      <c r="M10" s="854">
        <v>1546</v>
      </c>
      <c r="N10" s="851">
        <v>0</v>
      </c>
      <c r="O10" s="851">
        <v>0</v>
      </c>
      <c r="P10" s="851">
        <v>0</v>
      </c>
      <c r="Q10" s="855">
        <v>0</v>
      </c>
      <c r="R10" s="853">
        <v>874</v>
      </c>
      <c r="S10" s="851">
        <v>0</v>
      </c>
      <c r="T10" s="851">
        <v>0</v>
      </c>
      <c r="U10" s="851">
        <v>0</v>
      </c>
      <c r="V10" s="852">
        <v>0</v>
      </c>
      <c r="W10" s="854">
        <v>806</v>
      </c>
      <c r="X10" s="851">
        <v>0</v>
      </c>
      <c r="Y10" s="851">
        <v>0</v>
      </c>
      <c r="Z10" s="851">
        <v>0</v>
      </c>
      <c r="AA10" s="855">
        <v>0</v>
      </c>
      <c r="AB10" s="853">
        <v>1408</v>
      </c>
      <c r="AC10" s="851">
        <v>0</v>
      </c>
      <c r="AD10" s="851">
        <v>0</v>
      </c>
      <c r="AE10" s="851">
        <v>0</v>
      </c>
      <c r="AF10" s="855">
        <v>0</v>
      </c>
      <c r="AG10" s="856">
        <v>1433</v>
      </c>
      <c r="AH10" s="34">
        <v>0</v>
      </c>
      <c r="AI10" s="34">
        <v>0</v>
      </c>
      <c r="AJ10" s="34">
        <v>0</v>
      </c>
      <c r="AK10" s="34">
        <v>0</v>
      </c>
      <c r="AL10" s="856">
        <v>864</v>
      </c>
      <c r="AM10" s="34">
        <v>0</v>
      </c>
      <c r="AN10" s="34">
        <v>0</v>
      </c>
      <c r="AO10" s="34">
        <v>0</v>
      </c>
      <c r="AP10" s="1036">
        <v>0</v>
      </c>
      <c r="AQ10" s="857" t="s">
        <v>670</v>
      </c>
      <c r="AU10" s="842"/>
      <c r="AV10" s="842"/>
      <c r="AW10" s="842"/>
      <c r="AX10" s="842"/>
      <c r="AY10" s="842"/>
      <c r="AZ10" s="842"/>
      <c r="BA10" s="842"/>
      <c r="BB10" s="842"/>
    </row>
    <row r="11" spans="1:64" s="844" customFormat="1">
      <c r="A11" s="850" t="s">
        <v>344</v>
      </c>
      <c r="B11" s="851">
        <v>0</v>
      </c>
      <c r="C11" s="851">
        <v>2558</v>
      </c>
      <c r="D11" s="851">
        <v>0</v>
      </c>
      <c r="E11" s="851">
        <v>0</v>
      </c>
      <c r="F11" s="851">
        <v>0</v>
      </c>
      <c r="G11" s="852"/>
      <c r="H11" s="853">
        <v>0</v>
      </c>
      <c r="I11" s="851">
        <v>2277</v>
      </c>
      <c r="J11" s="851">
        <v>0</v>
      </c>
      <c r="K11" s="851">
        <v>0</v>
      </c>
      <c r="L11" s="852">
        <v>0</v>
      </c>
      <c r="M11" s="854">
        <v>0</v>
      </c>
      <c r="N11" s="851">
        <v>2453</v>
      </c>
      <c r="O11" s="851">
        <v>0</v>
      </c>
      <c r="P11" s="851">
        <v>0</v>
      </c>
      <c r="Q11" s="855">
        <v>0</v>
      </c>
      <c r="R11" s="853">
        <v>0</v>
      </c>
      <c r="S11" s="851">
        <v>2589</v>
      </c>
      <c r="T11" s="851">
        <v>0</v>
      </c>
      <c r="U11" s="851">
        <v>0</v>
      </c>
      <c r="V11" s="852">
        <v>0</v>
      </c>
      <c r="W11" s="854">
        <v>0</v>
      </c>
      <c r="X11" s="851">
        <v>2377</v>
      </c>
      <c r="Y11" s="851">
        <v>0</v>
      </c>
      <c r="Z11" s="851">
        <v>0</v>
      </c>
      <c r="AA11" s="855">
        <v>0</v>
      </c>
      <c r="AB11" s="853">
        <v>0</v>
      </c>
      <c r="AC11" s="851">
        <v>2732</v>
      </c>
      <c r="AD11" s="851">
        <v>0</v>
      </c>
      <c r="AE11" s="851">
        <v>0</v>
      </c>
      <c r="AF11" s="855">
        <v>0</v>
      </c>
      <c r="AG11" s="856">
        <v>0</v>
      </c>
      <c r="AH11" s="34">
        <v>3607</v>
      </c>
      <c r="AI11" s="34">
        <v>0</v>
      </c>
      <c r="AJ11" s="34">
        <v>0</v>
      </c>
      <c r="AK11" s="34">
        <v>0</v>
      </c>
      <c r="AL11" s="856">
        <v>0</v>
      </c>
      <c r="AM11" s="34">
        <v>4932</v>
      </c>
      <c r="AN11" s="34">
        <v>0</v>
      </c>
      <c r="AO11" s="34">
        <v>0</v>
      </c>
      <c r="AP11" s="1036">
        <v>0</v>
      </c>
      <c r="AQ11" s="857" t="s">
        <v>671</v>
      </c>
      <c r="AU11" s="842"/>
      <c r="AV11" s="842"/>
      <c r="AW11" s="842"/>
      <c r="AX11" s="842"/>
      <c r="AY11" s="842"/>
      <c r="AZ11" s="842"/>
      <c r="BA11" s="842"/>
      <c r="BB11" s="842"/>
    </row>
    <row r="12" spans="1:64" s="844" customFormat="1">
      <c r="A12" s="850" t="s">
        <v>336</v>
      </c>
      <c r="B12" s="851"/>
      <c r="C12" s="851"/>
      <c r="D12" s="851"/>
      <c r="E12" s="851"/>
      <c r="F12" s="851"/>
      <c r="G12" s="852"/>
      <c r="H12" s="853"/>
      <c r="I12" s="851"/>
      <c r="J12" s="851"/>
      <c r="K12" s="851"/>
      <c r="L12" s="852"/>
      <c r="M12" s="854"/>
      <c r="N12" s="851"/>
      <c r="O12" s="851"/>
      <c r="P12" s="851"/>
      <c r="Q12" s="855"/>
      <c r="R12" s="853">
        <v>912</v>
      </c>
      <c r="S12" s="851"/>
      <c r="T12" s="851"/>
      <c r="U12" s="851"/>
      <c r="V12" s="852"/>
      <c r="W12" s="854">
        <v>1523</v>
      </c>
      <c r="X12" s="854">
        <v>0</v>
      </c>
      <c r="Y12" s="854">
        <v>0</v>
      </c>
      <c r="Z12" s="854">
        <v>0</v>
      </c>
      <c r="AA12" s="855">
        <v>0</v>
      </c>
      <c r="AB12" s="853">
        <v>1523</v>
      </c>
      <c r="AC12" s="851">
        <v>0</v>
      </c>
      <c r="AD12" s="851">
        <v>0</v>
      </c>
      <c r="AE12" s="851">
        <v>0</v>
      </c>
      <c r="AF12" s="855">
        <v>0</v>
      </c>
      <c r="AG12" s="856">
        <v>1562</v>
      </c>
      <c r="AH12" s="34">
        <v>0</v>
      </c>
      <c r="AI12" s="34">
        <v>0</v>
      </c>
      <c r="AJ12" s="34">
        <v>0</v>
      </c>
      <c r="AK12" s="34">
        <v>0</v>
      </c>
      <c r="AL12" s="856">
        <v>1074</v>
      </c>
      <c r="AM12" s="34">
        <v>0</v>
      </c>
      <c r="AN12" s="34">
        <v>0</v>
      </c>
      <c r="AO12" s="34">
        <v>0</v>
      </c>
      <c r="AP12" s="1036">
        <v>0</v>
      </c>
      <c r="AQ12" s="857" t="s">
        <v>672</v>
      </c>
      <c r="AU12" s="842"/>
      <c r="AV12" s="842"/>
      <c r="AW12" s="842"/>
      <c r="AX12" s="842"/>
      <c r="AY12" s="842"/>
      <c r="AZ12" s="842"/>
      <c r="BA12" s="842"/>
      <c r="BB12" s="842"/>
    </row>
    <row r="13" spans="1:64" s="844" customFormat="1">
      <c r="A13" s="859" t="s">
        <v>72</v>
      </c>
      <c r="B13" s="845">
        <f>SUM(B15:B34)</f>
        <v>1194</v>
      </c>
      <c r="C13" s="845">
        <f>SUM(C15:C34)</f>
        <v>4269</v>
      </c>
      <c r="D13" s="845">
        <f>SUM(D15:D34)</f>
        <v>4226</v>
      </c>
      <c r="E13" s="845">
        <f>SUM(E15:E34)</f>
        <v>3649</v>
      </c>
      <c r="F13" s="845">
        <f>SUM(F15:F34)</f>
        <v>1804</v>
      </c>
      <c r="G13" s="846"/>
      <c r="H13" s="847">
        <f t="shared" ref="H13:Q13" si="2">SUM(H15:H34)</f>
        <v>1135</v>
      </c>
      <c r="I13" s="845">
        <f t="shared" si="2"/>
        <v>4148</v>
      </c>
      <c r="J13" s="845">
        <f t="shared" si="2"/>
        <v>3730</v>
      </c>
      <c r="K13" s="845">
        <f t="shared" si="2"/>
        <v>3295</v>
      </c>
      <c r="L13" s="846">
        <f t="shared" si="2"/>
        <v>1691</v>
      </c>
      <c r="M13" s="845">
        <f t="shared" si="2"/>
        <v>3985</v>
      </c>
      <c r="N13" s="845">
        <f t="shared" si="2"/>
        <v>1316</v>
      </c>
      <c r="O13" s="845">
        <f t="shared" si="2"/>
        <v>4010</v>
      </c>
      <c r="P13" s="845">
        <f t="shared" si="2"/>
        <v>3165</v>
      </c>
      <c r="Q13" s="848">
        <f t="shared" si="2"/>
        <v>1823</v>
      </c>
      <c r="R13" s="847">
        <f t="shared" ref="R13:AI13" si="3">SUM(R14:R34)</f>
        <v>1324</v>
      </c>
      <c r="S13" s="845">
        <f t="shared" si="3"/>
        <v>4825</v>
      </c>
      <c r="T13" s="845">
        <f t="shared" si="3"/>
        <v>5554</v>
      </c>
      <c r="U13" s="845">
        <f t="shared" si="3"/>
        <v>3230</v>
      </c>
      <c r="V13" s="846">
        <f t="shared" si="3"/>
        <v>1988</v>
      </c>
      <c r="W13" s="845">
        <f t="shared" si="3"/>
        <v>1202</v>
      </c>
      <c r="X13" s="845">
        <f t="shared" si="3"/>
        <v>2913</v>
      </c>
      <c r="Y13" s="845">
        <f t="shared" si="3"/>
        <v>6771</v>
      </c>
      <c r="Z13" s="845">
        <f t="shared" si="3"/>
        <v>3346</v>
      </c>
      <c r="AA13" s="848">
        <f t="shared" si="3"/>
        <v>2070</v>
      </c>
      <c r="AB13" s="847">
        <f t="shared" si="3"/>
        <v>2362</v>
      </c>
      <c r="AC13" s="845">
        <f t="shared" si="3"/>
        <v>2289</v>
      </c>
      <c r="AD13" s="845">
        <f t="shared" si="3"/>
        <v>7259</v>
      </c>
      <c r="AE13" s="845">
        <f>SUM(AE14:AE34)</f>
        <v>3184</v>
      </c>
      <c r="AF13" s="848">
        <f t="shared" si="3"/>
        <v>2076</v>
      </c>
      <c r="AG13" s="839">
        <f t="shared" si="3"/>
        <v>2384</v>
      </c>
      <c r="AH13" s="283">
        <f t="shared" si="3"/>
        <v>2085</v>
      </c>
      <c r="AI13" s="283">
        <f t="shared" si="3"/>
        <v>7015</v>
      </c>
      <c r="AJ13" s="283">
        <f>SUM(AJ14:AJ34)</f>
        <v>3069</v>
      </c>
      <c r="AK13" s="283">
        <f t="shared" ref="AK13:AN13" si="4">SUM(AK14:AK34)</f>
        <v>1963</v>
      </c>
      <c r="AL13" s="839">
        <f t="shared" si="4"/>
        <v>1522</v>
      </c>
      <c r="AM13" s="283">
        <f t="shared" si="4"/>
        <v>1904</v>
      </c>
      <c r="AN13" s="283">
        <f t="shared" si="4"/>
        <v>6996</v>
      </c>
      <c r="AO13" s="283">
        <f>SUM(AO14:AO34)</f>
        <v>2987</v>
      </c>
      <c r="AP13" s="840">
        <f t="shared" ref="AP13" si="5">SUM(AP14:AP34)</f>
        <v>1953</v>
      </c>
      <c r="AQ13" s="849" t="s">
        <v>653</v>
      </c>
      <c r="AU13" s="842"/>
      <c r="AV13" s="842"/>
      <c r="AW13" s="842"/>
      <c r="AX13" s="842"/>
      <c r="AY13" s="842"/>
      <c r="AZ13" s="842"/>
      <c r="BA13" s="842"/>
      <c r="BB13" s="842"/>
    </row>
    <row r="14" spans="1:64" s="844" customFormat="1">
      <c r="A14" s="859" t="s">
        <v>373</v>
      </c>
      <c r="B14" s="845">
        <v>2</v>
      </c>
      <c r="C14" s="845">
        <v>185</v>
      </c>
      <c r="D14" s="845">
        <v>45</v>
      </c>
      <c r="E14" s="845">
        <v>55</v>
      </c>
      <c r="F14" s="845">
        <v>28</v>
      </c>
      <c r="G14" s="846"/>
      <c r="H14" s="847">
        <v>5</v>
      </c>
      <c r="I14" s="845">
        <v>448</v>
      </c>
      <c r="J14" s="845">
        <v>116</v>
      </c>
      <c r="K14" s="845">
        <v>99</v>
      </c>
      <c r="L14" s="846">
        <v>66</v>
      </c>
      <c r="M14" s="845">
        <v>6</v>
      </c>
      <c r="N14" s="845">
        <v>408</v>
      </c>
      <c r="O14" s="845">
        <v>166</v>
      </c>
      <c r="P14" s="845">
        <v>101</v>
      </c>
      <c r="Q14" s="848">
        <v>97</v>
      </c>
      <c r="R14" s="847">
        <v>47</v>
      </c>
      <c r="S14" s="845">
        <v>265</v>
      </c>
      <c r="T14" s="845">
        <v>252</v>
      </c>
      <c r="U14" s="845">
        <v>125</v>
      </c>
      <c r="V14" s="846">
        <v>98</v>
      </c>
      <c r="W14" s="845">
        <v>24</v>
      </c>
      <c r="X14" s="845">
        <v>166</v>
      </c>
      <c r="Y14" s="845">
        <v>338</v>
      </c>
      <c r="Z14" s="845">
        <v>193</v>
      </c>
      <c r="AA14" s="848">
        <v>167</v>
      </c>
      <c r="AB14" s="847">
        <v>69</v>
      </c>
      <c r="AC14" s="845">
        <v>66</v>
      </c>
      <c r="AD14" s="845">
        <v>307</v>
      </c>
      <c r="AE14" s="845">
        <v>223</v>
      </c>
      <c r="AF14" s="848">
        <v>155</v>
      </c>
      <c r="AG14" s="839">
        <v>98</v>
      </c>
      <c r="AH14" s="283">
        <v>0</v>
      </c>
      <c r="AI14" s="283">
        <v>335</v>
      </c>
      <c r="AJ14" s="283">
        <v>207</v>
      </c>
      <c r="AK14" s="283">
        <v>149</v>
      </c>
      <c r="AL14" s="839">
        <v>65</v>
      </c>
      <c r="AM14" s="283">
        <v>0</v>
      </c>
      <c r="AN14" s="283">
        <v>464</v>
      </c>
      <c r="AO14" s="283">
        <v>258</v>
      </c>
      <c r="AP14" s="840">
        <v>217</v>
      </c>
      <c r="AQ14" s="849" t="s">
        <v>673</v>
      </c>
      <c r="AU14" s="842"/>
      <c r="AV14" s="842"/>
      <c r="AW14" s="842"/>
      <c r="AX14" s="842"/>
      <c r="AY14" s="842"/>
      <c r="AZ14" s="842"/>
      <c r="BA14" s="842"/>
      <c r="BB14" s="842"/>
    </row>
    <row r="15" spans="1:64" s="844" customFormat="1">
      <c r="A15" s="850" t="s">
        <v>97</v>
      </c>
      <c r="B15" s="851">
        <v>59</v>
      </c>
      <c r="C15" s="851">
        <v>193</v>
      </c>
      <c r="D15" s="851">
        <v>176</v>
      </c>
      <c r="E15" s="851">
        <v>219</v>
      </c>
      <c r="F15" s="851">
        <v>67</v>
      </c>
      <c r="G15" s="852"/>
      <c r="H15" s="853">
        <v>28</v>
      </c>
      <c r="I15" s="851">
        <v>181</v>
      </c>
      <c r="J15" s="851">
        <v>169</v>
      </c>
      <c r="K15" s="851">
        <v>236</v>
      </c>
      <c r="L15" s="852">
        <v>87</v>
      </c>
      <c r="M15" s="854">
        <v>196</v>
      </c>
      <c r="N15" s="851">
        <v>75</v>
      </c>
      <c r="O15" s="851">
        <v>176</v>
      </c>
      <c r="P15" s="851">
        <v>206</v>
      </c>
      <c r="Q15" s="855">
        <v>86</v>
      </c>
      <c r="R15" s="853">
        <v>61</v>
      </c>
      <c r="S15" s="851">
        <v>177</v>
      </c>
      <c r="T15" s="851">
        <v>204</v>
      </c>
      <c r="U15" s="851">
        <v>177</v>
      </c>
      <c r="V15" s="852">
        <v>89</v>
      </c>
      <c r="W15" s="854">
        <v>42</v>
      </c>
      <c r="X15" s="851">
        <v>79</v>
      </c>
      <c r="Y15" s="851">
        <v>257</v>
      </c>
      <c r="Z15" s="851">
        <v>169</v>
      </c>
      <c r="AA15" s="855">
        <v>91</v>
      </c>
      <c r="AB15" s="853">
        <v>110</v>
      </c>
      <c r="AC15" s="851">
        <v>63</v>
      </c>
      <c r="AD15" s="851">
        <v>269</v>
      </c>
      <c r="AE15" s="851">
        <v>161</v>
      </c>
      <c r="AF15" s="855">
        <v>92</v>
      </c>
      <c r="AG15" s="856">
        <v>72</v>
      </c>
      <c r="AH15" s="34">
        <v>72</v>
      </c>
      <c r="AI15" s="34">
        <v>260</v>
      </c>
      <c r="AJ15" s="34">
        <v>158</v>
      </c>
      <c r="AK15" s="34">
        <v>69</v>
      </c>
      <c r="AL15" s="856">
        <v>51</v>
      </c>
      <c r="AM15" s="34">
        <v>62</v>
      </c>
      <c r="AN15" s="34">
        <v>253</v>
      </c>
      <c r="AO15" s="34">
        <v>160</v>
      </c>
      <c r="AP15" s="1036">
        <v>94</v>
      </c>
      <c r="AQ15" s="860" t="s">
        <v>674</v>
      </c>
      <c r="AU15" s="842"/>
      <c r="AV15" s="842"/>
      <c r="AW15" s="842"/>
      <c r="AX15" s="842"/>
      <c r="AY15" s="842"/>
      <c r="AZ15" s="842"/>
      <c r="BA15" s="842"/>
      <c r="BB15" s="842"/>
    </row>
    <row r="16" spans="1:64" s="844" customFormat="1">
      <c r="A16" s="850" t="s">
        <v>99</v>
      </c>
      <c r="B16" s="851">
        <v>112</v>
      </c>
      <c r="C16" s="851">
        <v>177</v>
      </c>
      <c r="D16" s="851">
        <v>277</v>
      </c>
      <c r="E16" s="851">
        <v>339</v>
      </c>
      <c r="F16" s="851">
        <v>153</v>
      </c>
      <c r="G16" s="852"/>
      <c r="H16" s="853">
        <v>73</v>
      </c>
      <c r="I16" s="851">
        <v>178</v>
      </c>
      <c r="J16" s="851">
        <v>233</v>
      </c>
      <c r="K16" s="851">
        <v>287</v>
      </c>
      <c r="L16" s="852">
        <v>120</v>
      </c>
      <c r="M16" s="854">
        <v>135</v>
      </c>
      <c r="N16" s="851">
        <v>232</v>
      </c>
      <c r="O16" s="851">
        <v>273</v>
      </c>
      <c r="P16" s="851">
        <v>279</v>
      </c>
      <c r="Q16" s="855">
        <v>149</v>
      </c>
      <c r="R16" s="853">
        <v>183</v>
      </c>
      <c r="S16" s="851">
        <v>205</v>
      </c>
      <c r="T16" s="851">
        <v>339</v>
      </c>
      <c r="U16" s="851">
        <v>279</v>
      </c>
      <c r="V16" s="852">
        <v>126</v>
      </c>
      <c r="W16" s="854">
        <v>66</v>
      </c>
      <c r="X16" s="851">
        <v>112</v>
      </c>
      <c r="Y16" s="851">
        <v>440</v>
      </c>
      <c r="Z16" s="851">
        <v>274</v>
      </c>
      <c r="AA16" s="855">
        <v>170</v>
      </c>
      <c r="AB16" s="853">
        <v>178</v>
      </c>
      <c r="AC16" s="851">
        <v>96</v>
      </c>
      <c r="AD16" s="851">
        <v>411</v>
      </c>
      <c r="AE16" s="851">
        <v>291</v>
      </c>
      <c r="AF16" s="855">
        <v>125</v>
      </c>
      <c r="AG16" s="856">
        <v>142</v>
      </c>
      <c r="AH16" s="34">
        <v>64</v>
      </c>
      <c r="AI16" s="34">
        <v>460</v>
      </c>
      <c r="AJ16" s="34">
        <v>258</v>
      </c>
      <c r="AK16" s="34">
        <v>150</v>
      </c>
      <c r="AL16" s="856">
        <v>71</v>
      </c>
      <c r="AM16" s="34">
        <v>95</v>
      </c>
      <c r="AN16" s="34">
        <v>497</v>
      </c>
      <c r="AO16" s="34">
        <v>289</v>
      </c>
      <c r="AP16" s="1036">
        <v>148</v>
      </c>
      <c r="AQ16" s="860" t="s">
        <v>675</v>
      </c>
      <c r="AU16" s="842"/>
      <c r="AV16" s="842"/>
      <c r="AW16" s="842"/>
      <c r="AX16" s="842"/>
      <c r="AY16" s="842"/>
      <c r="AZ16" s="842"/>
      <c r="BA16" s="842"/>
      <c r="BB16" s="842"/>
      <c r="BG16" s="844" t="s">
        <v>654</v>
      </c>
      <c r="BH16" s="844" t="s">
        <v>655</v>
      </c>
    </row>
    <row r="17" spans="1:61" s="844" customFormat="1" ht="15.75" customHeight="1">
      <c r="A17" s="850" t="s">
        <v>101</v>
      </c>
      <c r="B17" s="851">
        <v>57</v>
      </c>
      <c r="C17" s="851">
        <v>182</v>
      </c>
      <c r="D17" s="851">
        <v>151</v>
      </c>
      <c r="E17" s="851">
        <v>193</v>
      </c>
      <c r="F17" s="851">
        <v>73</v>
      </c>
      <c r="G17" s="852"/>
      <c r="H17" s="853">
        <v>24</v>
      </c>
      <c r="I17" s="851">
        <v>145</v>
      </c>
      <c r="J17" s="851">
        <v>162</v>
      </c>
      <c r="K17" s="851">
        <v>199</v>
      </c>
      <c r="L17" s="852">
        <v>88</v>
      </c>
      <c r="M17" s="854">
        <v>148</v>
      </c>
      <c r="N17" s="851">
        <v>30</v>
      </c>
      <c r="O17" s="851">
        <v>164</v>
      </c>
      <c r="P17" s="851">
        <v>188</v>
      </c>
      <c r="Q17" s="855">
        <v>75</v>
      </c>
      <c r="R17" s="853">
        <v>23</v>
      </c>
      <c r="S17" s="851">
        <v>138</v>
      </c>
      <c r="T17" s="851">
        <v>195</v>
      </c>
      <c r="U17" s="851">
        <v>148</v>
      </c>
      <c r="V17" s="852">
        <v>95</v>
      </c>
      <c r="W17" s="854">
        <v>36</v>
      </c>
      <c r="X17" s="851">
        <v>67</v>
      </c>
      <c r="Y17" s="851">
        <v>262</v>
      </c>
      <c r="Z17" s="851">
        <v>166</v>
      </c>
      <c r="AA17" s="855">
        <v>82</v>
      </c>
      <c r="AB17" s="853">
        <v>58</v>
      </c>
      <c r="AC17" s="851">
        <v>66</v>
      </c>
      <c r="AD17" s="851">
        <v>328</v>
      </c>
      <c r="AE17" s="851">
        <v>191</v>
      </c>
      <c r="AF17" s="855">
        <v>93</v>
      </c>
      <c r="AG17" s="856">
        <v>49</v>
      </c>
      <c r="AH17" s="34">
        <v>53</v>
      </c>
      <c r="AI17" s="34">
        <v>293</v>
      </c>
      <c r="AJ17" s="34">
        <v>138</v>
      </c>
      <c r="AK17" s="34">
        <v>86</v>
      </c>
      <c r="AL17" s="856">
        <v>21</v>
      </c>
      <c r="AM17" s="34">
        <v>52</v>
      </c>
      <c r="AN17" s="34">
        <v>254</v>
      </c>
      <c r="AO17" s="34">
        <v>164</v>
      </c>
      <c r="AP17" s="1036">
        <v>77</v>
      </c>
      <c r="AQ17" s="860" t="s">
        <v>676</v>
      </c>
      <c r="AU17" s="842"/>
      <c r="AV17" s="842"/>
      <c r="AW17" s="842"/>
      <c r="AX17" s="842"/>
      <c r="AY17" s="842"/>
      <c r="AZ17" s="842"/>
      <c r="BA17" s="842"/>
      <c r="BB17" s="842"/>
      <c r="BF17" s="844" t="s">
        <v>70</v>
      </c>
      <c r="BG17" s="844">
        <f>BH7</f>
        <v>5178</v>
      </c>
      <c r="BH17" s="844">
        <f>BL7</f>
        <v>3109</v>
      </c>
    </row>
    <row r="18" spans="1:61" s="844" customFormat="1">
      <c r="A18" s="850" t="s">
        <v>103</v>
      </c>
      <c r="B18" s="851">
        <v>54</v>
      </c>
      <c r="C18" s="851">
        <v>194</v>
      </c>
      <c r="D18" s="851">
        <v>236</v>
      </c>
      <c r="E18" s="851">
        <v>195</v>
      </c>
      <c r="F18" s="851">
        <v>107</v>
      </c>
      <c r="G18" s="852"/>
      <c r="H18" s="853">
        <v>62</v>
      </c>
      <c r="I18" s="851">
        <v>186</v>
      </c>
      <c r="J18" s="851">
        <v>215</v>
      </c>
      <c r="K18" s="851">
        <v>193</v>
      </c>
      <c r="L18" s="852">
        <v>95</v>
      </c>
      <c r="M18" s="854">
        <v>175</v>
      </c>
      <c r="N18" s="851">
        <v>52</v>
      </c>
      <c r="O18" s="851">
        <v>213</v>
      </c>
      <c r="P18" s="851">
        <v>187</v>
      </c>
      <c r="Q18" s="855">
        <v>101</v>
      </c>
      <c r="R18" s="853">
        <v>97</v>
      </c>
      <c r="S18" s="851">
        <v>219</v>
      </c>
      <c r="T18" s="851">
        <v>290</v>
      </c>
      <c r="U18" s="851">
        <v>167</v>
      </c>
      <c r="V18" s="852">
        <v>104</v>
      </c>
      <c r="W18" s="854">
        <v>97</v>
      </c>
      <c r="X18" s="851">
        <v>133</v>
      </c>
      <c r="Y18" s="851">
        <v>383</v>
      </c>
      <c r="Z18" s="851">
        <v>171</v>
      </c>
      <c r="AA18" s="855">
        <v>103</v>
      </c>
      <c r="AB18" s="853">
        <v>83</v>
      </c>
      <c r="AC18" s="851">
        <v>92</v>
      </c>
      <c r="AD18" s="851">
        <v>385</v>
      </c>
      <c r="AE18" s="851">
        <v>154</v>
      </c>
      <c r="AF18" s="855">
        <v>100</v>
      </c>
      <c r="AG18" s="856">
        <v>141</v>
      </c>
      <c r="AH18" s="34">
        <v>75</v>
      </c>
      <c r="AI18" s="34">
        <v>291</v>
      </c>
      <c r="AJ18" s="34">
        <v>161</v>
      </c>
      <c r="AK18" s="34">
        <v>106</v>
      </c>
      <c r="AL18" s="856">
        <v>34</v>
      </c>
      <c r="AM18" s="34">
        <v>59</v>
      </c>
      <c r="AN18" s="34">
        <v>319</v>
      </c>
      <c r="AO18" s="34">
        <v>140</v>
      </c>
      <c r="AP18" s="1036">
        <v>96</v>
      </c>
      <c r="AQ18" s="860" t="s">
        <v>677</v>
      </c>
      <c r="AU18" s="842"/>
      <c r="AV18" s="842"/>
      <c r="AW18" s="842"/>
      <c r="AX18" s="842"/>
      <c r="AY18" s="842"/>
      <c r="AZ18" s="842"/>
      <c r="BA18" s="842"/>
      <c r="BB18" s="842"/>
      <c r="BF18" s="844" t="s">
        <v>666</v>
      </c>
      <c r="BG18" s="844">
        <f>BH8</f>
        <v>2191</v>
      </c>
      <c r="BH18" s="844">
        <f>BL8</f>
        <v>1156</v>
      </c>
    </row>
    <row r="19" spans="1:61" s="844" customFormat="1">
      <c r="A19" s="850" t="s">
        <v>105</v>
      </c>
      <c r="B19" s="851">
        <v>128</v>
      </c>
      <c r="C19" s="851">
        <v>191</v>
      </c>
      <c r="D19" s="851">
        <v>231</v>
      </c>
      <c r="E19" s="851">
        <v>270</v>
      </c>
      <c r="F19" s="851">
        <v>100</v>
      </c>
      <c r="G19" s="852"/>
      <c r="H19" s="853">
        <v>84</v>
      </c>
      <c r="I19" s="851">
        <v>202</v>
      </c>
      <c r="J19" s="851">
        <v>231</v>
      </c>
      <c r="K19" s="851">
        <v>259</v>
      </c>
      <c r="L19" s="852">
        <v>118</v>
      </c>
      <c r="M19" s="854">
        <v>201</v>
      </c>
      <c r="N19" s="851">
        <v>67</v>
      </c>
      <c r="O19" s="851">
        <v>219</v>
      </c>
      <c r="P19" s="851">
        <v>233</v>
      </c>
      <c r="Q19" s="855">
        <v>117</v>
      </c>
      <c r="R19" s="853">
        <v>99</v>
      </c>
      <c r="S19" s="851">
        <v>225</v>
      </c>
      <c r="T19" s="851">
        <v>326</v>
      </c>
      <c r="U19" s="851">
        <v>254</v>
      </c>
      <c r="V19" s="852">
        <v>113</v>
      </c>
      <c r="W19" s="854">
        <v>56</v>
      </c>
      <c r="X19" s="851">
        <v>153</v>
      </c>
      <c r="Y19" s="851">
        <v>359</v>
      </c>
      <c r="Z19" s="851">
        <v>255</v>
      </c>
      <c r="AA19" s="855">
        <v>103</v>
      </c>
      <c r="AB19" s="853">
        <v>147</v>
      </c>
      <c r="AC19" s="851">
        <v>121</v>
      </c>
      <c r="AD19" s="851">
        <v>403</v>
      </c>
      <c r="AE19" s="851">
        <v>198</v>
      </c>
      <c r="AF19" s="855">
        <v>111</v>
      </c>
      <c r="AG19" s="856">
        <v>99</v>
      </c>
      <c r="AH19" s="34">
        <v>112</v>
      </c>
      <c r="AI19" s="34">
        <v>411</v>
      </c>
      <c r="AJ19" s="34">
        <v>219</v>
      </c>
      <c r="AK19" s="34">
        <v>114</v>
      </c>
      <c r="AL19" s="856">
        <v>70</v>
      </c>
      <c r="AM19" s="34">
        <v>142</v>
      </c>
      <c r="AN19" s="34">
        <v>415</v>
      </c>
      <c r="AO19" s="34">
        <v>197</v>
      </c>
      <c r="AP19" s="1036">
        <v>110</v>
      </c>
      <c r="AQ19" s="860" t="s">
        <v>678</v>
      </c>
      <c r="AU19" s="842"/>
      <c r="AV19" s="842"/>
      <c r="AW19" s="842"/>
      <c r="AX19" s="842"/>
      <c r="AY19" s="842"/>
      <c r="AZ19" s="842"/>
      <c r="BA19" s="842"/>
      <c r="BB19" s="842"/>
      <c r="BF19" s="844" t="s">
        <v>669</v>
      </c>
      <c r="BG19" s="844">
        <f>BH9</f>
        <v>2987</v>
      </c>
      <c r="BH19" s="844">
        <f>BL9</f>
        <v>1953</v>
      </c>
    </row>
    <row r="20" spans="1:61" s="844" customFormat="1">
      <c r="A20" s="850" t="s">
        <v>107</v>
      </c>
      <c r="B20" s="851">
        <v>29</v>
      </c>
      <c r="C20" s="851">
        <v>97</v>
      </c>
      <c r="D20" s="851">
        <v>137</v>
      </c>
      <c r="E20" s="851">
        <v>158</v>
      </c>
      <c r="F20" s="851">
        <v>63</v>
      </c>
      <c r="G20" s="852"/>
      <c r="H20" s="853">
        <v>26</v>
      </c>
      <c r="I20" s="851">
        <v>183</v>
      </c>
      <c r="J20" s="851">
        <v>135</v>
      </c>
      <c r="K20" s="851">
        <v>151</v>
      </c>
      <c r="L20" s="852">
        <v>57</v>
      </c>
      <c r="M20" s="854">
        <v>133</v>
      </c>
      <c r="N20" s="851">
        <v>27</v>
      </c>
      <c r="O20" s="851">
        <v>136</v>
      </c>
      <c r="P20" s="851">
        <v>125</v>
      </c>
      <c r="Q20" s="855">
        <v>63</v>
      </c>
      <c r="R20" s="853">
        <v>43</v>
      </c>
      <c r="S20" s="851">
        <v>119</v>
      </c>
      <c r="T20" s="851">
        <v>171</v>
      </c>
      <c r="U20" s="851">
        <v>124</v>
      </c>
      <c r="V20" s="852">
        <v>64</v>
      </c>
      <c r="W20" s="854">
        <v>21</v>
      </c>
      <c r="X20" s="851">
        <v>79</v>
      </c>
      <c r="Y20" s="851">
        <v>175</v>
      </c>
      <c r="Z20" s="851">
        <v>111</v>
      </c>
      <c r="AA20" s="855">
        <v>62</v>
      </c>
      <c r="AB20" s="853">
        <v>43</v>
      </c>
      <c r="AC20" s="851">
        <v>70</v>
      </c>
      <c r="AD20" s="851">
        <v>298</v>
      </c>
      <c r="AE20" s="851">
        <v>119</v>
      </c>
      <c r="AF20" s="855">
        <v>89</v>
      </c>
      <c r="AG20" s="856">
        <v>57</v>
      </c>
      <c r="AH20" s="34">
        <v>51</v>
      </c>
      <c r="AI20" s="34">
        <v>257</v>
      </c>
      <c r="AJ20" s="34">
        <v>108</v>
      </c>
      <c r="AK20" s="34">
        <v>68</v>
      </c>
      <c r="AL20" s="856">
        <v>36</v>
      </c>
      <c r="AM20" s="34">
        <v>47</v>
      </c>
      <c r="AN20" s="34">
        <v>275</v>
      </c>
      <c r="AO20" s="34">
        <v>116</v>
      </c>
      <c r="AP20" s="1036">
        <v>62</v>
      </c>
      <c r="AQ20" s="860" t="s">
        <v>679</v>
      </c>
      <c r="AU20" s="842"/>
      <c r="AV20" s="842"/>
      <c r="AW20" s="842"/>
      <c r="AX20" s="842"/>
      <c r="AY20" s="842"/>
      <c r="AZ20" s="842"/>
      <c r="BA20" s="842"/>
      <c r="BB20" s="842"/>
    </row>
    <row r="21" spans="1:61" s="844" customFormat="1">
      <c r="A21" s="850" t="s">
        <v>109</v>
      </c>
      <c r="B21" s="851">
        <v>71</v>
      </c>
      <c r="C21" s="851">
        <v>99</v>
      </c>
      <c r="D21" s="851">
        <v>165</v>
      </c>
      <c r="E21" s="851">
        <v>168</v>
      </c>
      <c r="F21" s="851">
        <v>72</v>
      </c>
      <c r="G21" s="852"/>
      <c r="H21" s="853">
        <v>61</v>
      </c>
      <c r="I21" s="851">
        <v>124</v>
      </c>
      <c r="J21" s="851">
        <v>178</v>
      </c>
      <c r="K21" s="851">
        <v>160</v>
      </c>
      <c r="L21" s="852">
        <v>93</v>
      </c>
      <c r="M21" s="854">
        <v>201</v>
      </c>
      <c r="N21" s="851">
        <v>68</v>
      </c>
      <c r="O21" s="851">
        <v>180</v>
      </c>
      <c r="P21" s="851">
        <v>141</v>
      </c>
      <c r="Q21" s="855">
        <v>85</v>
      </c>
      <c r="R21" s="853">
        <v>60</v>
      </c>
      <c r="S21" s="851">
        <v>171</v>
      </c>
      <c r="T21" s="851">
        <v>244</v>
      </c>
      <c r="U21" s="851">
        <v>127</v>
      </c>
      <c r="V21" s="852">
        <v>82</v>
      </c>
      <c r="W21" s="854">
        <v>36</v>
      </c>
      <c r="X21" s="851">
        <v>111</v>
      </c>
      <c r="Y21" s="851">
        <v>307</v>
      </c>
      <c r="Z21" s="851">
        <v>129</v>
      </c>
      <c r="AA21" s="855">
        <v>96</v>
      </c>
      <c r="AB21" s="853">
        <v>140</v>
      </c>
      <c r="AC21" s="851">
        <v>113</v>
      </c>
      <c r="AD21" s="851">
        <v>344</v>
      </c>
      <c r="AE21" s="851">
        <v>133</v>
      </c>
      <c r="AF21" s="855">
        <v>90</v>
      </c>
      <c r="AG21" s="856">
        <v>143</v>
      </c>
      <c r="AH21" s="34">
        <v>104</v>
      </c>
      <c r="AI21" s="34">
        <v>328</v>
      </c>
      <c r="AJ21" s="34">
        <v>140</v>
      </c>
      <c r="AK21" s="34">
        <v>73</v>
      </c>
      <c r="AL21" s="856">
        <v>72</v>
      </c>
      <c r="AM21" s="34">
        <v>70</v>
      </c>
      <c r="AN21" s="34">
        <v>320</v>
      </c>
      <c r="AO21" s="34">
        <v>68</v>
      </c>
      <c r="AP21" s="1036">
        <v>49</v>
      </c>
      <c r="AQ21" s="860" t="s">
        <v>680</v>
      </c>
      <c r="AU21" s="842"/>
      <c r="AV21" s="842"/>
      <c r="AW21" s="842"/>
      <c r="AX21" s="842"/>
      <c r="AY21" s="842"/>
      <c r="AZ21" s="842"/>
      <c r="BA21" s="842"/>
      <c r="BB21" s="842"/>
    </row>
    <row r="22" spans="1:61" s="844" customFormat="1">
      <c r="A22" s="850" t="s">
        <v>111</v>
      </c>
      <c r="B22" s="851">
        <v>52</v>
      </c>
      <c r="C22" s="851">
        <v>183</v>
      </c>
      <c r="D22" s="851">
        <v>258</v>
      </c>
      <c r="E22" s="851">
        <v>226</v>
      </c>
      <c r="F22" s="851">
        <v>133</v>
      </c>
      <c r="G22" s="852"/>
      <c r="H22" s="853">
        <v>41</v>
      </c>
      <c r="I22" s="851">
        <v>145</v>
      </c>
      <c r="J22" s="851">
        <v>218</v>
      </c>
      <c r="K22" s="851">
        <v>213</v>
      </c>
      <c r="L22" s="852">
        <v>112</v>
      </c>
      <c r="M22" s="854">
        <v>207</v>
      </c>
      <c r="N22" s="851">
        <v>42</v>
      </c>
      <c r="O22" s="851">
        <v>259</v>
      </c>
      <c r="P22" s="851">
        <v>201</v>
      </c>
      <c r="Q22" s="855">
        <v>129</v>
      </c>
      <c r="R22" s="853">
        <v>26</v>
      </c>
      <c r="S22" s="851">
        <v>263</v>
      </c>
      <c r="T22" s="851">
        <v>300</v>
      </c>
      <c r="U22" s="851">
        <v>247</v>
      </c>
      <c r="V22" s="852">
        <v>126</v>
      </c>
      <c r="W22" s="854">
        <v>62</v>
      </c>
      <c r="X22" s="851">
        <v>102</v>
      </c>
      <c r="Y22" s="851">
        <v>388</v>
      </c>
      <c r="Z22" s="851">
        <v>222</v>
      </c>
      <c r="AA22" s="855">
        <v>151</v>
      </c>
      <c r="AB22" s="853">
        <v>106</v>
      </c>
      <c r="AC22" s="851">
        <v>135</v>
      </c>
      <c r="AD22" s="851">
        <v>403</v>
      </c>
      <c r="AE22" s="851">
        <v>195</v>
      </c>
      <c r="AF22" s="855">
        <v>126</v>
      </c>
      <c r="AG22" s="856">
        <v>129</v>
      </c>
      <c r="AH22" s="34">
        <v>160</v>
      </c>
      <c r="AI22" s="34">
        <v>406</v>
      </c>
      <c r="AJ22" s="34">
        <v>201</v>
      </c>
      <c r="AK22" s="34">
        <v>132</v>
      </c>
      <c r="AL22" s="856">
        <v>207</v>
      </c>
      <c r="AM22" s="34">
        <v>112</v>
      </c>
      <c r="AN22" s="34">
        <v>358</v>
      </c>
      <c r="AO22" s="34">
        <v>152</v>
      </c>
      <c r="AP22" s="1036">
        <v>108</v>
      </c>
      <c r="AQ22" s="860" t="s">
        <v>681</v>
      </c>
      <c r="AU22" s="842"/>
      <c r="AV22" s="842"/>
      <c r="AW22" s="842"/>
      <c r="AX22" s="842"/>
      <c r="AY22" s="842"/>
      <c r="AZ22" s="842"/>
      <c r="BA22" s="842"/>
      <c r="BB22" s="842"/>
      <c r="BF22" s="844" t="s">
        <v>654</v>
      </c>
    </row>
    <row r="23" spans="1:61" s="844" customFormat="1">
      <c r="A23" s="850" t="s">
        <v>113</v>
      </c>
      <c r="B23" s="851">
        <v>32</v>
      </c>
      <c r="C23" s="851">
        <v>110</v>
      </c>
      <c r="D23" s="851">
        <v>127</v>
      </c>
      <c r="E23" s="851">
        <v>116</v>
      </c>
      <c r="F23" s="851">
        <v>69</v>
      </c>
      <c r="G23" s="852"/>
      <c r="H23" s="853">
        <v>13</v>
      </c>
      <c r="I23" s="851">
        <v>123</v>
      </c>
      <c r="J23" s="851">
        <v>123</v>
      </c>
      <c r="K23" s="851">
        <v>99</v>
      </c>
      <c r="L23" s="852">
        <v>68</v>
      </c>
      <c r="M23" s="854">
        <v>140</v>
      </c>
      <c r="N23" s="851">
        <v>7</v>
      </c>
      <c r="O23" s="851">
        <v>142</v>
      </c>
      <c r="P23" s="851">
        <v>102</v>
      </c>
      <c r="Q23" s="855">
        <v>71</v>
      </c>
      <c r="R23" s="853">
        <v>18</v>
      </c>
      <c r="S23" s="851">
        <v>120</v>
      </c>
      <c r="T23" s="851">
        <v>155</v>
      </c>
      <c r="U23" s="851">
        <v>86</v>
      </c>
      <c r="V23" s="852">
        <v>65</v>
      </c>
      <c r="W23" s="854">
        <v>15</v>
      </c>
      <c r="X23" s="851">
        <v>115</v>
      </c>
      <c r="Y23" s="851">
        <v>234</v>
      </c>
      <c r="Z23" s="851">
        <v>102</v>
      </c>
      <c r="AA23" s="855">
        <v>70</v>
      </c>
      <c r="AB23" s="853">
        <v>37</v>
      </c>
      <c r="AC23" s="851">
        <v>87</v>
      </c>
      <c r="AD23" s="851">
        <v>291</v>
      </c>
      <c r="AE23" s="851">
        <v>111</v>
      </c>
      <c r="AF23" s="855">
        <v>79</v>
      </c>
      <c r="AG23" s="856">
        <v>41</v>
      </c>
      <c r="AH23" s="34">
        <v>104</v>
      </c>
      <c r="AI23" s="34">
        <v>273</v>
      </c>
      <c r="AJ23" s="34">
        <v>89</v>
      </c>
      <c r="AK23" s="34">
        <v>89</v>
      </c>
      <c r="AL23" s="856">
        <v>16</v>
      </c>
      <c r="AM23" s="34">
        <v>87</v>
      </c>
      <c r="AN23" s="34">
        <v>239</v>
      </c>
      <c r="AO23" s="34">
        <v>110</v>
      </c>
      <c r="AP23" s="1036">
        <v>62</v>
      </c>
      <c r="AQ23" s="860" t="s">
        <v>682</v>
      </c>
      <c r="AU23" s="842"/>
      <c r="AV23" s="842"/>
      <c r="AW23" s="842"/>
      <c r="AX23" s="842"/>
      <c r="AY23" s="842"/>
      <c r="AZ23" s="842"/>
      <c r="BA23" s="842"/>
      <c r="BB23" s="842"/>
      <c r="BF23" s="844">
        <v>2015</v>
      </c>
      <c r="BG23" s="844">
        <v>2016</v>
      </c>
      <c r="BH23" s="844">
        <v>2017</v>
      </c>
      <c r="BI23" s="844">
        <v>2018</v>
      </c>
    </row>
    <row r="24" spans="1:61" s="844" customFormat="1">
      <c r="A24" s="850" t="s">
        <v>115</v>
      </c>
      <c r="B24" s="851">
        <v>20</v>
      </c>
      <c r="C24" s="851">
        <v>104</v>
      </c>
      <c r="D24" s="851">
        <v>166</v>
      </c>
      <c r="E24" s="851">
        <v>169</v>
      </c>
      <c r="F24" s="851">
        <v>85</v>
      </c>
      <c r="G24" s="852"/>
      <c r="H24" s="853">
        <v>18</v>
      </c>
      <c r="I24" s="851">
        <v>145</v>
      </c>
      <c r="J24" s="851">
        <v>141</v>
      </c>
      <c r="K24" s="851">
        <v>152</v>
      </c>
      <c r="L24" s="852">
        <v>74</v>
      </c>
      <c r="M24" s="854">
        <v>142</v>
      </c>
      <c r="N24" s="851">
        <v>20</v>
      </c>
      <c r="O24" s="851">
        <v>189</v>
      </c>
      <c r="P24" s="851">
        <v>148</v>
      </c>
      <c r="Q24" s="855">
        <v>110</v>
      </c>
      <c r="R24" s="853">
        <v>16</v>
      </c>
      <c r="S24" s="851">
        <v>253</v>
      </c>
      <c r="T24" s="851">
        <v>189</v>
      </c>
      <c r="U24" s="851">
        <v>139</v>
      </c>
      <c r="V24" s="852">
        <v>76</v>
      </c>
      <c r="W24" s="854">
        <v>25</v>
      </c>
      <c r="X24" s="851">
        <v>133</v>
      </c>
      <c r="Y24" s="851">
        <v>284</v>
      </c>
      <c r="Z24" s="851">
        <v>121</v>
      </c>
      <c r="AA24" s="855">
        <v>84</v>
      </c>
      <c r="AB24" s="853">
        <v>39</v>
      </c>
      <c r="AC24" s="851">
        <v>103</v>
      </c>
      <c r="AD24" s="851">
        <v>276</v>
      </c>
      <c r="AE24" s="851">
        <v>123</v>
      </c>
      <c r="AF24" s="855">
        <v>90</v>
      </c>
      <c r="AG24" s="856">
        <v>40</v>
      </c>
      <c r="AH24" s="34">
        <v>88</v>
      </c>
      <c r="AI24" s="34">
        <v>280</v>
      </c>
      <c r="AJ24" s="34">
        <v>121</v>
      </c>
      <c r="AK24" s="34">
        <v>83</v>
      </c>
      <c r="AL24" s="856">
        <v>27</v>
      </c>
      <c r="AM24" s="34">
        <v>81</v>
      </c>
      <c r="AN24" s="34">
        <v>306</v>
      </c>
      <c r="AO24" s="34">
        <v>88</v>
      </c>
      <c r="AP24" s="1036">
        <v>70</v>
      </c>
      <c r="AQ24" s="860" t="s">
        <v>683</v>
      </c>
      <c r="AU24" s="842"/>
      <c r="AV24" s="842"/>
      <c r="AW24" s="842"/>
      <c r="AX24" s="842"/>
      <c r="AY24" s="842"/>
      <c r="AZ24" s="842"/>
      <c r="BA24" s="842"/>
      <c r="BB24" s="842"/>
      <c r="BE24" s="844" t="s">
        <v>70</v>
      </c>
      <c r="BF24" s="844">
        <v>5763</v>
      </c>
      <c r="BG24" s="844">
        <v>5488</v>
      </c>
      <c r="BH24" s="844">
        <f>BG7</f>
        <v>5048</v>
      </c>
      <c r="BI24" s="844">
        <f>BH7</f>
        <v>5178</v>
      </c>
    </row>
    <row r="25" spans="1:61" s="844" customFormat="1">
      <c r="A25" s="850" t="s">
        <v>117</v>
      </c>
      <c r="B25" s="851">
        <v>1</v>
      </c>
      <c r="C25" s="851">
        <v>21</v>
      </c>
      <c r="D25" s="851">
        <v>29</v>
      </c>
      <c r="E25" s="851">
        <v>14</v>
      </c>
      <c r="F25" s="851">
        <v>17</v>
      </c>
      <c r="G25" s="852"/>
      <c r="H25" s="853">
        <v>1</v>
      </c>
      <c r="I25" s="851">
        <v>33</v>
      </c>
      <c r="J25" s="851">
        <v>19</v>
      </c>
      <c r="K25" s="851">
        <v>13</v>
      </c>
      <c r="L25" s="852">
        <v>12</v>
      </c>
      <c r="M25" s="854">
        <v>60</v>
      </c>
      <c r="N25" s="851">
        <v>9</v>
      </c>
      <c r="O25" s="851">
        <v>24</v>
      </c>
      <c r="P25" s="851">
        <v>24</v>
      </c>
      <c r="Q25" s="855">
        <v>16</v>
      </c>
      <c r="R25" s="853">
        <v>1</v>
      </c>
      <c r="S25" s="851">
        <v>55</v>
      </c>
      <c r="T25" s="851">
        <v>28</v>
      </c>
      <c r="U25" s="851">
        <v>18</v>
      </c>
      <c r="V25" s="852">
        <v>11</v>
      </c>
      <c r="W25" s="854">
        <v>0</v>
      </c>
      <c r="X25" s="851">
        <v>23</v>
      </c>
      <c r="Y25" s="851">
        <v>47</v>
      </c>
      <c r="Z25" s="851">
        <v>20</v>
      </c>
      <c r="AA25" s="855">
        <v>18</v>
      </c>
      <c r="AB25" s="853">
        <v>16</v>
      </c>
      <c r="AC25" s="851">
        <v>24</v>
      </c>
      <c r="AD25" s="851">
        <v>48</v>
      </c>
      <c r="AE25" s="851">
        <v>21</v>
      </c>
      <c r="AF25" s="855">
        <v>7</v>
      </c>
      <c r="AG25" s="856">
        <v>10</v>
      </c>
      <c r="AH25" s="34">
        <v>18</v>
      </c>
      <c r="AI25" s="34">
        <v>55</v>
      </c>
      <c r="AJ25" s="34">
        <v>13</v>
      </c>
      <c r="AK25" s="34">
        <v>11</v>
      </c>
      <c r="AL25" s="856">
        <v>3</v>
      </c>
      <c r="AM25" s="34">
        <v>17</v>
      </c>
      <c r="AN25" s="34">
        <v>56</v>
      </c>
      <c r="AO25" s="34">
        <v>19</v>
      </c>
      <c r="AP25" s="1036">
        <v>23</v>
      </c>
      <c r="AQ25" s="860" t="s">
        <v>684</v>
      </c>
      <c r="AU25" s="842"/>
      <c r="AV25" s="842"/>
      <c r="AW25" s="842"/>
      <c r="AX25" s="842"/>
      <c r="AY25" s="842"/>
      <c r="AZ25" s="842"/>
      <c r="BA25" s="842"/>
      <c r="BB25" s="842"/>
      <c r="BE25" s="844" t="s">
        <v>666</v>
      </c>
      <c r="BF25" s="844">
        <v>2417</v>
      </c>
      <c r="BG25" s="844">
        <v>2304</v>
      </c>
      <c r="BH25" s="844">
        <f t="shared" ref="BH25:BI26" si="6">BG8</f>
        <v>1979</v>
      </c>
      <c r="BI25" s="844">
        <f t="shared" si="6"/>
        <v>2191</v>
      </c>
    </row>
    <row r="26" spans="1:61" s="844" customFormat="1">
      <c r="A26" s="850" t="s">
        <v>119</v>
      </c>
      <c r="B26" s="851">
        <v>15</v>
      </c>
      <c r="C26" s="851">
        <v>136</v>
      </c>
      <c r="D26" s="851">
        <v>84</v>
      </c>
      <c r="E26" s="851">
        <v>82</v>
      </c>
      <c r="F26" s="851">
        <v>34</v>
      </c>
      <c r="G26" s="852"/>
      <c r="H26" s="853">
        <v>4</v>
      </c>
      <c r="I26" s="851">
        <v>62</v>
      </c>
      <c r="J26" s="851">
        <v>72</v>
      </c>
      <c r="K26" s="851">
        <v>70</v>
      </c>
      <c r="L26" s="852">
        <v>32</v>
      </c>
      <c r="M26" s="854">
        <v>99</v>
      </c>
      <c r="N26" s="851">
        <v>24</v>
      </c>
      <c r="O26" s="851">
        <v>65</v>
      </c>
      <c r="P26" s="851">
        <v>69</v>
      </c>
      <c r="Q26" s="855">
        <v>30</v>
      </c>
      <c r="R26" s="853">
        <v>23</v>
      </c>
      <c r="S26" s="851">
        <v>75</v>
      </c>
      <c r="T26" s="851">
        <v>88</v>
      </c>
      <c r="U26" s="851">
        <v>66</v>
      </c>
      <c r="V26" s="852">
        <v>40</v>
      </c>
      <c r="W26" s="854">
        <v>5</v>
      </c>
      <c r="X26" s="851">
        <v>52</v>
      </c>
      <c r="Y26" s="851">
        <v>130</v>
      </c>
      <c r="Z26" s="851">
        <v>71</v>
      </c>
      <c r="AA26" s="855">
        <v>42</v>
      </c>
      <c r="AB26" s="853">
        <v>11</v>
      </c>
      <c r="AC26" s="851">
        <v>24</v>
      </c>
      <c r="AD26" s="851">
        <v>153</v>
      </c>
      <c r="AE26" s="851">
        <v>58</v>
      </c>
      <c r="AF26" s="855">
        <v>41</v>
      </c>
      <c r="AG26" s="856">
        <v>19</v>
      </c>
      <c r="AH26" s="34">
        <v>17</v>
      </c>
      <c r="AI26" s="34">
        <v>123</v>
      </c>
      <c r="AJ26" s="34">
        <v>51</v>
      </c>
      <c r="AK26" s="34">
        <v>31</v>
      </c>
      <c r="AL26" s="856">
        <v>13</v>
      </c>
      <c r="AM26" s="34">
        <v>30</v>
      </c>
      <c r="AN26" s="34">
        <v>136</v>
      </c>
      <c r="AO26" s="34">
        <v>64</v>
      </c>
      <c r="AP26" s="1036">
        <v>44</v>
      </c>
      <c r="AQ26" s="860" t="s">
        <v>685</v>
      </c>
      <c r="AU26" s="842"/>
      <c r="AV26" s="842"/>
      <c r="AW26" s="842"/>
      <c r="AX26" s="842"/>
      <c r="AY26" s="842"/>
      <c r="AZ26" s="842"/>
      <c r="BA26" s="842"/>
      <c r="BB26" s="842"/>
      <c r="BE26" s="844" t="s">
        <v>669</v>
      </c>
      <c r="BF26" s="844">
        <v>3346</v>
      </c>
      <c r="BG26" s="844">
        <v>3184</v>
      </c>
      <c r="BH26" s="844">
        <f t="shared" si="6"/>
        <v>3069</v>
      </c>
      <c r="BI26" s="844">
        <f t="shared" si="6"/>
        <v>2987</v>
      </c>
    </row>
    <row r="27" spans="1:61" s="844" customFormat="1">
      <c r="A27" s="850" t="s">
        <v>121</v>
      </c>
      <c r="B27" s="851">
        <v>15</v>
      </c>
      <c r="C27" s="851">
        <v>86</v>
      </c>
      <c r="D27" s="851">
        <v>84</v>
      </c>
      <c r="E27" s="851">
        <v>94</v>
      </c>
      <c r="F27" s="851">
        <v>50</v>
      </c>
      <c r="G27" s="852"/>
      <c r="H27" s="853">
        <v>14</v>
      </c>
      <c r="I27" s="851">
        <v>83</v>
      </c>
      <c r="J27" s="851">
        <v>70</v>
      </c>
      <c r="K27" s="851">
        <v>76</v>
      </c>
      <c r="L27" s="852">
        <v>33</v>
      </c>
      <c r="M27" s="854">
        <v>106</v>
      </c>
      <c r="N27" s="851">
        <v>12</v>
      </c>
      <c r="O27" s="851">
        <v>87</v>
      </c>
      <c r="P27" s="851">
        <v>87</v>
      </c>
      <c r="Q27" s="855">
        <v>39</v>
      </c>
      <c r="R27" s="853">
        <v>21</v>
      </c>
      <c r="S27" s="851">
        <v>74</v>
      </c>
      <c r="T27" s="851">
        <v>106</v>
      </c>
      <c r="U27" s="851">
        <v>62</v>
      </c>
      <c r="V27" s="852">
        <v>32</v>
      </c>
      <c r="W27" s="854">
        <v>4</v>
      </c>
      <c r="X27" s="851">
        <v>53</v>
      </c>
      <c r="Y27" s="851">
        <v>129</v>
      </c>
      <c r="Z27" s="851">
        <v>68</v>
      </c>
      <c r="AA27" s="855">
        <v>33</v>
      </c>
      <c r="AB27" s="853">
        <v>17</v>
      </c>
      <c r="AC27" s="851">
        <v>42</v>
      </c>
      <c r="AD27" s="851">
        <v>154</v>
      </c>
      <c r="AE27" s="851">
        <v>40</v>
      </c>
      <c r="AF27" s="855">
        <v>35</v>
      </c>
      <c r="AG27" s="856">
        <v>21</v>
      </c>
      <c r="AH27" s="34">
        <v>65</v>
      </c>
      <c r="AI27" s="34">
        <v>149</v>
      </c>
      <c r="AJ27" s="34">
        <v>56</v>
      </c>
      <c r="AK27" s="34">
        <v>30</v>
      </c>
      <c r="AL27" s="856">
        <v>6</v>
      </c>
      <c r="AM27" s="34">
        <v>53</v>
      </c>
      <c r="AN27" s="34">
        <v>143</v>
      </c>
      <c r="AO27" s="34">
        <v>49</v>
      </c>
      <c r="AP27" s="1036">
        <v>31</v>
      </c>
      <c r="AQ27" s="860" t="s">
        <v>686</v>
      </c>
      <c r="AU27" s="842"/>
      <c r="AV27" s="842"/>
      <c r="AW27" s="842"/>
      <c r="AX27" s="842"/>
      <c r="AY27" s="842"/>
      <c r="AZ27" s="842"/>
      <c r="BA27" s="842"/>
      <c r="BB27" s="842"/>
    </row>
    <row r="28" spans="1:61" s="844" customFormat="1">
      <c r="A28" s="850" t="s">
        <v>123</v>
      </c>
      <c r="B28" s="851">
        <v>12</v>
      </c>
      <c r="C28" s="851">
        <v>134</v>
      </c>
      <c r="D28" s="851">
        <v>87</v>
      </c>
      <c r="E28" s="851">
        <v>92</v>
      </c>
      <c r="F28" s="851">
        <v>40</v>
      </c>
      <c r="G28" s="852"/>
      <c r="H28" s="853">
        <v>4</v>
      </c>
      <c r="I28" s="851">
        <v>89</v>
      </c>
      <c r="J28" s="851">
        <v>85</v>
      </c>
      <c r="K28" s="851">
        <v>64</v>
      </c>
      <c r="L28" s="852">
        <v>44</v>
      </c>
      <c r="M28" s="854">
        <v>65</v>
      </c>
      <c r="N28" s="851">
        <v>20</v>
      </c>
      <c r="O28" s="851">
        <v>86</v>
      </c>
      <c r="P28" s="851">
        <v>80</v>
      </c>
      <c r="Q28" s="855">
        <v>33</v>
      </c>
      <c r="R28" s="853">
        <v>8</v>
      </c>
      <c r="S28" s="851">
        <v>80</v>
      </c>
      <c r="T28" s="851">
        <v>130</v>
      </c>
      <c r="U28" s="851">
        <v>71</v>
      </c>
      <c r="V28" s="852">
        <v>40</v>
      </c>
      <c r="W28" s="854">
        <v>4</v>
      </c>
      <c r="X28" s="851">
        <v>44</v>
      </c>
      <c r="Y28" s="851">
        <v>145</v>
      </c>
      <c r="Z28" s="851">
        <v>66</v>
      </c>
      <c r="AA28" s="855">
        <v>27</v>
      </c>
      <c r="AB28" s="853">
        <v>17</v>
      </c>
      <c r="AC28" s="851">
        <v>43</v>
      </c>
      <c r="AD28" s="851">
        <v>156</v>
      </c>
      <c r="AE28" s="851">
        <v>58</v>
      </c>
      <c r="AF28" s="855">
        <v>41</v>
      </c>
      <c r="AG28" s="856">
        <v>22</v>
      </c>
      <c r="AH28" s="34">
        <v>41</v>
      </c>
      <c r="AI28" s="34">
        <v>151</v>
      </c>
      <c r="AJ28" s="34">
        <v>56</v>
      </c>
      <c r="AK28" s="34">
        <v>41</v>
      </c>
      <c r="AL28" s="856">
        <v>18</v>
      </c>
      <c r="AM28" s="34">
        <v>45</v>
      </c>
      <c r="AN28" s="34">
        <v>126</v>
      </c>
      <c r="AO28" s="34">
        <v>67</v>
      </c>
      <c r="AP28" s="1036">
        <v>34</v>
      </c>
      <c r="AQ28" s="860" t="s">
        <v>687</v>
      </c>
      <c r="AU28" s="842"/>
      <c r="AV28" s="842"/>
      <c r="AW28" s="842"/>
      <c r="AX28" s="842"/>
      <c r="AY28" s="842"/>
      <c r="AZ28" s="842"/>
      <c r="BA28" s="842"/>
      <c r="BB28" s="842"/>
      <c r="BF28" s="844" t="s">
        <v>655</v>
      </c>
    </row>
    <row r="29" spans="1:61" s="844" customFormat="1">
      <c r="A29" s="850" t="s">
        <v>125</v>
      </c>
      <c r="B29" s="851">
        <v>34</v>
      </c>
      <c r="C29" s="851">
        <v>211</v>
      </c>
      <c r="D29" s="851">
        <v>155</v>
      </c>
      <c r="E29" s="851">
        <v>166</v>
      </c>
      <c r="F29" s="851">
        <v>80</v>
      </c>
      <c r="G29" s="852"/>
      <c r="H29" s="853">
        <v>76</v>
      </c>
      <c r="I29" s="851">
        <v>177</v>
      </c>
      <c r="J29" s="851">
        <v>171</v>
      </c>
      <c r="K29" s="851">
        <v>146</v>
      </c>
      <c r="L29" s="852">
        <v>85</v>
      </c>
      <c r="M29" s="854">
        <v>184</v>
      </c>
      <c r="N29" s="851">
        <v>56</v>
      </c>
      <c r="O29" s="851">
        <v>152</v>
      </c>
      <c r="P29" s="851">
        <v>118</v>
      </c>
      <c r="Q29" s="855">
        <v>71</v>
      </c>
      <c r="R29" s="853">
        <v>66</v>
      </c>
      <c r="S29" s="851">
        <v>164</v>
      </c>
      <c r="T29" s="851">
        <v>213</v>
      </c>
      <c r="U29" s="851">
        <v>126</v>
      </c>
      <c r="V29" s="852">
        <v>97</v>
      </c>
      <c r="W29" s="854">
        <v>27</v>
      </c>
      <c r="X29" s="851">
        <v>101</v>
      </c>
      <c r="Y29" s="851">
        <v>277</v>
      </c>
      <c r="Z29" s="851">
        <v>135</v>
      </c>
      <c r="AA29" s="855">
        <v>102</v>
      </c>
      <c r="AB29" s="853">
        <v>72</v>
      </c>
      <c r="AC29" s="851">
        <v>98</v>
      </c>
      <c r="AD29" s="851">
        <v>313</v>
      </c>
      <c r="AE29" s="851">
        <v>139</v>
      </c>
      <c r="AF29" s="855">
        <v>112</v>
      </c>
      <c r="AG29" s="856">
        <v>75</v>
      </c>
      <c r="AH29" s="34">
        <v>81</v>
      </c>
      <c r="AI29" s="34">
        <v>306</v>
      </c>
      <c r="AJ29" s="34">
        <v>130</v>
      </c>
      <c r="AK29" s="34">
        <v>82</v>
      </c>
      <c r="AL29" s="856">
        <v>26</v>
      </c>
      <c r="AM29" s="34">
        <v>80</v>
      </c>
      <c r="AN29" s="34">
        <v>264</v>
      </c>
      <c r="AO29" s="34">
        <v>109</v>
      </c>
      <c r="AP29" s="1036">
        <v>74</v>
      </c>
      <c r="AQ29" s="860" t="s">
        <v>688</v>
      </c>
      <c r="AU29" s="842"/>
      <c r="AV29" s="842"/>
      <c r="AW29" s="842"/>
      <c r="AX29" s="842"/>
      <c r="AY29" s="842"/>
      <c r="AZ29" s="842"/>
      <c r="BA29" s="842"/>
      <c r="BB29" s="842"/>
      <c r="BF29" s="844">
        <v>2015</v>
      </c>
      <c r="BG29" s="844">
        <v>2016</v>
      </c>
      <c r="BH29" s="844">
        <v>2017</v>
      </c>
      <c r="BI29" s="844">
        <v>2018</v>
      </c>
    </row>
    <row r="30" spans="1:61" s="844" customFormat="1">
      <c r="A30" s="850" t="s">
        <v>110</v>
      </c>
      <c r="B30" s="851">
        <v>75</v>
      </c>
      <c r="C30" s="851">
        <v>515</v>
      </c>
      <c r="D30" s="851">
        <v>331</v>
      </c>
      <c r="E30" s="851">
        <v>250</v>
      </c>
      <c r="F30" s="851">
        <v>142</v>
      </c>
      <c r="G30" s="852"/>
      <c r="H30" s="853">
        <v>108</v>
      </c>
      <c r="I30" s="851">
        <v>374</v>
      </c>
      <c r="J30" s="851">
        <v>291</v>
      </c>
      <c r="K30" s="851">
        <v>242</v>
      </c>
      <c r="L30" s="852">
        <v>117</v>
      </c>
      <c r="M30" s="854">
        <v>289</v>
      </c>
      <c r="N30" s="851">
        <v>139</v>
      </c>
      <c r="O30" s="851">
        <v>347</v>
      </c>
      <c r="P30" s="851">
        <v>230</v>
      </c>
      <c r="Q30" s="855">
        <v>149</v>
      </c>
      <c r="R30" s="853">
        <v>113</v>
      </c>
      <c r="S30" s="851">
        <v>350</v>
      </c>
      <c r="T30" s="851">
        <v>502</v>
      </c>
      <c r="U30" s="851">
        <v>230</v>
      </c>
      <c r="V30" s="852">
        <v>152</v>
      </c>
      <c r="W30" s="854">
        <v>116</v>
      </c>
      <c r="X30" s="851">
        <v>224</v>
      </c>
      <c r="Y30" s="851">
        <v>633</v>
      </c>
      <c r="Z30" s="851">
        <v>256</v>
      </c>
      <c r="AA30" s="855">
        <v>173</v>
      </c>
      <c r="AB30" s="853">
        <v>244</v>
      </c>
      <c r="AC30" s="851">
        <v>167</v>
      </c>
      <c r="AD30" s="851">
        <v>614</v>
      </c>
      <c r="AE30" s="851">
        <v>242</v>
      </c>
      <c r="AF30" s="855">
        <v>165</v>
      </c>
      <c r="AG30" s="856">
        <v>178</v>
      </c>
      <c r="AH30" s="34">
        <v>131</v>
      </c>
      <c r="AI30" s="34">
        <v>630</v>
      </c>
      <c r="AJ30" s="34">
        <v>232</v>
      </c>
      <c r="AK30" s="34">
        <v>169</v>
      </c>
      <c r="AL30" s="856">
        <v>124</v>
      </c>
      <c r="AM30" s="34">
        <v>116</v>
      </c>
      <c r="AN30" s="34">
        <v>482</v>
      </c>
      <c r="AO30" s="34">
        <v>204</v>
      </c>
      <c r="AP30" s="1036">
        <v>135</v>
      </c>
      <c r="AQ30" s="860" t="s">
        <v>689</v>
      </c>
      <c r="AU30" s="842"/>
      <c r="AV30" s="842"/>
      <c r="AW30" s="842"/>
      <c r="AX30" s="842"/>
      <c r="AY30" s="842"/>
      <c r="AZ30" s="842"/>
      <c r="BA30" s="842"/>
      <c r="BB30" s="842"/>
      <c r="BE30" s="844" t="s">
        <v>70</v>
      </c>
      <c r="BF30" s="844">
        <v>3358</v>
      </c>
      <c r="BG30" s="844">
        <v>3417</v>
      </c>
      <c r="BH30" s="844">
        <f t="shared" ref="BH30:BI32" si="7">BK7</f>
        <v>3211</v>
      </c>
      <c r="BI30" s="844">
        <f t="shared" si="7"/>
        <v>3109</v>
      </c>
    </row>
    <row r="31" spans="1:61" s="844" customFormat="1">
      <c r="A31" s="850" t="s">
        <v>128</v>
      </c>
      <c r="B31" s="851">
        <v>43</v>
      </c>
      <c r="C31" s="851">
        <v>470</v>
      </c>
      <c r="D31" s="851">
        <v>313</v>
      </c>
      <c r="E31" s="851">
        <v>149</v>
      </c>
      <c r="F31" s="851">
        <v>92</v>
      </c>
      <c r="G31" s="852"/>
      <c r="H31" s="853">
        <v>48</v>
      </c>
      <c r="I31" s="851">
        <v>652</v>
      </c>
      <c r="J31" s="851">
        <v>238</v>
      </c>
      <c r="K31" s="851">
        <v>114</v>
      </c>
      <c r="L31" s="852">
        <v>74</v>
      </c>
      <c r="M31" s="854">
        <v>403</v>
      </c>
      <c r="N31" s="851">
        <v>90</v>
      </c>
      <c r="O31" s="851">
        <v>228</v>
      </c>
      <c r="P31" s="851">
        <v>135</v>
      </c>
      <c r="Q31" s="855">
        <v>73</v>
      </c>
      <c r="R31" s="853">
        <v>84</v>
      </c>
      <c r="S31" s="851">
        <v>587</v>
      </c>
      <c r="T31" s="851">
        <v>282</v>
      </c>
      <c r="U31" s="851">
        <v>130</v>
      </c>
      <c r="V31" s="852">
        <v>96</v>
      </c>
      <c r="W31" s="854">
        <v>97</v>
      </c>
      <c r="X31" s="851">
        <v>412</v>
      </c>
      <c r="Y31" s="851">
        <v>372</v>
      </c>
      <c r="Z31" s="851">
        <v>178</v>
      </c>
      <c r="AA31" s="855">
        <v>87</v>
      </c>
      <c r="AB31" s="853">
        <v>143</v>
      </c>
      <c r="AC31" s="851">
        <v>267</v>
      </c>
      <c r="AD31" s="851">
        <v>408</v>
      </c>
      <c r="AE31" s="851">
        <v>124</v>
      </c>
      <c r="AF31" s="855">
        <v>95</v>
      </c>
      <c r="AG31" s="856">
        <v>184</v>
      </c>
      <c r="AH31" s="34">
        <v>284</v>
      </c>
      <c r="AI31" s="34">
        <v>424</v>
      </c>
      <c r="AJ31" s="34">
        <v>141</v>
      </c>
      <c r="AK31" s="34">
        <v>100</v>
      </c>
      <c r="AL31" s="856">
        <v>113</v>
      </c>
      <c r="AM31" s="34">
        <v>189</v>
      </c>
      <c r="AN31" s="34">
        <v>430</v>
      </c>
      <c r="AO31" s="34">
        <v>122</v>
      </c>
      <c r="AP31" s="1036">
        <v>82</v>
      </c>
      <c r="AQ31" s="860" t="s">
        <v>690</v>
      </c>
      <c r="AU31" s="842"/>
      <c r="AV31" s="842"/>
      <c r="AW31" s="842"/>
      <c r="AX31" s="842"/>
      <c r="AY31" s="842"/>
      <c r="AZ31" s="842"/>
      <c r="BA31" s="842"/>
      <c r="BB31" s="842"/>
      <c r="BE31" s="844" t="s">
        <v>666</v>
      </c>
      <c r="BF31" s="844">
        <v>1288</v>
      </c>
      <c r="BG31" s="844">
        <v>1341</v>
      </c>
      <c r="BH31" s="844">
        <f t="shared" si="7"/>
        <v>1248</v>
      </c>
      <c r="BI31" s="844">
        <f t="shared" si="7"/>
        <v>1156</v>
      </c>
    </row>
    <row r="32" spans="1:61" s="844" customFormat="1">
      <c r="A32" s="850" t="s">
        <v>130</v>
      </c>
      <c r="B32" s="851">
        <v>33</v>
      </c>
      <c r="C32" s="851">
        <v>352</v>
      </c>
      <c r="D32" s="851">
        <v>370</v>
      </c>
      <c r="E32" s="851">
        <v>213</v>
      </c>
      <c r="F32" s="851">
        <v>141</v>
      </c>
      <c r="G32" s="852"/>
      <c r="H32" s="853">
        <v>57</v>
      </c>
      <c r="I32" s="851">
        <v>381</v>
      </c>
      <c r="J32" s="851">
        <v>309</v>
      </c>
      <c r="K32" s="851">
        <v>192</v>
      </c>
      <c r="L32" s="852">
        <v>122</v>
      </c>
      <c r="M32" s="854">
        <v>325</v>
      </c>
      <c r="N32" s="851">
        <v>47</v>
      </c>
      <c r="O32" s="851">
        <v>358</v>
      </c>
      <c r="P32" s="851">
        <v>209</v>
      </c>
      <c r="Q32" s="855">
        <v>142</v>
      </c>
      <c r="R32" s="853">
        <v>92</v>
      </c>
      <c r="S32" s="851">
        <v>348</v>
      </c>
      <c r="T32" s="851">
        <v>477</v>
      </c>
      <c r="U32" s="851">
        <v>203</v>
      </c>
      <c r="V32" s="852">
        <v>135</v>
      </c>
      <c r="W32" s="854">
        <v>81</v>
      </c>
      <c r="X32" s="851">
        <v>180</v>
      </c>
      <c r="Y32" s="851">
        <v>505</v>
      </c>
      <c r="Z32" s="851">
        <v>182</v>
      </c>
      <c r="AA32" s="855">
        <v>116</v>
      </c>
      <c r="AB32" s="853">
        <v>225</v>
      </c>
      <c r="AC32" s="851">
        <v>156</v>
      </c>
      <c r="AD32" s="851">
        <v>485</v>
      </c>
      <c r="AE32" s="851">
        <v>175</v>
      </c>
      <c r="AF32" s="855">
        <v>133</v>
      </c>
      <c r="AG32" s="856">
        <v>256</v>
      </c>
      <c r="AH32" s="34">
        <v>124</v>
      </c>
      <c r="AI32" s="34">
        <v>423</v>
      </c>
      <c r="AJ32" s="34">
        <v>178</v>
      </c>
      <c r="AK32" s="34">
        <v>104</v>
      </c>
      <c r="AL32" s="856">
        <v>126</v>
      </c>
      <c r="AM32" s="34">
        <v>147</v>
      </c>
      <c r="AN32" s="34">
        <v>483</v>
      </c>
      <c r="AO32" s="34">
        <v>186</v>
      </c>
      <c r="AP32" s="1036">
        <v>130</v>
      </c>
      <c r="AQ32" s="860" t="s">
        <v>691</v>
      </c>
      <c r="AU32" s="842"/>
      <c r="AV32" s="842"/>
      <c r="AW32" s="842"/>
      <c r="AX32" s="842"/>
      <c r="AY32" s="842"/>
      <c r="AZ32" s="842"/>
      <c r="BA32" s="842"/>
      <c r="BB32" s="842"/>
      <c r="BE32" s="844" t="s">
        <v>669</v>
      </c>
      <c r="BF32" s="844">
        <v>2070</v>
      </c>
      <c r="BG32" s="844">
        <v>2076</v>
      </c>
      <c r="BH32" s="844">
        <f t="shared" si="7"/>
        <v>1963</v>
      </c>
      <c r="BI32" s="844">
        <f t="shared" si="7"/>
        <v>1953</v>
      </c>
    </row>
    <row r="33" spans="1:64" s="844" customFormat="1">
      <c r="A33" s="850" t="s">
        <v>132</v>
      </c>
      <c r="B33" s="851">
        <v>138</v>
      </c>
      <c r="C33" s="851">
        <v>287</v>
      </c>
      <c r="D33" s="851">
        <v>278</v>
      </c>
      <c r="E33" s="851">
        <v>147</v>
      </c>
      <c r="F33" s="851">
        <v>92</v>
      </c>
      <c r="G33" s="852"/>
      <c r="H33" s="853">
        <v>149</v>
      </c>
      <c r="I33" s="851">
        <v>295</v>
      </c>
      <c r="J33" s="851">
        <v>242</v>
      </c>
      <c r="K33" s="851">
        <v>146</v>
      </c>
      <c r="L33" s="852">
        <v>82</v>
      </c>
      <c r="M33" s="854">
        <v>279</v>
      </c>
      <c r="N33" s="851">
        <v>114</v>
      </c>
      <c r="O33" s="851">
        <v>213</v>
      </c>
      <c r="P33" s="851">
        <v>117</v>
      </c>
      <c r="Q33" s="855">
        <v>83</v>
      </c>
      <c r="R33" s="853">
        <v>105</v>
      </c>
      <c r="S33" s="851">
        <v>377</v>
      </c>
      <c r="T33" s="851">
        <v>348</v>
      </c>
      <c r="U33" s="851">
        <v>119</v>
      </c>
      <c r="V33" s="852">
        <v>115</v>
      </c>
      <c r="W33" s="854">
        <v>138</v>
      </c>
      <c r="X33" s="851">
        <v>212</v>
      </c>
      <c r="Y33" s="851">
        <v>356</v>
      </c>
      <c r="Z33" s="851">
        <v>160</v>
      </c>
      <c r="AA33" s="855">
        <v>87</v>
      </c>
      <c r="AB33" s="853">
        <v>156</v>
      </c>
      <c r="AC33" s="851">
        <v>114</v>
      </c>
      <c r="AD33" s="851">
        <v>377</v>
      </c>
      <c r="AE33" s="851">
        <v>129</v>
      </c>
      <c r="AF33" s="855">
        <v>105</v>
      </c>
      <c r="AG33" s="856">
        <v>275</v>
      </c>
      <c r="AH33" s="34">
        <v>105</v>
      </c>
      <c r="AI33" s="34">
        <v>377</v>
      </c>
      <c r="AJ33" s="34">
        <v>129</v>
      </c>
      <c r="AK33" s="34">
        <v>97</v>
      </c>
      <c r="AL33" s="856">
        <v>164</v>
      </c>
      <c r="AM33" s="34">
        <v>82</v>
      </c>
      <c r="AN33" s="34">
        <v>385</v>
      </c>
      <c r="AO33" s="34">
        <v>159</v>
      </c>
      <c r="AP33" s="1036">
        <v>104</v>
      </c>
      <c r="AQ33" s="860" t="s">
        <v>692</v>
      </c>
      <c r="AU33" s="842"/>
      <c r="AV33" s="842"/>
      <c r="AW33" s="842"/>
      <c r="AX33" s="842"/>
      <c r="AY33" s="842"/>
      <c r="AZ33" s="842"/>
      <c r="BA33" s="842"/>
      <c r="BB33" s="842"/>
    </row>
    <row r="34" spans="1:64" s="844" customFormat="1">
      <c r="A34" s="861" t="s">
        <v>102</v>
      </c>
      <c r="B34" s="862">
        <v>214</v>
      </c>
      <c r="C34" s="862">
        <v>527</v>
      </c>
      <c r="D34" s="862">
        <v>571</v>
      </c>
      <c r="E34" s="862">
        <v>389</v>
      </c>
      <c r="F34" s="862">
        <v>194</v>
      </c>
      <c r="G34" s="863"/>
      <c r="H34" s="864">
        <v>244</v>
      </c>
      <c r="I34" s="862">
        <v>390</v>
      </c>
      <c r="J34" s="862">
        <v>428</v>
      </c>
      <c r="K34" s="862">
        <v>283</v>
      </c>
      <c r="L34" s="863">
        <v>178</v>
      </c>
      <c r="M34" s="865">
        <v>497</v>
      </c>
      <c r="N34" s="862">
        <v>185</v>
      </c>
      <c r="O34" s="862">
        <v>499</v>
      </c>
      <c r="P34" s="862">
        <v>286</v>
      </c>
      <c r="Q34" s="866">
        <v>201</v>
      </c>
      <c r="R34" s="864">
        <v>138</v>
      </c>
      <c r="S34" s="862">
        <v>560</v>
      </c>
      <c r="T34" s="862">
        <v>715</v>
      </c>
      <c r="U34" s="862">
        <v>332</v>
      </c>
      <c r="V34" s="863">
        <v>232</v>
      </c>
      <c r="W34" s="865">
        <v>250</v>
      </c>
      <c r="X34" s="862">
        <v>362</v>
      </c>
      <c r="Y34" s="862">
        <v>750</v>
      </c>
      <c r="Z34" s="862">
        <v>297</v>
      </c>
      <c r="AA34" s="866">
        <v>206</v>
      </c>
      <c r="AB34" s="864">
        <v>451</v>
      </c>
      <c r="AC34" s="862">
        <v>342</v>
      </c>
      <c r="AD34" s="862">
        <v>836</v>
      </c>
      <c r="AE34" s="862">
        <v>299</v>
      </c>
      <c r="AF34" s="866">
        <v>192</v>
      </c>
      <c r="AG34" s="867">
        <v>333</v>
      </c>
      <c r="AH34" s="868">
        <v>336</v>
      </c>
      <c r="AI34" s="868">
        <v>783</v>
      </c>
      <c r="AJ34" s="868">
        <v>283</v>
      </c>
      <c r="AK34" s="868">
        <v>179</v>
      </c>
      <c r="AL34" s="867">
        <v>259</v>
      </c>
      <c r="AM34" s="868">
        <v>338</v>
      </c>
      <c r="AN34" s="868">
        <v>791</v>
      </c>
      <c r="AO34" s="868">
        <v>266</v>
      </c>
      <c r="AP34" s="1037">
        <v>203</v>
      </c>
      <c r="AQ34" s="869" t="s">
        <v>693</v>
      </c>
      <c r="AU34" s="842"/>
      <c r="AV34" s="842"/>
      <c r="AW34" s="842"/>
      <c r="AX34" s="842"/>
      <c r="AY34" s="842"/>
      <c r="AZ34" s="842"/>
      <c r="BA34" s="842"/>
      <c r="BB34" s="842"/>
    </row>
    <row r="35" spans="1:64" ht="15">
      <c r="A35" s="870" t="s">
        <v>353</v>
      </c>
      <c r="B35" s="871"/>
      <c r="C35" s="871"/>
      <c r="D35" s="871"/>
      <c r="E35" s="871"/>
      <c r="F35" s="871"/>
      <c r="G35" s="871"/>
      <c r="H35" s="871"/>
      <c r="I35" s="871"/>
      <c r="J35" s="871"/>
      <c r="K35" s="871"/>
      <c r="L35" s="871"/>
      <c r="M35" s="871"/>
      <c r="N35" s="871"/>
      <c r="O35" s="871"/>
      <c r="P35" s="871"/>
      <c r="Q35" s="871"/>
      <c r="R35" s="871"/>
      <c r="S35" s="871"/>
      <c r="T35" s="871"/>
      <c r="U35" s="871"/>
      <c r="V35" s="871"/>
      <c r="W35" s="871"/>
      <c r="X35" s="871"/>
      <c r="Y35" s="871"/>
      <c r="Z35" s="871"/>
      <c r="AA35" s="871"/>
      <c r="AB35" s="871"/>
      <c r="AC35" s="871"/>
      <c r="AD35" s="871"/>
      <c r="AE35" s="871"/>
      <c r="AF35" s="871"/>
      <c r="AG35" s="871"/>
      <c r="AH35" s="871"/>
      <c r="AI35" s="871"/>
      <c r="AJ35" s="871"/>
      <c r="AK35" s="871"/>
      <c r="AL35" s="871"/>
      <c r="AM35" s="871"/>
      <c r="AN35" s="871"/>
      <c r="AO35" s="871"/>
      <c r="AP35" s="871"/>
      <c r="AQ35" s="224" t="s">
        <v>354</v>
      </c>
    </row>
    <row r="37" spans="1:64">
      <c r="BD37" s="875"/>
      <c r="BE37" s="819"/>
      <c r="BF37" s="815"/>
      <c r="BG37" s="815"/>
    </row>
    <row r="38" spans="1:64">
      <c r="BD38" s="875"/>
      <c r="BE38" s="854"/>
      <c r="BF38" s="851"/>
      <c r="BG38" s="851"/>
    </row>
    <row r="39" spans="1:64">
      <c r="BD39" s="875"/>
      <c r="BE39" s="854"/>
      <c r="BF39" s="851"/>
      <c r="BG39" s="851"/>
    </row>
    <row r="40" spans="1:64">
      <c r="BD40" s="875"/>
      <c r="BE40" s="854"/>
      <c r="BF40" s="851"/>
      <c r="BG40" s="851"/>
    </row>
    <row r="41" spans="1:64">
      <c r="BD41" s="875"/>
      <c r="BE41" s="854"/>
      <c r="BF41" s="851"/>
      <c r="BG41" s="851"/>
    </row>
    <row r="42" spans="1:64">
      <c r="BD42" s="875"/>
      <c r="BE42" s="854"/>
      <c r="BF42" s="851"/>
      <c r="BG42" s="851"/>
    </row>
    <row r="43" spans="1:64">
      <c r="BD43" s="875"/>
      <c r="BE43" s="854"/>
      <c r="BF43" s="851"/>
      <c r="BG43" s="851"/>
    </row>
    <row r="44" spans="1:64">
      <c r="BD44" s="875"/>
      <c r="BE44" s="854"/>
      <c r="BF44" s="851"/>
      <c r="BG44" s="851"/>
    </row>
    <row r="45" spans="1:64">
      <c r="BD45" s="875"/>
      <c r="BE45" s="854"/>
      <c r="BF45" s="851"/>
      <c r="BG45" s="851"/>
    </row>
    <row r="46" spans="1:64">
      <c r="BD46" s="875"/>
      <c r="BE46" s="854"/>
      <c r="BF46" s="851"/>
      <c r="BG46" s="851"/>
    </row>
    <row r="47" spans="1:64">
      <c r="BC47" s="879"/>
      <c r="BD47" s="1031"/>
      <c r="BE47" s="1032"/>
      <c r="BF47" s="1033"/>
      <c r="BG47" s="1033"/>
      <c r="BH47" s="879"/>
      <c r="BI47" s="879"/>
      <c r="BJ47" s="879"/>
      <c r="BK47" s="879"/>
    </row>
    <row r="48" spans="1:64">
      <c r="BB48" s="1029"/>
      <c r="BC48" s="811"/>
      <c r="BD48" s="1034"/>
      <c r="BE48" s="34"/>
      <c r="BF48" s="34"/>
      <c r="BG48" s="34"/>
      <c r="BH48" s="811"/>
      <c r="BI48" s="811"/>
      <c r="BJ48" s="811"/>
      <c r="BK48" s="811"/>
      <c r="BL48" s="1030"/>
    </row>
    <row r="49" spans="2:64">
      <c r="BB49" s="1029"/>
      <c r="BC49" s="811"/>
      <c r="BD49" s="1034"/>
      <c r="BE49" s="34"/>
      <c r="BF49" s="34"/>
      <c r="BG49" s="34"/>
      <c r="BH49" s="811"/>
      <c r="BI49" s="811"/>
      <c r="BJ49" s="811"/>
      <c r="BK49" s="811"/>
      <c r="BL49" s="1030"/>
    </row>
    <row r="50" spans="2:64" ht="12.75">
      <c r="B50" s="872"/>
      <c r="C50" s="872"/>
      <c r="D50" s="872"/>
      <c r="E50" s="872"/>
      <c r="F50" s="872"/>
      <c r="G50" s="872"/>
      <c r="H50" s="872"/>
      <c r="I50" s="872"/>
      <c r="J50" s="872"/>
      <c r="K50" s="872"/>
      <c r="L50" s="872"/>
      <c r="M50" s="872"/>
      <c r="N50" s="872"/>
      <c r="O50" s="872"/>
      <c r="P50" s="872"/>
      <c r="Q50" s="872"/>
      <c r="R50" s="872"/>
      <c r="S50" s="872"/>
      <c r="T50" s="872"/>
      <c r="U50" s="872"/>
      <c r="V50" s="872"/>
      <c r="W50" s="872"/>
      <c r="X50" s="872"/>
      <c r="Y50" s="872"/>
      <c r="Z50" s="872"/>
      <c r="AA50" s="872"/>
      <c r="AB50" s="872"/>
      <c r="AC50" s="872"/>
      <c r="AD50" s="872"/>
      <c r="AE50" s="872"/>
      <c r="AF50" s="872"/>
      <c r="AG50" s="872"/>
      <c r="AH50" s="872"/>
      <c r="AI50" s="872"/>
      <c r="AJ50" s="872"/>
      <c r="AK50" s="872"/>
      <c r="AL50" s="872"/>
      <c r="AM50" s="872"/>
      <c r="AN50" s="872"/>
      <c r="AO50" s="872"/>
      <c r="AP50" s="872"/>
      <c r="AQ50" s="872"/>
      <c r="BB50" s="1029"/>
      <c r="BC50" s="811"/>
      <c r="BD50" s="1034"/>
      <c r="BE50" s="34"/>
      <c r="BF50" s="34"/>
      <c r="BG50" s="34"/>
      <c r="BH50" s="811"/>
      <c r="BI50" s="811"/>
      <c r="BJ50" s="811"/>
      <c r="BK50" s="811"/>
      <c r="BL50" s="1030"/>
    </row>
    <row r="51" spans="2:64" ht="12.75">
      <c r="B51" s="872"/>
      <c r="C51" s="872"/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872"/>
      <c r="O51" s="872"/>
      <c r="P51" s="872"/>
      <c r="Q51" s="872"/>
      <c r="R51" s="872"/>
      <c r="S51" s="872"/>
      <c r="T51" s="872"/>
      <c r="U51" s="872"/>
      <c r="V51" s="872"/>
      <c r="W51" s="872"/>
      <c r="X51" s="872"/>
      <c r="Y51" s="872"/>
      <c r="Z51" s="872"/>
      <c r="AA51" s="872"/>
      <c r="AB51" s="872"/>
      <c r="AC51" s="872"/>
      <c r="AD51" s="872"/>
      <c r="AE51" s="872"/>
      <c r="AF51" s="872"/>
      <c r="AG51" s="872"/>
      <c r="AH51" s="872"/>
      <c r="AI51" s="872"/>
      <c r="AJ51" s="872"/>
      <c r="AK51" s="872"/>
      <c r="AL51" s="872"/>
      <c r="AM51" s="872"/>
      <c r="AN51" s="872"/>
      <c r="AO51" s="872"/>
      <c r="AP51" s="872"/>
      <c r="AQ51" s="872"/>
      <c r="BB51" s="1029"/>
      <c r="BC51" s="811"/>
      <c r="BD51" s="1034"/>
      <c r="BE51" s="34"/>
      <c r="BF51" s="34"/>
      <c r="BG51" s="34"/>
      <c r="BH51" s="811"/>
      <c r="BI51" s="811"/>
      <c r="BJ51" s="811"/>
      <c r="BK51" s="811"/>
      <c r="BL51" s="1030"/>
    </row>
    <row r="52" spans="2:64" ht="12.75">
      <c r="B52" s="872"/>
      <c r="C52" s="872"/>
      <c r="D52" s="872"/>
      <c r="E52" s="872"/>
      <c r="F52" s="872"/>
      <c r="G52" s="872"/>
      <c r="H52" s="872"/>
      <c r="I52" s="872"/>
      <c r="J52" s="872"/>
      <c r="K52" s="872"/>
      <c r="L52" s="872"/>
      <c r="M52" s="872"/>
      <c r="N52" s="872"/>
      <c r="O52" s="872"/>
      <c r="P52" s="872"/>
      <c r="Q52" s="872"/>
      <c r="R52" s="872"/>
      <c r="S52" s="872"/>
      <c r="T52" s="872"/>
      <c r="U52" s="872"/>
      <c r="V52" s="872"/>
      <c r="W52" s="872"/>
      <c r="X52" s="872"/>
      <c r="Y52" s="872"/>
      <c r="Z52" s="872"/>
      <c r="AA52" s="872"/>
      <c r="AB52" s="872"/>
      <c r="AC52" s="872"/>
      <c r="AD52" s="872"/>
      <c r="AE52" s="872"/>
      <c r="AF52" s="872"/>
      <c r="AG52" s="872"/>
      <c r="AH52" s="872"/>
      <c r="AI52" s="872"/>
      <c r="AJ52" s="872"/>
      <c r="AK52" s="872"/>
      <c r="AL52" s="872"/>
      <c r="AM52" s="872"/>
      <c r="AN52" s="872"/>
      <c r="AO52" s="872"/>
      <c r="AP52" s="872"/>
      <c r="AQ52" s="872"/>
      <c r="BB52" s="1029"/>
      <c r="BC52" s="811"/>
      <c r="BD52" s="1034"/>
      <c r="BE52" s="34"/>
      <c r="BF52" s="34"/>
      <c r="BG52" s="34"/>
      <c r="BH52" s="811"/>
      <c r="BI52" s="811"/>
      <c r="BJ52" s="811"/>
      <c r="BK52" s="811"/>
      <c r="BL52" s="1030"/>
    </row>
    <row r="53" spans="2:64" ht="12.75">
      <c r="B53" s="872"/>
      <c r="C53" s="872"/>
      <c r="D53" s="872"/>
      <c r="E53" s="872"/>
      <c r="F53" s="872"/>
      <c r="G53" s="872"/>
      <c r="H53" s="872"/>
      <c r="I53" s="872"/>
      <c r="J53" s="872"/>
      <c r="K53" s="872"/>
      <c r="L53" s="872"/>
      <c r="M53" s="872"/>
      <c r="N53" s="872"/>
      <c r="O53" s="872"/>
      <c r="P53" s="872"/>
      <c r="Q53" s="872"/>
      <c r="R53" s="872"/>
      <c r="S53" s="872"/>
      <c r="T53" s="872"/>
      <c r="U53" s="872"/>
      <c r="V53" s="872"/>
      <c r="W53" s="872"/>
      <c r="X53" s="872"/>
      <c r="Y53" s="872"/>
      <c r="Z53" s="872"/>
      <c r="AA53" s="872"/>
      <c r="AB53" s="872"/>
      <c r="AC53" s="872"/>
      <c r="AD53" s="872"/>
      <c r="AE53" s="872"/>
      <c r="AF53" s="872"/>
      <c r="AG53" s="872"/>
      <c r="AH53" s="872"/>
      <c r="AI53" s="872"/>
      <c r="AJ53" s="872"/>
      <c r="AK53" s="872"/>
      <c r="AL53" s="872"/>
      <c r="AM53" s="872"/>
      <c r="AN53" s="872"/>
      <c r="AO53" s="872"/>
      <c r="AP53" s="872"/>
      <c r="AQ53" s="872"/>
      <c r="BB53" s="1029"/>
      <c r="BC53" s="811"/>
      <c r="BD53" s="1034"/>
      <c r="BE53" s="34"/>
      <c r="BF53" s="34"/>
      <c r="BG53" s="34"/>
      <c r="BH53" s="811"/>
      <c r="BI53" s="811"/>
      <c r="BJ53" s="811"/>
      <c r="BK53" s="811"/>
      <c r="BL53" s="1030"/>
    </row>
    <row r="54" spans="2:64" ht="12.75">
      <c r="B54" s="872"/>
      <c r="C54" s="872"/>
      <c r="D54" s="872"/>
      <c r="E54" s="872"/>
      <c r="F54" s="872"/>
      <c r="G54" s="872"/>
      <c r="H54" s="872"/>
      <c r="I54" s="872"/>
      <c r="J54" s="872"/>
      <c r="K54" s="872"/>
      <c r="L54" s="872"/>
      <c r="M54" s="872"/>
      <c r="N54" s="872"/>
      <c r="O54" s="872"/>
      <c r="P54" s="872"/>
      <c r="Q54" s="872"/>
      <c r="R54" s="872"/>
      <c r="S54" s="872"/>
      <c r="T54" s="872"/>
      <c r="U54" s="872"/>
      <c r="V54" s="872"/>
      <c r="W54" s="872"/>
      <c r="X54" s="872"/>
      <c r="Y54" s="872"/>
      <c r="Z54" s="872"/>
      <c r="AA54" s="872"/>
      <c r="AB54" s="872"/>
      <c r="AC54" s="872"/>
      <c r="AD54" s="872"/>
      <c r="AE54" s="872"/>
      <c r="AF54" s="872"/>
      <c r="AG54" s="872"/>
      <c r="AH54" s="872"/>
      <c r="AI54" s="872"/>
      <c r="AJ54" s="872"/>
      <c r="AK54" s="872"/>
      <c r="AL54" s="872"/>
      <c r="AM54" s="872"/>
      <c r="AN54" s="872"/>
      <c r="AO54" s="872"/>
      <c r="AP54" s="872"/>
      <c r="AQ54" s="872"/>
      <c r="BB54" s="1029"/>
      <c r="BC54" s="811"/>
      <c r="BD54" s="1034"/>
      <c r="BE54" s="34"/>
      <c r="BF54" s="34"/>
      <c r="BG54" s="34"/>
      <c r="BH54" s="811"/>
      <c r="BI54" s="811"/>
      <c r="BJ54" s="811"/>
      <c r="BK54" s="811"/>
      <c r="BL54" s="1030"/>
    </row>
    <row r="55" spans="2:64" ht="12.75">
      <c r="B55" s="872"/>
      <c r="C55" s="872"/>
      <c r="D55" s="872"/>
      <c r="E55" s="872"/>
      <c r="F55" s="872"/>
      <c r="G55" s="872"/>
      <c r="H55" s="872"/>
      <c r="I55" s="872"/>
      <c r="J55" s="872"/>
      <c r="K55" s="872"/>
      <c r="L55" s="872"/>
      <c r="M55" s="872"/>
      <c r="N55" s="872"/>
      <c r="O55" s="872"/>
      <c r="P55" s="872"/>
      <c r="Q55" s="872"/>
      <c r="R55" s="872"/>
      <c r="S55" s="872"/>
      <c r="T55" s="872"/>
      <c r="U55" s="872"/>
      <c r="V55" s="872"/>
      <c r="W55" s="872"/>
      <c r="X55" s="872"/>
      <c r="Y55" s="872"/>
      <c r="Z55" s="872"/>
      <c r="AA55" s="872"/>
      <c r="AB55" s="872"/>
      <c r="AC55" s="872"/>
      <c r="AD55" s="872"/>
      <c r="AE55" s="872"/>
      <c r="AF55" s="872"/>
      <c r="AG55" s="872"/>
      <c r="AH55" s="872"/>
      <c r="AI55" s="872"/>
      <c r="AJ55" s="872"/>
      <c r="AK55" s="872"/>
      <c r="AL55" s="872"/>
      <c r="AM55" s="872"/>
      <c r="AN55" s="872"/>
      <c r="AO55" s="872"/>
      <c r="AP55" s="872"/>
      <c r="AQ55" s="872"/>
      <c r="BB55" s="1029"/>
      <c r="BC55" s="811"/>
      <c r="BD55" s="1034"/>
      <c r="BE55" s="34"/>
      <c r="BF55" s="34"/>
      <c r="BG55" s="34"/>
      <c r="BH55" s="811"/>
      <c r="BI55" s="811"/>
      <c r="BJ55" s="811"/>
      <c r="BK55" s="811"/>
      <c r="BL55" s="1030"/>
    </row>
    <row r="56" spans="2:64" ht="12.75">
      <c r="B56" s="872"/>
      <c r="C56" s="872"/>
      <c r="D56" s="872"/>
      <c r="E56" s="872"/>
      <c r="F56" s="872"/>
      <c r="G56" s="872"/>
      <c r="H56" s="872"/>
      <c r="I56" s="872"/>
      <c r="J56" s="872"/>
      <c r="K56" s="872"/>
      <c r="L56" s="872"/>
      <c r="M56" s="872"/>
      <c r="N56" s="872"/>
      <c r="O56" s="872"/>
      <c r="P56" s="872"/>
      <c r="Q56" s="872"/>
      <c r="R56" s="872"/>
      <c r="S56" s="872"/>
      <c r="T56" s="872"/>
      <c r="U56" s="872"/>
      <c r="V56" s="872"/>
      <c r="W56" s="872"/>
      <c r="X56" s="872"/>
      <c r="Y56" s="872"/>
      <c r="Z56" s="872"/>
      <c r="AA56" s="872"/>
      <c r="AB56" s="872"/>
      <c r="AC56" s="872"/>
      <c r="AD56" s="872"/>
      <c r="AE56" s="872"/>
      <c r="AF56" s="872"/>
      <c r="AG56" s="872"/>
      <c r="AH56" s="872"/>
      <c r="AI56" s="872"/>
      <c r="AJ56" s="872"/>
      <c r="AK56" s="872"/>
      <c r="AL56" s="872"/>
      <c r="AM56" s="872"/>
      <c r="AN56" s="872"/>
      <c r="AO56" s="872"/>
      <c r="AP56" s="872"/>
      <c r="AQ56" s="872"/>
      <c r="BB56" s="1029"/>
      <c r="BC56" s="811"/>
      <c r="BD56" s="1034"/>
      <c r="BE56" s="34"/>
      <c r="BF56" s="34"/>
      <c r="BG56" s="34"/>
      <c r="BH56" s="811"/>
      <c r="BI56" s="811"/>
      <c r="BJ56" s="811"/>
      <c r="BK56" s="811"/>
      <c r="BL56" s="1030"/>
    </row>
    <row r="57" spans="2:64" ht="12.75">
      <c r="B57" s="872"/>
      <c r="C57" s="872"/>
      <c r="D57" s="872"/>
      <c r="E57" s="872"/>
      <c r="F57" s="872"/>
      <c r="G57" s="872"/>
      <c r="H57" s="872"/>
      <c r="I57" s="872"/>
      <c r="J57" s="872"/>
      <c r="K57" s="872"/>
      <c r="L57" s="872"/>
      <c r="M57" s="872"/>
      <c r="N57" s="872"/>
      <c r="O57" s="872"/>
      <c r="P57" s="872"/>
      <c r="Q57" s="872"/>
      <c r="R57" s="872"/>
      <c r="S57" s="872"/>
      <c r="T57" s="872"/>
      <c r="U57" s="872"/>
      <c r="V57" s="872"/>
      <c r="W57" s="872"/>
      <c r="X57" s="872"/>
      <c r="Y57" s="872"/>
      <c r="Z57" s="872"/>
      <c r="AA57" s="872"/>
      <c r="AB57" s="872"/>
      <c r="AC57" s="872"/>
      <c r="AD57" s="872"/>
      <c r="AE57" s="872"/>
      <c r="AF57" s="872"/>
      <c r="AG57" s="872"/>
      <c r="AH57" s="872"/>
      <c r="AI57" s="872"/>
      <c r="AJ57" s="872"/>
      <c r="AK57" s="872"/>
      <c r="AL57" s="872"/>
      <c r="AM57" s="872"/>
      <c r="AN57" s="872"/>
      <c r="AO57" s="872"/>
      <c r="AP57" s="872"/>
      <c r="AQ57" s="872"/>
      <c r="BB57" s="1029"/>
      <c r="BC57" s="811"/>
      <c r="BD57" s="1034"/>
      <c r="BE57" s="34"/>
      <c r="BF57" s="34"/>
      <c r="BG57" s="34"/>
      <c r="BH57" s="811"/>
      <c r="BI57" s="811"/>
      <c r="BJ57" s="811"/>
      <c r="BK57" s="811"/>
      <c r="BL57" s="1030"/>
    </row>
    <row r="58" spans="2:64" ht="12.75">
      <c r="B58" s="872"/>
      <c r="C58" s="872"/>
      <c r="D58" s="872"/>
      <c r="E58" s="872"/>
      <c r="F58" s="872"/>
      <c r="G58" s="872"/>
      <c r="H58" s="872"/>
      <c r="I58" s="872"/>
      <c r="J58" s="872"/>
      <c r="K58" s="872"/>
      <c r="L58" s="872"/>
      <c r="M58" s="872"/>
      <c r="N58" s="872"/>
      <c r="O58" s="872"/>
      <c r="P58" s="872"/>
      <c r="Q58" s="872"/>
      <c r="R58" s="872"/>
      <c r="S58" s="872"/>
      <c r="T58" s="872"/>
      <c r="U58" s="872"/>
      <c r="V58" s="872"/>
      <c r="W58" s="872"/>
      <c r="X58" s="872"/>
      <c r="Y58" s="872"/>
      <c r="Z58" s="872"/>
      <c r="AA58" s="872"/>
      <c r="AB58" s="872"/>
      <c r="AC58" s="872"/>
      <c r="AD58" s="872"/>
      <c r="AE58" s="872"/>
      <c r="AF58" s="872"/>
      <c r="AG58" s="872"/>
      <c r="AH58" s="872"/>
      <c r="AI58" s="872"/>
      <c r="AJ58" s="872"/>
      <c r="AK58" s="872"/>
      <c r="AL58" s="872"/>
      <c r="AM58" s="872"/>
      <c r="AN58" s="872"/>
      <c r="AO58" s="872"/>
      <c r="AP58" s="872"/>
      <c r="AQ58" s="872"/>
      <c r="BB58" s="1029"/>
      <c r="BC58" s="811"/>
      <c r="BD58" s="1035"/>
      <c r="BE58" s="283"/>
      <c r="BF58" s="283"/>
      <c r="BG58" s="283"/>
      <c r="BH58" s="811"/>
      <c r="BI58" s="811"/>
      <c r="BJ58" s="811"/>
      <c r="BK58" s="811"/>
      <c r="BL58" s="1030"/>
    </row>
    <row r="59" spans="2:64">
      <c r="BB59" s="1029"/>
      <c r="BC59" s="811"/>
      <c r="BD59" s="811"/>
      <c r="BE59" s="811"/>
      <c r="BF59" s="811"/>
      <c r="BG59" s="811"/>
      <c r="BH59" s="811"/>
      <c r="BI59" s="811"/>
      <c r="BJ59" s="811"/>
      <c r="BK59" s="811"/>
      <c r="BL59" s="1030"/>
    </row>
    <row r="60" spans="2:64">
      <c r="BB60" s="1029"/>
      <c r="BC60" s="811"/>
      <c r="BD60" s="811"/>
      <c r="BE60" s="811"/>
      <c r="BF60" s="811"/>
      <c r="BG60" s="811"/>
      <c r="BH60" s="811"/>
      <c r="BI60" s="811"/>
      <c r="BJ60" s="811"/>
      <c r="BK60" s="811"/>
      <c r="BL60" s="1030"/>
    </row>
    <row r="61" spans="2:64">
      <c r="BB61" s="1029"/>
      <c r="BC61" s="811"/>
      <c r="BD61" s="811"/>
      <c r="BE61" s="811"/>
      <c r="BF61" s="811"/>
      <c r="BG61" s="811"/>
      <c r="BH61" s="811"/>
      <c r="BI61" s="811"/>
      <c r="BJ61" s="811"/>
      <c r="BK61" s="811"/>
      <c r="BL61" s="1030"/>
    </row>
    <row r="62" spans="2:64" ht="24.75" customHeight="1">
      <c r="BB62" s="1029"/>
      <c r="BC62" s="811"/>
      <c r="BD62" s="811"/>
      <c r="BE62" s="811"/>
      <c r="BF62" s="811"/>
      <c r="BG62" s="811"/>
      <c r="BH62" s="811"/>
      <c r="BI62" s="811"/>
      <c r="BJ62" s="811"/>
      <c r="BK62" s="811"/>
      <c r="BL62" s="1030"/>
    </row>
    <row r="63" spans="2:64">
      <c r="BB63" s="1029"/>
      <c r="BC63" s="811"/>
      <c r="BD63" s="811"/>
      <c r="BE63" s="811"/>
      <c r="BF63" s="811"/>
      <c r="BG63" s="811"/>
      <c r="BH63" s="811"/>
      <c r="BI63" s="811"/>
      <c r="BJ63" s="811"/>
      <c r="BK63" s="811"/>
      <c r="BL63" s="1030"/>
    </row>
    <row r="64" spans="2:64">
      <c r="BB64" s="1029"/>
      <c r="BC64" s="811"/>
      <c r="BD64" s="811"/>
      <c r="BE64" s="811"/>
      <c r="BF64" s="811"/>
      <c r="BG64" s="811"/>
      <c r="BH64" s="811"/>
      <c r="BI64" s="811"/>
      <c r="BJ64" s="811"/>
      <c r="BK64" s="811"/>
      <c r="BL64" s="1030"/>
    </row>
    <row r="65" spans="2:64">
      <c r="BB65" s="1029"/>
      <c r="BC65" s="811"/>
      <c r="BD65" s="811"/>
      <c r="BE65" s="811"/>
      <c r="BF65" s="811"/>
      <c r="BG65" s="811"/>
      <c r="BH65" s="811"/>
      <c r="BI65" s="811"/>
      <c r="BJ65" s="811"/>
      <c r="BK65" s="811"/>
      <c r="BL65" s="1030"/>
    </row>
    <row r="66" spans="2:64">
      <c r="BB66" s="1029"/>
      <c r="BC66" s="811"/>
      <c r="BD66" s="811"/>
      <c r="BE66" s="811"/>
      <c r="BF66" s="811"/>
      <c r="BG66" s="811"/>
      <c r="BH66" s="811"/>
      <c r="BI66" s="811"/>
      <c r="BJ66" s="811"/>
      <c r="BK66" s="811"/>
      <c r="BL66" s="1030"/>
    </row>
    <row r="67" spans="2:64">
      <c r="BB67" s="1029"/>
      <c r="BC67" s="811"/>
      <c r="BD67" s="811"/>
      <c r="BE67" s="811"/>
      <c r="BF67" s="811"/>
      <c r="BG67" s="811"/>
      <c r="BH67" s="811"/>
      <c r="BI67" s="811"/>
      <c r="BJ67" s="811"/>
      <c r="BK67" s="811"/>
      <c r="BL67" s="1030"/>
    </row>
    <row r="68" spans="2:64">
      <c r="BC68" s="886"/>
      <c r="BD68" s="886"/>
      <c r="BE68" s="886"/>
      <c r="BF68" s="886"/>
      <c r="BG68" s="886"/>
      <c r="BH68" s="886"/>
      <c r="BI68" s="886"/>
      <c r="BJ68" s="886"/>
      <c r="BK68" s="886"/>
    </row>
    <row r="70" spans="2:64" ht="61.5">
      <c r="B70" s="872"/>
      <c r="C70" s="872"/>
      <c r="D70" s="872"/>
      <c r="E70" s="872"/>
      <c r="F70" s="872"/>
      <c r="G70" s="872"/>
      <c r="H70" s="872"/>
      <c r="I70" s="872"/>
      <c r="J70" s="872"/>
      <c r="K70" s="872"/>
      <c r="L70" s="872"/>
      <c r="M70" s="872"/>
      <c r="N70" s="876"/>
      <c r="O70" s="877"/>
      <c r="P70" s="877"/>
      <c r="Q70" s="877"/>
      <c r="R70" s="877"/>
      <c r="S70" s="877"/>
      <c r="T70" s="877"/>
      <c r="U70" s="877"/>
      <c r="V70" s="877"/>
      <c r="W70" s="877"/>
      <c r="X70" s="877"/>
      <c r="Y70" s="877"/>
      <c r="Z70" s="877"/>
      <c r="AA70" s="877"/>
      <c r="AB70" s="877"/>
      <c r="AC70" s="877"/>
      <c r="AD70" s="877"/>
      <c r="AE70" s="877"/>
      <c r="AF70" s="877"/>
      <c r="AG70" s="877"/>
      <c r="AH70" s="877"/>
      <c r="AI70" s="877"/>
      <c r="AJ70" s="877"/>
      <c r="AK70" s="877"/>
      <c r="AL70" s="877"/>
      <c r="AM70" s="877"/>
      <c r="AN70" s="877"/>
      <c r="AO70" s="877"/>
      <c r="AP70" s="877"/>
      <c r="AQ70" s="877"/>
      <c r="AR70" s="877"/>
      <c r="AS70" s="878"/>
    </row>
    <row r="71" spans="2:64" s="879" customFormat="1" ht="36.75" customHeight="1">
      <c r="N71" s="880"/>
      <c r="O71" s="881"/>
      <c r="P71" s="881"/>
      <c r="Q71" s="881"/>
      <c r="R71" s="881"/>
      <c r="S71" s="881"/>
      <c r="T71" s="881"/>
      <c r="U71" s="881"/>
      <c r="V71" s="881"/>
      <c r="W71" s="881"/>
      <c r="X71" s="881"/>
      <c r="Y71" s="881"/>
      <c r="Z71" s="881"/>
      <c r="AA71" s="881"/>
      <c r="AB71" s="881"/>
      <c r="AC71" s="881"/>
      <c r="AD71" s="881"/>
      <c r="AE71" s="881"/>
      <c r="AF71" s="881"/>
      <c r="AG71" s="881"/>
      <c r="AH71" s="881"/>
      <c r="AI71" s="881"/>
      <c r="AJ71" s="881"/>
      <c r="AK71" s="881"/>
      <c r="AL71" s="881"/>
      <c r="AM71" s="881"/>
      <c r="AN71" s="881"/>
      <c r="AO71" s="881"/>
      <c r="AP71" s="881"/>
      <c r="AQ71" s="881"/>
      <c r="AR71" s="881"/>
      <c r="AS71" s="882"/>
    </row>
    <row r="72" spans="2:64" s="811" customFormat="1" ht="61.5">
      <c r="N72" s="881"/>
      <c r="O72" s="881"/>
      <c r="P72" s="881"/>
      <c r="Q72" s="881"/>
      <c r="R72" s="881"/>
      <c r="S72" s="881"/>
      <c r="T72" s="881"/>
      <c r="U72" s="881"/>
      <c r="V72" s="881"/>
      <c r="W72" s="881"/>
      <c r="X72" s="881"/>
      <c r="Y72" s="881"/>
      <c r="Z72" s="881"/>
      <c r="AA72" s="881"/>
      <c r="AB72" s="881"/>
      <c r="AC72" s="881"/>
      <c r="AD72" s="881"/>
      <c r="AE72" s="881"/>
      <c r="AF72" s="881"/>
      <c r="AG72" s="881"/>
      <c r="AH72" s="881"/>
      <c r="AI72" s="881"/>
      <c r="AJ72" s="881"/>
      <c r="AK72" s="881"/>
      <c r="AL72" s="881"/>
      <c r="AM72" s="881"/>
      <c r="AN72" s="881"/>
      <c r="AO72" s="881"/>
      <c r="AP72" s="881"/>
      <c r="AQ72" s="881"/>
      <c r="AR72" s="881"/>
      <c r="AS72" s="881"/>
    </row>
    <row r="73" spans="2:64" s="811" customFormat="1" ht="61.5">
      <c r="R73" s="881"/>
      <c r="S73" s="881"/>
      <c r="T73" s="881"/>
      <c r="U73" s="881"/>
      <c r="V73" s="881"/>
      <c r="W73" s="881"/>
      <c r="X73" s="881"/>
      <c r="Y73" s="881"/>
      <c r="Z73" s="881"/>
      <c r="AA73" s="881"/>
      <c r="AB73" s="881"/>
      <c r="AC73" s="881"/>
      <c r="AD73" s="881"/>
      <c r="AE73" s="881"/>
      <c r="AF73" s="881"/>
      <c r="AG73" s="881"/>
      <c r="AH73" s="881"/>
      <c r="AI73" s="881"/>
      <c r="AJ73" s="881"/>
      <c r="AK73" s="881"/>
      <c r="AL73" s="881"/>
      <c r="AM73" s="881"/>
      <c r="AN73" s="881"/>
      <c r="AO73" s="881"/>
      <c r="AP73" s="881"/>
      <c r="AQ73" s="881"/>
      <c r="AR73" s="881"/>
      <c r="AS73" s="881"/>
      <c r="AT73" s="881"/>
      <c r="AU73" s="881"/>
      <c r="AV73" s="881"/>
      <c r="AW73" s="881"/>
    </row>
    <row r="74" spans="2:64" s="811" customFormat="1" ht="61.5">
      <c r="R74" s="881"/>
      <c r="S74" s="881"/>
      <c r="T74" s="881"/>
      <c r="U74" s="881"/>
      <c r="V74" s="881"/>
      <c r="W74" s="881"/>
      <c r="X74" s="881"/>
      <c r="Y74" s="881"/>
      <c r="Z74" s="881"/>
      <c r="AA74" s="881"/>
      <c r="AB74" s="881"/>
      <c r="AC74" s="881"/>
      <c r="AD74" s="881"/>
      <c r="AE74" s="881"/>
      <c r="AF74" s="881"/>
      <c r="AG74" s="881"/>
      <c r="AH74" s="881"/>
      <c r="AI74" s="881"/>
      <c r="AJ74" s="881"/>
      <c r="AK74" s="881"/>
      <c r="AL74" s="881"/>
      <c r="AM74" s="881"/>
      <c r="AN74" s="881"/>
      <c r="AO74" s="881"/>
      <c r="AP74" s="881"/>
      <c r="AQ74" s="881"/>
      <c r="AR74" s="881"/>
      <c r="AS74" s="881"/>
      <c r="AT74" s="881"/>
      <c r="AU74" s="881"/>
      <c r="AV74" s="881"/>
      <c r="AW74" s="881"/>
    </row>
    <row r="75" spans="2:64" s="811" customFormat="1" ht="61.5">
      <c r="R75" s="881"/>
      <c r="S75" s="881"/>
      <c r="T75" s="881"/>
      <c r="U75" s="881"/>
      <c r="V75" s="881"/>
      <c r="W75" s="881"/>
      <c r="X75" s="881"/>
      <c r="Y75" s="881"/>
      <c r="Z75" s="881"/>
      <c r="AA75" s="881"/>
      <c r="AB75" s="881"/>
      <c r="AC75" s="881"/>
      <c r="AD75" s="881"/>
      <c r="AE75" s="881"/>
      <c r="AF75" s="881"/>
      <c r="AG75" s="881"/>
      <c r="AH75" s="881"/>
      <c r="AI75" s="881"/>
      <c r="AJ75" s="881"/>
      <c r="AK75" s="881"/>
      <c r="AL75" s="881"/>
      <c r="AM75" s="881"/>
      <c r="AN75" s="881"/>
      <c r="AO75" s="881"/>
      <c r="AP75" s="881"/>
      <c r="AQ75" s="881"/>
      <c r="AR75" s="881"/>
      <c r="AS75" s="881"/>
      <c r="AT75" s="881"/>
      <c r="AU75" s="881"/>
      <c r="AV75" s="881"/>
      <c r="AW75" s="881"/>
    </row>
    <row r="76" spans="2:64" s="811" customFormat="1" ht="61.5">
      <c r="N76" s="881"/>
      <c r="O76" s="881"/>
      <c r="P76" s="881"/>
      <c r="Q76" s="881"/>
      <c r="R76" s="881"/>
      <c r="S76" s="881"/>
      <c r="T76" s="881"/>
      <c r="U76" s="881"/>
      <c r="V76" s="881"/>
      <c r="W76" s="881"/>
      <c r="X76" s="881"/>
      <c r="Y76" s="881"/>
      <c r="Z76" s="881"/>
      <c r="AA76" s="881"/>
      <c r="AB76" s="881"/>
      <c r="AC76" s="881"/>
      <c r="AD76" s="881"/>
      <c r="AE76" s="881"/>
      <c r="AF76" s="881"/>
      <c r="AG76" s="881"/>
      <c r="AH76" s="881"/>
      <c r="AI76" s="881"/>
      <c r="AJ76" s="881"/>
      <c r="AK76" s="881"/>
      <c r="AL76" s="881"/>
      <c r="AM76" s="881"/>
      <c r="AN76" s="881"/>
      <c r="AO76" s="881"/>
      <c r="AP76" s="881"/>
      <c r="AQ76" s="881"/>
      <c r="AR76" s="881"/>
      <c r="AS76" s="881"/>
    </row>
    <row r="77" spans="2:64" s="811" customFormat="1" ht="61.5">
      <c r="N77" s="881"/>
      <c r="O77" s="881"/>
      <c r="P77" s="881"/>
      <c r="Q77" s="881"/>
      <c r="R77" s="881"/>
      <c r="S77" s="881"/>
      <c r="T77" s="881"/>
      <c r="U77" s="881"/>
      <c r="V77" s="881"/>
      <c r="W77" s="881"/>
      <c r="X77" s="881"/>
      <c r="Y77" s="881"/>
      <c r="Z77" s="881"/>
      <c r="AA77" s="881"/>
      <c r="AB77" s="881"/>
      <c r="AC77" s="881"/>
      <c r="AD77" s="881"/>
      <c r="AE77" s="881"/>
      <c r="AF77" s="881"/>
      <c r="AG77" s="881"/>
      <c r="AH77" s="881"/>
      <c r="AI77" s="881"/>
      <c r="AJ77" s="881"/>
      <c r="AK77" s="881"/>
      <c r="AL77" s="881"/>
      <c r="AM77" s="881"/>
      <c r="AN77" s="881"/>
      <c r="AO77" s="881"/>
      <c r="AP77" s="881"/>
      <c r="AQ77" s="881"/>
      <c r="AR77" s="881"/>
      <c r="AS77" s="881"/>
    </row>
    <row r="78" spans="2:64" s="811" customFormat="1">
      <c r="B78" s="883"/>
      <c r="C78" s="883"/>
      <c r="D78" s="883"/>
      <c r="E78" s="883"/>
      <c r="F78" s="883"/>
      <c r="G78" s="883"/>
      <c r="H78" s="883"/>
      <c r="I78" s="883"/>
      <c r="J78" s="883"/>
      <c r="K78" s="883"/>
      <c r="L78" s="883"/>
      <c r="M78" s="883"/>
      <c r="N78" s="883"/>
      <c r="O78" s="883"/>
      <c r="P78" s="883"/>
      <c r="Q78" s="883"/>
      <c r="R78" s="883"/>
      <c r="S78" s="883"/>
      <c r="T78" s="883"/>
      <c r="U78" s="883"/>
      <c r="V78" s="883"/>
      <c r="W78" s="883"/>
      <c r="X78" s="883"/>
      <c r="Y78" s="883"/>
      <c r="Z78" s="883"/>
      <c r="AA78" s="883"/>
      <c r="AB78" s="883"/>
      <c r="AC78" s="883"/>
      <c r="AD78" s="883"/>
      <c r="AE78" s="883"/>
      <c r="AF78" s="883"/>
      <c r="AG78" s="883"/>
      <c r="AH78" s="883"/>
      <c r="AI78" s="883"/>
      <c r="AJ78" s="883"/>
      <c r="AK78" s="883"/>
      <c r="AL78" s="883"/>
      <c r="AM78" s="883"/>
      <c r="AN78" s="883"/>
      <c r="AO78" s="883"/>
      <c r="AP78" s="883"/>
      <c r="AQ78" s="884"/>
    </row>
    <row r="79" spans="2:64" s="811" customFormat="1">
      <c r="B79" s="883"/>
      <c r="C79" s="883"/>
      <c r="D79" s="883"/>
      <c r="E79" s="883"/>
      <c r="F79" s="883"/>
      <c r="G79" s="883"/>
      <c r="H79" s="883"/>
      <c r="I79" s="883"/>
      <c r="J79" s="883"/>
      <c r="K79" s="883"/>
      <c r="L79" s="883"/>
      <c r="M79" s="883"/>
      <c r="N79" s="883"/>
      <c r="O79" s="883"/>
      <c r="P79" s="883"/>
      <c r="Q79" s="883"/>
      <c r="R79" s="883"/>
      <c r="S79" s="883"/>
      <c r="T79" s="883"/>
      <c r="U79" s="883"/>
      <c r="V79" s="883"/>
      <c r="W79" s="883"/>
      <c r="X79" s="883"/>
      <c r="Y79" s="883"/>
      <c r="Z79" s="883"/>
      <c r="AA79" s="883"/>
      <c r="AB79" s="883"/>
      <c r="AC79" s="883"/>
      <c r="AD79" s="883"/>
      <c r="AE79" s="883"/>
      <c r="AF79" s="883"/>
      <c r="AG79" s="883"/>
      <c r="AH79" s="883"/>
      <c r="AI79" s="883"/>
      <c r="AJ79" s="883"/>
      <c r="AK79" s="883"/>
      <c r="AL79" s="883"/>
      <c r="AM79" s="883"/>
      <c r="AN79" s="883"/>
      <c r="AO79" s="883"/>
      <c r="AP79" s="883"/>
      <c r="AQ79" s="884"/>
    </row>
    <row r="80" spans="2:64" s="811" customFormat="1">
      <c r="B80" s="883"/>
      <c r="C80" s="883"/>
      <c r="D80" s="883"/>
      <c r="E80" s="883"/>
      <c r="F80" s="883"/>
      <c r="G80" s="883"/>
      <c r="H80" s="883"/>
      <c r="I80" s="883"/>
      <c r="J80" s="883"/>
      <c r="K80" s="883"/>
      <c r="L80" s="883"/>
      <c r="M80" s="883"/>
      <c r="N80" s="883"/>
      <c r="O80" s="883"/>
      <c r="P80" s="883"/>
      <c r="Q80" s="883"/>
      <c r="R80" s="883"/>
      <c r="S80" s="883"/>
      <c r="T80" s="883"/>
      <c r="U80" s="883"/>
      <c r="V80" s="883"/>
      <c r="W80" s="883"/>
      <c r="X80" s="883"/>
      <c r="Y80" s="883"/>
      <c r="Z80" s="883"/>
      <c r="AA80" s="883"/>
      <c r="AB80" s="883"/>
      <c r="AC80" s="883"/>
      <c r="AD80" s="883"/>
      <c r="AE80" s="883"/>
      <c r="AF80" s="883"/>
      <c r="AG80" s="883"/>
      <c r="AH80" s="883"/>
      <c r="AI80" s="883"/>
      <c r="AJ80" s="883"/>
      <c r="AK80" s="883"/>
      <c r="AL80" s="883"/>
      <c r="AM80" s="883"/>
      <c r="AN80" s="883"/>
      <c r="AO80" s="883"/>
      <c r="AP80" s="883"/>
      <c r="AQ80" s="884"/>
    </row>
    <row r="81" spans="2:43" s="811" customFormat="1">
      <c r="B81" s="883"/>
      <c r="C81" s="883"/>
      <c r="D81" s="883"/>
      <c r="E81" s="883"/>
      <c r="F81" s="883"/>
      <c r="G81" s="883"/>
      <c r="H81" s="883"/>
      <c r="I81" s="883"/>
      <c r="J81" s="883"/>
      <c r="K81" s="883"/>
      <c r="L81" s="883"/>
      <c r="M81" s="883"/>
      <c r="N81" s="883"/>
      <c r="O81" s="883"/>
      <c r="P81" s="883"/>
      <c r="Q81" s="883"/>
      <c r="R81" s="883"/>
      <c r="S81" s="883"/>
      <c r="T81" s="883"/>
      <c r="U81" s="883"/>
      <c r="V81" s="883"/>
      <c r="W81" s="883"/>
      <c r="X81" s="883"/>
      <c r="Y81" s="883"/>
      <c r="Z81" s="883"/>
      <c r="AA81" s="883"/>
      <c r="AB81" s="883"/>
      <c r="AC81" s="883"/>
      <c r="AD81" s="883"/>
      <c r="AE81" s="883"/>
      <c r="AF81" s="883"/>
      <c r="AG81" s="883"/>
      <c r="AH81" s="883"/>
      <c r="AI81" s="883"/>
      <c r="AJ81" s="883"/>
      <c r="AK81" s="883"/>
      <c r="AL81" s="883"/>
      <c r="AM81" s="883"/>
      <c r="AN81" s="883"/>
      <c r="AO81" s="883"/>
      <c r="AP81" s="883"/>
      <c r="AQ81" s="884"/>
    </row>
    <row r="82" spans="2:43" s="811" customFormat="1">
      <c r="B82" s="883"/>
      <c r="C82" s="883"/>
      <c r="D82" s="883"/>
      <c r="E82" s="883"/>
      <c r="F82" s="883"/>
      <c r="G82" s="883"/>
      <c r="H82" s="883"/>
      <c r="I82" s="883"/>
      <c r="J82" s="883"/>
      <c r="K82" s="883"/>
      <c r="L82" s="883"/>
      <c r="M82" s="883"/>
      <c r="N82" s="883"/>
      <c r="O82" s="883"/>
      <c r="P82" s="883"/>
      <c r="Q82" s="883"/>
      <c r="R82" s="883"/>
      <c r="S82" s="883"/>
      <c r="T82" s="883"/>
      <c r="U82" s="883"/>
      <c r="V82" s="883"/>
      <c r="W82" s="883"/>
      <c r="X82" s="883"/>
      <c r="Y82" s="883"/>
      <c r="Z82" s="883"/>
      <c r="AA82" s="883"/>
      <c r="AB82" s="883"/>
      <c r="AC82" s="883"/>
      <c r="AD82" s="883"/>
      <c r="AE82" s="883"/>
      <c r="AF82" s="883"/>
      <c r="AG82" s="883"/>
      <c r="AH82" s="883"/>
      <c r="AI82" s="883"/>
      <c r="AJ82" s="883"/>
      <c r="AK82" s="883"/>
      <c r="AL82" s="883"/>
      <c r="AM82" s="883"/>
      <c r="AN82" s="883"/>
      <c r="AO82" s="883"/>
      <c r="AP82" s="883"/>
      <c r="AQ82" s="884"/>
    </row>
    <row r="83" spans="2:43" s="811" customFormat="1">
      <c r="B83" s="883"/>
      <c r="C83" s="883"/>
      <c r="D83" s="883"/>
      <c r="E83" s="883"/>
      <c r="F83" s="883"/>
      <c r="G83" s="883"/>
      <c r="H83" s="883"/>
      <c r="I83" s="883"/>
      <c r="J83" s="883"/>
      <c r="K83" s="883"/>
      <c r="L83" s="883"/>
      <c r="M83" s="883"/>
      <c r="N83" s="883"/>
      <c r="O83" s="883"/>
      <c r="P83" s="883"/>
      <c r="Q83" s="883"/>
      <c r="R83" s="883"/>
      <c r="S83" s="883"/>
      <c r="T83" s="883"/>
      <c r="U83" s="883"/>
      <c r="V83" s="883"/>
      <c r="W83" s="883"/>
      <c r="X83" s="883"/>
      <c r="Y83" s="883"/>
      <c r="Z83" s="883"/>
      <c r="AA83" s="883"/>
      <c r="AB83" s="883"/>
      <c r="AC83" s="883"/>
      <c r="AD83" s="883"/>
      <c r="AE83" s="883"/>
      <c r="AF83" s="883"/>
      <c r="AG83" s="883"/>
      <c r="AH83" s="883"/>
      <c r="AI83" s="883"/>
      <c r="AJ83" s="883"/>
      <c r="AK83" s="883"/>
      <c r="AL83" s="883"/>
      <c r="AM83" s="883"/>
      <c r="AN83" s="883"/>
      <c r="AO83" s="883"/>
      <c r="AP83" s="883"/>
      <c r="AQ83" s="884"/>
    </row>
    <row r="84" spans="2:43" s="811" customFormat="1">
      <c r="B84" s="883"/>
      <c r="C84" s="883"/>
      <c r="D84" s="883"/>
      <c r="E84" s="883"/>
      <c r="F84" s="883"/>
      <c r="G84" s="883"/>
      <c r="H84" s="883"/>
      <c r="I84" s="883"/>
      <c r="J84" s="883"/>
      <c r="K84" s="883"/>
      <c r="L84" s="883"/>
      <c r="M84" s="883"/>
      <c r="N84" s="883"/>
      <c r="O84" s="883"/>
      <c r="P84" s="883"/>
      <c r="Q84" s="883"/>
      <c r="R84" s="883"/>
      <c r="S84" s="883"/>
      <c r="T84" s="883"/>
      <c r="U84" s="883"/>
      <c r="V84" s="883"/>
      <c r="W84" s="883"/>
      <c r="X84" s="883"/>
      <c r="Y84" s="883"/>
      <c r="Z84" s="883"/>
      <c r="AA84" s="883"/>
      <c r="AB84" s="883"/>
      <c r="AC84" s="883"/>
      <c r="AD84" s="883"/>
      <c r="AE84" s="883"/>
      <c r="AF84" s="883"/>
      <c r="AG84" s="883"/>
      <c r="AH84" s="883"/>
      <c r="AI84" s="883"/>
      <c r="AJ84" s="883"/>
      <c r="AK84" s="883"/>
      <c r="AL84" s="883"/>
      <c r="AM84" s="883"/>
      <c r="AN84" s="883"/>
      <c r="AO84" s="883"/>
      <c r="AP84" s="883"/>
      <c r="AQ84" s="884"/>
    </row>
    <row r="85" spans="2:43" s="811" customFormat="1">
      <c r="B85" s="883"/>
      <c r="C85" s="883"/>
      <c r="D85" s="883"/>
      <c r="E85" s="883"/>
      <c r="F85" s="883"/>
      <c r="G85" s="883"/>
      <c r="H85" s="883"/>
      <c r="I85" s="883"/>
      <c r="J85" s="883"/>
      <c r="K85" s="883"/>
      <c r="L85" s="883"/>
      <c r="M85" s="883"/>
      <c r="N85" s="883"/>
      <c r="O85" s="883"/>
      <c r="P85" s="883"/>
      <c r="Q85" s="883"/>
      <c r="R85" s="883"/>
      <c r="S85" s="883"/>
      <c r="T85" s="883"/>
      <c r="U85" s="883"/>
      <c r="V85" s="883"/>
      <c r="W85" s="883"/>
      <c r="X85" s="883"/>
      <c r="Y85" s="883"/>
      <c r="Z85" s="883"/>
      <c r="AA85" s="883"/>
      <c r="AB85" s="883"/>
      <c r="AC85" s="883"/>
      <c r="AD85" s="883"/>
      <c r="AE85" s="883"/>
      <c r="AF85" s="883"/>
      <c r="AG85" s="883"/>
      <c r="AH85" s="883"/>
      <c r="AI85" s="883"/>
      <c r="AJ85" s="883"/>
      <c r="AK85" s="883"/>
      <c r="AL85" s="883"/>
      <c r="AM85" s="883"/>
      <c r="AN85" s="883"/>
      <c r="AO85" s="883"/>
      <c r="AP85" s="883"/>
      <c r="AQ85" s="884"/>
    </row>
    <row r="86" spans="2:43" s="886" customFormat="1">
      <c r="B86" s="871"/>
      <c r="C86" s="871"/>
      <c r="D86" s="871"/>
      <c r="E86" s="871"/>
      <c r="F86" s="871"/>
      <c r="G86" s="871"/>
      <c r="H86" s="871"/>
      <c r="I86" s="871"/>
      <c r="J86" s="871"/>
      <c r="K86" s="871"/>
      <c r="L86" s="871"/>
      <c r="M86" s="871"/>
      <c r="N86" s="871"/>
      <c r="O86" s="871"/>
      <c r="P86" s="871"/>
      <c r="Q86" s="871"/>
      <c r="R86" s="871"/>
      <c r="S86" s="871"/>
      <c r="T86" s="871"/>
      <c r="U86" s="871"/>
      <c r="V86" s="871"/>
      <c r="W86" s="871"/>
      <c r="X86" s="871"/>
      <c r="Y86" s="871"/>
      <c r="Z86" s="871"/>
      <c r="AA86" s="871"/>
      <c r="AB86" s="871"/>
      <c r="AC86" s="871"/>
      <c r="AD86" s="871"/>
      <c r="AE86" s="871"/>
      <c r="AF86" s="871"/>
      <c r="AG86" s="871"/>
      <c r="AH86" s="871"/>
      <c r="AI86" s="871"/>
      <c r="AJ86" s="871"/>
      <c r="AK86" s="871"/>
      <c r="AL86" s="871"/>
      <c r="AM86" s="871"/>
      <c r="AN86" s="871"/>
      <c r="AO86" s="871"/>
      <c r="AP86" s="871"/>
      <c r="AQ86" s="885"/>
    </row>
  </sheetData>
  <mergeCells count="14">
    <mergeCell ref="AL3:AP3"/>
    <mergeCell ref="AQ3:AQ5"/>
    <mergeCell ref="BE5:BH5"/>
    <mergeCell ref="BI5:BL5"/>
    <mergeCell ref="A1:AQ1"/>
    <mergeCell ref="A2:AQ2"/>
    <mergeCell ref="A3:A5"/>
    <mergeCell ref="B3:F3"/>
    <mergeCell ref="H3:L3"/>
    <mergeCell ref="M3:Q3"/>
    <mergeCell ref="R3:V3"/>
    <mergeCell ref="W3:AA3"/>
    <mergeCell ref="AB3:AF3"/>
    <mergeCell ref="AG3:AK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G9" sqref="G9"/>
    </sheetView>
  </sheetViews>
  <sheetFormatPr defaultColWidth="21.5703125" defaultRowHeight="15"/>
  <cols>
    <col min="1" max="1" width="44.42578125" style="169" customWidth="1"/>
    <col min="2" max="3" width="21.5703125" style="169"/>
    <col min="4" max="4" width="42.7109375" style="169" customWidth="1"/>
    <col min="5" max="16384" width="21.5703125" style="169"/>
  </cols>
  <sheetData>
    <row r="1" spans="1:4" s="887" customFormat="1" ht="21">
      <c r="A1" s="1289" t="s">
        <v>793</v>
      </c>
      <c r="B1" s="1290"/>
      <c r="C1" s="1290"/>
      <c r="D1" s="1291"/>
    </row>
    <row r="2" spans="1:4" s="888" customFormat="1">
      <c r="A2" s="1292" t="s">
        <v>794</v>
      </c>
      <c r="B2" s="1293"/>
      <c r="C2" s="1293"/>
      <c r="D2" s="1294"/>
    </row>
    <row r="3" spans="1:4" s="892" customFormat="1" ht="17.25">
      <c r="A3" s="889" t="s">
        <v>694</v>
      </c>
      <c r="B3" s="890">
        <v>2017</v>
      </c>
      <c r="C3" s="890">
        <v>2018</v>
      </c>
      <c r="D3" s="891" t="s">
        <v>200</v>
      </c>
    </row>
    <row r="4" spans="1:4" s="892" customFormat="1" ht="17.25">
      <c r="A4" s="893" t="s">
        <v>8</v>
      </c>
      <c r="B4" s="894" t="s">
        <v>349</v>
      </c>
      <c r="C4" s="894" t="s">
        <v>349</v>
      </c>
      <c r="D4" s="895" t="s">
        <v>141</v>
      </c>
    </row>
    <row r="5" spans="1:4" s="892" customFormat="1" ht="21">
      <c r="A5" s="896" t="s">
        <v>695</v>
      </c>
      <c r="B5" s="897">
        <v>799</v>
      </c>
      <c r="C5" s="897">
        <v>513</v>
      </c>
      <c r="D5" s="898" t="s">
        <v>11</v>
      </c>
    </row>
    <row r="6" spans="1:4" s="892" customFormat="1" ht="21">
      <c r="A6" s="899" t="s">
        <v>696</v>
      </c>
      <c r="B6" s="897">
        <v>668</v>
      </c>
      <c r="C6" s="897">
        <v>408</v>
      </c>
      <c r="D6" s="898" t="s">
        <v>202</v>
      </c>
    </row>
    <row r="7" spans="1:4" s="892" customFormat="1" ht="21">
      <c r="A7" s="899" t="s">
        <v>14</v>
      </c>
      <c r="B7" s="897">
        <v>316</v>
      </c>
      <c r="C7" s="897">
        <v>193</v>
      </c>
      <c r="D7" s="898" t="s">
        <v>20</v>
      </c>
    </row>
    <row r="8" spans="1:4" s="892" customFormat="1" ht="21">
      <c r="A8" s="899" t="s">
        <v>697</v>
      </c>
      <c r="B8" s="897">
        <v>201</v>
      </c>
      <c r="C8" s="897">
        <v>171</v>
      </c>
      <c r="D8" s="898" t="s">
        <v>698</v>
      </c>
    </row>
    <row r="9" spans="1:4" s="892" customFormat="1" ht="42">
      <c r="A9" s="899" t="s">
        <v>53</v>
      </c>
      <c r="B9" s="897">
        <v>171</v>
      </c>
      <c r="C9" s="897">
        <v>117</v>
      </c>
      <c r="D9" s="900" t="s">
        <v>699</v>
      </c>
    </row>
    <row r="10" spans="1:4" s="892" customFormat="1" ht="21">
      <c r="A10" s="896" t="s">
        <v>700</v>
      </c>
      <c r="B10" s="897">
        <v>127</v>
      </c>
      <c r="C10" s="897">
        <v>59</v>
      </c>
      <c r="D10" s="901" t="s">
        <v>701</v>
      </c>
    </row>
    <row r="11" spans="1:4" s="892" customFormat="1" ht="21">
      <c r="A11" s="899" t="s">
        <v>702</v>
      </c>
      <c r="B11" s="897">
        <v>124</v>
      </c>
      <c r="C11" s="897">
        <v>74</v>
      </c>
      <c r="D11" s="901" t="s">
        <v>703</v>
      </c>
    </row>
    <row r="12" spans="1:4" s="892" customFormat="1" ht="42">
      <c r="A12" s="896" t="s">
        <v>704</v>
      </c>
      <c r="B12" s="897">
        <v>112</v>
      </c>
      <c r="C12" s="897">
        <v>66</v>
      </c>
      <c r="D12" s="900" t="s">
        <v>705</v>
      </c>
    </row>
    <row r="13" spans="1:4" s="892" customFormat="1" ht="21">
      <c r="A13" s="899" t="s">
        <v>706</v>
      </c>
      <c r="B13" s="897">
        <v>87</v>
      </c>
      <c r="C13" s="897">
        <v>45</v>
      </c>
      <c r="D13" s="898" t="s">
        <v>707</v>
      </c>
    </row>
    <row r="14" spans="1:4" s="892" customFormat="1" ht="42">
      <c r="A14" s="902" t="s">
        <v>708</v>
      </c>
      <c r="B14" s="903">
        <v>76</v>
      </c>
      <c r="C14" s="903">
        <v>52</v>
      </c>
      <c r="D14" s="904" t="s">
        <v>709</v>
      </c>
    </row>
    <row r="15" spans="1:4" s="892" customFormat="1">
      <c r="A15" s="905" t="s">
        <v>353</v>
      </c>
      <c r="B15" s="906"/>
      <c r="C15" s="906"/>
      <c r="D15" s="907" t="s">
        <v>354</v>
      </c>
    </row>
    <row r="16" spans="1:4">
      <c r="A16" s="908"/>
      <c r="B16" s="269"/>
      <c r="C16" s="269"/>
      <c r="D16" s="269"/>
    </row>
    <row r="17" spans="1:4">
      <c r="A17" s="269"/>
      <c r="B17" s="269"/>
      <c r="C17" s="269"/>
      <c r="D17" s="269"/>
    </row>
  </sheetData>
  <mergeCells count="2">
    <mergeCell ref="A1:D1"/>
    <mergeCell ref="A2:D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sqref="A1:XFD1048576"/>
    </sheetView>
  </sheetViews>
  <sheetFormatPr defaultColWidth="9.140625" defaultRowHeight="15"/>
  <cols>
    <col min="1" max="1" width="48.5703125" style="169" customWidth="1"/>
    <col min="2" max="2" width="7.140625" style="169" customWidth="1"/>
    <col min="3" max="3" width="10.28515625" style="169" customWidth="1"/>
    <col min="4" max="4" width="45.28515625" style="169" customWidth="1"/>
    <col min="5" max="16384" width="9.140625" style="169"/>
  </cols>
  <sheetData>
    <row r="1" spans="1:4" s="887" customFormat="1" ht="21">
      <c r="A1" s="1289" t="s">
        <v>796</v>
      </c>
      <c r="B1" s="1290"/>
      <c r="C1" s="1290"/>
      <c r="D1" s="1291"/>
    </row>
    <row r="2" spans="1:4" s="888" customFormat="1">
      <c r="A2" s="1292" t="s">
        <v>795</v>
      </c>
      <c r="B2" s="1293"/>
      <c r="C2" s="1293"/>
      <c r="D2" s="1294"/>
    </row>
    <row r="3" spans="1:4" s="892" customFormat="1" ht="17.25">
      <c r="A3" s="889" t="s">
        <v>694</v>
      </c>
      <c r="B3" s="890">
        <v>2017</v>
      </c>
      <c r="C3" s="890">
        <v>2018</v>
      </c>
      <c r="D3" s="891" t="s">
        <v>200</v>
      </c>
    </row>
    <row r="4" spans="1:4" s="892" customFormat="1" ht="17.25">
      <c r="A4" s="893" t="s">
        <v>8</v>
      </c>
      <c r="B4" s="909" t="s">
        <v>349</v>
      </c>
      <c r="C4" s="909" t="s">
        <v>349</v>
      </c>
      <c r="D4" s="895" t="s">
        <v>141</v>
      </c>
    </row>
    <row r="5" spans="1:4" s="892" customFormat="1" ht="18.75">
      <c r="A5" s="910" t="s">
        <v>710</v>
      </c>
      <c r="B5" s="911">
        <v>615</v>
      </c>
      <c r="C5" s="911">
        <v>715</v>
      </c>
      <c r="D5" s="912" t="s">
        <v>711</v>
      </c>
    </row>
    <row r="6" spans="1:4" s="892" customFormat="1" ht="18.75">
      <c r="A6" s="913" t="s">
        <v>712</v>
      </c>
      <c r="B6" s="911">
        <v>599</v>
      </c>
      <c r="C6" s="911">
        <v>151</v>
      </c>
      <c r="D6" s="912" t="s">
        <v>713</v>
      </c>
    </row>
    <row r="7" spans="1:4" s="892" customFormat="1" ht="18.75">
      <c r="A7" s="913" t="s">
        <v>714</v>
      </c>
      <c r="B7" s="911">
        <v>539</v>
      </c>
      <c r="C7" s="911">
        <v>719</v>
      </c>
      <c r="D7" s="912" t="s">
        <v>715</v>
      </c>
    </row>
    <row r="8" spans="1:4" s="892" customFormat="1" ht="18.75">
      <c r="A8" s="913" t="s">
        <v>716</v>
      </c>
      <c r="B8" s="911">
        <v>467</v>
      </c>
      <c r="C8" s="911">
        <v>400</v>
      </c>
      <c r="D8" s="912" t="s">
        <v>717</v>
      </c>
    </row>
    <row r="9" spans="1:4" s="892" customFormat="1" ht="18.75">
      <c r="A9" s="913" t="s">
        <v>718</v>
      </c>
      <c r="B9" s="911">
        <v>353</v>
      </c>
      <c r="C9" s="911">
        <v>639</v>
      </c>
      <c r="D9" s="914" t="s">
        <v>719</v>
      </c>
    </row>
    <row r="10" spans="1:4" s="892" customFormat="1" ht="18.75">
      <c r="A10" s="910" t="s">
        <v>720</v>
      </c>
      <c r="B10" s="911">
        <v>312</v>
      </c>
      <c r="C10" s="911">
        <v>335</v>
      </c>
      <c r="D10" s="915" t="s">
        <v>721</v>
      </c>
    </row>
    <row r="11" spans="1:4" s="892" customFormat="1" ht="18.75">
      <c r="A11" s="913" t="s">
        <v>722</v>
      </c>
      <c r="B11" s="911">
        <v>270</v>
      </c>
      <c r="C11" s="911">
        <v>796</v>
      </c>
      <c r="D11" s="915" t="s">
        <v>723</v>
      </c>
    </row>
    <row r="12" spans="1:4" s="892" customFormat="1" ht="18.75">
      <c r="A12" s="910" t="s">
        <v>724</v>
      </c>
      <c r="B12" s="911">
        <v>252</v>
      </c>
      <c r="C12" s="911">
        <v>266</v>
      </c>
      <c r="D12" s="914" t="s">
        <v>725</v>
      </c>
    </row>
    <row r="13" spans="1:4" s="892" customFormat="1" ht="18.75">
      <c r="A13" s="916" t="s">
        <v>726</v>
      </c>
      <c r="B13" s="911">
        <v>228</v>
      </c>
      <c r="C13" s="911">
        <v>288</v>
      </c>
      <c r="D13" s="917" t="s">
        <v>727</v>
      </c>
    </row>
    <row r="14" spans="1:4" ht="18.75">
      <c r="A14" s="918" t="s">
        <v>728</v>
      </c>
      <c r="B14" s="911">
        <v>220</v>
      </c>
      <c r="C14" s="911">
        <v>162</v>
      </c>
      <c r="D14" s="919" t="s">
        <v>729</v>
      </c>
    </row>
    <row r="15" spans="1:4" s="892" customFormat="1" ht="18.75">
      <c r="A15" s="920" t="s">
        <v>730</v>
      </c>
      <c r="B15" s="921">
        <v>205</v>
      </c>
      <c r="C15" s="921">
        <v>362</v>
      </c>
      <c r="D15" s="922" t="s">
        <v>731</v>
      </c>
    </row>
    <row r="16" spans="1:4">
      <c r="A16" s="905" t="s">
        <v>353</v>
      </c>
      <c r="B16" s="906"/>
      <c r="C16" s="906"/>
      <c r="D16" s="907" t="s">
        <v>354</v>
      </c>
    </row>
    <row r="17" spans="1:4">
      <c r="A17" s="269"/>
      <c r="B17" s="269"/>
      <c r="C17" s="269"/>
      <c r="D17" s="269"/>
    </row>
    <row r="18" spans="1:4">
      <c r="A18" s="269"/>
      <c r="B18" s="269"/>
      <c r="C18" s="269"/>
      <c r="D18" s="269"/>
    </row>
  </sheetData>
  <mergeCells count="2">
    <mergeCell ref="A1:D1"/>
    <mergeCell ref="A2:D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2"/>
  <sheetViews>
    <sheetView workbookViewId="0">
      <selection activeCell="H6" sqref="H6"/>
    </sheetView>
  </sheetViews>
  <sheetFormatPr defaultColWidth="9.140625" defaultRowHeight="21"/>
  <cols>
    <col min="1" max="1" width="35.42578125" style="269" bestFit="1" customWidth="1"/>
    <col min="2" max="3" width="20.5703125" style="269" hidden="1" customWidth="1"/>
    <col min="4" max="8" width="11.7109375" style="269" customWidth="1"/>
    <col min="9" max="9" width="31.85546875" style="1059" customWidth="1"/>
    <col min="10" max="10" width="4.140625" style="269" customWidth="1"/>
    <col min="11" max="11" width="17.42578125" style="269" customWidth="1"/>
    <col min="12" max="12" width="6.42578125" style="269" customWidth="1"/>
    <col min="13" max="13" width="3.42578125" style="269" customWidth="1"/>
    <col min="14" max="20" width="9.140625" style="269"/>
    <col min="21" max="22" width="9.140625" style="269" customWidth="1"/>
    <col min="23" max="16384" width="9.140625" style="269"/>
  </cols>
  <sheetData>
    <row r="1" spans="1:13" s="1039" customFormat="1">
      <c r="A1" s="1295" t="s">
        <v>797</v>
      </c>
      <c r="B1" s="1295"/>
      <c r="C1" s="1295"/>
      <c r="D1" s="1295"/>
      <c r="E1" s="1295"/>
      <c r="F1" s="1295"/>
      <c r="G1" s="1295"/>
      <c r="H1" s="1295"/>
      <c r="I1" s="1295"/>
      <c r="J1" s="1038"/>
      <c r="K1" s="1038"/>
      <c r="L1" s="1038"/>
      <c r="M1" s="1038"/>
    </row>
    <row r="2" spans="1:13" s="125" customFormat="1" ht="15">
      <c r="A2" s="1296" t="s">
        <v>798</v>
      </c>
      <c r="B2" s="1296"/>
      <c r="C2" s="1296"/>
      <c r="D2" s="1296"/>
      <c r="E2" s="1296"/>
      <c r="F2" s="1296"/>
      <c r="G2" s="1296"/>
      <c r="H2" s="1296"/>
      <c r="I2" s="1296"/>
      <c r="J2" s="1012"/>
      <c r="K2" s="1012"/>
      <c r="L2" s="1012"/>
      <c r="M2" s="1012"/>
    </row>
    <row r="3" spans="1:13" s="1040" customFormat="1">
      <c r="A3" s="1297" t="s">
        <v>799</v>
      </c>
      <c r="C3" s="1041"/>
      <c r="D3" s="1300" t="s">
        <v>800</v>
      </c>
      <c r="E3" s="1300"/>
      <c r="F3" s="1300"/>
      <c r="G3" s="1300"/>
      <c r="H3" s="1300"/>
      <c r="I3" s="1301" t="s">
        <v>801</v>
      </c>
      <c r="J3" s="1042"/>
      <c r="K3" s="1042"/>
      <c r="L3" s="1042"/>
      <c r="M3" s="1042"/>
    </row>
    <row r="4" spans="1:13" s="1040" customFormat="1" ht="15" customHeight="1">
      <c r="A4" s="1298"/>
      <c r="C4" s="1043"/>
      <c r="D4" s="1304" t="s">
        <v>802</v>
      </c>
      <c r="E4" s="1304"/>
      <c r="F4" s="1304"/>
      <c r="G4" s="1304"/>
      <c r="H4" s="1304"/>
      <c r="I4" s="1302"/>
      <c r="J4" s="1042"/>
      <c r="K4" s="1042"/>
      <c r="L4" s="1042"/>
      <c r="M4" s="1042"/>
    </row>
    <row r="5" spans="1:13" s="1045" customFormat="1" ht="15">
      <c r="A5" s="1299"/>
      <c r="B5" s="1044">
        <v>2012</v>
      </c>
      <c r="C5" s="1044">
        <v>2013</v>
      </c>
      <c r="D5" s="1044">
        <v>2014</v>
      </c>
      <c r="E5" s="1044">
        <v>2015</v>
      </c>
      <c r="F5" s="1044">
        <v>2016</v>
      </c>
      <c r="G5" s="1044">
        <v>2017</v>
      </c>
      <c r="H5" s="1044">
        <v>2018</v>
      </c>
      <c r="I5" s="1303"/>
    </row>
    <row r="6" spans="1:13" s="1042" customFormat="1" ht="19.5">
      <c r="A6" s="1060" t="s">
        <v>308</v>
      </c>
      <c r="B6" s="1046">
        <f t="shared" ref="B6:H6" si="0">B16+B7</f>
        <v>165</v>
      </c>
      <c r="C6" s="1046">
        <f t="shared" si="0"/>
        <v>184</v>
      </c>
      <c r="D6" s="1046">
        <f t="shared" si="0"/>
        <v>182</v>
      </c>
      <c r="E6" s="1046">
        <f t="shared" si="0"/>
        <v>183</v>
      </c>
      <c r="F6" s="1046">
        <f t="shared" si="0"/>
        <v>178</v>
      </c>
      <c r="G6" s="1046">
        <f t="shared" si="0"/>
        <v>181</v>
      </c>
      <c r="H6" s="1046">
        <f t="shared" si="0"/>
        <v>197</v>
      </c>
      <c r="I6" s="1047" t="s">
        <v>141</v>
      </c>
    </row>
    <row r="7" spans="1:13" ht="19.5">
      <c r="A7" s="1040" t="s">
        <v>803</v>
      </c>
      <c r="B7" s="1048">
        <f t="shared" ref="B7:G7" si="1">SUM(B8:B15)</f>
        <v>44</v>
      </c>
      <c r="C7" s="1048">
        <f t="shared" si="1"/>
        <v>52</v>
      </c>
      <c r="D7" s="1048">
        <f t="shared" si="1"/>
        <v>48</v>
      </c>
      <c r="E7" s="1048">
        <f t="shared" si="1"/>
        <v>50</v>
      </c>
      <c r="F7" s="1048">
        <f t="shared" si="1"/>
        <v>53</v>
      </c>
      <c r="G7" s="1048">
        <f t="shared" si="1"/>
        <v>53</v>
      </c>
      <c r="H7" s="1048">
        <f>SUM(H8:H15)</f>
        <v>60</v>
      </c>
      <c r="I7" s="1049" t="s">
        <v>804</v>
      </c>
    </row>
    <row r="8" spans="1:13" ht="19.5">
      <c r="A8" s="269" t="s">
        <v>805</v>
      </c>
      <c r="B8" s="1062">
        <v>7</v>
      </c>
      <c r="C8" s="1062">
        <v>7</v>
      </c>
      <c r="D8" s="1062">
        <v>5</v>
      </c>
      <c r="E8" s="1062">
        <v>5</v>
      </c>
      <c r="F8" s="1062">
        <v>5</v>
      </c>
      <c r="G8" s="1062">
        <v>5</v>
      </c>
      <c r="H8" s="1062">
        <v>5</v>
      </c>
      <c r="I8" s="1050" t="s">
        <v>806</v>
      </c>
    </row>
    <row r="9" spans="1:13" ht="19.5">
      <c r="A9" s="269" t="s">
        <v>807</v>
      </c>
      <c r="B9" s="1062">
        <v>9</v>
      </c>
      <c r="C9" s="1062">
        <v>9</v>
      </c>
      <c r="D9" s="1062">
        <v>8</v>
      </c>
      <c r="E9" s="1062">
        <v>8</v>
      </c>
      <c r="F9" s="1062">
        <v>7</v>
      </c>
      <c r="G9" s="1062">
        <v>7</v>
      </c>
      <c r="H9" s="1062">
        <v>9</v>
      </c>
      <c r="I9" s="1050" t="s">
        <v>808</v>
      </c>
    </row>
    <row r="10" spans="1:13" ht="19.5">
      <c r="A10" s="269" t="s">
        <v>368</v>
      </c>
      <c r="B10" s="1062">
        <v>7</v>
      </c>
      <c r="C10" s="1062">
        <v>9</v>
      </c>
      <c r="D10" s="1062">
        <v>8</v>
      </c>
      <c r="E10" s="1062">
        <v>11</v>
      </c>
      <c r="F10" s="1062">
        <v>13</v>
      </c>
      <c r="G10" s="1062">
        <v>13</v>
      </c>
      <c r="H10" s="1062">
        <v>16</v>
      </c>
      <c r="I10" s="1050" t="s">
        <v>671</v>
      </c>
    </row>
    <row r="11" spans="1:13" ht="19.5">
      <c r="A11" s="269" t="s">
        <v>369</v>
      </c>
      <c r="B11" s="1062">
        <v>7</v>
      </c>
      <c r="C11" s="1062">
        <v>9</v>
      </c>
      <c r="D11" s="1062">
        <v>8</v>
      </c>
      <c r="E11" s="1062">
        <v>7</v>
      </c>
      <c r="F11" s="1062">
        <v>7</v>
      </c>
      <c r="G11" s="1062">
        <v>5</v>
      </c>
      <c r="H11" s="1062">
        <v>6</v>
      </c>
      <c r="I11" s="1050" t="s">
        <v>809</v>
      </c>
    </row>
    <row r="12" spans="1:13" ht="19.5">
      <c r="A12" s="269" t="s">
        <v>370</v>
      </c>
      <c r="B12" s="1062">
        <v>5</v>
      </c>
      <c r="C12" s="1062">
        <v>8</v>
      </c>
      <c r="D12" s="1062">
        <v>8</v>
      </c>
      <c r="E12" s="1062">
        <v>8</v>
      </c>
      <c r="F12" s="1062">
        <v>10</v>
      </c>
      <c r="G12" s="1062">
        <v>11</v>
      </c>
      <c r="H12" s="1062">
        <v>11</v>
      </c>
      <c r="I12" s="1050" t="s">
        <v>810</v>
      </c>
    </row>
    <row r="13" spans="1:13" ht="19.5">
      <c r="A13" s="269" t="s">
        <v>371</v>
      </c>
      <c r="B13" s="1062">
        <v>2</v>
      </c>
      <c r="C13" s="1062">
        <v>2</v>
      </c>
      <c r="D13" s="1062">
        <v>3</v>
      </c>
      <c r="E13" s="1062">
        <v>3</v>
      </c>
      <c r="F13" s="1062">
        <v>3</v>
      </c>
      <c r="G13" s="1062">
        <v>4</v>
      </c>
      <c r="H13" s="1062">
        <v>4</v>
      </c>
      <c r="I13" s="1050" t="s">
        <v>667</v>
      </c>
    </row>
    <row r="14" spans="1:13" s="1040" customFormat="1" ht="19.5">
      <c r="A14" s="269" t="s">
        <v>336</v>
      </c>
      <c r="B14" s="1062">
        <v>5</v>
      </c>
      <c r="C14" s="1062">
        <v>5</v>
      </c>
      <c r="D14" s="1062">
        <v>5</v>
      </c>
      <c r="E14" s="1062">
        <v>5</v>
      </c>
      <c r="F14" s="1062">
        <v>5</v>
      </c>
      <c r="G14" s="1062">
        <v>5</v>
      </c>
      <c r="H14" s="1062">
        <v>6</v>
      </c>
      <c r="I14" s="1050" t="s">
        <v>811</v>
      </c>
      <c r="J14" s="269"/>
      <c r="K14" s="269"/>
      <c r="L14" s="269"/>
      <c r="M14" s="269"/>
    </row>
    <row r="15" spans="1:13" s="1040" customFormat="1" ht="19.5">
      <c r="A15" s="269" t="s">
        <v>812</v>
      </c>
      <c r="B15" s="1062">
        <v>2</v>
      </c>
      <c r="C15" s="1062">
        <v>3</v>
      </c>
      <c r="D15" s="1062">
        <v>3</v>
      </c>
      <c r="E15" s="1062">
        <v>3</v>
      </c>
      <c r="F15" s="1062">
        <v>3</v>
      </c>
      <c r="G15" s="1062">
        <v>3</v>
      </c>
      <c r="H15" s="1062">
        <v>3</v>
      </c>
      <c r="I15" s="1050" t="s">
        <v>813</v>
      </c>
      <c r="J15" s="269"/>
      <c r="K15" s="269"/>
      <c r="L15" s="269"/>
      <c r="M15" s="269"/>
    </row>
    <row r="16" spans="1:13" ht="19.5">
      <c r="A16" s="1040" t="s">
        <v>814</v>
      </c>
      <c r="B16" s="1048">
        <f t="shared" ref="B16:G16" si="2">B17+B32+B46+B60+B74+B90+B109+B119+B104+B128+B139+B145+B154+B160+B167+B181+B193+B203+B213+B215</f>
        <v>121</v>
      </c>
      <c r="C16" s="1048">
        <f t="shared" si="2"/>
        <v>132</v>
      </c>
      <c r="D16" s="1048">
        <f t="shared" si="2"/>
        <v>134</v>
      </c>
      <c r="E16" s="1048">
        <f t="shared" si="2"/>
        <v>133</v>
      </c>
      <c r="F16" s="1048">
        <f t="shared" si="2"/>
        <v>125</v>
      </c>
      <c r="G16" s="1048">
        <f t="shared" si="2"/>
        <v>128</v>
      </c>
      <c r="H16" s="1048">
        <f>H17+H32+H46+H60+H74+H90+H109+H119+H104+H128+H139+H145+H154+H160+H167+H181+H193+H203+H213+H215</f>
        <v>137</v>
      </c>
      <c r="I16" s="1051" t="s">
        <v>815</v>
      </c>
      <c r="J16" s="1040"/>
      <c r="K16" s="1040"/>
      <c r="L16" s="1040"/>
      <c r="M16" s="1040"/>
    </row>
    <row r="17" spans="1:13" ht="19.5">
      <c r="A17" s="1040" t="s">
        <v>816</v>
      </c>
      <c r="B17" s="1048">
        <f t="shared" ref="B17:G17" si="3">SUM(B18:B31)</f>
        <v>10</v>
      </c>
      <c r="C17" s="1048">
        <f t="shared" si="3"/>
        <v>10</v>
      </c>
      <c r="D17" s="1048">
        <f t="shared" si="3"/>
        <v>10</v>
      </c>
      <c r="E17" s="1048">
        <f t="shared" si="3"/>
        <v>10</v>
      </c>
      <c r="F17" s="1048">
        <f t="shared" si="3"/>
        <v>10</v>
      </c>
      <c r="G17" s="1048">
        <f t="shared" si="3"/>
        <v>9</v>
      </c>
      <c r="H17" s="1048">
        <f t="shared" ref="H17" si="4">SUM(H18:H31)</f>
        <v>9</v>
      </c>
      <c r="I17" s="1051" t="s">
        <v>817</v>
      </c>
      <c r="J17" s="1040"/>
      <c r="K17" s="1040"/>
      <c r="L17" s="1040"/>
      <c r="M17" s="1040"/>
    </row>
    <row r="18" spans="1:13" ht="19.5">
      <c r="A18" s="269" t="s">
        <v>818</v>
      </c>
      <c r="B18" s="1062">
        <v>1</v>
      </c>
      <c r="C18" s="1062">
        <v>1</v>
      </c>
      <c r="D18" s="1062">
        <v>2</v>
      </c>
      <c r="E18" s="1062">
        <v>2</v>
      </c>
      <c r="F18" s="1062">
        <v>2</v>
      </c>
      <c r="G18" s="1062">
        <v>1</v>
      </c>
      <c r="H18" s="1062">
        <v>1</v>
      </c>
      <c r="I18" s="1050" t="s">
        <v>819</v>
      </c>
    </row>
    <row r="19" spans="1:13" ht="19.5">
      <c r="A19" s="269" t="s">
        <v>820</v>
      </c>
      <c r="B19" s="1062">
        <v>1</v>
      </c>
      <c r="C19" s="1062">
        <v>1</v>
      </c>
      <c r="D19" s="1062">
        <v>1</v>
      </c>
      <c r="E19" s="1062">
        <v>0</v>
      </c>
      <c r="F19" s="1062">
        <v>0</v>
      </c>
      <c r="G19" s="1062">
        <v>0</v>
      </c>
      <c r="H19" s="1062">
        <v>0</v>
      </c>
      <c r="I19" s="1050" t="s">
        <v>821</v>
      </c>
    </row>
    <row r="20" spans="1:13" ht="19.5">
      <c r="A20" s="269" t="s">
        <v>822</v>
      </c>
      <c r="B20" s="1062">
        <v>1</v>
      </c>
      <c r="C20" s="1062">
        <v>1</v>
      </c>
      <c r="D20" s="1062">
        <v>1</v>
      </c>
      <c r="E20" s="1062">
        <v>1</v>
      </c>
      <c r="F20" s="1062">
        <v>1</v>
      </c>
      <c r="G20" s="1062">
        <v>1</v>
      </c>
      <c r="H20" s="1062">
        <v>1</v>
      </c>
      <c r="I20" s="1050" t="s">
        <v>823</v>
      </c>
    </row>
    <row r="21" spans="1:13" ht="19.5">
      <c r="A21" s="269" t="s">
        <v>824</v>
      </c>
      <c r="B21" s="1062">
        <v>2</v>
      </c>
      <c r="C21" s="1062">
        <v>2</v>
      </c>
      <c r="D21" s="1062">
        <v>2</v>
      </c>
      <c r="E21" s="1062">
        <v>2</v>
      </c>
      <c r="F21" s="1062">
        <v>2</v>
      </c>
      <c r="G21" s="1062">
        <v>2</v>
      </c>
      <c r="H21" s="1062">
        <v>2</v>
      </c>
      <c r="I21" s="1050" t="s">
        <v>825</v>
      </c>
    </row>
    <row r="22" spans="1:13" ht="19.5">
      <c r="A22" s="269" t="s">
        <v>826</v>
      </c>
      <c r="B22" s="1062">
        <v>1</v>
      </c>
      <c r="C22" s="1062">
        <v>1</v>
      </c>
      <c r="D22" s="1062">
        <v>1</v>
      </c>
      <c r="E22" s="1062">
        <v>1</v>
      </c>
      <c r="F22" s="1062">
        <v>1</v>
      </c>
      <c r="G22" s="1062">
        <v>1</v>
      </c>
      <c r="H22" s="1062">
        <v>1</v>
      </c>
      <c r="I22" s="1050" t="s">
        <v>827</v>
      </c>
    </row>
    <row r="23" spans="1:13" ht="19.5">
      <c r="A23" s="269" t="s">
        <v>828</v>
      </c>
      <c r="B23" s="1062">
        <v>1</v>
      </c>
      <c r="C23" s="1062">
        <v>1</v>
      </c>
      <c r="D23" s="1062">
        <v>0</v>
      </c>
      <c r="E23" s="1062">
        <v>0</v>
      </c>
      <c r="F23" s="1062">
        <v>0</v>
      </c>
      <c r="G23" s="1062">
        <v>0</v>
      </c>
      <c r="H23" s="1062">
        <v>0</v>
      </c>
      <c r="I23" s="1050" t="s">
        <v>829</v>
      </c>
    </row>
    <row r="24" spans="1:13" ht="19.5">
      <c r="A24" s="269" t="s">
        <v>830</v>
      </c>
      <c r="B24" s="1062">
        <v>1</v>
      </c>
      <c r="C24" s="1062">
        <v>1</v>
      </c>
      <c r="D24" s="1062">
        <v>1</v>
      </c>
      <c r="E24" s="1062">
        <v>1</v>
      </c>
      <c r="F24" s="1062">
        <v>1</v>
      </c>
      <c r="G24" s="1062">
        <v>1</v>
      </c>
      <c r="H24" s="1062">
        <v>1</v>
      </c>
      <c r="I24" s="1050" t="s">
        <v>831</v>
      </c>
    </row>
    <row r="25" spans="1:13" s="1040" customFormat="1" ht="19.5">
      <c r="A25" s="269" t="s">
        <v>832</v>
      </c>
      <c r="B25" s="1062">
        <v>1</v>
      </c>
      <c r="C25" s="1062">
        <v>1</v>
      </c>
      <c r="D25" s="1062">
        <v>1</v>
      </c>
      <c r="E25" s="1062">
        <v>1</v>
      </c>
      <c r="F25" s="1062">
        <v>1</v>
      </c>
      <c r="G25" s="1062">
        <v>1</v>
      </c>
      <c r="H25" s="1062">
        <v>1</v>
      </c>
      <c r="I25" s="1050" t="s">
        <v>833</v>
      </c>
      <c r="J25" s="269"/>
      <c r="K25" s="269"/>
      <c r="L25" s="269"/>
      <c r="M25" s="269"/>
    </row>
    <row r="26" spans="1:13" s="1040" customFormat="1" ht="19.5">
      <c r="A26" s="269" t="s">
        <v>834</v>
      </c>
      <c r="B26" s="1062">
        <v>0</v>
      </c>
      <c r="C26" s="1062">
        <v>0</v>
      </c>
      <c r="D26" s="1062">
        <v>0</v>
      </c>
      <c r="E26" s="1062">
        <v>0</v>
      </c>
      <c r="F26" s="1062">
        <v>0</v>
      </c>
      <c r="G26" s="1062">
        <v>0</v>
      </c>
      <c r="H26" s="1062">
        <v>0</v>
      </c>
      <c r="I26" s="1050" t="s">
        <v>835</v>
      </c>
      <c r="J26" s="269"/>
      <c r="K26" s="269"/>
      <c r="L26" s="269"/>
      <c r="M26" s="269"/>
    </row>
    <row r="27" spans="1:13" s="1040" customFormat="1" ht="19.5">
      <c r="A27" s="269" t="s">
        <v>836</v>
      </c>
      <c r="B27" s="1062">
        <v>0</v>
      </c>
      <c r="C27" s="1062">
        <v>0</v>
      </c>
      <c r="D27" s="1062">
        <v>0</v>
      </c>
      <c r="E27" s="1062">
        <v>0</v>
      </c>
      <c r="F27" s="1062">
        <v>0</v>
      </c>
      <c r="G27" s="1062">
        <v>0</v>
      </c>
      <c r="H27" s="1062">
        <v>0</v>
      </c>
      <c r="I27" s="1050" t="s">
        <v>837</v>
      </c>
      <c r="J27" s="269"/>
      <c r="K27" s="269"/>
      <c r="L27" s="269"/>
      <c r="M27" s="269"/>
    </row>
    <row r="28" spans="1:13" s="1040" customFormat="1" ht="19.5">
      <c r="A28" s="269" t="s">
        <v>838</v>
      </c>
      <c r="B28" s="1062">
        <v>0</v>
      </c>
      <c r="C28" s="1062">
        <v>0</v>
      </c>
      <c r="D28" s="1062">
        <v>0</v>
      </c>
      <c r="E28" s="1062">
        <v>0</v>
      </c>
      <c r="F28" s="1062">
        <v>0</v>
      </c>
      <c r="G28" s="1062">
        <v>0</v>
      </c>
      <c r="H28" s="1062">
        <v>0</v>
      </c>
      <c r="I28" s="1050" t="s">
        <v>839</v>
      </c>
      <c r="J28" s="269"/>
      <c r="K28" s="269"/>
      <c r="L28" s="269"/>
      <c r="M28" s="269"/>
    </row>
    <row r="29" spans="1:13" s="1040" customFormat="1" ht="19.5">
      <c r="A29" s="269" t="s">
        <v>840</v>
      </c>
      <c r="B29" s="1062">
        <v>0</v>
      </c>
      <c r="C29" s="1062">
        <v>0</v>
      </c>
      <c r="D29" s="1062">
        <v>0</v>
      </c>
      <c r="E29" s="1062">
        <v>0</v>
      </c>
      <c r="F29" s="1062">
        <v>0</v>
      </c>
      <c r="G29" s="1062">
        <v>0</v>
      </c>
      <c r="H29" s="1062">
        <v>0</v>
      </c>
      <c r="I29" s="1050" t="s">
        <v>841</v>
      </c>
      <c r="J29" s="269"/>
      <c r="K29" s="269"/>
      <c r="L29" s="269"/>
      <c r="M29" s="269"/>
    </row>
    <row r="30" spans="1:13" s="1040" customFormat="1" ht="19.5">
      <c r="A30" s="269" t="s">
        <v>842</v>
      </c>
      <c r="B30" s="1062">
        <v>0</v>
      </c>
      <c r="C30" s="1062">
        <v>0</v>
      </c>
      <c r="D30" s="1062">
        <v>0</v>
      </c>
      <c r="E30" s="1062">
        <v>1</v>
      </c>
      <c r="F30" s="1062">
        <v>1</v>
      </c>
      <c r="G30" s="1062">
        <v>1</v>
      </c>
      <c r="H30" s="1062">
        <v>1</v>
      </c>
      <c r="I30" s="1050" t="s">
        <v>843</v>
      </c>
      <c r="J30" s="269"/>
      <c r="K30" s="269"/>
      <c r="L30" s="269"/>
      <c r="M30" s="269"/>
    </row>
    <row r="31" spans="1:13" ht="19.5">
      <c r="A31" s="269" t="s">
        <v>844</v>
      </c>
      <c r="B31" s="1062">
        <v>1</v>
      </c>
      <c r="C31" s="1062">
        <v>1</v>
      </c>
      <c r="D31" s="1062">
        <v>1</v>
      </c>
      <c r="E31" s="1062">
        <v>1</v>
      </c>
      <c r="F31" s="1062">
        <v>1</v>
      </c>
      <c r="G31" s="1062">
        <v>1</v>
      </c>
      <c r="H31" s="1062">
        <v>1</v>
      </c>
      <c r="I31" s="1050" t="s">
        <v>845</v>
      </c>
    </row>
    <row r="32" spans="1:13" ht="19.5">
      <c r="A32" s="1040" t="s">
        <v>846</v>
      </c>
      <c r="B32" s="1048">
        <f t="shared" ref="B32:H32" si="5">SUM(B33:B45)</f>
        <v>8</v>
      </c>
      <c r="C32" s="1048">
        <f t="shared" si="5"/>
        <v>9</v>
      </c>
      <c r="D32" s="1048">
        <f t="shared" si="5"/>
        <v>8</v>
      </c>
      <c r="E32" s="1048">
        <f t="shared" si="5"/>
        <v>8</v>
      </c>
      <c r="F32" s="1048">
        <f t="shared" si="5"/>
        <v>8</v>
      </c>
      <c r="G32" s="1048">
        <f t="shared" si="5"/>
        <v>9</v>
      </c>
      <c r="H32" s="1048">
        <f t="shared" si="5"/>
        <v>8</v>
      </c>
      <c r="I32" s="1051" t="s">
        <v>847</v>
      </c>
      <c r="J32" s="1040"/>
      <c r="K32" s="1040"/>
      <c r="L32" s="1040"/>
      <c r="M32" s="1040"/>
    </row>
    <row r="33" spans="1:13" ht="19.5">
      <c r="A33" s="269" t="s">
        <v>848</v>
      </c>
      <c r="B33" s="1062">
        <v>1</v>
      </c>
      <c r="C33" s="1062">
        <v>1</v>
      </c>
      <c r="D33" s="1062">
        <v>1</v>
      </c>
      <c r="E33" s="1062">
        <v>1</v>
      </c>
      <c r="F33" s="1062">
        <v>2</v>
      </c>
      <c r="G33" s="1062">
        <v>2</v>
      </c>
      <c r="H33" s="1062">
        <v>3</v>
      </c>
      <c r="I33" s="1050" t="s">
        <v>849</v>
      </c>
    </row>
    <row r="34" spans="1:13" ht="19.5">
      <c r="A34" s="269" t="s">
        <v>850</v>
      </c>
      <c r="B34" s="1062">
        <v>1</v>
      </c>
      <c r="C34" s="1062">
        <v>1</v>
      </c>
      <c r="D34" s="1062">
        <v>1</v>
      </c>
      <c r="E34" s="1062">
        <v>1</v>
      </c>
      <c r="F34" s="1062">
        <v>0</v>
      </c>
      <c r="G34" s="1062">
        <v>0</v>
      </c>
      <c r="H34" s="1062">
        <v>0</v>
      </c>
      <c r="I34" s="1050" t="s">
        <v>851</v>
      </c>
    </row>
    <row r="35" spans="1:13" ht="19.5">
      <c r="A35" s="269" t="s">
        <v>852</v>
      </c>
      <c r="B35" s="1062">
        <v>1</v>
      </c>
      <c r="C35" s="1062">
        <v>1</v>
      </c>
      <c r="D35" s="1062">
        <v>1</v>
      </c>
      <c r="E35" s="1062">
        <v>1</v>
      </c>
      <c r="F35" s="1062">
        <v>1</v>
      </c>
      <c r="G35" s="1062">
        <v>1</v>
      </c>
      <c r="H35" s="1062">
        <v>1</v>
      </c>
      <c r="I35" s="1050" t="s">
        <v>853</v>
      </c>
    </row>
    <row r="36" spans="1:13" ht="19.5">
      <c r="A36" s="269" t="s">
        <v>854</v>
      </c>
      <c r="B36" s="1062">
        <v>1</v>
      </c>
      <c r="C36" s="1062">
        <v>1</v>
      </c>
      <c r="D36" s="1062">
        <v>1</v>
      </c>
      <c r="E36" s="1062">
        <v>1</v>
      </c>
      <c r="F36" s="1062">
        <v>1</v>
      </c>
      <c r="G36" s="1062">
        <v>1</v>
      </c>
      <c r="H36" s="1062">
        <v>1</v>
      </c>
      <c r="I36" s="1050" t="s">
        <v>855</v>
      </c>
    </row>
    <row r="37" spans="1:13" ht="19.5">
      <c r="A37" s="269" t="s">
        <v>856</v>
      </c>
      <c r="B37" s="1062">
        <v>1</v>
      </c>
      <c r="C37" s="1062">
        <v>1</v>
      </c>
      <c r="D37" s="1062">
        <v>0</v>
      </c>
      <c r="E37" s="1062">
        <v>0</v>
      </c>
      <c r="F37" s="1062">
        <v>0</v>
      </c>
      <c r="G37" s="1062">
        <v>0</v>
      </c>
      <c r="H37" s="1062">
        <v>0</v>
      </c>
      <c r="I37" s="1050" t="s">
        <v>857</v>
      </c>
    </row>
    <row r="38" spans="1:13" ht="19.5">
      <c r="A38" s="269" t="s">
        <v>858</v>
      </c>
      <c r="B38" s="1062">
        <v>0</v>
      </c>
      <c r="C38" s="1062">
        <v>0</v>
      </c>
      <c r="D38" s="1062">
        <v>0</v>
      </c>
      <c r="E38" s="1062">
        <v>0</v>
      </c>
      <c r="F38" s="1062">
        <v>0</v>
      </c>
      <c r="G38" s="1062">
        <v>0</v>
      </c>
      <c r="H38" s="1062">
        <v>0</v>
      </c>
      <c r="I38" s="1050" t="s">
        <v>859</v>
      </c>
    </row>
    <row r="39" spans="1:13" ht="19.5">
      <c r="A39" s="269" t="s">
        <v>860</v>
      </c>
      <c r="B39" s="1062">
        <v>0</v>
      </c>
      <c r="C39" s="1062">
        <v>0</v>
      </c>
      <c r="D39" s="1062">
        <v>0</v>
      </c>
      <c r="E39" s="1062">
        <v>0</v>
      </c>
      <c r="F39" s="1062">
        <v>0</v>
      </c>
      <c r="G39" s="1062">
        <v>0</v>
      </c>
      <c r="H39" s="1062">
        <v>0</v>
      </c>
      <c r="I39" s="1050" t="s">
        <v>861</v>
      </c>
    </row>
    <row r="40" spans="1:13" ht="19.5">
      <c r="A40" s="269" t="s">
        <v>862</v>
      </c>
      <c r="B40" s="1062">
        <v>0</v>
      </c>
      <c r="C40" s="1062">
        <v>0</v>
      </c>
      <c r="D40" s="1062">
        <v>0</v>
      </c>
      <c r="E40" s="1062">
        <v>0</v>
      </c>
      <c r="F40" s="1062">
        <v>0</v>
      </c>
      <c r="G40" s="1062">
        <v>0</v>
      </c>
      <c r="H40" s="1062">
        <v>0</v>
      </c>
      <c r="I40" s="1050" t="s">
        <v>863</v>
      </c>
    </row>
    <row r="41" spans="1:13" ht="19.5">
      <c r="A41" s="269" t="s">
        <v>864</v>
      </c>
      <c r="B41" s="1062">
        <v>0</v>
      </c>
      <c r="C41" s="1062">
        <v>0</v>
      </c>
      <c r="D41" s="1062">
        <v>0</v>
      </c>
      <c r="E41" s="1062">
        <v>0</v>
      </c>
      <c r="F41" s="1062">
        <v>0</v>
      </c>
      <c r="G41" s="1062">
        <v>0</v>
      </c>
      <c r="H41" s="1062">
        <v>0</v>
      </c>
      <c r="I41" s="1050" t="s">
        <v>865</v>
      </c>
    </row>
    <row r="42" spans="1:13" s="1040" customFormat="1" ht="18" customHeight="1">
      <c r="A42" s="269" t="s">
        <v>866</v>
      </c>
      <c r="B42" s="1062">
        <v>2</v>
      </c>
      <c r="C42" s="1062">
        <v>2</v>
      </c>
      <c r="D42" s="1062">
        <v>2</v>
      </c>
      <c r="E42" s="1062">
        <v>2</v>
      </c>
      <c r="F42" s="1062">
        <v>2</v>
      </c>
      <c r="G42" s="1062">
        <v>2</v>
      </c>
      <c r="H42" s="1062">
        <v>1</v>
      </c>
      <c r="I42" s="1050" t="s">
        <v>867</v>
      </c>
      <c r="J42" s="269"/>
      <c r="K42" s="269"/>
      <c r="L42" s="269"/>
      <c r="M42" s="269"/>
    </row>
    <row r="43" spans="1:13" s="1040" customFormat="1" ht="19.5">
      <c r="A43" s="269" t="s">
        <v>868</v>
      </c>
      <c r="B43" s="1062">
        <v>0</v>
      </c>
      <c r="C43" s="1062">
        <v>0</v>
      </c>
      <c r="D43" s="1062">
        <v>1</v>
      </c>
      <c r="E43" s="1062">
        <v>1</v>
      </c>
      <c r="F43" s="1062">
        <v>1</v>
      </c>
      <c r="G43" s="1062">
        <v>1</v>
      </c>
      <c r="H43" s="1062">
        <v>0</v>
      </c>
      <c r="I43" s="1050" t="s">
        <v>869</v>
      </c>
      <c r="J43" s="269"/>
      <c r="K43" s="269"/>
      <c r="L43" s="269"/>
      <c r="M43" s="269"/>
    </row>
    <row r="44" spans="1:13" ht="19.5">
      <c r="A44" s="269" t="s">
        <v>870</v>
      </c>
      <c r="B44" s="1062">
        <v>1</v>
      </c>
      <c r="C44" s="1062">
        <v>1</v>
      </c>
      <c r="D44" s="1062">
        <v>0</v>
      </c>
      <c r="E44" s="1062">
        <v>0</v>
      </c>
      <c r="F44" s="1062">
        <v>0</v>
      </c>
      <c r="G44" s="1062">
        <v>1</v>
      </c>
      <c r="H44" s="1062">
        <v>1</v>
      </c>
      <c r="I44" s="1050" t="s">
        <v>871</v>
      </c>
    </row>
    <row r="45" spans="1:13" ht="19.5">
      <c r="A45" s="269" t="s">
        <v>872</v>
      </c>
      <c r="B45" s="1062">
        <v>0</v>
      </c>
      <c r="C45" s="1062">
        <v>1</v>
      </c>
      <c r="D45" s="1062">
        <v>1</v>
      </c>
      <c r="E45" s="1062">
        <v>1</v>
      </c>
      <c r="F45" s="1062">
        <v>1</v>
      </c>
      <c r="G45" s="1062">
        <v>1</v>
      </c>
      <c r="H45" s="1062">
        <v>1</v>
      </c>
      <c r="I45" s="1050" t="s">
        <v>873</v>
      </c>
    </row>
    <row r="46" spans="1:13" ht="19.5">
      <c r="A46" s="1040" t="s">
        <v>874</v>
      </c>
      <c r="B46" s="1048">
        <f t="shared" ref="B46:H46" si="6">SUM(B47:B59)</f>
        <v>5</v>
      </c>
      <c r="C46" s="1048">
        <f t="shared" si="6"/>
        <v>4</v>
      </c>
      <c r="D46" s="1048">
        <f t="shared" si="6"/>
        <v>4</v>
      </c>
      <c r="E46" s="1048">
        <f t="shared" si="6"/>
        <v>4</v>
      </c>
      <c r="F46" s="1048">
        <f t="shared" si="6"/>
        <v>4</v>
      </c>
      <c r="G46" s="1048">
        <f t="shared" si="6"/>
        <v>3</v>
      </c>
      <c r="H46" s="1048">
        <f t="shared" si="6"/>
        <v>4</v>
      </c>
      <c r="I46" s="1051" t="s">
        <v>875</v>
      </c>
      <c r="J46" s="1040"/>
      <c r="K46" s="1040"/>
      <c r="L46" s="1040"/>
      <c r="M46" s="1040"/>
    </row>
    <row r="47" spans="1:13" ht="19.5">
      <c r="A47" s="269" t="s">
        <v>876</v>
      </c>
      <c r="B47" s="1062">
        <v>1</v>
      </c>
      <c r="C47" s="1062">
        <v>1</v>
      </c>
      <c r="D47" s="1062">
        <v>1</v>
      </c>
      <c r="E47" s="1062">
        <v>1</v>
      </c>
      <c r="F47" s="1062">
        <v>1</v>
      </c>
      <c r="G47" s="1062">
        <v>0</v>
      </c>
      <c r="H47" s="1062">
        <v>0</v>
      </c>
      <c r="I47" s="1050" t="s">
        <v>877</v>
      </c>
      <c r="K47" s="1040"/>
    </row>
    <row r="48" spans="1:13" ht="19.5">
      <c r="A48" s="269" t="s">
        <v>878</v>
      </c>
      <c r="B48" s="1062">
        <v>1</v>
      </c>
      <c r="C48" s="1062">
        <v>0</v>
      </c>
      <c r="D48" s="1062">
        <v>0</v>
      </c>
      <c r="E48" s="1062">
        <v>0</v>
      </c>
      <c r="F48" s="1062">
        <v>0</v>
      </c>
      <c r="G48" s="1062">
        <v>0</v>
      </c>
      <c r="H48" s="1062">
        <v>1</v>
      </c>
      <c r="I48" s="1050" t="s">
        <v>879</v>
      </c>
      <c r="K48" s="1040"/>
    </row>
    <row r="49" spans="1:13" ht="19.5">
      <c r="A49" s="269" t="s">
        <v>880</v>
      </c>
      <c r="B49" s="1062">
        <v>1</v>
      </c>
      <c r="C49" s="1062">
        <v>0</v>
      </c>
      <c r="D49" s="1062">
        <v>0</v>
      </c>
      <c r="E49" s="1062">
        <v>0</v>
      </c>
      <c r="F49" s="1062">
        <v>0</v>
      </c>
      <c r="G49" s="1062">
        <v>0</v>
      </c>
      <c r="H49" s="1062">
        <v>0</v>
      </c>
      <c r="I49" s="1050" t="s">
        <v>881</v>
      </c>
      <c r="K49" s="1040"/>
    </row>
    <row r="50" spans="1:13" s="1040" customFormat="1" ht="19.5">
      <c r="A50" s="269" t="s">
        <v>882</v>
      </c>
      <c r="B50" s="1062">
        <v>1</v>
      </c>
      <c r="C50" s="1062">
        <v>1</v>
      </c>
      <c r="D50" s="1062">
        <v>1</v>
      </c>
      <c r="E50" s="1062">
        <v>1</v>
      </c>
      <c r="F50" s="1062">
        <v>1</v>
      </c>
      <c r="G50" s="1062">
        <v>1</v>
      </c>
      <c r="H50" s="1062">
        <v>1</v>
      </c>
      <c r="I50" s="1050" t="s">
        <v>883</v>
      </c>
      <c r="J50" s="269"/>
      <c r="M50" s="269"/>
    </row>
    <row r="51" spans="1:13" s="1040" customFormat="1" ht="19.5">
      <c r="A51" s="269" t="s">
        <v>884</v>
      </c>
      <c r="B51" s="1062">
        <v>0</v>
      </c>
      <c r="C51" s="1062">
        <v>0</v>
      </c>
      <c r="D51" s="1062">
        <v>0</v>
      </c>
      <c r="E51" s="1062">
        <v>0</v>
      </c>
      <c r="F51" s="1062">
        <v>0</v>
      </c>
      <c r="G51" s="1062">
        <v>0</v>
      </c>
      <c r="H51" s="1062">
        <v>0</v>
      </c>
      <c r="I51" s="1050" t="s">
        <v>885</v>
      </c>
      <c r="J51" s="269"/>
      <c r="M51" s="269"/>
    </row>
    <row r="52" spans="1:13" s="1040" customFormat="1" ht="19.5">
      <c r="A52" s="269" t="s">
        <v>886</v>
      </c>
      <c r="B52" s="1062">
        <v>0</v>
      </c>
      <c r="C52" s="1062">
        <v>0</v>
      </c>
      <c r="D52" s="1062">
        <v>0</v>
      </c>
      <c r="E52" s="1062">
        <v>0</v>
      </c>
      <c r="F52" s="1062">
        <v>0</v>
      </c>
      <c r="G52" s="1062">
        <v>0</v>
      </c>
      <c r="H52" s="1062">
        <v>0</v>
      </c>
      <c r="I52" s="1050" t="s">
        <v>887</v>
      </c>
      <c r="J52" s="269"/>
      <c r="M52" s="269"/>
    </row>
    <row r="53" spans="1:13" s="1040" customFormat="1" ht="19.5">
      <c r="A53" s="269" t="s">
        <v>888</v>
      </c>
      <c r="B53" s="1062">
        <v>0</v>
      </c>
      <c r="C53" s="1062">
        <v>0</v>
      </c>
      <c r="D53" s="1062">
        <v>0</v>
      </c>
      <c r="E53" s="1062">
        <v>0</v>
      </c>
      <c r="F53" s="1062">
        <v>0</v>
      </c>
      <c r="G53" s="1062">
        <v>0</v>
      </c>
      <c r="H53" s="1062">
        <v>0</v>
      </c>
      <c r="I53" s="1050" t="s">
        <v>889</v>
      </c>
      <c r="J53" s="269"/>
      <c r="M53" s="269"/>
    </row>
    <row r="54" spans="1:13" s="1040" customFormat="1" ht="19.5">
      <c r="A54" s="269" t="s">
        <v>890</v>
      </c>
      <c r="B54" s="1062">
        <v>0</v>
      </c>
      <c r="C54" s="1062">
        <v>0</v>
      </c>
      <c r="D54" s="1062">
        <v>0</v>
      </c>
      <c r="E54" s="1062">
        <v>0</v>
      </c>
      <c r="F54" s="1062">
        <v>0</v>
      </c>
      <c r="G54" s="1062">
        <v>0</v>
      </c>
      <c r="H54" s="1062">
        <v>0</v>
      </c>
      <c r="I54" s="1050" t="s">
        <v>891</v>
      </c>
      <c r="J54" s="269"/>
      <c r="M54" s="269"/>
    </row>
    <row r="55" spans="1:13" s="1040" customFormat="1" ht="19.5">
      <c r="A55" s="269" t="s">
        <v>892</v>
      </c>
      <c r="B55" s="1062">
        <v>0</v>
      </c>
      <c r="C55" s="1062">
        <v>0</v>
      </c>
      <c r="D55" s="1062">
        <v>0</v>
      </c>
      <c r="E55" s="1062">
        <v>0</v>
      </c>
      <c r="F55" s="1062">
        <v>0</v>
      </c>
      <c r="G55" s="1062">
        <v>0</v>
      </c>
      <c r="H55" s="1062">
        <v>0</v>
      </c>
      <c r="I55" s="1050" t="s">
        <v>893</v>
      </c>
      <c r="J55" s="269"/>
      <c r="L55" s="1063"/>
      <c r="M55" s="269"/>
    </row>
    <row r="56" spans="1:13" s="1040" customFormat="1" ht="19.5">
      <c r="A56" s="269" t="s">
        <v>894</v>
      </c>
      <c r="B56" s="1062">
        <v>0</v>
      </c>
      <c r="C56" s="1062">
        <v>0</v>
      </c>
      <c r="D56" s="1062">
        <v>0</v>
      </c>
      <c r="E56" s="1062">
        <v>0</v>
      </c>
      <c r="F56" s="1062">
        <v>0</v>
      </c>
      <c r="G56" s="1062">
        <v>0</v>
      </c>
      <c r="H56" s="1062">
        <v>0</v>
      </c>
      <c r="I56" s="1050" t="s">
        <v>895</v>
      </c>
      <c r="J56" s="269"/>
      <c r="M56" s="269"/>
    </row>
    <row r="57" spans="1:13" s="1040" customFormat="1" ht="19.5">
      <c r="A57" s="269" t="s">
        <v>896</v>
      </c>
      <c r="B57" s="1062">
        <v>0</v>
      </c>
      <c r="C57" s="1062">
        <v>0</v>
      </c>
      <c r="D57" s="1062">
        <v>0</v>
      </c>
      <c r="E57" s="1062">
        <v>0</v>
      </c>
      <c r="F57" s="1062">
        <v>0</v>
      </c>
      <c r="G57" s="1062">
        <v>0</v>
      </c>
      <c r="H57" s="1062">
        <v>0</v>
      </c>
      <c r="I57" s="1050" t="s">
        <v>897</v>
      </c>
      <c r="J57" s="269"/>
      <c r="M57" s="269"/>
    </row>
    <row r="58" spans="1:13" ht="19.5">
      <c r="A58" s="269" t="s">
        <v>898</v>
      </c>
      <c r="B58" s="1062">
        <v>1</v>
      </c>
      <c r="C58" s="1062">
        <v>1</v>
      </c>
      <c r="D58" s="1062">
        <v>1</v>
      </c>
      <c r="E58" s="1062">
        <v>1</v>
      </c>
      <c r="F58" s="1062">
        <v>1</v>
      </c>
      <c r="G58" s="1062">
        <v>1</v>
      </c>
      <c r="H58" s="1062">
        <v>1</v>
      </c>
      <c r="I58" s="1050" t="s">
        <v>899</v>
      </c>
      <c r="K58" s="1040"/>
      <c r="L58" s="1063"/>
    </row>
    <row r="59" spans="1:13" ht="19.5">
      <c r="A59" s="269" t="s">
        <v>900</v>
      </c>
      <c r="B59" s="1062">
        <v>0</v>
      </c>
      <c r="C59" s="1062">
        <v>1</v>
      </c>
      <c r="D59" s="1062">
        <v>1</v>
      </c>
      <c r="E59" s="1062">
        <v>1</v>
      </c>
      <c r="F59" s="1062">
        <v>1</v>
      </c>
      <c r="G59" s="1062">
        <v>1</v>
      </c>
      <c r="H59" s="1062">
        <v>1</v>
      </c>
      <c r="I59" s="1050" t="s">
        <v>901</v>
      </c>
      <c r="K59" s="1040"/>
    </row>
    <row r="60" spans="1:13" ht="19.5">
      <c r="A60" s="1040" t="s">
        <v>902</v>
      </c>
      <c r="B60" s="1048">
        <f t="shared" ref="B60:H60" si="7">SUM(B61:B73)</f>
        <v>5</v>
      </c>
      <c r="C60" s="1048">
        <f t="shared" si="7"/>
        <v>5</v>
      </c>
      <c r="D60" s="1048">
        <f t="shared" si="7"/>
        <v>5</v>
      </c>
      <c r="E60" s="1048">
        <f t="shared" si="7"/>
        <v>6</v>
      </c>
      <c r="F60" s="1048">
        <f t="shared" si="7"/>
        <v>7</v>
      </c>
      <c r="G60" s="1048">
        <f t="shared" si="7"/>
        <v>6</v>
      </c>
      <c r="H60" s="1048">
        <f t="shared" si="7"/>
        <v>5</v>
      </c>
      <c r="I60" s="1051" t="s">
        <v>903</v>
      </c>
      <c r="J60" s="1040"/>
      <c r="K60" s="1040"/>
      <c r="M60" s="1040"/>
    </row>
    <row r="61" spans="1:13" ht="19.5">
      <c r="A61" s="269" t="s">
        <v>904</v>
      </c>
      <c r="B61" s="1062">
        <v>1</v>
      </c>
      <c r="C61" s="1062">
        <v>0</v>
      </c>
      <c r="D61" s="1062">
        <v>0</v>
      </c>
      <c r="E61" s="1062">
        <v>1</v>
      </c>
      <c r="F61" s="1062">
        <v>1</v>
      </c>
      <c r="G61" s="1062">
        <v>1</v>
      </c>
      <c r="H61" s="1062">
        <v>0</v>
      </c>
      <c r="I61" s="1050" t="s">
        <v>905</v>
      </c>
      <c r="K61" s="1040"/>
    </row>
    <row r="62" spans="1:13" ht="19.5">
      <c r="A62" s="269" t="s">
        <v>906</v>
      </c>
      <c r="B62" s="1062">
        <v>1</v>
      </c>
      <c r="C62" s="1062">
        <v>1</v>
      </c>
      <c r="D62" s="1062">
        <v>1</v>
      </c>
      <c r="E62" s="1062">
        <v>1</v>
      </c>
      <c r="F62" s="1062">
        <v>1</v>
      </c>
      <c r="G62" s="1062">
        <v>1</v>
      </c>
      <c r="H62" s="1062">
        <v>1</v>
      </c>
      <c r="I62" s="1050" t="s">
        <v>907</v>
      </c>
      <c r="K62" s="1040"/>
    </row>
    <row r="63" spans="1:13" ht="19.5">
      <c r="A63" s="269" t="s">
        <v>908</v>
      </c>
      <c r="B63" s="1062">
        <v>1</v>
      </c>
      <c r="C63" s="1062">
        <v>1</v>
      </c>
      <c r="D63" s="1062">
        <v>1</v>
      </c>
      <c r="E63" s="1062">
        <v>1</v>
      </c>
      <c r="F63" s="1062">
        <v>1</v>
      </c>
      <c r="G63" s="1062">
        <v>1</v>
      </c>
      <c r="H63" s="1062">
        <v>1</v>
      </c>
      <c r="I63" s="1050" t="s">
        <v>909</v>
      </c>
      <c r="K63" s="1040"/>
    </row>
    <row r="64" spans="1:13" ht="19.5">
      <c r="A64" s="269" t="s">
        <v>910</v>
      </c>
      <c r="B64" s="1062">
        <v>0</v>
      </c>
      <c r="C64" s="1062">
        <v>0</v>
      </c>
      <c r="D64" s="1062">
        <v>0</v>
      </c>
      <c r="E64" s="1062">
        <v>0</v>
      </c>
      <c r="F64" s="1062">
        <v>0</v>
      </c>
      <c r="G64" s="1062">
        <v>0</v>
      </c>
      <c r="H64" s="1062">
        <v>0</v>
      </c>
      <c r="I64" s="1050" t="s">
        <v>911</v>
      </c>
    </row>
    <row r="65" spans="1:9" ht="19.5">
      <c r="A65" s="269" t="s">
        <v>912</v>
      </c>
      <c r="B65" s="1062">
        <v>0</v>
      </c>
      <c r="C65" s="1062">
        <v>0</v>
      </c>
      <c r="D65" s="1062">
        <v>0</v>
      </c>
      <c r="E65" s="1062">
        <v>0</v>
      </c>
      <c r="F65" s="1062">
        <v>0</v>
      </c>
      <c r="G65" s="1062">
        <v>0</v>
      </c>
      <c r="H65" s="1062">
        <v>0</v>
      </c>
      <c r="I65" s="1050" t="s">
        <v>913</v>
      </c>
    </row>
    <row r="66" spans="1:9" ht="19.5">
      <c r="A66" s="269" t="s">
        <v>914</v>
      </c>
      <c r="B66" s="1062">
        <v>0</v>
      </c>
      <c r="C66" s="1062">
        <v>0</v>
      </c>
      <c r="D66" s="1062">
        <v>0</v>
      </c>
      <c r="E66" s="1062">
        <v>0</v>
      </c>
      <c r="F66" s="1062">
        <v>0</v>
      </c>
      <c r="G66" s="1062">
        <v>0</v>
      </c>
      <c r="H66" s="1062">
        <v>0</v>
      </c>
      <c r="I66" s="1050" t="s">
        <v>915</v>
      </c>
    </row>
    <row r="67" spans="1:9" ht="19.5">
      <c r="A67" s="269" t="s">
        <v>916</v>
      </c>
      <c r="B67" s="1062">
        <v>0</v>
      </c>
      <c r="C67" s="1062">
        <v>0</v>
      </c>
      <c r="D67" s="1062">
        <v>0</v>
      </c>
      <c r="E67" s="1062">
        <v>0</v>
      </c>
      <c r="F67" s="1062">
        <v>0</v>
      </c>
      <c r="G67" s="1062">
        <v>0</v>
      </c>
      <c r="H67" s="1062">
        <v>0</v>
      </c>
      <c r="I67" s="1050" t="s">
        <v>917</v>
      </c>
    </row>
    <row r="68" spans="1:9" ht="19.5">
      <c r="A68" s="269" t="s">
        <v>918</v>
      </c>
      <c r="B68" s="1062">
        <v>0</v>
      </c>
      <c r="C68" s="1062">
        <v>0</v>
      </c>
      <c r="D68" s="1062">
        <v>0</v>
      </c>
      <c r="E68" s="1062">
        <v>0</v>
      </c>
      <c r="F68" s="1062">
        <v>0</v>
      </c>
      <c r="G68" s="1062">
        <v>0</v>
      </c>
      <c r="H68" s="1062">
        <v>0</v>
      </c>
      <c r="I68" s="1050" t="s">
        <v>919</v>
      </c>
    </row>
    <row r="69" spans="1:9" ht="19.5">
      <c r="A69" s="269" t="s">
        <v>920</v>
      </c>
      <c r="B69" s="1062">
        <v>0</v>
      </c>
      <c r="C69" s="1062">
        <v>0</v>
      </c>
      <c r="D69" s="1062">
        <v>0</v>
      </c>
      <c r="E69" s="1062">
        <v>0</v>
      </c>
      <c r="F69" s="1062">
        <v>0</v>
      </c>
      <c r="G69" s="1062">
        <v>0</v>
      </c>
      <c r="H69" s="1062">
        <v>0</v>
      </c>
      <c r="I69" s="1050" t="s">
        <v>921</v>
      </c>
    </row>
    <row r="70" spans="1:9" ht="19.5">
      <c r="A70" s="269" t="s">
        <v>922</v>
      </c>
      <c r="B70" s="1062">
        <v>1</v>
      </c>
      <c r="C70" s="1062">
        <v>1</v>
      </c>
      <c r="D70" s="1062">
        <v>1</v>
      </c>
      <c r="E70" s="1062">
        <v>1</v>
      </c>
      <c r="F70" s="1062">
        <v>1</v>
      </c>
      <c r="G70" s="1062">
        <v>1</v>
      </c>
      <c r="H70" s="1062">
        <v>1</v>
      </c>
      <c r="I70" s="1050" t="s">
        <v>923</v>
      </c>
    </row>
    <row r="71" spans="1:9" ht="19.5">
      <c r="A71" s="269" t="s">
        <v>924</v>
      </c>
      <c r="B71" s="1062">
        <v>1</v>
      </c>
      <c r="C71" s="1062">
        <v>1</v>
      </c>
      <c r="D71" s="1062">
        <v>0</v>
      </c>
      <c r="E71" s="1062">
        <v>0</v>
      </c>
      <c r="F71" s="1062">
        <v>1</v>
      </c>
      <c r="G71" s="1062">
        <v>0</v>
      </c>
      <c r="H71" s="1062">
        <v>0</v>
      </c>
      <c r="I71" s="1050" t="s">
        <v>925</v>
      </c>
    </row>
    <row r="72" spans="1:9" ht="19.5">
      <c r="A72" s="269" t="s">
        <v>926</v>
      </c>
      <c r="B72" s="1062">
        <v>0</v>
      </c>
      <c r="C72" s="1062">
        <v>0</v>
      </c>
      <c r="D72" s="1062">
        <v>1</v>
      </c>
      <c r="E72" s="1062">
        <v>1</v>
      </c>
      <c r="F72" s="1062">
        <v>1</v>
      </c>
      <c r="G72" s="1062">
        <v>1</v>
      </c>
      <c r="H72" s="1062">
        <v>1</v>
      </c>
      <c r="I72" s="1050" t="s">
        <v>927</v>
      </c>
    </row>
    <row r="73" spans="1:9" ht="19.5">
      <c r="A73" s="269" t="s">
        <v>928</v>
      </c>
      <c r="B73" s="1062">
        <v>0</v>
      </c>
      <c r="C73" s="1062">
        <v>1</v>
      </c>
      <c r="D73" s="1062">
        <v>1</v>
      </c>
      <c r="E73" s="1062">
        <v>1</v>
      </c>
      <c r="F73" s="1062">
        <v>1</v>
      </c>
      <c r="G73" s="1062">
        <v>1</v>
      </c>
      <c r="H73" s="1062">
        <v>1</v>
      </c>
      <c r="I73" s="1050" t="s">
        <v>929</v>
      </c>
    </row>
    <row r="74" spans="1:9" ht="19.5">
      <c r="A74" s="1040" t="s">
        <v>930</v>
      </c>
      <c r="B74" s="1048">
        <f t="shared" ref="B74:H74" si="8">SUM(B75:B89)</f>
        <v>7</v>
      </c>
      <c r="C74" s="1048">
        <f t="shared" si="8"/>
        <v>11</v>
      </c>
      <c r="D74" s="1048">
        <f t="shared" si="8"/>
        <v>12</v>
      </c>
      <c r="E74" s="1048">
        <f t="shared" si="8"/>
        <v>12</v>
      </c>
      <c r="F74" s="1048">
        <f t="shared" si="8"/>
        <v>12</v>
      </c>
      <c r="G74" s="1048">
        <f t="shared" si="8"/>
        <v>12</v>
      </c>
      <c r="H74" s="1048">
        <f t="shared" si="8"/>
        <v>14</v>
      </c>
      <c r="I74" s="1051" t="s">
        <v>931</v>
      </c>
    </row>
    <row r="75" spans="1:9" ht="19.5">
      <c r="A75" s="269" t="s">
        <v>932</v>
      </c>
      <c r="B75" s="1062">
        <v>1</v>
      </c>
      <c r="C75" s="1062">
        <v>1</v>
      </c>
      <c r="D75" s="1062">
        <v>1</v>
      </c>
      <c r="E75" s="1062">
        <v>1</v>
      </c>
      <c r="F75" s="1062">
        <v>1</v>
      </c>
      <c r="G75" s="1062">
        <v>1</v>
      </c>
      <c r="H75" s="1062">
        <v>1</v>
      </c>
      <c r="I75" s="1050" t="s">
        <v>933</v>
      </c>
    </row>
    <row r="76" spans="1:9" ht="19.5">
      <c r="A76" s="269" t="s">
        <v>934</v>
      </c>
      <c r="B76" s="1062">
        <v>1</v>
      </c>
      <c r="C76" s="1062">
        <v>1</v>
      </c>
      <c r="D76" s="1062">
        <v>1</v>
      </c>
      <c r="E76" s="1062">
        <v>1</v>
      </c>
      <c r="F76" s="1062">
        <v>1</v>
      </c>
      <c r="G76" s="1062">
        <v>1</v>
      </c>
      <c r="H76" s="1062">
        <v>2</v>
      </c>
      <c r="I76" s="1050" t="s">
        <v>935</v>
      </c>
    </row>
    <row r="77" spans="1:9" ht="19.5">
      <c r="A77" s="269" t="s">
        <v>936</v>
      </c>
      <c r="B77" s="1062">
        <v>1</v>
      </c>
      <c r="C77" s="1062">
        <v>1</v>
      </c>
      <c r="D77" s="1062">
        <v>1</v>
      </c>
      <c r="E77" s="1062">
        <v>1</v>
      </c>
      <c r="F77" s="1062">
        <v>1</v>
      </c>
      <c r="G77" s="1062">
        <v>1</v>
      </c>
      <c r="H77" s="1062">
        <v>1</v>
      </c>
      <c r="I77" s="1050" t="s">
        <v>937</v>
      </c>
    </row>
    <row r="78" spans="1:9" ht="19.5">
      <c r="A78" s="269" t="s">
        <v>938</v>
      </c>
      <c r="B78" s="1062">
        <v>1</v>
      </c>
      <c r="C78" s="1062">
        <v>1</v>
      </c>
      <c r="D78" s="1062">
        <v>1</v>
      </c>
      <c r="E78" s="1062">
        <v>1</v>
      </c>
      <c r="F78" s="1062">
        <v>1</v>
      </c>
      <c r="G78" s="1062">
        <v>1</v>
      </c>
      <c r="H78" s="1062">
        <v>1</v>
      </c>
      <c r="I78" s="1050" t="s">
        <v>939</v>
      </c>
    </row>
    <row r="79" spans="1:9" ht="19.5">
      <c r="A79" s="269" t="s">
        <v>940</v>
      </c>
      <c r="B79" s="1062">
        <v>1</v>
      </c>
      <c r="C79" s="1062">
        <v>1</v>
      </c>
      <c r="D79" s="1062">
        <v>1</v>
      </c>
      <c r="E79" s="1062">
        <v>1</v>
      </c>
      <c r="F79" s="1062">
        <v>1</v>
      </c>
      <c r="G79" s="1062">
        <v>1</v>
      </c>
      <c r="H79" s="1062">
        <v>1</v>
      </c>
      <c r="I79" s="1050" t="s">
        <v>941</v>
      </c>
    </row>
    <row r="80" spans="1:9" ht="19.5">
      <c r="A80" s="269" t="s">
        <v>942</v>
      </c>
      <c r="B80" s="1062">
        <v>1</v>
      </c>
      <c r="C80" s="1062">
        <v>1</v>
      </c>
      <c r="D80" s="1062">
        <v>1</v>
      </c>
      <c r="E80" s="1062">
        <v>1</v>
      </c>
      <c r="F80" s="1062">
        <v>1</v>
      </c>
      <c r="G80" s="1062">
        <v>1</v>
      </c>
      <c r="H80" s="1062">
        <v>2</v>
      </c>
      <c r="I80" s="1050" t="s">
        <v>943</v>
      </c>
    </row>
    <row r="81" spans="1:23" ht="19.5">
      <c r="A81" s="269" t="s">
        <v>944</v>
      </c>
      <c r="B81" s="1062">
        <v>1</v>
      </c>
      <c r="C81" s="1062">
        <v>1</v>
      </c>
      <c r="D81" s="1062">
        <v>1</v>
      </c>
      <c r="E81" s="1062">
        <v>1</v>
      </c>
      <c r="F81" s="1062">
        <v>1</v>
      </c>
      <c r="G81" s="1062">
        <v>1</v>
      </c>
      <c r="H81" s="1062">
        <v>1</v>
      </c>
      <c r="I81" s="1050" t="s">
        <v>945</v>
      </c>
    </row>
    <row r="82" spans="1:23" ht="19.5">
      <c r="A82" s="269" t="s">
        <v>946</v>
      </c>
      <c r="B82" s="1062">
        <v>0</v>
      </c>
      <c r="C82" s="1062">
        <v>1</v>
      </c>
      <c r="D82" s="1062">
        <v>1</v>
      </c>
      <c r="E82" s="1062">
        <v>1</v>
      </c>
      <c r="F82" s="1062">
        <v>1</v>
      </c>
      <c r="G82" s="1062">
        <v>1</v>
      </c>
      <c r="H82" s="1062">
        <v>1</v>
      </c>
      <c r="I82" s="1050" t="s">
        <v>947</v>
      </c>
    </row>
    <row r="83" spans="1:23" ht="19.5">
      <c r="A83" s="269" t="s">
        <v>948</v>
      </c>
      <c r="B83" s="1062">
        <v>0</v>
      </c>
      <c r="C83" s="1062">
        <v>1</v>
      </c>
      <c r="D83" s="1062">
        <v>1</v>
      </c>
      <c r="E83" s="1062">
        <v>1</v>
      </c>
      <c r="F83" s="1062">
        <v>1</v>
      </c>
      <c r="G83" s="1062">
        <v>1</v>
      </c>
      <c r="H83" s="1062">
        <v>1</v>
      </c>
      <c r="I83" s="1050" t="s">
        <v>949</v>
      </c>
    </row>
    <row r="84" spans="1:23" ht="19.5">
      <c r="A84" s="269" t="s">
        <v>950</v>
      </c>
      <c r="B84" s="1062">
        <v>0</v>
      </c>
      <c r="C84" s="1062">
        <v>1</v>
      </c>
      <c r="D84" s="1062">
        <v>1</v>
      </c>
      <c r="E84" s="1062">
        <v>1</v>
      </c>
      <c r="F84" s="1062">
        <v>1</v>
      </c>
      <c r="G84" s="1062">
        <v>1</v>
      </c>
      <c r="H84" s="1062">
        <v>1</v>
      </c>
      <c r="I84" s="1050" t="s">
        <v>951</v>
      </c>
    </row>
    <row r="85" spans="1:23" ht="19.5">
      <c r="A85" s="269" t="s">
        <v>952</v>
      </c>
      <c r="B85" s="1062">
        <v>0</v>
      </c>
      <c r="C85" s="1062">
        <v>0</v>
      </c>
      <c r="D85" s="1062">
        <v>1</v>
      </c>
      <c r="E85" s="1062">
        <v>1</v>
      </c>
      <c r="F85" s="1062">
        <v>1</v>
      </c>
      <c r="G85" s="1062">
        <v>1</v>
      </c>
      <c r="H85" s="1062">
        <v>1</v>
      </c>
      <c r="I85" s="1050" t="s">
        <v>953</v>
      </c>
    </row>
    <row r="86" spans="1:23" ht="19.5">
      <c r="A86" s="269" t="s">
        <v>954</v>
      </c>
      <c r="B86" s="1062">
        <v>0</v>
      </c>
      <c r="C86" s="1062">
        <v>0</v>
      </c>
      <c r="D86" s="1062">
        <v>0</v>
      </c>
      <c r="E86" s="1062">
        <v>0</v>
      </c>
      <c r="F86" s="1062">
        <v>0</v>
      </c>
      <c r="G86" s="1062">
        <v>0</v>
      </c>
      <c r="H86" s="1062">
        <v>0</v>
      </c>
      <c r="I86" s="1050" t="s">
        <v>955</v>
      </c>
    </row>
    <row r="87" spans="1:23" ht="19.5">
      <c r="A87" s="269" t="s">
        <v>956</v>
      </c>
      <c r="B87" s="1062">
        <v>0</v>
      </c>
      <c r="C87" s="1062">
        <v>0</v>
      </c>
      <c r="D87" s="1062">
        <v>0</v>
      </c>
      <c r="E87" s="1062">
        <v>0</v>
      </c>
      <c r="F87" s="1062">
        <v>0</v>
      </c>
      <c r="G87" s="1062">
        <v>0</v>
      </c>
      <c r="H87" s="1062">
        <v>0</v>
      </c>
      <c r="I87" s="1050" t="s">
        <v>957</v>
      </c>
    </row>
    <row r="88" spans="1:23" ht="19.5">
      <c r="A88" s="269" t="s">
        <v>958</v>
      </c>
      <c r="B88" s="1062">
        <v>0</v>
      </c>
      <c r="C88" s="1062">
        <v>0</v>
      </c>
      <c r="D88" s="1062">
        <v>0</v>
      </c>
      <c r="E88" s="1062">
        <v>0</v>
      </c>
      <c r="F88" s="1062">
        <v>0</v>
      </c>
      <c r="G88" s="1062">
        <v>0</v>
      </c>
      <c r="H88" s="1062">
        <v>0</v>
      </c>
      <c r="I88" s="1050" t="s">
        <v>959</v>
      </c>
    </row>
    <row r="89" spans="1:23" ht="19.5">
      <c r="A89" s="269" t="s">
        <v>960</v>
      </c>
      <c r="B89" s="1062">
        <v>0</v>
      </c>
      <c r="C89" s="1062">
        <v>1</v>
      </c>
      <c r="D89" s="1062">
        <v>1</v>
      </c>
      <c r="E89" s="1062">
        <v>1</v>
      </c>
      <c r="F89" s="1062">
        <v>1</v>
      </c>
      <c r="G89" s="1062">
        <v>1</v>
      </c>
      <c r="H89" s="1062">
        <v>1</v>
      </c>
      <c r="I89" s="1050" t="s">
        <v>961</v>
      </c>
    </row>
    <row r="90" spans="1:23" ht="19.5">
      <c r="A90" s="1040" t="s">
        <v>962</v>
      </c>
      <c r="B90" s="1048">
        <f t="shared" ref="B90:H90" si="9">SUM(B91:B103)</f>
        <v>5</v>
      </c>
      <c r="C90" s="1048">
        <f t="shared" si="9"/>
        <v>9</v>
      </c>
      <c r="D90" s="1048">
        <f t="shared" si="9"/>
        <v>9</v>
      </c>
      <c r="E90" s="1048">
        <f t="shared" si="9"/>
        <v>9</v>
      </c>
      <c r="F90" s="1048">
        <f t="shared" si="9"/>
        <v>8</v>
      </c>
      <c r="G90" s="1048">
        <f t="shared" si="9"/>
        <v>8</v>
      </c>
      <c r="H90" s="1048">
        <f t="shared" si="9"/>
        <v>6</v>
      </c>
      <c r="I90" s="1051" t="s">
        <v>963</v>
      </c>
      <c r="T90" s="1040" t="s">
        <v>814</v>
      </c>
      <c r="U90" s="1048">
        <f>SUM(U92:U111)</f>
        <v>137</v>
      </c>
      <c r="V90" s="1048">
        <f>SUM(V92:V111)</f>
        <v>185</v>
      </c>
      <c r="W90" s="1048"/>
    </row>
    <row r="91" spans="1:23" ht="19.5">
      <c r="A91" s="269" t="s">
        <v>964</v>
      </c>
      <c r="B91" s="1062">
        <v>1</v>
      </c>
      <c r="C91" s="1062">
        <v>1</v>
      </c>
      <c r="D91" s="1062">
        <v>1</v>
      </c>
      <c r="E91" s="1062">
        <v>1</v>
      </c>
      <c r="F91" s="1062">
        <v>1</v>
      </c>
      <c r="G91" s="1062">
        <v>0</v>
      </c>
      <c r="H91" s="1062">
        <v>1</v>
      </c>
      <c r="I91" s="1050" t="s">
        <v>965</v>
      </c>
      <c r="T91" s="1040"/>
      <c r="U91" s="1048" t="s">
        <v>966</v>
      </c>
      <c r="V91" s="1048" t="s">
        <v>967</v>
      </c>
      <c r="W91" s="1048"/>
    </row>
    <row r="92" spans="1:23" ht="19.5">
      <c r="A92" s="269" t="s">
        <v>968</v>
      </c>
      <c r="B92" s="1062">
        <v>1</v>
      </c>
      <c r="C92" s="1062">
        <v>1</v>
      </c>
      <c r="D92" s="1062">
        <v>1</v>
      </c>
      <c r="E92" s="1062">
        <v>1</v>
      </c>
      <c r="F92" s="1062">
        <v>1</v>
      </c>
      <c r="G92" s="1062">
        <v>1</v>
      </c>
      <c r="H92" s="1062">
        <v>1</v>
      </c>
      <c r="I92" s="1050" t="s">
        <v>969</v>
      </c>
      <c r="T92" s="1040" t="s">
        <v>97</v>
      </c>
      <c r="U92" s="269">
        <v>9</v>
      </c>
      <c r="V92" s="269">
        <v>14</v>
      </c>
      <c r="W92" s="1048"/>
    </row>
    <row r="93" spans="1:23" ht="19.5">
      <c r="A93" s="269" t="s">
        <v>970</v>
      </c>
      <c r="B93" s="1062">
        <v>1</v>
      </c>
      <c r="C93" s="1062">
        <v>1</v>
      </c>
      <c r="D93" s="1062">
        <v>1</v>
      </c>
      <c r="E93" s="1062">
        <v>1</v>
      </c>
      <c r="F93" s="1062">
        <v>1</v>
      </c>
      <c r="G93" s="1062">
        <v>1</v>
      </c>
      <c r="H93" s="1062">
        <v>0</v>
      </c>
      <c r="I93" s="1050" t="s">
        <v>971</v>
      </c>
      <c r="T93" s="1040" t="s">
        <v>99</v>
      </c>
      <c r="U93" s="269">
        <v>8</v>
      </c>
      <c r="V93" s="269">
        <v>13</v>
      </c>
      <c r="W93" s="1048"/>
    </row>
    <row r="94" spans="1:23" ht="19.5">
      <c r="A94" s="269" t="s">
        <v>972</v>
      </c>
      <c r="B94" s="1062">
        <v>1</v>
      </c>
      <c r="C94" s="1062">
        <v>1</v>
      </c>
      <c r="D94" s="1062">
        <v>1</v>
      </c>
      <c r="E94" s="1062">
        <v>1</v>
      </c>
      <c r="F94" s="1062">
        <v>1</v>
      </c>
      <c r="G94" s="1062">
        <v>1</v>
      </c>
      <c r="H94" s="1062">
        <v>1</v>
      </c>
      <c r="I94" s="1050" t="s">
        <v>973</v>
      </c>
      <c r="T94" s="1040" t="s">
        <v>101</v>
      </c>
      <c r="U94" s="269">
        <v>4</v>
      </c>
      <c r="V94" s="269">
        <v>13</v>
      </c>
      <c r="W94" s="1048"/>
    </row>
    <row r="95" spans="1:23" ht="19.5">
      <c r="A95" s="269" t="s">
        <v>974</v>
      </c>
      <c r="B95" s="1062">
        <v>1</v>
      </c>
      <c r="C95" s="1062">
        <v>1</v>
      </c>
      <c r="D95" s="1062">
        <v>1</v>
      </c>
      <c r="E95" s="1062">
        <v>1</v>
      </c>
      <c r="F95" s="1062">
        <v>1</v>
      </c>
      <c r="G95" s="1062">
        <v>1</v>
      </c>
      <c r="H95" s="1062">
        <v>1</v>
      </c>
      <c r="I95" s="1050" t="s">
        <v>975</v>
      </c>
      <c r="T95" s="1040" t="s">
        <v>103</v>
      </c>
      <c r="U95" s="269">
        <v>5</v>
      </c>
      <c r="V95" s="269">
        <v>13</v>
      </c>
      <c r="W95" s="1048"/>
    </row>
    <row r="96" spans="1:23" ht="19.5">
      <c r="A96" s="269" t="s">
        <v>976</v>
      </c>
      <c r="B96" s="1062">
        <v>0</v>
      </c>
      <c r="C96" s="1062">
        <v>1</v>
      </c>
      <c r="D96" s="1062">
        <v>1</v>
      </c>
      <c r="E96" s="1062">
        <v>1</v>
      </c>
      <c r="F96" s="1062">
        <v>0</v>
      </c>
      <c r="G96" s="1062">
        <v>1</v>
      </c>
      <c r="H96" s="1062">
        <v>1</v>
      </c>
      <c r="I96" s="1050" t="s">
        <v>977</v>
      </c>
      <c r="T96" s="1040" t="s">
        <v>105</v>
      </c>
      <c r="U96" s="269">
        <v>14</v>
      </c>
      <c r="V96" s="269">
        <v>15</v>
      </c>
      <c r="W96" s="1048"/>
    </row>
    <row r="97" spans="1:23" ht="19.5">
      <c r="A97" s="269" t="s">
        <v>978</v>
      </c>
      <c r="B97" s="1062">
        <v>0</v>
      </c>
      <c r="C97" s="1062">
        <v>1</v>
      </c>
      <c r="D97" s="1062">
        <v>1</v>
      </c>
      <c r="E97" s="1062">
        <v>1</v>
      </c>
      <c r="F97" s="1062">
        <v>1</v>
      </c>
      <c r="G97" s="1062">
        <v>1</v>
      </c>
      <c r="H97" s="1062">
        <v>0</v>
      </c>
      <c r="I97" s="1050" t="s">
        <v>979</v>
      </c>
      <c r="T97" s="1040" t="s">
        <v>107</v>
      </c>
      <c r="U97" s="269">
        <v>6</v>
      </c>
      <c r="V97" s="269">
        <v>13</v>
      </c>
      <c r="W97" s="1048"/>
    </row>
    <row r="98" spans="1:23" ht="19.5">
      <c r="A98" s="269" t="s">
        <v>980</v>
      </c>
      <c r="B98" s="1062">
        <v>0</v>
      </c>
      <c r="C98" s="1062">
        <v>1</v>
      </c>
      <c r="D98" s="1062">
        <v>1</v>
      </c>
      <c r="E98" s="1062">
        <v>1</v>
      </c>
      <c r="F98" s="1062">
        <v>1</v>
      </c>
      <c r="G98" s="1062">
        <v>1</v>
      </c>
      <c r="H98" s="1062">
        <v>1</v>
      </c>
      <c r="I98" s="1050" t="s">
        <v>981</v>
      </c>
      <c r="T98" s="1040" t="s">
        <v>109</v>
      </c>
      <c r="U98" s="269">
        <v>4</v>
      </c>
      <c r="V98" s="269">
        <v>4</v>
      </c>
      <c r="W98" s="1048"/>
    </row>
    <row r="99" spans="1:23" ht="19.5">
      <c r="A99" s="269" t="s">
        <v>982</v>
      </c>
      <c r="B99" s="1062">
        <v>0</v>
      </c>
      <c r="C99" s="1062">
        <v>0</v>
      </c>
      <c r="D99" s="1062">
        <v>0</v>
      </c>
      <c r="E99" s="1062">
        <v>0</v>
      </c>
      <c r="F99" s="1062">
        <v>0</v>
      </c>
      <c r="G99" s="1062">
        <v>0</v>
      </c>
      <c r="H99" s="1062">
        <v>0</v>
      </c>
      <c r="I99" s="1050" t="s">
        <v>983</v>
      </c>
      <c r="T99" s="1040" t="s">
        <v>111</v>
      </c>
      <c r="U99" s="269">
        <v>10</v>
      </c>
      <c r="V99" s="269">
        <v>9</v>
      </c>
      <c r="W99" s="1048"/>
    </row>
    <row r="100" spans="1:23" ht="19.5">
      <c r="A100" s="269" t="s">
        <v>984</v>
      </c>
      <c r="B100" s="1062">
        <v>0</v>
      </c>
      <c r="C100" s="1062">
        <v>0</v>
      </c>
      <c r="D100" s="1062">
        <v>0</v>
      </c>
      <c r="E100" s="1062">
        <v>0</v>
      </c>
      <c r="F100" s="1062">
        <v>0</v>
      </c>
      <c r="G100" s="1062">
        <v>0</v>
      </c>
      <c r="H100" s="1062">
        <v>0</v>
      </c>
      <c r="I100" s="1050" t="s">
        <v>985</v>
      </c>
      <c r="T100" s="1040" t="s">
        <v>113</v>
      </c>
      <c r="U100" s="269">
        <v>5</v>
      </c>
      <c r="V100" s="269">
        <v>8</v>
      </c>
      <c r="W100" s="1048"/>
    </row>
    <row r="101" spans="1:23" ht="19.5">
      <c r="A101" s="269" t="s">
        <v>986</v>
      </c>
      <c r="B101" s="1062">
        <v>0</v>
      </c>
      <c r="C101" s="1062">
        <v>0</v>
      </c>
      <c r="D101" s="1062">
        <v>0</v>
      </c>
      <c r="E101" s="1062">
        <v>0</v>
      </c>
      <c r="F101" s="1062">
        <v>0</v>
      </c>
      <c r="G101" s="1062">
        <v>0</v>
      </c>
      <c r="H101" s="1062">
        <v>0</v>
      </c>
      <c r="I101" s="1050" t="s">
        <v>987</v>
      </c>
      <c r="T101" s="1040" t="s">
        <v>115</v>
      </c>
      <c r="U101" s="269">
        <v>7</v>
      </c>
      <c r="V101" s="269">
        <v>10</v>
      </c>
      <c r="W101" s="1048"/>
    </row>
    <row r="102" spans="1:23" ht="19.5">
      <c r="A102" s="269" t="s">
        <v>988</v>
      </c>
      <c r="B102" s="1062">
        <v>0</v>
      </c>
      <c r="C102" s="1062">
        <v>0</v>
      </c>
      <c r="D102" s="1062">
        <v>0</v>
      </c>
      <c r="E102" s="1062">
        <v>0</v>
      </c>
      <c r="F102" s="1062">
        <v>0</v>
      </c>
      <c r="G102" s="1062">
        <v>0</v>
      </c>
      <c r="H102" s="1062">
        <v>0</v>
      </c>
      <c r="I102" s="1050" t="s">
        <v>989</v>
      </c>
      <c r="T102" s="1040" t="s">
        <v>117</v>
      </c>
      <c r="U102" s="269">
        <v>2</v>
      </c>
      <c r="V102" s="269">
        <v>5</v>
      </c>
      <c r="W102" s="1048"/>
    </row>
    <row r="103" spans="1:23" ht="19.5">
      <c r="A103" s="269" t="s">
        <v>990</v>
      </c>
      <c r="B103" s="1062">
        <v>0</v>
      </c>
      <c r="C103" s="1062">
        <v>1</v>
      </c>
      <c r="D103" s="1062">
        <v>1</v>
      </c>
      <c r="E103" s="1062">
        <v>1</v>
      </c>
      <c r="F103" s="1062">
        <v>1</v>
      </c>
      <c r="G103" s="1062">
        <v>1</v>
      </c>
      <c r="H103" s="1062">
        <v>0</v>
      </c>
      <c r="I103" s="1050" t="s">
        <v>991</v>
      </c>
      <c r="T103" s="1040" t="s">
        <v>119</v>
      </c>
      <c r="U103" s="269">
        <v>5</v>
      </c>
      <c r="V103" s="269">
        <v>8</v>
      </c>
      <c r="W103" s="1048"/>
    </row>
    <row r="104" spans="1:23" ht="19.5">
      <c r="A104" s="1040" t="s">
        <v>992</v>
      </c>
      <c r="B104" s="1048">
        <f t="shared" ref="B104:H104" si="10">SUM(B105:B108)</f>
        <v>1</v>
      </c>
      <c r="C104" s="1048">
        <f t="shared" si="10"/>
        <v>2</v>
      </c>
      <c r="D104" s="1048">
        <f t="shared" si="10"/>
        <v>2</v>
      </c>
      <c r="E104" s="1048">
        <f t="shared" si="10"/>
        <v>2</v>
      </c>
      <c r="F104" s="1048">
        <f t="shared" si="10"/>
        <v>2</v>
      </c>
      <c r="G104" s="1048">
        <f t="shared" si="10"/>
        <v>4</v>
      </c>
      <c r="H104" s="1048">
        <f t="shared" si="10"/>
        <v>4</v>
      </c>
      <c r="I104" s="1051" t="s">
        <v>993</v>
      </c>
      <c r="T104" s="1040" t="s">
        <v>121</v>
      </c>
      <c r="U104" s="269">
        <v>4</v>
      </c>
      <c r="V104" s="269">
        <v>5</v>
      </c>
      <c r="W104" s="1048"/>
    </row>
    <row r="105" spans="1:23" ht="19.5">
      <c r="A105" s="269" t="s">
        <v>994</v>
      </c>
      <c r="B105" s="1062">
        <v>1</v>
      </c>
      <c r="C105" s="1062">
        <v>1</v>
      </c>
      <c r="D105" s="1062">
        <v>1</v>
      </c>
      <c r="E105" s="1062">
        <v>1</v>
      </c>
      <c r="F105" s="1062">
        <v>1</v>
      </c>
      <c r="G105" s="1062">
        <v>2</v>
      </c>
      <c r="H105" s="1062">
        <v>2</v>
      </c>
      <c r="I105" s="1050" t="s">
        <v>995</v>
      </c>
      <c r="T105" s="1040" t="s">
        <v>123</v>
      </c>
      <c r="U105" s="269">
        <v>5</v>
      </c>
      <c r="V105" s="269">
        <v>6</v>
      </c>
      <c r="W105" s="1048"/>
    </row>
    <row r="106" spans="1:23" ht="19.5">
      <c r="A106" s="269" t="s">
        <v>996</v>
      </c>
      <c r="B106" s="1062">
        <v>0</v>
      </c>
      <c r="C106" s="1062">
        <v>0</v>
      </c>
      <c r="D106" s="1062">
        <v>0</v>
      </c>
      <c r="E106" s="1062">
        <v>0</v>
      </c>
      <c r="F106" s="1062">
        <v>0</v>
      </c>
      <c r="G106" s="1062">
        <v>1</v>
      </c>
      <c r="H106" s="1062">
        <v>1</v>
      </c>
      <c r="I106" s="1050" t="s">
        <v>997</v>
      </c>
      <c r="T106" s="1040" t="s">
        <v>125</v>
      </c>
      <c r="U106" s="269">
        <v>8</v>
      </c>
      <c r="V106" s="269">
        <v>13</v>
      </c>
      <c r="W106" s="1048"/>
    </row>
    <row r="107" spans="1:23" ht="19.5">
      <c r="A107" s="269" t="s">
        <v>998</v>
      </c>
      <c r="B107" s="1062">
        <v>0</v>
      </c>
      <c r="C107" s="1062">
        <v>0</v>
      </c>
      <c r="D107" s="1062">
        <v>0</v>
      </c>
      <c r="E107" s="1062">
        <v>0</v>
      </c>
      <c r="F107" s="1062">
        <v>0</v>
      </c>
      <c r="G107" s="1062">
        <v>0</v>
      </c>
      <c r="H107" s="1062">
        <v>0</v>
      </c>
      <c r="I107" s="1050" t="s">
        <v>999</v>
      </c>
      <c r="T107" s="1040" t="s">
        <v>110</v>
      </c>
      <c r="U107" s="269">
        <v>12</v>
      </c>
      <c r="V107" s="269">
        <v>11</v>
      </c>
      <c r="W107" s="1048"/>
    </row>
    <row r="108" spans="1:23" ht="19.5">
      <c r="A108" s="269" t="s">
        <v>1000</v>
      </c>
      <c r="B108" s="1062">
        <v>0</v>
      </c>
      <c r="C108" s="1062">
        <v>1</v>
      </c>
      <c r="D108" s="1062">
        <v>1</v>
      </c>
      <c r="E108" s="1062">
        <v>1</v>
      </c>
      <c r="F108" s="1062">
        <v>1</v>
      </c>
      <c r="G108" s="1062">
        <v>1</v>
      </c>
      <c r="H108" s="1062">
        <v>1</v>
      </c>
      <c r="I108" s="1050" t="s">
        <v>1001</v>
      </c>
      <c r="T108" s="1040" t="s">
        <v>128</v>
      </c>
      <c r="U108" s="269">
        <v>8</v>
      </c>
      <c r="V108" s="269">
        <v>9</v>
      </c>
      <c r="W108" s="1048"/>
    </row>
    <row r="109" spans="1:23" ht="19.5">
      <c r="A109" s="1040" t="s">
        <v>1002</v>
      </c>
      <c r="B109" s="1048">
        <f t="shared" ref="B109:H109" si="11">SUM(B110:B118)</f>
        <v>8</v>
      </c>
      <c r="C109" s="1048">
        <f t="shared" si="11"/>
        <v>7</v>
      </c>
      <c r="D109" s="1048">
        <f t="shared" si="11"/>
        <v>9</v>
      </c>
      <c r="E109" s="1048">
        <f t="shared" si="11"/>
        <v>8</v>
      </c>
      <c r="F109" s="1048">
        <f t="shared" si="11"/>
        <v>8</v>
      </c>
      <c r="G109" s="1048">
        <f t="shared" si="11"/>
        <v>7</v>
      </c>
      <c r="H109" s="1048">
        <f t="shared" si="11"/>
        <v>10</v>
      </c>
      <c r="I109" s="1051" t="s">
        <v>1003</v>
      </c>
      <c r="T109" s="1040" t="s">
        <v>130</v>
      </c>
      <c r="U109" s="269">
        <v>10</v>
      </c>
      <c r="V109" s="269">
        <v>9</v>
      </c>
      <c r="W109" s="1048"/>
    </row>
    <row r="110" spans="1:23" ht="19.5">
      <c r="A110" s="269" t="s">
        <v>1004</v>
      </c>
      <c r="B110" s="1062">
        <v>1</v>
      </c>
      <c r="C110" s="1062">
        <v>0</v>
      </c>
      <c r="D110" s="1062">
        <v>2</v>
      </c>
      <c r="E110" s="1062">
        <v>1</v>
      </c>
      <c r="F110" s="1062">
        <v>1</v>
      </c>
      <c r="G110" s="1062">
        <v>1</v>
      </c>
      <c r="H110" s="1062">
        <v>2</v>
      </c>
      <c r="I110" s="1050" t="s">
        <v>1005</v>
      </c>
      <c r="T110" s="1040" t="s">
        <v>132</v>
      </c>
      <c r="U110" s="269">
        <v>4</v>
      </c>
      <c r="V110" s="269">
        <v>1</v>
      </c>
      <c r="W110" s="1048"/>
    </row>
    <row r="111" spans="1:23" ht="19.5">
      <c r="A111" s="269" t="s">
        <v>1006</v>
      </c>
      <c r="B111" s="1062">
        <v>1</v>
      </c>
      <c r="C111" s="1062">
        <v>0</v>
      </c>
      <c r="D111" s="1062">
        <v>1</v>
      </c>
      <c r="E111" s="1062">
        <v>1</v>
      </c>
      <c r="F111" s="1062">
        <v>1</v>
      </c>
      <c r="G111" s="1062">
        <v>1</v>
      </c>
      <c r="H111" s="1062">
        <v>1</v>
      </c>
      <c r="I111" s="1050" t="s">
        <v>1007</v>
      </c>
      <c r="T111" s="1040" t="s">
        <v>102</v>
      </c>
      <c r="U111" s="269">
        <v>7</v>
      </c>
      <c r="V111" s="269">
        <v>6</v>
      </c>
      <c r="W111" s="1048"/>
    </row>
    <row r="112" spans="1:23" ht="19.5">
      <c r="A112" s="269" t="s">
        <v>1008</v>
      </c>
      <c r="B112" s="1062">
        <v>1</v>
      </c>
      <c r="C112" s="1062">
        <v>1</v>
      </c>
      <c r="D112" s="1062">
        <v>1</v>
      </c>
      <c r="E112" s="1062">
        <v>1</v>
      </c>
      <c r="F112" s="1062">
        <v>1</v>
      </c>
      <c r="G112" s="1062">
        <v>1</v>
      </c>
      <c r="H112" s="1062">
        <v>1</v>
      </c>
      <c r="I112" s="1050" t="s">
        <v>1009</v>
      </c>
      <c r="U112" s="269">
        <f>SUM(U92:U111)</f>
        <v>137</v>
      </c>
      <c r="V112" s="269">
        <f>SUM(V92:V111)</f>
        <v>185</v>
      </c>
      <c r="W112" s="1048"/>
    </row>
    <row r="113" spans="1:23" ht="19.5">
      <c r="A113" s="269" t="s">
        <v>1010</v>
      </c>
      <c r="B113" s="1062">
        <v>1</v>
      </c>
      <c r="C113" s="1062">
        <v>1</v>
      </c>
      <c r="D113" s="1062">
        <v>0</v>
      </c>
      <c r="E113" s="1062">
        <v>0</v>
      </c>
      <c r="F113" s="1062">
        <v>1</v>
      </c>
      <c r="G113" s="1062">
        <v>1</v>
      </c>
      <c r="H113" s="1062">
        <v>1</v>
      </c>
      <c r="I113" s="1050" t="s">
        <v>1011</v>
      </c>
      <c r="W113" s="1048"/>
    </row>
    <row r="114" spans="1:23" ht="19.5">
      <c r="A114" s="269" t="s">
        <v>1012</v>
      </c>
      <c r="B114" s="1062">
        <v>1</v>
      </c>
      <c r="C114" s="1062">
        <v>1</v>
      </c>
      <c r="D114" s="1062">
        <v>1</v>
      </c>
      <c r="E114" s="1062">
        <v>1</v>
      </c>
      <c r="F114" s="1062">
        <v>1</v>
      </c>
      <c r="G114" s="1062">
        <v>0</v>
      </c>
      <c r="H114" s="1062">
        <v>1</v>
      </c>
      <c r="I114" s="1050" t="s">
        <v>1013</v>
      </c>
      <c r="W114" s="1048"/>
    </row>
    <row r="115" spans="1:23" ht="19.5">
      <c r="A115" s="269" t="s">
        <v>1014</v>
      </c>
      <c r="B115" s="1062">
        <v>1</v>
      </c>
      <c r="C115" s="1062">
        <v>1</v>
      </c>
      <c r="D115" s="1062">
        <v>1</v>
      </c>
      <c r="E115" s="1062">
        <v>1</v>
      </c>
      <c r="F115" s="1062">
        <v>1</v>
      </c>
      <c r="G115" s="1062">
        <v>1</v>
      </c>
      <c r="H115" s="1062">
        <v>1</v>
      </c>
      <c r="I115" s="1050" t="s">
        <v>1015</v>
      </c>
      <c r="W115" s="1048"/>
    </row>
    <row r="116" spans="1:23" ht="19.5">
      <c r="A116" s="269" t="s">
        <v>1016</v>
      </c>
      <c r="B116" s="1062">
        <v>1</v>
      </c>
      <c r="C116" s="1062">
        <v>1</v>
      </c>
      <c r="D116" s="1062">
        <v>1</v>
      </c>
      <c r="E116" s="1062">
        <v>1</v>
      </c>
      <c r="F116" s="1062">
        <v>1</v>
      </c>
      <c r="G116" s="1062">
        <v>1</v>
      </c>
      <c r="H116" s="1062">
        <v>1</v>
      </c>
      <c r="I116" s="1050" t="s">
        <v>1017</v>
      </c>
      <c r="W116" s="1048"/>
    </row>
    <row r="117" spans="1:23" ht="19.5">
      <c r="A117" s="269" t="s">
        <v>1018</v>
      </c>
      <c r="B117" s="1062">
        <v>1</v>
      </c>
      <c r="C117" s="1062">
        <v>1</v>
      </c>
      <c r="D117" s="1062">
        <v>1</v>
      </c>
      <c r="E117" s="1062">
        <v>1</v>
      </c>
      <c r="F117" s="1062">
        <v>0</v>
      </c>
      <c r="G117" s="1062">
        <v>0</v>
      </c>
      <c r="H117" s="1062">
        <v>1</v>
      </c>
      <c r="I117" s="1050" t="s">
        <v>1019</v>
      </c>
      <c r="W117" s="1048"/>
    </row>
    <row r="118" spans="1:23" ht="19.5">
      <c r="A118" s="269" t="s">
        <v>1020</v>
      </c>
      <c r="B118" s="1062">
        <v>0</v>
      </c>
      <c r="C118" s="1062">
        <v>1</v>
      </c>
      <c r="D118" s="1062">
        <v>1</v>
      </c>
      <c r="E118" s="1062">
        <v>1</v>
      </c>
      <c r="F118" s="1062">
        <v>1</v>
      </c>
      <c r="G118" s="1062">
        <v>1</v>
      </c>
      <c r="H118" s="1062">
        <v>1</v>
      </c>
      <c r="I118" s="1050" t="s">
        <v>1021</v>
      </c>
      <c r="T118" s="1040"/>
      <c r="U118" s="1048"/>
      <c r="V118" s="1048"/>
      <c r="W118" s="1048"/>
    </row>
    <row r="119" spans="1:23" ht="19.5">
      <c r="A119" s="1040" t="s">
        <v>1022</v>
      </c>
      <c r="B119" s="1048">
        <f t="shared" ref="B119:H119" si="12">SUM(B120:B127)</f>
        <v>7</v>
      </c>
      <c r="C119" s="1048">
        <f t="shared" si="12"/>
        <v>7</v>
      </c>
      <c r="D119" s="1048">
        <f t="shared" si="12"/>
        <v>5</v>
      </c>
      <c r="E119" s="1048">
        <f t="shared" si="12"/>
        <v>5</v>
      </c>
      <c r="F119" s="1048">
        <f t="shared" si="12"/>
        <v>4</v>
      </c>
      <c r="G119" s="1048">
        <f t="shared" si="12"/>
        <v>4</v>
      </c>
      <c r="H119" s="1048">
        <f t="shared" si="12"/>
        <v>5</v>
      </c>
      <c r="I119" s="1051" t="s">
        <v>1023</v>
      </c>
      <c r="T119" s="1040"/>
      <c r="U119" s="1048"/>
      <c r="V119" s="1048"/>
      <c r="W119" s="1048"/>
    </row>
    <row r="120" spans="1:23" ht="19.5">
      <c r="A120" s="269" t="s">
        <v>1024</v>
      </c>
      <c r="B120" s="1062">
        <v>2</v>
      </c>
      <c r="C120" s="1062">
        <v>2</v>
      </c>
      <c r="D120" s="1062">
        <v>1</v>
      </c>
      <c r="E120" s="1062">
        <v>1</v>
      </c>
      <c r="F120" s="1062">
        <v>1</v>
      </c>
      <c r="G120" s="1062">
        <v>1</v>
      </c>
      <c r="H120" s="1062">
        <v>1</v>
      </c>
      <c r="I120" s="1050" t="s">
        <v>1025</v>
      </c>
      <c r="T120" s="1040"/>
      <c r="U120" s="1048"/>
      <c r="V120" s="1048"/>
      <c r="W120" s="1048"/>
    </row>
    <row r="121" spans="1:23" ht="19.5">
      <c r="A121" s="269" t="s">
        <v>1026</v>
      </c>
      <c r="B121" s="1062">
        <v>1</v>
      </c>
      <c r="C121" s="1062">
        <v>0</v>
      </c>
      <c r="D121" s="1062">
        <v>1</v>
      </c>
      <c r="E121" s="1062">
        <v>1</v>
      </c>
      <c r="F121" s="1062">
        <v>1</v>
      </c>
      <c r="G121" s="1062">
        <v>1</v>
      </c>
      <c r="H121" s="1062">
        <v>1</v>
      </c>
      <c r="I121" s="1050" t="s">
        <v>1027</v>
      </c>
      <c r="T121" s="1040"/>
      <c r="U121" s="1048"/>
      <c r="V121" s="1048"/>
      <c r="W121" s="1048"/>
    </row>
    <row r="122" spans="1:23" ht="19.5">
      <c r="A122" s="269" t="s">
        <v>1028</v>
      </c>
      <c r="B122" s="1062">
        <v>1</v>
      </c>
      <c r="C122" s="1062">
        <v>1</v>
      </c>
      <c r="D122" s="1062">
        <v>0</v>
      </c>
      <c r="E122" s="1062">
        <v>0</v>
      </c>
      <c r="F122" s="1062">
        <v>0</v>
      </c>
      <c r="G122" s="1062">
        <v>0</v>
      </c>
      <c r="H122" s="1062">
        <v>0</v>
      </c>
      <c r="I122" s="1050" t="s">
        <v>1029</v>
      </c>
      <c r="T122" s="1040"/>
      <c r="U122" s="1048"/>
      <c r="V122" s="1048"/>
      <c r="W122" s="1048"/>
    </row>
    <row r="123" spans="1:23" ht="19.5">
      <c r="A123" s="269" t="s">
        <v>1030</v>
      </c>
      <c r="B123" s="1062">
        <v>1</v>
      </c>
      <c r="C123" s="1062">
        <v>1</v>
      </c>
      <c r="D123" s="1062">
        <v>1</v>
      </c>
      <c r="E123" s="1062">
        <v>1</v>
      </c>
      <c r="F123" s="1062">
        <v>1</v>
      </c>
      <c r="G123" s="1062">
        <v>1</v>
      </c>
      <c r="H123" s="1062">
        <v>1</v>
      </c>
      <c r="I123" s="1050" t="s">
        <v>1031</v>
      </c>
      <c r="T123" s="1040"/>
      <c r="U123" s="1048"/>
      <c r="V123" s="1048"/>
      <c r="W123" s="1048"/>
    </row>
    <row r="124" spans="1:23" ht="19.5">
      <c r="A124" s="269" t="s">
        <v>1032</v>
      </c>
      <c r="B124" s="1062">
        <v>1</v>
      </c>
      <c r="C124" s="1062">
        <v>1</v>
      </c>
      <c r="D124" s="1062">
        <v>1</v>
      </c>
      <c r="E124" s="1062">
        <v>1</v>
      </c>
      <c r="F124" s="1062">
        <v>0</v>
      </c>
      <c r="G124" s="1062">
        <v>0</v>
      </c>
      <c r="H124" s="1062">
        <v>1</v>
      </c>
      <c r="I124" s="1050" t="s">
        <v>1033</v>
      </c>
    </row>
    <row r="125" spans="1:23" ht="19.5">
      <c r="A125" s="269" t="s">
        <v>1034</v>
      </c>
      <c r="B125" s="1062">
        <v>1</v>
      </c>
      <c r="C125" s="1062">
        <v>1</v>
      </c>
      <c r="D125" s="1062">
        <v>1</v>
      </c>
      <c r="E125" s="1062">
        <v>1</v>
      </c>
      <c r="F125" s="1062">
        <v>1</v>
      </c>
      <c r="G125" s="1062">
        <v>1</v>
      </c>
      <c r="H125" s="1062">
        <v>1</v>
      </c>
      <c r="I125" s="1050" t="s">
        <v>1035</v>
      </c>
    </row>
    <row r="126" spans="1:23" ht="19.5">
      <c r="A126" s="269" t="s">
        <v>1036</v>
      </c>
      <c r="B126" s="1062">
        <v>0</v>
      </c>
      <c r="C126" s="1062">
        <v>0</v>
      </c>
      <c r="D126" s="1062">
        <v>0</v>
      </c>
      <c r="E126" s="1062">
        <v>0</v>
      </c>
      <c r="F126" s="1062">
        <v>0</v>
      </c>
      <c r="G126" s="1062">
        <v>0</v>
      </c>
      <c r="H126" s="1062">
        <v>0</v>
      </c>
      <c r="I126" s="1050" t="s">
        <v>1037</v>
      </c>
    </row>
    <row r="127" spans="1:23" ht="19.5">
      <c r="A127" s="269" t="s">
        <v>1038</v>
      </c>
      <c r="B127" s="1062">
        <v>0</v>
      </c>
      <c r="C127" s="1062">
        <v>1</v>
      </c>
      <c r="D127" s="1062">
        <v>0</v>
      </c>
      <c r="E127" s="1062">
        <v>0</v>
      </c>
      <c r="F127" s="1062">
        <v>0</v>
      </c>
      <c r="G127" s="1062">
        <v>0</v>
      </c>
      <c r="H127" s="1062">
        <v>0</v>
      </c>
      <c r="I127" s="1050" t="s">
        <v>1039</v>
      </c>
    </row>
    <row r="128" spans="1:23" ht="30">
      <c r="A128" s="1040" t="s">
        <v>1040</v>
      </c>
      <c r="B128" s="1048">
        <f t="shared" ref="B128:H128" si="13">SUM(B129:B138)</f>
        <v>4</v>
      </c>
      <c r="C128" s="1048">
        <f t="shared" si="13"/>
        <v>6</v>
      </c>
      <c r="D128" s="1048">
        <f t="shared" si="13"/>
        <v>6</v>
      </c>
      <c r="E128" s="1048">
        <f t="shared" si="13"/>
        <v>6</v>
      </c>
      <c r="F128" s="1048">
        <f t="shared" si="13"/>
        <v>5</v>
      </c>
      <c r="G128" s="1048">
        <f t="shared" si="13"/>
        <v>5</v>
      </c>
      <c r="H128" s="1048">
        <f t="shared" si="13"/>
        <v>7</v>
      </c>
      <c r="I128" s="1051" t="s">
        <v>1041</v>
      </c>
      <c r="T128" s="1046">
        <f>T129+T130</f>
        <v>197</v>
      </c>
      <c r="U128" s="1052" t="s">
        <v>5</v>
      </c>
    </row>
    <row r="129" spans="1:21" ht="19.5">
      <c r="A129" s="269" t="s">
        <v>1042</v>
      </c>
      <c r="B129" s="1062">
        <v>1</v>
      </c>
      <c r="C129" s="1062">
        <v>1</v>
      </c>
      <c r="D129" s="1062">
        <v>2</v>
      </c>
      <c r="E129" s="1062">
        <v>2</v>
      </c>
      <c r="F129" s="1062">
        <v>2</v>
      </c>
      <c r="G129" s="1062">
        <v>2</v>
      </c>
      <c r="H129" s="1062">
        <v>1</v>
      </c>
      <c r="I129" s="1050" t="s">
        <v>1043</v>
      </c>
      <c r="S129" s="1048" t="s">
        <v>72</v>
      </c>
      <c r="T129" s="1048">
        <f>H16</f>
        <v>137</v>
      </c>
      <c r="U129" s="1052">
        <f>T129/T128*100</f>
        <v>69.543147208121823</v>
      </c>
    </row>
    <row r="130" spans="1:21" ht="19.5">
      <c r="A130" s="269" t="s">
        <v>1044</v>
      </c>
      <c r="B130" s="1062">
        <v>1</v>
      </c>
      <c r="C130" s="1062">
        <v>1</v>
      </c>
      <c r="D130" s="1062">
        <v>1</v>
      </c>
      <c r="E130" s="1062">
        <v>1</v>
      </c>
      <c r="F130" s="1062">
        <v>0</v>
      </c>
      <c r="G130" s="1062">
        <v>0</v>
      </c>
      <c r="H130" s="1062">
        <v>1</v>
      </c>
      <c r="I130" s="1050" t="s">
        <v>1045</v>
      </c>
      <c r="S130" s="1048" t="s">
        <v>71</v>
      </c>
      <c r="T130" s="1048">
        <f>H7</f>
        <v>60</v>
      </c>
      <c r="U130" s="1052">
        <f>T130/T128*100</f>
        <v>30.456852791878177</v>
      </c>
    </row>
    <row r="131" spans="1:21" ht="19.5">
      <c r="A131" s="269" t="s">
        <v>1046</v>
      </c>
      <c r="B131" s="1062">
        <v>1</v>
      </c>
      <c r="C131" s="1062">
        <v>1</v>
      </c>
      <c r="D131" s="1062">
        <v>1</v>
      </c>
      <c r="E131" s="1062">
        <v>1</v>
      </c>
      <c r="F131" s="1062">
        <v>1</v>
      </c>
      <c r="G131" s="1062">
        <v>1</v>
      </c>
      <c r="H131" s="1062">
        <v>1</v>
      </c>
      <c r="I131" s="1050" t="s">
        <v>1047</v>
      </c>
    </row>
    <row r="132" spans="1:21" ht="19.5">
      <c r="A132" s="269" t="s">
        <v>1048</v>
      </c>
      <c r="B132" s="1062">
        <v>1</v>
      </c>
      <c r="C132" s="1062">
        <v>1</v>
      </c>
      <c r="D132" s="1062">
        <v>1</v>
      </c>
      <c r="E132" s="1062">
        <v>1</v>
      </c>
      <c r="F132" s="1062">
        <v>1</v>
      </c>
      <c r="G132" s="1062">
        <v>1</v>
      </c>
      <c r="H132" s="1062">
        <v>1</v>
      </c>
      <c r="I132" s="1050" t="s">
        <v>1049</v>
      </c>
    </row>
    <row r="133" spans="1:21" ht="19.5">
      <c r="A133" s="269" t="s">
        <v>1050</v>
      </c>
      <c r="B133" s="1062">
        <v>0</v>
      </c>
      <c r="C133" s="1062">
        <v>0</v>
      </c>
      <c r="D133" s="1062">
        <v>1</v>
      </c>
      <c r="E133" s="1062">
        <v>1</v>
      </c>
      <c r="F133" s="1062">
        <v>1</v>
      </c>
      <c r="G133" s="1062">
        <v>1</v>
      </c>
      <c r="H133" s="1062">
        <v>1</v>
      </c>
      <c r="I133" s="1050" t="s">
        <v>1051</v>
      </c>
    </row>
    <row r="134" spans="1:21" ht="19.5">
      <c r="A134" s="269" t="s">
        <v>1052</v>
      </c>
      <c r="B134" s="1062">
        <v>0</v>
      </c>
      <c r="C134" s="1062">
        <v>1</v>
      </c>
      <c r="D134" s="1062">
        <v>0</v>
      </c>
      <c r="E134" s="1062">
        <v>0</v>
      </c>
      <c r="F134" s="1062">
        <v>0</v>
      </c>
      <c r="G134" s="1062">
        <v>0</v>
      </c>
      <c r="H134" s="1062">
        <v>0</v>
      </c>
      <c r="I134" s="1050" t="s">
        <v>1053</v>
      </c>
    </row>
    <row r="135" spans="1:21" ht="19.5">
      <c r="A135" s="269" t="s">
        <v>1054</v>
      </c>
      <c r="B135" s="1062">
        <v>0</v>
      </c>
      <c r="C135" s="1062">
        <v>0</v>
      </c>
      <c r="D135" s="1062">
        <v>0</v>
      </c>
      <c r="E135" s="1062">
        <v>0</v>
      </c>
      <c r="F135" s="1062">
        <v>0</v>
      </c>
      <c r="G135" s="1062">
        <v>0</v>
      </c>
      <c r="H135" s="1062">
        <v>0</v>
      </c>
      <c r="I135" s="1050" t="s">
        <v>1055</v>
      </c>
    </row>
    <row r="136" spans="1:21" ht="19.5">
      <c r="A136" s="269" t="s">
        <v>1056</v>
      </c>
      <c r="B136" s="1062">
        <v>0</v>
      </c>
      <c r="C136" s="1062">
        <v>0</v>
      </c>
      <c r="D136" s="1062">
        <v>0</v>
      </c>
      <c r="E136" s="1062">
        <v>0</v>
      </c>
      <c r="F136" s="1062">
        <v>0</v>
      </c>
      <c r="G136" s="1062">
        <v>0</v>
      </c>
      <c r="H136" s="1062">
        <v>0</v>
      </c>
      <c r="I136" s="1050" t="s">
        <v>1057</v>
      </c>
    </row>
    <row r="137" spans="1:21" ht="19.5">
      <c r="A137" s="269" t="s">
        <v>1058</v>
      </c>
      <c r="B137" s="1062">
        <v>0</v>
      </c>
      <c r="C137" s="1062">
        <v>0</v>
      </c>
      <c r="D137" s="1062">
        <v>0</v>
      </c>
      <c r="E137" s="1062">
        <v>0</v>
      </c>
      <c r="F137" s="1062">
        <v>0</v>
      </c>
      <c r="G137" s="1062">
        <v>0</v>
      </c>
      <c r="H137" s="1062">
        <v>1</v>
      </c>
      <c r="I137" s="1050" t="s">
        <v>1059</v>
      </c>
    </row>
    <row r="138" spans="1:21" ht="19.5">
      <c r="A138" s="269" t="s">
        <v>1060</v>
      </c>
      <c r="B138" s="1062">
        <v>0</v>
      </c>
      <c r="C138" s="1062">
        <v>1</v>
      </c>
      <c r="D138" s="1062">
        <v>0</v>
      </c>
      <c r="E138" s="1062">
        <v>0</v>
      </c>
      <c r="F138" s="1062">
        <v>0</v>
      </c>
      <c r="G138" s="1062">
        <v>0</v>
      </c>
      <c r="H138" s="1062">
        <v>1</v>
      </c>
      <c r="I138" s="1050" t="s">
        <v>1061</v>
      </c>
    </row>
    <row r="139" spans="1:21" ht="19.5">
      <c r="A139" s="1040" t="s">
        <v>1062</v>
      </c>
      <c r="B139" s="1048">
        <f t="shared" ref="B139:G139" si="14">SUM(B140:B144)</f>
        <v>2</v>
      </c>
      <c r="C139" s="1048">
        <f t="shared" si="14"/>
        <v>4</v>
      </c>
      <c r="D139" s="1048">
        <f t="shared" si="14"/>
        <v>3</v>
      </c>
      <c r="E139" s="1048">
        <f t="shared" si="14"/>
        <v>2</v>
      </c>
      <c r="F139" s="1048">
        <f t="shared" si="14"/>
        <v>2</v>
      </c>
      <c r="G139" s="1048">
        <f t="shared" si="14"/>
        <v>2</v>
      </c>
      <c r="H139" s="1048">
        <f t="shared" ref="H139" si="15">SUM(H140:H144)</f>
        <v>2</v>
      </c>
      <c r="I139" s="1051" t="s">
        <v>1063</v>
      </c>
    </row>
    <row r="140" spans="1:21" ht="19.5">
      <c r="A140" s="269" t="s">
        <v>1064</v>
      </c>
      <c r="B140" s="1062">
        <v>0</v>
      </c>
      <c r="C140" s="1062">
        <v>1</v>
      </c>
      <c r="D140" s="1062">
        <v>1</v>
      </c>
      <c r="E140" s="1062">
        <v>1</v>
      </c>
      <c r="F140" s="1062">
        <v>0</v>
      </c>
      <c r="G140" s="1062">
        <v>0</v>
      </c>
      <c r="H140" s="1062">
        <v>0</v>
      </c>
      <c r="I140" s="1050" t="s">
        <v>1065</v>
      </c>
    </row>
    <row r="141" spans="1:21" ht="19.5">
      <c r="A141" s="269" t="s">
        <v>1066</v>
      </c>
      <c r="B141" s="1062">
        <v>1</v>
      </c>
      <c r="C141" s="1062">
        <v>1</v>
      </c>
      <c r="D141" s="1062">
        <v>0</v>
      </c>
      <c r="E141" s="1062">
        <v>0</v>
      </c>
      <c r="F141" s="1062">
        <v>0</v>
      </c>
      <c r="G141" s="1062">
        <v>0</v>
      </c>
      <c r="H141" s="1062">
        <v>0</v>
      </c>
      <c r="I141" s="1050" t="s">
        <v>1067</v>
      </c>
    </row>
    <row r="142" spans="1:21" ht="19.5">
      <c r="A142" s="269" t="s">
        <v>1068</v>
      </c>
      <c r="B142" s="1062">
        <v>1</v>
      </c>
      <c r="C142" s="1062">
        <v>1</v>
      </c>
      <c r="D142" s="1062">
        <v>1</v>
      </c>
      <c r="E142" s="1062">
        <v>1</v>
      </c>
      <c r="F142" s="1062">
        <v>1</v>
      </c>
      <c r="G142" s="1062">
        <v>1</v>
      </c>
      <c r="H142" s="1062">
        <v>1</v>
      </c>
      <c r="I142" s="1050" t="s">
        <v>1069</v>
      </c>
    </row>
    <row r="143" spans="1:21" ht="19.5">
      <c r="A143" s="269" t="s">
        <v>1070</v>
      </c>
      <c r="B143" s="1062">
        <v>0</v>
      </c>
      <c r="C143" s="1062"/>
      <c r="D143" s="1062">
        <v>0</v>
      </c>
      <c r="E143" s="1062">
        <v>0</v>
      </c>
      <c r="F143" s="1062">
        <v>0</v>
      </c>
      <c r="G143" s="1062">
        <v>0</v>
      </c>
      <c r="H143" s="1062">
        <v>0</v>
      </c>
      <c r="I143" s="1050" t="s">
        <v>1071</v>
      </c>
    </row>
    <row r="144" spans="1:21" ht="19.5">
      <c r="A144" s="269" t="s">
        <v>1072</v>
      </c>
      <c r="B144" s="1062">
        <v>0</v>
      </c>
      <c r="C144" s="1062">
        <v>1</v>
      </c>
      <c r="D144" s="1062">
        <v>1</v>
      </c>
      <c r="E144" s="1062">
        <v>0</v>
      </c>
      <c r="F144" s="1062">
        <v>1</v>
      </c>
      <c r="G144" s="1062">
        <v>1</v>
      </c>
      <c r="H144" s="1062">
        <v>1</v>
      </c>
      <c r="I144" s="1050" t="s">
        <v>1073</v>
      </c>
    </row>
    <row r="145" spans="1:9" ht="19.5">
      <c r="A145" s="1040" t="s">
        <v>1074</v>
      </c>
      <c r="B145" s="1048">
        <f t="shared" ref="B145:H145" si="16">SUM(B146:B153)</f>
        <v>5</v>
      </c>
      <c r="C145" s="1048">
        <f t="shared" si="16"/>
        <v>5</v>
      </c>
      <c r="D145" s="1048">
        <f t="shared" si="16"/>
        <v>5</v>
      </c>
      <c r="E145" s="1048">
        <f t="shared" si="16"/>
        <v>5</v>
      </c>
      <c r="F145" s="1048">
        <f t="shared" si="16"/>
        <v>5</v>
      </c>
      <c r="G145" s="1048">
        <f t="shared" si="16"/>
        <v>5</v>
      </c>
      <c r="H145" s="1048">
        <f t="shared" si="16"/>
        <v>5</v>
      </c>
      <c r="I145" s="1051" t="s">
        <v>1075</v>
      </c>
    </row>
    <row r="146" spans="1:9" ht="19.5">
      <c r="A146" s="269" t="s">
        <v>1076</v>
      </c>
      <c r="B146" s="1062">
        <v>1</v>
      </c>
      <c r="C146" s="1062">
        <v>1</v>
      </c>
      <c r="D146" s="1062">
        <v>1</v>
      </c>
      <c r="E146" s="1062">
        <v>1</v>
      </c>
      <c r="F146" s="1062">
        <v>1</v>
      </c>
      <c r="G146" s="1062">
        <v>1</v>
      </c>
      <c r="H146" s="1062">
        <v>2</v>
      </c>
      <c r="I146" s="1050" t="s">
        <v>1077</v>
      </c>
    </row>
    <row r="147" spans="1:9" ht="19.5">
      <c r="A147" s="269" t="s">
        <v>1078</v>
      </c>
      <c r="B147" s="1062">
        <v>1</v>
      </c>
      <c r="C147" s="1062">
        <v>1</v>
      </c>
      <c r="D147" s="1062">
        <v>1</v>
      </c>
      <c r="E147" s="1062">
        <v>1</v>
      </c>
      <c r="F147" s="1062">
        <v>1</v>
      </c>
      <c r="G147" s="1062">
        <v>1</v>
      </c>
      <c r="H147" s="1062">
        <v>1</v>
      </c>
      <c r="I147" s="1050" t="s">
        <v>1079</v>
      </c>
    </row>
    <row r="148" spans="1:9" ht="19.5">
      <c r="A148" s="269" t="s">
        <v>1080</v>
      </c>
      <c r="B148" s="1062">
        <v>1</v>
      </c>
      <c r="C148" s="1062">
        <v>1</v>
      </c>
      <c r="D148" s="1062">
        <v>1</v>
      </c>
      <c r="E148" s="1062">
        <v>1</v>
      </c>
      <c r="F148" s="1062">
        <v>1</v>
      </c>
      <c r="G148" s="1062">
        <v>1</v>
      </c>
      <c r="H148" s="1062">
        <v>1</v>
      </c>
      <c r="I148" s="1050" t="s">
        <v>1081</v>
      </c>
    </row>
    <row r="149" spans="1:9" ht="19.5">
      <c r="A149" s="269" t="s">
        <v>1082</v>
      </c>
      <c r="B149" s="1062">
        <v>1</v>
      </c>
      <c r="C149" s="1062">
        <v>1</v>
      </c>
      <c r="D149" s="1062">
        <v>1</v>
      </c>
      <c r="E149" s="1062">
        <v>1</v>
      </c>
      <c r="F149" s="1062">
        <v>1</v>
      </c>
      <c r="G149" s="1062">
        <v>1</v>
      </c>
      <c r="H149" s="1062">
        <v>1</v>
      </c>
      <c r="I149" s="1050" t="s">
        <v>1083</v>
      </c>
    </row>
    <row r="150" spans="1:9" ht="19.5">
      <c r="A150" s="269" t="s">
        <v>1084</v>
      </c>
      <c r="B150" s="1062">
        <v>0</v>
      </c>
      <c r="C150" s="1062">
        <v>0</v>
      </c>
      <c r="D150" s="1062">
        <v>0</v>
      </c>
      <c r="E150" s="1062">
        <v>0</v>
      </c>
      <c r="F150" s="1062">
        <v>0</v>
      </c>
      <c r="G150" s="1062">
        <v>0</v>
      </c>
      <c r="H150" s="1062">
        <v>0</v>
      </c>
      <c r="I150" s="1050" t="s">
        <v>1085</v>
      </c>
    </row>
    <row r="151" spans="1:9" ht="19.5">
      <c r="A151" s="269" t="s">
        <v>1086</v>
      </c>
      <c r="B151" s="1062">
        <v>0</v>
      </c>
      <c r="C151" s="1062">
        <v>0</v>
      </c>
      <c r="D151" s="1062">
        <v>0</v>
      </c>
      <c r="E151" s="1062">
        <v>0</v>
      </c>
      <c r="F151" s="1062">
        <v>0</v>
      </c>
      <c r="G151" s="1062">
        <v>0</v>
      </c>
      <c r="H151" s="1062">
        <v>0</v>
      </c>
      <c r="I151" s="1050" t="s">
        <v>1087</v>
      </c>
    </row>
    <row r="152" spans="1:9" ht="19.5">
      <c r="A152" s="269" t="s">
        <v>1088</v>
      </c>
      <c r="B152" s="1062">
        <v>0</v>
      </c>
      <c r="C152" s="1062">
        <v>0</v>
      </c>
      <c r="D152" s="1062">
        <v>0</v>
      </c>
      <c r="E152" s="1062">
        <v>0</v>
      </c>
      <c r="F152" s="1062">
        <v>0</v>
      </c>
      <c r="G152" s="1062">
        <v>0</v>
      </c>
      <c r="H152" s="1062">
        <v>0</v>
      </c>
      <c r="I152" s="1050" t="s">
        <v>1089</v>
      </c>
    </row>
    <row r="153" spans="1:9" ht="19.5">
      <c r="A153" s="269" t="s">
        <v>1090</v>
      </c>
      <c r="B153" s="1062">
        <v>1</v>
      </c>
      <c r="C153" s="1062">
        <v>1</v>
      </c>
      <c r="D153" s="1062">
        <v>1</v>
      </c>
      <c r="E153" s="1062">
        <v>1</v>
      </c>
      <c r="F153" s="1062">
        <v>1</v>
      </c>
      <c r="G153" s="1062">
        <v>1</v>
      </c>
      <c r="H153" s="1062">
        <v>0</v>
      </c>
      <c r="I153" s="1050" t="s">
        <v>1091</v>
      </c>
    </row>
    <row r="154" spans="1:9" ht="19.5">
      <c r="A154" s="1040" t="s">
        <v>1092</v>
      </c>
      <c r="B154" s="1048">
        <f t="shared" ref="B154:H154" si="17">SUM(B155:B159)</f>
        <v>3</v>
      </c>
      <c r="C154" s="1048">
        <f t="shared" si="17"/>
        <v>4</v>
      </c>
      <c r="D154" s="1048">
        <f t="shared" si="17"/>
        <v>4</v>
      </c>
      <c r="E154" s="1048">
        <f t="shared" si="17"/>
        <v>3</v>
      </c>
      <c r="F154" s="1048">
        <f t="shared" si="17"/>
        <v>3</v>
      </c>
      <c r="G154" s="1048">
        <f t="shared" si="17"/>
        <v>3</v>
      </c>
      <c r="H154" s="1048">
        <f t="shared" si="17"/>
        <v>4</v>
      </c>
      <c r="I154" s="1051" t="s">
        <v>1093</v>
      </c>
    </row>
    <row r="155" spans="1:9" ht="19.5">
      <c r="A155" s="269" t="s">
        <v>1094</v>
      </c>
      <c r="B155" s="1062">
        <v>2</v>
      </c>
      <c r="C155" s="1062">
        <v>2</v>
      </c>
      <c r="D155" s="1062">
        <v>2</v>
      </c>
      <c r="E155" s="1062">
        <v>2</v>
      </c>
      <c r="F155" s="1062">
        <v>2</v>
      </c>
      <c r="G155" s="1062">
        <v>2</v>
      </c>
      <c r="H155" s="1062">
        <v>2</v>
      </c>
      <c r="I155" s="1050" t="s">
        <v>1095</v>
      </c>
    </row>
    <row r="156" spans="1:9" ht="19.5">
      <c r="A156" s="269" t="s">
        <v>1096</v>
      </c>
      <c r="B156" s="1062">
        <v>1</v>
      </c>
      <c r="C156" s="1062">
        <v>1</v>
      </c>
      <c r="D156" s="1062">
        <v>1</v>
      </c>
      <c r="E156" s="1062">
        <v>1</v>
      </c>
      <c r="F156" s="1062">
        <v>0</v>
      </c>
      <c r="G156" s="1062">
        <v>0</v>
      </c>
      <c r="H156" s="1062">
        <v>1</v>
      </c>
      <c r="I156" s="1050" t="s">
        <v>1097</v>
      </c>
    </row>
    <row r="157" spans="1:9" ht="19.5">
      <c r="A157" s="269" t="s">
        <v>1098</v>
      </c>
      <c r="B157" s="1062">
        <v>0</v>
      </c>
      <c r="C157" s="1062">
        <v>0</v>
      </c>
      <c r="D157" s="1062">
        <v>0</v>
      </c>
      <c r="E157" s="1062">
        <v>0</v>
      </c>
      <c r="F157" s="1062">
        <v>1</v>
      </c>
      <c r="G157" s="1062">
        <v>1</v>
      </c>
      <c r="H157" s="1062">
        <v>0</v>
      </c>
      <c r="I157" s="1050" t="s">
        <v>1099</v>
      </c>
    </row>
    <row r="158" spans="1:9" ht="19.5">
      <c r="A158" s="269" t="s">
        <v>1100</v>
      </c>
      <c r="B158" s="1062">
        <v>0</v>
      </c>
      <c r="C158" s="1062">
        <v>0</v>
      </c>
      <c r="D158" s="1062">
        <v>0</v>
      </c>
      <c r="E158" s="1062">
        <v>0</v>
      </c>
      <c r="F158" s="1062">
        <v>0</v>
      </c>
      <c r="G158" s="1062">
        <v>0</v>
      </c>
      <c r="H158" s="1062">
        <v>1</v>
      </c>
      <c r="I158" s="1050" t="s">
        <v>1101</v>
      </c>
    </row>
    <row r="159" spans="1:9" ht="19.5">
      <c r="A159" s="269" t="s">
        <v>1102</v>
      </c>
      <c r="B159" s="1062">
        <v>0</v>
      </c>
      <c r="C159" s="1062">
        <v>1</v>
      </c>
      <c r="D159" s="1062">
        <v>1</v>
      </c>
      <c r="E159" s="1062">
        <v>0</v>
      </c>
      <c r="F159" s="1062">
        <v>0</v>
      </c>
      <c r="G159" s="1062">
        <v>0</v>
      </c>
      <c r="H159" s="1062">
        <v>0</v>
      </c>
      <c r="I159" s="1050" t="s">
        <v>1103</v>
      </c>
    </row>
    <row r="160" spans="1:9" ht="19.5">
      <c r="A160" s="1040" t="s">
        <v>1104</v>
      </c>
      <c r="B160" s="1048">
        <f t="shared" ref="B160:H160" si="18">SUM(B161:B166)</f>
        <v>4</v>
      </c>
      <c r="C160" s="1048">
        <f t="shared" si="18"/>
        <v>4</v>
      </c>
      <c r="D160" s="1048">
        <f t="shared" si="18"/>
        <v>4</v>
      </c>
      <c r="E160" s="1048">
        <f t="shared" si="18"/>
        <v>4</v>
      </c>
      <c r="F160" s="1048">
        <f t="shared" si="18"/>
        <v>4</v>
      </c>
      <c r="G160" s="1048">
        <f t="shared" si="18"/>
        <v>4</v>
      </c>
      <c r="H160" s="1048">
        <f t="shared" si="18"/>
        <v>5</v>
      </c>
      <c r="I160" s="1051" t="s">
        <v>1105</v>
      </c>
    </row>
    <row r="161" spans="1:9" ht="19.5">
      <c r="A161" s="269" t="s">
        <v>1106</v>
      </c>
      <c r="B161" s="1062">
        <v>2</v>
      </c>
      <c r="C161" s="1062">
        <v>2</v>
      </c>
      <c r="D161" s="1062">
        <v>2</v>
      </c>
      <c r="E161" s="1062">
        <v>2</v>
      </c>
      <c r="F161" s="1062">
        <v>2</v>
      </c>
      <c r="G161" s="1062">
        <v>2</v>
      </c>
      <c r="H161" s="1062">
        <v>2</v>
      </c>
      <c r="I161" s="1050" t="s">
        <v>1107</v>
      </c>
    </row>
    <row r="162" spans="1:9" ht="19.5">
      <c r="A162" s="269" t="s">
        <v>1108</v>
      </c>
      <c r="B162" s="1062">
        <v>1</v>
      </c>
      <c r="C162" s="1062">
        <v>1</v>
      </c>
      <c r="D162" s="1062">
        <v>1</v>
      </c>
      <c r="E162" s="1062">
        <v>1</v>
      </c>
      <c r="F162" s="1062">
        <v>1</v>
      </c>
      <c r="G162" s="1062">
        <v>1</v>
      </c>
      <c r="H162" s="1062">
        <v>1</v>
      </c>
      <c r="I162" s="1050" t="s">
        <v>1109</v>
      </c>
    </row>
    <row r="163" spans="1:9" ht="19.5">
      <c r="A163" s="269" t="s">
        <v>1110</v>
      </c>
      <c r="B163" s="1062">
        <v>0</v>
      </c>
      <c r="C163" s="1062">
        <v>0</v>
      </c>
      <c r="D163" s="1062">
        <v>0</v>
      </c>
      <c r="E163" s="1062">
        <v>0</v>
      </c>
      <c r="F163" s="1062">
        <v>0</v>
      </c>
      <c r="G163" s="1062">
        <v>0</v>
      </c>
      <c r="H163" s="1062">
        <v>0</v>
      </c>
      <c r="I163" s="1050" t="s">
        <v>1111</v>
      </c>
    </row>
    <row r="164" spans="1:9" ht="19.5">
      <c r="A164" s="269" t="s">
        <v>1112</v>
      </c>
      <c r="B164" s="1062">
        <v>0</v>
      </c>
      <c r="C164" s="1062">
        <v>0</v>
      </c>
      <c r="D164" s="1062">
        <v>0</v>
      </c>
      <c r="E164" s="1062">
        <v>0</v>
      </c>
      <c r="F164" s="1062">
        <v>0</v>
      </c>
      <c r="G164" s="1062">
        <v>0</v>
      </c>
      <c r="H164" s="1062">
        <v>1</v>
      </c>
      <c r="I164" s="1050" t="s">
        <v>1113</v>
      </c>
    </row>
    <row r="165" spans="1:9" ht="19.5">
      <c r="A165" s="269" t="s">
        <v>1114</v>
      </c>
      <c r="B165" s="1062">
        <v>0</v>
      </c>
      <c r="C165" s="1062">
        <v>0</v>
      </c>
      <c r="D165" s="1062">
        <v>0</v>
      </c>
      <c r="E165" s="1062">
        <v>0</v>
      </c>
      <c r="F165" s="1062">
        <v>0</v>
      </c>
      <c r="G165" s="1062">
        <v>0</v>
      </c>
      <c r="H165" s="1062">
        <v>0</v>
      </c>
      <c r="I165" s="1050" t="s">
        <v>1115</v>
      </c>
    </row>
    <row r="166" spans="1:9" ht="19.5">
      <c r="A166" s="269" t="s">
        <v>1116</v>
      </c>
      <c r="B166" s="1062">
        <v>1</v>
      </c>
      <c r="C166" s="1062">
        <v>1</v>
      </c>
      <c r="D166" s="1062">
        <v>1</v>
      </c>
      <c r="E166" s="1062">
        <v>1</v>
      </c>
      <c r="F166" s="1062">
        <v>1</v>
      </c>
      <c r="G166" s="1062">
        <v>1</v>
      </c>
      <c r="H166" s="1062">
        <v>1</v>
      </c>
      <c r="I166" s="1050" t="s">
        <v>1117</v>
      </c>
    </row>
    <row r="167" spans="1:9" ht="19.5">
      <c r="A167" s="1040" t="s">
        <v>1118</v>
      </c>
      <c r="B167" s="1048">
        <f t="shared" ref="B167:H167" si="19">SUM(B168:B180)</f>
        <v>10</v>
      </c>
      <c r="C167" s="1048">
        <f t="shared" si="19"/>
        <v>9</v>
      </c>
      <c r="D167" s="1048">
        <f t="shared" si="19"/>
        <v>7</v>
      </c>
      <c r="E167" s="1048">
        <f t="shared" si="19"/>
        <v>7</v>
      </c>
      <c r="F167" s="1048">
        <f t="shared" si="19"/>
        <v>7</v>
      </c>
      <c r="G167" s="1048">
        <f t="shared" si="19"/>
        <v>7</v>
      </c>
      <c r="H167" s="1048">
        <f t="shared" si="19"/>
        <v>8</v>
      </c>
      <c r="I167" s="1051" t="s">
        <v>1119</v>
      </c>
    </row>
    <row r="168" spans="1:9" ht="19.5">
      <c r="A168" s="269" t="s">
        <v>1120</v>
      </c>
      <c r="B168" s="1062">
        <v>1</v>
      </c>
      <c r="C168" s="1062">
        <v>1</v>
      </c>
      <c r="D168" s="1062">
        <v>1</v>
      </c>
      <c r="E168" s="1062">
        <v>1</v>
      </c>
      <c r="F168" s="1062">
        <v>1</v>
      </c>
      <c r="G168" s="1062">
        <v>1</v>
      </c>
      <c r="H168" s="1062">
        <v>1</v>
      </c>
      <c r="I168" s="1050" t="s">
        <v>1121</v>
      </c>
    </row>
    <row r="169" spans="1:9" ht="19.5">
      <c r="A169" s="269" t="s">
        <v>1122</v>
      </c>
      <c r="B169" s="1062">
        <v>1</v>
      </c>
      <c r="C169" s="1062">
        <v>0</v>
      </c>
      <c r="D169" s="1062">
        <v>0</v>
      </c>
      <c r="E169" s="1062">
        <v>0</v>
      </c>
      <c r="F169" s="1062">
        <v>0</v>
      </c>
      <c r="G169" s="1062">
        <v>0</v>
      </c>
      <c r="H169" s="1062">
        <v>0</v>
      </c>
      <c r="I169" s="1050" t="s">
        <v>1123</v>
      </c>
    </row>
    <row r="170" spans="1:9" ht="19.5">
      <c r="A170" s="269" t="s">
        <v>1124</v>
      </c>
      <c r="B170" s="1062">
        <v>1</v>
      </c>
      <c r="C170" s="1062">
        <v>0</v>
      </c>
      <c r="D170" s="1062">
        <v>0</v>
      </c>
      <c r="E170" s="1062">
        <v>0</v>
      </c>
      <c r="F170" s="1062">
        <v>0</v>
      </c>
      <c r="G170" s="1062">
        <v>0</v>
      </c>
      <c r="H170" s="1062">
        <v>0</v>
      </c>
      <c r="I170" s="1050" t="s">
        <v>1125</v>
      </c>
    </row>
    <row r="171" spans="1:9" ht="19.5">
      <c r="A171" s="269" t="s">
        <v>1126</v>
      </c>
      <c r="B171" s="1062">
        <v>1</v>
      </c>
      <c r="C171" s="1062">
        <v>1</v>
      </c>
      <c r="D171" s="1062">
        <v>0</v>
      </c>
      <c r="E171" s="1062">
        <v>0</v>
      </c>
      <c r="F171" s="1062">
        <v>0</v>
      </c>
      <c r="G171" s="1062">
        <v>0</v>
      </c>
      <c r="H171" s="1062">
        <v>0</v>
      </c>
      <c r="I171" s="1050" t="s">
        <v>1127</v>
      </c>
    </row>
    <row r="172" spans="1:9" ht="19.5">
      <c r="A172" s="269" t="s">
        <v>1128</v>
      </c>
      <c r="B172" s="1062">
        <v>1</v>
      </c>
      <c r="C172" s="1062">
        <v>2</v>
      </c>
      <c r="D172" s="1062">
        <v>2</v>
      </c>
      <c r="E172" s="1062">
        <v>2</v>
      </c>
      <c r="F172" s="1062">
        <v>2</v>
      </c>
      <c r="G172" s="1062">
        <v>2</v>
      </c>
      <c r="H172" s="1062">
        <v>2</v>
      </c>
      <c r="I172" s="1050" t="s">
        <v>1129</v>
      </c>
    </row>
    <row r="173" spans="1:9" ht="19.5">
      <c r="A173" s="269" t="s">
        <v>1130</v>
      </c>
      <c r="B173" s="1062">
        <v>1</v>
      </c>
      <c r="C173" s="1062">
        <v>1</v>
      </c>
      <c r="D173" s="1062">
        <v>1</v>
      </c>
      <c r="E173" s="1062">
        <v>1</v>
      </c>
      <c r="F173" s="1062">
        <v>1</v>
      </c>
      <c r="G173" s="1062">
        <v>1</v>
      </c>
      <c r="H173" s="1062">
        <v>1</v>
      </c>
      <c r="I173" s="1050" t="s">
        <v>1131</v>
      </c>
    </row>
    <row r="174" spans="1:9" ht="19.5">
      <c r="A174" s="269" t="s">
        <v>1132</v>
      </c>
      <c r="B174" s="1062">
        <v>1</v>
      </c>
      <c r="C174" s="1062">
        <v>1</v>
      </c>
      <c r="D174" s="1062">
        <v>1</v>
      </c>
      <c r="E174" s="1062">
        <v>1</v>
      </c>
      <c r="F174" s="1062">
        <v>1</v>
      </c>
      <c r="G174" s="1062">
        <v>1</v>
      </c>
      <c r="H174" s="1062">
        <v>1</v>
      </c>
      <c r="I174" s="1050" t="s">
        <v>1133</v>
      </c>
    </row>
    <row r="175" spans="1:9" ht="19.5">
      <c r="A175" s="269" t="s">
        <v>1134</v>
      </c>
      <c r="B175" s="1062">
        <v>1</v>
      </c>
      <c r="C175" s="1062">
        <v>0</v>
      </c>
      <c r="D175" s="1062">
        <v>0</v>
      </c>
      <c r="E175" s="1062">
        <v>0</v>
      </c>
      <c r="F175" s="1062">
        <v>0</v>
      </c>
      <c r="G175" s="1062">
        <v>0</v>
      </c>
      <c r="H175" s="1062">
        <v>1</v>
      </c>
      <c r="I175" s="1050" t="s">
        <v>1135</v>
      </c>
    </row>
    <row r="176" spans="1:9" ht="19.5">
      <c r="A176" s="269" t="s">
        <v>1136</v>
      </c>
      <c r="B176" s="1062">
        <v>1</v>
      </c>
      <c r="C176" s="1062">
        <v>1</v>
      </c>
      <c r="D176" s="1062">
        <v>1</v>
      </c>
      <c r="E176" s="1062">
        <v>1</v>
      </c>
      <c r="F176" s="1062">
        <v>1</v>
      </c>
      <c r="G176" s="1062">
        <v>1</v>
      </c>
      <c r="H176" s="1062">
        <v>1</v>
      </c>
      <c r="I176" s="1050" t="s">
        <v>1137</v>
      </c>
    </row>
    <row r="177" spans="1:9" ht="19.5">
      <c r="A177" s="269" t="s">
        <v>1138</v>
      </c>
      <c r="B177" s="1062">
        <v>1</v>
      </c>
      <c r="C177" s="1062">
        <v>0</v>
      </c>
      <c r="D177" s="1062">
        <v>0</v>
      </c>
      <c r="E177" s="1062">
        <v>0</v>
      </c>
      <c r="F177" s="1062">
        <v>0</v>
      </c>
      <c r="G177" s="1062">
        <v>0</v>
      </c>
      <c r="H177" s="1062">
        <v>0</v>
      </c>
      <c r="I177" s="1050" t="s">
        <v>1139</v>
      </c>
    </row>
    <row r="178" spans="1:9" ht="19.5">
      <c r="A178" s="269" t="s">
        <v>1140</v>
      </c>
      <c r="B178" s="1062">
        <v>0</v>
      </c>
      <c r="C178" s="1062">
        <v>0</v>
      </c>
      <c r="D178" s="1062">
        <v>0</v>
      </c>
      <c r="E178" s="1062">
        <v>0</v>
      </c>
      <c r="F178" s="1062">
        <v>0</v>
      </c>
      <c r="G178" s="1062">
        <v>0</v>
      </c>
      <c r="H178" s="1062">
        <v>0</v>
      </c>
      <c r="I178" s="1050" t="s">
        <v>1141</v>
      </c>
    </row>
    <row r="179" spans="1:9" ht="19.5">
      <c r="A179" s="269" t="s">
        <v>1142</v>
      </c>
      <c r="B179" s="1062">
        <v>0</v>
      </c>
      <c r="C179" s="1062">
        <v>1</v>
      </c>
      <c r="D179" s="1062">
        <v>1</v>
      </c>
      <c r="E179" s="1062">
        <v>1</v>
      </c>
      <c r="F179" s="1062">
        <v>1</v>
      </c>
      <c r="G179" s="1062">
        <v>1</v>
      </c>
      <c r="H179" s="1062">
        <v>1</v>
      </c>
      <c r="I179" s="1050" t="s">
        <v>1143</v>
      </c>
    </row>
    <row r="180" spans="1:9" ht="19.5">
      <c r="A180" s="269" t="s">
        <v>1144</v>
      </c>
      <c r="B180" s="1062">
        <v>0</v>
      </c>
      <c r="C180" s="1062">
        <v>1</v>
      </c>
      <c r="D180" s="1062">
        <v>0</v>
      </c>
      <c r="E180" s="1062">
        <v>0</v>
      </c>
      <c r="F180" s="1062">
        <v>0</v>
      </c>
      <c r="G180" s="1062">
        <v>0</v>
      </c>
      <c r="H180" s="1062">
        <v>0</v>
      </c>
      <c r="I180" s="1050" t="s">
        <v>1145</v>
      </c>
    </row>
    <row r="181" spans="1:9" ht="19.5">
      <c r="A181" s="1040" t="s">
        <v>1146</v>
      </c>
      <c r="B181" s="1048">
        <f t="shared" ref="B181:H181" si="20">SUM(B182:B192)</f>
        <v>9</v>
      </c>
      <c r="C181" s="1048">
        <f t="shared" si="20"/>
        <v>9</v>
      </c>
      <c r="D181" s="1048">
        <f t="shared" si="20"/>
        <v>12</v>
      </c>
      <c r="E181" s="1048">
        <f t="shared" si="20"/>
        <v>13</v>
      </c>
      <c r="F181" s="1048">
        <f t="shared" si="20"/>
        <v>11</v>
      </c>
      <c r="G181" s="1048">
        <f t="shared" si="20"/>
        <v>11</v>
      </c>
      <c r="H181" s="1048">
        <f t="shared" si="20"/>
        <v>12</v>
      </c>
      <c r="I181" s="1051" t="s">
        <v>1147</v>
      </c>
    </row>
    <row r="182" spans="1:9" ht="19.5">
      <c r="A182" s="269" t="s">
        <v>1148</v>
      </c>
      <c r="B182" s="1062">
        <v>3</v>
      </c>
      <c r="C182" s="1062">
        <v>3</v>
      </c>
      <c r="D182" s="1062">
        <v>3</v>
      </c>
      <c r="E182" s="1062">
        <v>3</v>
      </c>
      <c r="F182" s="1062">
        <v>2</v>
      </c>
      <c r="G182" s="1062">
        <v>2</v>
      </c>
      <c r="H182" s="1062">
        <v>2</v>
      </c>
      <c r="I182" s="1050" t="s">
        <v>1149</v>
      </c>
    </row>
    <row r="183" spans="1:9" ht="19.5">
      <c r="A183" s="269" t="s">
        <v>1150</v>
      </c>
      <c r="B183" s="1062">
        <v>1</v>
      </c>
      <c r="C183" s="1062">
        <v>1</v>
      </c>
      <c r="D183" s="1062">
        <v>1</v>
      </c>
      <c r="E183" s="1062">
        <v>1</v>
      </c>
      <c r="F183" s="1062">
        <v>1</v>
      </c>
      <c r="G183" s="1062">
        <v>1</v>
      </c>
      <c r="H183" s="1062">
        <v>1</v>
      </c>
      <c r="I183" s="1050" t="s">
        <v>1151</v>
      </c>
    </row>
    <row r="184" spans="1:9" ht="19.5">
      <c r="A184" s="269" t="s">
        <v>1152</v>
      </c>
      <c r="B184" s="1062">
        <v>2</v>
      </c>
      <c r="C184" s="1062">
        <v>2</v>
      </c>
      <c r="D184" s="1062">
        <v>3</v>
      </c>
      <c r="E184" s="1062">
        <v>3</v>
      </c>
      <c r="F184" s="1062">
        <v>2</v>
      </c>
      <c r="G184" s="1062">
        <v>1</v>
      </c>
      <c r="H184" s="1062">
        <v>2</v>
      </c>
      <c r="I184" s="1050" t="s">
        <v>1153</v>
      </c>
    </row>
    <row r="185" spans="1:9" ht="19.5">
      <c r="A185" s="269" t="s">
        <v>1154</v>
      </c>
      <c r="B185" s="1062">
        <v>1</v>
      </c>
      <c r="C185" s="1062">
        <v>0</v>
      </c>
      <c r="D185" s="1062">
        <v>0</v>
      </c>
      <c r="E185" s="1062">
        <v>0</v>
      </c>
      <c r="F185" s="1062">
        <v>0</v>
      </c>
      <c r="G185" s="1062">
        <v>1</v>
      </c>
      <c r="H185" s="1062">
        <v>1</v>
      </c>
      <c r="I185" s="1050" t="s">
        <v>1155</v>
      </c>
    </row>
    <row r="186" spans="1:9" ht="19.5">
      <c r="A186" s="269" t="s">
        <v>1156</v>
      </c>
      <c r="B186" s="1062">
        <v>1</v>
      </c>
      <c r="C186" s="1062">
        <v>1</v>
      </c>
      <c r="D186" s="1062">
        <v>1</v>
      </c>
      <c r="E186" s="1062">
        <v>1</v>
      </c>
      <c r="F186" s="1062">
        <v>1</v>
      </c>
      <c r="G186" s="1062">
        <v>1</v>
      </c>
      <c r="H186" s="1062">
        <v>1</v>
      </c>
      <c r="I186" s="1050" t="s">
        <v>1157</v>
      </c>
    </row>
    <row r="187" spans="1:9" ht="19.5">
      <c r="A187" s="269" t="s">
        <v>1158</v>
      </c>
      <c r="B187" s="1062">
        <v>1</v>
      </c>
      <c r="C187" s="1062">
        <v>1</v>
      </c>
      <c r="D187" s="1062">
        <v>1</v>
      </c>
      <c r="E187" s="1062">
        <v>1</v>
      </c>
      <c r="F187" s="1062">
        <v>1</v>
      </c>
      <c r="G187" s="1062">
        <v>1</v>
      </c>
      <c r="H187" s="1062">
        <v>1</v>
      </c>
      <c r="I187" s="1050" t="s">
        <v>1159</v>
      </c>
    </row>
    <row r="188" spans="1:9" ht="19.5">
      <c r="A188" s="269" t="s">
        <v>1160</v>
      </c>
      <c r="B188" s="1062">
        <v>0</v>
      </c>
      <c r="C188" s="1062">
        <v>0</v>
      </c>
      <c r="D188" s="1062">
        <v>1</v>
      </c>
      <c r="E188" s="1062">
        <v>1</v>
      </c>
      <c r="F188" s="1062">
        <v>1</v>
      </c>
      <c r="G188" s="1062">
        <v>1</v>
      </c>
      <c r="H188" s="1062">
        <v>1</v>
      </c>
      <c r="I188" s="1050" t="s">
        <v>1161</v>
      </c>
    </row>
    <row r="189" spans="1:9" ht="19.5">
      <c r="A189" s="269" t="s">
        <v>1162</v>
      </c>
      <c r="B189" s="1062">
        <v>0</v>
      </c>
      <c r="C189" s="1062">
        <v>0</v>
      </c>
      <c r="D189" s="1062">
        <v>0</v>
      </c>
      <c r="E189" s="1062">
        <v>0</v>
      </c>
      <c r="F189" s="1062">
        <v>0</v>
      </c>
      <c r="G189" s="1062">
        <v>0</v>
      </c>
      <c r="H189" s="1062">
        <v>0</v>
      </c>
      <c r="I189" s="1050" t="s">
        <v>1163</v>
      </c>
    </row>
    <row r="190" spans="1:9" ht="19.5">
      <c r="A190" s="269" t="s">
        <v>1164</v>
      </c>
      <c r="B190" s="1062">
        <v>0</v>
      </c>
      <c r="C190" s="1062">
        <v>0</v>
      </c>
      <c r="D190" s="1062">
        <v>0</v>
      </c>
      <c r="E190" s="1062">
        <v>1</v>
      </c>
      <c r="F190" s="1062">
        <v>1</v>
      </c>
      <c r="G190" s="1062">
        <v>1</v>
      </c>
      <c r="H190" s="1062">
        <v>1</v>
      </c>
      <c r="I190" s="1050" t="s">
        <v>1165</v>
      </c>
    </row>
    <row r="191" spans="1:9" ht="19.5">
      <c r="A191" s="269" t="s">
        <v>1166</v>
      </c>
      <c r="B191" s="1062">
        <v>0</v>
      </c>
      <c r="C191" s="1062">
        <v>0</v>
      </c>
      <c r="D191" s="1062">
        <v>1</v>
      </c>
      <c r="E191" s="1062">
        <v>1</v>
      </c>
      <c r="F191" s="1062">
        <v>1</v>
      </c>
      <c r="G191" s="1062">
        <v>1</v>
      </c>
      <c r="H191" s="1062">
        <v>1</v>
      </c>
      <c r="I191" s="1050" t="s">
        <v>1167</v>
      </c>
    </row>
    <row r="192" spans="1:9" ht="19.5">
      <c r="A192" s="269" t="s">
        <v>1168</v>
      </c>
      <c r="B192" s="1062">
        <v>0</v>
      </c>
      <c r="C192" s="1062">
        <v>1</v>
      </c>
      <c r="D192" s="1062">
        <v>1</v>
      </c>
      <c r="E192" s="1062">
        <v>1</v>
      </c>
      <c r="F192" s="1062">
        <v>1</v>
      </c>
      <c r="G192" s="1062">
        <v>1</v>
      </c>
      <c r="H192" s="1062">
        <v>1</v>
      </c>
      <c r="I192" s="1050" t="s">
        <v>1169</v>
      </c>
    </row>
    <row r="193" spans="1:9" ht="19.5">
      <c r="A193" s="1040" t="s">
        <v>1170</v>
      </c>
      <c r="B193" s="1048">
        <f t="shared" ref="B193:H193" si="21">SUM(B194:B202)</f>
        <v>10</v>
      </c>
      <c r="C193" s="1048">
        <f t="shared" si="21"/>
        <v>8</v>
      </c>
      <c r="D193" s="1048">
        <f t="shared" si="21"/>
        <v>8</v>
      </c>
      <c r="E193" s="1048">
        <f t="shared" si="21"/>
        <v>8</v>
      </c>
      <c r="F193" s="1048">
        <f t="shared" si="21"/>
        <v>8</v>
      </c>
      <c r="G193" s="1048">
        <f t="shared" si="21"/>
        <v>8</v>
      </c>
      <c r="H193" s="1048">
        <f t="shared" si="21"/>
        <v>8</v>
      </c>
      <c r="I193" s="1051" t="s">
        <v>1171</v>
      </c>
    </row>
    <row r="194" spans="1:9" ht="19.5">
      <c r="A194" s="269" t="s">
        <v>1172</v>
      </c>
      <c r="B194" s="1062">
        <v>2</v>
      </c>
      <c r="C194" s="1062">
        <v>2</v>
      </c>
      <c r="D194" s="1062">
        <v>2</v>
      </c>
      <c r="E194" s="1062">
        <v>2</v>
      </c>
      <c r="F194" s="1062">
        <v>2</v>
      </c>
      <c r="G194" s="1062">
        <v>2</v>
      </c>
      <c r="H194" s="1062">
        <v>2</v>
      </c>
      <c r="I194" s="1050" t="s">
        <v>1173</v>
      </c>
    </row>
    <row r="195" spans="1:9" ht="19.5">
      <c r="A195" s="269" t="s">
        <v>1174</v>
      </c>
      <c r="B195" s="1062">
        <v>1</v>
      </c>
      <c r="C195" s="1062">
        <v>0</v>
      </c>
      <c r="D195" s="1062">
        <v>0</v>
      </c>
      <c r="E195" s="1062">
        <v>0</v>
      </c>
      <c r="F195" s="1062">
        <v>0</v>
      </c>
      <c r="G195" s="1062">
        <v>0</v>
      </c>
      <c r="H195" s="1062">
        <v>0</v>
      </c>
      <c r="I195" s="1050" t="s">
        <v>1175</v>
      </c>
    </row>
    <row r="196" spans="1:9" ht="19.5">
      <c r="A196" s="269" t="s">
        <v>1176</v>
      </c>
      <c r="B196" s="1062">
        <v>1</v>
      </c>
      <c r="C196" s="1062">
        <v>1</v>
      </c>
      <c r="D196" s="1062">
        <v>1</v>
      </c>
      <c r="E196" s="1062">
        <v>1</v>
      </c>
      <c r="F196" s="1062">
        <v>1</v>
      </c>
      <c r="G196" s="1062">
        <v>1</v>
      </c>
      <c r="H196" s="1062">
        <v>1</v>
      </c>
      <c r="I196" s="1050" t="s">
        <v>1177</v>
      </c>
    </row>
    <row r="197" spans="1:9" ht="19.5">
      <c r="A197" s="269" t="s">
        <v>1178</v>
      </c>
      <c r="B197" s="1062">
        <v>1</v>
      </c>
      <c r="C197" s="1062">
        <v>1</v>
      </c>
      <c r="D197" s="1062">
        <v>1</v>
      </c>
      <c r="E197" s="1062">
        <v>1</v>
      </c>
      <c r="F197" s="1062">
        <v>1</v>
      </c>
      <c r="G197" s="1062">
        <v>1</v>
      </c>
      <c r="H197" s="1062">
        <v>1</v>
      </c>
      <c r="I197" s="1050" t="s">
        <v>1179</v>
      </c>
    </row>
    <row r="198" spans="1:9" ht="19.5">
      <c r="A198" s="269" t="s">
        <v>1180</v>
      </c>
      <c r="B198" s="1062">
        <v>1</v>
      </c>
      <c r="C198" s="1062">
        <v>1</v>
      </c>
      <c r="D198" s="1062">
        <v>1</v>
      </c>
      <c r="E198" s="1062">
        <v>1</v>
      </c>
      <c r="F198" s="1062">
        <v>1</v>
      </c>
      <c r="G198" s="1062">
        <v>1</v>
      </c>
      <c r="H198" s="1062">
        <v>1</v>
      </c>
      <c r="I198" s="1050" t="s">
        <v>1181</v>
      </c>
    </row>
    <row r="199" spans="1:9" ht="19.5">
      <c r="A199" s="269" t="s">
        <v>1182</v>
      </c>
      <c r="B199" s="1062">
        <v>0</v>
      </c>
      <c r="C199" s="1062">
        <v>0</v>
      </c>
      <c r="D199" s="1062">
        <v>0</v>
      </c>
      <c r="E199" s="1062">
        <v>0</v>
      </c>
      <c r="F199" s="1062">
        <v>0</v>
      </c>
      <c r="G199" s="1062">
        <v>0</v>
      </c>
      <c r="H199" s="1062">
        <v>0</v>
      </c>
      <c r="I199" s="1050" t="s">
        <v>1183</v>
      </c>
    </row>
    <row r="200" spans="1:9" ht="19.5">
      <c r="A200" s="269" t="s">
        <v>1184</v>
      </c>
      <c r="B200" s="1062">
        <v>1</v>
      </c>
      <c r="C200" s="1062">
        <v>1</v>
      </c>
      <c r="D200" s="1062">
        <v>1</v>
      </c>
      <c r="E200" s="1062">
        <v>1</v>
      </c>
      <c r="F200" s="1062">
        <v>1</v>
      </c>
      <c r="G200" s="1062">
        <v>1</v>
      </c>
      <c r="H200" s="1062">
        <v>1</v>
      </c>
      <c r="I200" s="1050" t="s">
        <v>1185</v>
      </c>
    </row>
    <row r="201" spans="1:9" ht="19.5">
      <c r="A201" s="269" t="s">
        <v>1186</v>
      </c>
      <c r="B201" s="1062">
        <v>2</v>
      </c>
      <c r="C201" s="1062">
        <v>1</v>
      </c>
      <c r="D201" s="1062">
        <v>1</v>
      </c>
      <c r="E201" s="1062">
        <v>1</v>
      </c>
      <c r="F201" s="1062">
        <v>1</v>
      </c>
      <c r="G201" s="1062">
        <v>1</v>
      </c>
      <c r="H201" s="1062">
        <v>1</v>
      </c>
      <c r="I201" s="1050" t="s">
        <v>1187</v>
      </c>
    </row>
    <row r="202" spans="1:9" ht="19.5">
      <c r="A202" s="269" t="s">
        <v>1188</v>
      </c>
      <c r="B202" s="1062">
        <v>1</v>
      </c>
      <c r="C202" s="1062">
        <v>1</v>
      </c>
      <c r="D202" s="1062">
        <v>1</v>
      </c>
      <c r="E202" s="1062">
        <v>1</v>
      </c>
      <c r="F202" s="1062">
        <v>1</v>
      </c>
      <c r="G202" s="1062">
        <v>1</v>
      </c>
      <c r="H202" s="1062">
        <v>1</v>
      </c>
      <c r="I202" s="1050" t="s">
        <v>1189</v>
      </c>
    </row>
    <row r="203" spans="1:9" ht="19.5">
      <c r="A203" s="1040" t="s">
        <v>1190</v>
      </c>
      <c r="B203" s="1048">
        <f t="shared" ref="B203:H203" si="22">SUM(B204:B212)</f>
        <v>8</v>
      </c>
      <c r="C203" s="1048">
        <f t="shared" si="22"/>
        <v>7</v>
      </c>
      <c r="D203" s="1048">
        <f t="shared" si="22"/>
        <v>8</v>
      </c>
      <c r="E203" s="1048">
        <f t="shared" si="22"/>
        <v>8</v>
      </c>
      <c r="F203" s="1048">
        <f t="shared" si="22"/>
        <v>8</v>
      </c>
      <c r="G203" s="1048">
        <f t="shared" si="22"/>
        <v>10</v>
      </c>
      <c r="H203" s="1048">
        <f t="shared" si="22"/>
        <v>10</v>
      </c>
      <c r="I203" s="1051" t="s">
        <v>1191</v>
      </c>
    </row>
    <row r="204" spans="1:9" ht="19.5">
      <c r="A204" s="269" t="s">
        <v>1192</v>
      </c>
      <c r="B204" s="1062">
        <v>3</v>
      </c>
      <c r="C204" s="1062">
        <v>2</v>
      </c>
      <c r="D204" s="1062">
        <v>3</v>
      </c>
      <c r="E204" s="1062">
        <v>3</v>
      </c>
      <c r="F204" s="1062">
        <v>3</v>
      </c>
      <c r="G204" s="1062">
        <v>3</v>
      </c>
      <c r="H204" s="1062">
        <v>3</v>
      </c>
      <c r="I204" s="1050" t="s">
        <v>1193</v>
      </c>
    </row>
    <row r="205" spans="1:9" ht="19.5">
      <c r="A205" s="269" t="s">
        <v>1194</v>
      </c>
      <c r="B205" s="1062">
        <v>1</v>
      </c>
      <c r="C205" s="1062">
        <v>1</v>
      </c>
      <c r="D205" s="1062">
        <v>1</v>
      </c>
      <c r="E205" s="1062">
        <v>1</v>
      </c>
      <c r="F205" s="1062">
        <v>1</v>
      </c>
      <c r="G205" s="1062">
        <v>1</v>
      </c>
      <c r="H205" s="1062">
        <v>1</v>
      </c>
      <c r="I205" s="1050" t="s">
        <v>1195</v>
      </c>
    </row>
    <row r="206" spans="1:9" ht="19.5">
      <c r="A206" s="269" t="s">
        <v>1196</v>
      </c>
      <c r="B206" s="1062">
        <v>1</v>
      </c>
      <c r="C206" s="1062">
        <v>1</v>
      </c>
      <c r="D206" s="1062">
        <v>1</v>
      </c>
      <c r="E206" s="1062">
        <v>1</v>
      </c>
      <c r="F206" s="1062">
        <v>1</v>
      </c>
      <c r="G206" s="1062">
        <v>1</v>
      </c>
      <c r="H206" s="1062">
        <v>1</v>
      </c>
      <c r="I206" s="1050" t="s">
        <v>1197</v>
      </c>
    </row>
    <row r="207" spans="1:9" ht="19.5">
      <c r="A207" s="269" t="s">
        <v>1198</v>
      </c>
      <c r="B207" s="1062">
        <v>1</v>
      </c>
      <c r="C207" s="1062">
        <v>1</v>
      </c>
      <c r="D207" s="1062">
        <v>1</v>
      </c>
      <c r="E207" s="1062">
        <v>1</v>
      </c>
      <c r="F207" s="1062">
        <v>1</v>
      </c>
      <c r="G207" s="1062">
        <v>1</v>
      </c>
      <c r="H207" s="1062">
        <v>1</v>
      </c>
      <c r="I207" s="1050" t="s">
        <v>1199</v>
      </c>
    </row>
    <row r="208" spans="1:9" ht="16.5" customHeight="1">
      <c r="A208" s="269" t="s">
        <v>1200</v>
      </c>
      <c r="B208" s="1062">
        <v>1</v>
      </c>
      <c r="C208" s="1062">
        <v>1</v>
      </c>
      <c r="D208" s="1062">
        <v>0</v>
      </c>
      <c r="E208" s="1062">
        <v>0</v>
      </c>
      <c r="F208" s="1062">
        <v>0</v>
      </c>
      <c r="G208" s="1062">
        <v>0</v>
      </c>
      <c r="H208" s="1062">
        <v>0</v>
      </c>
      <c r="I208" s="1050" t="s">
        <v>1201</v>
      </c>
    </row>
    <row r="209" spans="1:13" ht="19.5">
      <c r="A209" s="269" t="s">
        <v>1202</v>
      </c>
      <c r="B209" s="1062">
        <v>1</v>
      </c>
      <c r="C209" s="1062">
        <v>0</v>
      </c>
      <c r="D209" s="1062">
        <v>0</v>
      </c>
      <c r="E209" s="1062">
        <v>0</v>
      </c>
      <c r="F209" s="1062">
        <v>0</v>
      </c>
      <c r="G209" s="1062">
        <v>0</v>
      </c>
      <c r="H209" s="1062">
        <v>0</v>
      </c>
      <c r="I209" s="1050" t="s">
        <v>1203</v>
      </c>
    </row>
    <row r="210" spans="1:13" ht="19.5">
      <c r="A210" s="269" t="s">
        <v>1204</v>
      </c>
      <c r="B210" s="1062">
        <v>0</v>
      </c>
      <c r="C210" s="1062">
        <v>0</v>
      </c>
      <c r="D210" s="1062">
        <v>0</v>
      </c>
      <c r="E210" s="1062">
        <v>0</v>
      </c>
      <c r="F210" s="1062">
        <v>0</v>
      </c>
      <c r="G210" s="1062">
        <v>1</v>
      </c>
      <c r="H210" s="1062">
        <v>1</v>
      </c>
      <c r="I210" s="1050" t="s">
        <v>1205</v>
      </c>
    </row>
    <row r="211" spans="1:13" ht="19.5">
      <c r="A211" s="269" t="s">
        <v>1206</v>
      </c>
      <c r="B211" s="1062">
        <v>0</v>
      </c>
      <c r="C211" s="1062">
        <v>0</v>
      </c>
      <c r="D211" s="1062">
        <v>1</v>
      </c>
      <c r="E211" s="1062">
        <v>1</v>
      </c>
      <c r="F211" s="1062">
        <v>1</v>
      </c>
      <c r="G211" s="1062">
        <v>2</v>
      </c>
      <c r="H211" s="1062">
        <v>2</v>
      </c>
      <c r="I211" s="1050" t="s">
        <v>1207</v>
      </c>
    </row>
    <row r="212" spans="1:13" ht="19.5">
      <c r="A212" s="269" t="s">
        <v>1208</v>
      </c>
      <c r="B212" s="1062">
        <v>0</v>
      </c>
      <c r="C212" s="1062">
        <v>1</v>
      </c>
      <c r="D212" s="1062">
        <v>1</v>
      </c>
      <c r="E212" s="1062">
        <v>1</v>
      </c>
      <c r="F212" s="1062">
        <v>1</v>
      </c>
      <c r="G212" s="1062">
        <v>1</v>
      </c>
      <c r="H212" s="1062">
        <v>1</v>
      </c>
      <c r="I212" s="1050" t="s">
        <v>1209</v>
      </c>
    </row>
    <row r="213" spans="1:13" ht="19.5">
      <c r="A213" s="1040" t="s">
        <v>1210</v>
      </c>
      <c r="B213" s="1048">
        <f t="shared" ref="B213:H213" si="23">SUM(B214)</f>
        <v>2</v>
      </c>
      <c r="C213" s="1048">
        <f t="shared" si="23"/>
        <v>2</v>
      </c>
      <c r="D213" s="1048">
        <f t="shared" si="23"/>
        <v>2</v>
      </c>
      <c r="E213" s="1048">
        <f t="shared" si="23"/>
        <v>3</v>
      </c>
      <c r="F213" s="1048">
        <f t="shared" si="23"/>
        <v>1</v>
      </c>
      <c r="G213" s="1048">
        <f t="shared" si="23"/>
        <v>2</v>
      </c>
      <c r="H213" s="1048">
        <f t="shared" si="23"/>
        <v>4</v>
      </c>
      <c r="I213" s="1051" t="s">
        <v>1211</v>
      </c>
    </row>
    <row r="214" spans="1:13" ht="19.5">
      <c r="A214" s="269" t="s">
        <v>1212</v>
      </c>
      <c r="B214" s="1062">
        <v>2</v>
      </c>
      <c r="C214" s="1062">
        <v>2</v>
      </c>
      <c r="D214" s="1062">
        <v>2</v>
      </c>
      <c r="E214" s="1062">
        <v>3</v>
      </c>
      <c r="F214" s="1062">
        <v>1</v>
      </c>
      <c r="G214" s="1062">
        <v>2</v>
      </c>
      <c r="H214" s="1062">
        <v>4</v>
      </c>
      <c r="I214" s="1050" t="s">
        <v>1213</v>
      </c>
    </row>
    <row r="215" spans="1:13" ht="19.5">
      <c r="A215" s="1040" t="s">
        <v>1214</v>
      </c>
      <c r="B215" s="1048">
        <f t="shared" ref="B215:H215" si="24">SUM(B216:B221)</f>
        <v>8</v>
      </c>
      <c r="C215" s="1048">
        <f t="shared" si="24"/>
        <v>10</v>
      </c>
      <c r="D215" s="1048">
        <f t="shared" si="24"/>
        <v>11</v>
      </c>
      <c r="E215" s="1048">
        <f t="shared" si="24"/>
        <v>10</v>
      </c>
      <c r="F215" s="1048">
        <f t="shared" si="24"/>
        <v>8</v>
      </c>
      <c r="G215" s="1048">
        <f t="shared" si="24"/>
        <v>9</v>
      </c>
      <c r="H215" s="1048">
        <f t="shared" si="24"/>
        <v>7</v>
      </c>
      <c r="I215" s="1051" t="s">
        <v>1215</v>
      </c>
    </row>
    <row r="216" spans="1:13" ht="19.5">
      <c r="A216" s="269" t="s">
        <v>1216</v>
      </c>
      <c r="B216" s="1062">
        <v>4</v>
      </c>
      <c r="C216" s="1062">
        <v>5</v>
      </c>
      <c r="D216" s="1062">
        <v>5</v>
      </c>
      <c r="E216" s="1062">
        <v>5</v>
      </c>
      <c r="F216" s="1062">
        <v>3</v>
      </c>
      <c r="G216" s="1062">
        <v>3</v>
      </c>
      <c r="H216" s="1062">
        <v>2</v>
      </c>
      <c r="I216" s="1050" t="s">
        <v>1217</v>
      </c>
    </row>
    <row r="217" spans="1:13" ht="19.5">
      <c r="A217" s="269" t="s">
        <v>1218</v>
      </c>
      <c r="B217" s="1062">
        <v>1</v>
      </c>
      <c r="C217" s="1062">
        <v>1</v>
      </c>
      <c r="D217" s="1062">
        <v>1</v>
      </c>
      <c r="E217" s="1062">
        <v>1</v>
      </c>
      <c r="F217" s="1062">
        <v>1</v>
      </c>
      <c r="G217" s="1062">
        <v>1</v>
      </c>
      <c r="H217" s="1062">
        <v>1</v>
      </c>
      <c r="I217" s="1050" t="s">
        <v>1219</v>
      </c>
    </row>
    <row r="218" spans="1:13" ht="19.5">
      <c r="A218" s="269" t="s">
        <v>1220</v>
      </c>
      <c r="B218" s="1062">
        <v>1</v>
      </c>
      <c r="C218" s="1062">
        <v>1</v>
      </c>
      <c r="D218" s="1062">
        <v>1</v>
      </c>
      <c r="E218" s="1062">
        <v>1</v>
      </c>
      <c r="F218" s="1062">
        <v>1</v>
      </c>
      <c r="G218" s="1062">
        <v>1</v>
      </c>
      <c r="H218" s="1062">
        <v>1</v>
      </c>
      <c r="I218" s="1050" t="s">
        <v>1221</v>
      </c>
    </row>
    <row r="219" spans="1:13" ht="19.5">
      <c r="A219" s="269" t="s">
        <v>1222</v>
      </c>
      <c r="B219" s="1062">
        <v>1</v>
      </c>
      <c r="C219" s="1062">
        <v>1</v>
      </c>
      <c r="D219" s="1062">
        <v>2</v>
      </c>
      <c r="E219" s="1062">
        <v>2</v>
      </c>
      <c r="F219" s="1062">
        <v>1</v>
      </c>
      <c r="G219" s="1062">
        <v>2</v>
      </c>
      <c r="H219" s="1062">
        <v>1</v>
      </c>
      <c r="I219" s="1050" t="s">
        <v>1223</v>
      </c>
    </row>
    <row r="220" spans="1:13" ht="19.5">
      <c r="A220" s="269" t="s">
        <v>1224</v>
      </c>
      <c r="B220" s="1062">
        <v>0</v>
      </c>
      <c r="C220" s="1062">
        <v>1</v>
      </c>
      <c r="D220" s="1062">
        <v>1</v>
      </c>
      <c r="E220" s="1062">
        <v>1</v>
      </c>
      <c r="F220" s="1062">
        <v>1</v>
      </c>
      <c r="G220" s="1062">
        <v>1</v>
      </c>
      <c r="H220" s="1062">
        <v>1</v>
      </c>
      <c r="I220" s="1050" t="s">
        <v>1225</v>
      </c>
    </row>
    <row r="221" spans="1:13" s="1056" customFormat="1" ht="19.5">
      <c r="A221" s="1053" t="s">
        <v>1226</v>
      </c>
      <c r="B221" s="1054">
        <v>1</v>
      </c>
      <c r="C221" s="1054">
        <v>1</v>
      </c>
      <c r="D221" s="1054">
        <v>1</v>
      </c>
      <c r="E221" s="1054">
        <v>0</v>
      </c>
      <c r="F221" s="1054">
        <v>1</v>
      </c>
      <c r="G221" s="1054">
        <v>1</v>
      </c>
      <c r="H221" s="1054">
        <v>1</v>
      </c>
      <c r="I221" s="1055" t="s">
        <v>1227</v>
      </c>
      <c r="J221" s="269"/>
      <c r="K221" s="269"/>
      <c r="L221" s="269"/>
      <c r="M221" s="269"/>
    </row>
    <row r="222" spans="1:13" ht="18.75">
      <c r="A222" s="1057" t="s">
        <v>1228</v>
      </c>
      <c r="B222" s="1056"/>
      <c r="C222" s="1056"/>
      <c r="D222" s="1056"/>
      <c r="E222" s="1056"/>
      <c r="F222" s="1056"/>
      <c r="G222" s="1056"/>
      <c r="H222" s="1056"/>
      <c r="I222" s="1058" t="s">
        <v>741</v>
      </c>
    </row>
  </sheetData>
  <mergeCells count="6">
    <mergeCell ref="A1:I1"/>
    <mergeCell ref="A2:I2"/>
    <mergeCell ref="A3:A5"/>
    <mergeCell ref="D3:H3"/>
    <mergeCell ref="I3:I5"/>
    <mergeCell ref="D4:H4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I33"/>
  <sheetViews>
    <sheetView workbookViewId="0">
      <selection activeCell="K27" sqref="K27"/>
    </sheetView>
  </sheetViews>
  <sheetFormatPr defaultColWidth="9.140625" defaultRowHeight="15"/>
  <cols>
    <col min="1" max="1" width="40.28515625" style="281" customWidth="1"/>
    <col min="2" max="4" width="14.28515625" style="281" hidden="1" customWidth="1"/>
    <col min="5" max="5" width="14.28515625" style="281" customWidth="1"/>
    <col min="6" max="10" width="13.7109375" style="281" customWidth="1"/>
    <col min="11" max="11" width="38.5703125" style="281" customWidth="1"/>
    <col min="12" max="12" width="2.28515625" style="281" customWidth="1"/>
    <col min="13" max="16384" width="9.140625" style="281"/>
  </cols>
  <sheetData>
    <row r="1" spans="1:35" ht="21">
      <c r="A1" s="1310" t="s">
        <v>732</v>
      </c>
      <c r="B1" s="1310"/>
      <c r="C1" s="1310"/>
      <c r="D1" s="1310"/>
      <c r="E1" s="1310"/>
      <c r="F1" s="1310"/>
      <c r="G1" s="1310"/>
      <c r="H1" s="1310"/>
      <c r="I1" s="1310"/>
      <c r="J1" s="1310"/>
      <c r="K1" s="1310"/>
    </row>
    <row r="2" spans="1:35">
      <c r="A2" s="1211" t="s">
        <v>733</v>
      </c>
      <c r="B2" s="1211"/>
      <c r="C2" s="1211"/>
      <c r="D2" s="1211"/>
      <c r="E2" s="1211"/>
      <c r="F2" s="1211"/>
      <c r="G2" s="1211"/>
      <c r="H2" s="1211"/>
      <c r="I2" s="1211"/>
      <c r="J2" s="1211"/>
      <c r="K2" s="1211"/>
    </row>
    <row r="3" spans="1:35">
      <c r="A3" s="1061"/>
      <c r="B3" s="1061"/>
      <c r="C3" s="1061"/>
      <c r="D3" s="1061"/>
      <c r="E3" s="1061"/>
      <c r="F3" s="1061"/>
      <c r="G3" s="1061"/>
      <c r="H3" s="1061"/>
      <c r="I3" s="1061"/>
      <c r="J3" s="1061"/>
    </row>
    <row r="4" spans="1:35">
      <c r="A4" s="1148" t="s">
        <v>734</v>
      </c>
      <c r="B4" s="1311" t="s">
        <v>735</v>
      </c>
      <c r="C4" s="1311"/>
      <c r="D4" s="1311"/>
      <c r="E4" s="1311"/>
      <c r="F4" s="1311"/>
      <c r="G4" s="1311"/>
      <c r="H4" s="1311"/>
      <c r="I4" s="1311"/>
      <c r="J4" s="1311"/>
      <c r="K4" s="1312" t="s">
        <v>318</v>
      </c>
    </row>
    <row r="5" spans="1:35">
      <c r="A5" s="1149"/>
      <c r="B5" s="250">
        <v>2010</v>
      </c>
      <c r="C5" s="250">
        <v>2011</v>
      </c>
      <c r="D5" s="250">
        <v>2012</v>
      </c>
      <c r="E5" s="250">
        <v>2013</v>
      </c>
      <c r="F5" s="250">
        <v>2014</v>
      </c>
      <c r="G5" s="250">
        <v>2015</v>
      </c>
      <c r="H5" s="250">
        <v>2016</v>
      </c>
      <c r="I5" s="250">
        <v>2017</v>
      </c>
      <c r="J5" s="250">
        <v>2018</v>
      </c>
      <c r="K5" s="1313"/>
    </row>
    <row r="6" spans="1:35" s="524" customFormat="1" ht="18.75">
      <c r="A6" s="521" t="s">
        <v>736</v>
      </c>
      <c r="B6" s="522">
        <f t="shared" ref="B6:J6" si="0">SUM(B7:B8)</f>
        <v>202</v>
      </c>
      <c r="C6" s="522">
        <f t="shared" si="0"/>
        <v>197</v>
      </c>
      <c r="D6" s="522">
        <f t="shared" si="0"/>
        <v>164</v>
      </c>
      <c r="E6" s="522">
        <f t="shared" si="0"/>
        <v>185</v>
      </c>
      <c r="F6" s="522">
        <f t="shared" si="0"/>
        <v>182</v>
      </c>
      <c r="G6" s="522">
        <f t="shared" si="0"/>
        <v>183</v>
      </c>
      <c r="H6" s="522">
        <f t="shared" si="0"/>
        <v>178</v>
      </c>
      <c r="I6" s="522">
        <f t="shared" si="0"/>
        <v>181</v>
      </c>
      <c r="J6" s="522">
        <f t="shared" si="0"/>
        <v>197</v>
      </c>
      <c r="K6" s="923" t="s">
        <v>737</v>
      </c>
    </row>
    <row r="7" spans="1:35" ht="18.75">
      <c r="A7" s="525" t="s">
        <v>274</v>
      </c>
      <c r="B7" s="526">
        <v>198</v>
      </c>
      <c r="C7" s="526">
        <v>192</v>
      </c>
      <c r="D7" s="526">
        <v>159</v>
      </c>
      <c r="E7" s="526">
        <v>176</v>
      </c>
      <c r="F7" s="526">
        <v>174</v>
      </c>
      <c r="G7" s="526">
        <v>176</v>
      </c>
      <c r="H7" s="526">
        <v>173</v>
      </c>
      <c r="I7" s="526">
        <v>174</v>
      </c>
      <c r="J7" s="526">
        <v>187</v>
      </c>
      <c r="K7" s="924" t="s">
        <v>321</v>
      </c>
      <c r="M7" s="536"/>
    </row>
    <row r="8" spans="1:35" s="284" customFormat="1" ht="18.75">
      <c r="A8" s="525" t="s">
        <v>275</v>
      </c>
      <c r="B8" s="526">
        <v>4</v>
      </c>
      <c r="C8" s="526">
        <v>5</v>
      </c>
      <c r="D8" s="526">
        <v>5</v>
      </c>
      <c r="E8" s="526">
        <v>9</v>
      </c>
      <c r="F8" s="526">
        <v>8</v>
      </c>
      <c r="G8" s="526">
        <v>7</v>
      </c>
      <c r="H8" s="526">
        <v>5</v>
      </c>
      <c r="I8" s="526">
        <v>7</v>
      </c>
      <c r="J8" s="526">
        <v>10</v>
      </c>
      <c r="K8" s="924" t="s">
        <v>322</v>
      </c>
      <c r="M8" s="925"/>
    </row>
    <row r="9" spans="1:35" ht="21">
      <c r="A9" s="528" t="s">
        <v>738</v>
      </c>
      <c r="B9" s="926">
        <v>211.38208</v>
      </c>
      <c r="C9" s="926">
        <v>253.832494</v>
      </c>
      <c r="D9" s="926">
        <v>298.93866270999996</v>
      </c>
      <c r="E9" s="926">
        <v>292.36569200000002</v>
      </c>
      <c r="F9" s="926">
        <v>326.90534851999996</v>
      </c>
      <c r="G9" s="926">
        <v>468.04598700000003</v>
      </c>
      <c r="H9" s="926">
        <v>448.00623200000001</v>
      </c>
      <c r="I9" s="926">
        <v>413</v>
      </c>
      <c r="J9" s="926">
        <v>447.08000700000002</v>
      </c>
      <c r="K9" s="927" t="s">
        <v>739</v>
      </c>
    </row>
    <row r="10" spans="1:35" s="931" customFormat="1" ht="17.25">
      <c r="A10" s="928" t="s">
        <v>740</v>
      </c>
      <c r="B10" s="929"/>
      <c r="C10" s="929"/>
      <c r="D10" s="929"/>
      <c r="E10" s="929"/>
      <c r="F10" s="929"/>
      <c r="G10" s="929"/>
      <c r="H10" s="929"/>
      <c r="I10" s="929"/>
      <c r="J10" s="929"/>
      <c r="K10" s="930" t="s">
        <v>741</v>
      </c>
    </row>
    <row r="11" spans="1:35" ht="17.25">
      <c r="A11" s="932" t="s">
        <v>742</v>
      </c>
      <c r="B11" s="931"/>
      <c r="C11" s="931"/>
      <c r="K11" s="933" t="s">
        <v>743</v>
      </c>
      <c r="M11" s="1305"/>
      <c r="N11" s="1306"/>
    </row>
    <row r="12" spans="1:35" s="931" customFormat="1" ht="12">
      <c r="C12" s="934"/>
      <c r="M12" s="1307"/>
      <c r="N12" s="1308"/>
    </row>
    <row r="13" spans="1:35" s="931" customFormat="1" ht="12">
      <c r="M13" s="1307"/>
      <c r="N13" s="1308"/>
      <c r="AD13" s="931">
        <f>AD15+AD16</f>
        <v>182</v>
      </c>
      <c r="AE13" s="931">
        <f t="shared" ref="AE13:AH13" si="1">AE15+AE16</f>
        <v>183</v>
      </c>
      <c r="AF13" s="931">
        <f t="shared" si="1"/>
        <v>178</v>
      </c>
      <c r="AG13" s="931">
        <f t="shared" si="1"/>
        <v>181</v>
      </c>
      <c r="AH13" s="931">
        <f t="shared" si="1"/>
        <v>197</v>
      </c>
    </row>
    <row r="14" spans="1:35">
      <c r="A14" s="1309"/>
      <c r="B14" s="1309"/>
      <c r="C14" s="1309"/>
      <c r="D14" s="1309"/>
      <c r="E14" s="1309"/>
      <c r="F14" s="1309"/>
      <c r="G14" s="1309"/>
      <c r="H14" s="1309"/>
      <c r="I14" s="1309"/>
      <c r="J14" s="1309"/>
      <c r="K14" s="1309"/>
      <c r="M14" s="1307"/>
      <c r="N14" s="1308"/>
      <c r="Z14" s="935">
        <v>2010</v>
      </c>
      <c r="AA14" s="935">
        <v>2011</v>
      </c>
      <c r="AB14" s="935">
        <v>2012</v>
      </c>
      <c r="AC14" s="935">
        <v>2013</v>
      </c>
      <c r="AD14" s="936">
        <v>2014</v>
      </c>
      <c r="AE14" s="935">
        <v>2015</v>
      </c>
      <c r="AF14" s="935">
        <v>2016</v>
      </c>
      <c r="AG14" s="936">
        <v>2017</v>
      </c>
      <c r="AH14" s="936">
        <v>2018</v>
      </c>
      <c r="AI14" s="281" t="s">
        <v>744</v>
      </c>
    </row>
    <row r="15" spans="1:35">
      <c r="M15" s="1307"/>
      <c r="N15" s="1308"/>
      <c r="Y15" s="525" t="s">
        <v>274</v>
      </c>
      <c r="Z15" s="526">
        <v>198</v>
      </c>
      <c r="AA15" s="526">
        <v>192</v>
      </c>
      <c r="AB15" s="526">
        <v>159</v>
      </c>
      <c r="AC15" s="526">
        <f t="shared" ref="AC15:AH16" si="2">E7</f>
        <v>176</v>
      </c>
      <c r="AD15" s="281">
        <f t="shared" si="2"/>
        <v>174</v>
      </c>
      <c r="AE15" s="281">
        <f t="shared" si="2"/>
        <v>176</v>
      </c>
      <c r="AF15" s="281">
        <f t="shared" si="2"/>
        <v>173</v>
      </c>
      <c r="AG15" s="281">
        <f t="shared" si="2"/>
        <v>174</v>
      </c>
      <c r="AH15" s="281">
        <f t="shared" si="2"/>
        <v>187</v>
      </c>
      <c r="AI15" s="937">
        <f>AF15/AF13*100</f>
        <v>97.19101123595506</v>
      </c>
    </row>
    <row r="16" spans="1:35">
      <c r="Y16" s="525" t="s">
        <v>275</v>
      </c>
      <c r="Z16" s="526">
        <v>4</v>
      </c>
      <c r="AA16" s="526">
        <v>5</v>
      </c>
      <c r="AB16" s="526">
        <v>5</v>
      </c>
      <c r="AC16" s="526">
        <f t="shared" si="2"/>
        <v>9</v>
      </c>
      <c r="AD16" s="281">
        <f t="shared" si="2"/>
        <v>8</v>
      </c>
      <c r="AE16" s="281">
        <f t="shared" si="2"/>
        <v>7</v>
      </c>
      <c r="AF16" s="281">
        <f t="shared" si="2"/>
        <v>5</v>
      </c>
      <c r="AG16" s="281">
        <f t="shared" si="2"/>
        <v>7</v>
      </c>
      <c r="AH16" s="281">
        <f t="shared" si="2"/>
        <v>10</v>
      </c>
      <c r="AI16" s="938">
        <f>AF16/AF13*100</f>
        <v>2.8089887640449436</v>
      </c>
    </row>
    <row r="17" spans="1:34">
      <c r="Y17" s="281" t="s">
        <v>745</v>
      </c>
      <c r="Z17" s="939">
        <f t="shared" ref="Z17:AH17" si="3">Z16/B6*100</f>
        <v>1.9801980198019802</v>
      </c>
      <c r="AA17" s="939">
        <f t="shared" si="3"/>
        <v>2.5380710659898478</v>
      </c>
      <c r="AB17" s="939">
        <f t="shared" si="3"/>
        <v>3.0487804878048781</v>
      </c>
      <c r="AC17" s="939">
        <f t="shared" si="3"/>
        <v>4.8648648648648649</v>
      </c>
      <c r="AD17" s="939">
        <f t="shared" si="3"/>
        <v>4.395604395604396</v>
      </c>
      <c r="AE17" s="939">
        <f t="shared" si="3"/>
        <v>3.8251366120218582</v>
      </c>
      <c r="AF17" s="939">
        <f t="shared" si="3"/>
        <v>2.8089887640449436</v>
      </c>
      <c r="AG17" s="939">
        <f t="shared" si="3"/>
        <v>3.867403314917127</v>
      </c>
      <c r="AH17" s="939">
        <f t="shared" si="3"/>
        <v>5.0761421319796955</v>
      </c>
    </row>
    <row r="18" spans="1:34">
      <c r="A18" s="521"/>
    </row>
    <row r="20" spans="1:34">
      <c r="Z20" s="526"/>
      <c r="AA20" s="526"/>
      <c r="AB20" s="526"/>
    </row>
    <row r="21" spans="1:34">
      <c r="Z21" s="526"/>
      <c r="AA21" s="526"/>
      <c r="AB21" s="526"/>
    </row>
    <row r="22" spans="1:34">
      <c r="AA22" s="281" t="s">
        <v>274</v>
      </c>
      <c r="AB22" s="281">
        <v>96</v>
      </c>
    </row>
    <row r="23" spans="1:34">
      <c r="AA23" s="281" t="s">
        <v>275</v>
      </c>
      <c r="AB23" s="281">
        <v>4</v>
      </c>
    </row>
    <row r="33" spans="14:14">
      <c r="N33" s="524"/>
    </row>
  </sheetData>
  <mergeCells count="7">
    <mergeCell ref="M11:N15"/>
    <mergeCell ref="A14:K14"/>
    <mergeCell ref="A1:K1"/>
    <mergeCell ref="A2:K2"/>
    <mergeCell ref="A4:A5"/>
    <mergeCell ref="B4:J4"/>
    <mergeCell ref="K4:K5"/>
  </mergeCells>
  <pageMargins left="0.7" right="0.7" top="0.75" bottom="0.75" header="0.3" footer="0.3"/>
  <ignoredErrors>
    <ignoredError sqref="E6:J6" formulaRange="1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6"/>
  <sheetViews>
    <sheetView topLeftCell="A7" workbookViewId="0">
      <selection activeCell="Z34" sqref="Z34"/>
    </sheetView>
  </sheetViews>
  <sheetFormatPr defaultColWidth="22.28515625" defaultRowHeight="12.75"/>
  <cols>
    <col min="1" max="1" width="33.5703125" style="993" customWidth="1"/>
    <col min="2" max="7" width="9.85546875" style="174" hidden="1" customWidth="1"/>
    <col min="8" max="8" width="10" style="174" customWidth="1"/>
    <col min="9" max="16" width="9.28515625" style="174" customWidth="1"/>
    <col min="17" max="19" width="9.28515625" style="174" hidden="1" customWidth="1"/>
    <col min="20" max="25" width="9.28515625" style="174" customWidth="1"/>
    <col min="26" max="26" width="28.5703125" style="174" customWidth="1"/>
    <col min="27" max="27" width="11.140625" style="174" customWidth="1"/>
    <col min="28" max="28" width="5.28515625" style="174" customWidth="1"/>
    <col min="29" max="30" width="4.28515625" style="174" customWidth="1"/>
    <col min="31" max="31" width="22.28515625" style="174"/>
    <col min="32" max="32" width="6.7109375" style="174" customWidth="1"/>
    <col min="33" max="16384" width="22.28515625" style="174"/>
  </cols>
  <sheetData>
    <row r="1" spans="1:39" ht="21">
      <c r="A1" s="1260" t="s">
        <v>746</v>
      </c>
      <c r="B1" s="1260"/>
      <c r="C1" s="1260"/>
      <c r="D1" s="1260"/>
      <c r="E1" s="1260"/>
      <c r="F1" s="1260"/>
      <c r="G1" s="1260"/>
      <c r="H1" s="1260"/>
      <c r="I1" s="1260"/>
      <c r="J1" s="1260"/>
      <c r="K1" s="1260"/>
      <c r="L1" s="1260"/>
      <c r="M1" s="1260"/>
      <c r="N1" s="1260"/>
      <c r="O1" s="1260"/>
      <c r="P1" s="1260"/>
      <c r="Q1" s="1260"/>
      <c r="R1" s="1260"/>
      <c r="S1" s="1260"/>
      <c r="T1" s="1260"/>
      <c r="U1" s="1260"/>
      <c r="V1" s="1260"/>
      <c r="W1" s="1260"/>
      <c r="X1" s="1260"/>
      <c r="Y1" s="1260"/>
      <c r="Z1" s="1319"/>
      <c r="AA1" s="940"/>
    </row>
    <row r="2" spans="1:39" ht="15">
      <c r="A2" s="1320" t="s">
        <v>747</v>
      </c>
      <c r="B2" s="1320"/>
      <c r="C2" s="1320"/>
      <c r="D2" s="1320"/>
      <c r="E2" s="1320"/>
      <c r="F2" s="1320"/>
      <c r="G2" s="1320"/>
      <c r="H2" s="1320"/>
      <c r="I2" s="1320"/>
      <c r="J2" s="1320"/>
      <c r="K2" s="1320"/>
      <c r="L2" s="1320"/>
      <c r="M2" s="1320"/>
      <c r="N2" s="1320"/>
      <c r="O2" s="1320"/>
      <c r="P2" s="1320"/>
      <c r="Q2" s="1320"/>
      <c r="R2" s="1320"/>
      <c r="S2" s="1320"/>
      <c r="T2" s="1320"/>
      <c r="U2" s="1320"/>
      <c r="V2" s="1320"/>
      <c r="W2" s="1320"/>
      <c r="X2" s="1320"/>
      <c r="Y2" s="1320"/>
      <c r="Z2" s="1320"/>
      <c r="AA2" s="940"/>
    </row>
    <row r="3" spans="1:39" ht="15">
      <c r="A3" s="1321"/>
      <c r="B3" s="1322"/>
      <c r="C3" s="1322"/>
      <c r="D3" s="1322"/>
      <c r="E3" s="1322"/>
      <c r="F3" s="1322"/>
      <c r="G3" s="1322"/>
      <c r="H3" s="1322"/>
      <c r="I3" s="1322"/>
      <c r="J3" s="1322"/>
      <c r="K3" s="1322"/>
      <c r="L3" s="1322"/>
      <c r="M3" s="1322"/>
      <c r="N3" s="1322"/>
      <c r="O3" s="1322"/>
      <c r="P3" s="1322"/>
      <c r="Q3" s="1322"/>
      <c r="R3" s="1322"/>
      <c r="S3" s="1322"/>
      <c r="T3" s="1322"/>
      <c r="U3" s="1322"/>
      <c r="V3" s="1322"/>
      <c r="W3" s="1322"/>
      <c r="X3" s="1322"/>
      <c r="Y3" s="1322"/>
      <c r="Z3" s="1323"/>
      <c r="AA3" s="940"/>
    </row>
    <row r="4" spans="1:39" ht="17.25" customHeight="1">
      <c r="A4" s="1324" t="s">
        <v>748</v>
      </c>
      <c r="B4" s="941" t="s">
        <v>273</v>
      </c>
      <c r="C4" s="941" t="s">
        <v>749</v>
      </c>
      <c r="D4" s="942" t="s">
        <v>275</v>
      </c>
      <c r="E4" s="943" t="s">
        <v>273</v>
      </c>
      <c r="F4" s="941" t="s">
        <v>749</v>
      </c>
      <c r="G4" s="944" t="s">
        <v>275</v>
      </c>
      <c r="H4" s="1084" t="s">
        <v>273</v>
      </c>
      <c r="I4" s="1085" t="s">
        <v>749</v>
      </c>
      <c r="J4" s="1086" t="s">
        <v>275</v>
      </c>
      <c r="K4" s="1084" t="s">
        <v>273</v>
      </c>
      <c r="L4" s="1085" t="s">
        <v>749</v>
      </c>
      <c r="M4" s="1086" t="s">
        <v>275</v>
      </c>
      <c r="N4" s="1087" t="s">
        <v>273</v>
      </c>
      <c r="O4" s="1085" t="s">
        <v>749</v>
      </c>
      <c r="P4" s="1088" t="s">
        <v>275</v>
      </c>
      <c r="Q4" s="1089" t="s">
        <v>273</v>
      </c>
      <c r="R4" s="1085" t="s">
        <v>749</v>
      </c>
      <c r="S4" s="1088" t="s">
        <v>275</v>
      </c>
      <c r="T4" s="1089" t="s">
        <v>273</v>
      </c>
      <c r="U4" s="1085" t="s">
        <v>749</v>
      </c>
      <c r="V4" s="1086" t="s">
        <v>275</v>
      </c>
      <c r="W4" s="1087" t="s">
        <v>273</v>
      </c>
      <c r="X4" s="1085" t="s">
        <v>749</v>
      </c>
      <c r="Y4" s="1085" t="s">
        <v>275</v>
      </c>
      <c r="Z4" s="1327" t="s">
        <v>750</v>
      </c>
      <c r="AA4" s="940"/>
    </row>
    <row r="5" spans="1:39" ht="18.75">
      <c r="A5" s="1325"/>
      <c r="B5" s="945" t="s">
        <v>277</v>
      </c>
      <c r="C5" s="945" t="s">
        <v>321</v>
      </c>
      <c r="D5" s="946" t="s">
        <v>322</v>
      </c>
      <c r="E5" s="947" t="s">
        <v>277</v>
      </c>
      <c r="F5" s="945" t="s">
        <v>321</v>
      </c>
      <c r="G5" s="948" t="s">
        <v>322</v>
      </c>
      <c r="H5" s="949" t="s">
        <v>277</v>
      </c>
      <c r="I5" s="945" t="s">
        <v>321</v>
      </c>
      <c r="J5" s="948" t="s">
        <v>322</v>
      </c>
      <c r="K5" s="949" t="s">
        <v>277</v>
      </c>
      <c r="L5" s="945" t="s">
        <v>321</v>
      </c>
      <c r="M5" s="948" t="s">
        <v>322</v>
      </c>
      <c r="N5" s="950" t="s">
        <v>277</v>
      </c>
      <c r="O5" s="945" t="s">
        <v>321</v>
      </c>
      <c r="P5" s="951" t="s">
        <v>322</v>
      </c>
      <c r="Q5" s="947" t="s">
        <v>277</v>
      </c>
      <c r="R5" s="945" t="s">
        <v>321</v>
      </c>
      <c r="S5" s="951" t="s">
        <v>322</v>
      </c>
      <c r="T5" s="947" t="s">
        <v>277</v>
      </c>
      <c r="U5" s="945" t="s">
        <v>321</v>
      </c>
      <c r="V5" s="948" t="s">
        <v>322</v>
      </c>
      <c r="W5" s="950" t="s">
        <v>277</v>
      </c>
      <c r="X5" s="945" t="s">
        <v>321</v>
      </c>
      <c r="Y5" s="945" t="s">
        <v>322</v>
      </c>
      <c r="Z5" s="1328"/>
      <c r="AA5" s="940"/>
      <c r="AK5" s="174" t="s">
        <v>751</v>
      </c>
    </row>
    <row r="6" spans="1:39">
      <c r="A6" s="1326"/>
      <c r="B6" s="1330">
        <v>2012</v>
      </c>
      <c r="C6" s="1314"/>
      <c r="D6" s="1331"/>
      <c r="E6" s="1314">
        <v>2013</v>
      </c>
      <c r="F6" s="1314"/>
      <c r="G6" s="1314"/>
      <c r="H6" s="1332">
        <v>2014</v>
      </c>
      <c r="I6" s="1314"/>
      <c r="J6" s="1314"/>
      <c r="K6" s="1333">
        <v>2015</v>
      </c>
      <c r="L6" s="1334"/>
      <c r="M6" s="1334"/>
      <c r="N6" s="1335">
        <v>2016</v>
      </c>
      <c r="O6" s="1334"/>
      <c r="P6" s="1336"/>
      <c r="Q6" s="1314">
        <v>2017</v>
      </c>
      <c r="R6" s="1314"/>
      <c r="S6" s="1315"/>
      <c r="T6" s="1314">
        <v>2018</v>
      </c>
      <c r="U6" s="1314"/>
      <c r="V6" s="1314"/>
      <c r="W6" s="1337" t="s">
        <v>1229</v>
      </c>
      <c r="X6" s="1314"/>
      <c r="Y6" s="1338"/>
      <c r="Z6" s="1329"/>
      <c r="AA6" s="940"/>
    </row>
    <row r="7" spans="1:39" ht="21">
      <c r="A7" s="1065" t="s">
        <v>308</v>
      </c>
      <c r="B7" s="952">
        <f>C7+D7</f>
        <v>641</v>
      </c>
      <c r="C7" s="953">
        <f>SUM(C8:C16)</f>
        <v>435</v>
      </c>
      <c r="D7" s="954">
        <f>SUM(D8:D16)</f>
        <v>206</v>
      </c>
      <c r="E7" s="955">
        <f>F7+G7</f>
        <v>699</v>
      </c>
      <c r="F7" s="953">
        <f>SUM(F8:F16)</f>
        <v>466</v>
      </c>
      <c r="G7" s="956">
        <f>SUM(G8:G16)</f>
        <v>233</v>
      </c>
      <c r="H7" s="957">
        <f>SUM(I7:J7)</f>
        <v>798</v>
      </c>
      <c r="I7" s="958">
        <f>SUM(I8:I16)</f>
        <v>521</v>
      </c>
      <c r="J7" s="959">
        <f>SUM(J8:J16)</f>
        <v>277</v>
      </c>
      <c r="K7" s="957">
        <f t="shared" ref="K7" si="0">SUM(L7:M7)</f>
        <v>145</v>
      </c>
      <c r="L7" s="958">
        <f t="shared" ref="L7:M7" si="1">SUM(L8:L16)</f>
        <v>72</v>
      </c>
      <c r="M7" s="959">
        <f t="shared" si="1"/>
        <v>73</v>
      </c>
      <c r="N7" s="1077">
        <f t="shared" ref="N7" si="2">SUM(O7:P7)</f>
        <v>132</v>
      </c>
      <c r="O7" s="1078">
        <f t="shared" ref="O7:P7" si="3">SUM(O8:O16)</f>
        <v>54</v>
      </c>
      <c r="P7" s="1079">
        <f t="shared" si="3"/>
        <v>78</v>
      </c>
      <c r="Q7" s="960">
        <f>SUM(R7:S7)</f>
        <v>0</v>
      </c>
      <c r="R7" s="958">
        <f>SUM(R8:R16)</f>
        <v>0</v>
      </c>
      <c r="S7" s="1067">
        <f>SUM(S8:S16)</f>
        <v>0</v>
      </c>
      <c r="T7" s="960">
        <f>SUM(U7:V7)</f>
        <v>661</v>
      </c>
      <c r="U7" s="958">
        <f>SUM(U8:U16)</f>
        <v>435</v>
      </c>
      <c r="V7" s="959">
        <f>SUM(V8:V16)</f>
        <v>226</v>
      </c>
      <c r="W7" s="1081">
        <f>H7+K7+N7+Q7+T7</f>
        <v>1736</v>
      </c>
      <c r="X7" s="958">
        <f t="shared" ref="X7:Y16" si="4">I7+L7+O7+R7+U7</f>
        <v>1082</v>
      </c>
      <c r="Y7" s="958">
        <f t="shared" si="4"/>
        <v>654</v>
      </c>
      <c r="Z7" s="961" t="s">
        <v>141</v>
      </c>
      <c r="AA7" s="940"/>
      <c r="AK7" s="174">
        <v>423</v>
      </c>
      <c r="AL7" s="174" t="s">
        <v>122</v>
      </c>
      <c r="AM7" s="174">
        <f>AK7/AK9*100</f>
        <v>39.348837209302324</v>
      </c>
    </row>
    <row r="8" spans="1:39" ht="21">
      <c r="A8" s="962" t="s">
        <v>752</v>
      </c>
      <c r="B8" s="963">
        <f>SUM(C8:D8)</f>
        <v>91</v>
      </c>
      <c r="C8" s="964">
        <v>91</v>
      </c>
      <c r="D8" s="965">
        <v>0</v>
      </c>
      <c r="E8" s="966">
        <f>SUM(F8:G8)</f>
        <v>89</v>
      </c>
      <c r="F8" s="964">
        <v>89</v>
      </c>
      <c r="G8" s="967">
        <v>0</v>
      </c>
      <c r="H8" s="968">
        <f>SUM(I8:J8)</f>
        <v>90</v>
      </c>
      <c r="I8" s="968">
        <v>90</v>
      </c>
      <c r="J8" s="969">
        <v>0</v>
      </c>
      <c r="K8" s="1071">
        <f t="shared" ref="K8:K16" si="5">SUM(L8:M8)</f>
        <v>0</v>
      </c>
      <c r="L8" s="1072">
        <v>0</v>
      </c>
      <c r="M8" s="1073">
        <v>0</v>
      </c>
      <c r="N8" s="1090">
        <f t="shared" ref="N8:N16" si="6">SUM(O8:P8)</f>
        <v>0</v>
      </c>
      <c r="O8" s="1072">
        <v>0</v>
      </c>
      <c r="P8" s="1073">
        <v>0</v>
      </c>
      <c r="Q8" s="971">
        <v>0</v>
      </c>
      <c r="R8" s="971">
        <v>0</v>
      </c>
      <c r="S8" s="1068">
        <v>0</v>
      </c>
      <c r="T8" s="971">
        <f t="shared" ref="T8:T12" si="7">SUM(U8:V8)</f>
        <v>90</v>
      </c>
      <c r="U8" s="970">
        <v>90</v>
      </c>
      <c r="V8" s="1080">
        <v>0</v>
      </c>
      <c r="W8" s="1081">
        <f t="shared" ref="W8:W16" si="8">H8+K8+N8+Q8+T8</f>
        <v>180</v>
      </c>
      <c r="X8" s="958">
        <f t="shared" si="4"/>
        <v>180</v>
      </c>
      <c r="Y8" s="958">
        <f t="shared" si="4"/>
        <v>0</v>
      </c>
      <c r="Z8" s="972" t="s">
        <v>753</v>
      </c>
      <c r="AA8" s="940"/>
      <c r="AK8" s="174">
        <v>652</v>
      </c>
      <c r="AL8" s="174" t="s">
        <v>120</v>
      </c>
      <c r="AM8" s="174">
        <f>AK8/AK9*100</f>
        <v>60.651162790697676</v>
      </c>
    </row>
    <row r="9" spans="1:39" ht="21">
      <c r="A9" s="973" t="s">
        <v>754</v>
      </c>
      <c r="B9" s="963">
        <f t="shared" ref="B9:B16" si="9">SUM(C9:D9)</f>
        <v>74</v>
      </c>
      <c r="C9" s="964">
        <v>73</v>
      </c>
      <c r="D9" s="965">
        <v>1</v>
      </c>
      <c r="E9" s="966">
        <f t="shared" ref="E9:E16" si="10">SUM(F9:G9)</f>
        <v>74</v>
      </c>
      <c r="F9" s="964">
        <v>73</v>
      </c>
      <c r="G9" s="967">
        <v>1</v>
      </c>
      <c r="H9" s="968">
        <f t="shared" ref="H9:H16" si="11">SUM(I9:J9)</f>
        <v>72</v>
      </c>
      <c r="I9" s="968">
        <v>71</v>
      </c>
      <c r="J9" s="969">
        <v>1</v>
      </c>
      <c r="K9" s="1071">
        <f t="shared" si="5"/>
        <v>0</v>
      </c>
      <c r="L9" s="1072">
        <v>0</v>
      </c>
      <c r="M9" s="1073">
        <v>0</v>
      </c>
      <c r="N9" s="1090">
        <f t="shared" si="6"/>
        <v>0</v>
      </c>
      <c r="O9" s="1072">
        <v>0</v>
      </c>
      <c r="P9" s="1073">
        <v>0</v>
      </c>
      <c r="Q9" s="971">
        <v>0</v>
      </c>
      <c r="R9" s="971">
        <v>0</v>
      </c>
      <c r="S9" s="1068">
        <v>0</v>
      </c>
      <c r="T9" s="971">
        <f t="shared" si="7"/>
        <v>72</v>
      </c>
      <c r="U9" s="970">
        <v>71</v>
      </c>
      <c r="V9" s="1080">
        <v>1</v>
      </c>
      <c r="W9" s="1081">
        <f t="shared" si="8"/>
        <v>144</v>
      </c>
      <c r="X9" s="958">
        <f t="shared" si="4"/>
        <v>142</v>
      </c>
      <c r="Y9" s="958">
        <f t="shared" si="4"/>
        <v>2</v>
      </c>
      <c r="Z9" s="972" t="s">
        <v>755</v>
      </c>
      <c r="AA9" s="940"/>
      <c r="AK9" s="174">
        <v>1075</v>
      </c>
    </row>
    <row r="10" spans="1:39" ht="21">
      <c r="A10" s="973" t="s">
        <v>756</v>
      </c>
      <c r="B10" s="963">
        <f t="shared" si="9"/>
        <v>7</v>
      </c>
      <c r="C10" s="974">
        <v>7</v>
      </c>
      <c r="D10" s="975">
        <v>0</v>
      </c>
      <c r="E10" s="966">
        <f t="shared" si="10"/>
        <v>7</v>
      </c>
      <c r="F10" s="974">
        <v>7</v>
      </c>
      <c r="G10" s="976">
        <v>0</v>
      </c>
      <c r="H10" s="968">
        <f t="shared" si="11"/>
        <v>7</v>
      </c>
      <c r="I10" s="968">
        <v>7</v>
      </c>
      <c r="J10" s="969">
        <v>0</v>
      </c>
      <c r="K10" s="1071">
        <f t="shared" si="5"/>
        <v>0</v>
      </c>
      <c r="L10" s="1072">
        <v>0</v>
      </c>
      <c r="M10" s="1073">
        <v>0</v>
      </c>
      <c r="N10" s="1090">
        <f t="shared" si="6"/>
        <v>0</v>
      </c>
      <c r="O10" s="1072">
        <v>0</v>
      </c>
      <c r="P10" s="1073">
        <v>0</v>
      </c>
      <c r="Q10" s="971">
        <v>0</v>
      </c>
      <c r="R10" s="971">
        <v>0</v>
      </c>
      <c r="S10" s="1068">
        <v>0</v>
      </c>
      <c r="T10" s="971">
        <f t="shared" si="7"/>
        <v>7</v>
      </c>
      <c r="U10" s="970">
        <v>7</v>
      </c>
      <c r="V10" s="1080">
        <v>0</v>
      </c>
      <c r="W10" s="1081">
        <f t="shared" si="8"/>
        <v>14</v>
      </c>
      <c r="X10" s="958">
        <f t="shared" si="4"/>
        <v>14</v>
      </c>
      <c r="Y10" s="958">
        <f t="shared" si="4"/>
        <v>0</v>
      </c>
      <c r="Z10" s="972" t="s">
        <v>757</v>
      </c>
      <c r="AA10" s="940"/>
    </row>
    <row r="11" spans="1:39" ht="21">
      <c r="A11" s="962" t="s">
        <v>758</v>
      </c>
      <c r="B11" s="963">
        <f t="shared" si="9"/>
        <v>43</v>
      </c>
      <c r="C11" s="974">
        <v>25</v>
      </c>
      <c r="D11" s="975">
        <v>18</v>
      </c>
      <c r="E11" s="966">
        <f t="shared" si="10"/>
        <v>43</v>
      </c>
      <c r="F11" s="974">
        <v>25</v>
      </c>
      <c r="G11" s="976">
        <v>18</v>
      </c>
      <c r="H11" s="968">
        <f t="shared" si="11"/>
        <v>43</v>
      </c>
      <c r="I11" s="968">
        <v>25</v>
      </c>
      <c r="J11" s="969">
        <v>18</v>
      </c>
      <c r="K11" s="1071">
        <f t="shared" si="5"/>
        <v>0</v>
      </c>
      <c r="L11" s="1072">
        <v>0</v>
      </c>
      <c r="M11" s="1073">
        <v>0</v>
      </c>
      <c r="N11" s="1090">
        <f t="shared" si="6"/>
        <v>0</v>
      </c>
      <c r="O11" s="1072">
        <v>0</v>
      </c>
      <c r="P11" s="1073">
        <v>0</v>
      </c>
      <c r="Q11" s="971">
        <v>0</v>
      </c>
      <c r="R11" s="971">
        <v>0</v>
      </c>
      <c r="S11" s="1068">
        <v>0</v>
      </c>
      <c r="T11" s="971">
        <f t="shared" si="7"/>
        <v>43</v>
      </c>
      <c r="U11" s="970">
        <v>25</v>
      </c>
      <c r="V11" s="1080">
        <v>18</v>
      </c>
      <c r="W11" s="1081">
        <f t="shared" si="8"/>
        <v>86</v>
      </c>
      <c r="X11" s="958">
        <f t="shared" si="4"/>
        <v>50</v>
      </c>
      <c r="Y11" s="958">
        <f t="shared" si="4"/>
        <v>36</v>
      </c>
      <c r="Z11" s="972" t="s">
        <v>759</v>
      </c>
      <c r="AA11" s="940"/>
    </row>
    <row r="12" spans="1:39" ht="21">
      <c r="A12" s="962" t="s">
        <v>760</v>
      </c>
      <c r="B12" s="963">
        <f t="shared" si="9"/>
        <v>68</v>
      </c>
      <c r="C12" s="974">
        <v>31</v>
      </c>
      <c r="D12" s="975">
        <v>37</v>
      </c>
      <c r="E12" s="966">
        <f t="shared" si="10"/>
        <v>68</v>
      </c>
      <c r="F12" s="974">
        <v>31</v>
      </c>
      <c r="G12" s="976">
        <v>37</v>
      </c>
      <c r="H12" s="968">
        <f t="shared" si="11"/>
        <v>68</v>
      </c>
      <c r="I12" s="968">
        <v>31</v>
      </c>
      <c r="J12" s="969">
        <v>37</v>
      </c>
      <c r="K12" s="1071">
        <f t="shared" si="5"/>
        <v>0</v>
      </c>
      <c r="L12" s="1072">
        <v>0</v>
      </c>
      <c r="M12" s="1073">
        <v>0</v>
      </c>
      <c r="N12" s="1090">
        <f t="shared" si="6"/>
        <v>0</v>
      </c>
      <c r="O12" s="1072">
        <v>0</v>
      </c>
      <c r="P12" s="1073">
        <v>0</v>
      </c>
      <c r="Q12" s="971">
        <v>0</v>
      </c>
      <c r="R12" s="971">
        <v>0</v>
      </c>
      <c r="S12" s="1068">
        <v>0</v>
      </c>
      <c r="T12" s="971">
        <f t="shared" si="7"/>
        <v>68</v>
      </c>
      <c r="U12" s="970">
        <v>31</v>
      </c>
      <c r="V12" s="1080">
        <v>37</v>
      </c>
      <c r="W12" s="1081">
        <f t="shared" si="8"/>
        <v>136</v>
      </c>
      <c r="X12" s="958">
        <f t="shared" si="4"/>
        <v>62</v>
      </c>
      <c r="Y12" s="958">
        <f t="shared" si="4"/>
        <v>74</v>
      </c>
      <c r="Z12" s="972" t="s">
        <v>761</v>
      </c>
      <c r="AA12" s="940"/>
    </row>
    <row r="13" spans="1:39" ht="21">
      <c r="A13" s="973" t="s">
        <v>762</v>
      </c>
      <c r="B13" s="963">
        <f t="shared" si="9"/>
        <v>331</v>
      </c>
      <c r="C13" s="974">
        <v>183</v>
      </c>
      <c r="D13" s="975">
        <v>148</v>
      </c>
      <c r="E13" s="966">
        <f t="shared" si="10"/>
        <v>391</v>
      </c>
      <c r="F13" s="974">
        <v>216</v>
      </c>
      <c r="G13" s="976">
        <v>175</v>
      </c>
      <c r="H13" s="968">
        <f t="shared" si="11"/>
        <v>492</v>
      </c>
      <c r="I13" s="977">
        <v>273</v>
      </c>
      <c r="J13" s="978">
        <v>219</v>
      </c>
      <c r="K13" s="1071">
        <f t="shared" si="5"/>
        <v>145</v>
      </c>
      <c r="L13" s="974">
        <v>72</v>
      </c>
      <c r="M13" s="975">
        <v>73</v>
      </c>
      <c r="N13" s="1090">
        <f t="shared" si="6"/>
        <v>132</v>
      </c>
      <c r="O13" s="974">
        <v>54</v>
      </c>
      <c r="P13" s="975">
        <v>78</v>
      </c>
      <c r="Q13" s="971">
        <v>0</v>
      </c>
      <c r="R13" s="971">
        <v>0</v>
      </c>
      <c r="S13" s="1068">
        <v>0</v>
      </c>
      <c r="T13" s="971">
        <v>355</v>
      </c>
      <c r="U13" s="970">
        <v>187</v>
      </c>
      <c r="V13" s="1080">
        <v>168</v>
      </c>
      <c r="W13" s="1081">
        <f t="shared" si="8"/>
        <v>1124</v>
      </c>
      <c r="X13" s="958">
        <f t="shared" si="4"/>
        <v>586</v>
      </c>
      <c r="Y13" s="958">
        <f t="shared" si="4"/>
        <v>538</v>
      </c>
      <c r="Z13" s="972" t="s">
        <v>763</v>
      </c>
      <c r="AA13" s="940"/>
    </row>
    <row r="14" spans="1:39" ht="21">
      <c r="A14" s="962" t="s">
        <v>764</v>
      </c>
      <c r="B14" s="963">
        <f t="shared" si="9"/>
        <v>10</v>
      </c>
      <c r="C14" s="974">
        <v>8</v>
      </c>
      <c r="D14" s="975">
        <v>2</v>
      </c>
      <c r="E14" s="966">
        <f t="shared" si="10"/>
        <v>11</v>
      </c>
      <c r="F14" s="974">
        <v>9</v>
      </c>
      <c r="G14" s="976">
        <v>2</v>
      </c>
      <c r="H14" s="968">
        <f t="shared" si="11"/>
        <v>11</v>
      </c>
      <c r="I14" s="968">
        <v>9</v>
      </c>
      <c r="J14" s="969">
        <v>2</v>
      </c>
      <c r="K14" s="1071">
        <f t="shared" si="5"/>
        <v>0</v>
      </c>
      <c r="L14" s="1072">
        <v>0</v>
      </c>
      <c r="M14" s="1073">
        <v>0</v>
      </c>
      <c r="N14" s="1090">
        <f t="shared" si="6"/>
        <v>0</v>
      </c>
      <c r="O14" s="1072">
        <v>0</v>
      </c>
      <c r="P14" s="1073">
        <v>0</v>
      </c>
      <c r="Q14" s="971">
        <v>0</v>
      </c>
      <c r="R14" s="971">
        <v>0</v>
      </c>
      <c r="S14" s="1068">
        <v>0</v>
      </c>
      <c r="T14" s="971">
        <f t="shared" ref="T14:T16" si="12">SUM(U14:V14)</f>
        <v>11</v>
      </c>
      <c r="U14" s="970">
        <v>9</v>
      </c>
      <c r="V14" s="1080">
        <v>2</v>
      </c>
      <c r="W14" s="1081">
        <f t="shared" si="8"/>
        <v>22</v>
      </c>
      <c r="X14" s="958">
        <f t="shared" si="4"/>
        <v>18</v>
      </c>
      <c r="Y14" s="958">
        <f t="shared" si="4"/>
        <v>4</v>
      </c>
      <c r="Z14" s="972" t="s">
        <v>765</v>
      </c>
      <c r="AA14" s="940"/>
    </row>
    <row r="15" spans="1:39" ht="21">
      <c r="A15" s="973" t="s">
        <v>766</v>
      </c>
      <c r="B15" s="963">
        <f t="shared" si="9"/>
        <v>2</v>
      </c>
      <c r="C15" s="974">
        <v>2</v>
      </c>
      <c r="D15" s="975">
        <v>0</v>
      </c>
      <c r="E15" s="966">
        <f t="shared" si="10"/>
        <v>1</v>
      </c>
      <c r="F15" s="974">
        <v>1</v>
      </c>
      <c r="G15" s="976">
        <v>0</v>
      </c>
      <c r="H15" s="968">
        <f t="shared" si="11"/>
        <v>1</v>
      </c>
      <c r="I15" s="968">
        <v>1</v>
      </c>
      <c r="J15" s="969">
        <v>0</v>
      </c>
      <c r="K15" s="1071">
        <f t="shared" si="5"/>
        <v>0</v>
      </c>
      <c r="L15" s="1072">
        <v>0</v>
      </c>
      <c r="M15" s="1073">
        <v>0</v>
      </c>
      <c r="N15" s="1090">
        <f t="shared" si="6"/>
        <v>0</v>
      </c>
      <c r="O15" s="1072">
        <v>0</v>
      </c>
      <c r="P15" s="1073">
        <v>0</v>
      </c>
      <c r="Q15" s="971">
        <v>0</v>
      </c>
      <c r="R15" s="971">
        <v>0</v>
      </c>
      <c r="S15" s="1068">
        <v>0</v>
      </c>
      <c r="T15" s="971">
        <f t="shared" si="12"/>
        <v>1</v>
      </c>
      <c r="U15" s="970">
        <v>1</v>
      </c>
      <c r="V15" s="1080">
        <v>0</v>
      </c>
      <c r="W15" s="1081">
        <f t="shared" si="8"/>
        <v>2</v>
      </c>
      <c r="X15" s="958">
        <f t="shared" si="4"/>
        <v>2</v>
      </c>
      <c r="Y15" s="958">
        <f t="shared" si="4"/>
        <v>0</v>
      </c>
      <c r="Z15" s="972" t="s">
        <v>767</v>
      </c>
      <c r="AA15" s="940"/>
    </row>
    <row r="16" spans="1:39" ht="21">
      <c r="A16" s="979" t="s">
        <v>768</v>
      </c>
      <c r="B16" s="980">
        <f t="shared" si="9"/>
        <v>15</v>
      </c>
      <c r="C16" s="981">
        <v>15</v>
      </c>
      <c r="D16" s="982">
        <v>0</v>
      </c>
      <c r="E16" s="983">
        <f t="shared" si="10"/>
        <v>15</v>
      </c>
      <c r="F16" s="981">
        <v>15</v>
      </c>
      <c r="G16" s="984">
        <v>0</v>
      </c>
      <c r="H16" s="985">
        <f t="shared" si="11"/>
        <v>14</v>
      </c>
      <c r="I16" s="985">
        <v>14</v>
      </c>
      <c r="J16" s="986">
        <v>0</v>
      </c>
      <c r="K16" s="1074">
        <f t="shared" si="5"/>
        <v>0</v>
      </c>
      <c r="L16" s="1075">
        <v>0</v>
      </c>
      <c r="M16" s="1076">
        <v>0</v>
      </c>
      <c r="N16" s="1075">
        <f t="shared" si="6"/>
        <v>0</v>
      </c>
      <c r="O16" s="1075">
        <v>0</v>
      </c>
      <c r="P16" s="1076">
        <v>0</v>
      </c>
      <c r="Q16" s="1069">
        <v>0</v>
      </c>
      <c r="R16" s="1069">
        <v>0</v>
      </c>
      <c r="S16" s="1070">
        <v>0</v>
      </c>
      <c r="T16" s="1069">
        <f t="shared" si="12"/>
        <v>14</v>
      </c>
      <c r="U16" s="985">
        <v>14</v>
      </c>
      <c r="V16" s="986">
        <v>0</v>
      </c>
      <c r="W16" s="1082">
        <f t="shared" si="8"/>
        <v>28</v>
      </c>
      <c r="X16" s="1083">
        <f t="shared" si="4"/>
        <v>28</v>
      </c>
      <c r="Y16" s="1083">
        <f t="shared" si="4"/>
        <v>0</v>
      </c>
      <c r="Z16" s="987" t="s">
        <v>37</v>
      </c>
      <c r="AA16" s="940"/>
    </row>
    <row r="17" spans="1:27" ht="18.75">
      <c r="A17" s="512" t="s">
        <v>353</v>
      </c>
      <c r="B17" s="988"/>
      <c r="C17" s="988"/>
      <c r="D17" s="988"/>
      <c r="E17" s="988"/>
      <c r="F17" s="988"/>
      <c r="G17" s="892"/>
      <c r="H17" s="989"/>
      <c r="I17" s="989"/>
      <c r="J17" s="989"/>
      <c r="Q17" s="991"/>
      <c r="R17" s="990"/>
      <c r="S17" s="990"/>
      <c r="T17" s="991"/>
      <c r="U17" s="990"/>
      <c r="V17" s="990"/>
      <c r="W17" s="990"/>
      <c r="X17" s="990"/>
      <c r="Y17" s="990"/>
      <c r="Z17" s="992" t="s">
        <v>1231</v>
      </c>
      <c r="AA17" s="940"/>
    </row>
    <row r="18" spans="1:27" ht="18.75">
      <c r="W18" s="995"/>
      <c r="X18" s="995"/>
      <c r="Y18" s="995"/>
      <c r="Z18" s="992" t="s">
        <v>1230</v>
      </c>
      <c r="AA18" s="940"/>
    </row>
    <row r="19" spans="1:27" ht="15">
      <c r="A19" s="1316"/>
      <c r="B19" s="1317"/>
      <c r="C19" s="1317"/>
      <c r="D19" s="1318"/>
      <c r="E19" s="1064"/>
      <c r="F19" s="1064"/>
      <c r="G19" s="1064"/>
      <c r="Q19" s="1064"/>
      <c r="R19" s="1064"/>
      <c r="S19" s="1064"/>
      <c r="T19" s="1064"/>
      <c r="U19" s="1064"/>
      <c r="V19" s="1064"/>
      <c r="W19" s="1066"/>
      <c r="X19" s="1066"/>
      <c r="Y19" s="1066"/>
      <c r="Z19" s="224" t="s">
        <v>354</v>
      </c>
      <c r="AA19" s="940"/>
    </row>
    <row r="20" spans="1:27">
      <c r="AA20" s="940"/>
    </row>
    <row r="21" spans="1:27">
      <c r="A21" s="994"/>
      <c r="B21" s="995"/>
      <c r="C21" s="995"/>
      <c r="D21" s="995"/>
      <c r="E21" s="995"/>
      <c r="F21" s="995"/>
      <c r="G21" s="995"/>
      <c r="H21" s="995"/>
      <c r="I21" s="995"/>
      <c r="Q21" s="995"/>
      <c r="R21" s="995"/>
      <c r="S21" s="995"/>
      <c r="T21" s="995"/>
      <c r="U21" s="995"/>
      <c r="W21" s="996"/>
      <c r="X21" s="996"/>
      <c r="Y21" s="996"/>
      <c r="Z21" s="996"/>
      <c r="AA21" s="940"/>
    </row>
    <row r="22" spans="1:27">
      <c r="A22" s="994"/>
      <c r="B22" s="995"/>
      <c r="C22" s="995"/>
      <c r="D22" s="995"/>
      <c r="E22" s="995"/>
      <c r="F22" s="995"/>
      <c r="G22" s="995"/>
      <c r="H22" s="995"/>
      <c r="I22" s="995"/>
      <c r="Q22" s="995"/>
      <c r="R22" s="995"/>
      <c r="S22" s="995"/>
      <c r="T22" s="995"/>
      <c r="U22" s="995"/>
      <c r="V22" s="995"/>
      <c r="W22" s="995"/>
      <c r="X22" s="995"/>
      <c r="Y22" s="995"/>
      <c r="AA22" s="940"/>
    </row>
    <row r="23" spans="1:27">
      <c r="T23" s="995"/>
      <c r="AA23" s="997"/>
    </row>
    <row r="24" spans="1:27">
      <c r="T24" s="995"/>
      <c r="AA24" s="997"/>
    </row>
    <row r="25" spans="1:27">
      <c r="T25" s="995"/>
      <c r="AA25" s="997"/>
    </row>
    <row r="26" spans="1:27">
      <c r="AA26" s="997"/>
    </row>
  </sheetData>
  <mergeCells count="14">
    <mergeCell ref="Q6:S6"/>
    <mergeCell ref="T6:V6"/>
    <mergeCell ref="A19:D19"/>
    <mergeCell ref="A1:Z1"/>
    <mergeCell ref="A2:Z2"/>
    <mergeCell ref="A3:Z3"/>
    <mergeCell ref="A4:A6"/>
    <mergeCell ref="Z4:Z6"/>
    <mergeCell ref="B6:D6"/>
    <mergeCell ref="E6:G6"/>
    <mergeCell ref="H6:J6"/>
    <mergeCell ref="K6:M6"/>
    <mergeCell ref="N6:P6"/>
    <mergeCell ref="W6:Y6"/>
  </mergeCells>
  <pageMargins left="0.7" right="0.7" top="0.75" bottom="0.75" header="0.3" footer="0.3"/>
  <pageSetup paperSize="9" orientation="portrait" horizontalDpi="4294967295" verticalDpi="4294967295" r:id="rId1"/>
  <ignoredErrors>
    <ignoredError sqref="H7 N7:N16 K7:M16 O7:Z16" formula="1"/>
  </ignoredError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workbookViewId="0">
      <selection activeCell="J31" sqref="J31"/>
    </sheetView>
  </sheetViews>
  <sheetFormatPr defaultRowHeight="15"/>
  <cols>
    <col min="1" max="1" width="20.28515625" style="998" customWidth="1"/>
    <col min="2" max="4" width="16.7109375" style="998" customWidth="1"/>
    <col min="5" max="5" width="33" style="998" customWidth="1"/>
    <col min="6" max="13" width="9.140625" style="998"/>
    <col min="14" max="14" width="9.5703125" style="998" bestFit="1" customWidth="1"/>
    <col min="15" max="15" width="9.28515625" style="998" bestFit="1" customWidth="1"/>
    <col min="16" max="16" width="9.5703125" style="998" bestFit="1" customWidth="1"/>
    <col min="17" max="17" width="9.28515625" style="998" bestFit="1" customWidth="1"/>
    <col min="18" max="16384" width="9.140625" style="998"/>
  </cols>
  <sheetData>
    <row r="1" spans="1:19" ht="21">
      <c r="A1" s="1339" t="s">
        <v>769</v>
      </c>
      <c r="B1" s="1339"/>
      <c r="C1" s="1339"/>
      <c r="D1" s="1339"/>
      <c r="E1" s="1339"/>
    </row>
    <row r="2" spans="1:19">
      <c r="A2" s="1340" t="s">
        <v>770</v>
      </c>
      <c r="B2" s="1340"/>
      <c r="C2" s="1340"/>
      <c r="D2" s="1340"/>
      <c r="E2" s="1340"/>
    </row>
    <row r="3" spans="1:19" ht="21">
      <c r="A3" s="999" t="s">
        <v>771</v>
      </c>
      <c r="B3" s="1000">
        <v>2016</v>
      </c>
      <c r="C3" s="1001">
        <v>2017</v>
      </c>
      <c r="D3" s="1000">
        <v>2018</v>
      </c>
      <c r="E3" s="1002" t="s">
        <v>772</v>
      </c>
    </row>
    <row r="4" spans="1:19" ht="21">
      <c r="A4" s="1003" t="s">
        <v>773</v>
      </c>
      <c r="B4" s="1004">
        <f t="shared" ref="B4:D6" si="0">B7+B10</f>
        <v>1523</v>
      </c>
      <c r="C4" s="1004">
        <f t="shared" si="0"/>
        <v>1562</v>
      </c>
      <c r="D4" s="1004">
        <f t="shared" si="0"/>
        <v>1051</v>
      </c>
      <c r="E4" s="1005" t="s">
        <v>774</v>
      </c>
    </row>
    <row r="5" spans="1:19" ht="21">
      <c r="A5" s="1006" t="s">
        <v>274</v>
      </c>
      <c r="B5" s="1007">
        <f t="shared" si="0"/>
        <v>1464</v>
      </c>
      <c r="C5" s="1007">
        <f t="shared" si="0"/>
        <v>1498</v>
      </c>
      <c r="D5" s="1007">
        <f t="shared" si="0"/>
        <v>54</v>
      </c>
      <c r="E5" s="1008" t="s">
        <v>321</v>
      </c>
    </row>
    <row r="6" spans="1:19" ht="21">
      <c r="A6" s="1009" t="s">
        <v>275</v>
      </c>
      <c r="B6" s="1010">
        <f t="shared" si="0"/>
        <v>59</v>
      </c>
      <c r="C6" s="1010">
        <f t="shared" si="0"/>
        <v>64</v>
      </c>
      <c r="D6" s="1010">
        <f t="shared" si="0"/>
        <v>997</v>
      </c>
      <c r="E6" s="1011" t="s">
        <v>322</v>
      </c>
    </row>
    <row r="7" spans="1:19" ht="21">
      <c r="A7" s="1012" t="s">
        <v>775</v>
      </c>
      <c r="B7" s="1007">
        <f>B8+B9</f>
        <v>1408</v>
      </c>
      <c r="C7" s="1007">
        <f>C8+C9</f>
        <v>1536</v>
      </c>
      <c r="D7" s="1007">
        <f>D8+D9</f>
        <v>1040</v>
      </c>
      <c r="E7" s="1013" t="s">
        <v>776</v>
      </c>
    </row>
    <row r="8" spans="1:19" ht="21">
      <c r="A8" s="1006" t="s">
        <v>274</v>
      </c>
      <c r="B8" s="1014">
        <v>1356</v>
      </c>
      <c r="C8" s="1014">
        <v>1475</v>
      </c>
      <c r="D8" s="1014">
        <v>53</v>
      </c>
      <c r="E8" s="1008" t="s">
        <v>321</v>
      </c>
    </row>
    <row r="9" spans="1:19" ht="21">
      <c r="A9" s="1009" t="s">
        <v>275</v>
      </c>
      <c r="B9" s="1015">
        <v>52</v>
      </c>
      <c r="C9" s="1015">
        <v>61</v>
      </c>
      <c r="D9" s="1015">
        <v>987</v>
      </c>
      <c r="E9" s="1011" t="s">
        <v>322</v>
      </c>
    </row>
    <row r="10" spans="1:19" ht="21">
      <c r="A10" s="1012" t="s">
        <v>777</v>
      </c>
      <c r="B10" s="1007">
        <f>B11+B12</f>
        <v>115</v>
      </c>
      <c r="C10" s="1007">
        <f>C11+C12</f>
        <v>26</v>
      </c>
      <c r="D10" s="1007">
        <f>D11+D12</f>
        <v>11</v>
      </c>
      <c r="E10" s="1013" t="s">
        <v>778</v>
      </c>
    </row>
    <row r="11" spans="1:19" ht="21">
      <c r="A11" s="1006" t="s">
        <v>274</v>
      </c>
      <c r="B11" s="1014">
        <v>108</v>
      </c>
      <c r="C11" s="1014">
        <v>23</v>
      </c>
      <c r="D11" s="1014">
        <v>1</v>
      </c>
      <c r="E11" s="1008" t="s">
        <v>321</v>
      </c>
    </row>
    <row r="12" spans="1:19" ht="21">
      <c r="A12" s="1016" t="s">
        <v>275</v>
      </c>
      <c r="B12" s="1017">
        <v>7</v>
      </c>
      <c r="C12" s="1017">
        <v>3</v>
      </c>
      <c r="D12" s="1017">
        <v>10</v>
      </c>
      <c r="E12" s="1018" t="s">
        <v>322</v>
      </c>
    </row>
    <row r="13" spans="1:19" ht="15.75">
      <c r="A13" s="682" t="s">
        <v>353</v>
      </c>
      <c r="B13" s="1019"/>
      <c r="C13" s="1019"/>
      <c r="D13" s="1019"/>
      <c r="E13" s="800" t="s">
        <v>354</v>
      </c>
    </row>
    <row r="14" spans="1:19">
      <c r="B14" s="1020"/>
      <c r="N14" s="1341">
        <v>2016</v>
      </c>
      <c r="O14" s="1341"/>
      <c r="P14" s="1341">
        <v>2017</v>
      </c>
      <c r="Q14" s="1341"/>
      <c r="R14" s="1341">
        <v>2018</v>
      </c>
      <c r="S14" s="1341"/>
    </row>
    <row r="15" spans="1:19">
      <c r="N15" s="998" t="s">
        <v>274</v>
      </c>
      <c r="O15" s="998" t="s">
        <v>275</v>
      </c>
      <c r="P15" s="998" t="s">
        <v>274</v>
      </c>
      <c r="Q15" s="998" t="s">
        <v>275</v>
      </c>
      <c r="R15" s="998" t="s">
        <v>274</v>
      </c>
      <c r="S15" s="998" t="s">
        <v>275</v>
      </c>
    </row>
    <row r="16" spans="1:19">
      <c r="M16" s="1021" t="s">
        <v>779</v>
      </c>
      <c r="N16" s="1022">
        <f>B8</f>
        <v>1356</v>
      </c>
      <c r="O16" s="1022">
        <f>B9</f>
        <v>52</v>
      </c>
      <c r="P16" s="1022">
        <f>C8</f>
        <v>1475</v>
      </c>
      <c r="Q16" s="1022">
        <f>C9</f>
        <v>61</v>
      </c>
      <c r="R16" s="1022">
        <f>D8</f>
        <v>53</v>
      </c>
      <c r="S16" s="1022">
        <f>D9</f>
        <v>987</v>
      </c>
    </row>
    <row r="17" spans="13:19">
      <c r="M17" s="1021" t="s">
        <v>780</v>
      </c>
      <c r="N17" s="1022">
        <f>B11</f>
        <v>108</v>
      </c>
      <c r="O17" s="1022">
        <f>B12</f>
        <v>7</v>
      </c>
      <c r="P17" s="1022">
        <f>C11</f>
        <v>23</v>
      </c>
      <c r="Q17" s="1022">
        <f>C12</f>
        <v>3</v>
      </c>
      <c r="R17" s="1022">
        <f>D11</f>
        <v>1</v>
      </c>
      <c r="S17" s="1022">
        <f>D12</f>
        <v>10</v>
      </c>
    </row>
  </sheetData>
  <mergeCells count="5">
    <mergeCell ref="A1:E1"/>
    <mergeCell ref="A2:E2"/>
    <mergeCell ref="N14:O14"/>
    <mergeCell ref="P14:Q14"/>
    <mergeCell ref="R14:S14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K11" sqref="K11"/>
    </sheetView>
  </sheetViews>
  <sheetFormatPr defaultRowHeight="15"/>
  <cols>
    <col min="1" max="1" width="21.5703125" style="269" customWidth="1"/>
    <col min="2" max="2" width="10.5703125" style="269" customWidth="1"/>
    <col min="3" max="4" width="12.85546875" style="269" customWidth="1"/>
    <col min="5" max="5" width="27.5703125" style="269" customWidth="1"/>
    <col min="6" max="16384" width="9.140625" style="269"/>
  </cols>
  <sheetData>
    <row r="1" spans="1:5">
      <c r="A1" s="1023"/>
      <c r="B1" s="1023"/>
      <c r="C1" s="1023"/>
      <c r="D1" s="1023"/>
    </row>
    <row r="3" spans="1:5" ht="18.75">
      <c r="A3" s="1342" t="s">
        <v>781</v>
      </c>
      <c r="B3" s="1342"/>
      <c r="C3" s="1342"/>
      <c r="D3" s="1342"/>
      <c r="E3" s="1342"/>
    </row>
    <row r="4" spans="1:5">
      <c r="A4" s="1343" t="s">
        <v>782</v>
      </c>
      <c r="B4" s="1343"/>
      <c r="C4" s="1343"/>
      <c r="D4" s="1343"/>
      <c r="E4" s="1343"/>
    </row>
    <row r="5" spans="1:5" ht="21">
      <c r="A5" s="999" t="s">
        <v>783</v>
      </c>
      <c r="B5" s="1001">
        <v>2016</v>
      </c>
      <c r="C5" s="1001">
        <v>2017</v>
      </c>
      <c r="D5" s="1001">
        <v>2018</v>
      </c>
      <c r="E5" s="1024" t="s">
        <v>784</v>
      </c>
    </row>
    <row r="6" spans="1:5" ht="21">
      <c r="A6" s="1025" t="s">
        <v>366</v>
      </c>
      <c r="B6" s="1004">
        <f>SUM(B7:B12)</f>
        <v>1523</v>
      </c>
      <c r="C6" s="1004">
        <f>SUM(C7:C12)</f>
        <v>1562</v>
      </c>
      <c r="D6" s="1004">
        <f>SUM(D7:D12)</f>
        <v>1051</v>
      </c>
      <c r="E6" s="1026" t="s">
        <v>774</v>
      </c>
    </row>
    <row r="7" spans="1:5" ht="21">
      <c r="A7" s="1006" t="s">
        <v>785</v>
      </c>
      <c r="B7" s="1014">
        <v>51</v>
      </c>
      <c r="C7" s="1014">
        <v>34</v>
      </c>
      <c r="D7" s="1014">
        <v>14</v>
      </c>
      <c r="E7" s="1008" t="s">
        <v>786</v>
      </c>
    </row>
    <row r="8" spans="1:5" ht="23.25" customHeight="1">
      <c r="A8" s="1006" t="s">
        <v>787</v>
      </c>
      <c r="B8" s="1014">
        <v>682</v>
      </c>
      <c r="C8" s="1014">
        <v>708</v>
      </c>
      <c r="D8" s="1014">
        <v>441</v>
      </c>
      <c r="E8" s="1027" t="s">
        <v>787</v>
      </c>
    </row>
    <row r="9" spans="1:5" ht="23.25" customHeight="1">
      <c r="A9" s="1006" t="s">
        <v>788</v>
      </c>
      <c r="B9" s="1014">
        <v>550</v>
      </c>
      <c r="C9" s="1014">
        <v>554</v>
      </c>
      <c r="D9" s="1014">
        <v>373</v>
      </c>
      <c r="E9" s="1027" t="s">
        <v>788</v>
      </c>
    </row>
    <row r="10" spans="1:5" ht="23.25" customHeight="1">
      <c r="A10" s="1006" t="s">
        <v>789</v>
      </c>
      <c r="B10" s="1014">
        <v>193</v>
      </c>
      <c r="C10" s="1014">
        <v>204</v>
      </c>
      <c r="D10" s="1014">
        <v>175</v>
      </c>
      <c r="E10" s="1028" t="s">
        <v>789</v>
      </c>
    </row>
    <row r="11" spans="1:5" ht="23.25" customHeight="1">
      <c r="A11" s="1006" t="s">
        <v>790</v>
      </c>
      <c r="B11" s="1014">
        <v>42</v>
      </c>
      <c r="C11" s="1014">
        <v>58</v>
      </c>
      <c r="D11" s="1014">
        <v>43</v>
      </c>
      <c r="E11" s="1028" t="s">
        <v>790</v>
      </c>
    </row>
    <row r="12" spans="1:5" ht="21">
      <c r="A12" s="1016" t="s">
        <v>791</v>
      </c>
      <c r="B12" s="1017">
        <v>5</v>
      </c>
      <c r="C12" s="1017">
        <v>4</v>
      </c>
      <c r="D12" s="1017">
        <v>5</v>
      </c>
      <c r="E12" s="1018" t="s">
        <v>792</v>
      </c>
    </row>
    <row r="13" spans="1:5" ht="15.75">
      <c r="A13" s="682" t="s">
        <v>353</v>
      </c>
      <c r="B13" s="1019"/>
      <c r="C13" s="1019"/>
      <c r="D13" s="1019"/>
      <c r="E13" s="800" t="s">
        <v>354</v>
      </c>
    </row>
  </sheetData>
  <mergeCells count="2">
    <mergeCell ref="A3:E3"/>
    <mergeCell ref="A4:E4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8.1</vt:lpstr>
      <vt:lpstr>8.2</vt:lpstr>
      <vt:lpstr>8.3</vt:lpstr>
      <vt:lpstr>8.4</vt:lpstr>
      <vt:lpstr>8.5</vt:lpstr>
      <vt:lpstr>8.6</vt:lpstr>
      <vt:lpstr>8.7</vt:lpstr>
      <vt:lpstr>8.8</vt:lpstr>
      <vt:lpstr>8.9</vt:lpstr>
      <vt:lpstr>8.10</vt:lpstr>
      <vt:lpstr>8.11</vt:lpstr>
      <vt:lpstr>8.12</vt:lpstr>
      <vt:lpstr>8.13</vt:lpstr>
      <vt:lpstr>8.14</vt:lpstr>
      <vt:lpstr>8.15</vt:lpstr>
      <vt:lpstr>8.16</vt:lpstr>
      <vt:lpstr>8.17</vt:lpstr>
      <vt:lpstr>8.18</vt:lpstr>
      <vt:lpstr>8.19</vt:lpstr>
      <vt:lpstr>8.20</vt:lpstr>
      <vt:lpstr>8.21</vt:lpstr>
      <vt:lpstr>8.22</vt:lpstr>
      <vt:lpstr>8.23</vt:lpstr>
      <vt:lpstr>8.24</vt:lpstr>
      <vt:lpstr>8.25</vt:lpstr>
      <vt:lpstr>8.29</vt:lpstr>
      <vt:lpstr>8.30</vt:lpstr>
      <vt:lpstr>8.31</vt:lpstr>
      <vt:lpstr>8.56</vt:lpstr>
      <vt:lpstr>8.57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2019-06-30T04:22:49Z</dcterms:created>
  <dcterms:modified xsi:type="dcterms:W3CDTF">2019-09-12T06:49:56Z</dcterms:modified>
</cp:coreProperties>
</file>