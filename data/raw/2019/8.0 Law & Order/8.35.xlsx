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35" sheetId="3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'8.35'!$A$1:$M$50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33" l="1"/>
  <c r="J9" i="33"/>
  <c r="J7" i="33"/>
  <c r="J6" i="33"/>
  <c r="Z37" i="33" l="1"/>
  <c r="Y37" i="33"/>
  <c r="X37" i="33"/>
  <c r="Z36" i="33"/>
  <c r="Y36" i="33"/>
  <c r="X36" i="33"/>
  <c r="Z35" i="33"/>
  <c r="Y35" i="33"/>
  <c r="X35" i="33"/>
  <c r="Z32" i="33"/>
  <c r="Y32" i="33"/>
  <c r="X32" i="33"/>
  <c r="Z31" i="33"/>
  <c r="Y31" i="33"/>
  <c r="X31" i="33"/>
  <c r="Z19" i="33"/>
  <c r="Y19" i="33"/>
  <c r="X19" i="33"/>
  <c r="W19" i="33"/>
  <c r="V19" i="33"/>
  <c r="K17" i="33"/>
  <c r="J17" i="33"/>
  <c r="K16" i="33"/>
  <c r="J16" i="33"/>
  <c r="K15" i="33"/>
  <c r="J15" i="33"/>
  <c r="K14" i="33"/>
  <c r="J14" i="33"/>
  <c r="K13" i="33"/>
  <c r="J13" i="33"/>
  <c r="K12" i="33"/>
  <c r="J12" i="33"/>
  <c r="K11" i="33"/>
  <c r="J11" i="33"/>
  <c r="K10" i="33"/>
  <c r="J10" i="33"/>
  <c r="K9" i="33"/>
  <c r="K6" i="33"/>
</calcChain>
</file>

<file path=xl/sharedStrings.xml><?xml version="1.0" encoding="utf-8"?>
<sst xmlns="http://schemas.openxmlformats.org/spreadsheetml/2006/main" count="66" uniqueCount="41">
  <si>
    <t>-</t>
  </si>
  <si>
    <t>Details</t>
  </si>
  <si>
    <t>ތަފްސީލް</t>
  </si>
  <si>
    <t>Source: Prosecutor General's office</t>
  </si>
  <si>
    <t>*</t>
  </si>
  <si>
    <t>މަޢުލޫމާތު ދެއްވި ފަރާތް: ޕްރޮސިކިއުޓަރ ޖެނެރަލްގެ އޮފީސް</t>
  </si>
  <si>
    <r>
      <rPr>
        <b/>
        <sz val="10"/>
        <color theme="1"/>
        <rFont val="Faruma"/>
      </rPr>
      <t>ބެހިފައިވާ ގޮތް (އިން ސައްތަ)</t>
    </r>
    <r>
      <rPr>
        <b/>
        <sz val="10"/>
        <color theme="1"/>
        <rFont val="Calibri"/>
        <family val="2"/>
        <scheme val="minor"/>
      </rPr>
      <t xml:space="preserve">   share % </t>
    </r>
  </si>
  <si>
    <t xml:space="preserve">Total Number of cases </t>
  </si>
  <si>
    <t xml:space="preserve">ދަޢްވާ ހުށަހަޅަން އޮފީސްތަކުން ފޮނުއްވި ޖުމްލަ
</t>
  </si>
  <si>
    <t>Number of cases completed by PG office</t>
  </si>
  <si>
    <t xml:space="preserve">ޕްރޮސިކިއުޓަރ ޖެނެރަލްގެ އޮފީހުން ނިންމުނު މައްސަލައިގެ ޖުމްލަ
</t>
  </si>
  <si>
    <t>Submitted to courts</t>
  </si>
  <si>
    <t>ކޯޓަށް ހުށަހެޅުނު</t>
  </si>
  <si>
    <t>**</t>
  </si>
  <si>
    <t xml:space="preserve">send back to resend again </t>
  </si>
  <si>
    <t xml:space="preserve">       އަލުން ހުށަޙެޅުމަށްޓަކައި އަނބުރާ ފޮނުވާލެވުނު</t>
  </si>
  <si>
    <t>send back due to no evidence</t>
  </si>
  <si>
    <t xml:space="preserve">       ހެއްކާ ޤަރީނާ ލިބިފައިނުވާތީ އަނބުރާ ފޮނުވާލެވުނު</t>
  </si>
  <si>
    <t>send back due to other reasons</t>
  </si>
  <si>
    <t xml:space="preserve">       އެހެނިހެން ގޮތްގޮތުން އަނބުރާ ފޮނުވާލެވުނު</t>
  </si>
  <si>
    <t>Cases hold by PG Office</t>
  </si>
  <si>
    <t xml:space="preserve">       މިއޮފީހުގައި ހިފެހެއްޓިފައިހުރި މައްސަލަ</t>
  </si>
  <si>
    <t>given another chance</t>
  </si>
  <si>
    <t xml:space="preserve">       އިތުރު ފުރުސަތު / ނަސޭހަތުގެ އެއްބަސްވުމެއްވެވި ހިފެހެއްޓިފައި</t>
  </si>
  <si>
    <t>No address in Male'</t>
  </si>
  <si>
    <t xml:space="preserve">       މާލޭ އެޑްރެސްނެތިގެން</t>
  </si>
  <si>
    <t>Under Act Number: 1/2007 (Immigration Act of Maldives)
Sent back to take action</t>
  </si>
  <si>
    <t>ޤާނޫނު ނަންބަރު: 1/2007 (ދިވެހިރާއްޖޭގެ އިމިގްރޭޝަންގެ ޤާނޫނު) ގެ ދަށުން ފިޔަވަޅުއެޅުމަށްޓަކައި އަނބުރާ ފޮނުވާފައި</t>
  </si>
  <si>
    <t>Sent back as not in the public interest to further proceed with prosecution</t>
  </si>
  <si>
    <t>އިތުރަށް ކުރިއަށް ގެންދިއުމުގެ މަޞްލަޙަތު ނެތިގެން އަނބުރާ ފޮނުވާފައި</t>
  </si>
  <si>
    <t>Number of cases not sent to court</t>
  </si>
  <si>
    <t>ކޯޓަށް ހުށަނޭޅި ހުރި މައްސަލަ</t>
  </si>
  <si>
    <t>މި ހިސާބުތައް ނަގާފައިވަނީ އެހެނިހެން އަހަރުތަކޭ އެއްފަދައިން، ދައުވާ ކުރުމަށްޓަކައި ތަޙުޤީޤީ އިދާރާތަކުން ހުށަހެޅި މައްސަލަތަކުގެ އަދަދުން ބަލައިގެންނެވެ.</t>
  </si>
  <si>
    <t xml:space="preserve">2014 އަދި 2015 ވަނަ އަހަރުގައި ތަފާސް ހިސާބުތައް އެކުލަވާލާފައިވާ ގޮތާއި ތަފާތުކޮށް 2017 ވަނަ އަހަރުގެ ހިސާބުތައް ނެގުމުގައި، ބަލާފައިވާނީ ދައުވާ އުފުލުނު ޖުމްލަ މައްސަލަތަކުގެ އަދަދުގެ ބަދަލުގައި މައްސަލަތަކުގައި ހިމެނޭ ދައުވާ ލިބޭ މީހުންގެ އަދަދުން ބަލައިގެންނެވެ. </t>
  </si>
  <si>
    <t>Completion rate</t>
  </si>
  <si>
    <t>Submission rate to courts</t>
  </si>
  <si>
    <t xml:space="preserve">Completed </t>
  </si>
  <si>
    <t>Submitted to court</t>
  </si>
  <si>
    <t xml:space="preserve">Not sent to court </t>
  </si>
  <si>
    <t>TABLE 8.35: NUMBER OF CASES  SUBMITTED  AND COMPLETED, 2014 - 2018</t>
  </si>
  <si>
    <t xml:space="preserve">ތާވަލު: 8.35: ޕްރޮސިކިއުޓަރ ޖެނެރަލްގެ އޮފީހަށް ހުށަހެޅުނު އަދި ނިންމުނު މައްސަލަތައް، 2014 - 2018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</si>
</sst>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5" formatCode="0.0"/>
    <numFmt numFmtId="166" formatCode="_-* #,##0_-;\-* #,##0_-;_-* &quot;-&quot;??_-;_-@_-"/>
    <numFmt numFmtId="167" formatCode="#,##0.0"/>
    <numFmt numFmtId="170" formatCode="_(* #,##0_);_(* \(#,##0\);_(* &quot;-&quot;??_);_(@_)"/>
    <numFmt numFmtId="172" formatCode="#,##0_);\-#,##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name val="Faruma"/>
    </font>
    <font>
      <sz val="10"/>
      <name val="Faruma"/>
    </font>
    <font>
      <sz val="9"/>
      <color theme="1"/>
      <name val="Faruma"/>
    </font>
    <font>
      <b/>
      <sz val="10"/>
      <color theme="1"/>
      <name val="Faruma"/>
    </font>
    <font>
      <i/>
      <sz val="11"/>
      <color theme="1"/>
      <name val="Calibri"/>
      <family val="2"/>
      <scheme val="minor"/>
    </font>
    <font>
      <b/>
      <sz val="11"/>
      <color indexed="8"/>
      <name val="Faruma"/>
    </font>
    <font>
      <b/>
      <sz val="11"/>
      <color indexed="8"/>
      <name val="Calibri"/>
      <family val="2"/>
      <scheme val="minor"/>
    </font>
    <font>
      <b/>
      <sz val="12"/>
      <color indexed="8"/>
      <name val="Faruma"/>
    </font>
    <font>
      <sz val="11"/>
      <color indexed="8"/>
      <name val="Faruma"/>
    </font>
    <font>
      <b/>
      <sz val="15"/>
      <color theme="3"/>
      <name val="Arial Mäo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22" fillId="0" borderId="5" applyNumberFormat="0" applyFill="0" applyAlignment="0" applyProtection="0"/>
    <xf numFmtId="0" fontId="11" fillId="0" borderId="0"/>
  </cellStyleXfs>
  <cellXfs count="58">
    <xf numFmtId="0" fontId="0" fillId="0" borderId="0" xfId="0"/>
    <xf numFmtId="165" fontId="0" fillId="2" borderId="0" xfId="0" applyNumberFormat="1" applyFill="1"/>
    <xf numFmtId="0" fontId="0" fillId="2" borderId="0" xfId="0" applyFill="1"/>
    <xf numFmtId="0" fontId="0" fillId="2" borderId="0" xfId="0" applyFill="1" applyBorder="1"/>
    <xf numFmtId="0" fontId="0" fillId="2" borderId="0" xfId="0" applyFont="1" applyFill="1"/>
    <xf numFmtId="0" fontId="2" fillId="2" borderId="0" xfId="0" applyFont="1" applyFill="1" applyBorder="1"/>
    <xf numFmtId="0" fontId="2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170" fontId="12" fillId="2" borderId="0" xfId="1" applyNumberFormat="1" applyFont="1" applyFill="1" applyBorder="1" applyAlignment="1">
      <alignment horizontal="right" vertical="center" wrapText="1"/>
    </xf>
    <xf numFmtId="170" fontId="12" fillId="2" borderId="6" xfId="1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/>
    </xf>
    <xf numFmtId="172" fontId="18" fillId="2" borderId="0" xfId="0" applyNumberFormat="1" applyFont="1" applyFill="1" applyBorder="1" applyAlignment="1">
      <alignment horizontal="right" vertical="center"/>
    </xf>
    <xf numFmtId="170" fontId="12" fillId="2" borderId="0" xfId="1" applyNumberFormat="1" applyFont="1" applyFill="1" applyBorder="1" applyAlignment="1">
      <alignment horizontal="center" vertical="center" wrapText="1"/>
    </xf>
    <xf numFmtId="172" fontId="18" fillId="2" borderId="0" xfId="0" applyNumberFormat="1" applyFont="1" applyFill="1" applyBorder="1" applyAlignment="1">
      <alignment horizontal="right" vertical="top" wrapText="1"/>
    </xf>
    <xf numFmtId="0" fontId="17" fillId="2" borderId="0" xfId="0" applyFont="1" applyFill="1" applyBorder="1" applyAlignment="1">
      <alignment horizontal="left" indent="2"/>
    </xf>
    <xf numFmtId="170" fontId="10" fillId="2" borderId="0" xfId="1" applyNumberFormat="1" applyFont="1" applyFill="1" applyBorder="1" applyAlignment="1">
      <alignment horizontal="right" vertical="center" wrapText="1"/>
    </xf>
    <xf numFmtId="170" fontId="10" fillId="2" borderId="0" xfId="1" applyNumberFormat="1" applyFont="1" applyFill="1" applyBorder="1" applyAlignment="1">
      <alignment horizontal="center" vertical="center" wrapText="1"/>
    </xf>
    <xf numFmtId="172" fontId="21" fillId="2" borderId="0" xfId="0" applyNumberFormat="1" applyFont="1" applyFill="1" applyBorder="1" applyAlignment="1">
      <alignment horizontal="right" vertical="top" wrapText="1"/>
    </xf>
    <xf numFmtId="0" fontId="0" fillId="2" borderId="0" xfId="0" applyFill="1" applyBorder="1" applyAlignment="1">
      <alignment horizontal="right" vertical="center"/>
    </xf>
    <xf numFmtId="166" fontId="3" fillId="2" borderId="0" xfId="2" applyNumberFormat="1" applyFont="1" applyFill="1" applyBorder="1" applyAlignment="1">
      <alignment horizontal="right" vertical="center"/>
    </xf>
    <xf numFmtId="170" fontId="10" fillId="2" borderId="3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170" fontId="12" fillId="2" borderId="1" xfId="1" applyNumberFormat="1" applyFont="1" applyFill="1" applyBorder="1" applyAlignment="1">
      <alignment horizontal="right" vertical="center" wrapText="1"/>
    </xf>
    <xf numFmtId="170" fontId="12" fillId="2" borderId="1" xfId="1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172" fontId="18" fillId="2" borderId="1" xfId="0" applyNumberFormat="1" applyFont="1" applyFill="1" applyBorder="1" applyAlignment="1">
      <alignment horizontal="right" vertical="top" wrapText="1"/>
    </xf>
    <xf numFmtId="0" fontId="0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170" fontId="0" fillId="2" borderId="0" xfId="0" applyNumberFormat="1" applyFill="1"/>
    <xf numFmtId="170" fontId="0" fillId="2" borderId="0" xfId="0" applyNumberFormat="1" applyFill="1" applyAlignment="1">
      <alignment horizontal="center"/>
    </xf>
    <xf numFmtId="0" fontId="13" fillId="2" borderId="0" xfId="0" applyFont="1" applyFill="1" applyBorder="1" applyAlignment="1">
      <alignment vertical="top" wrapText="1"/>
    </xf>
    <xf numFmtId="0" fontId="8" fillId="2" borderId="0" xfId="0" applyFont="1" applyFill="1" applyAlignment="1">
      <alignment vertical="top"/>
    </xf>
    <xf numFmtId="0" fontId="0" fillId="2" borderId="0" xfId="0" applyFill="1" applyAlignment="1">
      <alignment horizontal="center"/>
    </xf>
    <xf numFmtId="0" fontId="14" fillId="2" borderId="0" xfId="0" applyFont="1" applyFill="1" applyBorder="1" applyAlignment="1">
      <alignment vertical="top" wrapText="1"/>
    </xf>
    <xf numFmtId="0" fontId="2" fillId="2" borderId="8" xfId="0" applyFont="1" applyFill="1" applyBorder="1" applyAlignment="1">
      <alignment horizontal="right" vertical="center"/>
    </xf>
    <xf numFmtId="170" fontId="10" fillId="2" borderId="4" xfId="1" applyNumberFormat="1" applyFont="1" applyFill="1" applyBorder="1" applyAlignment="1">
      <alignment horizontal="right" vertical="center" wrapText="1" indent="4"/>
    </xf>
    <xf numFmtId="170" fontId="10" fillId="2" borderId="0" xfId="1" applyNumberFormat="1" applyFont="1" applyFill="1" applyBorder="1" applyAlignment="1">
      <alignment horizontal="right" vertical="center" wrapText="1" indent="4"/>
    </xf>
    <xf numFmtId="170" fontId="12" fillId="2" borderId="7" xfId="1" applyNumberFormat="1" applyFont="1" applyFill="1" applyBorder="1" applyAlignment="1">
      <alignment horizontal="center" vertical="center" wrapText="1"/>
    </xf>
    <xf numFmtId="170" fontId="12" fillId="2" borderId="3" xfId="1" applyNumberFormat="1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left" wrapText="1" indent="2"/>
    </xf>
    <xf numFmtId="170" fontId="12" fillId="2" borderId="2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right" vertical="top" wrapText="1" readingOrder="2"/>
    </xf>
    <xf numFmtId="172" fontId="18" fillId="2" borderId="0" xfId="0" applyNumberFormat="1" applyFont="1" applyFill="1" applyBorder="1" applyAlignment="1">
      <alignment horizontal="center" vertical="top"/>
    </xf>
    <xf numFmtId="172" fontId="19" fillId="2" borderId="0" xfId="0" applyNumberFormat="1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2" fontId="20" fillId="2" borderId="6" xfId="0" applyNumberFormat="1" applyFont="1" applyFill="1" applyBorder="1" applyAlignment="1">
      <alignment horizontal="right" vertical="center"/>
    </xf>
    <xf numFmtId="172" fontId="20" fillId="2" borderId="1" xfId="0" applyNumberFormat="1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85017242109681E-2"/>
          <c:y val="0.18310610379697351"/>
          <c:w val="0.89950975764410335"/>
          <c:h val="0.691107785862518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'[7]8.27'!$Q$31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7D4-4305-A9A1-CB523FB7A891}"/>
              </c:ext>
            </c:extLst>
          </c:dPt>
          <c:cat>
            <c:numRef>
              <c:f>'[7]8.27'!$R$30:$Y$30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'[7]8.27'!$R$31:$Y$31</c:f>
              <c:numCache>
                <c:formatCode>General</c:formatCode>
                <c:ptCount val="8"/>
                <c:pt idx="0">
                  <c:v>86.812804453723032</c:v>
                </c:pt>
                <c:pt idx="1">
                  <c:v>61.540749553837003</c:v>
                </c:pt>
                <c:pt idx="2">
                  <c:v>70.99408617290905</c:v>
                </c:pt>
                <c:pt idx="3">
                  <c:v>70.70082449941107</c:v>
                </c:pt>
                <c:pt idx="4">
                  <c:v>70.769571967176759</c:v>
                </c:pt>
                <c:pt idx="5">
                  <c:v>96.101645971700833</c:v>
                </c:pt>
                <c:pt idx="6">
                  <c:v>98.131868131868131</c:v>
                </c:pt>
                <c:pt idx="7">
                  <c:v>99.701195219123505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4-4305-A9A1-CB523FB7A891}"/>
            </c:ext>
          </c:extLst>
        </c:ser>
        <c:ser>
          <c:idx val="1"/>
          <c:order val="1"/>
          <c:tx>
            <c:strRef>
              <c:f>'[7]8.27'!$Q$32</c:f>
              <c:strCache>
                <c:ptCount val="1"/>
                <c:pt idx="0">
                  <c:v>Submission rate to courts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'[7]8.27'!$R$30:$Y$30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'[7]8.27'!$R$32:$Y$32</c:f>
              <c:numCache>
                <c:formatCode>General</c:formatCode>
                <c:ptCount val="8"/>
                <c:pt idx="0">
                  <c:v>64.370215727209469</c:v>
                </c:pt>
                <c:pt idx="1">
                  <c:v>42.504461629982153</c:v>
                </c:pt>
                <c:pt idx="2">
                  <c:v>51.281329203041395</c:v>
                </c:pt>
                <c:pt idx="3">
                  <c:v>44.081272084805654</c:v>
                </c:pt>
                <c:pt idx="4">
                  <c:v>40.607673541805276</c:v>
                </c:pt>
                <c:pt idx="5">
                  <c:v>97.458850707479058</c:v>
                </c:pt>
                <c:pt idx="6">
                  <c:v>118.05860805860806</c:v>
                </c:pt>
                <c:pt idx="7">
                  <c:v>132.36763236763235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D4-4305-A9A1-CB523FB7A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28608"/>
        <c:axId val="49830528"/>
      </c:barChart>
      <c:catAx>
        <c:axId val="4982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9830528"/>
        <c:crosses val="autoZero"/>
        <c:auto val="1"/>
        <c:lblAlgn val="ctr"/>
        <c:lblOffset val="100"/>
        <c:noMultiLvlLbl val="0"/>
      </c:catAx>
      <c:valAx>
        <c:axId val="49830528"/>
        <c:scaling>
          <c:orientation val="minMax"/>
        </c:scaling>
        <c:delete val="0"/>
        <c:axPos val="l"/>
        <c:majorGridlines>
          <c:spPr>
            <a:ln w="3175">
              <a:noFill/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1679884750303481E-2"/>
              <c:y val="0.3422495740700484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49828608"/>
        <c:crosses val="autoZero"/>
        <c:crossBetween val="between"/>
      </c:valAx>
      <c:spPr>
        <a:solidFill>
          <a:srgbClr val="FFFAEB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319672588185242"/>
          <c:y val="0.24484035266688328"/>
          <c:w val="0.60067750883974724"/>
          <c:h val="6.941752366645738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05237947898864E-2"/>
          <c:y val="0.20435061400504825"/>
          <c:w val="0.89095767483283916"/>
          <c:h val="0.66754940100694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'8.35'!$Q$35</c:f>
              <c:strCache>
                <c:ptCount val="1"/>
                <c:pt idx="0">
                  <c:v>Completed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84F-422C-B961-7B75D1D47FA3}"/>
              </c:ext>
            </c:extLst>
          </c:dPt>
          <c:cat>
            <c:numRef>
              <c:f>'8.35'!$S$34:$Z$34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'8.35'!$S$35:$Z$35</c:f>
              <c:numCache>
                <c:formatCode>_(* #,##0_);_(* \(#,##0\);_(* "-"??_);_(@_)</c:formatCode>
                <c:ptCount val="8"/>
                <c:pt idx="0">
                  <c:v>2495</c:v>
                </c:pt>
                <c:pt idx="1">
                  <c:v>2069</c:v>
                </c:pt>
                <c:pt idx="2">
                  <c:v>2521</c:v>
                </c:pt>
                <c:pt idx="3">
                  <c:v>2401</c:v>
                </c:pt>
                <c:pt idx="4">
                  <c:v>3191</c:v>
                </c:pt>
                <c:pt idx="5">
                  <c:v>3328</c:v>
                </c:pt>
                <c:pt idx="6">
                  <c:v>2679</c:v>
                </c:pt>
                <c:pt idx="7">
                  <c:v>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F-422C-B961-7B75D1D47FA3}"/>
            </c:ext>
          </c:extLst>
        </c:ser>
        <c:ser>
          <c:idx val="1"/>
          <c:order val="1"/>
          <c:tx>
            <c:strRef>
              <c:f>'8.35'!$Q$36</c:f>
              <c:strCache>
                <c:ptCount val="1"/>
                <c:pt idx="0">
                  <c:v>Submitted to court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'8.35'!$S$34:$Z$34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'8.35'!$S$36:$Z$36</c:f>
              <c:numCache>
                <c:formatCode>_(* #,##0_);_(* \(#,##0\);_(* "-"??_);_(@_)</c:formatCode>
                <c:ptCount val="8"/>
                <c:pt idx="0">
                  <c:v>1850</c:v>
                </c:pt>
                <c:pt idx="1">
                  <c:v>1429</c:v>
                </c:pt>
                <c:pt idx="2">
                  <c:v>1821</c:v>
                </c:pt>
                <c:pt idx="3">
                  <c:v>1497</c:v>
                </c:pt>
                <c:pt idx="4">
                  <c:v>1831</c:v>
                </c:pt>
                <c:pt idx="5">
                  <c:v>3375</c:v>
                </c:pt>
                <c:pt idx="6">
                  <c:v>3223</c:v>
                </c:pt>
                <c:pt idx="7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4F-422C-B961-7B75D1D47FA3}"/>
            </c:ext>
          </c:extLst>
        </c:ser>
        <c:ser>
          <c:idx val="2"/>
          <c:order val="2"/>
          <c:tx>
            <c:strRef>
              <c:f>'8.35'!$Q$37</c:f>
              <c:strCache>
                <c:ptCount val="1"/>
                <c:pt idx="0">
                  <c:v>Not sent to court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numRef>
              <c:f>'8.35'!$S$34:$Z$34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'8.35'!$S$37:$Z$37</c:f>
              <c:numCache>
                <c:formatCode>_(* #,##0_);_(* \(#,##0\);_(* "-"??_);_(@_)</c:formatCode>
                <c:ptCount val="8"/>
                <c:pt idx="0">
                  <c:v>379</c:v>
                </c:pt>
                <c:pt idx="1">
                  <c:v>1293</c:v>
                </c:pt>
                <c:pt idx="2">
                  <c:v>1030</c:v>
                </c:pt>
                <c:pt idx="3">
                  <c:v>995</c:v>
                </c:pt>
                <c:pt idx="4">
                  <c:v>1318</c:v>
                </c:pt>
                <c:pt idx="5">
                  <c:v>135</c:v>
                </c:pt>
                <c:pt idx="6">
                  <c:v>51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4F-422C-B961-7B75D1D47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26592"/>
        <c:axId val="104946304"/>
      </c:barChart>
      <c:catAx>
        <c:axId val="10492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4946304"/>
        <c:crosses val="autoZero"/>
        <c:auto val="1"/>
        <c:lblAlgn val="ctr"/>
        <c:lblOffset val="100"/>
        <c:noMultiLvlLbl val="0"/>
      </c:catAx>
      <c:valAx>
        <c:axId val="104946304"/>
        <c:scaling>
          <c:orientation val="minMax"/>
        </c:scaling>
        <c:delete val="0"/>
        <c:axPos val="l"/>
        <c:majorGridlines>
          <c:spPr>
            <a:ln w="3175"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97507419415709E-2"/>
              <c:y val="0.11934286908392276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04926592"/>
        <c:crosses val="autoZero"/>
        <c:crossBetween val="between"/>
      </c:valAx>
      <c:spPr>
        <a:solidFill>
          <a:srgbClr val="FFFAEB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0612180185098033"/>
          <c:y val="0.28929159693979872"/>
          <c:w val="0.44133001456018889"/>
          <c:h val="8.4546443847542257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35</xdr:row>
      <xdr:rowOff>109715</xdr:rowOff>
    </xdr:from>
    <xdr:to>
      <xdr:col>11</xdr:col>
      <xdr:colOff>2124075</xdr:colOff>
      <xdr:row>49</xdr:row>
      <xdr:rowOff>50781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752476</xdr:colOff>
      <xdr:row>20</xdr:row>
      <xdr:rowOff>66676</xdr:rowOff>
    </xdr:from>
    <xdr:to>
      <xdr:col>11</xdr:col>
      <xdr:colOff>2152650</xdr:colOff>
      <xdr:row>34</xdr:row>
      <xdr:rowOff>22206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1800225</xdr:colOff>
      <xdr:row>20</xdr:row>
      <xdr:rowOff>123825</xdr:rowOff>
    </xdr:from>
    <xdr:to>
      <xdr:col>11</xdr:col>
      <xdr:colOff>1476375</xdr:colOff>
      <xdr:row>23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800225" y="5753100"/>
          <a:ext cx="62484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8.41: Number of cases completed and number of cases not sent to court,  2011 - 2018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0.15335</cdr:x>
      <cdr:y>0.03751</cdr:y>
    </cdr:from>
    <cdr:to>
      <cdr:x>0.97118</cdr:x>
      <cdr:y>0.13664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19536" y="97823"/>
          <a:ext cx="5437301" cy="2585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8.42: Number of cases completed by PG Office, 2011 - 2018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topLeftCell="A4" zoomScaleNormal="100" workbookViewId="0">
      <selection activeCell="I8" sqref="I8"/>
    </sheetView>
  </sheetViews>
  <sheetFormatPr defaultRowHeight="15"/>
  <cols>
    <col min="1" max="1" width="45.140625" style="2" customWidth="1"/>
    <col min="2" max="4" width="0" style="2" hidden="1" customWidth="1"/>
    <col min="5" max="6" width="7.5703125" style="2" customWidth="1"/>
    <col min="7" max="9" width="7.5703125" style="35" customWidth="1"/>
    <col min="10" max="11" width="11.7109375" style="35" customWidth="1"/>
    <col min="12" max="12" width="49.28515625" style="2" customWidth="1"/>
    <col min="13" max="13" width="2.85546875" style="2" customWidth="1"/>
    <col min="14" max="16" width="9.140625" style="2"/>
    <col min="17" max="17" width="32" style="2" bestFit="1" customWidth="1"/>
    <col min="18" max="18" width="32" style="2" customWidth="1"/>
    <col min="19" max="16384" width="9.140625" style="2"/>
  </cols>
  <sheetData>
    <row r="1" spans="1:13" ht="21">
      <c r="A1" s="46" t="s">
        <v>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>
      <c r="A2" s="47" t="s">
        <v>39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3" ht="50.25">
      <c r="A4" s="49" t="s">
        <v>1</v>
      </c>
      <c r="B4" s="50">
        <v>2011</v>
      </c>
      <c r="C4" s="50">
        <v>2012</v>
      </c>
      <c r="D4" s="50">
        <v>2013</v>
      </c>
      <c r="E4" s="50">
        <v>2014</v>
      </c>
      <c r="F4" s="50">
        <v>2015</v>
      </c>
      <c r="G4" s="52">
        <v>2016</v>
      </c>
      <c r="H4" s="52">
        <v>2017</v>
      </c>
      <c r="I4" s="54">
        <v>2018</v>
      </c>
      <c r="J4" s="10" t="s">
        <v>6</v>
      </c>
      <c r="K4" s="10" t="s">
        <v>6</v>
      </c>
      <c r="L4" s="56" t="s">
        <v>2</v>
      </c>
    </row>
    <row r="5" spans="1:13" ht="18.75" customHeight="1">
      <c r="A5" s="44"/>
      <c r="B5" s="51"/>
      <c r="C5" s="51"/>
      <c r="D5" s="51"/>
      <c r="E5" s="51"/>
      <c r="F5" s="51"/>
      <c r="G5" s="53"/>
      <c r="H5" s="53"/>
      <c r="I5" s="55"/>
      <c r="J5" s="9">
        <v>2017</v>
      </c>
      <c r="K5" s="9">
        <v>2018</v>
      </c>
      <c r="L5" s="57"/>
    </row>
    <row r="6" spans="1:13" ht="21">
      <c r="A6" s="6" t="s">
        <v>7</v>
      </c>
      <c r="B6" s="11">
        <v>2874</v>
      </c>
      <c r="C6" s="11">
        <v>3362</v>
      </c>
      <c r="D6" s="11">
        <v>3551</v>
      </c>
      <c r="E6" s="11">
        <v>3396</v>
      </c>
      <c r="F6" s="11">
        <v>4509</v>
      </c>
      <c r="G6" s="12">
        <v>3463</v>
      </c>
      <c r="H6" s="12">
        <v>2730</v>
      </c>
      <c r="I6" s="40">
        <v>2008</v>
      </c>
      <c r="J6" s="13">
        <f>H6/$H$6*100</f>
        <v>100</v>
      </c>
      <c r="K6" s="13">
        <f>I6/$I$6*100</f>
        <v>100</v>
      </c>
      <c r="L6" s="14" t="s">
        <v>8</v>
      </c>
      <c r="M6" s="8" t="s">
        <v>4</v>
      </c>
    </row>
    <row r="7" spans="1:13" ht="21">
      <c r="A7" s="6" t="s">
        <v>9</v>
      </c>
      <c r="B7" s="11">
        <v>2495</v>
      </c>
      <c r="C7" s="11">
        <v>2069</v>
      </c>
      <c r="D7" s="11">
        <v>2521</v>
      </c>
      <c r="E7" s="11">
        <v>2401</v>
      </c>
      <c r="F7" s="11">
        <v>3191</v>
      </c>
      <c r="G7" s="15">
        <v>3328</v>
      </c>
      <c r="H7" s="15">
        <v>2679</v>
      </c>
      <c r="I7" s="41">
        <v>2002</v>
      </c>
      <c r="J7" s="13">
        <f>H7/$H$6*100</f>
        <v>98.131868131868131</v>
      </c>
      <c r="K7" s="13">
        <f>I7/$I$6*100</f>
        <v>99.701195219123505</v>
      </c>
      <c r="L7" s="14" t="s">
        <v>10</v>
      </c>
      <c r="M7" s="8" t="s">
        <v>4</v>
      </c>
    </row>
    <row r="8" spans="1:13" ht="21">
      <c r="A8" s="5" t="s">
        <v>11</v>
      </c>
      <c r="B8" s="11">
        <v>1850</v>
      </c>
      <c r="C8" s="11">
        <v>1429</v>
      </c>
      <c r="D8" s="11">
        <v>1821</v>
      </c>
      <c r="E8" s="11">
        <v>1497</v>
      </c>
      <c r="F8" s="11">
        <v>1831</v>
      </c>
      <c r="G8" s="15">
        <v>3375</v>
      </c>
      <c r="H8" s="15">
        <v>3223</v>
      </c>
      <c r="I8" s="41">
        <v>2650</v>
      </c>
      <c r="J8" s="13"/>
      <c r="K8" s="13"/>
      <c r="L8" s="16" t="s">
        <v>12</v>
      </c>
      <c r="M8" s="2" t="s">
        <v>13</v>
      </c>
    </row>
    <row r="9" spans="1:13" ht="21">
      <c r="A9" s="17" t="s">
        <v>14</v>
      </c>
      <c r="B9" s="18">
        <v>354</v>
      </c>
      <c r="C9" s="18">
        <v>334</v>
      </c>
      <c r="D9" s="18">
        <v>322</v>
      </c>
      <c r="E9" s="18">
        <v>283</v>
      </c>
      <c r="F9" s="18">
        <v>241</v>
      </c>
      <c r="G9" s="19">
        <v>418</v>
      </c>
      <c r="H9" s="19">
        <v>260</v>
      </c>
      <c r="I9" s="23">
        <v>206</v>
      </c>
      <c r="J9" s="13">
        <f>H9/$H$6*100</f>
        <v>9.5238095238095237</v>
      </c>
      <c r="K9" s="13">
        <f t="shared" ref="K9:K17" si="0">I9/$I$6*100</f>
        <v>10.258964143426295</v>
      </c>
      <c r="L9" s="20" t="s">
        <v>15</v>
      </c>
      <c r="M9" s="2" t="s">
        <v>13</v>
      </c>
    </row>
    <row r="10" spans="1:13" ht="21">
      <c r="A10" s="17" t="s">
        <v>16</v>
      </c>
      <c r="B10" s="18">
        <v>291</v>
      </c>
      <c r="C10" s="18">
        <v>284</v>
      </c>
      <c r="D10" s="18">
        <v>327</v>
      </c>
      <c r="E10" s="18">
        <v>227</v>
      </c>
      <c r="F10" s="18">
        <v>128</v>
      </c>
      <c r="G10" s="19">
        <v>265</v>
      </c>
      <c r="H10" s="19">
        <v>276</v>
      </c>
      <c r="I10" s="23">
        <v>210</v>
      </c>
      <c r="J10" s="13">
        <f t="shared" ref="J10:J17" si="1">H10/$H$6*100</f>
        <v>10.109890109890109</v>
      </c>
      <c r="K10" s="13">
        <f t="shared" si="0"/>
        <v>10.458167330677291</v>
      </c>
      <c r="L10" s="20" t="s">
        <v>17</v>
      </c>
      <c r="M10" s="2" t="s">
        <v>13</v>
      </c>
    </row>
    <row r="11" spans="1:13" ht="21">
      <c r="A11" s="17" t="s">
        <v>18</v>
      </c>
      <c r="B11" s="21">
        <v>0</v>
      </c>
      <c r="C11" s="18">
        <v>22</v>
      </c>
      <c r="D11" s="18">
        <v>51</v>
      </c>
      <c r="E11" s="18">
        <v>102</v>
      </c>
      <c r="F11" s="18">
        <v>482</v>
      </c>
      <c r="G11" s="19">
        <v>185</v>
      </c>
      <c r="H11" s="19">
        <v>279</v>
      </c>
      <c r="I11" s="23">
        <v>224</v>
      </c>
      <c r="J11" s="13">
        <f t="shared" si="1"/>
        <v>10.219780219780219</v>
      </c>
      <c r="K11" s="13">
        <f t="shared" si="0"/>
        <v>11.155378486055776</v>
      </c>
      <c r="L11" s="20" t="s">
        <v>19</v>
      </c>
      <c r="M11" s="2" t="s">
        <v>13</v>
      </c>
    </row>
    <row r="12" spans="1:13" ht="21">
      <c r="A12" s="17" t="s">
        <v>20</v>
      </c>
      <c r="B12" s="22" t="s">
        <v>0</v>
      </c>
      <c r="C12" s="22" t="s">
        <v>0</v>
      </c>
      <c r="D12" s="22" t="s">
        <v>0</v>
      </c>
      <c r="E12" s="18">
        <v>175</v>
      </c>
      <c r="F12" s="18">
        <v>406</v>
      </c>
      <c r="G12" s="19">
        <v>78</v>
      </c>
      <c r="H12" s="19">
        <v>27</v>
      </c>
      <c r="I12" s="23">
        <v>30</v>
      </c>
      <c r="J12" s="13">
        <f t="shared" si="1"/>
        <v>0.98901098901098894</v>
      </c>
      <c r="K12" s="13">
        <f t="shared" si="0"/>
        <v>1.4940239043824701</v>
      </c>
      <c r="L12" s="20" t="s">
        <v>21</v>
      </c>
      <c r="M12" s="2" t="s">
        <v>13</v>
      </c>
    </row>
    <row r="13" spans="1:13" ht="42">
      <c r="A13" s="17" t="s">
        <v>22</v>
      </c>
      <c r="B13" s="22" t="s">
        <v>0</v>
      </c>
      <c r="C13" s="22" t="s">
        <v>0</v>
      </c>
      <c r="D13" s="22" t="s">
        <v>0</v>
      </c>
      <c r="E13" s="18">
        <v>52</v>
      </c>
      <c r="F13" s="18">
        <v>101</v>
      </c>
      <c r="G13" s="19">
        <v>12</v>
      </c>
      <c r="H13" s="19">
        <v>8</v>
      </c>
      <c r="I13" s="23">
        <v>8</v>
      </c>
      <c r="J13" s="13">
        <f t="shared" si="1"/>
        <v>0.29304029304029305</v>
      </c>
      <c r="K13" s="13">
        <f t="shared" si="0"/>
        <v>0.39840637450199201</v>
      </c>
      <c r="L13" s="20" t="s">
        <v>23</v>
      </c>
      <c r="M13" s="2" t="s">
        <v>13</v>
      </c>
    </row>
    <row r="14" spans="1:13" ht="21">
      <c r="A14" s="17" t="s">
        <v>24</v>
      </c>
      <c r="B14" s="22" t="s">
        <v>0</v>
      </c>
      <c r="C14" s="22" t="s">
        <v>0</v>
      </c>
      <c r="D14" s="22" t="s">
        <v>0</v>
      </c>
      <c r="E14" s="18">
        <v>65</v>
      </c>
      <c r="F14" s="18">
        <v>2</v>
      </c>
      <c r="G14" s="19">
        <v>0</v>
      </c>
      <c r="H14" s="19">
        <v>0</v>
      </c>
      <c r="I14" s="23">
        <v>0</v>
      </c>
      <c r="J14" s="13">
        <f t="shared" si="1"/>
        <v>0</v>
      </c>
      <c r="K14" s="13">
        <f t="shared" si="0"/>
        <v>0</v>
      </c>
      <c r="L14" s="20" t="s">
        <v>25</v>
      </c>
      <c r="M14" s="2" t="s">
        <v>13</v>
      </c>
    </row>
    <row r="15" spans="1:13" ht="45">
      <c r="A15" s="42" t="s">
        <v>26</v>
      </c>
      <c r="B15" s="22"/>
      <c r="C15" s="22"/>
      <c r="D15" s="22"/>
      <c r="E15" s="15">
        <v>0</v>
      </c>
      <c r="F15" s="15">
        <v>0</v>
      </c>
      <c r="G15" s="19">
        <v>1</v>
      </c>
      <c r="H15" s="19">
        <v>7</v>
      </c>
      <c r="I15" s="23">
        <v>0</v>
      </c>
      <c r="J15" s="13">
        <f t="shared" si="1"/>
        <v>0.25641025641025639</v>
      </c>
      <c r="K15" s="13">
        <f t="shared" si="0"/>
        <v>0</v>
      </c>
      <c r="L15" s="20" t="s">
        <v>27</v>
      </c>
      <c r="M15" s="7" t="s">
        <v>13</v>
      </c>
    </row>
    <row r="16" spans="1:13" ht="30">
      <c r="A16" s="42" t="s">
        <v>28</v>
      </c>
      <c r="B16" s="22"/>
      <c r="C16" s="22"/>
      <c r="D16" s="22"/>
      <c r="E16" s="15">
        <v>0</v>
      </c>
      <c r="F16" s="15">
        <v>0</v>
      </c>
      <c r="G16" s="19">
        <v>423</v>
      </c>
      <c r="H16" s="19">
        <v>272</v>
      </c>
      <c r="I16" s="23">
        <v>152</v>
      </c>
      <c r="J16" s="13">
        <f t="shared" si="1"/>
        <v>9.9633699633699635</v>
      </c>
      <c r="K16" s="13">
        <f t="shared" si="0"/>
        <v>7.569721115537849</v>
      </c>
      <c r="L16" s="20" t="s">
        <v>29</v>
      </c>
      <c r="M16" s="2" t="s">
        <v>13</v>
      </c>
    </row>
    <row r="17" spans="1:26" ht="21">
      <c r="A17" s="24" t="s">
        <v>30</v>
      </c>
      <c r="B17" s="25">
        <v>379</v>
      </c>
      <c r="C17" s="25">
        <v>1293</v>
      </c>
      <c r="D17" s="25">
        <v>1030</v>
      </c>
      <c r="E17" s="25">
        <v>995</v>
      </c>
      <c r="F17" s="25">
        <v>1318</v>
      </c>
      <c r="G17" s="26">
        <v>135</v>
      </c>
      <c r="H17" s="26">
        <v>51</v>
      </c>
      <c r="I17" s="43">
        <v>6</v>
      </c>
      <c r="J17" s="27">
        <f t="shared" si="1"/>
        <v>1.8681318681318682</v>
      </c>
      <c r="K17" s="27">
        <f t="shared" si="0"/>
        <v>0.29880478087649404</v>
      </c>
      <c r="L17" s="28" t="s">
        <v>31</v>
      </c>
      <c r="M17" s="8" t="s">
        <v>4</v>
      </c>
    </row>
    <row r="18" spans="1:26" ht="17.25">
      <c r="A18" s="45" t="s">
        <v>32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" t="s">
        <v>4</v>
      </c>
    </row>
    <row r="19" spans="1:26" ht="17.25">
      <c r="A19" s="45" t="s">
        <v>33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29" t="s">
        <v>13</v>
      </c>
      <c r="V19" s="2">
        <f>E8/E6*100</f>
        <v>44.081272084805654</v>
      </c>
      <c r="W19" s="2">
        <f>F8/F6*100</f>
        <v>40.607673541805276</v>
      </c>
      <c r="X19" s="2">
        <f>G8/G6*100</f>
        <v>97.458850707479058</v>
      </c>
      <c r="Y19" s="2">
        <f>H8/H6*100</f>
        <v>118.05860805860806</v>
      </c>
      <c r="Z19" s="2">
        <f>I8/I6*100</f>
        <v>131.97211155378486</v>
      </c>
    </row>
    <row r="20" spans="1:26" ht="17.25">
      <c r="A20" s="30" t="s">
        <v>3</v>
      </c>
      <c r="B20" s="31"/>
      <c r="D20" s="31"/>
      <c r="E20" s="31"/>
      <c r="F20" s="31"/>
      <c r="G20" s="32"/>
      <c r="H20" s="32"/>
      <c r="I20" s="32"/>
      <c r="J20" s="32"/>
      <c r="K20" s="32"/>
      <c r="L20" s="33" t="s">
        <v>5</v>
      </c>
    </row>
    <row r="21" spans="1:26" ht="17.25">
      <c r="A21" s="30"/>
      <c r="B21" s="31"/>
      <c r="D21" s="31"/>
      <c r="E21" s="31"/>
      <c r="F21" s="31"/>
      <c r="G21" s="32"/>
      <c r="H21" s="32"/>
      <c r="I21" s="32"/>
      <c r="J21" s="32"/>
      <c r="K21" s="32"/>
      <c r="L21" s="33"/>
    </row>
    <row r="22" spans="1:26" ht="17.25">
      <c r="A22" s="30"/>
      <c r="B22" s="31"/>
      <c r="D22" s="31"/>
      <c r="E22" s="31"/>
      <c r="F22" s="31"/>
      <c r="G22" s="32"/>
      <c r="H22" s="32"/>
      <c r="I22" s="32"/>
      <c r="J22" s="32"/>
      <c r="K22" s="32"/>
      <c r="L22" s="33"/>
    </row>
    <row r="23" spans="1:26" ht="17.25">
      <c r="A23" s="30"/>
      <c r="B23" s="31"/>
      <c r="D23" s="31"/>
      <c r="E23" s="31"/>
      <c r="F23" s="31"/>
      <c r="G23" s="32"/>
      <c r="H23" s="32"/>
      <c r="I23" s="32"/>
      <c r="J23" s="32"/>
      <c r="K23" s="32"/>
      <c r="L23" s="33"/>
    </row>
    <row r="24" spans="1:26" ht="17.25">
      <c r="A24" s="30"/>
      <c r="B24" s="31"/>
      <c r="D24" s="31"/>
      <c r="E24" s="31"/>
      <c r="F24" s="31"/>
      <c r="G24" s="32"/>
      <c r="H24" s="32"/>
      <c r="I24" s="32"/>
      <c r="J24" s="32"/>
      <c r="K24" s="32"/>
      <c r="L24" s="33"/>
    </row>
    <row r="25" spans="1:26" ht="17.25">
      <c r="A25" s="30"/>
      <c r="B25" s="31"/>
      <c r="D25" s="31"/>
      <c r="E25" s="31"/>
      <c r="F25" s="31"/>
      <c r="G25" s="32"/>
      <c r="H25" s="32"/>
      <c r="I25" s="32"/>
      <c r="J25" s="32"/>
      <c r="K25" s="32"/>
      <c r="L25" s="33"/>
    </row>
    <row r="26" spans="1:26" ht="17.25">
      <c r="A26" s="30"/>
      <c r="B26" s="31"/>
      <c r="D26" s="31"/>
      <c r="E26" s="31"/>
      <c r="F26" s="31"/>
      <c r="G26" s="32"/>
      <c r="H26" s="32"/>
      <c r="I26" s="32"/>
      <c r="J26" s="32"/>
      <c r="K26" s="32"/>
      <c r="L26" s="33"/>
    </row>
    <row r="27" spans="1:26" ht="17.25">
      <c r="A27" s="30"/>
      <c r="B27" s="31"/>
      <c r="D27" s="31"/>
      <c r="E27" s="31"/>
      <c r="F27" s="31"/>
      <c r="G27" s="32"/>
      <c r="H27" s="32"/>
      <c r="I27" s="32"/>
      <c r="J27" s="32"/>
      <c r="K27" s="32"/>
      <c r="L27" s="33"/>
    </row>
    <row r="28" spans="1:26" ht="17.25">
      <c r="A28" s="30"/>
      <c r="B28" s="31"/>
      <c r="D28" s="31"/>
      <c r="E28" s="31"/>
      <c r="F28" s="31"/>
      <c r="G28" s="32"/>
      <c r="H28" s="32"/>
      <c r="I28" s="32"/>
      <c r="J28" s="32"/>
      <c r="K28" s="32"/>
      <c r="L28" s="33"/>
    </row>
    <row r="29" spans="1:26" ht="18.75">
      <c r="A29" s="34"/>
      <c r="L29" s="36"/>
    </row>
    <row r="30" spans="1:26" ht="18.75">
      <c r="L30" s="36"/>
      <c r="Q30" s="34"/>
      <c r="R30" s="34"/>
      <c r="S30" s="37">
        <v>2011</v>
      </c>
      <c r="T30" s="37">
        <v>2012</v>
      </c>
      <c r="U30" s="37">
        <v>2013</v>
      </c>
      <c r="V30" s="37">
        <v>2014</v>
      </c>
      <c r="W30" s="37">
        <v>2015</v>
      </c>
      <c r="X30" s="37">
        <v>2016</v>
      </c>
      <c r="Y30" s="37">
        <v>2017</v>
      </c>
      <c r="Z30" s="37">
        <v>2018</v>
      </c>
    </row>
    <row r="31" spans="1:26" ht="18.75">
      <c r="A31" s="38"/>
      <c r="B31" s="39"/>
      <c r="L31" s="36"/>
      <c r="Q31" s="34" t="s">
        <v>34</v>
      </c>
      <c r="R31" s="34"/>
      <c r="S31" s="1">
        <v>86.812804453723032</v>
      </c>
      <c r="T31" s="1">
        <v>61.540749553837003</v>
      </c>
      <c r="U31" s="1">
        <v>70.99408617290905</v>
      </c>
      <c r="V31" s="1">
        <v>70.70082449941107</v>
      </c>
      <c r="W31" s="1">
        <v>70.769571967176759</v>
      </c>
      <c r="X31" s="1">
        <f>G7/G6*100</f>
        <v>96.101645971700833</v>
      </c>
      <c r="Y31" s="1">
        <f>H7/H6*100</f>
        <v>98.131868131868131</v>
      </c>
      <c r="Z31" s="1">
        <f>I7/I6*100</f>
        <v>99.701195219123505</v>
      </c>
    </row>
    <row r="32" spans="1:26" ht="18.75">
      <c r="A32" s="38"/>
      <c r="B32" s="39"/>
      <c r="L32" s="36"/>
      <c r="Q32" s="34" t="s">
        <v>35</v>
      </c>
      <c r="R32" s="34"/>
      <c r="S32" s="1">
        <v>64.370215727209469</v>
      </c>
      <c r="T32" s="1">
        <v>42.504461629982153</v>
      </c>
      <c r="U32" s="1">
        <v>51.281329203041395</v>
      </c>
      <c r="V32" s="1">
        <v>44.081272084805654</v>
      </c>
      <c r="W32" s="1">
        <v>40.607673541805276</v>
      </c>
      <c r="X32" s="1">
        <f>G8/G6*100</f>
        <v>97.458850707479058</v>
      </c>
      <c r="Y32" s="1">
        <f>H8/H6*100</f>
        <v>118.05860805860806</v>
      </c>
      <c r="Z32" s="1">
        <f>I8/I7*100</f>
        <v>132.36763236763235</v>
      </c>
    </row>
    <row r="33" spans="1:26">
      <c r="A33" s="38"/>
      <c r="B33" s="39"/>
      <c r="Q33" s="34"/>
      <c r="R33" s="34"/>
    </row>
    <row r="34" spans="1:26">
      <c r="Q34" s="34"/>
      <c r="R34" s="34"/>
      <c r="S34" s="37">
        <v>2011</v>
      </c>
      <c r="T34" s="37">
        <v>2012</v>
      </c>
      <c r="U34" s="37">
        <v>2013</v>
      </c>
      <c r="V34" s="37">
        <v>2014</v>
      </c>
      <c r="W34" s="37">
        <v>2015</v>
      </c>
      <c r="X34" s="37">
        <v>2016</v>
      </c>
      <c r="Y34" s="37">
        <v>2017</v>
      </c>
      <c r="Z34" s="37">
        <v>2018</v>
      </c>
    </row>
    <row r="35" spans="1:26">
      <c r="Q35" s="5" t="s">
        <v>36</v>
      </c>
      <c r="R35" s="5"/>
      <c r="S35" s="11">
        <v>2495</v>
      </c>
      <c r="T35" s="11">
        <v>2069</v>
      </c>
      <c r="U35" s="11">
        <v>2521</v>
      </c>
      <c r="V35" s="11">
        <v>2401</v>
      </c>
      <c r="W35" s="11">
        <v>3191</v>
      </c>
      <c r="X35" s="11">
        <f t="shared" ref="X35:Z36" si="2">G7</f>
        <v>3328</v>
      </c>
      <c r="Y35" s="11">
        <f t="shared" si="2"/>
        <v>2679</v>
      </c>
      <c r="Z35" s="11">
        <f t="shared" si="2"/>
        <v>2002</v>
      </c>
    </row>
    <row r="36" spans="1:26">
      <c r="Q36" s="24" t="s">
        <v>37</v>
      </c>
      <c r="R36" s="5"/>
      <c r="S36" s="31">
        <v>1850</v>
      </c>
      <c r="T36" s="31">
        <v>1429</v>
      </c>
      <c r="U36" s="31">
        <v>1821</v>
      </c>
      <c r="V36" s="31">
        <v>1497</v>
      </c>
      <c r="W36" s="31">
        <v>1831</v>
      </c>
      <c r="X36" s="31">
        <f t="shared" si="2"/>
        <v>3375</v>
      </c>
      <c r="Y36" s="31">
        <f t="shared" si="2"/>
        <v>3223</v>
      </c>
      <c r="Z36" s="31">
        <f t="shared" si="2"/>
        <v>2650</v>
      </c>
    </row>
    <row r="37" spans="1:26">
      <c r="Q37" s="24" t="s">
        <v>38</v>
      </c>
      <c r="R37" s="24"/>
      <c r="S37" s="25">
        <v>379</v>
      </c>
      <c r="T37" s="25">
        <v>1293</v>
      </c>
      <c r="U37" s="25">
        <v>1030</v>
      </c>
      <c r="V37" s="25">
        <v>995</v>
      </c>
      <c r="W37" s="25">
        <v>1318</v>
      </c>
      <c r="X37" s="25">
        <f>G17</f>
        <v>135</v>
      </c>
      <c r="Y37" s="25">
        <f>H17</f>
        <v>51</v>
      </c>
      <c r="Z37" s="25">
        <f>I17</f>
        <v>6</v>
      </c>
    </row>
    <row r="38" spans="1:26">
      <c r="S38" s="37">
        <v>2011</v>
      </c>
      <c r="T38" s="37">
        <v>2012</v>
      </c>
      <c r="U38" s="37">
        <v>2013</v>
      </c>
      <c r="V38" s="37">
        <v>2014</v>
      </c>
      <c r="W38" s="37">
        <v>2015</v>
      </c>
      <c r="X38" s="37">
        <v>2016</v>
      </c>
      <c r="Y38" s="37">
        <v>2017</v>
      </c>
      <c r="Z38" s="37">
        <v>2018</v>
      </c>
    </row>
    <row r="39" spans="1:26">
      <c r="Q39" s="3" t="s">
        <v>11</v>
      </c>
      <c r="R39" s="3"/>
      <c r="S39" s="18">
        <v>1850</v>
      </c>
      <c r="T39" s="18">
        <v>1429</v>
      </c>
      <c r="U39" s="11">
        <v>1821</v>
      </c>
      <c r="V39" s="11">
        <v>1821</v>
      </c>
      <c r="W39" s="11"/>
      <c r="X39" s="11"/>
      <c r="Y39" s="11"/>
      <c r="Z39" s="11"/>
    </row>
    <row r="40" spans="1:26">
      <c r="Q40" s="17" t="s">
        <v>14</v>
      </c>
      <c r="R40" s="17"/>
      <c r="S40" s="18">
        <v>354</v>
      </c>
      <c r="T40" s="18">
        <v>334</v>
      </c>
      <c r="U40" s="18">
        <v>322</v>
      </c>
      <c r="V40" s="18">
        <v>322</v>
      </c>
      <c r="W40" s="18"/>
      <c r="X40" s="18"/>
      <c r="Y40" s="18"/>
      <c r="Z40" s="18"/>
    </row>
    <row r="41" spans="1:26">
      <c r="Q41" s="17" t="s">
        <v>16</v>
      </c>
      <c r="R41" s="17"/>
      <c r="S41" s="18">
        <v>291</v>
      </c>
      <c r="T41" s="18">
        <v>284</v>
      </c>
      <c r="U41" s="18">
        <v>327</v>
      </c>
      <c r="V41" s="18">
        <v>327</v>
      </c>
      <c r="W41" s="18"/>
      <c r="X41" s="18"/>
      <c r="Y41" s="18"/>
      <c r="Z41" s="18"/>
    </row>
    <row r="42" spans="1:26">
      <c r="Q42" s="17" t="s">
        <v>18</v>
      </c>
      <c r="R42" s="17"/>
      <c r="S42" s="21">
        <v>0</v>
      </c>
      <c r="T42" s="18">
        <v>22</v>
      </c>
      <c r="U42" s="18">
        <v>51</v>
      </c>
      <c r="V42" s="18">
        <v>51</v>
      </c>
      <c r="W42" s="18"/>
      <c r="X42" s="18"/>
      <c r="Y42" s="18"/>
      <c r="Z42" s="18"/>
    </row>
  </sheetData>
  <mergeCells count="15">
    <mergeCell ref="A18:L18"/>
    <mergeCell ref="A19:L19"/>
    <mergeCell ref="A1:M1"/>
    <mergeCell ref="A2:M2"/>
    <mergeCell ref="A3:L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L4:L5"/>
  </mergeCells>
  <pageMargins left="0.7" right="0.7" top="0.75" bottom="0.75" header="0.3" footer="0.3"/>
  <pageSetup paperSize="9" scale="5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8.35</vt:lpstr>
      <vt:lpstr>'8.35'!Print_Area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2019-12-15T08:27:40Z</cp:lastPrinted>
  <dcterms:created xsi:type="dcterms:W3CDTF">2019-06-30T04:22:49Z</dcterms:created>
  <dcterms:modified xsi:type="dcterms:W3CDTF">2019-12-15T08:27:54Z</dcterms:modified>
</cp:coreProperties>
</file>