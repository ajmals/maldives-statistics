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31" sheetId="27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'8.31'!$A$1:$U$40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27" l="1"/>
  <c r="S8" i="27"/>
  <c r="R9" i="27"/>
  <c r="S9" i="27"/>
  <c r="R10" i="27"/>
  <c r="S10" i="27"/>
  <c r="R11" i="27"/>
  <c r="S11" i="27"/>
  <c r="R12" i="27"/>
  <c r="S12" i="27"/>
  <c r="R13" i="27"/>
  <c r="S13" i="27"/>
  <c r="R14" i="27"/>
  <c r="S14" i="27"/>
  <c r="R15" i="27"/>
  <c r="S15" i="27"/>
  <c r="R16" i="27"/>
  <c r="S16" i="27"/>
  <c r="F7" i="27"/>
  <c r="E7" i="27" s="1"/>
  <c r="G7" i="27"/>
  <c r="I7" i="27"/>
  <c r="J7" i="27"/>
  <c r="H7" i="27" l="1"/>
  <c r="H16" i="27"/>
  <c r="E16" i="27"/>
  <c r="H15" i="27"/>
  <c r="E15" i="27"/>
  <c r="H14" i="27"/>
  <c r="E14" i="27"/>
  <c r="H13" i="27"/>
  <c r="E13" i="27"/>
  <c r="H12" i="27"/>
  <c r="E12" i="27"/>
  <c r="H11" i="27"/>
  <c r="E11" i="27"/>
  <c r="H10" i="27"/>
  <c r="E10" i="27"/>
  <c r="H9" i="27"/>
  <c r="E9" i="27"/>
  <c r="H8" i="27"/>
  <c r="E8" i="27"/>
  <c r="N16" i="27" l="1"/>
  <c r="N15" i="27"/>
  <c r="N14" i="27"/>
  <c r="N12" i="27"/>
  <c r="N11" i="27"/>
  <c r="N10" i="27"/>
  <c r="N9" i="27"/>
  <c r="N8" i="27"/>
  <c r="B16" i="27" l="1"/>
  <c r="Q16" i="27" s="1"/>
  <c r="B15" i="27"/>
  <c r="Q15" i="27" s="1"/>
  <c r="B14" i="27"/>
  <c r="Q14" i="27" s="1"/>
  <c r="B13" i="27"/>
  <c r="Q13" i="27" s="1"/>
  <c r="B12" i="27"/>
  <c r="Q12" i="27" s="1"/>
  <c r="B11" i="27"/>
  <c r="Q11" i="27" s="1"/>
  <c r="B10" i="27"/>
  <c r="Q10" i="27" s="1"/>
  <c r="B9" i="27"/>
  <c r="Q9" i="27" s="1"/>
  <c r="AG8" i="27"/>
  <c r="B8" i="27"/>
  <c r="Q8" i="27" s="1"/>
  <c r="AG7" i="27"/>
  <c r="P7" i="27"/>
  <c r="O7" i="27"/>
  <c r="M7" i="27"/>
  <c r="L7" i="27"/>
  <c r="K7" i="27" s="1"/>
  <c r="D7" i="27"/>
  <c r="S7" i="27" s="1"/>
  <c r="C7" i="27"/>
  <c r="B7" i="27" l="1"/>
  <c r="Q7" i="27" s="1"/>
  <c r="R7" i="27"/>
  <c r="N7" i="27"/>
</calcChain>
</file>

<file path=xl/sharedStrings.xml><?xml version="1.0" encoding="utf-8"?>
<sst xmlns="http://schemas.openxmlformats.org/spreadsheetml/2006/main" count="68" uniqueCount="38">
  <si>
    <t>އެހެނިހެން</t>
  </si>
  <si>
    <t>m</t>
  </si>
  <si>
    <t>f</t>
  </si>
  <si>
    <t>ޖުމްލަ</t>
  </si>
  <si>
    <t>Both Sexes</t>
  </si>
  <si>
    <t>Female</t>
  </si>
  <si>
    <t>ދެޖިންސް</t>
  </si>
  <si>
    <t xml:space="preserve">Total </t>
  </si>
  <si>
    <t>ފިރިހެން</t>
  </si>
  <si>
    <t>އަންހެން</t>
  </si>
  <si>
    <t>Source: Department of Judicial Administration</t>
  </si>
  <si>
    <t>cnwxErcTcsinimcDea clwxiDuj cfoa cTcnwmcTWpiD : utWmUluAwm</t>
  </si>
  <si>
    <t>Qualification</t>
  </si>
  <si>
    <t xml:space="preserve">Male </t>
  </si>
  <si>
    <t xml:space="preserve">ތަޢުލީމީ ފެންވަރު </t>
  </si>
  <si>
    <t>total registered lawyers as of Dec 2017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</si>
  <si>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</si>
  <si>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</si>
  <si>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</si>
  <si>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</si>
  <si>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</si>
  <si>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</si>
  <si>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</si>
  <si>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</si>
  <si>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</si>
  <si>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</si>
  <si>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</si>
  <si>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</si>
  <si>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</si>
  <si>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</si>
  <si>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</si>
  <si>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</si>
  <si>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</si>
  <si>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t>Total Number of lawyers</t>
  </si>
  <si>
    <t xml:space="preserve">     2017 ވަނަ އަހަރުގައި އެއްވެސް ވަކީލަކު ހުވާ ކުރައްވާފައި ނުވޭ</t>
  </si>
  <si>
    <t xml:space="preserve">ނޯޓް: 2014 ވަނަ އަހަރު އެވަނީ 2014 ވަނަ އަހަރުގެ ނިޔަލަށް ޤާނޫނީ ވަކީލުންގެ ދަފްތަރުގައި ރަޖިސްޓްރީ ކޮށްފައިވާ ޤާނޫނީ ވަކީލުންގެ މަޢުލޫމާތެވެ. އަދި 2015 , 2016 އަދި 2018 ގައި އެވަނީ އެއަހަރަކު އަލަށް ރަޖިސްޓްރީކުރެވުނު ޤާނޫނީ ވަކީލުންގެ އަދަދެވެ. </t>
  </si>
  <si>
    <t>TABLE 8.31: REGISTERED LAWYERS IN SERVICE, BY QUALIFICATION AND SEX, 2014 - 2018</t>
  </si>
  <si>
    <t>ތާވަލު 8.31: ރަޖިސްޓްރީކުރެވިފައިވާ ޤާނޫނީ ވަކީލުންގެ އަދަދު އަދި ތަޢުލީމީ ފެންވަރު،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</si>
</sst>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dotted">
        <color theme="1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 style="dotted">
        <color theme="1"/>
      </top>
      <bottom style="thin">
        <color indexed="64"/>
      </bottom>
      <diagonal/>
    </border>
    <border>
      <left/>
      <right/>
      <top style="dotted">
        <color theme="1"/>
      </top>
      <bottom style="thin">
        <color indexed="64"/>
      </bottom>
      <diagonal/>
    </border>
    <border>
      <left style="hair">
        <color indexed="64"/>
      </left>
      <right/>
      <top style="dotted">
        <color theme="1"/>
      </top>
      <bottom style="thin">
        <color indexed="64"/>
      </bottom>
      <diagonal/>
    </border>
    <border>
      <left/>
      <right style="hair">
        <color theme="1"/>
      </right>
      <top style="dotted">
        <color theme="1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5" fillId="0" borderId="51" applyNumberFormat="0" applyFill="0" applyAlignment="0" applyProtection="0"/>
    <xf numFmtId="0" fontId="10" fillId="0" borderId="0"/>
  </cellStyleXfs>
  <cellXfs count="90">
    <xf numFmtId="0" fontId="0" fillId="0" borderId="0" xfId="0"/>
    <xf numFmtId="164" fontId="2" fillId="2" borderId="6" xfId="0" applyNumberFormat="1" applyFont="1" applyFill="1" applyBorder="1"/>
    <xf numFmtId="164" fontId="5" fillId="2" borderId="3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vertical="center"/>
    </xf>
    <xf numFmtId="164" fontId="2" fillId="2" borderId="12" xfId="0" applyNumberFormat="1" applyFont="1" applyFill="1" applyBorder="1"/>
    <xf numFmtId="164" fontId="14" fillId="2" borderId="29" xfId="0" applyNumberFormat="1" applyFont="1" applyFill="1" applyBorder="1" applyAlignment="1" applyProtection="1">
      <alignment horizontal="right" vertical="center"/>
    </xf>
    <xf numFmtId="164" fontId="14" fillId="2" borderId="30" xfId="0" applyNumberFormat="1" applyFont="1" applyFill="1" applyBorder="1" applyAlignment="1" applyProtection="1">
      <alignment horizontal="right" vertical="center"/>
    </xf>
    <xf numFmtId="164" fontId="14" fillId="2" borderId="31" xfId="0" applyNumberFormat="1" applyFont="1" applyFill="1" applyBorder="1" applyAlignment="1" applyProtection="1">
      <alignment horizontal="right" vertical="center"/>
    </xf>
    <xf numFmtId="164" fontId="14" fillId="2" borderId="32" xfId="0" applyNumberFormat="1" applyFont="1" applyFill="1" applyBorder="1" applyAlignment="1" applyProtection="1">
      <alignment horizontal="right" vertical="center"/>
    </xf>
    <xf numFmtId="164" fontId="14" fillId="2" borderId="33" xfId="0" applyNumberFormat="1" applyFont="1" applyFill="1" applyBorder="1" applyAlignment="1" applyProtection="1">
      <alignment horizontal="right" vertical="center"/>
    </xf>
    <xf numFmtId="164" fontId="14" fillId="2" borderId="34" xfId="0" applyNumberFormat="1" applyFont="1" applyFill="1" applyBorder="1" applyAlignment="1" applyProtection="1">
      <alignment horizontal="right" vertical="center"/>
    </xf>
    <xf numFmtId="3" fontId="1" fillId="2" borderId="40" xfId="0" applyNumberFormat="1" applyFont="1" applyFill="1" applyBorder="1" applyAlignment="1" applyProtection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13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 applyProtection="1">
      <alignment horizontal="right" vertical="center"/>
    </xf>
    <xf numFmtId="164" fontId="11" fillId="2" borderId="2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 applyProtection="1">
      <alignment vertical="center"/>
    </xf>
    <xf numFmtId="3" fontId="0" fillId="2" borderId="41" xfId="0" applyNumberFormat="1" applyFont="1" applyFill="1" applyBorder="1" applyAlignment="1" applyProtection="1">
      <alignment horizontal="right" vertical="center"/>
    </xf>
    <xf numFmtId="3" fontId="0" fillId="2" borderId="42" xfId="0" applyNumberFormat="1" applyFont="1" applyFill="1" applyBorder="1" applyAlignment="1" applyProtection="1">
      <alignment horizontal="right" vertical="center"/>
    </xf>
    <xf numFmtId="3" fontId="0" fillId="2" borderId="40" xfId="0" applyNumberFormat="1" applyFont="1" applyFill="1" applyBorder="1" applyAlignment="1" applyProtection="1">
      <alignment horizontal="right" vertical="center"/>
    </xf>
    <xf numFmtId="3" fontId="0" fillId="2" borderId="9" xfId="0" applyNumberFormat="1" applyFont="1" applyFill="1" applyBorder="1" applyAlignment="1" applyProtection="1">
      <alignment horizontal="right" vertical="center"/>
    </xf>
    <xf numFmtId="164" fontId="12" fillId="2" borderId="6" xfId="0" applyNumberFormat="1" applyFont="1" applyFill="1" applyBorder="1" applyAlignment="1">
      <alignment vertical="center"/>
    </xf>
    <xf numFmtId="164" fontId="0" fillId="2" borderId="2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horizontal="right" vertical="center"/>
      <protection locked="0"/>
    </xf>
    <xf numFmtId="0" fontId="0" fillId="2" borderId="43" xfId="0" applyNumberFormat="1" applyFont="1" applyFill="1" applyBorder="1" applyAlignment="1" applyProtection="1">
      <alignment horizontal="right" vertical="center"/>
      <protection locked="0"/>
    </xf>
    <xf numFmtId="3" fontId="0" fillId="2" borderId="6" xfId="0" applyNumberFormat="1" applyFont="1" applyFill="1" applyBorder="1" applyAlignment="1" applyProtection="1">
      <alignment horizontal="right" vertical="center"/>
      <protection locked="0"/>
    </xf>
    <xf numFmtId="3" fontId="0" fillId="2" borderId="10" xfId="0" applyNumberFormat="1" applyFont="1" applyFill="1" applyBorder="1" applyAlignment="1" applyProtection="1">
      <alignment horizontal="right" vertical="center"/>
      <protection locked="0"/>
    </xf>
    <xf numFmtId="164" fontId="0" fillId="2" borderId="7" xfId="0" applyNumberFormat="1" applyFont="1" applyFill="1" applyBorder="1" applyAlignment="1" applyProtection="1">
      <alignment vertical="center"/>
    </xf>
    <xf numFmtId="3" fontId="0" fillId="2" borderId="44" xfId="0" applyNumberFormat="1" applyFont="1" applyFill="1" applyBorder="1" applyAlignment="1" applyProtection="1">
      <alignment horizontal="right" vertical="center"/>
    </xf>
    <xf numFmtId="3" fontId="0" fillId="2" borderId="45" xfId="0" applyNumberFormat="1" applyFont="1" applyFill="1" applyBorder="1" applyAlignment="1" applyProtection="1">
      <alignment horizontal="right" vertical="center"/>
    </xf>
    <xf numFmtId="164" fontId="12" fillId="2" borderId="7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164" fontId="9" fillId="2" borderId="2" xfId="0" applyNumberFormat="1" applyFont="1" applyFill="1" applyBorder="1" applyAlignment="1">
      <alignment vertical="center"/>
    </xf>
    <xf numFmtId="0" fontId="9" fillId="2" borderId="2" xfId="0" applyNumberFormat="1" applyFont="1" applyFill="1" applyBorder="1" applyAlignment="1" applyProtection="1">
      <alignment horizontal="center" vertical="center"/>
    </xf>
    <xf numFmtId="164" fontId="13" fillId="2" borderId="6" xfId="0" applyNumberFormat="1" applyFont="1" applyFill="1" applyBorder="1" applyAlignment="1">
      <alignment horizontal="right" readingOrder="2"/>
    </xf>
    <xf numFmtId="164" fontId="2" fillId="2" borderId="6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/>
    <xf numFmtId="164" fontId="2" fillId="2" borderId="17" xfId="0" applyNumberFormat="1" applyFont="1" applyFill="1" applyBorder="1"/>
    <xf numFmtId="164" fontId="9" fillId="2" borderId="6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horizontal="left"/>
    </xf>
    <xf numFmtId="164" fontId="1" fillId="2" borderId="15" xfId="0" applyNumberFormat="1" applyFont="1" applyFill="1" applyBorder="1" applyAlignment="1" applyProtection="1">
      <alignment horizontal="left" vertical="center"/>
    </xf>
    <xf numFmtId="164" fontId="2" fillId="2" borderId="12" xfId="0" applyNumberFormat="1" applyFont="1" applyFill="1" applyBorder="1" applyAlignment="1">
      <alignment horizontal="left"/>
    </xf>
    <xf numFmtId="3" fontId="1" fillId="2" borderId="20" xfId="0" applyNumberFormat="1" applyFont="1" applyFill="1" applyBorder="1" applyAlignment="1">
      <alignment horizontal="right" vertical="center"/>
    </xf>
    <xf numFmtId="3" fontId="0" fillId="2" borderId="18" xfId="0" applyNumberFormat="1" applyFont="1" applyFill="1" applyBorder="1" applyAlignment="1" applyProtection="1">
      <alignment horizontal="right" vertical="center"/>
    </xf>
    <xf numFmtId="3" fontId="0" fillId="2" borderId="22" xfId="0" applyNumberFormat="1" applyFont="1" applyFill="1" applyBorder="1" applyAlignment="1" applyProtection="1">
      <alignment horizontal="right" vertical="center"/>
    </xf>
    <xf numFmtId="3" fontId="0" fillId="2" borderId="47" xfId="0" applyNumberFormat="1" applyFont="1" applyFill="1" applyBorder="1" applyAlignment="1" applyProtection="1">
      <alignment horizontal="right" vertical="center"/>
    </xf>
    <xf numFmtId="0" fontId="1" fillId="2" borderId="40" xfId="0" applyNumberFormat="1" applyFont="1" applyFill="1" applyBorder="1" applyAlignment="1" applyProtection="1">
      <alignment horizontal="right" vertical="center"/>
    </xf>
    <xf numFmtId="0" fontId="0" fillId="2" borderId="41" xfId="0" applyNumberFormat="1" applyFont="1" applyFill="1" applyBorder="1" applyAlignment="1" applyProtection="1">
      <alignment horizontal="right" vertical="center"/>
    </xf>
    <xf numFmtId="0" fontId="0" fillId="2" borderId="48" xfId="0" applyNumberFormat="1" applyFont="1" applyFill="1" applyBorder="1" applyAlignment="1" applyProtection="1">
      <alignment horizontal="right" vertical="center"/>
    </xf>
    <xf numFmtId="0" fontId="1" fillId="2" borderId="44" xfId="0" applyNumberFormat="1" applyFont="1" applyFill="1" applyBorder="1" applyAlignment="1" applyProtection="1">
      <alignment horizontal="right" vertical="center"/>
    </xf>
    <xf numFmtId="0" fontId="0" fillId="2" borderId="44" xfId="0" applyNumberFormat="1" applyFont="1" applyFill="1" applyBorder="1" applyAlignment="1" applyProtection="1">
      <alignment horizontal="right" vertical="center"/>
    </xf>
    <xf numFmtId="0" fontId="0" fillId="2" borderId="49" xfId="0" applyNumberFormat="1" applyFont="1" applyFill="1" applyBorder="1" applyAlignment="1" applyProtection="1">
      <alignment horizontal="right" vertical="center"/>
    </xf>
    <xf numFmtId="3" fontId="1" fillId="2" borderId="26" xfId="0" applyNumberFormat="1" applyFont="1" applyFill="1" applyBorder="1" applyAlignment="1" applyProtection="1">
      <alignment horizontal="right" vertical="center"/>
    </xf>
    <xf numFmtId="3" fontId="1" fillId="2" borderId="23" xfId="0" applyNumberFormat="1" applyFont="1" applyFill="1" applyBorder="1" applyAlignment="1">
      <alignment horizontal="right" vertical="center"/>
    </xf>
    <xf numFmtId="3" fontId="1" fillId="2" borderId="24" xfId="0" applyNumberFormat="1" applyFont="1" applyFill="1" applyBorder="1" applyAlignment="1">
      <alignment horizontal="right" vertical="center"/>
    </xf>
    <xf numFmtId="3" fontId="0" fillId="2" borderId="50" xfId="0" applyNumberFormat="1" applyFont="1" applyFill="1" applyBorder="1" applyAlignment="1" applyProtection="1">
      <alignment horizontal="right" vertical="center"/>
    </xf>
    <xf numFmtId="3" fontId="1" fillId="2" borderId="19" xfId="0" applyNumberFormat="1" applyFont="1" applyFill="1" applyBorder="1" applyAlignment="1">
      <alignment horizontal="right" vertical="center"/>
    </xf>
    <xf numFmtId="3" fontId="1" fillId="2" borderId="46" xfId="0" applyNumberFormat="1" applyFont="1" applyFill="1" applyBorder="1" applyAlignment="1">
      <alignment horizontal="right" vertical="center"/>
    </xf>
    <xf numFmtId="164" fontId="6" fillId="2" borderId="26" xfId="0" applyNumberFormat="1" applyFont="1" applyFill="1" applyBorder="1" applyAlignment="1" applyProtection="1">
      <alignment horizontal="right" vertical="center" wrapText="1"/>
    </xf>
    <xf numFmtId="164" fontId="6" fillId="2" borderId="23" xfId="0" applyNumberFormat="1" applyFont="1" applyFill="1" applyBorder="1" applyAlignment="1" applyProtection="1">
      <alignment horizontal="right" vertical="center" wrapText="1"/>
    </xf>
    <xf numFmtId="164" fontId="6" fillId="2" borderId="25" xfId="0" applyNumberFormat="1" applyFont="1" applyFill="1" applyBorder="1" applyAlignment="1" applyProtection="1">
      <alignment horizontal="right" vertical="center" wrapText="1"/>
    </xf>
    <xf numFmtId="164" fontId="6" fillId="2" borderId="27" xfId="0" applyNumberFormat="1" applyFont="1" applyFill="1" applyBorder="1" applyAlignment="1" applyProtection="1">
      <alignment horizontal="right" vertical="center" wrapText="1"/>
    </xf>
    <xf numFmtId="164" fontId="6" fillId="2" borderId="28" xfId="0" applyNumberFormat="1" applyFont="1" applyFill="1" applyBorder="1" applyAlignment="1" applyProtection="1">
      <alignment horizontal="right" vertical="center" wrapText="1"/>
    </xf>
    <xf numFmtId="164" fontId="6" fillId="2" borderId="8" xfId="0" applyNumberFormat="1" applyFont="1" applyFill="1" applyBorder="1" applyAlignment="1" applyProtection="1">
      <alignment horizontal="right" vertical="center" wrapText="1"/>
    </xf>
    <xf numFmtId="0" fontId="0" fillId="2" borderId="40" xfId="0" applyNumberFormat="1" applyFont="1" applyFill="1" applyBorder="1" applyAlignment="1" applyProtection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2" borderId="7" xfId="0" applyNumberFormat="1" applyFont="1" applyFill="1" applyBorder="1" applyAlignment="1">
      <alignment horizontal="right" vertical="center"/>
    </xf>
    <xf numFmtId="164" fontId="2" fillId="2" borderId="10" xfId="0" applyNumberFormat="1" applyFont="1" applyFill="1" applyBorder="1" applyAlignment="1">
      <alignment horizontal="left"/>
    </xf>
    <xf numFmtId="164" fontId="11" fillId="2" borderId="0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 applyProtection="1">
      <alignment horizontal="center" vertical="center"/>
    </xf>
    <xf numFmtId="164" fontId="6" fillId="2" borderId="4" xfId="0" applyNumberFormat="1" applyFont="1" applyFill="1" applyBorder="1" applyAlignment="1" applyProtection="1">
      <alignment horizontal="center" vertical="center"/>
    </xf>
    <xf numFmtId="164" fontId="11" fillId="2" borderId="17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 applyProtection="1">
      <alignment horizontal="center" vertical="center" wrapText="1"/>
    </xf>
    <xf numFmtId="164" fontId="1" fillId="2" borderId="11" xfId="0" applyNumberFormat="1" applyFont="1" applyFill="1" applyBorder="1" applyAlignment="1" applyProtection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1" fillId="2" borderId="21" xfId="0" applyNumberFormat="1" applyFont="1" applyFill="1" applyBorder="1" applyAlignment="1" applyProtection="1">
      <alignment horizontal="center" vertical="center" wrapText="1"/>
    </xf>
    <xf numFmtId="164" fontId="1" fillId="2" borderId="14" xfId="0" applyNumberFormat="1" applyFont="1" applyFill="1" applyBorder="1" applyAlignment="1" applyProtection="1">
      <alignment horizontal="left" vertical="center"/>
    </xf>
    <xf numFmtId="164" fontId="1" fillId="2" borderId="15" xfId="0" applyNumberFormat="1" applyFont="1" applyFill="1" applyBorder="1" applyAlignment="1" applyProtection="1">
      <alignment horizontal="left" vertical="center"/>
    </xf>
    <xf numFmtId="164" fontId="1" fillId="2" borderId="16" xfId="0" applyNumberFormat="1" applyFont="1" applyFill="1" applyBorder="1" applyAlignment="1" applyProtection="1">
      <alignment horizontal="left" vertical="center"/>
    </xf>
    <xf numFmtId="164" fontId="11" fillId="2" borderId="14" xfId="0" applyNumberFormat="1" applyFont="1" applyFill="1" applyBorder="1" applyAlignment="1">
      <alignment horizontal="right" vertical="center"/>
    </xf>
    <xf numFmtId="164" fontId="11" fillId="2" borderId="15" xfId="0" applyNumberFormat="1" applyFont="1" applyFill="1" applyBorder="1" applyAlignment="1">
      <alignment horizontal="right" vertical="center"/>
    </xf>
    <xf numFmtId="164" fontId="11" fillId="2" borderId="16" xfId="0" applyNumberFormat="1" applyFont="1" applyFill="1" applyBorder="1" applyAlignment="1">
      <alignment horizontal="right" vertical="center"/>
    </xf>
    <xf numFmtId="164" fontId="6" fillId="2" borderId="35" xfId="0" applyNumberFormat="1" applyFont="1" applyFill="1" applyBorder="1" applyAlignment="1" applyProtection="1">
      <alignment horizontal="center" vertical="center"/>
    </xf>
    <xf numFmtId="164" fontId="6" fillId="2" borderId="36" xfId="0" applyNumberFormat="1" applyFont="1" applyFill="1" applyBorder="1" applyAlignment="1" applyProtection="1">
      <alignment horizontal="center" vertical="center"/>
    </xf>
    <xf numFmtId="164" fontId="6" fillId="2" borderId="37" xfId="0" applyNumberFormat="1" applyFont="1" applyFill="1" applyBorder="1" applyAlignment="1" applyProtection="1">
      <alignment horizontal="center" vertical="center"/>
    </xf>
    <xf numFmtId="164" fontId="6" fillId="2" borderId="38" xfId="0" applyNumberFormat="1" applyFont="1" applyFill="1" applyBorder="1" applyAlignment="1" applyProtection="1">
      <alignment horizontal="center" vertical="center"/>
    </xf>
    <xf numFmtId="164" fontId="6" fillId="2" borderId="39" xfId="0" applyNumberFormat="1" applyFont="1" applyFill="1" applyBorder="1" applyAlignment="1" applyProtection="1">
      <alignment horizontal="center" vertical="center"/>
    </xf>
    <xf numFmtId="164" fontId="6" fillId="2" borderId="5" xfId="0" applyNumberFormat="1" applyFont="1" applyFill="1" applyBorder="1" applyAlignment="1" applyProtection="1">
      <alignment horizontal="center" vertical="center"/>
    </xf>
    <xf numFmtId="164" fontId="6" fillId="2" borderId="21" xfId="0" applyNumberFormat="1" applyFont="1" applyFill="1" applyBorder="1" applyAlignment="1" applyProtection="1">
      <alignment horizontal="center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9182793538368"/>
          <c:y val="0.16645290671346885"/>
          <c:w val="0.77555831836809874"/>
          <c:h val="0.73659921977617082"/>
        </c:manualLayout>
      </c:layout>
      <c:pie3DChart>
        <c:varyColors val="1"/>
        <c:ser>
          <c:idx val="0"/>
          <c:order val="0"/>
          <c:explosion val="3"/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76A-464D-B54D-41BE1C2A6C45}"/>
              </c:ext>
            </c:extLst>
          </c:dPt>
          <c:dLbls>
            <c:dLbl>
              <c:idx val="0"/>
              <c:layout>
                <c:manualLayout>
                  <c:x val="-0.22627007748433359"/>
                  <c:y val="-0.171419309836614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76A-464D-B54D-41BE1C2A6C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'8.31'!$R$4:$S$4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'8.31'!$R$7:$S$7</c:f>
              <c:numCache>
                <c:formatCode>#,##0</c:formatCode>
                <c:ptCount val="2"/>
                <c:pt idx="0">
                  <c:v>1082</c:v>
                </c:pt>
                <c:pt idx="1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A-464D-B54D-41BE1C2A6C4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18</xdr:row>
      <xdr:rowOff>51288</xdr:rowOff>
    </xdr:from>
    <xdr:to>
      <xdr:col>14</xdr:col>
      <xdr:colOff>38099</xdr:colOff>
      <xdr:row>35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0.95069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15900" y="141598"/>
          <a:ext cx="5393360" cy="2844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8.47: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2018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tabSelected="1" zoomScaleNormal="100" workbookViewId="0">
      <selection activeCell="S23" sqref="S23"/>
    </sheetView>
  </sheetViews>
  <sheetFormatPr defaultColWidth="22.28515625" defaultRowHeight="12.75"/>
  <cols>
    <col min="1" max="1" width="33.5703125" style="35" customWidth="1"/>
    <col min="2" max="2" width="10" style="1" customWidth="1"/>
    <col min="3" max="10" width="9.28515625" style="1" customWidth="1"/>
    <col min="11" max="13" width="9.28515625" style="1" hidden="1" customWidth="1"/>
    <col min="14" max="19" width="9.28515625" style="1" customWidth="1"/>
    <col min="20" max="20" width="28.5703125" style="1" customWidth="1"/>
    <col min="21" max="21" width="1.5703125" style="1" customWidth="1"/>
    <col min="22" max="22" width="5.28515625" style="1" customWidth="1"/>
    <col min="23" max="24" width="4.28515625" style="1" customWidth="1"/>
    <col min="25" max="25" width="22.28515625" style="1"/>
    <col min="26" max="26" width="6.7109375" style="1" customWidth="1"/>
    <col min="27" max="16384" width="22.28515625" style="1"/>
  </cols>
  <sheetData>
    <row r="1" spans="1:33" ht="21">
      <c r="A1" s="69" t="s">
        <v>37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72"/>
      <c r="U1" s="4"/>
    </row>
    <row r="2" spans="1:33" ht="15">
      <c r="A2" s="73" t="s">
        <v>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4"/>
    </row>
    <row r="3" spans="1:33" ht="15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6"/>
      <c r="U3" s="4"/>
    </row>
    <row r="4" spans="1:33" ht="17.25" customHeight="1">
      <c r="A4" s="77" t="s">
        <v>12</v>
      </c>
      <c r="B4" s="59" t="s">
        <v>4</v>
      </c>
      <c r="C4" s="60" t="s">
        <v>13</v>
      </c>
      <c r="D4" s="61" t="s">
        <v>5</v>
      </c>
      <c r="E4" s="59" t="s">
        <v>4</v>
      </c>
      <c r="F4" s="60" t="s">
        <v>13</v>
      </c>
      <c r="G4" s="61" t="s">
        <v>5</v>
      </c>
      <c r="H4" s="62" t="s">
        <v>4</v>
      </c>
      <c r="I4" s="60" t="s">
        <v>13</v>
      </c>
      <c r="J4" s="63" t="s">
        <v>5</v>
      </c>
      <c r="K4" s="64" t="s">
        <v>4</v>
      </c>
      <c r="L4" s="60" t="s">
        <v>13</v>
      </c>
      <c r="M4" s="63" t="s">
        <v>5</v>
      </c>
      <c r="N4" s="64" t="s">
        <v>4</v>
      </c>
      <c r="O4" s="60" t="s">
        <v>13</v>
      </c>
      <c r="P4" s="61" t="s">
        <v>5</v>
      </c>
      <c r="Q4" s="62" t="s">
        <v>4</v>
      </c>
      <c r="R4" s="60" t="s">
        <v>13</v>
      </c>
      <c r="S4" s="60" t="s">
        <v>5</v>
      </c>
      <c r="T4" s="80" t="s">
        <v>14</v>
      </c>
      <c r="U4" s="4"/>
    </row>
    <row r="5" spans="1:33" ht="18.75">
      <c r="A5" s="78"/>
      <c r="B5" s="8" t="s">
        <v>6</v>
      </c>
      <c r="C5" s="5" t="s">
        <v>8</v>
      </c>
      <c r="D5" s="7" t="s">
        <v>9</v>
      </c>
      <c r="E5" s="8" t="s">
        <v>6</v>
      </c>
      <c r="F5" s="5" t="s">
        <v>8</v>
      </c>
      <c r="G5" s="7" t="s">
        <v>9</v>
      </c>
      <c r="H5" s="9" t="s">
        <v>6</v>
      </c>
      <c r="I5" s="5" t="s">
        <v>8</v>
      </c>
      <c r="J5" s="10" t="s">
        <v>9</v>
      </c>
      <c r="K5" s="6" t="s">
        <v>6</v>
      </c>
      <c r="L5" s="5" t="s">
        <v>8</v>
      </c>
      <c r="M5" s="10" t="s">
        <v>9</v>
      </c>
      <c r="N5" s="6" t="s">
        <v>6</v>
      </c>
      <c r="O5" s="5" t="s">
        <v>8</v>
      </c>
      <c r="P5" s="7" t="s">
        <v>9</v>
      </c>
      <c r="Q5" s="9" t="s">
        <v>6</v>
      </c>
      <c r="R5" s="5" t="s">
        <v>8</v>
      </c>
      <c r="S5" s="5" t="s">
        <v>9</v>
      </c>
      <c r="T5" s="81"/>
      <c r="U5" s="4"/>
      <c r="AE5" s="1" t="s">
        <v>15</v>
      </c>
    </row>
    <row r="6" spans="1:33">
      <c r="A6" s="79"/>
      <c r="B6" s="83">
        <v>2014</v>
      </c>
      <c r="C6" s="70"/>
      <c r="D6" s="70"/>
      <c r="E6" s="84">
        <v>2015</v>
      </c>
      <c r="F6" s="85"/>
      <c r="G6" s="85"/>
      <c r="H6" s="86">
        <v>2016</v>
      </c>
      <c r="I6" s="85"/>
      <c r="J6" s="87"/>
      <c r="K6" s="70">
        <v>2017</v>
      </c>
      <c r="L6" s="70"/>
      <c r="M6" s="71"/>
      <c r="N6" s="70">
        <v>2018</v>
      </c>
      <c r="O6" s="70"/>
      <c r="P6" s="70"/>
      <c r="Q6" s="88" t="s">
        <v>33</v>
      </c>
      <c r="R6" s="70"/>
      <c r="S6" s="89"/>
      <c r="T6" s="82"/>
      <c r="U6" s="4"/>
    </row>
    <row r="7" spans="1:33" ht="21">
      <c r="A7" s="41" t="s">
        <v>7</v>
      </c>
      <c r="B7" s="11">
        <f>SUM(C7:D7)</f>
        <v>798</v>
      </c>
      <c r="C7" s="12">
        <f>SUM(C8:C16)</f>
        <v>521</v>
      </c>
      <c r="D7" s="13">
        <f>SUM(D8:D16)</f>
        <v>277</v>
      </c>
      <c r="E7" s="11">
        <f t="shared" ref="E7" si="0">SUM(F7:G7)</f>
        <v>145</v>
      </c>
      <c r="F7" s="12">
        <f t="shared" ref="F7:G7" si="1">SUM(F8:F16)</f>
        <v>72</v>
      </c>
      <c r="G7" s="13">
        <f t="shared" si="1"/>
        <v>73</v>
      </c>
      <c r="H7" s="53">
        <f t="shared" ref="H7" si="2">SUM(I7:J7)</f>
        <v>132</v>
      </c>
      <c r="I7" s="54">
        <f t="shared" ref="I7:J7" si="3">SUM(I8:I16)</f>
        <v>54</v>
      </c>
      <c r="J7" s="55">
        <f t="shared" si="3"/>
        <v>78</v>
      </c>
      <c r="K7" s="14">
        <f>SUM(L7:M7)</f>
        <v>0</v>
      </c>
      <c r="L7" s="12">
        <f>SUM(L8:L16)</f>
        <v>0</v>
      </c>
      <c r="M7" s="43">
        <f>SUM(M8:M16)</f>
        <v>0</v>
      </c>
      <c r="N7" s="14">
        <f>SUM(O7:P7)</f>
        <v>661</v>
      </c>
      <c r="O7" s="12">
        <f>SUM(O8:O16)</f>
        <v>435</v>
      </c>
      <c r="P7" s="13">
        <f>SUM(P8:P16)</f>
        <v>226</v>
      </c>
      <c r="Q7" s="57">
        <f>B7+E7+H7+K7+N7</f>
        <v>1736</v>
      </c>
      <c r="R7" s="12">
        <f t="shared" ref="R7:S16" si="4">C7+F7+I7+L7+O7</f>
        <v>1082</v>
      </c>
      <c r="S7" s="12">
        <f t="shared" si="4"/>
        <v>654</v>
      </c>
      <c r="T7" s="15" t="s">
        <v>3</v>
      </c>
      <c r="U7" s="4"/>
      <c r="AE7" s="1">
        <v>423</v>
      </c>
      <c r="AF7" s="1" t="s">
        <v>2</v>
      </c>
      <c r="AG7" s="1">
        <f>AE7/AE9*100</f>
        <v>39.348837209302324</v>
      </c>
    </row>
    <row r="8" spans="1:33" ht="21">
      <c r="A8" s="16" t="s">
        <v>16</v>
      </c>
      <c r="B8" s="17">
        <f>SUM(C8:D8)</f>
        <v>90</v>
      </c>
      <c r="C8" s="17">
        <v>90</v>
      </c>
      <c r="D8" s="18">
        <v>0</v>
      </c>
      <c r="E8" s="47">
        <f t="shared" ref="E8:E16" si="5">SUM(F8:G8)</f>
        <v>0</v>
      </c>
      <c r="F8" s="48">
        <v>0</v>
      </c>
      <c r="G8" s="49">
        <v>0</v>
      </c>
      <c r="H8" s="65">
        <f t="shared" ref="H8:H16" si="6">SUM(I8:J8)</f>
        <v>0</v>
      </c>
      <c r="I8" s="48">
        <v>0</v>
      </c>
      <c r="J8" s="49">
        <v>0</v>
      </c>
      <c r="K8" s="20">
        <v>0</v>
      </c>
      <c r="L8" s="20">
        <v>0</v>
      </c>
      <c r="M8" s="44">
        <v>0</v>
      </c>
      <c r="N8" s="20">
        <f t="shared" ref="N8:N12" si="7">SUM(O8:P8)</f>
        <v>90</v>
      </c>
      <c r="O8" s="19">
        <v>90</v>
      </c>
      <c r="P8" s="56">
        <v>0</v>
      </c>
      <c r="Q8" s="57">
        <f t="shared" ref="Q8:Q16" si="8">B8+E8+H8+K8+N8</f>
        <v>180</v>
      </c>
      <c r="R8" s="66">
        <f t="shared" si="4"/>
        <v>180</v>
      </c>
      <c r="S8" s="66">
        <f t="shared" si="4"/>
        <v>0</v>
      </c>
      <c r="T8" s="21" t="s">
        <v>17</v>
      </c>
      <c r="U8" s="4"/>
      <c r="AE8" s="1">
        <v>652</v>
      </c>
      <c r="AF8" s="1" t="s">
        <v>1</v>
      </c>
      <c r="AG8" s="1">
        <f>AE8/AE9*100</f>
        <v>60.651162790697676</v>
      </c>
    </row>
    <row r="9" spans="1:33" ht="21">
      <c r="A9" s="22" t="s">
        <v>18</v>
      </c>
      <c r="B9" s="17">
        <f t="shared" ref="B9:B16" si="9">SUM(C9:D9)</f>
        <v>72</v>
      </c>
      <c r="C9" s="17">
        <v>71</v>
      </c>
      <c r="D9" s="18">
        <v>1</v>
      </c>
      <c r="E9" s="47">
        <f t="shared" si="5"/>
        <v>0</v>
      </c>
      <c r="F9" s="48">
        <v>0</v>
      </c>
      <c r="G9" s="49">
        <v>0</v>
      </c>
      <c r="H9" s="65">
        <f t="shared" si="6"/>
        <v>0</v>
      </c>
      <c r="I9" s="48">
        <v>0</v>
      </c>
      <c r="J9" s="49">
        <v>0</v>
      </c>
      <c r="K9" s="20">
        <v>0</v>
      </c>
      <c r="L9" s="20">
        <v>0</v>
      </c>
      <c r="M9" s="44">
        <v>0</v>
      </c>
      <c r="N9" s="20">
        <f t="shared" si="7"/>
        <v>72</v>
      </c>
      <c r="O9" s="19">
        <v>71</v>
      </c>
      <c r="P9" s="56">
        <v>1</v>
      </c>
      <c r="Q9" s="57">
        <f t="shared" si="8"/>
        <v>144</v>
      </c>
      <c r="R9" s="66">
        <f t="shared" si="4"/>
        <v>142</v>
      </c>
      <c r="S9" s="66">
        <f t="shared" si="4"/>
        <v>2</v>
      </c>
      <c r="T9" s="21" t="s">
        <v>19</v>
      </c>
      <c r="U9" s="4"/>
      <c r="AE9" s="1">
        <v>1075</v>
      </c>
    </row>
    <row r="10" spans="1:33" ht="21">
      <c r="A10" s="22" t="s">
        <v>20</v>
      </c>
      <c r="B10" s="17">
        <f t="shared" si="9"/>
        <v>7</v>
      </c>
      <c r="C10" s="17">
        <v>7</v>
      </c>
      <c r="D10" s="18">
        <v>0</v>
      </c>
      <c r="E10" s="47">
        <f t="shared" si="5"/>
        <v>0</v>
      </c>
      <c r="F10" s="48">
        <v>0</v>
      </c>
      <c r="G10" s="49">
        <v>0</v>
      </c>
      <c r="H10" s="65">
        <f t="shared" si="6"/>
        <v>0</v>
      </c>
      <c r="I10" s="48">
        <v>0</v>
      </c>
      <c r="J10" s="49">
        <v>0</v>
      </c>
      <c r="K10" s="20">
        <v>0</v>
      </c>
      <c r="L10" s="20">
        <v>0</v>
      </c>
      <c r="M10" s="44">
        <v>0</v>
      </c>
      <c r="N10" s="20">
        <f t="shared" si="7"/>
        <v>7</v>
      </c>
      <c r="O10" s="19">
        <v>7</v>
      </c>
      <c r="P10" s="56">
        <v>0</v>
      </c>
      <c r="Q10" s="57">
        <f t="shared" si="8"/>
        <v>14</v>
      </c>
      <c r="R10" s="66">
        <f t="shared" si="4"/>
        <v>14</v>
      </c>
      <c r="S10" s="66">
        <f t="shared" si="4"/>
        <v>0</v>
      </c>
      <c r="T10" s="21" t="s">
        <v>21</v>
      </c>
      <c r="U10" s="4"/>
    </row>
    <row r="11" spans="1:33" ht="21">
      <c r="A11" s="16" t="s">
        <v>22</v>
      </c>
      <c r="B11" s="17">
        <f t="shared" si="9"/>
        <v>43</v>
      </c>
      <c r="C11" s="17">
        <v>25</v>
      </c>
      <c r="D11" s="18">
        <v>18</v>
      </c>
      <c r="E11" s="47">
        <f t="shared" si="5"/>
        <v>0</v>
      </c>
      <c r="F11" s="48">
        <v>0</v>
      </c>
      <c r="G11" s="49">
        <v>0</v>
      </c>
      <c r="H11" s="65">
        <f t="shared" si="6"/>
        <v>0</v>
      </c>
      <c r="I11" s="48">
        <v>0</v>
      </c>
      <c r="J11" s="49">
        <v>0</v>
      </c>
      <c r="K11" s="20">
        <v>0</v>
      </c>
      <c r="L11" s="20">
        <v>0</v>
      </c>
      <c r="M11" s="44">
        <v>0</v>
      </c>
      <c r="N11" s="20">
        <f t="shared" si="7"/>
        <v>43</v>
      </c>
      <c r="O11" s="19">
        <v>25</v>
      </c>
      <c r="P11" s="56">
        <v>18</v>
      </c>
      <c r="Q11" s="57">
        <f t="shared" si="8"/>
        <v>86</v>
      </c>
      <c r="R11" s="66">
        <f t="shared" si="4"/>
        <v>50</v>
      </c>
      <c r="S11" s="66">
        <f t="shared" si="4"/>
        <v>36</v>
      </c>
      <c r="T11" s="21" t="s">
        <v>23</v>
      </c>
      <c r="U11" s="4"/>
    </row>
    <row r="12" spans="1:33" ht="21">
      <c r="A12" s="16" t="s">
        <v>24</v>
      </c>
      <c r="B12" s="17">
        <f t="shared" si="9"/>
        <v>68</v>
      </c>
      <c r="C12" s="17">
        <v>31</v>
      </c>
      <c r="D12" s="18">
        <v>37</v>
      </c>
      <c r="E12" s="47">
        <f t="shared" si="5"/>
        <v>0</v>
      </c>
      <c r="F12" s="48">
        <v>0</v>
      </c>
      <c r="G12" s="49">
        <v>0</v>
      </c>
      <c r="H12" s="65">
        <f t="shared" si="6"/>
        <v>0</v>
      </c>
      <c r="I12" s="48">
        <v>0</v>
      </c>
      <c r="J12" s="49">
        <v>0</v>
      </c>
      <c r="K12" s="20">
        <v>0</v>
      </c>
      <c r="L12" s="20">
        <v>0</v>
      </c>
      <c r="M12" s="44">
        <v>0</v>
      </c>
      <c r="N12" s="20">
        <f t="shared" si="7"/>
        <v>68</v>
      </c>
      <c r="O12" s="19">
        <v>31</v>
      </c>
      <c r="P12" s="56">
        <v>37</v>
      </c>
      <c r="Q12" s="57">
        <f t="shared" si="8"/>
        <v>136</v>
      </c>
      <c r="R12" s="66">
        <f t="shared" si="4"/>
        <v>62</v>
      </c>
      <c r="S12" s="66">
        <f t="shared" si="4"/>
        <v>74</v>
      </c>
      <c r="T12" s="21" t="s">
        <v>25</v>
      </c>
      <c r="U12" s="4"/>
    </row>
    <row r="13" spans="1:33" ht="21">
      <c r="A13" s="22" t="s">
        <v>26</v>
      </c>
      <c r="B13" s="17">
        <f t="shared" si="9"/>
        <v>492</v>
      </c>
      <c r="C13" s="25">
        <v>273</v>
      </c>
      <c r="D13" s="26">
        <v>219</v>
      </c>
      <c r="E13" s="47">
        <f t="shared" si="5"/>
        <v>145</v>
      </c>
      <c r="F13" s="23">
        <v>72</v>
      </c>
      <c r="G13" s="24">
        <v>73</v>
      </c>
      <c r="H13" s="65">
        <f t="shared" si="6"/>
        <v>132</v>
      </c>
      <c r="I13" s="23">
        <v>54</v>
      </c>
      <c r="J13" s="24">
        <v>78</v>
      </c>
      <c r="K13" s="20">
        <v>0</v>
      </c>
      <c r="L13" s="20">
        <v>0</v>
      </c>
      <c r="M13" s="44">
        <v>0</v>
      </c>
      <c r="N13" s="20">
        <v>355</v>
      </c>
      <c r="O13" s="19">
        <v>187</v>
      </c>
      <c r="P13" s="56">
        <v>168</v>
      </c>
      <c r="Q13" s="57">
        <f t="shared" si="8"/>
        <v>1124</v>
      </c>
      <c r="R13" s="66">
        <f t="shared" si="4"/>
        <v>586</v>
      </c>
      <c r="S13" s="66">
        <f t="shared" si="4"/>
        <v>538</v>
      </c>
      <c r="T13" s="21" t="s">
        <v>27</v>
      </c>
      <c r="U13" s="4"/>
    </row>
    <row r="14" spans="1:33" ht="21">
      <c r="A14" s="16" t="s">
        <v>28</v>
      </c>
      <c r="B14" s="17">
        <f t="shared" si="9"/>
        <v>11</v>
      </c>
      <c r="C14" s="17">
        <v>9</v>
      </c>
      <c r="D14" s="18">
        <v>2</v>
      </c>
      <c r="E14" s="47">
        <f t="shared" si="5"/>
        <v>0</v>
      </c>
      <c r="F14" s="48">
        <v>0</v>
      </c>
      <c r="G14" s="49">
        <v>0</v>
      </c>
      <c r="H14" s="65">
        <f t="shared" si="6"/>
        <v>0</v>
      </c>
      <c r="I14" s="48">
        <v>0</v>
      </c>
      <c r="J14" s="49">
        <v>0</v>
      </c>
      <c r="K14" s="20">
        <v>0</v>
      </c>
      <c r="L14" s="20">
        <v>0</v>
      </c>
      <c r="M14" s="44">
        <v>0</v>
      </c>
      <c r="N14" s="20">
        <f t="shared" ref="N14:N16" si="10">SUM(O14:P14)</f>
        <v>11</v>
      </c>
      <c r="O14" s="19">
        <v>9</v>
      </c>
      <c r="P14" s="56">
        <v>2</v>
      </c>
      <c r="Q14" s="57">
        <f t="shared" si="8"/>
        <v>22</v>
      </c>
      <c r="R14" s="66">
        <f t="shared" si="4"/>
        <v>18</v>
      </c>
      <c r="S14" s="66">
        <f t="shared" si="4"/>
        <v>4</v>
      </c>
      <c r="T14" s="21" t="s">
        <v>29</v>
      </c>
      <c r="U14" s="4"/>
    </row>
    <row r="15" spans="1:33" ht="21">
      <c r="A15" s="22" t="s">
        <v>30</v>
      </c>
      <c r="B15" s="17">
        <f t="shared" si="9"/>
        <v>1</v>
      </c>
      <c r="C15" s="17">
        <v>1</v>
      </c>
      <c r="D15" s="18">
        <v>0</v>
      </c>
      <c r="E15" s="47">
        <f t="shared" si="5"/>
        <v>0</v>
      </c>
      <c r="F15" s="48">
        <v>0</v>
      </c>
      <c r="G15" s="49">
        <v>0</v>
      </c>
      <c r="H15" s="65">
        <f t="shared" si="6"/>
        <v>0</v>
      </c>
      <c r="I15" s="48">
        <v>0</v>
      </c>
      <c r="J15" s="49">
        <v>0</v>
      </c>
      <c r="K15" s="20">
        <v>0</v>
      </c>
      <c r="L15" s="20">
        <v>0</v>
      </c>
      <c r="M15" s="44">
        <v>0</v>
      </c>
      <c r="N15" s="20">
        <f t="shared" si="10"/>
        <v>1</v>
      </c>
      <c r="O15" s="19">
        <v>1</v>
      </c>
      <c r="P15" s="56">
        <v>0</v>
      </c>
      <c r="Q15" s="57">
        <f t="shared" si="8"/>
        <v>2</v>
      </c>
      <c r="R15" s="66">
        <f t="shared" si="4"/>
        <v>2</v>
      </c>
      <c r="S15" s="66">
        <f t="shared" si="4"/>
        <v>0</v>
      </c>
      <c r="T15" s="21" t="s">
        <v>31</v>
      </c>
      <c r="U15" s="4"/>
    </row>
    <row r="16" spans="1:33" ht="21">
      <c r="A16" s="27" t="s">
        <v>32</v>
      </c>
      <c r="B16" s="28">
        <f t="shared" si="9"/>
        <v>14</v>
      </c>
      <c r="C16" s="28">
        <v>14</v>
      </c>
      <c r="D16" s="29">
        <v>0</v>
      </c>
      <c r="E16" s="50">
        <f t="shared" si="5"/>
        <v>0</v>
      </c>
      <c r="F16" s="51">
        <v>0</v>
      </c>
      <c r="G16" s="52">
        <v>0</v>
      </c>
      <c r="H16" s="51">
        <f t="shared" si="6"/>
        <v>0</v>
      </c>
      <c r="I16" s="51">
        <v>0</v>
      </c>
      <c r="J16" s="52">
        <v>0</v>
      </c>
      <c r="K16" s="45">
        <v>0</v>
      </c>
      <c r="L16" s="45">
        <v>0</v>
      </c>
      <c r="M16" s="46">
        <v>0</v>
      </c>
      <c r="N16" s="45">
        <f t="shared" si="10"/>
        <v>14</v>
      </c>
      <c r="O16" s="28">
        <v>14</v>
      </c>
      <c r="P16" s="29">
        <v>0</v>
      </c>
      <c r="Q16" s="58">
        <f t="shared" si="8"/>
        <v>28</v>
      </c>
      <c r="R16" s="67">
        <f t="shared" si="4"/>
        <v>28</v>
      </c>
      <c r="S16" s="67">
        <f t="shared" si="4"/>
        <v>0</v>
      </c>
      <c r="T16" s="30" t="s">
        <v>0</v>
      </c>
      <c r="U16" s="4"/>
    </row>
    <row r="17" spans="1:21" ht="18.75">
      <c r="A17" s="3" t="s">
        <v>10</v>
      </c>
      <c r="B17" s="31"/>
      <c r="C17" s="31"/>
      <c r="D17" s="31"/>
      <c r="K17" s="33"/>
      <c r="L17" s="32"/>
      <c r="M17" s="32"/>
      <c r="N17" s="33"/>
      <c r="O17" s="32"/>
      <c r="P17" s="32"/>
      <c r="Q17" s="32"/>
      <c r="R17" s="32"/>
      <c r="S17" s="32"/>
      <c r="T17" s="34" t="s">
        <v>35</v>
      </c>
      <c r="U17" s="4"/>
    </row>
    <row r="18" spans="1:21" ht="18.75">
      <c r="Q18" s="37"/>
      <c r="R18" s="37"/>
      <c r="S18" s="37"/>
      <c r="T18" s="34" t="s">
        <v>34</v>
      </c>
      <c r="U18" s="4"/>
    </row>
    <row r="19" spans="1:21" ht="15">
      <c r="A19" s="68"/>
      <c r="K19" s="40"/>
      <c r="L19" s="40"/>
      <c r="M19" s="40"/>
      <c r="N19" s="40"/>
      <c r="O19" s="40"/>
      <c r="P19" s="40"/>
      <c r="Q19" s="42"/>
      <c r="R19" s="42"/>
      <c r="S19" s="42"/>
      <c r="T19" s="2" t="s">
        <v>11</v>
      </c>
      <c r="U19" s="4"/>
    </row>
    <row r="20" spans="1:21">
      <c r="U20" s="4"/>
    </row>
    <row r="21" spans="1:21">
      <c r="A21" s="36"/>
      <c r="B21" s="37"/>
      <c r="C21" s="37"/>
      <c r="K21" s="37"/>
      <c r="L21" s="37"/>
      <c r="M21" s="37"/>
      <c r="N21" s="37"/>
      <c r="O21" s="37"/>
      <c r="Q21" s="38"/>
      <c r="R21" s="38"/>
      <c r="S21" s="38"/>
      <c r="T21" s="38"/>
      <c r="U21" s="4"/>
    </row>
    <row r="22" spans="1:21">
      <c r="A22" s="36"/>
      <c r="B22" s="37"/>
      <c r="C22" s="37"/>
      <c r="K22" s="37"/>
      <c r="L22" s="37"/>
      <c r="M22" s="37"/>
      <c r="N22" s="37"/>
      <c r="O22" s="37"/>
      <c r="P22" s="37"/>
      <c r="Q22" s="37"/>
      <c r="R22" s="37"/>
      <c r="S22" s="37"/>
      <c r="U22" s="4"/>
    </row>
    <row r="23" spans="1:21">
      <c r="N23" s="37"/>
      <c r="U23" s="39"/>
    </row>
    <row r="24" spans="1:21">
      <c r="N24" s="37"/>
      <c r="U24" s="39"/>
    </row>
    <row r="25" spans="1:21">
      <c r="N25" s="37"/>
      <c r="U25" s="39"/>
    </row>
    <row r="26" spans="1:21">
      <c r="U26" s="39"/>
    </row>
  </sheetData>
  <mergeCells count="11">
    <mergeCell ref="K6:M6"/>
    <mergeCell ref="N6:P6"/>
    <mergeCell ref="A1:T1"/>
    <mergeCell ref="A2:T2"/>
    <mergeCell ref="A3:T3"/>
    <mergeCell ref="A4:A6"/>
    <mergeCell ref="T4:T6"/>
    <mergeCell ref="B6:D6"/>
    <mergeCell ref="E6:G6"/>
    <mergeCell ref="H6:J6"/>
    <mergeCell ref="Q6:S6"/>
  </mergeCells>
  <pageMargins left="0.7" right="0.7" top="0.75" bottom="0.75" header="0.3" footer="0.3"/>
  <pageSetup paperSize="9" scale="41" orientation="portrait" horizontalDpi="4294967295" verticalDpi="4294967295" r:id="rId1"/>
  <ignoredErrors>
    <ignoredError sqref="B7 H7:H16 E7:G16 I8:T16 I7:P7 R7:T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8.31</vt:lpstr>
      <vt:lpstr>'8.31'!Print_Area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2019-11-19T08:25:48Z</cp:lastPrinted>
  <dcterms:created xsi:type="dcterms:W3CDTF">2019-06-30T04:22:49Z</dcterms:created>
  <dcterms:modified xsi:type="dcterms:W3CDTF">2019-11-19T08:25:56Z</dcterms:modified>
</cp:coreProperties>
</file>