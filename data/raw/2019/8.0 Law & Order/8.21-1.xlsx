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8. LAW and ORDER\"/>
    </mc:Choice>
  </mc:AlternateContent>
  <bookViews>
    <workbookView xWindow="0" yWindow="0" windowWidth="28800" windowHeight="12330" tabRatio="742"/>
  </bookViews>
  <sheets>
    <sheet name="8.21" sheetId="20" r:id="rId1"/>
  </sheets>
  <externalReferences>
    <externalReference r:id="rId2"/>
    <externalReference r:id="rId3"/>
    <externalReference r:id="rId4"/>
    <externalReference r:id="rId5"/>
  </externalReferences>
  <definedNames>
    <definedName name="_xlnm.Print_Area" localSheetId="0">'8.21'!$A$1:$M$60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5" i="20" l="1"/>
  <c r="I25" i="20"/>
  <c r="H25" i="20"/>
  <c r="G25" i="20"/>
  <c r="F25" i="20"/>
  <c r="E25" i="20"/>
  <c r="D25" i="20"/>
  <c r="C25" i="20"/>
  <c r="J24" i="20"/>
  <c r="I24" i="20"/>
  <c r="H24" i="20"/>
  <c r="G24" i="20"/>
  <c r="F24" i="20"/>
  <c r="E24" i="20"/>
  <c r="D24" i="20"/>
  <c r="C24" i="20"/>
  <c r="J23" i="20"/>
  <c r="I23" i="20"/>
  <c r="H23" i="20"/>
  <c r="G23" i="20"/>
  <c r="F23" i="20"/>
  <c r="E23" i="20"/>
  <c r="D23" i="20"/>
  <c r="C23" i="20"/>
  <c r="J22" i="20"/>
  <c r="I22" i="20"/>
  <c r="H22" i="20"/>
  <c r="G22" i="20"/>
  <c r="F22" i="20"/>
  <c r="E22" i="20"/>
  <c r="D22" i="20"/>
  <c r="C22" i="20"/>
  <c r="J21" i="20"/>
  <c r="I21" i="20"/>
  <c r="H21" i="20"/>
  <c r="G21" i="20"/>
  <c r="F21" i="20"/>
  <c r="E21" i="20"/>
  <c r="D21" i="20"/>
  <c r="C21" i="20"/>
  <c r="J20" i="20"/>
  <c r="I20" i="20"/>
  <c r="H20" i="20"/>
  <c r="G20" i="20"/>
  <c r="F20" i="20"/>
  <c r="E20" i="20"/>
  <c r="J5" i="20"/>
  <c r="J17" i="20" s="1"/>
  <c r="I5" i="20"/>
  <c r="I17" i="20" s="1"/>
  <c r="H5" i="20"/>
  <c r="G5" i="20"/>
  <c r="G13" i="20" s="1"/>
  <c r="F5" i="20"/>
  <c r="F14" i="20" s="1"/>
  <c r="E5" i="20"/>
  <c r="E13" i="20" s="1"/>
  <c r="D5" i="20"/>
  <c r="D14" i="20" s="1"/>
  <c r="C5" i="20"/>
  <c r="C17" i="20" s="1"/>
  <c r="B5" i="20"/>
  <c r="I14" i="20" l="1"/>
  <c r="D15" i="20"/>
  <c r="D17" i="20"/>
  <c r="E15" i="20"/>
  <c r="C18" i="20"/>
  <c r="I19" i="20"/>
  <c r="I15" i="20"/>
  <c r="E18" i="20"/>
  <c r="I18" i="20"/>
  <c r="C16" i="20"/>
  <c r="J19" i="20"/>
  <c r="D16" i="20"/>
  <c r="E19" i="20"/>
  <c r="E14" i="20"/>
  <c r="E16" i="20"/>
  <c r="G14" i="20"/>
  <c r="G16" i="20"/>
  <c r="F13" i="20"/>
  <c r="C19" i="20"/>
  <c r="I13" i="20"/>
  <c r="H14" i="20"/>
  <c r="G15" i="20"/>
  <c r="F16" i="20"/>
  <c r="E17" i="20"/>
  <c r="D18" i="20"/>
  <c r="D19" i="20"/>
  <c r="H13" i="20"/>
  <c r="H15" i="20"/>
  <c r="H16" i="20"/>
  <c r="G17" i="20"/>
  <c r="F18" i="20"/>
  <c r="F19" i="20"/>
  <c r="J13" i="20"/>
  <c r="D13" i="20"/>
  <c r="C14" i="20"/>
  <c r="B15" i="20"/>
  <c r="J15" i="20"/>
  <c r="I16" i="20"/>
  <c r="H17" i="20"/>
  <c r="G18" i="20"/>
  <c r="G19" i="20"/>
  <c r="F15" i="20"/>
  <c r="F17" i="20"/>
  <c r="B14" i="20"/>
  <c r="J14" i="20"/>
  <c r="C15" i="20"/>
  <c r="B16" i="20"/>
  <c r="J16" i="20"/>
  <c r="H18" i="20"/>
  <c r="H19" i="20"/>
  <c r="B17" i="20"/>
  <c r="B18" i="20"/>
  <c r="J18" i="20"/>
  <c r="G12" i="20" l="1"/>
  <c r="B12" i="20"/>
  <c r="D12" i="20"/>
  <c r="E12" i="20"/>
  <c r="I12" i="20"/>
  <c r="J12" i="20"/>
  <c r="F12" i="20"/>
  <c r="H12" i="20"/>
  <c r="C12" i="20"/>
</calcChain>
</file>

<file path=xl/sharedStrings.xml><?xml version="1.0" encoding="utf-8"?>
<sst xmlns="http://schemas.openxmlformats.org/spreadsheetml/2006/main" count="53" uniqueCount="26">
  <si>
    <t>Total</t>
  </si>
  <si>
    <t>wlcmuj</t>
  </si>
  <si>
    <t>Percentage share</t>
  </si>
  <si>
    <t>Court</t>
  </si>
  <si>
    <t>ކޯޓުތައް</t>
  </si>
  <si>
    <t>Drug court</t>
  </si>
  <si>
    <t>ޑްރަގް ކޯޓު</t>
  </si>
  <si>
    <t>Juvenile court</t>
  </si>
  <si>
    <t>ޖުވެނައިލް ކޯޓު</t>
  </si>
  <si>
    <t>Family court</t>
  </si>
  <si>
    <t>ފެމިލީ ކޯޓު</t>
  </si>
  <si>
    <t>Criminal court</t>
  </si>
  <si>
    <t>ކްރިމިނަލް ކޯޓު</t>
  </si>
  <si>
    <t>Civil court</t>
  </si>
  <si>
    <t>ސިވިލް ކޯޓު</t>
  </si>
  <si>
    <t>Magistrate Courts</t>
  </si>
  <si>
    <t>މެޖިސްޓްރޭޓް ކޯޓުތައް</t>
  </si>
  <si>
    <t>cniawtcaws ctogWviawfiheb</t>
  </si>
  <si>
    <t>_</t>
  </si>
  <si>
    <t>އަތޮޅުތަކުގައި ހުރިމެޖިސްޓްރޭޓް ކޯޓުތައް</t>
  </si>
  <si>
    <t>% Change over previous year</t>
  </si>
  <si>
    <t>urwvcnim ivurutia eruvcSwrwhwa Iruk</t>
  </si>
  <si>
    <t>Source: Department of Judicial Administration</t>
  </si>
  <si>
    <t>cnwxErcTcsinimcDea clwxiDuj cfoa cTcnwmcTWpiD : utWmUluAwm</t>
  </si>
  <si>
    <t>Table 8.21 : CASES DEALT BY JUDICIAL COURTS IN MALE' AND ISLANDS, 2010 - 2018</t>
  </si>
  <si>
    <t>2018 - 2010 ,udwdwAeg WycaiFwq unumcnin iawgukwtuTOkuSwr iaWaelWm : 8.21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</si>
</sst>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General_)"/>
    <numFmt numFmtId="165" formatCode="0.0"/>
    <numFmt numFmtId="166" formatCode="_-* #,##0_-;\-* #,##0_-;_-* &quot;-&quot;??_-;_-@_-"/>
    <numFmt numFmtId="167" formatCode="#,##0.0"/>
  </numFmts>
  <fonts count="20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Calibri"/>
      <family val="2"/>
      <scheme val="minor"/>
    </font>
    <font>
      <sz val="9"/>
      <name val="Courier"/>
      <family val="3"/>
    </font>
    <font>
      <sz val="9"/>
      <name val="Calibri"/>
      <family val="2"/>
      <scheme val="minor"/>
    </font>
    <font>
      <i/>
      <sz val="9"/>
      <name val="Calibri"/>
      <family val="2"/>
      <scheme val="minor"/>
    </font>
    <font>
      <sz val="9"/>
      <name val="A_Randhoo"/>
    </font>
    <font>
      <sz val="11"/>
      <color indexed="8"/>
      <name val="Calibri"/>
      <family val="2"/>
    </font>
    <font>
      <sz val="10"/>
      <name val="Courier"/>
      <family val="3"/>
    </font>
    <font>
      <b/>
      <sz val="9"/>
      <name val="Faruma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name val="A_Randhoo"/>
    </font>
    <font>
      <b/>
      <sz val="9"/>
      <name val="Calibri"/>
      <family val="2"/>
      <scheme val="minor"/>
    </font>
    <font>
      <sz val="9"/>
      <name val="Arial"/>
      <family val="2"/>
    </font>
    <font>
      <b/>
      <sz val="9"/>
      <name val="A_Randhoo"/>
    </font>
    <font>
      <sz val="9"/>
      <name val="Faruma"/>
    </font>
    <font>
      <b/>
      <sz val="9"/>
      <name val="Courier"/>
      <family val="3"/>
    </font>
    <font>
      <b/>
      <sz val="9"/>
      <name val="Arial"/>
      <family val="2"/>
    </font>
    <font>
      <b/>
      <sz val="15"/>
      <color theme="3"/>
      <name val="Arial Mäo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/>
      <top/>
      <bottom style="hair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/>
      <diagonal/>
    </border>
    <border>
      <left style="thin">
        <color indexed="9"/>
      </left>
      <right/>
      <top/>
      <bottom style="thin">
        <color indexed="64"/>
      </bottom>
      <diagonal/>
    </border>
    <border>
      <left/>
      <right style="thin">
        <color indexed="9"/>
      </right>
      <top/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hair">
        <color theme="1"/>
      </bottom>
      <diagonal/>
    </border>
    <border>
      <left/>
      <right/>
      <top/>
      <bottom style="hair">
        <color theme="1"/>
      </bottom>
      <diagonal/>
    </border>
    <border>
      <left/>
      <right style="thin">
        <color indexed="9"/>
      </right>
      <top style="thin">
        <color indexed="9"/>
      </top>
      <bottom style="hair">
        <color theme="1"/>
      </bottom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</borders>
  <cellStyleXfs count="7">
    <xf numFmtId="0" fontId="0" fillId="0" borderId="0"/>
    <xf numFmtId="0" fontId="1" fillId="0" borderId="0" applyNumberFormat="0" applyFill="0" applyBorder="0" applyAlignment="0" applyProtection="0"/>
    <xf numFmtId="166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7" fontId="8" fillId="0" borderId="0"/>
    <xf numFmtId="0" fontId="19" fillId="0" borderId="19" applyNumberFormat="0" applyFill="0" applyAlignment="0" applyProtection="0"/>
    <xf numFmtId="0" fontId="10" fillId="0" borderId="0"/>
  </cellStyleXfs>
  <cellXfs count="65">
    <xf numFmtId="0" fontId="0" fillId="0" borderId="0" xfId="0"/>
    <xf numFmtId="164" fontId="5" fillId="2" borderId="2" xfId="0" applyNumberFormat="1" applyFont="1" applyFill="1" applyBorder="1" applyAlignment="1" applyProtection="1">
      <alignment vertical="center"/>
    </xf>
    <xf numFmtId="164" fontId="6" fillId="2" borderId="2" xfId="0" applyNumberFormat="1" applyFont="1" applyFill="1" applyBorder="1" applyAlignment="1">
      <alignment horizontal="right" vertical="center"/>
    </xf>
    <xf numFmtId="164" fontId="0" fillId="2" borderId="0" xfId="0" applyNumberFormat="1" applyFont="1" applyFill="1" applyBorder="1" applyAlignment="1">
      <alignment vertical="center"/>
    </xf>
    <xf numFmtId="164" fontId="0" fillId="2" borderId="6" xfId="0" applyNumberFormat="1" applyFont="1" applyFill="1" applyBorder="1" applyAlignment="1">
      <alignment vertical="center"/>
    </xf>
    <xf numFmtId="164" fontId="0" fillId="2" borderId="5" xfId="0" applyNumberFormat="1" applyFont="1" applyFill="1" applyBorder="1" applyAlignment="1">
      <alignment vertical="center"/>
    </xf>
    <xf numFmtId="164" fontId="4" fillId="2" borderId="0" xfId="0" applyNumberFormat="1" applyFont="1" applyFill="1" applyBorder="1" applyAlignment="1">
      <alignment vertical="top"/>
    </xf>
    <xf numFmtId="164" fontId="2" fillId="2" borderId="0" xfId="0" applyNumberFormat="1" applyFont="1" applyFill="1" applyBorder="1" applyAlignment="1">
      <alignment vertical="top"/>
    </xf>
    <xf numFmtId="164" fontId="11" fillId="2" borderId="7" xfId="0" applyNumberFormat="1" applyFont="1" applyFill="1" applyBorder="1" applyAlignment="1" applyProtection="1">
      <alignment horizontal="center" vertical="center"/>
    </xf>
    <xf numFmtId="164" fontId="11" fillId="2" borderId="1" xfId="0" applyNumberFormat="1" applyFont="1" applyFill="1" applyBorder="1" applyAlignment="1" applyProtection="1">
      <alignment horizontal="center" vertical="center"/>
    </xf>
    <xf numFmtId="164" fontId="11" fillId="2" borderId="8" xfId="0" applyNumberFormat="1" applyFont="1" applyFill="1" applyBorder="1" applyAlignment="1" applyProtection="1">
      <alignment horizontal="center" vertical="center"/>
    </xf>
    <xf numFmtId="164" fontId="4" fillId="2" borderId="3" xfId="0" applyNumberFormat="1" applyFont="1" applyFill="1" applyBorder="1" applyAlignment="1">
      <alignment vertical="top"/>
    </xf>
    <xf numFmtId="164" fontId="2" fillId="2" borderId="2" xfId="0" applyNumberFormat="1" applyFont="1" applyFill="1" applyBorder="1" applyAlignment="1">
      <alignment vertical="top"/>
    </xf>
    <xf numFmtId="164" fontId="13" fillId="2" borderId="9" xfId="0" applyNumberFormat="1" applyFont="1" applyFill="1" applyBorder="1" applyAlignment="1" applyProtection="1">
      <alignment horizontal="left" vertical="center"/>
    </xf>
    <xf numFmtId="164" fontId="13" fillId="2" borderId="9" xfId="0" applyNumberFormat="1" applyFont="1" applyFill="1" applyBorder="1" applyAlignment="1">
      <alignment horizontal="right" vertical="center"/>
    </xf>
    <xf numFmtId="164" fontId="9" fillId="2" borderId="9" xfId="0" applyNumberFormat="1" applyFont="1" applyFill="1" applyBorder="1" applyAlignment="1">
      <alignment horizontal="right" vertical="center"/>
    </xf>
    <xf numFmtId="164" fontId="14" fillId="2" borderId="10" xfId="0" applyNumberFormat="1" applyFont="1" applyFill="1" applyBorder="1" applyAlignment="1">
      <alignment vertical="center"/>
    </xf>
    <xf numFmtId="164" fontId="14" fillId="2" borderId="0" xfId="0" applyNumberFormat="1" applyFont="1" applyFill="1" applyBorder="1" applyAlignment="1">
      <alignment vertical="center"/>
    </xf>
    <xf numFmtId="164" fontId="3" fillId="2" borderId="0" xfId="0" applyNumberFormat="1" applyFont="1" applyFill="1" applyBorder="1" applyAlignment="1">
      <alignment vertical="center"/>
    </xf>
    <xf numFmtId="164" fontId="3" fillId="2" borderId="11" xfId="0" applyNumberFormat="1" applyFont="1" applyFill="1" applyBorder="1" applyAlignment="1">
      <alignment vertical="center"/>
    </xf>
    <xf numFmtId="164" fontId="13" fillId="2" borderId="2" xfId="0" applyNumberFormat="1" applyFont="1" applyFill="1" applyBorder="1" applyAlignment="1" applyProtection="1">
      <alignment horizontal="left" vertical="center"/>
    </xf>
    <xf numFmtId="3" fontId="13" fillId="2" borderId="2" xfId="0" applyNumberFormat="1" applyFont="1" applyFill="1" applyBorder="1" applyAlignment="1">
      <alignment vertical="center"/>
    </xf>
    <xf numFmtId="164" fontId="15" fillId="2" borderId="12" xfId="0" applyNumberFormat="1" applyFont="1" applyFill="1" applyBorder="1" applyAlignment="1">
      <alignment horizontal="right" vertical="center"/>
    </xf>
    <xf numFmtId="164" fontId="3" fillId="2" borderId="10" xfId="0" applyNumberFormat="1" applyFont="1" applyFill="1" applyBorder="1"/>
    <xf numFmtId="164" fontId="4" fillId="2" borderId="11" xfId="0" applyNumberFormat="1" applyFont="1" applyFill="1" applyBorder="1" applyAlignment="1" applyProtection="1">
      <alignment horizontal="left" vertical="center"/>
    </xf>
    <xf numFmtId="3" fontId="4" fillId="2" borderId="0" xfId="0" applyNumberFormat="1" applyFont="1" applyFill="1" applyBorder="1" applyAlignment="1">
      <alignment vertical="center"/>
    </xf>
    <xf numFmtId="164" fontId="16" fillId="2" borderId="13" xfId="0" applyNumberFormat="1" applyFont="1" applyFill="1" applyBorder="1" applyAlignment="1">
      <alignment horizontal="right" vertical="center"/>
    </xf>
    <xf numFmtId="164" fontId="1" fillId="2" borderId="10" xfId="1" applyNumberFormat="1" applyFill="1" applyBorder="1" applyAlignment="1" applyProtection="1"/>
    <xf numFmtId="164" fontId="3" fillId="2" borderId="10" xfId="0" applyNumberFormat="1" applyFont="1" applyFill="1" applyBorder="1" applyAlignment="1">
      <alignment vertical="center"/>
    </xf>
    <xf numFmtId="164" fontId="4" fillId="2" borderId="14" xfId="0" applyNumberFormat="1" applyFont="1" applyFill="1" applyBorder="1" applyAlignment="1" applyProtection="1">
      <alignment horizontal="left" vertical="center"/>
    </xf>
    <xf numFmtId="3" fontId="4" fillId="2" borderId="15" xfId="0" applyNumberFormat="1" applyFont="1" applyFill="1" applyBorder="1" applyAlignment="1">
      <alignment vertical="center"/>
    </xf>
    <xf numFmtId="164" fontId="16" fillId="2" borderId="16" xfId="0" applyNumberFormat="1" applyFont="1" applyFill="1" applyBorder="1" applyAlignment="1">
      <alignment horizontal="right" vertical="center"/>
    </xf>
    <xf numFmtId="3" fontId="13" fillId="2" borderId="2" xfId="0" applyNumberFormat="1" applyFont="1" applyFill="1" applyBorder="1" applyAlignment="1" applyProtection="1">
      <alignment horizontal="right" vertical="center"/>
    </xf>
    <xf numFmtId="164" fontId="4" fillId="2" borderId="2" xfId="0" applyNumberFormat="1" applyFont="1" applyFill="1" applyBorder="1" applyAlignment="1" applyProtection="1">
      <alignment horizontal="left" vertical="center"/>
    </xf>
    <xf numFmtId="167" fontId="4" fillId="2" borderId="2" xfId="0" applyNumberFormat="1" applyFont="1" applyFill="1" applyBorder="1" applyAlignment="1" applyProtection="1">
      <alignment horizontal="right" vertical="center"/>
    </xf>
    <xf numFmtId="167" fontId="4" fillId="2" borderId="11" xfId="0" applyNumberFormat="1" applyFont="1" applyFill="1" applyBorder="1" applyAlignment="1" applyProtection="1">
      <alignment horizontal="right" vertical="center"/>
    </xf>
    <xf numFmtId="165" fontId="4" fillId="2" borderId="11" xfId="0" applyNumberFormat="1" applyFont="1" applyFill="1" applyBorder="1" applyAlignment="1" applyProtection="1">
      <alignment horizontal="right" vertical="center"/>
    </xf>
    <xf numFmtId="164" fontId="4" fillId="2" borderId="5" xfId="0" applyNumberFormat="1" applyFont="1" applyFill="1" applyBorder="1" applyAlignment="1" applyProtection="1">
      <alignment horizontal="left" vertical="center"/>
    </xf>
    <xf numFmtId="165" fontId="4" fillId="2" borderId="5" xfId="0" applyNumberFormat="1" applyFont="1" applyFill="1" applyBorder="1" applyAlignment="1" applyProtection="1">
      <alignment horizontal="right" vertical="center"/>
    </xf>
    <xf numFmtId="164" fontId="16" fillId="2" borderId="17" xfId="0" applyNumberFormat="1" applyFont="1" applyFill="1" applyBorder="1" applyAlignment="1">
      <alignment horizontal="right" vertical="center"/>
    </xf>
    <xf numFmtId="164" fontId="3" fillId="2" borderId="6" xfId="0" applyNumberFormat="1" applyFont="1" applyFill="1" applyBorder="1"/>
    <xf numFmtId="164" fontId="3" fillId="2" borderId="5" xfId="0" applyNumberFormat="1" applyFont="1" applyFill="1" applyBorder="1" applyAlignment="1">
      <alignment vertical="center"/>
    </xf>
    <xf numFmtId="164" fontId="4" fillId="2" borderId="4" xfId="0" applyNumberFormat="1" applyFont="1" applyFill="1" applyBorder="1" applyAlignment="1" applyProtection="1">
      <alignment horizontal="left" vertical="center"/>
    </xf>
    <xf numFmtId="165" fontId="4" fillId="2" borderId="14" xfId="0" applyNumberFormat="1" applyFont="1" applyFill="1" applyBorder="1" applyAlignment="1" applyProtection="1">
      <alignment horizontal="right" vertical="center"/>
    </xf>
    <xf numFmtId="164" fontId="16" fillId="2" borderId="4" xfId="0" applyNumberFormat="1" applyFont="1" applyFill="1" applyBorder="1" applyAlignment="1">
      <alignment horizontal="right" vertical="center"/>
    </xf>
    <xf numFmtId="164" fontId="3" fillId="2" borderId="0" xfId="0" applyNumberFormat="1" applyFont="1" applyFill="1" applyBorder="1"/>
    <xf numFmtId="165" fontId="13" fillId="2" borderId="2" xfId="0" applyNumberFormat="1" applyFont="1" applyFill="1" applyBorder="1" applyAlignment="1" applyProtection="1">
      <alignment horizontal="right" vertical="center"/>
    </xf>
    <xf numFmtId="164" fontId="17" fillId="2" borderId="10" xfId="0" applyNumberFormat="1" applyFont="1" applyFill="1" applyBorder="1"/>
    <xf numFmtId="164" fontId="18" fillId="2" borderId="0" xfId="0" applyNumberFormat="1" applyFont="1" applyFill="1" applyBorder="1" applyAlignment="1">
      <alignment vertical="center"/>
    </xf>
    <xf numFmtId="164" fontId="17" fillId="2" borderId="11" xfId="0" applyNumberFormat="1" applyFont="1" applyFill="1" applyBorder="1" applyAlignment="1">
      <alignment vertical="center"/>
    </xf>
    <xf numFmtId="164" fontId="4" fillId="2" borderId="18" xfId="0" applyNumberFormat="1" applyFont="1" applyFill="1" applyBorder="1" applyAlignment="1" applyProtection="1">
      <alignment horizontal="left" vertical="center"/>
    </xf>
    <xf numFmtId="165" fontId="4" fillId="2" borderId="18" xfId="0" applyNumberFormat="1" applyFont="1" applyFill="1" applyBorder="1" applyAlignment="1" applyProtection="1">
      <alignment horizontal="right" vertical="center"/>
    </xf>
    <xf numFmtId="164" fontId="16" fillId="2" borderId="1" xfId="0" applyNumberFormat="1" applyFont="1" applyFill="1" applyBorder="1" applyAlignment="1">
      <alignment horizontal="right" vertical="center"/>
    </xf>
    <xf numFmtId="164" fontId="4" fillId="2" borderId="2" xfId="0" applyNumberFormat="1" applyFont="1" applyFill="1" applyBorder="1" applyAlignment="1" applyProtection="1">
      <alignment horizontal="fill" vertical="center"/>
    </xf>
    <xf numFmtId="164" fontId="14" fillId="2" borderId="11" xfId="0" applyNumberFormat="1" applyFont="1" applyFill="1" applyBorder="1" applyAlignment="1">
      <alignment vertical="center"/>
    </xf>
    <xf numFmtId="164" fontId="0" fillId="2" borderId="11" xfId="0" applyNumberFormat="1" applyFont="1" applyFill="1" applyBorder="1" applyAlignment="1">
      <alignment vertical="center"/>
    </xf>
    <xf numFmtId="164" fontId="18" fillId="2" borderId="0" xfId="0" applyNumberFormat="1" applyFont="1" applyFill="1" applyBorder="1" applyAlignment="1" applyProtection="1">
      <alignment horizontal="left" vertical="center"/>
    </xf>
    <xf numFmtId="164" fontId="14" fillId="2" borderId="0" xfId="0" applyNumberFormat="1" applyFont="1" applyFill="1" applyBorder="1" applyAlignment="1" applyProtection="1">
      <alignment horizontal="left" vertical="center"/>
    </xf>
    <xf numFmtId="164" fontId="14" fillId="2" borderId="6" xfId="0" applyNumberFormat="1" applyFont="1" applyFill="1" applyBorder="1" applyAlignment="1">
      <alignment vertical="center"/>
    </xf>
    <xf numFmtId="164" fontId="14" fillId="2" borderId="5" xfId="0" applyNumberFormat="1" applyFont="1" applyFill="1" applyBorder="1" applyAlignment="1">
      <alignment vertical="center"/>
    </xf>
    <xf numFmtId="164" fontId="13" fillId="2" borderId="0" xfId="0" applyNumberFormat="1" applyFont="1" applyFill="1" applyBorder="1" applyAlignment="1">
      <alignment horizontal="right" vertical="center"/>
    </xf>
    <xf numFmtId="164" fontId="0" fillId="2" borderId="10" xfId="0" applyNumberFormat="1" applyFont="1" applyFill="1" applyBorder="1" applyAlignment="1">
      <alignment vertical="center"/>
    </xf>
    <xf numFmtId="164" fontId="12" fillId="2" borderId="5" xfId="0" applyNumberFormat="1" applyFont="1" applyFill="1" applyBorder="1" applyAlignment="1">
      <alignment horizontal="center" vertical="center"/>
    </xf>
    <xf numFmtId="164" fontId="11" fillId="2" borderId="0" xfId="0" applyNumberFormat="1" applyFont="1" applyFill="1" applyBorder="1" applyAlignment="1" applyProtection="1">
      <alignment horizontal="center" vertical="center"/>
    </xf>
    <xf numFmtId="3" fontId="4" fillId="2" borderId="2" xfId="0" applyNumberFormat="1" applyFont="1" applyFill="1" applyBorder="1" applyAlignment="1" applyProtection="1">
      <alignment horizontal="right" vertical="center"/>
    </xf>
  </cellXfs>
  <cellStyles count="7">
    <cellStyle name="Comma 2" xfId="2"/>
    <cellStyle name="Heading 1 2" xfId="5"/>
    <cellStyle name="Hyperlink" xfId="1" builtinId="8"/>
    <cellStyle name="Normal" xfId="0" builtinId="0"/>
    <cellStyle name="Normal 2" xfId="6"/>
    <cellStyle name="Normal 3" xfId="4"/>
    <cellStyle name="Percent 2" xfId="3"/>
  </cellStyles>
  <dxfs count="0"/>
  <tableStyles count="0" defaultTableStyle="TableStyleMedium2" defaultPivotStyle="PivotStyleLight16"/>
  <colors>
    <mruColors>
      <color rgb="FFFFFAEB"/>
      <color rgb="FFFFF6DD"/>
      <color rgb="FF4C3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8.4270105089536557E-2"/>
          <c:y val="0.13228486439195103"/>
          <c:w val="0.87949545780462135"/>
          <c:h val="0.76523219597550307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'8.21'!$H$4</c:f>
              <c:strCache>
                <c:ptCount val="1"/>
                <c:pt idx="0">
                  <c:v>2016 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</c:spPr>
          <c:invertIfNegative val="0"/>
          <c:cat>
            <c:strRef>
              <c:f>'8.21'!$A$6:$A$11</c:f>
              <c:strCache>
                <c:ptCount val="6"/>
                <c:pt idx="0">
                  <c:v>Drug court</c:v>
                </c:pt>
                <c:pt idx="1">
                  <c:v>Juvenile court</c:v>
                </c:pt>
                <c:pt idx="2">
                  <c:v>Family court</c:v>
                </c:pt>
                <c:pt idx="3">
                  <c:v>Criminal court</c:v>
                </c:pt>
                <c:pt idx="4">
                  <c:v>Civil court</c:v>
                </c:pt>
                <c:pt idx="5">
                  <c:v>Magistrate Courts</c:v>
                </c:pt>
              </c:strCache>
            </c:strRef>
          </c:cat>
          <c:val>
            <c:numRef>
              <c:f>'8.21'!$H$6:$H$11</c:f>
              <c:numCache>
                <c:formatCode>#,##0</c:formatCode>
                <c:ptCount val="6"/>
                <c:pt idx="0">
                  <c:v>1302</c:v>
                </c:pt>
                <c:pt idx="1">
                  <c:v>31</c:v>
                </c:pt>
                <c:pt idx="2">
                  <c:v>2562</c:v>
                </c:pt>
                <c:pt idx="3">
                  <c:v>860</c:v>
                </c:pt>
                <c:pt idx="4">
                  <c:v>3326</c:v>
                </c:pt>
                <c:pt idx="5">
                  <c:v>12617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16-4DAF-857B-1309D384DA5A}"/>
            </c:ext>
          </c:extLst>
        </c:ser>
        <c:ser>
          <c:idx val="0"/>
          <c:order val="1"/>
          <c:tx>
            <c:strRef>
              <c:f>'8.21'!$I$4</c:f>
              <c:strCache>
                <c:ptCount val="1"/>
                <c:pt idx="0">
                  <c:v>2017 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</c:spPr>
          <c:invertIfNegative val="0"/>
          <c:cat>
            <c:strRef>
              <c:f>'8.21'!$A$6:$A$11</c:f>
              <c:strCache>
                <c:ptCount val="6"/>
                <c:pt idx="0">
                  <c:v>Drug court</c:v>
                </c:pt>
                <c:pt idx="1">
                  <c:v>Juvenile court</c:v>
                </c:pt>
                <c:pt idx="2">
                  <c:v>Family court</c:v>
                </c:pt>
                <c:pt idx="3">
                  <c:v>Criminal court</c:v>
                </c:pt>
                <c:pt idx="4">
                  <c:v>Civil court</c:v>
                </c:pt>
                <c:pt idx="5">
                  <c:v>Magistrate Courts</c:v>
                </c:pt>
              </c:strCache>
            </c:strRef>
          </c:cat>
          <c:val>
            <c:numRef>
              <c:f>'8.21'!$I$6:$I$11</c:f>
              <c:numCache>
                <c:formatCode>#,##0</c:formatCode>
                <c:ptCount val="6"/>
                <c:pt idx="0">
                  <c:v>1612</c:v>
                </c:pt>
                <c:pt idx="1">
                  <c:v>44</c:v>
                </c:pt>
                <c:pt idx="2">
                  <c:v>2543</c:v>
                </c:pt>
                <c:pt idx="3">
                  <c:v>881</c:v>
                </c:pt>
                <c:pt idx="4">
                  <c:v>3044</c:v>
                </c:pt>
                <c:pt idx="5">
                  <c:v>10259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16-4DAF-857B-1309D384DA5A}"/>
            </c:ext>
          </c:extLst>
        </c:ser>
        <c:ser>
          <c:idx val="2"/>
          <c:order val="2"/>
          <c:tx>
            <c:strRef>
              <c:f>'8.21'!$J$4</c:f>
              <c:strCache>
                <c:ptCount val="1"/>
                <c:pt idx="0">
                  <c:v>2018 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</c:spPr>
          <c:invertIfNegative val="0"/>
          <c:cat>
            <c:strRef>
              <c:f>'8.21'!$A$6:$A$11</c:f>
              <c:strCache>
                <c:ptCount val="6"/>
                <c:pt idx="0">
                  <c:v>Drug court</c:v>
                </c:pt>
                <c:pt idx="1">
                  <c:v>Juvenile court</c:v>
                </c:pt>
                <c:pt idx="2">
                  <c:v>Family court</c:v>
                </c:pt>
                <c:pt idx="3">
                  <c:v>Criminal court</c:v>
                </c:pt>
                <c:pt idx="4">
                  <c:v>Civil court</c:v>
                </c:pt>
                <c:pt idx="5">
                  <c:v>Magistrate Courts</c:v>
                </c:pt>
              </c:strCache>
            </c:strRef>
          </c:cat>
          <c:val>
            <c:numRef>
              <c:f>'8.21'!$J$6:$J$11</c:f>
              <c:numCache>
                <c:formatCode>#,##0</c:formatCode>
                <c:ptCount val="6"/>
                <c:pt idx="0">
                  <c:v>1514</c:v>
                </c:pt>
                <c:pt idx="1">
                  <c:v>18</c:v>
                </c:pt>
                <c:pt idx="2">
                  <c:v>2688</c:v>
                </c:pt>
                <c:pt idx="3">
                  <c:v>832</c:v>
                </c:pt>
                <c:pt idx="4">
                  <c:v>4363</c:v>
                </c:pt>
                <c:pt idx="5">
                  <c:v>10378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816-4DAF-857B-1309D384DA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axId val="39368576"/>
        <c:axId val="39370112"/>
      </c:barChart>
      <c:catAx>
        <c:axId val="39368576"/>
        <c:scaling>
          <c:orientation val="minMax"/>
        </c:scaling>
        <c:delete val="0"/>
        <c:axPos val="b"/>
        <c:numFmt formatCode="General" sourceLinked="1"/>
        <c:majorTickMark val="none"/>
        <c:minorTickMark val="in"/>
        <c:tickLblPos val="low"/>
        <c:txPr>
          <a:bodyPr rot="0" vert="horz"/>
          <a:lstStyle/>
          <a:p>
            <a:pPr>
              <a:defRPr/>
            </a:pPr>
            <a:endParaRPr lang="en-US"/>
          </a:p>
        </c:txPr>
        <c:crossAx val="39370112"/>
        <c:crosses val="autoZero"/>
        <c:auto val="1"/>
        <c:lblAlgn val="ctr"/>
        <c:lblOffset val="100"/>
        <c:noMultiLvlLbl val="0"/>
      </c:catAx>
      <c:valAx>
        <c:axId val="39370112"/>
        <c:scaling>
          <c:orientation val="minMax"/>
          <c:max val="13000"/>
          <c:min val="0"/>
        </c:scaling>
        <c:delete val="0"/>
        <c:axPos val="l"/>
        <c:majorGridlines>
          <c:spPr>
            <a:ln>
              <a:noFill/>
            </a:ln>
          </c:spPr>
        </c:majorGridlines>
        <c:numFmt formatCode="#,##0" sourceLinked="0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39368576"/>
        <c:crossesAt val="1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8.5000359309714696E-2"/>
          <c:y val="0.19949746281714786"/>
          <c:w val="0.20128749225773113"/>
          <c:h val="0.36162239720034989"/>
        </c:manualLayout>
      </c:layout>
      <c:overlay val="0"/>
      <c:txPr>
        <a:bodyPr/>
        <a:lstStyle/>
        <a:p>
          <a:pPr>
            <a:defRPr sz="10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455" l="0.70000000000000062" r="0.70000000000000062" t="0.75000000000000455" header="0.30000000000000032" footer="0.30000000000000032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1299047682969238"/>
          <c:y val="0.15293597431933173"/>
          <c:w val="0.40318325702800056"/>
          <c:h val="0.82604898578643893"/>
        </c:manualLayout>
      </c:layout>
      <c:doughnutChart>
        <c:varyColors val="1"/>
        <c:ser>
          <c:idx val="0"/>
          <c:order val="0"/>
          <c:explosion val="2"/>
          <c:dPt>
            <c:idx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D4EA-4A6E-BA52-0D561CB2A18B}"/>
              </c:ext>
            </c:extLst>
          </c:dPt>
          <c:dPt>
            <c:idx val="2"/>
            <c:bubble3D val="0"/>
            <c:spPr>
              <a:solidFill>
                <a:schemeClr val="accent4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5-D4EA-4A6E-BA52-0D561CB2A18B}"/>
              </c:ext>
            </c:extLst>
          </c:dPt>
          <c:dPt>
            <c:idx val="3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7-D4EA-4A6E-BA52-0D561CB2A18B}"/>
              </c:ext>
            </c:extLst>
          </c:dPt>
          <c:dPt>
            <c:idx val="4"/>
            <c:bubble3D val="0"/>
            <c:spPr>
              <a:solidFill>
                <a:schemeClr val="accent4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9-D4EA-4A6E-BA52-0D561CB2A18B}"/>
              </c:ext>
            </c:extLst>
          </c:dPt>
          <c:dPt>
            <c:idx val="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B-D4EA-4A6E-BA52-0D561CB2A18B}"/>
              </c:ext>
            </c:extLst>
          </c:dPt>
          <c:dLbls>
            <c:dLbl>
              <c:idx val="0"/>
              <c:layout>
                <c:manualLayout>
                  <c:x val="3.2331205326844204E-3"/>
                  <c:y val="1.206241833838362E-2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700">
                      <a:latin typeface="+mn-lt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D4EA-4A6E-BA52-0D561CB2A18B}"/>
                </c:ext>
              </c:extLst>
            </c:dLbl>
            <c:dLbl>
              <c:idx val="1"/>
              <c:layout>
                <c:manualLayout>
                  <c:x val="5.953147877384151E-2"/>
                  <c:y val="-9.6148568465162232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D4EA-4A6E-BA52-0D561CB2A18B}"/>
                </c:ext>
              </c:extLst>
            </c:dLbl>
            <c:dLbl>
              <c:idx val="2"/>
              <c:layout>
                <c:manualLayout>
                  <c:x val="8.0447944288975105E-3"/>
                  <c:y val="4.00619035271509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D4EA-4A6E-BA52-0D561CB2A18B}"/>
                </c:ext>
              </c:extLst>
            </c:dLbl>
            <c:dLbl>
              <c:idx val="3"/>
              <c:layout>
                <c:manualLayout>
                  <c:x val="6.435835543118008E-3"/>
                  <c:y val="4.006190352715093E-3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700">
                      <a:latin typeface="+mn-lt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D4EA-4A6E-BA52-0D561CB2A18B}"/>
                </c:ext>
              </c:extLst>
            </c:dLbl>
            <c:dLbl>
              <c:idx val="4"/>
              <c:layout>
                <c:manualLayout>
                  <c:x val="-1.608958885779502E-3"/>
                  <c:y val="8.012380705430186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9-D4EA-4A6E-BA52-0D561CB2A18B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>
                    <a:latin typeface="+mn-lt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'8.21'!$A$13:$A$18</c:f>
              <c:strCache>
                <c:ptCount val="6"/>
                <c:pt idx="0">
                  <c:v>Drug court</c:v>
                </c:pt>
                <c:pt idx="1">
                  <c:v>Juvenile court</c:v>
                </c:pt>
                <c:pt idx="2">
                  <c:v>Family court</c:v>
                </c:pt>
                <c:pt idx="3">
                  <c:v>Criminal court</c:v>
                </c:pt>
                <c:pt idx="4">
                  <c:v>Civil court</c:v>
                </c:pt>
                <c:pt idx="5">
                  <c:v>Magistrate Courts</c:v>
                </c:pt>
              </c:strCache>
            </c:strRef>
          </c:cat>
          <c:val>
            <c:numRef>
              <c:f>'8.21'!$J$13:$J$18</c:f>
              <c:numCache>
                <c:formatCode>0.0</c:formatCode>
                <c:ptCount val="6"/>
                <c:pt idx="0" formatCode="#,##0.0">
                  <c:v>7.6491688980952866</c:v>
                </c:pt>
                <c:pt idx="1">
                  <c:v>9.0941241853180421E-2</c:v>
                </c:pt>
                <c:pt idx="2">
                  <c:v>13.580558783408275</c:v>
                </c:pt>
                <c:pt idx="3">
                  <c:v>4.2035062901025615</c:v>
                </c:pt>
                <c:pt idx="4">
                  <c:v>22.043146566968119</c:v>
                </c:pt>
                <c:pt idx="5">
                  <c:v>52.43267821957258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4EA-4A6E-BA52-0D561CB2A1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</c:plotArea>
    <c:plotVisOnly val="1"/>
    <c:dispBlanksAs val="gap"/>
    <c:showDLblsOverMax val="0"/>
  </c:chart>
  <c:spPr>
    <a:solidFill>
      <a:schemeClr val="bg1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438150</xdr:colOff>
      <xdr:row>26</xdr:row>
      <xdr:rowOff>152400</xdr:rowOff>
    </xdr:from>
    <xdr:to>
      <xdr:col>10</xdr:col>
      <xdr:colOff>1447800</xdr:colOff>
      <xdr:row>41</xdr:row>
      <xdr:rowOff>152400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104774</xdr:colOff>
      <xdr:row>27</xdr:row>
      <xdr:rowOff>0</xdr:rowOff>
    </xdr:from>
    <xdr:to>
      <xdr:col>9</xdr:col>
      <xdr:colOff>323850</xdr:colOff>
      <xdr:row>28</xdr:row>
      <xdr:rowOff>76199</xdr:rowOff>
    </xdr:to>
    <xdr:sp macro="" textlink="">
      <xdr:nvSpPr>
        <xdr:cNvPr id="3" name="TextBox 2"/>
        <xdr:cNvSpPr txBox="1"/>
      </xdr:nvSpPr>
      <xdr:spPr>
        <a:xfrm>
          <a:off x="2247899" y="5572125"/>
          <a:ext cx="4371976" cy="2666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j-lt"/>
              <a:ea typeface="+mn-ea"/>
              <a:cs typeface="Consolas" pitchFamily="49" charset="0"/>
            </a:rPr>
            <a:t>Figure 8.28: Number of cases dealt by judicial court in Male', 2016 - 2018</a:t>
          </a:r>
          <a:endParaRPr lang="en-US">
            <a:effectLst/>
            <a:latin typeface="+mj-lt"/>
            <a:cs typeface="Consolas" pitchFamily="49" charset="0"/>
          </a:endParaRPr>
        </a:p>
        <a:p>
          <a:endParaRPr lang="en-US" sz="1100">
            <a:latin typeface="Consolas" pitchFamily="49" charset="0"/>
            <a:cs typeface="Consolas" pitchFamily="49" charset="0"/>
          </a:endParaRPr>
        </a:p>
      </xdr:txBody>
    </xdr:sp>
    <xdr:clientData/>
  </xdr:twoCellAnchor>
  <xdr:twoCellAnchor>
    <xdr:from>
      <xdr:col>0</xdr:col>
      <xdr:colOff>409683</xdr:colOff>
      <xdr:row>42</xdr:row>
      <xdr:rowOff>117870</xdr:rowOff>
    </xdr:from>
    <xdr:to>
      <xdr:col>10</xdr:col>
      <xdr:colOff>1427668</xdr:colOff>
      <xdr:row>57</xdr:row>
      <xdr:rowOff>175020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288131</xdr:colOff>
      <xdr:row>43</xdr:row>
      <xdr:rowOff>20240</xdr:rowOff>
    </xdr:from>
    <xdr:to>
      <xdr:col>9</xdr:col>
      <xdr:colOff>381000</xdr:colOff>
      <xdr:row>44</xdr:row>
      <xdr:rowOff>79771</xdr:rowOff>
    </xdr:to>
    <xdr:sp macro="" textlink="">
      <xdr:nvSpPr>
        <xdr:cNvPr id="6" name="TextBox 5"/>
        <xdr:cNvSpPr txBox="1"/>
      </xdr:nvSpPr>
      <xdr:spPr>
        <a:xfrm>
          <a:off x="1821656" y="8640365"/>
          <a:ext cx="4855369" cy="2500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tx1"/>
              </a:solidFill>
              <a:effectLst/>
              <a:latin typeface="+mj-lt"/>
              <a:ea typeface="+mn-ea"/>
              <a:cs typeface="+mn-cs"/>
            </a:rPr>
            <a:t>Figure 8.29</a:t>
          </a:r>
          <a:r>
            <a:rPr lang="en-US" sz="1100" b="1" i="0" baseline="0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: Percentage of cases dealt by judicial courts in Male' and islands, 2018</a:t>
          </a:r>
          <a:endParaRPr lang="en-US">
            <a:effectLst/>
            <a:latin typeface="+mj-lt"/>
          </a:endParaRPr>
        </a:p>
        <a:p>
          <a:endParaRPr 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RECEIVED/Copy%20of%208.%20LAW%20AND%20ORDER%20-%20Police%20workingsfinalmail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RECEIVED/8.%20LAW%20AND%20ORDER-%20JSC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BFYMW6J1\8.%20LAW%20AND%20ORDER-%20JSC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issemination\Publications\Statistical%20Year%20Book\YEARBOOK%202018\RECEIVED\8.%20LAW%20AND%20ORDER%20-%20JS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.1"/>
      <sheetName val="8.14"/>
      <sheetName val="8.15"/>
      <sheetName val="8.16"/>
      <sheetName val="8.17"/>
      <sheetName val="8.18"/>
      <sheetName val="8.19"/>
      <sheetName val="8.20 working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6">
          <cell r="U6" t="str">
            <v>Male</v>
          </cell>
          <cell r="V6" t="str">
            <v>Female</v>
          </cell>
        </row>
        <row r="8">
          <cell r="U8">
            <v>1191</v>
          </cell>
          <cell r="V8">
            <v>940</v>
          </cell>
        </row>
      </sheetData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9"/>
      <sheetName val="8.30"/>
      <sheetName val="8.20 workings"/>
    </sheetNames>
    <sheetDataSet>
      <sheetData sheetId="0">
        <row r="91">
          <cell r="U91" t="str">
            <v>Number  of majistrates</v>
          </cell>
          <cell r="V91" t="str">
            <v>Number of islands with majistrate courts</v>
          </cell>
        </row>
        <row r="92">
          <cell r="T92" t="str">
            <v>HA</v>
          </cell>
          <cell r="U92">
            <v>9</v>
          </cell>
          <cell r="V92">
            <v>14</v>
          </cell>
        </row>
        <row r="93">
          <cell r="T93" t="str">
            <v>HDh</v>
          </cell>
          <cell r="U93">
            <v>8</v>
          </cell>
          <cell r="V93">
            <v>13</v>
          </cell>
        </row>
        <row r="94">
          <cell r="T94" t="str">
            <v>Sh</v>
          </cell>
          <cell r="U94">
            <v>4</v>
          </cell>
          <cell r="V94">
            <v>13</v>
          </cell>
        </row>
        <row r="95">
          <cell r="T95" t="str">
            <v>N</v>
          </cell>
          <cell r="U95">
            <v>5</v>
          </cell>
          <cell r="V95">
            <v>13</v>
          </cell>
        </row>
        <row r="96">
          <cell r="T96" t="str">
            <v>R</v>
          </cell>
          <cell r="U96">
            <v>14</v>
          </cell>
          <cell r="V96">
            <v>15</v>
          </cell>
        </row>
        <row r="97">
          <cell r="T97" t="str">
            <v>B</v>
          </cell>
          <cell r="U97">
            <v>6</v>
          </cell>
          <cell r="V97">
            <v>13</v>
          </cell>
        </row>
        <row r="98">
          <cell r="T98" t="str">
            <v>Lh</v>
          </cell>
          <cell r="U98">
            <v>4</v>
          </cell>
          <cell r="V98">
            <v>4</v>
          </cell>
        </row>
        <row r="99">
          <cell r="T99" t="str">
            <v>K</v>
          </cell>
          <cell r="U99">
            <v>10</v>
          </cell>
          <cell r="V99">
            <v>9</v>
          </cell>
        </row>
        <row r="100">
          <cell r="T100" t="str">
            <v>AA</v>
          </cell>
          <cell r="U100">
            <v>4</v>
          </cell>
          <cell r="V100">
            <v>8</v>
          </cell>
        </row>
        <row r="101">
          <cell r="T101" t="str">
            <v>ADh</v>
          </cell>
          <cell r="U101">
            <v>7</v>
          </cell>
          <cell r="V101">
            <v>10</v>
          </cell>
        </row>
        <row r="102">
          <cell r="T102" t="str">
            <v>V</v>
          </cell>
          <cell r="U102">
            <v>2</v>
          </cell>
          <cell r="V102">
            <v>5</v>
          </cell>
        </row>
        <row r="103">
          <cell r="T103" t="str">
            <v>M</v>
          </cell>
          <cell r="U103">
            <v>5</v>
          </cell>
          <cell r="V103">
            <v>8</v>
          </cell>
        </row>
        <row r="104">
          <cell r="T104" t="str">
            <v>F</v>
          </cell>
          <cell r="U104">
            <v>4</v>
          </cell>
          <cell r="V104">
            <v>5</v>
          </cell>
        </row>
        <row r="105">
          <cell r="T105" t="str">
            <v>Dh</v>
          </cell>
          <cell r="U105">
            <v>5</v>
          </cell>
          <cell r="V105">
            <v>6</v>
          </cell>
        </row>
        <row r="106">
          <cell r="T106" t="str">
            <v>Th</v>
          </cell>
          <cell r="U106">
            <v>8</v>
          </cell>
          <cell r="V106">
            <v>13</v>
          </cell>
        </row>
        <row r="107">
          <cell r="T107" t="str">
            <v>L</v>
          </cell>
          <cell r="U107">
            <v>11</v>
          </cell>
          <cell r="V107">
            <v>11</v>
          </cell>
        </row>
        <row r="108">
          <cell r="T108" t="str">
            <v>GA</v>
          </cell>
          <cell r="U108">
            <v>8</v>
          </cell>
          <cell r="V108">
            <v>9</v>
          </cell>
        </row>
        <row r="109">
          <cell r="T109" t="str">
            <v>GDh</v>
          </cell>
          <cell r="U109">
            <v>10</v>
          </cell>
          <cell r="V109">
            <v>9</v>
          </cell>
        </row>
        <row r="110">
          <cell r="T110" t="str">
            <v>Gn</v>
          </cell>
          <cell r="U110">
            <v>4</v>
          </cell>
          <cell r="V110">
            <v>1</v>
          </cell>
        </row>
        <row r="111">
          <cell r="T111" t="str">
            <v>S</v>
          </cell>
          <cell r="U111">
            <v>7</v>
          </cell>
          <cell r="V111">
            <v>6</v>
          </cell>
        </row>
        <row r="129">
          <cell r="S129" t="str">
            <v>Atolls</v>
          </cell>
          <cell r="U129">
            <v>69.948186528497416</v>
          </cell>
        </row>
        <row r="130">
          <cell r="S130" t="str">
            <v>Male'</v>
          </cell>
          <cell r="U130">
            <v>30.051813471502591</v>
          </cell>
        </row>
      </sheetData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9"/>
      <sheetName val="8.30"/>
      <sheetName val="8.20 workings"/>
    </sheetNames>
    <sheetDataSet>
      <sheetData sheetId="0">
        <row r="91">
          <cell r="U91" t="str">
            <v>Number  of majistrates</v>
          </cell>
        </row>
        <row r="129">
          <cell r="S129" t="str">
            <v>Atolls</v>
          </cell>
          <cell r="U129">
            <v>69.543147208121823</v>
          </cell>
        </row>
        <row r="130">
          <cell r="S130" t="str">
            <v>Male'</v>
          </cell>
          <cell r="U130">
            <v>30.456852791878177</v>
          </cell>
        </row>
      </sheetData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27"/>
      <sheetName val="8.28"/>
    </sheetNames>
    <sheetDataSet>
      <sheetData sheetId="0"/>
      <sheetData sheetId="1">
        <row r="91">
          <cell r="T91" t="str">
            <v>Number  of majistrates</v>
          </cell>
        </row>
      </sheetData>
      <sheetData sheetId="2">
        <row r="7">
          <cell r="A7" t="str">
            <v>Male</v>
          </cell>
          <cell r="H7">
            <v>173</v>
          </cell>
        </row>
        <row r="8">
          <cell r="A8" t="str">
            <v>Female</v>
          </cell>
          <cell r="H8">
            <v>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15"/>
  <sheetViews>
    <sheetView tabSelected="1" zoomScale="130" zoomScaleNormal="130" workbookViewId="0">
      <selection activeCell="AH18" sqref="AH18"/>
    </sheetView>
  </sheetViews>
  <sheetFormatPr defaultRowHeight="15"/>
  <cols>
    <col min="1" max="1" width="23" style="55" customWidth="1"/>
    <col min="2" max="5" width="9.140625" style="55"/>
    <col min="6" max="10" width="8.7109375" style="55" customWidth="1"/>
    <col min="11" max="11" width="29.7109375" style="55" customWidth="1"/>
    <col min="12" max="12" width="6.5703125" style="61" customWidth="1"/>
    <col min="13" max="13" width="1.28515625" style="3" customWidth="1"/>
    <col min="14" max="16384" width="9.140625" style="55"/>
  </cols>
  <sheetData>
    <row r="1" spans="1:13" s="5" customFormat="1" ht="18">
      <c r="A1" s="62" t="s">
        <v>25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4"/>
      <c r="M1" s="3"/>
    </row>
    <row r="2" spans="1:13" s="7" customFormat="1">
      <c r="A2" s="63" t="s">
        <v>24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"/>
      <c r="M2" s="6"/>
    </row>
    <row r="3" spans="1:13" s="12" customFormat="1" ht="3" customHeight="1">
      <c r="A3" s="8"/>
      <c r="B3" s="9"/>
      <c r="C3" s="9"/>
      <c r="D3" s="9"/>
      <c r="E3" s="9"/>
      <c r="F3" s="9"/>
      <c r="G3" s="9"/>
      <c r="H3" s="9"/>
      <c r="I3" s="9"/>
      <c r="J3" s="9"/>
      <c r="K3" s="10"/>
      <c r="L3" s="11"/>
      <c r="M3" s="6"/>
    </row>
    <row r="4" spans="1:13" s="19" customFormat="1" ht="17.25">
      <c r="A4" s="13" t="s">
        <v>3</v>
      </c>
      <c r="B4" s="14">
        <v>2010</v>
      </c>
      <c r="C4" s="14">
        <v>2011</v>
      </c>
      <c r="D4" s="14">
        <v>2012</v>
      </c>
      <c r="E4" s="14">
        <v>2013</v>
      </c>
      <c r="F4" s="14">
        <v>2014</v>
      </c>
      <c r="G4" s="14">
        <v>2015</v>
      </c>
      <c r="H4" s="14">
        <v>2016</v>
      </c>
      <c r="I4" s="14">
        <v>2017</v>
      </c>
      <c r="J4" s="14">
        <v>2018</v>
      </c>
      <c r="K4" s="15" t="s">
        <v>4</v>
      </c>
      <c r="L4" s="16"/>
      <c r="M4" s="17"/>
    </row>
    <row r="5" spans="1:13" s="19" customFormat="1">
      <c r="A5" s="20" t="s">
        <v>0</v>
      </c>
      <c r="B5" s="21">
        <f t="shared" ref="B5:C5" si="0">SUM(B7:B11)</f>
        <v>15036</v>
      </c>
      <c r="C5" s="21">
        <f t="shared" si="0"/>
        <v>14710</v>
      </c>
      <c r="D5" s="21">
        <f t="shared" ref="D5:G5" si="1">SUM(D6:D11)</f>
        <v>14329</v>
      </c>
      <c r="E5" s="21">
        <f t="shared" si="1"/>
        <v>16654</v>
      </c>
      <c r="F5" s="21">
        <f t="shared" si="1"/>
        <v>19579</v>
      </c>
      <c r="G5" s="21">
        <f t="shared" si="1"/>
        <v>19372</v>
      </c>
      <c r="H5" s="21">
        <f>SUM(H6:H11)</f>
        <v>20698</v>
      </c>
      <c r="I5" s="21">
        <f>SUM(I6:I11)</f>
        <v>18383</v>
      </c>
      <c r="J5" s="21">
        <f>SUM(J6:J11)</f>
        <v>19793</v>
      </c>
      <c r="K5" s="22" t="s">
        <v>1</v>
      </c>
      <c r="L5" s="23"/>
      <c r="M5" s="17"/>
    </row>
    <row r="6" spans="1:13" s="19" customFormat="1" ht="17.25">
      <c r="A6" s="24" t="s">
        <v>5</v>
      </c>
      <c r="B6" s="25">
        <v>0</v>
      </c>
      <c r="C6" s="25">
        <v>0</v>
      </c>
      <c r="D6" s="25">
        <v>97</v>
      </c>
      <c r="E6" s="25">
        <v>465</v>
      </c>
      <c r="F6" s="25">
        <v>677</v>
      </c>
      <c r="G6" s="25">
        <v>1271</v>
      </c>
      <c r="H6" s="25">
        <v>1302</v>
      </c>
      <c r="I6" s="25">
        <v>1612</v>
      </c>
      <c r="J6" s="25">
        <v>1514</v>
      </c>
      <c r="K6" s="26" t="s">
        <v>6</v>
      </c>
      <c r="L6" s="23"/>
      <c r="M6" s="17"/>
    </row>
    <row r="7" spans="1:13" s="19" customFormat="1" ht="17.25">
      <c r="A7" s="24" t="s">
        <v>7</v>
      </c>
      <c r="B7" s="25">
        <v>211</v>
      </c>
      <c r="C7" s="25">
        <v>123</v>
      </c>
      <c r="D7" s="25">
        <v>94</v>
      </c>
      <c r="E7" s="25">
        <v>122</v>
      </c>
      <c r="F7" s="25">
        <v>81</v>
      </c>
      <c r="G7" s="25">
        <v>26</v>
      </c>
      <c r="H7" s="25">
        <v>31</v>
      </c>
      <c r="I7" s="25">
        <v>44</v>
      </c>
      <c r="J7" s="25">
        <v>18</v>
      </c>
      <c r="K7" s="26" t="s">
        <v>8</v>
      </c>
      <c r="L7" s="27"/>
      <c r="M7" s="17"/>
    </row>
    <row r="8" spans="1:13" s="19" customFormat="1" ht="17.25">
      <c r="A8" s="24" t="s">
        <v>9</v>
      </c>
      <c r="B8" s="25">
        <v>2044</v>
      </c>
      <c r="C8" s="25">
        <v>1996</v>
      </c>
      <c r="D8" s="25">
        <v>2194</v>
      </c>
      <c r="E8" s="25">
        <v>2590</v>
      </c>
      <c r="F8" s="25">
        <v>2616</v>
      </c>
      <c r="G8" s="25">
        <v>2553</v>
      </c>
      <c r="H8" s="25">
        <v>2562</v>
      </c>
      <c r="I8" s="25">
        <v>2543</v>
      </c>
      <c r="J8" s="25">
        <v>2688</v>
      </c>
      <c r="K8" s="26" t="s">
        <v>10</v>
      </c>
      <c r="L8" s="23"/>
      <c r="M8" s="17"/>
    </row>
    <row r="9" spans="1:13" s="19" customFormat="1" ht="17.25">
      <c r="A9" s="24" t="s">
        <v>11</v>
      </c>
      <c r="B9" s="25">
        <v>1433</v>
      </c>
      <c r="C9" s="25">
        <v>1036</v>
      </c>
      <c r="D9" s="25">
        <v>990</v>
      </c>
      <c r="E9" s="25">
        <v>1669</v>
      </c>
      <c r="F9" s="25">
        <v>1957</v>
      </c>
      <c r="G9" s="25">
        <v>1069</v>
      </c>
      <c r="H9" s="25">
        <v>860</v>
      </c>
      <c r="I9" s="25">
        <v>881</v>
      </c>
      <c r="J9" s="25">
        <v>832</v>
      </c>
      <c r="K9" s="26" t="s">
        <v>12</v>
      </c>
      <c r="L9" s="23"/>
      <c r="M9" s="17"/>
    </row>
    <row r="10" spans="1:13" s="19" customFormat="1" ht="17.25">
      <c r="A10" s="24" t="s">
        <v>13</v>
      </c>
      <c r="B10" s="25">
        <v>2493</v>
      </c>
      <c r="C10" s="25">
        <v>2262</v>
      </c>
      <c r="D10" s="25">
        <v>2412</v>
      </c>
      <c r="E10" s="25">
        <v>2154</v>
      </c>
      <c r="F10" s="25">
        <v>3203</v>
      </c>
      <c r="G10" s="25">
        <v>2283</v>
      </c>
      <c r="H10" s="25">
        <v>3326</v>
      </c>
      <c r="I10" s="25">
        <v>3044</v>
      </c>
      <c r="J10" s="25">
        <v>4363</v>
      </c>
      <c r="K10" s="26" t="s">
        <v>14</v>
      </c>
      <c r="L10" s="28"/>
      <c r="M10" s="17"/>
    </row>
    <row r="11" spans="1:13" s="19" customFormat="1" ht="17.25">
      <c r="A11" s="29" t="s">
        <v>15</v>
      </c>
      <c r="B11" s="30">
        <v>8855</v>
      </c>
      <c r="C11" s="30">
        <v>9293</v>
      </c>
      <c r="D11" s="30">
        <v>8542</v>
      </c>
      <c r="E11" s="30">
        <v>9654</v>
      </c>
      <c r="F11" s="30">
        <v>11045</v>
      </c>
      <c r="G11" s="30">
        <v>12170</v>
      </c>
      <c r="H11" s="30">
        <v>12617</v>
      </c>
      <c r="I11" s="30">
        <v>10259</v>
      </c>
      <c r="J11" s="30">
        <v>10378</v>
      </c>
      <c r="K11" s="31" t="s">
        <v>16</v>
      </c>
      <c r="L11" s="28"/>
      <c r="M11" s="17"/>
    </row>
    <row r="12" spans="1:13" s="19" customFormat="1">
      <c r="A12" s="20" t="s">
        <v>2</v>
      </c>
      <c r="B12" s="32">
        <f>SUM(B13:B18)</f>
        <v>100</v>
      </c>
      <c r="C12" s="32">
        <f t="shared" ref="C12:G12" si="2">SUM(C13:C18)</f>
        <v>100</v>
      </c>
      <c r="D12" s="32">
        <f t="shared" si="2"/>
        <v>100</v>
      </c>
      <c r="E12" s="32">
        <f t="shared" si="2"/>
        <v>100</v>
      </c>
      <c r="F12" s="32">
        <f t="shared" si="2"/>
        <v>100</v>
      </c>
      <c r="G12" s="32">
        <f t="shared" si="2"/>
        <v>100</v>
      </c>
      <c r="H12" s="32">
        <f>SUM(H13:H18)</f>
        <v>100</v>
      </c>
      <c r="I12" s="32">
        <f>SUM(I13:I18)</f>
        <v>100</v>
      </c>
      <c r="J12" s="32">
        <f>SUM(J13:J18)</f>
        <v>100</v>
      </c>
      <c r="K12" s="22" t="s">
        <v>17</v>
      </c>
      <c r="L12" s="23"/>
      <c r="M12" s="17"/>
    </row>
    <row r="13" spans="1:13" s="19" customFormat="1" ht="17.25">
      <c r="A13" s="33" t="s">
        <v>5</v>
      </c>
      <c r="B13" s="64" t="s">
        <v>18</v>
      </c>
      <c r="C13" s="64" t="s">
        <v>18</v>
      </c>
      <c r="D13" s="34">
        <f t="shared" ref="D13:G13" si="3">SUM(D6/D5)*100</f>
        <v>0.67694884499965102</v>
      </c>
      <c r="E13" s="34">
        <f t="shared" si="3"/>
        <v>2.7921220127296746</v>
      </c>
      <c r="F13" s="34">
        <f t="shared" si="3"/>
        <v>3.4577864037999895</v>
      </c>
      <c r="G13" s="34">
        <f t="shared" si="3"/>
        <v>6.5610158992360113</v>
      </c>
      <c r="H13" s="35">
        <f>SUM(H6/H5)*100</f>
        <v>6.2904628466518506</v>
      </c>
      <c r="I13" s="35">
        <f>SUM(I6/I5)*100</f>
        <v>8.768971332209107</v>
      </c>
      <c r="J13" s="35">
        <f>SUM(J6/J5)*100</f>
        <v>7.6491688980952866</v>
      </c>
      <c r="K13" s="26" t="s">
        <v>6</v>
      </c>
      <c r="L13" s="23"/>
      <c r="M13" s="17"/>
    </row>
    <row r="14" spans="1:13" s="19" customFormat="1" ht="17.25">
      <c r="A14" s="24" t="s">
        <v>7</v>
      </c>
      <c r="B14" s="36">
        <f t="shared" ref="B14:J14" si="4">SUM(B7/B5)*100</f>
        <v>1.4032987496674647</v>
      </c>
      <c r="C14" s="36">
        <f t="shared" si="4"/>
        <v>0.83616587355540462</v>
      </c>
      <c r="D14" s="36">
        <f t="shared" si="4"/>
        <v>0.65601228278316703</v>
      </c>
      <c r="E14" s="36">
        <f t="shared" si="4"/>
        <v>0.73255674312477481</v>
      </c>
      <c r="F14" s="36">
        <f t="shared" si="4"/>
        <v>0.41370856529955563</v>
      </c>
      <c r="G14" s="36">
        <f t="shared" si="4"/>
        <v>0.13421432996076813</v>
      </c>
      <c r="H14" s="36">
        <f t="shared" si="4"/>
        <v>0.14977292492028216</v>
      </c>
      <c r="I14" s="36">
        <f t="shared" si="4"/>
        <v>0.23935157482456618</v>
      </c>
      <c r="J14" s="36">
        <f t="shared" si="4"/>
        <v>9.0941241853180421E-2</v>
      </c>
      <c r="K14" s="26" t="s">
        <v>8</v>
      </c>
      <c r="L14" s="23"/>
      <c r="M14" s="17"/>
    </row>
    <row r="15" spans="1:13" s="19" customFormat="1" ht="17.25">
      <c r="A15" s="24" t="s">
        <v>9</v>
      </c>
      <c r="B15" s="36">
        <f t="shared" ref="B15:J15" si="5">SUM(B8/B5)*100</f>
        <v>13.594040968342643</v>
      </c>
      <c r="C15" s="36">
        <f t="shared" si="5"/>
        <v>13.569000679809653</v>
      </c>
      <c r="D15" s="36">
        <f t="shared" si="5"/>
        <v>15.311605834322004</v>
      </c>
      <c r="E15" s="36">
        <f t="shared" si="5"/>
        <v>15.551819382730875</v>
      </c>
      <c r="F15" s="36">
        <f t="shared" si="5"/>
        <v>13.361254405230094</v>
      </c>
      <c r="G15" s="36">
        <f t="shared" si="5"/>
        <v>13.178814784224654</v>
      </c>
      <c r="H15" s="36">
        <f t="shared" si="5"/>
        <v>12.378007536960093</v>
      </c>
      <c r="I15" s="36">
        <f t="shared" si="5"/>
        <v>13.833433063156178</v>
      </c>
      <c r="J15" s="36">
        <f t="shared" si="5"/>
        <v>13.580558783408275</v>
      </c>
      <c r="K15" s="26" t="s">
        <v>10</v>
      </c>
      <c r="L15" s="23"/>
      <c r="M15" s="17"/>
    </row>
    <row r="16" spans="1:13" s="19" customFormat="1" ht="17.25">
      <c r="A16" s="24" t="s">
        <v>11</v>
      </c>
      <c r="B16" s="36">
        <f t="shared" ref="B16:J16" si="6">SUM(B9/B5)*100</f>
        <v>9.5304602287842517</v>
      </c>
      <c r="C16" s="36">
        <f t="shared" si="6"/>
        <v>7.0428280081577155</v>
      </c>
      <c r="D16" s="36">
        <f t="shared" si="6"/>
        <v>6.9090655314397367</v>
      </c>
      <c r="E16" s="36">
        <f t="shared" si="6"/>
        <v>10.02161642848565</v>
      </c>
      <c r="F16" s="36">
        <f t="shared" si="6"/>
        <v>9.9954032381633375</v>
      </c>
      <c r="G16" s="36">
        <f t="shared" si="6"/>
        <v>5.5182737972331193</v>
      </c>
      <c r="H16" s="36">
        <f t="shared" si="6"/>
        <v>4.1549908203691182</v>
      </c>
      <c r="I16" s="36">
        <f t="shared" si="6"/>
        <v>4.7924713050100642</v>
      </c>
      <c r="J16" s="36">
        <f t="shared" si="6"/>
        <v>4.2035062901025615</v>
      </c>
      <c r="K16" s="26" t="s">
        <v>12</v>
      </c>
      <c r="L16" s="23"/>
      <c r="M16" s="17"/>
    </row>
    <row r="17" spans="1:13" s="41" customFormat="1" ht="17.25">
      <c r="A17" s="37" t="s">
        <v>13</v>
      </c>
      <c r="B17" s="38">
        <f t="shared" ref="B17:J17" si="7">SUM(B10/B5)*100</f>
        <v>16.580207501995211</v>
      </c>
      <c r="C17" s="38">
        <f t="shared" si="7"/>
        <v>15.377294357579876</v>
      </c>
      <c r="D17" s="38">
        <f t="shared" si="7"/>
        <v>16.83299602205318</v>
      </c>
      <c r="E17" s="38">
        <f t="shared" si="7"/>
        <v>12.933829710580042</v>
      </c>
      <c r="F17" s="38">
        <f t="shared" si="7"/>
        <v>16.359364625363909</v>
      </c>
      <c r="G17" s="38">
        <f t="shared" si="7"/>
        <v>11.785050588478216</v>
      </c>
      <c r="H17" s="38">
        <f t="shared" si="7"/>
        <v>16.069185428543818</v>
      </c>
      <c r="I17" s="38">
        <f t="shared" si="7"/>
        <v>16.558777131044987</v>
      </c>
      <c r="J17" s="38">
        <f t="shared" si="7"/>
        <v>22.043146566968119</v>
      </c>
      <c r="K17" s="39" t="s">
        <v>14</v>
      </c>
      <c r="L17" s="40"/>
      <c r="M17" s="17"/>
    </row>
    <row r="18" spans="1:13" s="18" customFormat="1" ht="17.25">
      <c r="A18" s="42" t="s">
        <v>15</v>
      </c>
      <c r="B18" s="43">
        <f t="shared" ref="B18:J18" si="8">SUM(B11/B5)*100</f>
        <v>58.891992551210429</v>
      </c>
      <c r="C18" s="43">
        <f t="shared" si="8"/>
        <v>63.174711080897353</v>
      </c>
      <c r="D18" s="43">
        <f t="shared" si="8"/>
        <v>59.613371484402265</v>
      </c>
      <c r="E18" s="43">
        <f t="shared" si="8"/>
        <v>57.968055722348986</v>
      </c>
      <c r="F18" s="43">
        <f t="shared" si="8"/>
        <v>56.412482762143114</v>
      </c>
      <c r="G18" s="43">
        <f t="shared" si="8"/>
        <v>62.822630600867235</v>
      </c>
      <c r="H18" s="43">
        <f t="shared" si="8"/>
        <v>60.957580442554836</v>
      </c>
      <c r="I18" s="43">
        <f t="shared" si="8"/>
        <v>55.806995593755104</v>
      </c>
      <c r="J18" s="43">
        <f t="shared" si="8"/>
        <v>52.43267821957258</v>
      </c>
      <c r="K18" s="44" t="s">
        <v>19</v>
      </c>
      <c r="L18" s="45"/>
      <c r="M18" s="17"/>
    </row>
    <row r="19" spans="1:13" s="49" customFormat="1">
      <c r="A19" s="20" t="s">
        <v>20</v>
      </c>
      <c r="B19" s="46">
        <v>-6.0073763830718256</v>
      </c>
      <c r="C19" s="46">
        <f t="shared" ref="C19:J25" si="9">(C5-B5)*100/B5</f>
        <v>-2.1681298217611067</v>
      </c>
      <c r="D19" s="46">
        <f t="shared" si="9"/>
        <v>-2.5900747790618626</v>
      </c>
      <c r="E19" s="46">
        <f t="shared" si="9"/>
        <v>16.225835717775141</v>
      </c>
      <c r="F19" s="46">
        <f t="shared" si="9"/>
        <v>17.563348144589888</v>
      </c>
      <c r="G19" s="46">
        <f t="shared" si="9"/>
        <v>-1.0572552224321978</v>
      </c>
      <c r="H19" s="46">
        <f t="shared" si="9"/>
        <v>6.8449308279991739</v>
      </c>
      <c r="I19" s="46">
        <f t="shared" si="9"/>
        <v>-11.184655522272683</v>
      </c>
      <c r="J19" s="46">
        <f t="shared" si="9"/>
        <v>7.6701300114235975</v>
      </c>
      <c r="K19" s="22" t="s">
        <v>21</v>
      </c>
      <c r="L19" s="47"/>
      <c r="M19" s="48"/>
    </row>
    <row r="20" spans="1:13" s="19" customFormat="1" ht="17.25">
      <c r="A20" s="33" t="s">
        <v>5</v>
      </c>
      <c r="B20" s="64" t="s">
        <v>18</v>
      </c>
      <c r="C20" s="64" t="s">
        <v>18</v>
      </c>
      <c r="D20" s="64" t="s">
        <v>18</v>
      </c>
      <c r="E20" s="36">
        <f t="shared" si="9"/>
        <v>379.38144329896909</v>
      </c>
      <c r="F20" s="36">
        <f t="shared" si="9"/>
        <v>45.591397849462368</v>
      </c>
      <c r="G20" s="36">
        <f t="shared" si="9"/>
        <v>87.740029542097489</v>
      </c>
      <c r="H20" s="36">
        <f t="shared" si="9"/>
        <v>2.4390243902439024</v>
      </c>
      <c r="I20" s="36">
        <f t="shared" si="9"/>
        <v>23.80952380952381</v>
      </c>
      <c r="J20" s="36">
        <f t="shared" si="9"/>
        <v>-6.0794044665012406</v>
      </c>
      <c r="K20" s="26" t="s">
        <v>6</v>
      </c>
      <c r="L20" s="23"/>
      <c r="M20" s="17"/>
    </row>
    <row r="21" spans="1:13" s="19" customFormat="1" ht="17.25">
      <c r="A21" s="24" t="s">
        <v>7</v>
      </c>
      <c r="B21" s="36">
        <v>100.95238095238095</v>
      </c>
      <c r="C21" s="36">
        <f t="shared" si="9"/>
        <v>-41.706161137440759</v>
      </c>
      <c r="D21" s="36">
        <f t="shared" si="9"/>
        <v>-23.577235772357724</v>
      </c>
      <c r="E21" s="36">
        <f t="shared" si="9"/>
        <v>29.787234042553191</v>
      </c>
      <c r="F21" s="36">
        <f t="shared" si="9"/>
        <v>-33.606557377049178</v>
      </c>
      <c r="G21" s="36">
        <f t="shared" si="9"/>
        <v>-67.901234567901241</v>
      </c>
      <c r="H21" s="36">
        <f t="shared" si="9"/>
        <v>19.23076923076923</v>
      </c>
      <c r="I21" s="36">
        <f t="shared" si="9"/>
        <v>41.935483870967744</v>
      </c>
      <c r="J21" s="36">
        <f t="shared" si="9"/>
        <v>-59.090909090909093</v>
      </c>
      <c r="K21" s="26" t="s">
        <v>8</v>
      </c>
      <c r="L21" s="23"/>
      <c r="M21" s="17"/>
    </row>
    <row r="22" spans="1:13" s="19" customFormat="1" ht="17.25">
      <c r="A22" s="24" t="s">
        <v>9</v>
      </c>
      <c r="B22" s="36">
        <v>-2.15414073719483</v>
      </c>
      <c r="C22" s="36">
        <f t="shared" si="9"/>
        <v>-2.3483365949119372</v>
      </c>
      <c r="D22" s="36">
        <f t="shared" si="9"/>
        <v>9.9198396793587182</v>
      </c>
      <c r="E22" s="36">
        <f t="shared" si="9"/>
        <v>18.049225159525982</v>
      </c>
      <c r="F22" s="36">
        <f t="shared" si="9"/>
        <v>1.0038610038610039</v>
      </c>
      <c r="G22" s="36">
        <f t="shared" si="9"/>
        <v>-2.4082568807339451</v>
      </c>
      <c r="H22" s="36">
        <f t="shared" si="9"/>
        <v>0.3525264394829612</v>
      </c>
      <c r="I22" s="36">
        <f t="shared" si="9"/>
        <v>-0.74160811865729903</v>
      </c>
      <c r="J22" s="36">
        <f t="shared" si="9"/>
        <v>5.7019268580416833</v>
      </c>
      <c r="K22" s="26" t="s">
        <v>10</v>
      </c>
      <c r="L22" s="23"/>
      <c r="M22" s="17"/>
    </row>
    <row r="23" spans="1:13" s="19" customFormat="1" ht="17.25">
      <c r="A23" s="24" t="s">
        <v>11</v>
      </c>
      <c r="B23" s="36">
        <v>-38.603256212510708</v>
      </c>
      <c r="C23" s="36">
        <f t="shared" si="9"/>
        <v>-27.704117236566642</v>
      </c>
      <c r="D23" s="36">
        <f t="shared" si="9"/>
        <v>-4.4401544401544397</v>
      </c>
      <c r="E23" s="36">
        <f t="shared" si="9"/>
        <v>68.585858585858588</v>
      </c>
      <c r="F23" s="36">
        <f t="shared" si="9"/>
        <v>17.25584182144997</v>
      </c>
      <c r="G23" s="36">
        <f t="shared" si="9"/>
        <v>-45.375574859478796</v>
      </c>
      <c r="H23" s="36">
        <f t="shared" si="9"/>
        <v>-19.550982226379794</v>
      </c>
      <c r="I23" s="36">
        <f t="shared" si="9"/>
        <v>2.441860465116279</v>
      </c>
      <c r="J23" s="36">
        <f t="shared" si="9"/>
        <v>-5.5618615209988649</v>
      </c>
      <c r="K23" s="26" t="s">
        <v>12</v>
      </c>
      <c r="L23" s="23"/>
      <c r="M23" s="17"/>
    </row>
    <row r="24" spans="1:13" s="41" customFormat="1" ht="17.25">
      <c r="A24" s="37" t="s">
        <v>13</v>
      </c>
      <c r="B24" s="38">
        <v>-9.477124183006536</v>
      </c>
      <c r="C24" s="38">
        <f t="shared" si="9"/>
        <v>-9.2659446450060177</v>
      </c>
      <c r="D24" s="38">
        <f t="shared" si="9"/>
        <v>6.6312997347480103</v>
      </c>
      <c r="E24" s="38">
        <f t="shared" si="9"/>
        <v>-10.696517412935323</v>
      </c>
      <c r="F24" s="38">
        <f t="shared" si="9"/>
        <v>48.700092850510678</v>
      </c>
      <c r="G24" s="38">
        <f t="shared" si="9"/>
        <v>-28.723072119887604</v>
      </c>
      <c r="H24" s="38">
        <f t="shared" si="9"/>
        <v>45.685501533070521</v>
      </c>
      <c r="I24" s="38">
        <f t="shared" si="9"/>
        <v>-8.4786530366806971</v>
      </c>
      <c r="J24" s="38">
        <f t="shared" si="9"/>
        <v>43.331143232588701</v>
      </c>
      <c r="K24" s="39" t="s">
        <v>14</v>
      </c>
      <c r="L24" s="40"/>
      <c r="M24" s="17"/>
    </row>
    <row r="25" spans="1:13" s="18" customFormat="1" ht="17.25">
      <c r="A25" s="50" t="s">
        <v>15</v>
      </c>
      <c r="B25" s="51">
        <v>1.606425702811245</v>
      </c>
      <c r="C25" s="51">
        <f t="shared" si="9"/>
        <v>4.9463579898362511</v>
      </c>
      <c r="D25" s="51">
        <f t="shared" si="9"/>
        <v>-8.0813515549338213</v>
      </c>
      <c r="E25" s="51">
        <f t="shared" si="9"/>
        <v>13.018028564738938</v>
      </c>
      <c r="F25" s="51">
        <f t="shared" si="9"/>
        <v>14.40853532214626</v>
      </c>
      <c r="G25" s="51">
        <f t="shared" si="9"/>
        <v>10.185604345857854</v>
      </c>
      <c r="H25" s="51">
        <f t="shared" si="9"/>
        <v>3.6729663105998358</v>
      </c>
      <c r="I25" s="51">
        <f t="shared" si="9"/>
        <v>-18.689070301973526</v>
      </c>
      <c r="J25" s="51">
        <f t="shared" si="9"/>
        <v>1.1599571108295155</v>
      </c>
      <c r="K25" s="52" t="s">
        <v>19</v>
      </c>
      <c r="L25" s="45"/>
      <c r="M25" s="17"/>
    </row>
    <row r="26" spans="1:13" s="19" customFormat="1">
      <c r="A26" s="1" t="s">
        <v>22</v>
      </c>
      <c r="B26" s="53"/>
      <c r="C26" s="53"/>
      <c r="D26" s="53"/>
      <c r="E26" s="53"/>
      <c r="F26" s="53"/>
      <c r="G26" s="53"/>
      <c r="H26" s="53"/>
      <c r="I26" s="53"/>
      <c r="J26" s="53"/>
      <c r="K26" s="2" t="s">
        <v>23</v>
      </c>
      <c r="L26" s="16"/>
      <c r="M26" s="17"/>
    </row>
    <row r="27" spans="1:13" s="19" customFormat="1">
      <c r="A27" s="1"/>
      <c r="B27" s="53"/>
      <c r="C27" s="53"/>
      <c r="D27" s="53"/>
      <c r="E27" s="53"/>
      <c r="F27" s="53"/>
      <c r="G27" s="53"/>
      <c r="H27" s="53"/>
      <c r="I27" s="53"/>
      <c r="J27" s="53"/>
      <c r="K27" s="2"/>
      <c r="L27" s="16"/>
      <c r="M27" s="17"/>
    </row>
    <row r="28" spans="1:13">
      <c r="A28" s="54"/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16"/>
      <c r="M28" s="17"/>
    </row>
    <row r="29" spans="1:13">
      <c r="A29" s="54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16"/>
      <c r="M29" s="17"/>
    </row>
    <row r="30" spans="1:13">
      <c r="A30" s="54"/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16"/>
      <c r="M30" s="17"/>
    </row>
    <row r="31" spans="1:13">
      <c r="A31" s="54"/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16"/>
      <c r="M31" s="17"/>
    </row>
    <row r="32" spans="1:13">
      <c r="A32" s="54"/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16"/>
      <c r="M32" s="17"/>
    </row>
    <row r="33" spans="1:13">
      <c r="A33" s="54"/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16"/>
      <c r="M33" s="17"/>
    </row>
    <row r="34" spans="1:13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16"/>
      <c r="M34" s="56"/>
    </row>
    <row r="35" spans="1:13">
      <c r="A35" s="54"/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16"/>
      <c r="M35" s="56"/>
    </row>
    <row r="36" spans="1:13">
      <c r="A36" s="54"/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16"/>
      <c r="M36" s="57"/>
    </row>
    <row r="37" spans="1:13">
      <c r="A37" s="54"/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16"/>
      <c r="M37" s="57"/>
    </row>
    <row r="38" spans="1:13">
      <c r="A38" s="54"/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16"/>
      <c r="M38" s="57"/>
    </row>
    <row r="39" spans="1:13">
      <c r="A39" s="54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8"/>
      <c r="M39" s="57"/>
    </row>
    <row r="40" spans="1:13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16"/>
      <c r="L40" s="17"/>
      <c r="M40" s="57"/>
    </row>
    <row r="41" spans="1:13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16"/>
      <c r="L41" s="17"/>
      <c r="M41" s="17"/>
    </row>
    <row r="42" spans="1:13" s="5" customFormat="1">
      <c r="A42" s="59"/>
      <c r="B42" s="59"/>
      <c r="C42" s="59"/>
      <c r="D42" s="59"/>
      <c r="E42" s="59"/>
      <c r="F42" s="59"/>
      <c r="G42" s="59"/>
      <c r="H42" s="59"/>
      <c r="I42" s="59"/>
      <c r="J42" s="59"/>
      <c r="K42" s="58"/>
      <c r="L42" s="17"/>
      <c r="M42" s="17"/>
    </row>
    <row r="43" spans="1:13" s="3" customFormat="1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</row>
    <row r="44" spans="1:13" s="3" customFormat="1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</row>
    <row r="45" spans="1:13" s="3" customFormat="1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</row>
    <row r="46" spans="1:13" s="3" customFormat="1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</row>
    <row r="47" spans="1:13" s="3" customFormat="1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</row>
    <row r="48" spans="1:13" s="3" customFormat="1" ht="35.25" customHeight="1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</row>
    <row r="49" spans="1:13" s="3" customFormat="1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</row>
    <row r="50" spans="1:13" s="3" customFormat="1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</row>
    <row r="51" spans="1:13" s="3" customFormat="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</row>
    <row r="52" spans="1:13" s="3" customFormat="1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</row>
    <row r="53" spans="1:13" s="3" customFormat="1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</row>
    <row r="54" spans="1:13" s="3" customFormat="1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</row>
    <row r="55" spans="1:13" s="3" customFormat="1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</row>
    <row r="56" spans="1:13" s="3" customFormat="1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</row>
    <row r="57" spans="1:13" s="3" customFormat="1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</row>
    <row r="58" spans="1:13" s="3" customFormat="1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</row>
    <row r="59" spans="1:13" s="3" customFormat="1" ht="9" customHeight="1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</row>
    <row r="60" spans="1:13" s="3" customFormat="1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</row>
    <row r="61" spans="1:13" s="3" customFormat="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</row>
    <row r="62" spans="1:13" s="3" customFormat="1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</row>
    <row r="63" spans="1:13" s="3" customFormat="1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</row>
    <row r="64" spans="1:13" s="3" customFormat="1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</row>
    <row r="65" spans="1:13" s="3" customFormat="1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</row>
    <row r="66" spans="1:13" s="3" customFormat="1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</row>
    <row r="67" spans="1:13" s="3" customFormat="1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</row>
    <row r="68" spans="1:13" s="3" customFormat="1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</row>
    <row r="69" spans="1:13" s="3" customFormat="1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</row>
    <row r="70" spans="1:13" s="3" customFormat="1">
      <c r="A70" s="17"/>
      <c r="B70" s="60"/>
      <c r="C70" s="60"/>
      <c r="D70" s="60"/>
      <c r="E70" s="60"/>
      <c r="F70" s="60"/>
      <c r="G70" s="60"/>
      <c r="H70" s="60"/>
      <c r="I70" s="60"/>
      <c r="J70" s="60"/>
      <c r="K70" s="17"/>
      <c r="L70" s="17"/>
      <c r="M70" s="17"/>
    </row>
    <row r="71" spans="1:13" s="3" customFormat="1">
      <c r="A71" s="17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17"/>
    </row>
    <row r="72" spans="1:13" s="3" customFormat="1">
      <c r="A72" s="17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17"/>
    </row>
    <row r="73" spans="1:13" s="3" customFormat="1">
      <c r="A73" s="17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17"/>
    </row>
    <row r="74" spans="1:13" s="3" customFormat="1">
      <c r="A74" s="17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17"/>
    </row>
    <row r="75" spans="1:13" s="3" customFormat="1">
      <c r="A75" s="17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17"/>
    </row>
    <row r="76" spans="1:13" s="3" customFormat="1">
      <c r="A76" s="17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17"/>
    </row>
    <row r="77" spans="1:13" s="3" customFormat="1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</row>
    <row r="78" spans="1:13" s="3" customFormat="1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</row>
    <row r="79" spans="1:13" s="3" customFormat="1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</row>
    <row r="80" spans="1:13" s="3" customFormat="1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</row>
    <row r="81" spans="1:13" s="3" customFormat="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</row>
    <row r="82" spans="1:13" s="3" customFormat="1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</row>
    <row r="83" spans="1:13" s="3" customFormat="1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</row>
    <row r="84" spans="1:13" s="3" customFormat="1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</row>
    <row r="85" spans="1:13" s="3" customFormat="1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</row>
    <row r="86" spans="1:13" s="3" customFormat="1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</row>
    <row r="87" spans="1:13" s="3" customFormat="1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</row>
    <row r="88" spans="1:13" s="3" customFormat="1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M88" s="17"/>
    </row>
    <row r="89" spans="1:13" s="3" customFormat="1">
      <c r="B89" s="17"/>
      <c r="C89" s="17"/>
      <c r="D89" s="17"/>
      <c r="E89" s="17"/>
      <c r="F89" s="17"/>
      <c r="G89" s="17"/>
      <c r="H89" s="17"/>
      <c r="I89" s="17"/>
      <c r="J89" s="17"/>
      <c r="M89" s="17"/>
    </row>
    <row r="90" spans="1:13" s="3" customFormat="1"/>
    <row r="91" spans="1:13" s="3" customFormat="1"/>
    <row r="92" spans="1:13" s="3" customFormat="1"/>
    <row r="93" spans="1:13" s="3" customFormat="1"/>
    <row r="94" spans="1:13" s="3" customFormat="1"/>
    <row r="95" spans="1:13" s="3" customFormat="1"/>
    <row r="96" spans="1:13" s="3" customFormat="1"/>
    <row r="97" s="3" customFormat="1"/>
    <row r="98" s="3" customFormat="1"/>
    <row r="99" s="3" customFormat="1"/>
    <row r="100" s="3" customFormat="1"/>
    <row r="101" s="3" customFormat="1"/>
    <row r="102" s="3" customFormat="1"/>
    <row r="103" s="3" customFormat="1"/>
    <row r="104" s="3" customFormat="1"/>
    <row r="105" s="3" customFormat="1"/>
    <row r="106" s="3" customFormat="1"/>
    <row r="107" s="3" customFormat="1"/>
    <row r="108" s="3" customFormat="1"/>
    <row r="109" s="3" customFormat="1"/>
    <row r="110" s="3" customFormat="1"/>
    <row r="111" s="3" customFormat="1"/>
    <row r="112" s="3" customFormat="1"/>
    <row r="113" s="3" customFormat="1"/>
    <row r="114" s="3" customFormat="1"/>
    <row r="115" s="3" customFormat="1"/>
    <row r="116" s="3" customFormat="1"/>
    <row r="117" s="3" customFormat="1"/>
    <row r="118" s="3" customFormat="1"/>
    <row r="119" s="3" customFormat="1"/>
    <row r="120" s="3" customFormat="1"/>
    <row r="121" s="3" customFormat="1"/>
    <row r="122" s="3" customFormat="1"/>
    <row r="123" s="3" customFormat="1"/>
    <row r="124" s="3" customFormat="1"/>
    <row r="125" s="3" customFormat="1"/>
    <row r="126" s="3" customFormat="1"/>
    <row r="127" s="3" customFormat="1"/>
    <row r="128" s="3" customFormat="1"/>
    <row r="129" s="3" customFormat="1"/>
    <row r="130" s="3" customFormat="1"/>
    <row r="131" s="3" customFormat="1"/>
    <row r="132" s="3" customFormat="1"/>
    <row r="133" s="3" customFormat="1"/>
    <row r="134" s="3" customFormat="1"/>
    <row r="135" s="3" customFormat="1"/>
    <row r="136" s="3" customFormat="1"/>
    <row r="137" s="3" customFormat="1"/>
    <row r="138" s="3" customFormat="1"/>
    <row r="139" s="3" customFormat="1"/>
    <row r="140" s="3" customFormat="1"/>
    <row r="141" s="3" customFormat="1"/>
    <row r="142" s="3" customFormat="1"/>
    <row r="143" s="3" customFormat="1"/>
    <row r="144" s="3" customFormat="1"/>
    <row r="145" s="3" customFormat="1"/>
    <row r="146" s="3" customFormat="1"/>
    <row r="147" s="3" customFormat="1"/>
    <row r="148" s="3" customFormat="1"/>
    <row r="149" s="3" customFormat="1"/>
    <row r="150" s="3" customFormat="1"/>
    <row r="151" s="3" customFormat="1"/>
    <row r="152" s="3" customFormat="1"/>
    <row r="153" s="3" customFormat="1"/>
    <row r="154" s="3" customFormat="1"/>
    <row r="155" s="3" customFormat="1"/>
    <row r="156" s="3" customFormat="1"/>
    <row r="157" s="3" customFormat="1"/>
    <row r="158" s="3" customFormat="1"/>
    <row r="159" s="3" customFormat="1"/>
    <row r="160" s="3" customFormat="1"/>
    <row r="161" s="3" customFormat="1"/>
    <row r="162" s="3" customFormat="1"/>
    <row r="163" s="3" customFormat="1"/>
    <row r="164" s="3" customFormat="1"/>
    <row r="165" s="3" customFormat="1"/>
    <row r="166" s="3" customFormat="1"/>
    <row r="167" s="3" customFormat="1"/>
    <row r="168" s="3" customFormat="1"/>
    <row r="169" s="3" customFormat="1"/>
    <row r="170" s="3" customFormat="1"/>
    <row r="171" s="3" customFormat="1"/>
    <row r="172" s="3" customFormat="1"/>
    <row r="173" s="3" customFormat="1"/>
    <row r="174" s="3" customFormat="1"/>
    <row r="175" s="3" customFormat="1"/>
    <row r="176" s="3" customFormat="1"/>
    <row r="177" s="3" customFormat="1"/>
    <row r="178" s="3" customFormat="1"/>
    <row r="179" s="3" customFormat="1"/>
    <row r="180" s="3" customFormat="1"/>
    <row r="181" s="3" customFormat="1"/>
    <row r="182" s="3" customFormat="1"/>
    <row r="183" s="3" customFormat="1"/>
    <row r="184" s="3" customFormat="1"/>
    <row r="185" s="3" customFormat="1"/>
    <row r="186" s="3" customFormat="1"/>
    <row r="187" s="3" customFormat="1"/>
    <row r="188" s="3" customFormat="1"/>
    <row r="189" s="3" customFormat="1"/>
    <row r="190" s="3" customFormat="1"/>
    <row r="191" s="3" customFormat="1"/>
    <row r="192" s="3" customFormat="1"/>
    <row r="193" s="3" customFormat="1"/>
    <row r="194" s="3" customFormat="1"/>
    <row r="195" s="3" customFormat="1"/>
    <row r="196" s="3" customFormat="1"/>
    <row r="197" s="3" customFormat="1"/>
    <row r="198" s="3" customFormat="1"/>
    <row r="199" s="3" customFormat="1"/>
    <row r="200" s="3" customFormat="1"/>
    <row r="201" s="3" customFormat="1"/>
    <row r="202" s="3" customFormat="1"/>
    <row r="203" s="3" customFormat="1"/>
    <row r="204" s="3" customFormat="1"/>
    <row r="205" s="3" customFormat="1"/>
    <row r="206" s="3" customFormat="1"/>
    <row r="207" s="3" customFormat="1"/>
    <row r="208" s="3" customFormat="1"/>
    <row r="209" s="3" customFormat="1"/>
    <row r="210" s="3" customFormat="1"/>
    <row r="211" s="3" customFormat="1"/>
    <row r="212" s="3" customFormat="1"/>
    <row r="213" s="3" customFormat="1"/>
    <row r="214" s="3" customFormat="1"/>
    <row r="215" s="3" customFormat="1"/>
    <row r="216" s="3" customFormat="1"/>
    <row r="217" s="3" customFormat="1"/>
    <row r="218" s="3" customFormat="1"/>
    <row r="219" s="3" customFormat="1"/>
    <row r="220" s="3" customFormat="1"/>
    <row r="221" s="3" customFormat="1"/>
    <row r="222" s="3" customFormat="1"/>
    <row r="223" s="3" customFormat="1"/>
    <row r="224" s="3" customFormat="1"/>
    <row r="225" s="3" customFormat="1"/>
    <row r="226" s="3" customFormat="1"/>
    <row r="227" s="3" customFormat="1"/>
    <row r="228" s="3" customFormat="1"/>
    <row r="229" s="3" customFormat="1"/>
    <row r="230" s="3" customFormat="1"/>
    <row r="231" s="3" customFormat="1"/>
    <row r="232" s="3" customFormat="1"/>
    <row r="233" s="3" customFormat="1"/>
    <row r="234" s="3" customFormat="1"/>
    <row r="235" s="3" customFormat="1"/>
    <row r="236" s="3" customFormat="1"/>
    <row r="237" s="3" customFormat="1"/>
    <row r="238" s="3" customFormat="1"/>
    <row r="239" s="3" customFormat="1"/>
    <row r="240" s="3" customFormat="1"/>
    <row r="241" s="3" customFormat="1"/>
    <row r="242" s="3" customFormat="1"/>
    <row r="243" s="3" customFormat="1"/>
    <row r="244" s="3" customFormat="1"/>
    <row r="245" s="3" customFormat="1"/>
    <row r="246" s="3" customFormat="1"/>
    <row r="247" s="3" customFormat="1"/>
    <row r="248" s="3" customFormat="1"/>
    <row r="249" s="3" customFormat="1"/>
    <row r="250" s="3" customFormat="1"/>
    <row r="251" s="3" customFormat="1"/>
    <row r="252" s="3" customFormat="1"/>
    <row r="253" s="3" customFormat="1"/>
    <row r="254" s="3" customFormat="1"/>
    <row r="255" s="3" customFormat="1"/>
    <row r="256" s="3" customFormat="1"/>
    <row r="257" s="3" customFormat="1"/>
    <row r="258" s="3" customFormat="1"/>
    <row r="259" s="3" customFormat="1"/>
    <row r="260" s="3" customFormat="1"/>
    <row r="261" s="3" customFormat="1"/>
    <row r="262" s="3" customFormat="1"/>
    <row r="263" s="3" customFormat="1"/>
    <row r="264" s="3" customFormat="1"/>
    <row r="265" s="3" customFormat="1"/>
    <row r="266" s="3" customFormat="1"/>
    <row r="267" s="3" customFormat="1"/>
    <row r="268" s="3" customFormat="1"/>
    <row r="269" s="3" customFormat="1"/>
    <row r="270" s="3" customFormat="1"/>
    <row r="271" s="3" customFormat="1"/>
    <row r="272" s="3" customFormat="1"/>
    <row r="273" s="3" customFormat="1"/>
    <row r="274" s="3" customFormat="1"/>
    <row r="275" s="3" customFormat="1"/>
    <row r="276" s="3" customFormat="1"/>
    <row r="277" s="3" customFormat="1"/>
    <row r="278" s="3" customFormat="1"/>
    <row r="279" s="3" customFormat="1"/>
    <row r="280" s="3" customFormat="1"/>
    <row r="281" s="3" customFormat="1"/>
    <row r="282" s="3" customFormat="1"/>
    <row r="283" s="3" customFormat="1"/>
    <row r="284" s="3" customFormat="1"/>
    <row r="285" s="3" customFormat="1"/>
    <row r="286" s="3" customFormat="1"/>
    <row r="287" s="3" customFormat="1"/>
    <row r="288" s="3" customFormat="1"/>
    <row r="289" s="3" customFormat="1"/>
    <row r="290" s="3" customFormat="1"/>
    <row r="291" s="3" customFormat="1"/>
    <row r="292" s="3" customFormat="1"/>
    <row r="293" s="3" customFormat="1"/>
    <row r="294" s="3" customFormat="1"/>
    <row r="295" s="3" customFormat="1"/>
    <row r="296" s="3" customFormat="1"/>
    <row r="297" s="3" customFormat="1"/>
    <row r="298" s="3" customFormat="1"/>
    <row r="299" s="3" customFormat="1"/>
    <row r="300" s="3" customFormat="1"/>
    <row r="301" s="3" customFormat="1"/>
    <row r="302" s="3" customFormat="1"/>
    <row r="303" s="3" customFormat="1"/>
    <row r="304" s="3" customFormat="1"/>
    <row r="305" s="3" customFormat="1"/>
    <row r="306" s="3" customFormat="1"/>
    <row r="307" s="3" customFormat="1"/>
    <row r="308" s="3" customFormat="1"/>
    <row r="309" s="3" customFormat="1"/>
    <row r="310" s="3" customFormat="1"/>
    <row r="311" s="3" customFormat="1"/>
    <row r="312" s="3" customFormat="1"/>
    <row r="313" s="3" customFormat="1"/>
    <row r="314" s="3" customFormat="1"/>
    <row r="315" s="3" customFormat="1"/>
    <row r="316" s="3" customFormat="1"/>
    <row r="317" s="3" customFormat="1"/>
    <row r="318" s="3" customFormat="1"/>
    <row r="319" s="3" customFormat="1"/>
    <row r="320" s="3" customFormat="1"/>
    <row r="321" s="3" customFormat="1"/>
    <row r="322" s="3" customFormat="1"/>
    <row r="323" s="3" customFormat="1"/>
    <row r="324" s="3" customFormat="1"/>
    <row r="325" s="3" customFormat="1"/>
    <row r="326" s="3" customFormat="1"/>
    <row r="327" s="3" customFormat="1"/>
    <row r="328" s="3" customFormat="1"/>
    <row r="329" s="3" customFormat="1"/>
    <row r="330" s="3" customFormat="1"/>
    <row r="331" s="3" customFormat="1"/>
    <row r="332" s="3" customFormat="1"/>
    <row r="333" s="3" customFormat="1"/>
    <row r="334" s="3" customFormat="1"/>
    <row r="335" s="3" customFormat="1"/>
    <row r="336" s="3" customFormat="1"/>
    <row r="337" s="3" customFormat="1"/>
    <row r="338" s="3" customFormat="1"/>
    <row r="339" s="3" customFormat="1"/>
    <row r="340" s="3" customFormat="1"/>
    <row r="341" s="3" customFormat="1"/>
    <row r="342" s="3" customFormat="1"/>
    <row r="343" s="3" customFormat="1"/>
    <row r="344" s="3" customFormat="1"/>
    <row r="345" s="3" customFormat="1"/>
    <row r="346" s="3" customFormat="1"/>
    <row r="347" s="3" customFormat="1"/>
    <row r="348" s="3" customFormat="1"/>
    <row r="349" s="3" customFormat="1"/>
    <row r="350" s="3" customFormat="1"/>
    <row r="351" s="3" customFormat="1"/>
    <row r="352" s="3" customFormat="1"/>
    <row r="353" s="3" customFormat="1"/>
    <row r="354" s="3" customFormat="1"/>
    <row r="355" s="3" customFormat="1"/>
    <row r="356" s="3" customFormat="1"/>
    <row r="357" s="3" customFormat="1"/>
    <row r="358" s="3" customFormat="1"/>
    <row r="359" s="3" customFormat="1"/>
    <row r="360" s="3" customFormat="1"/>
    <row r="361" s="3" customFormat="1"/>
    <row r="362" s="3" customFormat="1"/>
    <row r="363" s="3" customFormat="1"/>
    <row r="364" s="3" customFormat="1"/>
    <row r="365" s="3" customFormat="1"/>
    <row r="366" s="3" customFormat="1"/>
    <row r="367" s="3" customFormat="1"/>
    <row r="368" s="3" customFormat="1"/>
    <row r="369" s="3" customFormat="1"/>
    <row r="370" s="3" customFormat="1"/>
    <row r="371" s="3" customFormat="1"/>
    <row r="372" s="3" customFormat="1"/>
    <row r="373" s="3" customFormat="1"/>
    <row r="374" s="3" customFormat="1"/>
    <row r="375" s="3" customFormat="1"/>
    <row r="376" s="3" customFormat="1"/>
    <row r="377" s="3" customFormat="1"/>
    <row r="378" s="3" customFormat="1"/>
    <row r="379" s="3" customFormat="1"/>
    <row r="380" s="3" customFormat="1"/>
    <row r="381" s="3" customFormat="1"/>
    <row r="382" s="3" customFormat="1"/>
    <row r="383" s="3" customFormat="1"/>
    <row r="384" s="3" customFormat="1"/>
    <row r="385" s="3" customFormat="1"/>
    <row r="386" s="3" customFormat="1"/>
    <row r="387" s="3" customFormat="1"/>
    <row r="388" s="3" customFormat="1"/>
    <row r="389" s="3" customFormat="1"/>
    <row r="390" s="3" customFormat="1"/>
    <row r="391" s="3" customFormat="1"/>
    <row r="392" s="3" customFormat="1"/>
    <row r="393" s="3" customFormat="1"/>
    <row r="394" s="3" customFormat="1"/>
    <row r="395" s="3" customFormat="1"/>
    <row r="396" s="3" customFormat="1"/>
    <row r="397" s="3" customFormat="1"/>
    <row r="398" s="3" customFormat="1"/>
    <row r="399" s="3" customFormat="1"/>
    <row r="400" s="3" customFormat="1"/>
    <row r="401" s="3" customFormat="1"/>
    <row r="402" s="3" customFormat="1"/>
    <row r="403" s="3" customFormat="1"/>
    <row r="404" s="3" customFormat="1"/>
    <row r="405" s="3" customFormat="1"/>
    <row r="406" s="3" customFormat="1"/>
    <row r="407" s="3" customFormat="1"/>
    <row r="408" s="3" customFormat="1"/>
    <row r="409" s="3" customFormat="1"/>
    <row r="410" s="3" customFormat="1"/>
    <row r="411" s="3" customFormat="1"/>
    <row r="412" s="3" customFormat="1"/>
    <row r="413" s="3" customFormat="1"/>
    <row r="414" s="3" customFormat="1"/>
    <row r="415" s="3" customFormat="1"/>
    <row r="416" s="3" customFormat="1"/>
    <row r="417" s="3" customFormat="1"/>
    <row r="418" s="3" customFormat="1"/>
    <row r="419" s="3" customFormat="1"/>
    <row r="420" s="3" customFormat="1"/>
    <row r="421" s="3" customFormat="1"/>
    <row r="422" s="3" customFormat="1"/>
    <row r="423" s="3" customFormat="1"/>
    <row r="424" s="3" customFormat="1"/>
    <row r="425" s="3" customFormat="1"/>
    <row r="426" s="3" customFormat="1"/>
    <row r="427" s="3" customFormat="1"/>
    <row r="428" s="3" customFormat="1"/>
    <row r="429" s="3" customFormat="1"/>
    <row r="430" s="3" customFormat="1"/>
    <row r="431" s="3" customFormat="1"/>
    <row r="432" s="3" customFormat="1"/>
    <row r="433" s="3" customFormat="1"/>
    <row r="434" s="3" customFormat="1"/>
    <row r="435" s="3" customFormat="1"/>
    <row r="436" s="3" customFormat="1"/>
    <row r="437" s="3" customFormat="1"/>
    <row r="438" s="3" customFormat="1"/>
    <row r="439" s="3" customFormat="1"/>
    <row r="440" s="3" customFormat="1"/>
    <row r="441" s="3" customFormat="1"/>
    <row r="442" s="3" customFormat="1"/>
    <row r="443" s="3" customFormat="1"/>
    <row r="444" s="3" customFormat="1"/>
    <row r="445" s="3" customFormat="1"/>
    <row r="446" s="3" customFormat="1"/>
    <row r="447" s="3" customFormat="1"/>
    <row r="448" s="3" customFormat="1"/>
    <row r="449" s="3" customFormat="1"/>
    <row r="450" s="3" customFormat="1"/>
    <row r="451" s="3" customFormat="1"/>
    <row r="452" s="3" customFormat="1"/>
    <row r="453" s="3" customFormat="1"/>
    <row r="454" s="3" customFormat="1"/>
    <row r="455" s="3" customFormat="1"/>
    <row r="456" s="3" customFormat="1"/>
    <row r="457" s="3" customFormat="1"/>
    <row r="458" s="3" customFormat="1"/>
    <row r="459" s="3" customFormat="1"/>
    <row r="460" s="3" customFormat="1"/>
    <row r="461" s="3" customFormat="1"/>
    <row r="462" s="3" customFormat="1"/>
    <row r="463" s="3" customFormat="1"/>
    <row r="464" s="3" customFormat="1"/>
    <row r="465" s="3" customFormat="1"/>
    <row r="466" s="3" customFormat="1"/>
    <row r="467" s="3" customFormat="1"/>
    <row r="468" s="3" customFormat="1"/>
    <row r="469" s="3" customFormat="1"/>
    <row r="470" s="3" customFormat="1"/>
    <row r="471" s="3" customFormat="1"/>
    <row r="472" s="3" customFormat="1"/>
    <row r="473" s="3" customFormat="1"/>
    <row r="474" s="3" customFormat="1"/>
    <row r="475" s="3" customFormat="1"/>
    <row r="476" s="3" customFormat="1"/>
    <row r="477" s="3" customFormat="1"/>
    <row r="478" s="3" customFormat="1"/>
    <row r="479" s="3" customFormat="1"/>
    <row r="480" s="3" customFormat="1"/>
    <row r="481" s="3" customFormat="1"/>
    <row r="482" s="3" customFormat="1"/>
    <row r="483" s="3" customFormat="1"/>
    <row r="484" s="3" customFormat="1"/>
    <row r="485" s="3" customFormat="1"/>
    <row r="486" s="3" customFormat="1"/>
    <row r="487" s="3" customFormat="1"/>
    <row r="488" s="3" customFormat="1"/>
    <row r="489" s="3" customFormat="1"/>
    <row r="490" s="3" customFormat="1"/>
    <row r="491" s="3" customFormat="1"/>
    <row r="492" s="3" customFormat="1"/>
    <row r="493" s="3" customFormat="1"/>
    <row r="494" s="3" customFormat="1"/>
    <row r="495" s="3" customFormat="1"/>
    <row r="496" s="3" customFormat="1"/>
    <row r="497" s="3" customFormat="1"/>
    <row r="498" s="3" customFormat="1"/>
    <row r="499" s="3" customFormat="1"/>
    <row r="500" s="3" customFormat="1"/>
    <row r="501" s="3" customFormat="1"/>
    <row r="502" s="3" customFormat="1"/>
    <row r="503" s="3" customFormat="1"/>
    <row r="504" s="3" customFormat="1"/>
    <row r="505" s="3" customFormat="1"/>
    <row r="506" s="3" customFormat="1"/>
    <row r="507" s="3" customFormat="1"/>
    <row r="508" s="3" customFormat="1"/>
    <row r="509" s="3" customFormat="1"/>
    <row r="510" s="3" customFormat="1"/>
    <row r="511" s="3" customFormat="1"/>
    <row r="512" s="3" customFormat="1"/>
    <row r="513" s="3" customFormat="1"/>
    <row r="514" s="3" customFormat="1"/>
    <row r="515" s="3" customFormat="1"/>
    <row r="516" s="3" customFormat="1"/>
    <row r="517" s="3" customFormat="1"/>
    <row r="518" s="3" customFormat="1"/>
    <row r="519" s="3" customFormat="1"/>
    <row r="520" s="3" customFormat="1"/>
    <row r="521" s="3" customFormat="1"/>
    <row r="522" s="3" customFormat="1"/>
    <row r="523" s="3" customFormat="1"/>
    <row r="524" s="3" customFormat="1"/>
    <row r="525" s="3" customFormat="1"/>
    <row r="526" s="3" customFormat="1"/>
    <row r="527" s="3" customFormat="1"/>
    <row r="528" s="3" customFormat="1"/>
    <row r="529" s="3" customFormat="1"/>
    <row r="530" s="3" customFormat="1"/>
    <row r="531" s="3" customFormat="1"/>
    <row r="532" s="3" customFormat="1"/>
    <row r="533" s="3" customFormat="1"/>
    <row r="534" s="3" customFormat="1"/>
    <row r="535" s="3" customFormat="1"/>
    <row r="536" s="3" customFormat="1"/>
    <row r="537" s="3" customFormat="1"/>
    <row r="538" s="3" customFormat="1"/>
    <row r="539" s="3" customFormat="1"/>
    <row r="540" s="3" customFormat="1"/>
    <row r="541" s="3" customFormat="1"/>
    <row r="542" s="3" customFormat="1"/>
    <row r="543" s="3" customFormat="1"/>
    <row r="544" s="3" customFormat="1"/>
    <row r="545" s="3" customFormat="1"/>
    <row r="546" s="3" customFormat="1"/>
    <row r="547" s="3" customFormat="1"/>
    <row r="548" s="3" customFormat="1"/>
    <row r="549" s="3" customFormat="1"/>
    <row r="550" s="3" customFormat="1"/>
    <row r="551" s="3" customFormat="1"/>
    <row r="552" s="3" customFormat="1"/>
    <row r="553" s="3" customFormat="1"/>
    <row r="554" s="3" customFormat="1"/>
    <row r="555" s="3" customFormat="1"/>
    <row r="556" s="3" customFormat="1"/>
    <row r="557" s="3" customFormat="1"/>
    <row r="558" s="3" customFormat="1"/>
    <row r="559" s="3" customFormat="1"/>
    <row r="560" s="3" customFormat="1"/>
    <row r="561" s="3" customFormat="1"/>
    <row r="562" s="3" customFormat="1"/>
    <row r="563" s="3" customFormat="1"/>
    <row r="564" s="3" customFormat="1"/>
    <row r="565" s="3" customFormat="1"/>
    <row r="566" s="3" customFormat="1"/>
    <row r="567" s="3" customFormat="1"/>
    <row r="568" s="3" customFormat="1"/>
    <row r="569" s="3" customFormat="1"/>
    <row r="570" s="3" customFormat="1"/>
    <row r="571" s="3" customFormat="1"/>
    <row r="572" s="3" customFormat="1"/>
    <row r="573" s="3" customFormat="1"/>
    <row r="574" s="3" customFormat="1"/>
    <row r="575" s="3" customFormat="1"/>
    <row r="576" s="3" customFormat="1"/>
    <row r="577" s="3" customFormat="1"/>
    <row r="578" s="3" customFormat="1"/>
    <row r="579" s="3" customFormat="1"/>
    <row r="580" s="3" customFormat="1"/>
    <row r="581" s="3" customFormat="1"/>
    <row r="582" s="3" customFormat="1"/>
    <row r="583" s="3" customFormat="1"/>
    <row r="584" s="3" customFormat="1"/>
    <row r="585" s="3" customFormat="1"/>
    <row r="586" s="3" customFormat="1"/>
    <row r="587" s="3" customFormat="1"/>
    <row r="588" s="3" customFormat="1"/>
    <row r="589" s="3" customFormat="1"/>
    <row r="590" s="3" customFormat="1"/>
    <row r="591" s="3" customFormat="1"/>
    <row r="592" s="3" customFormat="1"/>
    <row r="593" s="3" customFormat="1"/>
    <row r="594" s="3" customFormat="1"/>
    <row r="595" s="3" customFormat="1"/>
    <row r="596" s="3" customFormat="1"/>
    <row r="597" s="3" customFormat="1"/>
    <row r="598" s="3" customFormat="1"/>
    <row r="599" s="3" customFormat="1"/>
    <row r="600" s="3" customFormat="1"/>
    <row r="601" s="3" customFormat="1"/>
    <row r="602" s="3" customFormat="1"/>
    <row r="603" s="3" customFormat="1"/>
    <row r="604" s="3" customFormat="1"/>
    <row r="605" s="3" customFormat="1"/>
    <row r="606" s="3" customFormat="1"/>
    <row r="607" s="3" customFormat="1"/>
    <row r="608" s="3" customFormat="1"/>
    <row r="609" s="3" customFormat="1"/>
    <row r="610" s="3" customFormat="1"/>
    <row r="611" s="3" customFormat="1"/>
    <row r="612" s="3" customFormat="1"/>
    <row r="613" s="3" customFormat="1"/>
    <row r="614" s="3" customFormat="1"/>
    <row r="615" s="3" customFormat="1"/>
    <row r="616" s="3" customFormat="1"/>
    <row r="617" s="3" customFormat="1"/>
    <row r="618" s="3" customFormat="1"/>
    <row r="619" s="3" customFormat="1"/>
    <row r="620" s="3" customFormat="1"/>
    <row r="621" s="3" customFormat="1"/>
    <row r="622" s="3" customFormat="1"/>
    <row r="623" s="3" customFormat="1"/>
    <row r="624" s="3" customFormat="1"/>
    <row r="625" s="3" customFormat="1"/>
    <row r="626" s="3" customFormat="1"/>
    <row r="627" s="3" customFormat="1"/>
    <row r="628" s="3" customFormat="1"/>
    <row r="629" s="3" customFormat="1"/>
    <row r="630" s="3" customFormat="1"/>
    <row r="631" s="3" customFormat="1"/>
    <row r="632" s="3" customFormat="1"/>
    <row r="633" s="3" customFormat="1"/>
    <row r="634" s="3" customFormat="1"/>
    <row r="635" s="3" customFormat="1"/>
    <row r="636" s="3" customFormat="1"/>
    <row r="637" s="3" customFormat="1"/>
    <row r="638" s="3" customFormat="1"/>
    <row r="639" s="3" customFormat="1"/>
    <row r="640" s="3" customFormat="1"/>
    <row r="641" s="3" customFormat="1"/>
    <row r="642" s="3" customFormat="1"/>
    <row r="643" s="3" customFormat="1"/>
    <row r="644" s="3" customFormat="1"/>
    <row r="645" s="3" customFormat="1"/>
    <row r="646" s="3" customFormat="1"/>
    <row r="647" s="3" customFormat="1"/>
    <row r="648" s="3" customFormat="1"/>
    <row r="649" s="3" customFormat="1"/>
    <row r="650" s="3" customFormat="1"/>
    <row r="651" s="3" customFormat="1"/>
    <row r="652" s="3" customFormat="1"/>
    <row r="653" s="3" customFormat="1"/>
    <row r="654" s="3" customFormat="1"/>
    <row r="655" s="3" customFormat="1"/>
    <row r="656" s="3" customFormat="1"/>
    <row r="657" s="3" customFormat="1"/>
    <row r="658" s="3" customFormat="1"/>
    <row r="659" s="3" customFormat="1"/>
    <row r="660" s="3" customFormat="1"/>
    <row r="661" s="3" customFormat="1"/>
    <row r="662" s="3" customFormat="1"/>
    <row r="663" s="3" customFormat="1"/>
    <row r="664" s="3" customFormat="1"/>
    <row r="665" s="3" customFormat="1"/>
    <row r="666" s="3" customFormat="1"/>
    <row r="667" s="3" customFormat="1"/>
    <row r="668" s="3" customFormat="1"/>
    <row r="669" s="3" customFormat="1"/>
    <row r="670" s="3" customFormat="1"/>
    <row r="671" s="3" customFormat="1"/>
    <row r="672" s="3" customFormat="1"/>
    <row r="673" s="3" customFormat="1"/>
    <row r="674" s="3" customFormat="1"/>
    <row r="675" s="3" customFormat="1"/>
    <row r="676" s="3" customFormat="1"/>
    <row r="677" s="3" customFormat="1"/>
    <row r="678" s="3" customFormat="1"/>
    <row r="679" s="3" customFormat="1"/>
    <row r="680" s="3" customFormat="1"/>
    <row r="681" s="3" customFormat="1"/>
    <row r="682" s="3" customFormat="1"/>
    <row r="683" s="3" customFormat="1"/>
    <row r="684" s="3" customFormat="1"/>
    <row r="685" s="3" customFormat="1"/>
    <row r="686" s="3" customFormat="1"/>
    <row r="687" s="3" customFormat="1"/>
    <row r="688" s="3" customFormat="1"/>
    <row r="689" s="3" customFormat="1"/>
    <row r="690" s="3" customFormat="1"/>
    <row r="691" s="3" customFormat="1"/>
    <row r="692" s="3" customFormat="1"/>
    <row r="693" s="3" customFormat="1"/>
    <row r="694" s="3" customFormat="1"/>
    <row r="695" s="3" customFormat="1"/>
    <row r="696" s="3" customFormat="1"/>
    <row r="697" s="3" customFormat="1"/>
    <row r="698" s="3" customFormat="1"/>
    <row r="699" s="3" customFormat="1"/>
    <row r="700" s="3" customFormat="1"/>
    <row r="701" s="3" customFormat="1"/>
    <row r="702" s="3" customFormat="1"/>
    <row r="703" s="3" customFormat="1"/>
    <row r="704" s="3" customFormat="1"/>
    <row r="705" s="3" customFormat="1"/>
    <row r="706" s="3" customFormat="1"/>
    <row r="707" s="3" customFormat="1"/>
    <row r="708" s="3" customFormat="1"/>
    <row r="709" s="3" customFormat="1"/>
    <row r="710" s="3" customFormat="1"/>
    <row r="711" s="3" customFormat="1"/>
    <row r="712" s="3" customFormat="1"/>
    <row r="713" s="3" customFormat="1"/>
    <row r="714" s="3" customFormat="1"/>
    <row r="715" s="3" customFormat="1"/>
    <row r="716" s="3" customFormat="1"/>
    <row r="717" s="3" customFormat="1"/>
    <row r="718" s="3" customFormat="1"/>
    <row r="719" s="3" customFormat="1"/>
    <row r="720" s="3" customFormat="1"/>
    <row r="721" s="3" customFormat="1"/>
    <row r="722" s="3" customFormat="1"/>
    <row r="723" s="3" customFormat="1"/>
    <row r="724" s="3" customFormat="1"/>
    <row r="725" s="3" customFormat="1"/>
    <row r="726" s="3" customFormat="1"/>
    <row r="727" s="3" customFormat="1"/>
    <row r="728" s="3" customFormat="1"/>
    <row r="729" s="3" customFormat="1"/>
    <row r="730" s="3" customFormat="1"/>
    <row r="731" s="3" customFormat="1"/>
    <row r="732" s="3" customFormat="1"/>
    <row r="733" s="3" customFormat="1"/>
    <row r="734" s="3" customFormat="1"/>
    <row r="735" s="3" customFormat="1"/>
    <row r="736" s="3" customFormat="1"/>
    <row r="737" s="3" customFormat="1"/>
    <row r="738" s="3" customFormat="1"/>
    <row r="739" s="3" customFormat="1"/>
    <row r="740" s="3" customFormat="1"/>
    <row r="741" s="3" customFormat="1"/>
    <row r="742" s="3" customFormat="1"/>
    <row r="743" s="3" customFormat="1"/>
    <row r="744" s="3" customFormat="1"/>
    <row r="745" s="3" customFormat="1"/>
    <row r="746" s="3" customFormat="1"/>
    <row r="747" s="3" customFormat="1"/>
    <row r="748" s="3" customFormat="1"/>
    <row r="749" s="3" customFormat="1"/>
    <row r="750" s="3" customFormat="1"/>
    <row r="751" s="3" customFormat="1"/>
    <row r="752" s="3" customFormat="1"/>
    <row r="753" s="3" customFormat="1"/>
    <row r="754" s="3" customFormat="1"/>
    <row r="755" s="3" customFormat="1"/>
    <row r="756" s="3" customFormat="1"/>
    <row r="757" s="3" customFormat="1"/>
    <row r="758" s="3" customFormat="1"/>
    <row r="759" s="3" customFormat="1"/>
    <row r="760" s="3" customFormat="1"/>
    <row r="761" s="3" customFormat="1"/>
    <row r="762" s="3" customFormat="1"/>
    <row r="763" s="3" customFormat="1"/>
    <row r="764" s="3" customFormat="1"/>
    <row r="765" s="3" customFormat="1"/>
    <row r="766" s="3" customFormat="1"/>
    <row r="767" s="3" customFormat="1"/>
    <row r="768" s="3" customFormat="1"/>
    <row r="769" s="3" customFormat="1"/>
    <row r="770" s="3" customFormat="1"/>
    <row r="771" s="3" customFormat="1"/>
    <row r="772" s="3" customFormat="1"/>
    <row r="773" s="3" customFormat="1"/>
    <row r="774" s="3" customFormat="1"/>
    <row r="775" s="3" customFormat="1"/>
    <row r="776" s="3" customFormat="1"/>
    <row r="777" s="3" customFormat="1"/>
    <row r="778" s="3" customFormat="1"/>
    <row r="779" s="3" customFormat="1"/>
    <row r="780" s="3" customFormat="1"/>
    <row r="781" s="3" customFormat="1"/>
    <row r="782" s="3" customFormat="1"/>
    <row r="783" s="3" customFormat="1"/>
    <row r="784" s="3" customFormat="1"/>
    <row r="785" s="3" customFormat="1"/>
    <row r="786" s="3" customFormat="1"/>
    <row r="787" s="3" customFormat="1"/>
    <row r="788" s="3" customFormat="1"/>
    <row r="789" s="3" customFormat="1"/>
    <row r="790" s="3" customFormat="1"/>
    <row r="791" s="3" customFormat="1"/>
    <row r="792" s="3" customFormat="1"/>
    <row r="793" s="3" customFormat="1"/>
    <row r="794" s="3" customFormat="1"/>
    <row r="795" s="3" customFormat="1"/>
    <row r="796" s="3" customFormat="1"/>
    <row r="797" s="3" customFormat="1"/>
    <row r="798" s="3" customFormat="1"/>
    <row r="799" s="3" customFormat="1"/>
    <row r="800" s="3" customFormat="1"/>
    <row r="801" s="3" customFormat="1"/>
    <row r="802" s="3" customFormat="1"/>
    <row r="803" s="3" customFormat="1"/>
    <row r="804" s="3" customFormat="1"/>
    <row r="805" s="3" customFormat="1"/>
    <row r="806" s="3" customFormat="1"/>
    <row r="807" s="3" customFormat="1"/>
    <row r="808" s="3" customFormat="1"/>
    <row r="809" s="3" customFormat="1"/>
    <row r="810" s="3" customFormat="1"/>
    <row r="811" s="3" customFormat="1"/>
    <row r="812" s="3" customFormat="1"/>
    <row r="813" s="3" customFormat="1"/>
    <row r="814" s="3" customFormat="1"/>
    <row r="815" s="3" customFormat="1"/>
    <row r="816" s="3" customFormat="1"/>
    <row r="817" s="3" customFormat="1"/>
    <row r="818" s="3" customFormat="1"/>
    <row r="819" s="3" customFormat="1"/>
    <row r="820" s="3" customFormat="1"/>
    <row r="821" s="3" customFormat="1"/>
    <row r="822" s="3" customFormat="1"/>
    <row r="823" s="3" customFormat="1"/>
    <row r="824" s="3" customFormat="1"/>
    <row r="825" s="3" customFormat="1"/>
    <row r="826" s="3" customFormat="1"/>
    <row r="827" s="3" customFormat="1"/>
    <row r="828" s="3" customFormat="1"/>
    <row r="829" s="3" customFormat="1"/>
    <row r="830" s="3" customFormat="1"/>
    <row r="831" s="3" customFormat="1"/>
    <row r="832" s="3" customFormat="1"/>
    <row r="833" s="3" customFormat="1"/>
    <row r="834" s="3" customFormat="1"/>
    <row r="835" s="3" customFormat="1"/>
    <row r="836" s="3" customFormat="1"/>
    <row r="837" s="3" customFormat="1"/>
    <row r="838" s="3" customFormat="1"/>
    <row r="839" s="3" customFormat="1"/>
    <row r="840" s="3" customFormat="1"/>
    <row r="841" s="3" customFormat="1"/>
    <row r="842" s="3" customFormat="1"/>
    <row r="843" s="3" customFormat="1"/>
    <row r="844" s="3" customFormat="1"/>
    <row r="845" s="3" customFormat="1"/>
    <row r="846" s="3" customFormat="1"/>
    <row r="847" s="3" customFormat="1"/>
    <row r="848" s="3" customFormat="1"/>
    <row r="849" s="3" customFormat="1"/>
    <row r="850" s="3" customFormat="1"/>
    <row r="851" s="3" customFormat="1"/>
    <row r="852" s="3" customFormat="1"/>
    <row r="853" s="3" customFormat="1"/>
    <row r="854" s="3" customFormat="1"/>
    <row r="855" s="3" customFormat="1"/>
    <row r="856" s="3" customFormat="1"/>
    <row r="857" s="3" customFormat="1"/>
    <row r="858" s="3" customFormat="1"/>
    <row r="859" s="3" customFormat="1"/>
    <row r="860" s="3" customFormat="1"/>
    <row r="861" s="3" customFormat="1"/>
    <row r="862" s="3" customFormat="1"/>
    <row r="863" s="3" customFormat="1"/>
    <row r="864" s="3" customFormat="1"/>
    <row r="865" s="3" customFormat="1"/>
    <row r="866" s="3" customFormat="1"/>
    <row r="867" s="3" customFormat="1"/>
    <row r="868" s="3" customFormat="1"/>
    <row r="869" s="3" customFormat="1"/>
    <row r="870" s="3" customFormat="1"/>
    <row r="871" s="3" customFormat="1"/>
    <row r="872" s="3" customFormat="1"/>
    <row r="873" s="3" customFormat="1"/>
    <row r="874" s="3" customFormat="1"/>
    <row r="875" s="3" customFormat="1"/>
    <row r="876" s="3" customFormat="1"/>
    <row r="877" s="3" customFormat="1"/>
    <row r="878" s="3" customFormat="1"/>
    <row r="879" s="3" customFormat="1"/>
    <row r="880" s="3" customFormat="1"/>
    <row r="881" s="3" customFormat="1"/>
    <row r="882" s="3" customFormat="1"/>
    <row r="883" s="3" customFormat="1"/>
    <row r="884" s="3" customFormat="1"/>
    <row r="885" s="3" customFormat="1"/>
    <row r="886" s="3" customFormat="1"/>
    <row r="887" s="3" customFormat="1"/>
    <row r="888" s="3" customFormat="1"/>
    <row r="889" s="3" customFormat="1"/>
    <row r="890" s="3" customFormat="1"/>
    <row r="891" s="3" customFormat="1"/>
    <row r="892" s="3" customFormat="1"/>
    <row r="893" s="3" customFormat="1"/>
    <row r="894" s="3" customFormat="1"/>
    <row r="895" s="3" customFormat="1"/>
    <row r="896" s="3" customFormat="1"/>
    <row r="897" s="3" customFormat="1"/>
    <row r="898" s="3" customFormat="1"/>
    <row r="899" s="3" customFormat="1"/>
    <row r="900" s="3" customFormat="1"/>
    <row r="901" s="3" customFormat="1"/>
    <row r="902" s="3" customFormat="1"/>
    <row r="903" s="3" customFormat="1"/>
    <row r="904" s="3" customFormat="1"/>
    <row r="905" s="3" customFormat="1"/>
    <row r="906" s="3" customFormat="1"/>
    <row r="907" s="3" customFormat="1"/>
    <row r="908" s="3" customFormat="1"/>
    <row r="909" s="3" customFormat="1"/>
    <row r="910" s="3" customFormat="1"/>
    <row r="911" s="3" customFormat="1"/>
    <row r="912" s="3" customFormat="1"/>
    <row r="913" s="3" customFormat="1"/>
    <row r="914" s="3" customFormat="1"/>
    <row r="915" s="3" customFormat="1"/>
    <row r="916" s="3" customFormat="1"/>
    <row r="917" s="3" customFormat="1"/>
    <row r="918" s="3" customFormat="1"/>
    <row r="919" s="3" customFormat="1"/>
    <row r="920" s="3" customFormat="1"/>
    <row r="921" s="3" customFormat="1"/>
    <row r="922" s="3" customFormat="1"/>
    <row r="923" s="3" customFormat="1"/>
    <row r="924" s="3" customFormat="1"/>
    <row r="925" s="3" customFormat="1"/>
    <row r="926" s="3" customFormat="1"/>
    <row r="927" s="3" customFormat="1"/>
    <row r="928" s="3" customFormat="1"/>
    <row r="929" s="3" customFormat="1"/>
    <row r="930" s="3" customFormat="1"/>
    <row r="931" s="3" customFormat="1"/>
    <row r="932" s="3" customFormat="1"/>
    <row r="933" s="3" customFormat="1"/>
    <row r="934" s="3" customFormat="1"/>
    <row r="935" s="3" customFormat="1"/>
    <row r="936" s="3" customFormat="1"/>
    <row r="937" s="3" customFormat="1"/>
    <row r="938" s="3" customFormat="1"/>
    <row r="939" s="3" customFormat="1"/>
    <row r="940" s="3" customFormat="1"/>
    <row r="941" s="3" customFormat="1"/>
    <row r="942" s="3" customFormat="1"/>
    <row r="943" s="3" customFormat="1"/>
    <row r="944" s="3" customFormat="1"/>
    <row r="945" s="3" customFormat="1"/>
    <row r="946" s="3" customFormat="1"/>
    <row r="947" s="3" customFormat="1"/>
    <row r="948" s="3" customFormat="1"/>
    <row r="949" s="3" customFormat="1"/>
    <row r="950" s="3" customFormat="1"/>
    <row r="951" s="3" customFormat="1"/>
    <row r="952" s="3" customFormat="1"/>
    <row r="953" s="3" customFormat="1"/>
    <row r="954" s="3" customFormat="1"/>
    <row r="955" s="3" customFormat="1"/>
    <row r="956" s="3" customFormat="1"/>
    <row r="957" s="3" customFormat="1"/>
    <row r="958" s="3" customFormat="1"/>
    <row r="959" s="3" customFormat="1"/>
    <row r="960" s="3" customFormat="1"/>
    <row r="961" s="3" customFormat="1"/>
    <row r="962" s="3" customFormat="1"/>
    <row r="963" s="3" customFormat="1"/>
    <row r="964" s="3" customFormat="1"/>
    <row r="965" s="3" customFormat="1"/>
    <row r="966" s="3" customFormat="1"/>
    <row r="967" s="3" customFormat="1"/>
    <row r="968" s="3" customFormat="1"/>
    <row r="969" s="3" customFormat="1"/>
    <row r="970" s="3" customFormat="1"/>
    <row r="971" s="3" customFormat="1"/>
    <row r="972" s="3" customFormat="1"/>
    <row r="973" s="3" customFormat="1"/>
    <row r="974" s="3" customFormat="1"/>
    <row r="975" s="3" customFormat="1"/>
    <row r="976" s="3" customFormat="1"/>
    <row r="977" s="3" customFormat="1"/>
    <row r="978" s="3" customFormat="1"/>
    <row r="979" s="3" customFormat="1"/>
    <row r="980" s="3" customFormat="1"/>
    <row r="981" s="3" customFormat="1"/>
    <row r="982" s="3" customFormat="1"/>
    <row r="983" s="3" customFormat="1"/>
    <row r="984" s="3" customFormat="1"/>
    <row r="985" s="3" customFormat="1"/>
    <row r="986" s="3" customFormat="1"/>
    <row r="987" s="3" customFormat="1"/>
    <row r="988" s="3" customFormat="1"/>
    <row r="989" s="3" customFormat="1"/>
    <row r="990" s="3" customFormat="1"/>
    <row r="991" s="3" customFormat="1"/>
    <row r="992" s="3" customFormat="1"/>
    <row r="993" s="3" customFormat="1"/>
    <row r="994" s="3" customFormat="1"/>
    <row r="995" s="3" customFormat="1"/>
    <row r="996" s="3" customFormat="1"/>
    <row r="997" s="3" customFormat="1"/>
    <row r="998" s="3" customFormat="1"/>
    <row r="999" s="3" customFormat="1"/>
    <row r="1000" s="3" customFormat="1"/>
    <row r="1001" s="3" customFormat="1"/>
    <row r="1002" s="3" customFormat="1"/>
    <row r="1003" s="3" customFormat="1"/>
    <row r="1004" s="3" customFormat="1"/>
    <row r="1005" s="3" customFormat="1"/>
    <row r="1006" s="3" customFormat="1"/>
    <row r="1007" s="3" customFormat="1"/>
    <row r="1008" s="3" customFormat="1"/>
    <row r="1009" s="3" customFormat="1"/>
    <row r="1010" s="3" customFormat="1"/>
    <row r="1011" s="3" customFormat="1"/>
    <row r="1012" s="3" customFormat="1"/>
    <row r="1013" s="3" customFormat="1"/>
    <row r="1014" s="3" customFormat="1"/>
    <row r="1015" s="3" customFormat="1"/>
    <row r="1016" s="3" customFormat="1"/>
    <row r="1017" s="3" customFormat="1"/>
    <row r="1018" s="3" customFormat="1"/>
    <row r="1019" s="3" customFormat="1"/>
    <row r="1020" s="3" customFormat="1"/>
    <row r="1021" s="3" customFormat="1"/>
    <row r="1022" s="3" customFormat="1"/>
    <row r="1023" s="3" customFormat="1"/>
    <row r="1024" s="3" customFormat="1"/>
    <row r="1025" s="3" customFormat="1"/>
    <row r="1026" s="3" customFormat="1"/>
    <row r="1027" s="3" customFormat="1"/>
    <row r="1028" s="3" customFormat="1"/>
    <row r="1029" s="3" customFormat="1"/>
    <row r="1030" s="3" customFormat="1"/>
    <row r="1031" s="3" customFormat="1"/>
    <row r="1032" s="3" customFormat="1"/>
    <row r="1033" s="3" customFormat="1"/>
    <row r="1034" s="3" customFormat="1"/>
    <row r="1035" s="3" customFormat="1"/>
    <row r="1036" s="3" customFormat="1"/>
    <row r="1037" s="3" customFormat="1"/>
    <row r="1038" s="3" customFormat="1"/>
    <row r="1039" s="3" customFormat="1"/>
    <row r="1040" s="3" customFormat="1"/>
    <row r="1041" s="3" customFormat="1"/>
    <row r="1042" s="3" customFormat="1"/>
    <row r="1043" s="3" customFormat="1"/>
    <row r="1044" s="3" customFormat="1"/>
    <row r="1045" s="3" customFormat="1"/>
    <row r="1046" s="3" customFormat="1"/>
    <row r="1047" s="3" customFormat="1"/>
    <row r="1048" s="3" customFormat="1"/>
    <row r="1049" s="3" customFormat="1"/>
    <row r="1050" s="3" customFormat="1"/>
    <row r="1051" s="3" customFormat="1"/>
    <row r="1052" s="3" customFormat="1"/>
    <row r="1053" s="3" customFormat="1"/>
    <row r="1054" s="3" customFormat="1"/>
    <row r="1055" s="3" customFormat="1"/>
    <row r="1056" s="3" customFormat="1"/>
    <row r="1057" s="3" customFormat="1"/>
    <row r="1058" s="3" customFormat="1"/>
    <row r="1059" s="3" customFormat="1"/>
    <row r="1060" s="3" customFormat="1"/>
    <row r="1061" s="3" customFormat="1"/>
    <row r="1062" s="3" customFormat="1"/>
    <row r="1063" s="3" customFormat="1"/>
    <row r="1064" s="3" customFormat="1"/>
    <row r="1065" s="3" customFormat="1"/>
    <row r="1066" s="3" customFormat="1"/>
    <row r="1067" s="3" customFormat="1"/>
    <row r="1068" s="3" customFormat="1"/>
    <row r="1069" s="3" customFormat="1"/>
    <row r="1070" s="3" customFormat="1"/>
    <row r="1071" s="3" customFormat="1"/>
    <row r="1072" s="3" customFormat="1"/>
    <row r="1073" s="3" customFormat="1"/>
    <row r="1074" s="3" customFormat="1"/>
    <row r="1075" s="3" customFormat="1"/>
    <row r="1076" s="3" customFormat="1"/>
    <row r="1077" s="3" customFormat="1"/>
    <row r="1078" s="3" customFormat="1"/>
    <row r="1079" s="3" customFormat="1"/>
    <row r="1080" s="3" customFormat="1"/>
    <row r="1081" s="3" customFormat="1"/>
    <row r="1082" s="3" customFormat="1"/>
    <row r="1083" s="3" customFormat="1"/>
    <row r="1084" s="3" customFormat="1"/>
    <row r="1085" s="3" customFormat="1"/>
    <row r="1086" s="3" customFormat="1"/>
    <row r="1087" s="3" customFormat="1"/>
    <row r="1088" s="3" customFormat="1"/>
    <row r="1089" s="3" customFormat="1"/>
    <row r="1090" s="3" customFormat="1"/>
    <row r="1091" s="3" customFormat="1"/>
    <row r="1092" s="3" customFormat="1"/>
    <row r="1093" s="3" customFormat="1"/>
    <row r="1094" s="3" customFormat="1"/>
    <row r="1095" s="3" customFormat="1"/>
    <row r="1096" s="3" customFormat="1"/>
    <row r="1097" s="3" customFormat="1"/>
    <row r="1098" s="3" customFormat="1"/>
    <row r="1099" s="3" customFormat="1"/>
    <row r="1100" s="3" customFormat="1"/>
    <row r="1101" s="3" customFormat="1"/>
    <row r="1102" s="3" customFormat="1"/>
    <row r="1103" s="3" customFormat="1"/>
    <row r="1104" s="3" customFormat="1"/>
    <row r="1105" s="3" customFormat="1"/>
    <row r="1106" s="3" customFormat="1"/>
    <row r="1107" s="3" customFormat="1"/>
    <row r="1108" s="3" customFormat="1"/>
    <row r="1109" s="3" customFormat="1"/>
    <row r="1110" s="3" customFormat="1"/>
    <row r="1111" s="3" customFormat="1"/>
    <row r="1112" s="3" customFormat="1"/>
    <row r="1113" s="3" customFormat="1"/>
    <row r="1114" s="3" customFormat="1"/>
    <row r="1115" s="3" customFormat="1"/>
    <row r="1116" s="3" customFormat="1"/>
    <row r="1117" s="3" customFormat="1"/>
    <row r="1118" s="3" customFormat="1"/>
    <row r="1119" s="3" customFormat="1"/>
    <row r="1120" s="3" customFormat="1"/>
    <row r="1121" s="3" customFormat="1"/>
    <row r="1122" s="3" customFormat="1"/>
    <row r="1123" s="3" customFormat="1"/>
    <row r="1124" s="3" customFormat="1"/>
    <row r="1125" s="3" customFormat="1"/>
    <row r="1126" s="3" customFormat="1"/>
    <row r="1127" s="3" customFormat="1"/>
    <row r="1128" s="3" customFormat="1"/>
    <row r="1129" s="3" customFormat="1"/>
    <row r="1130" s="3" customFormat="1"/>
    <row r="1131" s="3" customFormat="1"/>
    <row r="1132" s="3" customFormat="1"/>
    <row r="1133" s="3" customFormat="1"/>
    <row r="1134" s="3" customFormat="1"/>
    <row r="1135" s="3" customFormat="1"/>
    <row r="1136" s="3" customFormat="1"/>
    <row r="1137" s="3" customFormat="1"/>
    <row r="1138" s="3" customFormat="1"/>
    <row r="1139" s="3" customFormat="1"/>
    <row r="1140" s="3" customFormat="1"/>
    <row r="1141" s="3" customFormat="1"/>
    <row r="1142" s="3" customFormat="1"/>
    <row r="1143" s="3" customFormat="1"/>
    <row r="1144" s="3" customFormat="1"/>
    <row r="1145" s="3" customFormat="1"/>
    <row r="1146" s="3" customFormat="1"/>
    <row r="1147" s="3" customFormat="1"/>
    <row r="1148" s="3" customFormat="1"/>
    <row r="1149" s="3" customFormat="1"/>
    <row r="1150" s="3" customFormat="1"/>
    <row r="1151" s="3" customFormat="1"/>
    <row r="1152" s="3" customFormat="1"/>
    <row r="1153" s="3" customFormat="1"/>
    <row r="1154" s="3" customFormat="1"/>
    <row r="1155" s="3" customFormat="1"/>
    <row r="1156" s="3" customFormat="1"/>
    <row r="1157" s="3" customFormat="1"/>
    <row r="1158" s="3" customFormat="1"/>
    <row r="1159" s="3" customFormat="1"/>
    <row r="1160" s="3" customFormat="1"/>
    <row r="1161" s="3" customFormat="1"/>
    <row r="1162" s="3" customFormat="1"/>
    <row r="1163" s="3" customFormat="1"/>
    <row r="1164" s="3" customFormat="1"/>
    <row r="1165" s="3" customFormat="1"/>
    <row r="1166" s="3" customFormat="1"/>
    <row r="1167" s="3" customFormat="1"/>
    <row r="1168" s="3" customFormat="1"/>
    <row r="1169" s="3" customFormat="1"/>
    <row r="1170" s="3" customFormat="1"/>
    <row r="1171" s="3" customFormat="1"/>
    <row r="1172" s="3" customFormat="1"/>
    <row r="1173" s="3" customFormat="1"/>
    <row r="1174" s="3" customFormat="1"/>
    <row r="1175" s="3" customFormat="1"/>
    <row r="1176" s="3" customFormat="1"/>
    <row r="1177" s="3" customFormat="1"/>
    <row r="1178" s="3" customFormat="1"/>
    <row r="1179" s="3" customFormat="1"/>
    <row r="1180" s="3" customFormat="1"/>
    <row r="1181" s="3" customFormat="1"/>
    <row r="1182" s="3" customFormat="1"/>
    <row r="1183" s="3" customFormat="1"/>
    <row r="1184" s="3" customFormat="1"/>
    <row r="1185" s="3" customFormat="1"/>
    <row r="1186" s="3" customFormat="1"/>
    <row r="1187" s="3" customFormat="1"/>
    <row r="1188" s="3" customFormat="1"/>
    <row r="1189" s="3" customFormat="1"/>
    <row r="1190" s="3" customFormat="1"/>
    <row r="1191" s="3" customFormat="1"/>
    <row r="1192" s="3" customFormat="1"/>
    <row r="1193" s="3" customFormat="1"/>
    <row r="1194" s="3" customFormat="1"/>
    <row r="1195" s="3" customFormat="1"/>
    <row r="1196" s="3" customFormat="1"/>
    <row r="1197" s="3" customFormat="1"/>
    <row r="1198" s="3" customFormat="1"/>
    <row r="1199" s="3" customFormat="1"/>
    <row r="1200" s="3" customFormat="1"/>
    <row r="1201" s="3" customFormat="1"/>
    <row r="1202" s="3" customFormat="1"/>
    <row r="1203" s="3" customFormat="1"/>
    <row r="1204" s="3" customFormat="1"/>
    <row r="1205" s="3" customFormat="1"/>
    <row r="1206" s="3" customFormat="1"/>
    <row r="1207" s="3" customFormat="1"/>
    <row r="1208" s="3" customFormat="1"/>
    <row r="1209" s="3" customFormat="1"/>
    <row r="1210" s="3" customFormat="1"/>
    <row r="1211" s="3" customFormat="1"/>
    <row r="1212" s="3" customFormat="1"/>
    <row r="1213" s="3" customFormat="1"/>
    <row r="1214" s="3" customFormat="1"/>
    <row r="1215" s="3" customFormat="1"/>
    <row r="1216" s="3" customFormat="1"/>
    <row r="1217" s="3" customFormat="1"/>
    <row r="1218" s="3" customFormat="1"/>
    <row r="1219" s="3" customFormat="1"/>
    <row r="1220" s="3" customFormat="1"/>
    <row r="1221" s="3" customFormat="1"/>
    <row r="1222" s="3" customFormat="1"/>
    <row r="1223" s="3" customFormat="1"/>
    <row r="1224" s="3" customFormat="1"/>
    <row r="1225" s="3" customFormat="1"/>
    <row r="1226" s="3" customFormat="1"/>
    <row r="1227" s="3" customFormat="1"/>
    <row r="1228" s="3" customFormat="1"/>
    <row r="1229" s="3" customFormat="1"/>
    <row r="1230" s="3" customFormat="1"/>
    <row r="1231" s="3" customFormat="1"/>
    <row r="1232" s="3" customFormat="1"/>
    <row r="1233" s="3" customFormat="1"/>
    <row r="1234" s="3" customFormat="1"/>
    <row r="1235" s="3" customFormat="1"/>
    <row r="1236" s="3" customFormat="1"/>
    <row r="1237" s="3" customFormat="1"/>
    <row r="1238" s="3" customFormat="1"/>
    <row r="1239" s="3" customFormat="1"/>
    <row r="1240" s="3" customFormat="1"/>
    <row r="1241" s="3" customFormat="1"/>
    <row r="1242" s="3" customFormat="1"/>
    <row r="1243" s="3" customFormat="1"/>
    <row r="1244" s="3" customFormat="1"/>
    <row r="1245" s="3" customFormat="1"/>
    <row r="1246" s="3" customFormat="1"/>
    <row r="1247" s="3" customFormat="1"/>
    <row r="1248" s="3" customFormat="1"/>
    <row r="1249" s="3" customFormat="1"/>
    <row r="1250" s="3" customFormat="1"/>
    <row r="1251" s="3" customFormat="1"/>
    <row r="1252" s="3" customFormat="1"/>
    <row r="1253" s="3" customFormat="1"/>
    <row r="1254" s="3" customFormat="1"/>
    <row r="1255" s="3" customFormat="1"/>
    <row r="1256" s="3" customFormat="1"/>
    <row r="1257" s="3" customFormat="1"/>
    <row r="1258" s="3" customFormat="1"/>
    <row r="1259" s="3" customFormat="1"/>
    <row r="1260" s="3" customFormat="1"/>
    <row r="1261" s="3" customFormat="1"/>
    <row r="1262" s="3" customFormat="1"/>
    <row r="1263" s="3" customFormat="1"/>
    <row r="1264" s="3" customFormat="1"/>
    <row r="1265" s="3" customFormat="1"/>
    <row r="1266" s="3" customFormat="1"/>
    <row r="1267" s="3" customFormat="1"/>
    <row r="1268" s="3" customFormat="1"/>
    <row r="1269" s="3" customFormat="1"/>
    <row r="1270" s="3" customFormat="1"/>
    <row r="1271" s="3" customFormat="1"/>
    <row r="1272" s="3" customFormat="1"/>
    <row r="1273" s="3" customFormat="1"/>
    <row r="1274" s="3" customFormat="1"/>
    <row r="1275" s="3" customFormat="1"/>
    <row r="1276" s="3" customFormat="1"/>
    <row r="1277" s="3" customFormat="1"/>
    <row r="1278" s="3" customFormat="1"/>
    <row r="1279" s="3" customFormat="1"/>
    <row r="1280" s="3" customFormat="1"/>
    <row r="1281" s="3" customFormat="1"/>
    <row r="1282" s="3" customFormat="1"/>
    <row r="1283" s="3" customFormat="1"/>
    <row r="1284" s="3" customFormat="1"/>
    <row r="1285" s="3" customFormat="1"/>
    <row r="1286" s="3" customFormat="1"/>
    <row r="1287" s="3" customFormat="1"/>
    <row r="1288" s="3" customFormat="1"/>
    <row r="1289" s="3" customFormat="1"/>
    <row r="1290" s="3" customFormat="1"/>
    <row r="1291" s="3" customFormat="1"/>
    <row r="1292" s="3" customFormat="1"/>
    <row r="1293" s="3" customFormat="1"/>
    <row r="1294" s="3" customFormat="1"/>
    <row r="1295" s="3" customFormat="1"/>
    <row r="1296" s="3" customFormat="1"/>
    <row r="1297" s="3" customFormat="1"/>
    <row r="1298" s="3" customFormat="1"/>
    <row r="1299" s="3" customFormat="1"/>
    <row r="1300" s="3" customFormat="1"/>
    <row r="1301" s="3" customFormat="1"/>
    <row r="1302" s="3" customFormat="1"/>
    <row r="1303" s="3" customFormat="1"/>
    <row r="1304" s="3" customFormat="1"/>
    <row r="1305" s="3" customFormat="1"/>
    <row r="1306" s="3" customFormat="1"/>
    <row r="1307" s="3" customFormat="1"/>
    <row r="1308" s="3" customFormat="1"/>
    <row r="1309" s="3" customFormat="1"/>
    <row r="1310" s="3" customFormat="1"/>
    <row r="1311" s="3" customFormat="1"/>
    <row r="1312" s="3" customFormat="1"/>
    <row r="1313" s="3" customFormat="1"/>
    <row r="1314" s="3" customFormat="1"/>
    <row r="1315" s="3" customFormat="1"/>
    <row r="1316" s="3" customFormat="1"/>
    <row r="1317" s="3" customFormat="1"/>
    <row r="1318" s="3" customFormat="1"/>
    <row r="1319" s="3" customFormat="1"/>
    <row r="1320" s="3" customFormat="1"/>
    <row r="1321" s="3" customFormat="1"/>
    <row r="1322" s="3" customFormat="1"/>
    <row r="1323" s="3" customFormat="1"/>
    <row r="1324" s="3" customFormat="1"/>
    <row r="1325" s="3" customFormat="1"/>
    <row r="1326" s="3" customFormat="1"/>
    <row r="1327" s="3" customFormat="1"/>
    <row r="1328" s="3" customFormat="1"/>
    <row r="1329" s="3" customFormat="1"/>
    <row r="1330" s="3" customFormat="1"/>
    <row r="1331" s="3" customFormat="1"/>
    <row r="1332" s="3" customFormat="1"/>
    <row r="1333" s="3" customFormat="1"/>
    <row r="1334" s="3" customFormat="1"/>
    <row r="1335" s="3" customFormat="1"/>
    <row r="1336" s="3" customFormat="1"/>
    <row r="1337" s="3" customFormat="1"/>
    <row r="1338" s="3" customFormat="1"/>
    <row r="1339" s="3" customFormat="1"/>
    <row r="1340" s="3" customFormat="1"/>
    <row r="1341" s="3" customFormat="1"/>
    <row r="1342" s="3" customFormat="1"/>
    <row r="1343" s="3" customFormat="1"/>
    <row r="1344" s="3" customFormat="1"/>
    <row r="1345" s="3" customFormat="1"/>
    <row r="1346" s="3" customFormat="1"/>
    <row r="1347" s="3" customFormat="1"/>
    <row r="1348" s="3" customFormat="1"/>
    <row r="1349" s="3" customFormat="1"/>
    <row r="1350" s="3" customFormat="1"/>
    <row r="1351" s="3" customFormat="1"/>
    <row r="1352" s="3" customFormat="1"/>
    <row r="1353" s="3" customFormat="1"/>
    <row r="1354" s="3" customFormat="1"/>
    <row r="1355" s="3" customFormat="1"/>
    <row r="1356" s="3" customFormat="1"/>
    <row r="1357" s="3" customFormat="1"/>
    <row r="1358" s="3" customFormat="1"/>
    <row r="1359" s="3" customFormat="1"/>
    <row r="1360" s="3" customFormat="1"/>
    <row r="1361" s="3" customFormat="1"/>
    <row r="1362" s="3" customFormat="1"/>
    <row r="1363" s="3" customFormat="1"/>
    <row r="1364" s="3" customFormat="1"/>
    <row r="1365" s="3" customFormat="1"/>
    <row r="1366" s="3" customFormat="1"/>
    <row r="1367" s="3" customFormat="1"/>
    <row r="1368" s="3" customFormat="1"/>
    <row r="1369" s="3" customFormat="1"/>
    <row r="1370" s="3" customFormat="1"/>
    <row r="1371" s="3" customFormat="1"/>
    <row r="1372" s="3" customFormat="1"/>
    <row r="1373" s="3" customFormat="1"/>
    <row r="1374" s="3" customFormat="1"/>
    <row r="1375" s="3" customFormat="1"/>
    <row r="1376" s="3" customFormat="1"/>
    <row r="1377" s="3" customFormat="1"/>
    <row r="1378" s="3" customFormat="1"/>
    <row r="1379" s="3" customFormat="1"/>
    <row r="1380" s="3" customFormat="1"/>
    <row r="1381" s="3" customFormat="1"/>
    <row r="1382" s="3" customFormat="1"/>
    <row r="1383" s="3" customFormat="1"/>
    <row r="1384" s="3" customFormat="1"/>
    <row r="1385" s="3" customFormat="1"/>
    <row r="1386" s="3" customFormat="1"/>
    <row r="1387" s="3" customFormat="1"/>
    <row r="1388" s="3" customFormat="1"/>
    <row r="1389" s="3" customFormat="1"/>
    <row r="1390" s="3" customFormat="1"/>
    <row r="1391" s="3" customFormat="1"/>
    <row r="1392" s="3" customFormat="1"/>
    <row r="1393" s="3" customFormat="1"/>
    <row r="1394" s="3" customFormat="1"/>
    <row r="1395" s="3" customFormat="1"/>
    <row r="1396" s="3" customFormat="1"/>
    <row r="1397" s="3" customFormat="1"/>
    <row r="1398" s="3" customFormat="1"/>
    <row r="1399" s="3" customFormat="1"/>
    <row r="1400" s="3" customFormat="1"/>
    <row r="1401" s="3" customFormat="1"/>
    <row r="1402" s="3" customFormat="1"/>
    <row r="1403" s="3" customFormat="1"/>
    <row r="1404" s="3" customFormat="1"/>
    <row r="1405" s="3" customFormat="1"/>
    <row r="1406" s="3" customFormat="1"/>
    <row r="1407" s="3" customFormat="1"/>
    <row r="1408" s="3" customFormat="1"/>
    <row r="1409" s="3" customFormat="1"/>
    <row r="1410" s="3" customFormat="1"/>
    <row r="1411" s="3" customFormat="1"/>
    <row r="1412" s="3" customFormat="1"/>
    <row r="1413" s="3" customFormat="1"/>
    <row r="1414" s="3" customFormat="1"/>
    <row r="1415" s="3" customFormat="1"/>
    <row r="1416" s="3" customFormat="1"/>
    <row r="1417" s="3" customFormat="1"/>
    <row r="1418" s="3" customFormat="1"/>
    <row r="1419" s="3" customFormat="1"/>
    <row r="1420" s="3" customFormat="1"/>
    <row r="1421" s="3" customFormat="1"/>
    <row r="1422" s="3" customFormat="1"/>
    <row r="1423" s="3" customFormat="1"/>
    <row r="1424" s="3" customFormat="1"/>
    <row r="1425" s="3" customFormat="1"/>
    <row r="1426" s="3" customFormat="1"/>
    <row r="1427" s="3" customFormat="1"/>
    <row r="1428" s="3" customFormat="1"/>
    <row r="1429" s="3" customFormat="1"/>
    <row r="1430" s="3" customFormat="1"/>
    <row r="1431" s="3" customFormat="1"/>
    <row r="1432" s="3" customFormat="1"/>
    <row r="1433" s="3" customFormat="1"/>
    <row r="1434" s="3" customFormat="1"/>
    <row r="1435" s="3" customFormat="1"/>
    <row r="1436" s="3" customFormat="1"/>
    <row r="1437" s="3" customFormat="1"/>
    <row r="1438" s="3" customFormat="1"/>
    <row r="1439" s="3" customFormat="1"/>
    <row r="1440" s="3" customFormat="1"/>
    <row r="1441" s="3" customFormat="1"/>
    <row r="1442" s="3" customFormat="1"/>
    <row r="1443" s="3" customFormat="1"/>
    <row r="1444" s="3" customFormat="1"/>
    <row r="1445" s="3" customFormat="1"/>
    <row r="1446" s="3" customFormat="1"/>
    <row r="1447" s="3" customFormat="1"/>
    <row r="1448" s="3" customFormat="1"/>
    <row r="1449" s="3" customFormat="1"/>
    <row r="1450" s="3" customFormat="1"/>
    <row r="1451" s="3" customFormat="1"/>
    <row r="1452" s="3" customFormat="1"/>
    <row r="1453" s="3" customFormat="1"/>
    <row r="1454" s="3" customFormat="1"/>
    <row r="1455" s="3" customFormat="1"/>
    <row r="1456" s="3" customFormat="1"/>
    <row r="1457" s="3" customFormat="1"/>
    <row r="1458" s="3" customFormat="1"/>
    <row r="1459" s="3" customFormat="1"/>
    <row r="1460" s="3" customFormat="1"/>
    <row r="1461" s="3" customFormat="1"/>
    <row r="1462" s="3" customFormat="1"/>
    <row r="1463" s="3" customFormat="1"/>
    <row r="1464" s="3" customFormat="1"/>
    <row r="1465" s="3" customFormat="1"/>
    <row r="1466" s="3" customFormat="1"/>
    <row r="1467" s="3" customFormat="1"/>
    <row r="1468" s="3" customFormat="1"/>
    <row r="1469" s="3" customFormat="1"/>
    <row r="1470" s="3" customFormat="1"/>
    <row r="1471" s="3" customFormat="1"/>
    <row r="1472" s="3" customFormat="1"/>
    <row r="1473" s="3" customFormat="1"/>
    <row r="1474" s="3" customFormat="1"/>
    <row r="1475" s="3" customFormat="1"/>
    <row r="1476" s="3" customFormat="1"/>
    <row r="1477" s="3" customFormat="1"/>
    <row r="1478" s="3" customFormat="1"/>
    <row r="1479" s="3" customFormat="1"/>
    <row r="1480" s="3" customFormat="1"/>
    <row r="1481" s="3" customFormat="1"/>
    <row r="1482" s="3" customFormat="1"/>
    <row r="1483" s="3" customFormat="1"/>
    <row r="1484" s="3" customFormat="1"/>
    <row r="1485" s="3" customFormat="1"/>
    <row r="1486" s="3" customFormat="1"/>
    <row r="1487" s="3" customFormat="1"/>
    <row r="1488" s="3" customFormat="1"/>
    <row r="1489" s="3" customFormat="1"/>
    <row r="1490" s="3" customFormat="1"/>
    <row r="1491" s="3" customFormat="1"/>
    <row r="1492" s="3" customFormat="1"/>
    <row r="1493" s="3" customFormat="1"/>
    <row r="1494" s="3" customFormat="1"/>
    <row r="1495" s="3" customFormat="1"/>
    <row r="1496" s="3" customFormat="1"/>
    <row r="1497" s="3" customFormat="1"/>
    <row r="1498" s="3" customFormat="1"/>
    <row r="1499" s="3" customFormat="1"/>
    <row r="1500" s="3" customFormat="1"/>
    <row r="1501" s="3" customFormat="1"/>
    <row r="1502" s="3" customFormat="1"/>
    <row r="1503" s="3" customFormat="1"/>
    <row r="1504" s="3" customFormat="1"/>
    <row r="1505" s="3" customFormat="1"/>
    <row r="1506" s="3" customFormat="1"/>
    <row r="1507" s="3" customFormat="1"/>
    <row r="1508" s="3" customFormat="1"/>
    <row r="1509" s="3" customFormat="1"/>
    <row r="1510" s="3" customFormat="1"/>
    <row r="1511" s="3" customFormat="1"/>
    <row r="1512" s="3" customFormat="1"/>
    <row r="1513" s="3" customFormat="1"/>
    <row r="1514" s="3" customFormat="1"/>
    <row r="1515" s="3" customFormat="1"/>
    <row r="1516" s="3" customFormat="1"/>
    <row r="1517" s="3" customFormat="1"/>
    <row r="1518" s="3" customFormat="1"/>
    <row r="1519" s="3" customFormat="1"/>
    <row r="1520" s="3" customFormat="1"/>
    <row r="1521" s="3" customFormat="1"/>
    <row r="1522" s="3" customFormat="1"/>
    <row r="1523" s="3" customFormat="1"/>
    <row r="1524" s="3" customFormat="1"/>
    <row r="1525" s="3" customFormat="1"/>
    <row r="1526" s="3" customFormat="1"/>
    <row r="1527" s="3" customFormat="1"/>
    <row r="1528" s="3" customFormat="1"/>
    <row r="1529" s="3" customFormat="1"/>
    <row r="1530" s="3" customFormat="1"/>
    <row r="1531" s="3" customFormat="1"/>
    <row r="1532" s="3" customFormat="1"/>
    <row r="1533" s="3" customFormat="1"/>
    <row r="1534" s="3" customFormat="1"/>
    <row r="1535" s="3" customFormat="1"/>
    <row r="1536" s="3" customFormat="1"/>
    <row r="1537" s="3" customFormat="1"/>
    <row r="1538" s="3" customFormat="1"/>
    <row r="1539" s="3" customFormat="1"/>
    <row r="1540" s="3" customFormat="1"/>
    <row r="1541" s="3" customFormat="1"/>
    <row r="1542" s="3" customFormat="1"/>
    <row r="1543" s="3" customFormat="1"/>
    <row r="1544" s="3" customFormat="1"/>
    <row r="1545" s="3" customFormat="1"/>
    <row r="1546" s="3" customFormat="1"/>
    <row r="1547" s="3" customFormat="1"/>
    <row r="1548" s="3" customFormat="1"/>
    <row r="1549" s="3" customFormat="1"/>
    <row r="1550" s="3" customFormat="1"/>
    <row r="1551" s="3" customFormat="1"/>
    <row r="1552" s="3" customFormat="1"/>
    <row r="1553" s="3" customFormat="1"/>
    <row r="1554" s="3" customFormat="1"/>
    <row r="1555" s="3" customFormat="1"/>
    <row r="1556" s="3" customFormat="1"/>
    <row r="1557" s="3" customFormat="1"/>
    <row r="1558" s="3" customFormat="1"/>
    <row r="1559" s="3" customFormat="1"/>
    <row r="1560" s="3" customFormat="1"/>
    <row r="1561" s="3" customFormat="1"/>
    <row r="1562" s="3" customFormat="1"/>
    <row r="1563" s="3" customFormat="1"/>
    <row r="1564" s="3" customFormat="1"/>
    <row r="1565" s="3" customFormat="1"/>
    <row r="1566" s="3" customFormat="1"/>
    <row r="1567" s="3" customFormat="1"/>
    <row r="1568" s="3" customFormat="1"/>
    <row r="1569" s="3" customFormat="1"/>
    <row r="1570" s="3" customFormat="1"/>
    <row r="1571" s="3" customFormat="1"/>
    <row r="1572" s="3" customFormat="1"/>
    <row r="1573" s="3" customFormat="1"/>
    <row r="1574" s="3" customFormat="1"/>
    <row r="1575" s="3" customFormat="1"/>
    <row r="1576" s="3" customFormat="1"/>
    <row r="1577" s="3" customFormat="1"/>
    <row r="1578" s="3" customFormat="1"/>
    <row r="1579" s="3" customFormat="1"/>
    <row r="1580" s="3" customFormat="1"/>
    <row r="1581" s="3" customFormat="1"/>
    <row r="1582" s="3" customFormat="1"/>
    <row r="1583" s="3" customFormat="1"/>
    <row r="1584" s="3" customFormat="1"/>
    <row r="1585" s="3" customFormat="1"/>
    <row r="1586" s="3" customFormat="1"/>
    <row r="1587" s="3" customFormat="1"/>
    <row r="1588" s="3" customFormat="1"/>
    <row r="1589" s="3" customFormat="1"/>
    <row r="1590" s="3" customFormat="1"/>
    <row r="1591" s="3" customFormat="1"/>
    <row r="1592" s="3" customFormat="1"/>
    <row r="1593" s="3" customFormat="1"/>
    <row r="1594" s="3" customFormat="1"/>
    <row r="1595" s="3" customFormat="1"/>
    <row r="1596" s="3" customFormat="1"/>
    <row r="1597" s="3" customFormat="1"/>
    <row r="1598" s="3" customFormat="1"/>
    <row r="1599" s="3" customFormat="1"/>
    <row r="1600" s="3" customFormat="1"/>
    <row r="1601" s="3" customFormat="1"/>
    <row r="1602" s="3" customFormat="1"/>
    <row r="1603" s="3" customFormat="1"/>
    <row r="1604" s="3" customFormat="1"/>
    <row r="1605" s="3" customFormat="1"/>
    <row r="1606" s="3" customFormat="1"/>
    <row r="1607" s="3" customFormat="1"/>
    <row r="1608" s="3" customFormat="1"/>
    <row r="1609" s="3" customFormat="1"/>
    <row r="1610" s="3" customFormat="1"/>
    <row r="1611" s="3" customFormat="1"/>
    <row r="1612" s="3" customFormat="1"/>
    <row r="1613" s="3" customFormat="1"/>
    <row r="1614" s="3" customFormat="1"/>
    <row r="1615" s="3" customFormat="1"/>
    <row r="1616" s="3" customFormat="1"/>
    <row r="1617" s="3" customFormat="1"/>
    <row r="1618" s="3" customFormat="1"/>
    <row r="1619" s="3" customFormat="1"/>
    <row r="1620" s="3" customFormat="1"/>
    <row r="1621" s="3" customFormat="1"/>
    <row r="1622" s="3" customFormat="1"/>
    <row r="1623" s="3" customFormat="1"/>
    <row r="1624" s="3" customFormat="1"/>
    <row r="1625" s="3" customFormat="1"/>
    <row r="1626" s="3" customFormat="1"/>
    <row r="1627" s="3" customFormat="1"/>
    <row r="1628" s="3" customFormat="1"/>
    <row r="1629" s="3" customFormat="1"/>
    <row r="1630" s="3" customFormat="1"/>
    <row r="1631" s="3" customFormat="1"/>
    <row r="1632" s="3" customFormat="1"/>
    <row r="1633" s="3" customFormat="1"/>
    <row r="1634" s="3" customFormat="1"/>
    <row r="1635" s="3" customFormat="1"/>
    <row r="1636" s="3" customFormat="1"/>
    <row r="1637" s="3" customFormat="1"/>
    <row r="1638" s="3" customFormat="1"/>
    <row r="1639" s="3" customFormat="1"/>
    <row r="1640" s="3" customFormat="1"/>
    <row r="1641" s="3" customFormat="1"/>
    <row r="1642" s="3" customFormat="1"/>
    <row r="1643" s="3" customFormat="1"/>
    <row r="1644" s="3" customFormat="1"/>
    <row r="1645" s="3" customFormat="1"/>
    <row r="1646" s="3" customFormat="1"/>
    <row r="1647" s="3" customFormat="1"/>
    <row r="1648" s="3" customFormat="1"/>
    <row r="1649" s="3" customFormat="1"/>
    <row r="1650" s="3" customFormat="1"/>
    <row r="1651" s="3" customFormat="1"/>
    <row r="1652" s="3" customFormat="1"/>
    <row r="1653" s="3" customFormat="1"/>
    <row r="1654" s="3" customFormat="1"/>
    <row r="1655" s="3" customFormat="1"/>
    <row r="1656" s="3" customFormat="1"/>
    <row r="1657" s="3" customFormat="1"/>
    <row r="1658" s="3" customFormat="1"/>
    <row r="1659" s="3" customFormat="1"/>
    <row r="1660" s="3" customFormat="1"/>
    <row r="1661" s="3" customFormat="1"/>
    <row r="1662" s="3" customFormat="1"/>
    <row r="1663" s="3" customFormat="1"/>
    <row r="1664" s="3" customFormat="1"/>
    <row r="1665" s="3" customFormat="1"/>
    <row r="1666" s="3" customFormat="1"/>
    <row r="1667" s="3" customFormat="1"/>
    <row r="1668" s="3" customFormat="1"/>
    <row r="1669" s="3" customFormat="1"/>
    <row r="1670" s="3" customFormat="1"/>
    <row r="1671" s="3" customFormat="1"/>
    <row r="1672" s="3" customFormat="1"/>
    <row r="1673" s="3" customFormat="1"/>
    <row r="1674" s="3" customFormat="1"/>
    <row r="1675" s="3" customFormat="1"/>
    <row r="1676" s="3" customFormat="1"/>
    <row r="1677" s="3" customFormat="1"/>
    <row r="1678" s="3" customFormat="1"/>
    <row r="1679" s="3" customFormat="1"/>
    <row r="1680" s="3" customFormat="1"/>
    <row r="1681" s="3" customFormat="1"/>
    <row r="1682" s="3" customFormat="1"/>
    <row r="1683" s="3" customFormat="1"/>
    <row r="1684" s="3" customFormat="1"/>
    <row r="1685" s="3" customFormat="1"/>
    <row r="1686" s="3" customFormat="1"/>
    <row r="1687" s="3" customFormat="1"/>
    <row r="1688" s="3" customFormat="1"/>
    <row r="1689" s="3" customFormat="1"/>
    <row r="1690" s="3" customFormat="1"/>
    <row r="1691" s="3" customFormat="1"/>
    <row r="1692" s="3" customFormat="1"/>
    <row r="1693" s="3" customFormat="1"/>
    <row r="1694" s="3" customFormat="1"/>
    <row r="1695" s="3" customFormat="1"/>
    <row r="1696" s="3" customFormat="1"/>
    <row r="1697" s="3" customFormat="1"/>
    <row r="1698" s="3" customFormat="1"/>
    <row r="1699" s="3" customFormat="1"/>
    <row r="1700" s="3" customFormat="1"/>
    <row r="1701" s="3" customFormat="1"/>
    <row r="1702" s="3" customFormat="1"/>
    <row r="1703" s="3" customFormat="1"/>
    <row r="1704" s="3" customFormat="1"/>
    <row r="1705" s="3" customFormat="1"/>
    <row r="1706" s="3" customFormat="1"/>
    <row r="1707" s="3" customFormat="1"/>
    <row r="1708" s="3" customFormat="1"/>
    <row r="1709" s="3" customFormat="1"/>
    <row r="1710" s="3" customFormat="1"/>
    <row r="1711" s="3" customFormat="1"/>
    <row r="1712" s="3" customFormat="1"/>
    <row r="1713" s="3" customFormat="1"/>
    <row r="1714" s="3" customFormat="1"/>
    <row r="1715" s="3" customFormat="1"/>
    <row r="1716" s="3" customFormat="1"/>
    <row r="1717" s="3" customFormat="1"/>
    <row r="1718" s="3" customFormat="1"/>
    <row r="1719" s="3" customFormat="1"/>
    <row r="1720" s="3" customFormat="1"/>
    <row r="1721" s="3" customFormat="1"/>
    <row r="1722" s="3" customFormat="1"/>
    <row r="1723" s="3" customFormat="1"/>
    <row r="1724" s="3" customFormat="1"/>
    <row r="1725" s="3" customFormat="1"/>
    <row r="1726" s="3" customFormat="1"/>
    <row r="1727" s="3" customFormat="1"/>
    <row r="1728" s="3" customFormat="1"/>
    <row r="1729" s="3" customFormat="1"/>
    <row r="1730" s="3" customFormat="1"/>
    <row r="1731" s="3" customFormat="1"/>
    <row r="1732" s="3" customFormat="1"/>
    <row r="1733" s="3" customFormat="1"/>
    <row r="1734" s="3" customFormat="1"/>
    <row r="1735" s="3" customFormat="1"/>
    <row r="1736" s="3" customFormat="1"/>
    <row r="1737" s="3" customFormat="1"/>
    <row r="1738" s="3" customFormat="1"/>
    <row r="1739" s="3" customFormat="1"/>
    <row r="1740" s="3" customFormat="1"/>
    <row r="1741" s="3" customFormat="1"/>
    <row r="1742" s="3" customFormat="1"/>
    <row r="1743" s="3" customFormat="1"/>
    <row r="1744" s="3" customFormat="1"/>
    <row r="1745" s="3" customFormat="1"/>
    <row r="1746" s="3" customFormat="1"/>
    <row r="1747" s="3" customFormat="1"/>
    <row r="1748" s="3" customFormat="1"/>
    <row r="1749" s="3" customFormat="1"/>
    <row r="1750" s="3" customFormat="1"/>
    <row r="1751" s="3" customFormat="1"/>
    <row r="1752" s="3" customFormat="1"/>
    <row r="1753" s="3" customFormat="1"/>
    <row r="1754" s="3" customFormat="1"/>
    <row r="1755" s="3" customFormat="1"/>
    <row r="1756" s="3" customFormat="1"/>
    <row r="1757" s="3" customFormat="1"/>
    <row r="1758" s="3" customFormat="1"/>
    <row r="1759" s="3" customFormat="1"/>
    <row r="1760" s="3" customFormat="1"/>
    <row r="1761" s="3" customFormat="1"/>
    <row r="1762" s="3" customFormat="1"/>
    <row r="1763" s="3" customFormat="1"/>
    <row r="1764" s="3" customFormat="1"/>
    <row r="1765" s="3" customFormat="1"/>
    <row r="1766" s="3" customFormat="1"/>
    <row r="1767" s="3" customFormat="1"/>
    <row r="1768" s="3" customFormat="1"/>
    <row r="1769" s="3" customFormat="1"/>
    <row r="1770" s="3" customFormat="1"/>
    <row r="1771" s="3" customFormat="1"/>
    <row r="1772" s="3" customFormat="1"/>
    <row r="1773" s="3" customFormat="1"/>
    <row r="1774" s="3" customFormat="1"/>
    <row r="1775" s="3" customFormat="1"/>
    <row r="1776" s="3" customFormat="1"/>
    <row r="1777" s="3" customFormat="1"/>
    <row r="1778" s="3" customFormat="1"/>
    <row r="1779" s="3" customFormat="1"/>
    <row r="1780" s="3" customFormat="1"/>
    <row r="1781" s="3" customFormat="1"/>
    <row r="1782" s="3" customFormat="1"/>
    <row r="1783" s="3" customFormat="1"/>
    <row r="1784" s="3" customFormat="1"/>
    <row r="1785" s="3" customFormat="1"/>
    <row r="1786" s="3" customFormat="1"/>
    <row r="1787" s="3" customFormat="1"/>
    <row r="1788" s="3" customFormat="1"/>
    <row r="1789" s="3" customFormat="1"/>
    <row r="1790" s="3" customFormat="1"/>
    <row r="1791" s="3" customFormat="1"/>
    <row r="1792" s="3" customFormat="1"/>
    <row r="1793" s="3" customFormat="1"/>
    <row r="1794" s="3" customFormat="1"/>
    <row r="1795" s="3" customFormat="1"/>
    <row r="1796" s="3" customFormat="1"/>
    <row r="1797" s="3" customFormat="1"/>
    <row r="1798" s="3" customFormat="1"/>
    <row r="1799" s="3" customFormat="1"/>
    <row r="1800" s="3" customFormat="1"/>
    <row r="1801" s="3" customFormat="1"/>
    <row r="1802" s="3" customFormat="1"/>
    <row r="1803" s="3" customFormat="1"/>
    <row r="1804" s="3" customFormat="1"/>
    <row r="1805" s="3" customFormat="1"/>
    <row r="1806" s="3" customFormat="1"/>
    <row r="1807" s="3" customFormat="1"/>
    <row r="1808" s="3" customFormat="1"/>
    <row r="1809" s="3" customFormat="1"/>
    <row r="1810" s="3" customFormat="1"/>
    <row r="1811" s="3" customFormat="1"/>
    <row r="1812" s="3" customFormat="1"/>
    <row r="1813" s="3" customFormat="1"/>
    <row r="1814" s="3" customFormat="1"/>
    <row r="1815" s="3" customFormat="1"/>
    <row r="1816" s="3" customFormat="1"/>
    <row r="1817" s="3" customFormat="1"/>
    <row r="1818" s="3" customFormat="1"/>
    <row r="1819" s="3" customFormat="1"/>
    <row r="1820" s="3" customFormat="1"/>
    <row r="1821" s="3" customFormat="1"/>
    <row r="1822" s="3" customFormat="1"/>
    <row r="1823" s="3" customFormat="1"/>
    <row r="1824" s="3" customFormat="1"/>
    <row r="1825" s="3" customFormat="1"/>
    <row r="1826" s="3" customFormat="1"/>
    <row r="1827" s="3" customFormat="1"/>
    <row r="1828" s="3" customFormat="1"/>
    <row r="1829" s="3" customFormat="1"/>
    <row r="1830" s="3" customFormat="1"/>
    <row r="1831" s="3" customFormat="1"/>
    <row r="1832" s="3" customFormat="1"/>
    <row r="1833" s="3" customFormat="1"/>
    <row r="1834" s="3" customFormat="1"/>
    <row r="1835" s="3" customFormat="1"/>
    <row r="1836" s="3" customFormat="1"/>
    <row r="1837" s="3" customFormat="1"/>
    <row r="1838" s="3" customFormat="1"/>
    <row r="1839" s="3" customFormat="1"/>
    <row r="1840" s="3" customFormat="1"/>
    <row r="1841" s="3" customFormat="1"/>
    <row r="1842" s="3" customFormat="1"/>
    <row r="1843" s="3" customFormat="1"/>
    <row r="1844" s="3" customFormat="1"/>
    <row r="1845" s="3" customFormat="1"/>
    <row r="1846" s="3" customFormat="1"/>
    <row r="1847" s="3" customFormat="1"/>
    <row r="1848" s="3" customFormat="1"/>
    <row r="1849" s="3" customFormat="1"/>
    <row r="1850" s="3" customFormat="1"/>
    <row r="1851" s="3" customFormat="1"/>
    <row r="1852" s="3" customFormat="1"/>
    <row r="1853" s="3" customFormat="1"/>
    <row r="1854" s="3" customFormat="1"/>
    <row r="1855" s="3" customFormat="1"/>
    <row r="1856" s="3" customFormat="1"/>
    <row r="1857" s="3" customFormat="1"/>
    <row r="1858" s="3" customFormat="1"/>
    <row r="1859" s="3" customFormat="1"/>
    <row r="1860" s="3" customFormat="1"/>
    <row r="1861" s="3" customFormat="1"/>
    <row r="1862" s="3" customFormat="1"/>
    <row r="1863" s="3" customFormat="1"/>
    <row r="1864" s="3" customFormat="1"/>
    <row r="1865" s="3" customFormat="1"/>
    <row r="1866" s="3" customFormat="1"/>
    <row r="1867" s="3" customFormat="1"/>
    <row r="1868" s="3" customFormat="1"/>
    <row r="1869" s="3" customFormat="1"/>
    <row r="1870" s="3" customFormat="1"/>
    <row r="1871" s="3" customFormat="1"/>
    <row r="1872" s="3" customFormat="1"/>
    <row r="1873" s="3" customFormat="1"/>
    <row r="1874" s="3" customFormat="1"/>
    <row r="1875" s="3" customFormat="1"/>
    <row r="1876" s="3" customFormat="1"/>
    <row r="1877" s="3" customFormat="1"/>
    <row r="1878" s="3" customFormat="1"/>
    <row r="1879" s="3" customFormat="1"/>
    <row r="1880" s="3" customFormat="1"/>
    <row r="1881" s="3" customFormat="1"/>
    <row r="1882" s="3" customFormat="1"/>
    <row r="1883" s="3" customFormat="1"/>
    <row r="1884" s="3" customFormat="1"/>
    <row r="1885" s="3" customFormat="1"/>
    <row r="1886" s="3" customFormat="1"/>
    <row r="1887" s="3" customFormat="1"/>
    <row r="1888" s="3" customFormat="1"/>
    <row r="1889" s="3" customFormat="1"/>
    <row r="1890" s="3" customFormat="1"/>
    <row r="1891" s="3" customFormat="1"/>
    <row r="1892" s="3" customFormat="1"/>
    <row r="1893" s="3" customFormat="1"/>
    <row r="1894" s="3" customFormat="1"/>
    <row r="1895" s="3" customFormat="1"/>
    <row r="1896" s="3" customFormat="1"/>
    <row r="1897" s="3" customFormat="1"/>
    <row r="1898" s="3" customFormat="1"/>
    <row r="1899" s="3" customFormat="1"/>
    <row r="1900" s="3" customFormat="1"/>
    <row r="1901" s="3" customFormat="1"/>
    <row r="1902" s="3" customFormat="1"/>
    <row r="1903" s="3" customFormat="1"/>
    <row r="1904" s="3" customFormat="1"/>
    <row r="1905" s="3" customFormat="1"/>
    <row r="1906" s="3" customFormat="1"/>
    <row r="1907" s="3" customFormat="1"/>
    <row r="1908" s="3" customFormat="1"/>
    <row r="1909" s="3" customFormat="1"/>
    <row r="1910" s="3" customFormat="1"/>
    <row r="1911" s="3" customFormat="1"/>
    <row r="1912" s="3" customFormat="1"/>
    <row r="1913" s="3" customFormat="1"/>
    <row r="1914" s="3" customFormat="1"/>
    <row r="1915" s="3" customFormat="1"/>
    <row r="1916" s="3" customFormat="1"/>
    <row r="1917" s="3" customFormat="1"/>
    <row r="1918" s="3" customFormat="1"/>
    <row r="1919" s="3" customFormat="1"/>
    <row r="1920" s="3" customFormat="1"/>
    <row r="1921" s="3" customFormat="1"/>
    <row r="1922" s="3" customFormat="1"/>
    <row r="1923" s="3" customFormat="1"/>
    <row r="1924" s="3" customFormat="1"/>
    <row r="1925" s="3" customFormat="1"/>
    <row r="1926" s="3" customFormat="1"/>
    <row r="1927" s="3" customFormat="1"/>
    <row r="1928" s="3" customFormat="1"/>
    <row r="1929" s="3" customFormat="1"/>
    <row r="1930" s="3" customFormat="1"/>
    <row r="1931" s="3" customFormat="1"/>
    <row r="1932" s="3" customFormat="1"/>
    <row r="1933" s="3" customFormat="1"/>
    <row r="1934" s="3" customFormat="1"/>
    <row r="1935" s="3" customFormat="1"/>
    <row r="1936" s="3" customFormat="1"/>
    <row r="1937" s="3" customFormat="1"/>
    <row r="1938" s="3" customFormat="1"/>
    <row r="1939" s="3" customFormat="1"/>
    <row r="1940" s="3" customFormat="1"/>
    <row r="1941" s="3" customFormat="1"/>
    <row r="1942" s="3" customFormat="1"/>
    <row r="1943" s="3" customFormat="1"/>
    <row r="1944" s="3" customFormat="1"/>
    <row r="1945" s="3" customFormat="1"/>
    <row r="1946" s="3" customFormat="1"/>
    <row r="1947" s="3" customFormat="1"/>
    <row r="1948" s="3" customFormat="1"/>
    <row r="1949" s="3" customFormat="1"/>
    <row r="1950" s="3" customFormat="1"/>
    <row r="1951" s="3" customFormat="1"/>
    <row r="1952" s="3" customFormat="1"/>
    <row r="1953" s="3" customFormat="1"/>
    <row r="1954" s="3" customFormat="1"/>
    <row r="1955" s="3" customFormat="1"/>
    <row r="1956" s="3" customFormat="1"/>
    <row r="1957" s="3" customFormat="1"/>
    <row r="1958" s="3" customFormat="1"/>
    <row r="1959" s="3" customFormat="1"/>
    <row r="1960" s="3" customFormat="1"/>
    <row r="1961" s="3" customFormat="1"/>
    <row r="1962" s="3" customFormat="1"/>
    <row r="1963" s="3" customFormat="1"/>
    <row r="1964" s="3" customFormat="1"/>
    <row r="1965" s="3" customFormat="1"/>
    <row r="1966" s="3" customFormat="1"/>
    <row r="1967" s="3" customFormat="1"/>
    <row r="1968" s="3" customFormat="1"/>
    <row r="1969" s="3" customFormat="1"/>
    <row r="1970" s="3" customFormat="1"/>
    <row r="1971" s="3" customFormat="1"/>
    <row r="1972" s="3" customFormat="1"/>
    <row r="1973" s="3" customFormat="1"/>
    <row r="1974" s="3" customFormat="1"/>
    <row r="1975" s="3" customFormat="1"/>
    <row r="1976" s="3" customFormat="1"/>
    <row r="1977" s="3" customFormat="1"/>
    <row r="1978" s="3" customFormat="1"/>
    <row r="1979" s="3" customFormat="1"/>
    <row r="1980" s="3" customFormat="1"/>
    <row r="1981" s="3" customFormat="1"/>
    <row r="1982" s="3" customFormat="1"/>
    <row r="1983" s="3" customFormat="1"/>
    <row r="1984" s="3" customFormat="1"/>
    <row r="1985" s="3" customFormat="1"/>
    <row r="1986" s="3" customFormat="1"/>
    <row r="1987" s="3" customFormat="1"/>
    <row r="1988" s="3" customFormat="1"/>
    <row r="1989" s="3" customFormat="1"/>
    <row r="1990" s="3" customFormat="1"/>
    <row r="1991" s="3" customFormat="1"/>
    <row r="1992" s="3" customFormat="1"/>
    <row r="1993" s="3" customFormat="1"/>
    <row r="1994" s="3" customFormat="1"/>
    <row r="1995" s="3" customFormat="1"/>
    <row r="1996" s="3" customFormat="1"/>
    <row r="1997" s="3" customFormat="1"/>
    <row r="1998" s="3" customFormat="1"/>
    <row r="1999" s="3" customFormat="1"/>
    <row r="2000" s="3" customFormat="1"/>
    <row r="2001" s="3" customFormat="1"/>
    <row r="2002" s="3" customFormat="1"/>
    <row r="2003" s="3" customFormat="1"/>
    <row r="2004" s="3" customFormat="1"/>
    <row r="2005" s="3" customFormat="1"/>
    <row r="2006" s="3" customFormat="1"/>
    <row r="2007" s="3" customFormat="1"/>
    <row r="2008" s="3" customFormat="1"/>
    <row r="2009" s="3" customFormat="1"/>
    <row r="2010" s="3" customFormat="1"/>
    <row r="2011" s="3" customFormat="1"/>
    <row r="2012" s="3" customFormat="1"/>
    <row r="2013" s="3" customFormat="1"/>
    <row r="2014" s="3" customFormat="1"/>
    <row r="2015" s="3" customFormat="1"/>
    <row r="2016" s="3" customFormat="1"/>
    <row r="2017" s="3" customFormat="1"/>
    <row r="2018" s="3" customFormat="1"/>
    <row r="2019" s="3" customFormat="1"/>
    <row r="2020" s="3" customFormat="1"/>
    <row r="2021" s="3" customFormat="1"/>
    <row r="2022" s="3" customFormat="1"/>
    <row r="2023" s="3" customFormat="1"/>
    <row r="2024" s="3" customFormat="1"/>
    <row r="2025" s="3" customFormat="1"/>
    <row r="2026" s="3" customFormat="1"/>
    <row r="2027" s="3" customFormat="1"/>
    <row r="2028" s="3" customFormat="1"/>
    <row r="2029" s="3" customFormat="1"/>
    <row r="2030" s="3" customFormat="1"/>
    <row r="2031" s="3" customFormat="1"/>
    <row r="2032" s="3" customFormat="1"/>
    <row r="2033" s="3" customFormat="1"/>
    <row r="2034" s="3" customFormat="1"/>
    <row r="2035" s="3" customFormat="1"/>
    <row r="2036" s="3" customFormat="1"/>
    <row r="2037" s="3" customFormat="1"/>
    <row r="2038" s="3" customFormat="1"/>
    <row r="2039" s="3" customFormat="1"/>
    <row r="2040" s="3" customFormat="1"/>
    <row r="2041" s="3" customFormat="1"/>
    <row r="2042" s="3" customFormat="1"/>
    <row r="2043" s="3" customFormat="1"/>
    <row r="2044" s="3" customFormat="1"/>
    <row r="2045" s="3" customFormat="1"/>
    <row r="2046" s="3" customFormat="1"/>
    <row r="2047" s="3" customFormat="1"/>
    <row r="2048" s="3" customFormat="1"/>
    <row r="2049" s="3" customFormat="1"/>
    <row r="2050" s="3" customFormat="1"/>
    <row r="2051" s="3" customFormat="1"/>
    <row r="2052" s="3" customFormat="1"/>
    <row r="2053" s="3" customFormat="1"/>
    <row r="2054" s="3" customFormat="1"/>
    <row r="2055" s="3" customFormat="1"/>
    <row r="2056" s="3" customFormat="1"/>
    <row r="2057" s="3" customFormat="1"/>
    <row r="2058" s="3" customFormat="1"/>
    <row r="2059" s="3" customFormat="1"/>
    <row r="2060" s="3" customFormat="1"/>
    <row r="2061" s="3" customFormat="1"/>
    <row r="2062" s="3" customFormat="1"/>
    <row r="2063" s="3" customFormat="1"/>
    <row r="2064" s="3" customFormat="1"/>
    <row r="2065" s="3" customFormat="1"/>
    <row r="2066" s="3" customFormat="1"/>
    <row r="2067" s="3" customFormat="1"/>
    <row r="2068" s="3" customFormat="1"/>
    <row r="2069" s="3" customFormat="1"/>
    <row r="2070" s="3" customFormat="1"/>
    <row r="2071" s="3" customFormat="1"/>
    <row r="2072" s="3" customFormat="1"/>
    <row r="2073" s="3" customFormat="1"/>
    <row r="2074" s="3" customFormat="1"/>
    <row r="2075" s="3" customFormat="1"/>
    <row r="2076" s="3" customFormat="1"/>
    <row r="2077" s="3" customFormat="1"/>
    <row r="2078" s="3" customFormat="1"/>
    <row r="2079" s="3" customFormat="1"/>
    <row r="2080" s="3" customFormat="1"/>
    <row r="2081" s="3" customFormat="1"/>
    <row r="2082" s="3" customFormat="1"/>
    <row r="2083" s="3" customFormat="1"/>
    <row r="2084" s="3" customFormat="1"/>
    <row r="2085" s="3" customFormat="1"/>
    <row r="2086" s="3" customFormat="1"/>
    <row r="2087" s="3" customFormat="1"/>
    <row r="2088" s="3" customFormat="1"/>
    <row r="2089" s="3" customFormat="1"/>
    <row r="2090" s="3" customFormat="1"/>
    <row r="2091" s="3" customFormat="1"/>
    <row r="2092" s="3" customFormat="1"/>
    <row r="2093" s="3" customFormat="1"/>
    <row r="2094" s="3" customFormat="1"/>
    <row r="2095" s="3" customFormat="1"/>
    <row r="2096" s="3" customFormat="1"/>
    <row r="2097" s="3" customFormat="1"/>
    <row r="2098" s="3" customFormat="1"/>
    <row r="2099" s="3" customFormat="1"/>
    <row r="2100" s="3" customFormat="1"/>
    <row r="2101" s="3" customFormat="1"/>
    <row r="2102" s="3" customFormat="1"/>
    <row r="2103" s="3" customFormat="1"/>
    <row r="2104" s="3" customFormat="1"/>
    <row r="2105" s="3" customFormat="1"/>
    <row r="2106" s="3" customFormat="1"/>
    <row r="2107" s="3" customFormat="1"/>
    <row r="2108" s="3" customFormat="1"/>
    <row r="2109" s="3" customFormat="1"/>
    <row r="2110" s="3" customFormat="1"/>
    <row r="2111" s="3" customFormat="1"/>
    <row r="2112" s="3" customFormat="1"/>
    <row r="2113" s="3" customFormat="1"/>
    <row r="2114" s="3" customFormat="1"/>
    <row r="2115" s="3" customFormat="1"/>
    <row r="2116" s="3" customFormat="1"/>
    <row r="2117" s="3" customFormat="1"/>
    <row r="2118" s="3" customFormat="1"/>
    <row r="2119" s="3" customFormat="1"/>
    <row r="2120" s="3" customFormat="1"/>
    <row r="2121" s="3" customFormat="1"/>
    <row r="2122" s="3" customFormat="1"/>
    <row r="2123" s="3" customFormat="1"/>
    <row r="2124" s="3" customFormat="1"/>
    <row r="2125" s="3" customFormat="1"/>
    <row r="2126" s="3" customFormat="1"/>
    <row r="2127" s="3" customFormat="1"/>
    <row r="2128" s="3" customFormat="1"/>
    <row r="2129" s="3" customFormat="1"/>
    <row r="2130" s="3" customFormat="1"/>
    <row r="2131" s="3" customFormat="1"/>
    <row r="2132" s="3" customFormat="1"/>
    <row r="2133" s="3" customFormat="1"/>
    <row r="2134" s="3" customFormat="1"/>
    <row r="2135" s="3" customFormat="1"/>
    <row r="2136" s="3" customFormat="1"/>
    <row r="2137" s="3" customFormat="1"/>
    <row r="2138" s="3" customFormat="1"/>
    <row r="2139" s="3" customFormat="1"/>
    <row r="2140" s="3" customFormat="1"/>
    <row r="2141" s="3" customFormat="1"/>
    <row r="2142" s="3" customFormat="1"/>
    <row r="2143" s="3" customFormat="1"/>
    <row r="2144" s="3" customFormat="1"/>
    <row r="2145" s="3" customFormat="1"/>
    <row r="2146" s="3" customFormat="1"/>
    <row r="2147" s="3" customFormat="1"/>
    <row r="2148" s="3" customFormat="1"/>
    <row r="2149" s="3" customFormat="1"/>
    <row r="2150" s="3" customFormat="1"/>
    <row r="2151" s="3" customFormat="1"/>
    <row r="2152" s="3" customFormat="1"/>
    <row r="2153" s="3" customFormat="1"/>
    <row r="2154" s="3" customFormat="1"/>
    <row r="2155" s="3" customFormat="1"/>
    <row r="2156" s="3" customFormat="1"/>
    <row r="2157" s="3" customFormat="1"/>
    <row r="2158" s="3" customFormat="1"/>
    <row r="2159" s="3" customFormat="1"/>
    <row r="2160" s="3" customFormat="1"/>
    <row r="2161" s="3" customFormat="1"/>
    <row r="2162" s="3" customFormat="1"/>
    <row r="2163" s="3" customFormat="1"/>
    <row r="2164" s="3" customFormat="1"/>
    <row r="2165" s="3" customFormat="1"/>
    <row r="2166" s="3" customFormat="1"/>
    <row r="2167" s="3" customFormat="1"/>
    <row r="2168" s="3" customFormat="1"/>
    <row r="2169" s="3" customFormat="1"/>
    <row r="2170" s="3" customFormat="1"/>
    <row r="2171" s="3" customFormat="1"/>
    <row r="2172" s="3" customFormat="1"/>
    <row r="2173" s="3" customFormat="1"/>
    <row r="2174" s="3" customFormat="1"/>
    <row r="2175" s="3" customFormat="1"/>
    <row r="2176" s="3" customFormat="1"/>
    <row r="2177" s="3" customFormat="1"/>
    <row r="2178" s="3" customFormat="1"/>
    <row r="2179" s="3" customFormat="1"/>
    <row r="2180" s="3" customFormat="1"/>
    <row r="2181" s="3" customFormat="1"/>
    <row r="2182" s="3" customFormat="1"/>
    <row r="2183" s="3" customFormat="1"/>
    <row r="2184" s="3" customFormat="1"/>
    <row r="2185" s="3" customFormat="1"/>
    <row r="2186" s="3" customFormat="1"/>
    <row r="2187" s="3" customFormat="1"/>
    <row r="2188" s="3" customFormat="1"/>
    <row r="2189" s="3" customFormat="1"/>
    <row r="2190" s="3" customFormat="1"/>
    <row r="2191" s="3" customFormat="1"/>
    <row r="2192" s="3" customFormat="1"/>
    <row r="2193" s="3" customFormat="1"/>
    <row r="2194" s="3" customFormat="1"/>
    <row r="2195" s="3" customFormat="1"/>
    <row r="2196" s="3" customFormat="1"/>
    <row r="2197" s="3" customFormat="1"/>
    <row r="2198" s="3" customFormat="1"/>
    <row r="2199" s="3" customFormat="1"/>
    <row r="2200" s="3" customFormat="1"/>
    <row r="2201" s="3" customFormat="1"/>
    <row r="2202" s="3" customFormat="1"/>
    <row r="2203" s="3" customFormat="1"/>
    <row r="2204" s="3" customFormat="1"/>
    <row r="2205" s="3" customFormat="1"/>
    <row r="2206" s="3" customFormat="1"/>
    <row r="2207" s="3" customFormat="1"/>
    <row r="2208" s="3" customFormat="1"/>
    <row r="2209" s="3" customFormat="1"/>
    <row r="2210" s="3" customFormat="1"/>
    <row r="2211" s="3" customFormat="1"/>
    <row r="2212" s="3" customFormat="1"/>
    <row r="2213" s="3" customFormat="1"/>
    <row r="2214" s="3" customFormat="1"/>
    <row r="2215" s="3" customFormat="1"/>
  </sheetData>
  <mergeCells count="2">
    <mergeCell ref="A1:K1"/>
    <mergeCell ref="A2:K2"/>
  </mergeCells>
  <pageMargins left="0.7" right="0.7" top="0.75" bottom="0.75" header="0.3" footer="0.3"/>
  <pageSetup paperSize="9" scale="62" orientation="portrait" r:id="rId1"/>
  <colBreaks count="1" manualBreakCount="1">
    <brk id="12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8.21</vt:lpstr>
      <vt:lpstr>'8.21'!Print_Area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2019-11-19T06:48:41Z</cp:lastPrinted>
  <dcterms:created xsi:type="dcterms:W3CDTF">2019-06-30T04:22:49Z</dcterms:created>
  <dcterms:modified xsi:type="dcterms:W3CDTF">2019-11-19T06:48:51Z</dcterms:modified>
</cp:coreProperties>
</file>