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54" sheetId="5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Print_Area" localSheetId="0">'8.54'!$A$1:$F$12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54" l="1"/>
  <c r="C5" i="54"/>
</calcChain>
</file>

<file path=xl/sharedStrings.xml><?xml version="1.0" encoding="utf-8"?>
<sst xmlns="http://schemas.openxmlformats.org/spreadsheetml/2006/main" count="16" uniqueCount="16">
  <si>
    <t>Male</t>
  </si>
  <si>
    <t>Female</t>
  </si>
  <si>
    <t>ފިރިހެން</t>
  </si>
  <si>
    <t>އަންހެން</t>
  </si>
  <si>
    <t>Number of Children</t>
  </si>
  <si>
    <t>ކުދިންގެ އަދަދު</t>
  </si>
  <si>
    <t>Number of child care workers</t>
  </si>
  <si>
    <t>ޗައިލްޑް ކެއަރ ވަރކަރސް</t>
  </si>
  <si>
    <t>Expenditure (budget) Rf</t>
  </si>
  <si>
    <t>ޖުމްލަ ބަޖެޓް (މިލިއަން ރުފިޔާ)*</t>
  </si>
  <si>
    <t xml:space="preserve">Note:  * The value provided is the total amount spent at each year </t>
  </si>
  <si>
    <t xml:space="preserve">ނޯޓް: * ބަޖެޓްގެ ގޮތުގައި ހިމެނިފައި އެވަނީ ކޮންމެ އަހަރަކަށްވެސް ޚަރަދުވި އަދަދެވެ. 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</si>
  <si>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</si>
  <si>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</si>
  <si>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ތާވަލު 8.54: ހުޅުމާލެ ފިޔަވަތީގައި ތިބި ކުޑަކުދިންގެ އަދަދު އަދި ހިނގި ޚަރަދު، 2016 - 2018</t>
  </si>
  <si>
    <t>Table 8.54: Number of children at Childrens Shelter, Fiyavathi, 2016 - 2018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</si>
</sst>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4" formatCode="_-* #,##0.00_-;\-* #,##0.00_-;_-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9"/>
      <color rgb="FF000000"/>
      <name val="Faruma"/>
      <family val="3"/>
    </font>
    <font>
      <sz val="11"/>
      <name val="Calibri"/>
      <family val="2"/>
      <scheme val="minor"/>
    </font>
    <font>
      <sz val="11"/>
      <color rgb="FF000000"/>
      <name val="Faruma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name val="Faruma"/>
    </font>
    <font>
      <b/>
      <sz val="10"/>
      <name val="Faruma"/>
    </font>
    <font>
      <sz val="10"/>
      <name val="Faruma"/>
    </font>
    <font>
      <b/>
      <sz val="15"/>
      <color theme="3"/>
      <name val="Arial Mäori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/>
    <xf numFmtId="0" fontId="18" fillId="0" borderId="2" applyNumberFormat="0" applyFill="0" applyAlignment="0" applyProtection="0"/>
    <xf numFmtId="0" fontId="13" fillId="0" borderId="0"/>
  </cellStyleXfs>
  <cellXfs count="25">
    <xf numFmtId="0" fontId="0" fillId="0" borderId="0" xfId="0"/>
    <xf numFmtId="0" fontId="0" fillId="2" borderId="0" xfId="0" applyFill="1"/>
    <xf numFmtId="0" fontId="12" fillId="2" borderId="1" xfId="0" applyNumberFormat="1" applyFont="1" applyFill="1" applyBorder="1" applyAlignment="1">
      <alignment vertical="center"/>
    </xf>
    <xf numFmtId="164" fontId="4" fillId="2" borderId="0" xfId="0" applyNumberFormat="1" applyFont="1" applyFill="1"/>
    <xf numFmtId="164" fontId="3" fillId="2" borderId="4" xfId="0" applyNumberFormat="1" applyFont="1" applyFill="1" applyBorder="1" applyAlignment="1">
      <alignment horizontal="right" vertical="center" wrapText="1"/>
    </xf>
    <xf numFmtId="164" fontId="17" fillId="2" borderId="0" xfId="0" applyNumberFormat="1" applyFont="1" applyFill="1" applyBorder="1" applyAlignment="1">
      <alignment vertical="top" wrapText="1" readingOrder="2"/>
    </xf>
    <xf numFmtId="164" fontId="5" fillId="2" borderId="0" xfId="0" applyNumberFormat="1" applyFont="1" applyFill="1" applyBorder="1" applyAlignment="1">
      <alignment vertical="top"/>
    </xf>
    <xf numFmtId="164" fontId="3" fillId="2" borderId="0" xfId="0" applyNumberFormat="1" applyFont="1" applyFill="1" applyBorder="1"/>
    <xf numFmtId="164" fontId="3" fillId="2" borderId="4" xfId="0" applyNumberFormat="1" applyFont="1" applyFill="1" applyBorder="1" applyAlignment="1">
      <alignment horizontal="center" vertical="center" wrapText="1"/>
    </xf>
    <xf numFmtId="164" fontId="16" fillId="2" borderId="4" xfId="0" applyNumberFormat="1" applyFont="1" applyFill="1" applyBorder="1" applyAlignment="1">
      <alignment horizontal="center" vertical="center" wrapText="1"/>
    </xf>
    <xf numFmtId="164" fontId="14" fillId="2" borderId="0" xfId="0" applyNumberFormat="1" applyFont="1" applyFill="1" applyBorder="1" applyAlignment="1">
      <alignment horizontal="right" vertical="center" wrapText="1"/>
    </xf>
    <xf numFmtId="164" fontId="16" fillId="2" borderId="0" xfId="0" applyNumberFormat="1" applyFont="1" applyFill="1" applyBorder="1"/>
    <xf numFmtId="164" fontId="9" fillId="2" borderId="0" xfId="0" applyNumberFormat="1" applyFont="1" applyFill="1" applyBorder="1" applyAlignment="1">
      <alignment horizontal="left" vertical="center" wrapText="1" indent="2"/>
    </xf>
    <xf numFmtId="164" fontId="11" fillId="2" borderId="0" xfId="0" applyNumberFormat="1" applyFont="1" applyFill="1" applyBorder="1" applyAlignment="1">
      <alignment horizontal="right" vertical="center" wrapText="1"/>
    </xf>
    <xf numFmtId="164" fontId="17" fillId="2" borderId="0" xfId="0" applyNumberFormat="1" applyFont="1" applyFill="1" applyBorder="1" applyAlignment="1">
      <alignment horizontal="right" vertical="center" indent="6"/>
    </xf>
    <xf numFmtId="164" fontId="6" fillId="2" borderId="0" xfId="0" applyNumberFormat="1" applyFont="1" applyFill="1" applyBorder="1" applyAlignment="1">
      <alignment horizontal="left" vertical="center" wrapText="1"/>
    </xf>
    <xf numFmtId="0" fontId="10" fillId="2" borderId="0" xfId="0" applyNumberFormat="1" applyFont="1" applyFill="1" applyBorder="1" applyAlignment="1">
      <alignment horizontal="right"/>
    </xf>
    <xf numFmtId="164" fontId="16" fillId="2" borderId="0" xfId="0" applyNumberFormat="1" applyFont="1" applyFill="1" applyAlignment="1"/>
    <xf numFmtId="164" fontId="2" fillId="2" borderId="1" xfId="0" applyNumberFormat="1" applyFont="1" applyFill="1" applyBorder="1"/>
    <xf numFmtId="174" fontId="11" fillId="2" borderId="1" xfId="1" applyNumberFormat="1" applyFont="1" applyFill="1" applyBorder="1" applyAlignment="1">
      <alignment horizontal="right" vertical="center"/>
    </xf>
    <xf numFmtId="43" fontId="11" fillId="2" borderId="1" xfId="1" applyFont="1" applyFill="1" applyBorder="1" applyAlignment="1">
      <alignment horizontal="right" vertical="center"/>
    </xf>
    <xf numFmtId="164" fontId="5" fillId="2" borderId="3" xfId="0" applyNumberFormat="1" applyFont="1" applyFill="1" applyBorder="1" applyAlignment="1">
      <alignment horizontal="left" vertical="center"/>
    </xf>
    <xf numFmtId="164" fontId="15" fillId="2" borderId="0" xfId="0" applyNumberFormat="1" applyFont="1" applyFill="1" applyBorder="1" applyAlignment="1">
      <alignment vertical="top" readingOrder="2"/>
    </xf>
    <xf numFmtId="164" fontId="16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8.%20LAW%20AND%20ORDER.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LAW%20AND%20ORDER_%20P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>
        <row r="5">
          <cell r="H5">
            <v>16362</v>
          </cell>
        </row>
      </sheetData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>
        <row r="3">
          <cell r="G3">
            <v>2016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1">
          <cell r="W11" t="str">
            <v>Male</v>
          </cell>
        </row>
      </sheetData>
      <sheetData sheetId="15" refreshError="1"/>
      <sheetData sheetId="16" refreshError="1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56"/>
      <sheetName val="8.57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6">
          <cell r="O6" t="str">
            <v>Male</v>
          </cell>
          <cell r="P6" t="str">
            <v>Female</v>
          </cell>
        </row>
        <row r="9">
          <cell r="A9" t="str">
            <v>15 - 19</v>
          </cell>
          <cell r="O9">
            <v>0</v>
          </cell>
          <cell r="P9">
            <v>0</v>
          </cell>
        </row>
        <row r="10">
          <cell r="A10" t="str">
            <v>20 - 24</v>
          </cell>
          <cell r="O10">
            <v>0</v>
          </cell>
          <cell r="P10">
            <v>0</v>
          </cell>
        </row>
        <row r="11">
          <cell r="A11" t="str">
            <v>25 - 29</v>
          </cell>
          <cell r="O11">
            <v>0</v>
          </cell>
          <cell r="P11">
            <v>0</v>
          </cell>
        </row>
        <row r="12">
          <cell r="A12" t="str">
            <v>30 - 34</v>
          </cell>
          <cell r="O12">
            <v>0</v>
          </cell>
          <cell r="P12">
            <v>0</v>
          </cell>
        </row>
        <row r="13">
          <cell r="A13" t="str">
            <v>35 - 39</v>
          </cell>
          <cell r="O13">
            <v>0</v>
          </cell>
          <cell r="P13">
            <v>0</v>
          </cell>
        </row>
        <row r="14">
          <cell r="A14" t="str">
            <v>40 - 49</v>
          </cell>
          <cell r="O14">
            <v>0</v>
          </cell>
          <cell r="P14">
            <v>0</v>
          </cell>
          <cell r="AA14" t="str">
            <v>Both sexes</v>
          </cell>
          <cell r="AB14" t="str">
            <v>Male</v>
          </cell>
          <cell r="AC14" t="str">
            <v>Female</v>
          </cell>
        </row>
        <row r="15">
          <cell r="A15" t="str">
            <v>50 &amp; Over</v>
          </cell>
          <cell r="O15">
            <v>0</v>
          </cell>
          <cell r="P15">
            <v>0</v>
          </cell>
          <cell r="Z15">
            <v>2014</v>
          </cell>
          <cell r="AA15">
            <v>401</v>
          </cell>
          <cell r="AB15">
            <v>342</v>
          </cell>
          <cell r="AC15">
            <v>59</v>
          </cell>
        </row>
        <row r="16">
          <cell r="Z16">
            <v>2015</v>
          </cell>
          <cell r="AA16">
            <v>358</v>
          </cell>
          <cell r="AB16">
            <v>302</v>
          </cell>
          <cell r="AC16">
            <v>56</v>
          </cell>
        </row>
        <row r="17">
          <cell r="Z17">
            <v>2016</v>
          </cell>
          <cell r="AA17">
            <v>828</v>
          </cell>
          <cell r="AB17">
            <v>752</v>
          </cell>
          <cell r="AC17">
            <v>76</v>
          </cell>
        </row>
        <row r="18">
          <cell r="Z18">
            <v>2017</v>
          </cell>
          <cell r="AA18">
            <v>1124</v>
          </cell>
          <cell r="AB18">
            <v>1058</v>
          </cell>
          <cell r="AC18">
            <v>66</v>
          </cell>
        </row>
        <row r="19">
          <cell r="Z19">
            <v>2018</v>
          </cell>
          <cell r="AA19">
            <v>0</v>
          </cell>
          <cell r="AB19">
            <v>0</v>
          </cell>
          <cell r="AC19">
            <v>0</v>
          </cell>
        </row>
      </sheetData>
      <sheetData sheetId="45">
        <row r="34">
          <cell r="AN34" t="str">
            <v>Jailed</v>
          </cell>
          <cell r="AO34" t="str">
            <v>Banished</v>
          </cell>
          <cell r="AP34" t="str">
            <v>House Arrest/Detention</v>
          </cell>
        </row>
        <row r="35">
          <cell r="AM35">
            <v>2014</v>
          </cell>
          <cell r="AN35">
            <v>278</v>
          </cell>
          <cell r="AO35">
            <v>24</v>
          </cell>
          <cell r="AP35">
            <v>99</v>
          </cell>
        </row>
        <row r="36">
          <cell r="AM36">
            <v>2015</v>
          </cell>
          <cell r="AN36">
            <v>257</v>
          </cell>
          <cell r="AO36">
            <v>8</v>
          </cell>
          <cell r="AP36">
            <v>93</v>
          </cell>
        </row>
        <row r="37">
          <cell r="AM37">
            <v>2016</v>
          </cell>
          <cell r="AN37">
            <v>742</v>
          </cell>
          <cell r="AO37">
            <v>5</v>
          </cell>
          <cell r="AP37">
            <v>81</v>
          </cell>
        </row>
        <row r="38">
          <cell r="AM38">
            <v>2017</v>
          </cell>
          <cell r="AN38">
            <v>893</v>
          </cell>
          <cell r="AO38">
            <v>2</v>
          </cell>
          <cell r="AP38">
            <v>229</v>
          </cell>
        </row>
        <row r="39">
          <cell r="AM39">
            <v>2018</v>
          </cell>
          <cell r="AN39">
            <v>0</v>
          </cell>
          <cell r="AO39">
            <v>0</v>
          </cell>
          <cell r="AP39">
            <v>0</v>
          </cell>
        </row>
        <row r="45">
          <cell r="AN45" t="str">
            <v>Male</v>
          </cell>
          <cell r="AO45" t="str">
            <v>Female</v>
          </cell>
        </row>
        <row r="46">
          <cell r="AM46" t="str">
            <v>Less than 1 year</v>
          </cell>
          <cell r="AQ46">
            <v>96</v>
          </cell>
          <cell r="AR46">
            <v>4</v>
          </cell>
        </row>
        <row r="47">
          <cell r="AM47" t="str">
            <v>1 - 2 years</v>
          </cell>
          <cell r="AQ47">
            <v>82.051282051282044</v>
          </cell>
          <cell r="AR47">
            <v>17.948717948717949</v>
          </cell>
        </row>
        <row r="48">
          <cell r="AM48" t="str">
            <v>2 - 3 years</v>
          </cell>
          <cell r="AQ48">
            <v>86.36363636363636</v>
          </cell>
          <cell r="AR48">
            <v>13.636363636363635</v>
          </cell>
        </row>
        <row r="49">
          <cell r="AM49" t="str">
            <v>3 - 4 years</v>
          </cell>
          <cell r="AQ49">
            <v>94.666666666666671</v>
          </cell>
          <cell r="AR49">
            <v>5.3333333333333339</v>
          </cell>
        </row>
        <row r="50">
          <cell r="AM50" t="str">
            <v>4 - 5 years</v>
          </cell>
          <cell r="AQ50">
            <v>100</v>
          </cell>
          <cell r="AR50">
            <v>0</v>
          </cell>
        </row>
        <row r="51">
          <cell r="AM51" t="str">
            <v>5 years &amp; Over</v>
          </cell>
          <cell r="AQ51">
            <v>92.592592592592595</v>
          </cell>
          <cell r="AR51">
            <v>7.4074074074074066</v>
          </cell>
        </row>
        <row r="59">
          <cell r="AN59">
            <v>2014</v>
          </cell>
          <cell r="AO59">
            <v>2015</v>
          </cell>
          <cell r="AP59">
            <v>2016</v>
          </cell>
          <cell r="AQ59">
            <v>2017</v>
          </cell>
        </row>
        <row r="60">
          <cell r="AM60" t="str">
            <v>Less than 1 year</v>
          </cell>
          <cell r="AN60">
            <v>93</v>
          </cell>
          <cell r="AO60">
            <v>92</v>
          </cell>
          <cell r="AP60">
            <v>79</v>
          </cell>
          <cell r="AQ60">
            <v>750</v>
          </cell>
        </row>
        <row r="61">
          <cell r="AM61" t="str">
            <v>1 - 2 years</v>
          </cell>
          <cell r="AN61">
            <v>98</v>
          </cell>
          <cell r="AO61">
            <v>51</v>
          </cell>
          <cell r="AP61">
            <v>60</v>
          </cell>
          <cell r="AQ61">
            <v>117</v>
          </cell>
        </row>
        <row r="62">
          <cell r="AM62" t="str">
            <v>2 - 3 years</v>
          </cell>
          <cell r="AN62">
            <v>94</v>
          </cell>
          <cell r="AO62">
            <v>66</v>
          </cell>
          <cell r="AP62">
            <v>162</v>
          </cell>
          <cell r="AQ62">
            <v>22</v>
          </cell>
        </row>
        <row r="63">
          <cell r="AM63" t="str">
            <v>3 - 4 years</v>
          </cell>
          <cell r="AN63">
            <v>25</v>
          </cell>
          <cell r="AO63">
            <v>87</v>
          </cell>
          <cell r="AP63">
            <v>188</v>
          </cell>
          <cell r="AQ63">
            <v>150</v>
          </cell>
        </row>
        <row r="64">
          <cell r="AM64" t="str">
            <v>4 - 5 years</v>
          </cell>
          <cell r="AN64">
            <v>56</v>
          </cell>
          <cell r="AO64">
            <v>47</v>
          </cell>
          <cell r="AP64">
            <v>100</v>
          </cell>
          <cell r="AQ64">
            <v>4</v>
          </cell>
        </row>
        <row r="65">
          <cell r="AM65" t="str">
            <v>5 years &amp; Over</v>
          </cell>
          <cell r="AN65">
            <v>34</v>
          </cell>
          <cell r="AO65">
            <v>15</v>
          </cell>
          <cell r="AP65">
            <v>239</v>
          </cell>
          <cell r="AQ65">
            <v>81</v>
          </cell>
        </row>
        <row r="79">
          <cell r="AN79" t="str">
            <v>Jailed</v>
          </cell>
          <cell r="AO79" t="str">
            <v>Banished</v>
          </cell>
          <cell r="AP79" t="str">
            <v>House Arrest/Detention</v>
          </cell>
        </row>
        <row r="80">
          <cell r="AN80">
            <v>893</v>
          </cell>
          <cell r="AO80">
            <v>2</v>
          </cell>
          <cell r="AP80">
            <v>229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 refreshError="1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2"/>
  <sheetViews>
    <sheetView tabSelected="1" zoomScaleNormal="100" workbookViewId="0">
      <selection activeCell="E18" sqref="E18"/>
    </sheetView>
  </sheetViews>
  <sheetFormatPr defaultRowHeight="15"/>
  <cols>
    <col min="1" max="1" width="26.42578125" style="1" customWidth="1"/>
    <col min="2" max="4" width="14.42578125" style="1" customWidth="1"/>
    <col min="5" max="5" width="40" style="1" customWidth="1"/>
    <col min="6" max="6" width="3.42578125" style="1" customWidth="1"/>
    <col min="7" max="16384" width="9.140625" style="1"/>
  </cols>
  <sheetData>
    <row r="1" spans="1:10" ht="18.75">
      <c r="A1" s="23" t="s">
        <v>14</v>
      </c>
      <c r="B1" s="23"/>
      <c r="C1" s="23"/>
      <c r="D1" s="23"/>
      <c r="E1" s="23"/>
      <c r="F1" s="17"/>
      <c r="G1" s="17"/>
      <c r="H1" s="17"/>
      <c r="I1" s="17"/>
      <c r="J1" s="17"/>
    </row>
    <row r="2" spans="1:10">
      <c r="A2" s="24" t="s">
        <v>15</v>
      </c>
      <c r="B2" s="24"/>
      <c r="C2" s="24"/>
      <c r="D2" s="24"/>
      <c r="E2" s="24"/>
    </row>
    <row r="3" spans="1:10">
      <c r="A3" s="3"/>
      <c r="B3" s="3"/>
      <c r="C3" s="3"/>
      <c r="D3" s="3"/>
      <c r="E3" s="3"/>
    </row>
    <row r="4" spans="1:10" ht="18.75">
      <c r="A4" s="8"/>
      <c r="B4" s="4">
        <v>2016</v>
      </c>
      <c r="C4" s="4">
        <v>2017</v>
      </c>
      <c r="D4" s="4">
        <v>2018</v>
      </c>
      <c r="E4" s="9"/>
    </row>
    <row r="5" spans="1:10" ht="18.75">
      <c r="A5" s="7" t="s">
        <v>4</v>
      </c>
      <c r="B5" s="10">
        <v>79</v>
      </c>
      <c r="C5" s="10">
        <f>C6 +C7</f>
        <v>97</v>
      </c>
      <c r="D5" s="10">
        <f>D6 +D7</f>
        <v>102</v>
      </c>
      <c r="E5" s="11" t="s">
        <v>5</v>
      </c>
    </row>
    <row r="6" spans="1:10" ht="18.75">
      <c r="A6" s="12" t="s">
        <v>0</v>
      </c>
      <c r="B6" s="13">
        <v>46</v>
      </c>
      <c r="C6" s="13">
        <v>51</v>
      </c>
      <c r="D6" s="13">
        <v>56</v>
      </c>
      <c r="E6" s="14" t="s">
        <v>2</v>
      </c>
    </row>
    <row r="7" spans="1:10" ht="18.75">
      <c r="A7" s="12" t="s">
        <v>1</v>
      </c>
      <c r="B7" s="13">
        <v>33</v>
      </c>
      <c r="C7" s="13">
        <v>46</v>
      </c>
      <c r="D7" s="13">
        <v>46</v>
      </c>
      <c r="E7" s="14" t="s">
        <v>3</v>
      </c>
    </row>
    <row r="8" spans="1:10" ht="18.75">
      <c r="A8" s="15" t="s">
        <v>6</v>
      </c>
      <c r="B8" s="10">
        <v>37</v>
      </c>
      <c r="C8" s="10">
        <v>51</v>
      </c>
      <c r="D8" s="10">
        <v>64</v>
      </c>
      <c r="E8" s="11" t="s">
        <v>7</v>
      </c>
    </row>
    <row r="9" spans="1:10" ht="21">
      <c r="A9" s="18" t="s">
        <v>8</v>
      </c>
      <c r="B9" s="19">
        <v>5011514.93</v>
      </c>
      <c r="C9" s="20">
        <v>6601970</v>
      </c>
      <c r="D9" s="20">
        <v>1358454</v>
      </c>
      <c r="E9" s="2" t="s">
        <v>9</v>
      </c>
    </row>
    <row r="10" spans="1:10" ht="18">
      <c r="A10" s="21" t="s">
        <v>10</v>
      </c>
      <c r="B10" s="6"/>
      <c r="C10" s="6"/>
      <c r="D10" s="6"/>
      <c r="E10" s="16" t="s">
        <v>11</v>
      </c>
    </row>
    <row r="11" spans="1:10" ht="18.75">
      <c r="A11" s="6" t="s">
        <v>13</v>
      </c>
      <c r="C11" s="5"/>
      <c r="D11" s="5"/>
      <c r="E11" s="22" t="s">
        <v>12</v>
      </c>
      <c r="F11" s="5"/>
      <c r="G11" s="5"/>
      <c r="H11" s="5"/>
    </row>
    <row r="12" spans="1:10">
      <c r="A12" s="3"/>
      <c r="B12" s="3"/>
      <c r="C12" s="3"/>
      <c r="D12" s="3"/>
      <c r="E12" s="3"/>
    </row>
  </sheetData>
  <mergeCells count="2">
    <mergeCell ref="A1:E1"/>
    <mergeCell ref="A2:E2"/>
  </mergeCells>
  <pageMargins left="0.7" right="0.7" top="0.75" bottom="0.75" header="0.3" footer="0.3"/>
  <pageSetup paperSize="9" scale="73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8.54</vt:lpstr>
      <vt:lpstr>'8.54'!Print_Area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2019-12-16T03:30:25Z</cp:lastPrinted>
  <dcterms:created xsi:type="dcterms:W3CDTF">2019-06-30T04:22:49Z</dcterms:created>
  <dcterms:modified xsi:type="dcterms:W3CDTF">2019-12-16T03:30:31Z</dcterms:modified>
</cp:coreProperties>
</file>