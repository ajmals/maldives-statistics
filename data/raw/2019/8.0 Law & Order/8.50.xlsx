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923"/>
  </bookViews>
  <sheets>
    <sheet name="8.50" sheetId="50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Print_Area" localSheetId="0">'8.50'!$A$1:$U$27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6" i="50" l="1"/>
  <c r="O26" i="50"/>
  <c r="L26" i="50"/>
  <c r="I26" i="50"/>
  <c r="F26" i="50"/>
  <c r="C26" i="50"/>
  <c r="R25" i="50"/>
  <c r="O25" i="50"/>
  <c r="L25" i="50"/>
  <c r="I25" i="50"/>
  <c r="F25" i="50"/>
  <c r="C25" i="50"/>
  <c r="R24" i="50"/>
  <c r="O24" i="50"/>
  <c r="L24" i="50"/>
  <c r="I24" i="50"/>
  <c r="F24" i="50"/>
  <c r="C24" i="50"/>
  <c r="R23" i="50"/>
  <c r="O23" i="50"/>
  <c r="L23" i="50"/>
  <c r="I23" i="50"/>
  <c r="F23" i="50"/>
  <c r="C23" i="50"/>
  <c r="R22" i="50"/>
  <c r="O22" i="50"/>
  <c r="L22" i="50"/>
  <c r="I22" i="50"/>
  <c r="F22" i="50"/>
  <c r="C22" i="50"/>
  <c r="R21" i="50"/>
  <c r="O21" i="50"/>
  <c r="L21" i="50"/>
  <c r="I21" i="50"/>
  <c r="F21" i="50"/>
  <c r="C21" i="50"/>
  <c r="R20" i="50"/>
  <c r="O20" i="50"/>
  <c r="L20" i="50"/>
  <c r="I20" i="50"/>
  <c r="F20" i="50"/>
  <c r="C20" i="50"/>
  <c r="R19" i="50"/>
  <c r="O19" i="50"/>
  <c r="L19" i="50"/>
  <c r="I19" i="50"/>
  <c r="F19" i="50"/>
  <c r="C19" i="50"/>
  <c r="R18" i="50"/>
  <c r="O18" i="50"/>
  <c r="L18" i="50"/>
  <c r="I18" i="50"/>
  <c r="F18" i="50"/>
  <c r="C18" i="50"/>
  <c r="R17" i="50"/>
  <c r="O17" i="50"/>
  <c r="L17" i="50"/>
  <c r="I17" i="50"/>
  <c r="F17" i="50"/>
  <c r="C17" i="50"/>
  <c r="R16" i="50"/>
  <c r="O16" i="50"/>
  <c r="L16" i="50"/>
  <c r="I16" i="50"/>
  <c r="F16" i="50"/>
  <c r="C16" i="50"/>
  <c r="R15" i="50"/>
  <c r="O15" i="50"/>
  <c r="L15" i="50"/>
  <c r="I15" i="50"/>
  <c r="F15" i="50"/>
  <c r="C15" i="50"/>
  <c r="R14" i="50"/>
  <c r="L14" i="50"/>
  <c r="I14" i="50"/>
  <c r="F14" i="50"/>
  <c r="C14" i="50"/>
  <c r="R13" i="50"/>
  <c r="O13" i="50"/>
  <c r="L13" i="50"/>
  <c r="I13" i="50"/>
  <c r="F13" i="50"/>
  <c r="C13" i="50"/>
  <c r="R12" i="50"/>
  <c r="O12" i="50"/>
  <c r="L12" i="50"/>
  <c r="I12" i="50"/>
  <c r="F12" i="50"/>
  <c r="C12" i="50"/>
  <c r="R11" i="50"/>
  <c r="O11" i="50"/>
  <c r="L11" i="50"/>
  <c r="I11" i="50"/>
  <c r="F11" i="50"/>
  <c r="C11" i="50"/>
  <c r="R10" i="50"/>
  <c r="O10" i="50"/>
  <c r="L10" i="50"/>
  <c r="I10" i="50"/>
  <c r="H10" i="50"/>
  <c r="G10" i="50" s="1"/>
  <c r="C10" i="50"/>
  <c r="R9" i="50"/>
  <c r="O9" i="50"/>
  <c r="L9" i="50"/>
  <c r="I9" i="50"/>
  <c r="F9" i="50"/>
  <c r="C9" i="50"/>
  <c r="R8" i="50"/>
  <c r="O8" i="50"/>
  <c r="L8" i="50"/>
  <c r="I8" i="50"/>
  <c r="F8" i="50"/>
  <c r="C8" i="50"/>
  <c r="R7" i="50"/>
  <c r="O7" i="50"/>
  <c r="L7" i="50"/>
  <c r="I7" i="50"/>
  <c r="F7" i="50"/>
  <c r="C7" i="50"/>
  <c r="T6" i="50"/>
  <c r="R6" i="50" s="1"/>
  <c r="S6" i="50"/>
  <c r="Q6" i="50"/>
  <c r="P6" i="50"/>
  <c r="O6" i="50"/>
  <c r="N6" i="50"/>
  <c r="M6" i="50"/>
  <c r="L6" i="50"/>
  <c r="K6" i="50"/>
  <c r="J6" i="50"/>
  <c r="I6" i="50" s="1"/>
  <c r="E6" i="50"/>
  <c r="D6" i="50"/>
  <c r="C6" i="50" s="1"/>
  <c r="G6" i="50" l="1"/>
  <c r="F10" i="50"/>
  <c r="H6" i="50"/>
  <c r="F6" i="50" l="1"/>
</calcChain>
</file>

<file path=xl/sharedStrings.xml><?xml version="1.0" encoding="utf-8"?>
<sst xmlns="http://schemas.openxmlformats.org/spreadsheetml/2006/main" count="67" uniqueCount="51">
  <si>
    <t>Both Sexes</t>
  </si>
  <si>
    <t>Male</t>
  </si>
  <si>
    <t>Female</t>
  </si>
  <si>
    <t xml:space="preserve">Total </t>
  </si>
  <si>
    <t>Family and Children Service Centre</t>
  </si>
  <si>
    <t>ފެމިލީ އެންޑް ޗިލްޑްރެން ސަރވިސް ސެންޓަރ</t>
  </si>
  <si>
    <t xml:space="preserve">ޖުމްލަ </t>
  </si>
  <si>
    <t>HA. Dhidhdhoo</t>
  </si>
  <si>
    <t>ހއ.ދިއްދޫ</t>
  </si>
  <si>
    <t>HDh.Kulhuduffushi</t>
  </si>
  <si>
    <t>ހދ.ކުޅުދުއްފުށި</t>
  </si>
  <si>
    <t>Sh.Funadhoo</t>
  </si>
  <si>
    <t>ށ.ފުނަދޫ</t>
  </si>
  <si>
    <t>N.Manadhoo</t>
  </si>
  <si>
    <t>ނ.މަނަދޫ</t>
  </si>
  <si>
    <t>R.Dhuvaafaru</t>
  </si>
  <si>
    <t>ރ.ދުވާފަރު</t>
  </si>
  <si>
    <t>B.Eydhafushi</t>
  </si>
  <si>
    <t>ބ.އޭދަފުށި</t>
  </si>
  <si>
    <t>Lh.Naifaru</t>
  </si>
  <si>
    <t>ޅ.ނައިފަރު</t>
  </si>
  <si>
    <t>K.Male'</t>
  </si>
  <si>
    <t>ކ. މާލެ</t>
  </si>
  <si>
    <t>AA.Rasdhoo</t>
  </si>
  <si>
    <t>އއ.ރަސްދޫ</t>
  </si>
  <si>
    <t>ADh.Mahinbadhoo</t>
  </si>
  <si>
    <t>އދ.މަހިބަދޫ</t>
  </si>
  <si>
    <t>V.Fulhidhoo</t>
  </si>
  <si>
    <t>ވ.ފުލިދޫ</t>
  </si>
  <si>
    <t xml:space="preserve"> M. Mulah  </t>
  </si>
  <si>
    <t>މ.މުލަށް</t>
  </si>
  <si>
    <t xml:space="preserve"> F. Nilandhoo</t>
  </si>
  <si>
    <t>ފ.ނިލަންދޫ</t>
  </si>
  <si>
    <t xml:space="preserve">Dh. Kudahuvadhoo </t>
  </si>
  <si>
    <t>ދ.ކުޑަހުވަދޫ</t>
  </si>
  <si>
    <t xml:space="preserve">Th. Veymandoo </t>
  </si>
  <si>
    <t>ތ.ވޭމަންޑޫ</t>
  </si>
  <si>
    <t xml:space="preserve">L. Funadhoo </t>
  </si>
  <si>
    <t>ލ.ފޮނަދޫ</t>
  </si>
  <si>
    <t>GA.Villingili</t>
  </si>
  <si>
    <t>ގއ.ވިލިގިލި</t>
  </si>
  <si>
    <t>GDh. Thinadhoo</t>
  </si>
  <si>
    <t>ގދ.ތިނަދޫ</t>
  </si>
  <si>
    <t>Gn. Fuvahmulah</t>
  </si>
  <si>
    <t>ޏ.ފުވައްމުލަށް</t>
  </si>
  <si>
    <t xml:space="preserve">S. Hithadhoo </t>
  </si>
  <si>
    <t>ސ.ހިތަދޫ</t>
  </si>
  <si>
    <t xml:space="preserve">މަޢުލޫމާތު ދެއްވީ: މިނިސްޓްރީ އޮފް ޖެންޑަރ، ފެމިލީ އެންޑް ސޯޝަލް ސަރވިސަސް </t>
  </si>
  <si>
    <t>Source: Ministry of Gender, Family and Social Services</t>
  </si>
  <si>
    <t>ތާވަލު 8.50: ފެމިލީ އެންޑް ޗިލްޑްރަން ސަރވިސް ސެންޓަރަށް ހުށަހެޅިފައިވާ މައްސަލަތަކުގެ އަދަދު އަދި ޖިންސު 2016 - 2018</t>
  </si>
  <si>
    <t>Table 8.50: Number of cases reported to Family and Children Service Centers by Atolls, 2016 - 2018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</si>
</sst>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6" formatCode="_-* #,##0_-;\-* #,##0_-;_-* &quot;-&quot;??_-;_-@_-"/>
    <numFmt numFmtId="167" formatCode="#,##0.0"/>
  </numFmts>
  <fonts count="14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name val="Faruma"/>
    </font>
    <font>
      <b/>
      <sz val="10"/>
      <name val="Faruma"/>
    </font>
    <font>
      <sz val="10"/>
      <name val="Faruma"/>
    </font>
    <font>
      <b/>
      <sz val="15"/>
      <color theme="3"/>
      <name val="Arial Mäo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</borders>
  <cellStyleXfs count="6">
    <xf numFmtId="0" fontId="0" fillId="0" borderId="0"/>
    <xf numFmtId="166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167" fontId="7" fillId="0" borderId="0"/>
    <xf numFmtId="0" fontId="13" fillId="0" borderId="4" applyNumberFormat="0" applyFill="0" applyAlignment="0" applyProtection="0"/>
    <xf numFmtId="0" fontId="8" fillId="0" borderId="0"/>
  </cellStyleXfs>
  <cellXfs count="33">
    <xf numFmtId="0" fontId="0" fillId="0" borderId="0" xfId="0"/>
    <xf numFmtId="164" fontId="1" fillId="2" borderId="0" xfId="0" applyNumberFormat="1" applyFont="1" applyFill="1" applyBorder="1" applyAlignment="1">
      <alignment horizontal="right" vertical="center" wrapText="1"/>
    </xf>
    <xf numFmtId="164" fontId="2" fillId="2" borderId="0" xfId="0" applyNumberFormat="1" applyFont="1" applyFill="1"/>
    <xf numFmtId="164" fontId="3" fillId="2" borderId="0" xfId="0" applyNumberFormat="1" applyFont="1" applyFill="1"/>
    <xf numFmtId="164" fontId="11" fillId="2" borderId="0" xfId="0" applyNumberFormat="1" applyFont="1" applyFill="1" applyBorder="1" applyAlignment="1">
      <alignment horizontal="right" vertical="center" wrapText="1"/>
    </xf>
    <xf numFmtId="164" fontId="5" fillId="2" borderId="5" xfId="0" applyNumberFormat="1" applyFont="1" applyFill="1" applyBorder="1" applyAlignment="1">
      <alignment vertical="top"/>
    </xf>
    <xf numFmtId="164" fontId="2" fillId="2" borderId="0" xfId="0" applyNumberFormat="1" applyFont="1" applyFill="1" applyBorder="1"/>
    <xf numFmtId="164" fontId="1" fillId="2" borderId="3" xfId="0" applyNumberFormat="1" applyFont="1" applyFill="1" applyBorder="1" applyAlignment="1">
      <alignment horizontal="center" vertical="center" wrapText="1"/>
    </xf>
    <xf numFmtId="3" fontId="1" fillId="2" borderId="0" xfId="0" applyNumberFormat="1" applyFont="1" applyFill="1" applyBorder="1" applyAlignment="1">
      <alignment horizontal="right" vertical="center" wrapText="1"/>
    </xf>
    <xf numFmtId="3" fontId="1" fillId="2" borderId="2" xfId="0" applyNumberFormat="1" applyFont="1" applyFill="1" applyBorder="1" applyAlignment="1">
      <alignment horizontal="right" vertical="center" wrapText="1"/>
    </xf>
    <xf numFmtId="164" fontId="2" fillId="2" borderId="0" xfId="0" applyNumberFormat="1" applyFont="1" applyFill="1" applyBorder="1" applyAlignment="1">
      <alignment horizontal="left" indent="1"/>
    </xf>
    <xf numFmtId="3" fontId="2" fillId="2" borderId="0" xfId="0" applyNumberFormat="1" applyFont="1" applyFill="1" applyBorder="1"/>
    <xf numFmtId="3" fontId="2" fillId="2" borderId="2" xfId="0" applyNumberFormat="1" applyFont="1" applyFill="1" applyBorder="1"/>
    <xf numFmtId="164" fontId="12" fillId="2" borderId="0" xfId="0" applyNumberFormat="1" applyFont="1" applyFill="1" applyBorder="1" applyAlignment="1">
      <alignment horizontal="right" vertical="center" indent="2"/>
    </xf>
    <xf numFmtId="164" fontId="2" fillId="2" borderId="1" xfId="0" applyNumberFormat="1" applyFont="1" applyFill="1" applyBorder="1" applyAlignment="1">
      <alignment horizontal="left" indent="1"/>
    </xf>
    <xf numFmtId="164" fontId="2" fillId="2" borderId="1" xfId="0" applyNumberFormat="1" applyFont="1" applyFill="1" applyBorder="1"/>
    <xf numFmtId="3" fontId="2" fillId="2" borderId="1" xfId="0" applyNumberFormat="1" applyFont="1" applyFill="1" applyBorder="1"/>
    <xf numFmtId="3" fontId="2" fillId="2" borderId="3" xfId="0" applyNumberFormat="1" applyFont="1" applyFill="1" applyBorder="1"/>
    <xf numFmtId="164" fontId="12" fillId="2" borderId="1" xfId="0" applyNumberFormat="1" applyFont="1" applyFill="1" applyBorder="1" applyAlignment="1">
      <alignment horizontal="right" vertical="center" indent="2"/>
    </xf>
    <xf numFmtId="164" fontId="4" fillId="2" borderId="5" xfId="0" applyNumberFormat="1" applyFont="1" applyFill="1" applyBorder="1" applyAlignment="1">
      <alignment vertical="top"/>
    </xf>
    <xf numFmtId="164" fontId="12" fillId="2" borderId="0" xfId="0" applyNumberFormat="1" applyFont="1" applyFill="1" applyBorder="1" applyAlignment="1">
      <alignment vertical="center" readingOrder="2"/>
    </xf>
    <xf numFmtId="164" fontId="12" fillId="2" borderId="5" xfId="0" applyNumberFormat="1" applyFont="1" applyFill="1" applyBorder="1" applyAlignment="1">
      <alignment vertical="center" wrapText="1" readingOrder="2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2" borderId="0" xfId="0" applyNumberFormat="1" applyFont="1" applyFill="1" applyBorder="1" applyAlignment="1">
      <alignment horizontal="left" vertical="center" wrapText="1"/>
    </xf>
    <xf numFmtId="164" fontId="1" fillId="2" borderId="6" xfId="0" applyNumberFormat="1" applyFont="1" applyFill="1" applyBorder="1" applyAlignment="1">
      <alignment horizontal="center"/>
    </xf>
    <xf numFmtId="164" fontId="9" fillId="2" borderId="0" xfId="0" applyNumberFormat="1" applyFont="1" applyFill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6" xfId="0" applyNumberFormat="1" applyFont="1" applyFill="1" applyBorder="1" applyAlignment="1">
      <alignment horizontal="center"/>
    </xf>
    <xf numFmtId="164" fontId="10" fillId="2" borderId="0" xfId="0" applyNumberFormat="1" applyFont="1" applyFill="1" applyAlignment="1">
      <alignment horizontal="center"/>
    </xf>
    <xf numFmtId="164" fontId="1" fillId="2" borderId="7" xfId="0" applyNumberFormat="1" applyFont="1" applyFill="1" applyBorder="1" applyAlignment="1">
      <alignment horizontal="center"/>
    </xf>
    <xf numFmtId="164" fontId="11" fillId="2" borderId="5" xfId="0" applyNumberFormat="1" applyFont="1" applyFill="1" applyBorder="1" applyAlignment="1">
      <alignment horizontal="right" vertical="center" wrapText="1"/>
    </xf>
    <xf numFmtId="164" fontId="11" fillId="2" borderId="1" xfId="0" applyNumberFormat="1" applyFont="1" applyFill="1" applyBorder="1" applyAlignment="1">
      <alignment horizontal="right" vertical="center" wrapText="1"/>
    </xf>
  </cellXfs>
  <cellStyles count="6">
    <cellStyle name="Comma 2" xfId="1"/>
    <cellStyle name="Heading 1 2" xfId="4"/>
    <cellStyle name="Normal" xfId="0" builtinId="0"/>
    <cellStyle name="Normal 2" xfId="5"/>
    <cellStyle name="Normal 3" xfId="3"/>
    <cellStyle name="Percent 2" xfId="2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Copy%20of%208.%20LAW%20AND%20ORDER%20-%20Police%20workingsfinal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-%20JS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BFYMW6J1\8.%20LAW%20AND%20ORDER-%20JSC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Blank%20tables/8.%20LAW%20AND%20ORDER..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LAW%20AND%20ORDER_%20PG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">
          <cell r="A7" t="str">
            <v>Drugs</v>
          </cell>
          <cell r="H7">
            <v>1857</v>
          </cell>
        </row>
        <row r="14">
          <cell r="A14" t="str">
            <v>Alcohol</v>
          </cell>
          <cell r="H14">
            <v>168</v>
          </cell>
        </row>
        <row r="21">
          <cell r="A21" t="str">
            <v>Other cases related to drug offences</v>
          </cell>
          <cell r="H21">
            <v>13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U6" t="str">
            <v>Male</v>
          </cell>
          <cell r="V6" t="str">
            <v>Female</v>
          </cell>
        </row>
        <row r="8">
          <cell r="U8">
            <v>1191</v>
          </cell>
          <cell r="V8">
            <v>940</v>
          </cell>
        </row>
      </sheetData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  <cell r="V91" t="str">
            <v>Number of islands with majistrate courts</v>
          </cell>
        </row>
        <row r="92">
          <cell r="T92" t="str">
            <v>HA</v>
          </cell>
          <cell r="U92">
            <v>9</v>
          </cell>
          <cell r="V92">
            <v>14</v>
          </cell>
        </row>
        <row r="93">
          <cell r="T93" t="str">
            <v>HDh</v>
          </cell>
          <cell r="U93">
            <v>8</v>
          </cell>
          <cell r="V93">
            <v>13</v>
          </cell>
        </row>
        <row r="94">
          <cell r="T94" t="str">
            <v>Sh</v>
          </cell>
          <cell r="U94">
            <v>4</v>
          </cell>
          <cell r="V94">
            <v>13</v>
          </cell>
        </row>
        <row r="95">
          <cell r="T95" t="str">
            <v>N</v>
          </cell>
          <cell r="U95">
            <v>5</v>
          </cell>
          <cell r="V95">
            <v>13</v>
          </cell>
        </row>
        <row r="96">
          <cell r="T96" t="str">
            <v>R</v>
          </cell>
          <cell r="U96">
            <v>14</v>
          </cell>
          <cell r="V96">
            <v>15</v>
          </cell>
        </row>
        <row r="97">
          <cell r="T97" t="str">
            <v>B</v>
          </cell>
          <cell r="U97">
            <v>6</v>
          </cell>
          <cell r="V97">
            <v>13</v>
          </cell>
        </row>
        <row r="98">
          <cell r="T98" t="str">
            <v>Lh</v>
          </cell>
          <cell r="U98">
            <v>4</v>
          </cell>
          <cell r="V98">
            <v>4</v>
          </cell>
        </row>
        <row r="99">
          <cell r="T99" t="str">
            <v>K</v>
          </cell>
          <cell r="U99">
            <v>10</v>
          </cell>
          <cell r="V99">
            <v>9</v>
          </cell>
        </row>
        <row r="100">
          <cell r="T100" t="str">
            <v>AA</v>
          </cell>
          <cell r="U100">
            <v>4</v>
          </cell>
          <cell r="V100">
            <v>8</v>
          </cell>
        </row>
        <row r="101">
          <cell r="T101" t="str">
            <v>ADh</v>
          </cell>
          <cell r="U101">
            <v>7</v>
          </cell>
          <cell r="V101">
            <v>10</v>
          </cell>
        </row>
        <row r="102">
          <cell r="T102" t="str">
            <v>V</v>
          </cell>
          <cell r="U102">
            <v>2</v>
          </cell>
          <cell r="V102">
            <v>5</v>
          </cell>
        </row>
        <row r="103">
          <cell r="T103" t="str">
            <v>M</v>
          </cell>
          <cell r="U103">
            <v>5</v>
          </cell>
          <cell r="V103">
            <v>8</v>
          </cell>
        </row>
        <row r="104">
          <cell r="T104" t="str">
            <v>F</v>
          </cell>
          <cell r="U104">
            <v>4</v>
          </cell>
          <cell r="V104">
            <v>5</v>
          </cell>
        </row>
        <row r="105">
          <cell r="T105" t="str">
            <v>Dh</v>
          </cell>
          <cell r="U105">
            <v>5</v>
          </cell>
          <cell r="V105">
            <v>6</v>
          </cell>
        </row>
        <row r="106">
          <cell r="T106" t="str">
            <v>Th</v>
          </cell>
          <cell r="U106">
            <v>8</v>
          </cell>
          <cell r="V106">
            <v>13</v>
          </cell>
        </row>
        <row r="107">
          <cell r="T107" t="str">
            <v>L</v>
          </cell>
          <cell r="U107">
            <v>11</v>
          </cell>
          <cell r="V107">
            <v>11</v>
          </cell>
        </row>
        <row r="108">
          <cell r="T108" t="str">
            <v>GA</v>
          </cell>
          <cell r="U108">
            <v>8</v>
          </cell>
          <cell r="V108">
            <v>9</v>
          </cell>
        </row>
        <row r="109">
          <cell r="T109" t="str">
            <v>GDh</v>
          </cell>
          <cell r="U109">
            <v>10</v>
          </cell>
          <cell r="V109">
            <v>9</v>
          </cell>
        </row>
        <row r="110">
          <cell r="T110" t="str">
            <v>Gn</v>
          </cell>
          <cell r="U110">
            <v>4</v>
          </cell>
          <cell r="V110">
            <v>1</v>
          </cell>
        </row>
        <row r="111">
          <cell r="T111" t="str">
            <v>S</v>
          </cell>
          <cell r="U111">
            <v>7</v>
          </cell>
          <cell r="V111">
            <v>6</v>
          </cell>
        </row>
        <row r="129">
          <cell r="S129" t="str">
            <v>Atolls</v>
          </cell>
          <cell r="U129">
            <v>69.948186528497416</v>
          </cell>
        </row>
        <row r="130">
          <cell r="S130" t="str">
            <v>Male'</v>
          </cell>
          <cell r="U130">
            <v>30.051813471502591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</row>
        <row r="129">
          <cell r="S129" t="str">
            <v>Atolls</v>
          </cell>
          <cell r="U129">
            <v>69.543147208121823</v>
          </cell>
        </row>
        <row r="130">
          <cell r="S130" t="str">
            <v>Male'</v>
          </cell>
          <cell r="U130">
            <v>30.456852791878177</v>
          </cell>
        </row>
      </sheetData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3.1"/>
      <sheetName val="8.14"/>
      <sheetName val="8.15"/>
      <sheetName val="8.15.1"/>
      <sheetName val="8.16"/>
      <sheetName val="8.16.1"/>
      <sheetName val="8.17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56"/>
      <sheetName val="8.57"/>
      <sheetName val="8.39"/>
      <sheetName val="8.40"/>
      <sheetName val="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6">
          <cell r="O6" t="str">
            <v>Male</v>
          </cell>
          <cell r="P6" t="str">
            <v>Female</v>
          </cell>
        </row>
        <row r="9">
          <cell r="A9" t="str">
            <v>15 - 19</v>
          </cell>
          <cell r="O9"/>
          <cell r="P9"/>
        </row>
        <row r="10">
          <cell r="A10" t="str">
            <v>20 - 24</v>
          </cell>
          <cell r="O10"/>
          <cell r="P10"/>
        </row>
        <row r="11">
          <cell r="A11" t="str">
            <v>25 - 29</v>
          </cell>
          <cell r="O11"/>
          <cell r="P11"/>
        </row>
        <row r="12">
          <cell r="A12" t="str">
            <v>30 - 34</v>
          </cell>
          <cell r="O12"/>
          <cell r="P12"/>
        </row>
        <row r="13">
          <cell r="A13" t="str">
            <v>35 - 39</v>
          </cell>
          <cell r="O13"/>
          <cell r="P13"/>
        </row>
        <row r="14">
          <cell r="A14" t="str">
            <v>40 - 49</v>
          </cell>
          <cell r="O14"/>
          <cell r="P14"/>
          <cell r="AA14" t="str">
            <v>Both sexes</v>
          </cell>
          <cell r="AB14" t="str">
            <v>Male</v>
          </cell>
          <cell r="AC14" t="str">
            <v>Female</v>
          </cell>
        </row>
        <row r="15">
          <cell r="A15" t="str">
            <v>50 &amp; Over</v>
          </cell>
          <cell r="O15"/>
          <cell r="P15"/>
          <cell r="Z15">
            <v>2014</v>
          </cell>
          <cell r="AA15">
            <v>401</v>
          </cell>
          <cell r="AB15">
            <v>342</v>
          </cell>
          <cell r="AC15">
            <v>59</v>
          </cell>
        </row>
        <row r="16">
          <cell r="Z16">
            <v>2015</v>
          </cell>
          <cell r="AA16">
            <v>358</v>
          </cell>
          <cell r="AB16">
            <v>302</v>
          </cell>
          <cell r="AC16">
            <v>56</v>
          </cell>
        </row>
        <row r="17">
          <cell r="Z17">
            <v>2016</v>
          </cell>
          <cell r="AA17">
            <v>828</v>
          </cell>
          <cell r="AB17">
            <v>752</v>
          </cell>
          <cell r="AC17">
            <v>76</v>
          </cell>
        </row>
        <row r="18">
          <cell r="Z18">
            <v>2017</v>
          </cell>
          <cell r="AA18">
            <v>1124</v>
          </cell>
          <cell r="AB18">
            <v>1058</v>
          </cell>
          <cell r="AC18">
            <v>66</v>
          </cell>
        </row>
        <row r="19">
          <cell r="Z19">
            <v>2018</v>
          </cell>
          <cell r="AA19">
            <v>0</v>
          </cell>
          <cell r="AB19">
            <v>0</v>
          </cell>
          <cell r="AC19">
            <v>0</v>
          </cell>
        </row>
      </sheetData>
      <sheetData sheetId="45">
        <row r="34">
          <cell r="AN34" t="str">
            <v>Jailed</v>
          </cell>
          <cell r="AO34" t="str">
            <v>Banished</v>
          </cell>
          <cell r="AP34" t="str">
            <v>House Arrest/Detention</v>
          </cell>
        </row>
        <row r="35">
          <cell r="AM35">
            <v>2014</v>
          </cell>
          <cell r="AN35">
            <v>278</v>
          </cell>
          <cell r="AO35">
            <v>24</v>
          </cell>
          <cell r="AP35">
            <v>99</v>
          </cell>
        </row>
        <row r="36">
          <cell r="AM36">
            <v>2015</v>
          </cell>
          <cell r="AN36">
            <v>257</v>
          </cell>
          <cell r="AO36">
            <v>8</v>
          </cell>
          <cell r="AP36">
            <v>93</v>
          </cell>
        </row>
        <row r="37">
          <cell r="AM37">
            <v>2016</v>
          </cell>
          <cell r="AN37">
            <v>742</v>
          </cell>
          <cell r="AO37">
            <v>5</v>
          </cell>
          <cell r="AP37">
            <v>81</v>
          </cell>
        </row>
        <row r="38">
          <cell r="AM38">
            <v>2017</v>
          </cell>
          <cell r="AN38">
            <v>893</v>
          </cell>
          <cell r="AO38">
            <v>2</v>
          </cell>
          <cell r="AP38">
            <v>229</v>
          </cell>
        </row>
        <row r="39">
          <cell r="AM39">
            <v>2018</v>
          </cell>
          <cell r="AN39">
            <v>0</v>
          </cell>
          <cell r="AO39">
            <v>0</v>
          </cell>
          <cell r="AP39">
            <v>0</v>
          </cell>
        </row>
        <row r="45">
          <cell r="AN45" t="str">
            <v>Male</v>
          </cell>
          <cell r="AO45" t="str">
            <v>Female</v>
          </cell>
        </row>
        <row r="46">
          <cell r="AM46" t="str">
            <v>Less than 1 year</v>
          </cell>
          <cell r="AQ46">
            <v>96</v>
          </cell>
          <cell r="AR46">
            <v>4</v>
          </cell>
        </row>
        <row r="47">
          <cell r="AM47" t="str">
            <v>1 - 2 years</v>
          </cell>
          <cell r="AQ47">
            <v>82.051282051282044</v>
          </cell>
          <cell r="AR47">
            <v>17.948717948717949</v>
          </cell>
        </row>
        <row r="48">
          <cell r="AM48" t="str">
            <v>2 - 3 years</v>
          </cell>
          <cell r="AQ48">
            <v>86.36363636363636</v>
          </cell>
          <cell r="AR48">
            <v>13.636363636363635</v>
          </cell>
        </row>
        <row r="49">
          <cell r="AM49" t="str">
            <v>3 - 4 years</v>
          </cell>
          <cell r="AQ49">
            <v>94.666666666666671</v>
          </cell>
          <cell r="AR49">
            <v>5.3333333333333339</v>
          </cell>
        </row>
        <row r="50">
          <cell r="AM50" t="str">
            <v>4 - 5 years</v>
          </cell>
          <cell r="AQ50">
            <v>100</v>
          </cell>
          <cell r="AR50">
            <v>0</v>
          </cell>
        </row>
        <row r="51">
          <cell r="AM51" t="str">
            <v>5 years &amp; Over</v>
          </cell>
          <cell r="AQ51">
            <v>92.592592592592595</v>
          </cell>
          <cell r="AR51">
            <v>7.4074074074074066</v>
          </cell>
        </row>
        <row r="59">
          <cell r="AN59">
            <v>2014</v>
          </cell>
          <cell r="AO59">
            <v>2015</v>
          </cell>
          <cell r="AP59">
            <v>2016</v>
          </cell>
          <cell r="AQ59">
            <v>2017</v>
          </cell>
        </row>
        <row r="60">
          <cell r="AM60" t="str">
            <v>Less than 1 year</v>
          </cell>
          <cell r="AN60">
            <v>93</v>
          </cell>
          <cell r="AO60">
            <v>92</v>
          </cell>
          <cell r="AP60">
            <v>79</v>
          </cell>
          <cell r="AQ60">
            <v>750</v>
          </cell>
        </row>
        <row r="61">
          <cell r="AM61" t="str">
            <v>1 - 2 years</v>
          </cell>
          <cell r="AN61">
            <v>98</v>
          </cell>
          <cell r="AO61">
            <v>51</v>
          </cell>
          <cell r="AP61">
            <v>60</v>
          </cell>
          <cell r="AQ61">
            <v>117</v>
          </cell>
        </row>
        <row r="62">
          <cell r="AM62" t="str">
            <v>2 - 3 years</v>
          </cell>
          <cell r="AN62">
            <v>94</v>
          </cell>
          <cell r="AO62">
            <v>66</v>
          </cell>
          <cell r="AP62">
            <v>162</v>
          </cell>
          <cell r="AQ62">
            <v>22</v>
          </cell>
        </row>
        <row r="63">
          <cell r="AM63" t="str">
            <v>3 - 4 years</v>
          </cell>
          <cell r="AN63">
            <v>25</v>
          </cell>
          <cell r="AO63">
            <v>87</v>
          </cell>
          <cell r="AP63">
            <v>188</v>
          </cell>
          <cell r="AQ63">
            <v>150</v>
          </cell>
        </row>
        <row r="64">
          <cell r="AM64" t="str">
            <v>4 - 5 years</v>
          </cell>
          <cell r="AN64">
            <v>56</v>
          </cell>
          <cell r="AO64">
            <v>47</v>
          </cell>
          <cell r="AP64">
            <v>100</v>
          </cell>
          <cell r="AQ64">
            <v>4</v>
          </cell>
        </row>
        <row r="65">
          <cell r="AM65" t="str">
            <v>5 years &amp; Over</v>
          </cell>
          <cell r="AN65">
            <v>34</v>
          </cell>
          <cell r="AO65">
            <v>15</v>
          </cell>
          <cell r="AP65">
            <v>239</v>
          </cell>
          <cell r="AQ65">
            <v>81</v>
          </cell>
        </row>
        <row r="79">
          <cell r="AN79" t="str">
            <v>Jailed</v>
          </cell>
          <cell r="AO79" t="str">
            <v>Banished</v>
          </cell>
          <cell r="AP79" t="str">
            <v>House Arrest/Detention</v>
          </cell>
        </row>
        <row r="80">
          <cell r="AN80">
            <v>893</v>
          </cell>
          <cell r="AO80">
            <v>2</v>
          </cell>
          <cell r="AP80">
            <v>229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6"/>
      <sheetName val="8.27"/>
      <sheetName val="8.28"/>
      <sheetName val="8.20 workings"/>
    </sheetNames>
    <sheetDataSet>
      <sheetData sheetId="0"/>
      <sheetData sheetId="1">
        <row r="30">
          <cell r="R30">
            <v>2011</v>
          </cell>
          <cell r="S30">
            <v>2012</v>
          </cell>
          <cell r="T30">
            <v>2013</v>
          </cell>
          <cell r="U30">
            <v>2014</v>
          </cell>
          <cell r="V30">
            <v>2015</v>
          </cell>
          <cell r="W30">
            <v>2016</v>
          </cell>
          <cell r="X30">
            <v>2017</v>
          </cell>
          <cell r="Y30">
            <v>2018</v>
          </cell>
        </row>
        <row r="31">
          <cell r="Q31" t="str">
            <v>Completion rate</v>
          </cell>
          <cell r="R31">
            <v>86.812804453723032</v>
          </cell>
          <cell r="S31">
            <v>61.540749553837003</v>
          </cell>
          <cell r="T31">
            <v>70.99408617290905</v>
          </cell>
          <cell r="U31">
            <v>70.70082449941107</v>
          </cell>
          <cell r="V31">
            <v>70.769571967176759</v>
          </cell>
          <cell r="W31">
            <v>96.101645971700833</v>
          </cell>
          <cell r="X31">
            <v>98.131868131868131</v>
          </cell>
          <cell r="Y31">
            <v>99.701195219123505</v>
          </cell>
        </row>
        <row r="32">
          <cell r="Q32" t="str">
            <v>Submission rate to courts</v>
          </cell>
          <cell r="R32">
            <v>64.370215727209469</v>
          </cell>
          <cell r="S32">
            <v>42.504461629982153</v>
          </cell>
          <cell r="T32">
            <v>51.281329203041395</v>
          </cell>
          <cell r="U32">
            <v>44.081272084805654</v>
          </cell>
          <cell r="V32">
            <v>40.607673541805276</v>
          </cell>
          <cell r="W32">
            <v>97.458850707479058</v>
          </cell>
          <cell r="X32">
            <v>118.05860805860806</v>
          </cell>
          <cell r="Y32">
            <v>132.36763236763235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7"/>
  <sheetViews>
    <sheetView tabSelected="1" zoomScaleNormal="100" workbookViewId="0">
      <selection activeCell="U6" sqref="U6"/>
    </sheetView>
  </sheetViews>
  <sheetFormatPr defaultColWidth="9.140625" defaultRowHeight="12.75"/>
  <cols>
    <col min="1" max="1" width="19.42578125" style="2" customWidth="1"/>
    <col min="2" max="2" width="1.5703125" style="2" customWidth="1"/>
    <col min="3" max="3" width="11.85546875" style="2" hidden="1" customWidth="1"/>
    <col min="4" max="5" width="0" style="2" hidden="1" customWidth="1"/>
    <col min="6" max="6" width="9.7109375" style="2" hidden="1" customWidth="1"/>
    <col min="7" max="8" width="0" style="2" hidden="1" customWidth="1"/>
    <col min="9" max="9" width="9.7109375" style="2" hidden="1" customWidth="1"/>
    <col min="10" max="11" width="0" style="2" hidden="1" customWidth="1"/>
    <col min="12" max="12" width="9.7109375" style="2" customWidth="1"/>
    <col min="13" max="14" width="9.140625" style="2"/>
    <col min="15" max="15" width="9.7109375" style="2" customWidth="1"/>
    <col min="16" max="17" width="9.140625" style="2"/>
    <col min="18" max="18" width="9.7109375" style="2" customWidth="1"/>
    <col min="19" max="20" width="9.140625" style="2"/>
    <col min="21" max="21" width="22" style="2" customWidth="1"/>
    <col min="22" max="16384" width="9.140625" style="2"/>
  </cols>
  <sheetData>
    <row r="1" spans="1:22" ht="21">
      <c r="A1" s="29" t="s">
        <v>49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</row>
    <row r="2" spans="1:22" ht="15">
      <c r="A2" s="25" t="s">
        <v>50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</row>
    <row r="4" spans="1:22" ht="16.5" customHeight="1">
      <c r="A4" s="27" t="s">
        <v>4</v>
      </c>
      <c r="B4" s="24"/>
      <c r="C4" s="28">
        <v>2013</v>
      </c>
      <c r="D4" s="28"/>
      <c r="E4" s="28"/>
      <c r="F4" s="30">
        <v>2014</v>
      </c>
      <c r="G4" s="28"/>
      <c r="H4" s="28"/>
      <c r="I4" s="30">
        <v>2015</v>
      </c>
      <c r="J4" s="28"/>
      <c r="K4" s="28"/>
      <c r="L4" s="30">
        <v>2016</v>
      </c>
      <c r="M4" s="28"/>
      <c r="N4" s="28"/>
      <c r="O4" s="30">
        <v>2017</v>
      </c>
      <c r="P4" s="28"/>
      <c r="Q4" s="28"/>
      <c r="R4" s="30">
        <v>2018</v>
      </c>
      <c r="S4" s="28"/>
      <c r="T4" s="28"/>
      <c r="U4" s="31" t="s">
        <v>5</v>
      </c>
    </row>
    <row r="5" spans="1:22" s="6" customFormat="1" ht="20.25" customHeight="1">
      <c r="A5" s="26"/>
      <c r="B5" s="22"/>
      <c r="C5" s="22" t="s">
        <v>0</v>
      </c>
      <c r="D5" s="22" t="s">
        <v>1</v>
      </c>
      <c r="E5" s="22" t="s">
        <v>2</v>
      </c>
      <c r="F5" s="7" t="s">
        <v>0</v>
      </c>
      <c r="G5" s="22" t="s">
        <v>1</v>
      </c>
      <c r="H5" s="22" t="s">
        <v>2</v>
      </c>
      <c r="I5" s="7" t="s">
        <v>0</v>
      </c>
      <c r="J5" s="22" t="s">
        <v>1</v>
      </c>
      <c r="K5" s="22" t="s">
        <v>2</v>
      </c>
      <c r="L5" s="7" t="s">
        <v>0</v>
      </c>
      <c r="M5" s="22" t="s">
        <v>1</v>
      </c>
      <c r="N5" s="22" t="s">
        <v>2</v>
      </c>
      <c r="O5" s="7" t="s">
        <v>0</v>
      </c>
      <c r="P5" s="22" t="s">
        <v>1</v>
      </c>
      <c r="Q5" s="22" t="s">
        <v>2</v>
      </c>
      <c r="R5" s="7" t="s">
        <v>0</v>
      </c>
      <c r="S5" s="22" t="s">
        <v>1</v>
      </c>
      <c r="T5" s="22" t="s">
        <v>2</v>
      </c>
      <c r="U5" s="32"/>
    </row>
    <row r="6" spans="1:22" s="6" customFormat="1" ht="18.75">
      <c r="A6" s="23" t="s">
        <v>3</v>
      </c>
      <c r="B6" s="1"/>
      <c r="C6" s="8">
        <f t="shared" ref="C6:C26" si="0">SUM(D6:E6)</f>
        <v>1356</v>
      </c>
      <c r="D6" s="8">
        <f>SUM(D7:D26)</f>
        <v>572</v>
      </c>
      <c r="E6" s="8">
        <f>SUM(E7:E26)</f>
        <v>784</v>
      </c>
      <c r="F6" s="9">
        <f t="shared" ref="F6:H24" si="1">SUM(G6:H6)</f>
        <v>1352</v>
      </c>
      <c r="G6" s="8">
        <f>SUM(G7:G26)</f>
        <v>655</v>
      </c>
      <c r="H6" s="8">
        <f>SUM(H7:H26)</f>
        <v>697</v>
      </c>
      <c r="I6" s="9">
        <f t="shared" ref="I6:I24" si="2">SUM(J6:K6)</f>
        <v>1985</v>
      </c>
      <c r="J6" s="8">
        <f>SUM(J7:J26)</f>
        <v>910</v>
      </c>
      <c r="K6" s="8">
        <f>SUM(K7:K26)</f>
        <v>1075</v>
      </c>
      <c r="L6" s="9">
        <f t="shared" ref="L6:L24" si="3">SUM(M6:N6)</f>
        <v>2260</v>
      </c>
      <c r="M6" s="8">
        <f>SUM(M7:M26)</f>
        <v>1121</v>
      </c>
      <c r="N6" s="8">
        <f>SUM(N7:N26)</f>
        <v>1139</v>
      </c>
      <c r="O6" s="9">
        <f>SUM(P6:Q6)</f>
        <v>2720</v>
      </c>
      <c r="P6" s="8">
        <f>SUM(P7:P26)</f>
        <v>1267</v>
      </c>
      <c r="Q6" s="8">
        <f>SUM(Q7:Q26)</f>
        <v>1453</v>
      </c>
      <c r="R6" s="9">
        <f>SUM(S6:T6)</f>
        <v>2635</v>
      </c>
      <c r="S6" s="8">
        <f>SUM(S7:S26)</f>
        <v>1129</v>
      </c>
      <c r="T6" s="8">
        <f>SUM(T7:T26)</f>
        <v>1506</v>
      </c>
      <c r="U6" s="4" t="s">
        <v>6</v>
      </c>
    </row>
    <row r="7" spans="1:22" ht="18.75">
      <c r="A7" s="10" t="s">
        <v>7</v>
      </c>
      <c r="B7" s="6"/>
      <c r="C7" s="11">
        <f t="shared" si="0"/>
        <v>11</v>
      </c>
      <c r="D7" s="11">
        <v>5</v>
      </c>
      <c r="E7" s="11">
        <v>6</v>
      </c>
      <c r="F7" s="12">
        <f t="shared" si="1"/>
        <v>59</v>
      </c>
      <c r="G7" s="11">
        <v>31</v>
      </c>
      <c r="H7" s="11">
        <v>28</v>
      </c>
      <c r="I7" s="12">
        <f t="shared" si="2"/>
        <v>56</v>
      </c>
      <c r="J7" s="11">
        <v>25</v>
      </c>
      <c r="K7" s="11">
        <v>31</v>
      </c>
      <c r="L7" s="12">
        <f t="shared" si="3"/>
        <v>58</v>
      </c>
      <c r="M7" s="11">
        <v>17</v>
      </c>
      <c r="N7" s="11">
        <v>41</v>
      </c>
      <c r="O7" s="12">
        <f t="shared" ref="O7" si="4">SUM(P7:Q7)</f>
        <v>88</v>
      </c>
      <c r="P7" s="11">
        <v>37</v>
      </c>
      <c r="Q7" s="11">
        <v>51</v>
      </c>
      <c r="R7" s="12">
        <f t="shared" ref="R7:R26" si="5">SUM(S7:T7)</f>
        <v>91</v>
      </c>
      <c r="S7" s="11">
        <v>41</v>
      </c>
      <c r="T7" s="11">
        <v>50</v>
      </c>
      <c r="U7" s="13" t="s">
        <v>8</v>
      </c>
    </row>
    <row r="8" spans="1:22" ht="18.75">
      <c r="A8" s="10" t="s">
        <v>9</v>
      </c>
      <c r="B8" s="6"/>
      <c r="C8" s="11">
        <f t="shared" si="0"/>
        <v>22</v>
      </c>
      <c r="D8" s="11">
        <v>5</v>
      </c>
      <c r="E8" s="11">
        <v>17</v>
      </c>
      <c r="F8" s="12">
        <f t="shared" si="1"/>
        <v>42</v>
      </c>
      <c r="G8" s="11">
        <v>13</v>
      </c>
      <c r="H8" s="11">
        <v>29</v>
      </c>
      <c r="I8" s="12">
        <f t="shared" si="2"/>
        <v>38</v>
      </c>
      <c r="J8" s="11">
        <v>21</v>
      </c>
      <c r="K8" s="11">
        <v>17</v>
      </c>
      <c r="L8" s="12">
        <f>SUM(M8:N8)</f>
        <v>34</v>
      </c>
      <c r="M8" s="11">
        <v>14</v>
      </c>
      <c r="N8" s="11">
        <v>20</v>
      </c>
      <c r="O8" s="12">
        <f>SUM(P8:Q8)</f>
        <v>110</v>
      </c>
      <c r="P8" s="11">
        <v>42</v>
      </c>
      <c r="Q8" s="11">
        <v>68</v>
      </c>
      <c r="R8" s="12">
        <f t="shared" si="5"/>
        <v>118</v>
      </c>
      <c r="S8" s="11">
        <v>48</v>
      </c>
      <c r="T8" s="11">
        <v>70</v>
      </c>
      <c r="U8" s="13" t="s">
        <v>10</v>
      </c>
    </row>
    <row r="9" spans="1:22" ht="18.75">
      <c r="A9" s="10" t="s">
        <v>11</v>
      </c>
      <c r="B9" s="6"/>
      <c r="C9" s="11">
        <f t="shared" si="0"/>
        <v>62</v>
      </c>
      <c r="D9" s="11">
        <v>22</v>
      </c>
      <c r="E9" s="11">
        <v>40</v>
      </c>
      <c r="F9" s="12">
        <f t="shared" si="1"/>
        <v>49</v>
      </c>
      <c r="G9" s="11">
        <v>14</v>
      </c>
      <c r="H9" s="11">
        <v>35</v>
      </c>
      <c r="I9" s="12">
        <f t="shared" si="2"/>
        <v>53</v>
      </c>
      <c r="J9" s="11">
        <v>20</v>
      </c>
      <c r="K9" s="11">
        <v>33</v>
      </c>
      <c r="L9" s="12">
        <f t="shared" si="3"/>
        <v>35</v>
      </c>
      <c r="M9" s="11">
        <v>20</v>
      </c>
      <c r="N9" s="11">
        <v>15</v>
      </c>
      <c r="O9" s="12">
        <f t="shared" ref="O9:O24" si="6">SUM(P9:Q9)</f>
        <v>54</v>
      </c>
      <c r="P9" s="11">
        <v>33</v>
      </c>
      <c r="Q9" s="11">
        <v>21</v>
      </c>
      <c r="R9" s="12">
        <f t="shared" si="5"/>
        <v>53</v>
      </c>
      <c r="S9" s="11">
        <v>22</v>
      </c>
      <c r="T9" s="11">
        <v>31</v>
      </c>
      <c r="U9" s="13" t="s">
        <v>12</v>
      </c>
    </row>
    <row r="10" spans="1:22" ht="18.75">
      <c r="A10" s="10" t="s">
        <v>13</v>
      </c>
      <c r="B10" s="6"/>
      <c r="C10" s="11">
        <f t="shared" si="0"/>
        <v>27</v>
      </c>
      <c r="D10" s="11">
        <v>18</v>
      </c>
      <c r="E10" s="11">
        <v>9</v>
      </c>
      <c r="F10" s="12">
        <f t="shared" si="1"/>
        <v>133</v>
      </c>
      <c r="G10" s="11">
        <f t="shared" si="1"/>
        <v>83</v>
      </c>
      <c r="H10" s="11">
        <f t="shared" si="1"/>
        <v>50</v>
      </c>
      <c r="I10" s="12">
        <f t="shared" si="2"/>
        <v>33</v>
      </c>
      <c r="J10" s="11">
        <v>17</v>
      </c>
      <c r="K10" s="11">
        <v>16</v>
      </c>
      <c r="L10" s="12">
        <f t="shared" si="3"/>
        <v>56</v>
      </c>
      <c r="M10" s="11">
        <v>23</v>
      </c>
      <c r="N10" s="11">
        <v>33</v>
      </c>
      <c r="O10" s="12">
        <f t="shared" si="6"/>
        <v>56</v>
      </c>
      <c r="P10" s="11">
        <v>24</v>
      </c>
      <c r="Q10" s="11">
        <v>32</v>
      </c>
      <c r="R10" s="12">
        <f t="shared" si="5"/>
        <v>66</v>
      </c>
      <c r="S10" s="11">
        <v>35</v>
      </c>
      <c r="T10" s="11">
        <v>31</v>
      </c>
      <c r="U10" s="13" t="s">
        <v>14</v>
      </c>
    </row>
    <row r="11" spans="1:22" ht="18.75">
      <c r="A11" s="10" t="s">
        <v>15</v>
      </c>
      <c r="B11" s="6"/>
      <c r="C11" s="11">
        <f t="shared" si="0"/>
        <v>101</v>
      </c>
      <c r="D11" s="11">
        <v>38</v>
      </c>
      <c r="E11" s="11">
        <v>63</v>
      </c>
      <c r="F11" s="12">
        <f t="shared" si="1"/>
        <v>82</v>
      </c>
      <c r="G11" s="11">
        <v>35</v>
      </c>
      <c r="H11" s="11">
        <v>47</v>
      </c>
      <c r="I11" s="12">
        <f t="shared" si="2"/>
        <v>177</v>
      </c>
      <c r="J11" s="11">
        <v>91</v>
      </c>
      <c r="K11" s="11">
        <v>86</v>
      </c>
      <c r="L11" s="12">
        <f t="shared" si="3"/>
        <v>91</v>
      </c>
      <c r="M11" s="11">
        <v>33</v>
      </c>
      <c r="N11" s="11">
        <v>58</v>
      </c>
      <c r="O11" s="12">
        <f t="shared" si="6"/>
        <v>73</v>
      </c>
      <c r="P11" s="11">
        <v>41</v>
      </c>
      <c r="Q11" s="11">
        <v>32</v>
      </c>
      <c r="R11" s="12">
        <f t="shared" si="5"/>
        <v>58</v>
      </c>
      <c r="S11" s="11">
        <v>23</v>
      </c>
      <c r="T11" s="11">
        <v>35</v>
      </c>
      <c r="U11" s="13" t="s">
        <v>16</v>
      </c>
    </row>
    <row r="12" spans="1:22" ht="18.75">
      <c r="A12" s="10" t="s">
        <v>17</v>
      </c>
      <c r="B12" s="6"/>
      <c r="C12" s="11">
        <f t="shared" si="0"/>
        <v>34</v>
      </c>
      <c r="D12" s="11">
        <v>15</v>
      </c>
      <c r="E12" s="11">
        <v>19</v>
      </c>
      <c r="F12" s="12">
        <f t="shared" si="1"/>
        <v>27</v>
      </c>
      <c r="G12" s="11">
        <v>15</v>
      </c>
      <c r="H12" s="11">
        <v>12</v>
      </c>
      <c r="I12" s="12">
        <f t="shared" si="2"/>
        <v>46</v>
      </c>
      <c r="J12" s="11">
        <v>27</v>
      </c>
      <c r="K12" s="11">
        <v>19</v>
      </c>
      <c r="L12" s="12">
        <f t="shared" si="3"/>
        <v>36</v>
      </c>
      <c r="M12" s="11">
        <v>15</v>
      </c>
      <c r="N12" s="11">
        <v>21</v>
      </c>
      <c r="O12" s="12">
        <f t="shared" si="6"/>
        <v>49</v>
      </c>
      <c r="P12" s="11">
        <v>33</v>
      </c>
      <c r="Q12" s="11">
        <v>16</v>
      </c>
      <c r="R12" s="12">
        <f t="shared" si="5"/>
        <v>49</v>
      </c>
      <c r="S12" s="11">
        <v>28</v>
      </c>
      <c r="T12" s="11">
        <v>21</v>
      </c>
      <c r="U12" s="13" t="s">
        <v>18</v>
      </c>
    </row>
    <row r="13" spans="1:22" ht="18.75">
      <c r="A13" s="10" t="s">
        <v>19</v>
      </c>
      <c r="B13" s="6"/>
      <c r="C13" s="11">
        <f t="shared" si="0"/>
        <v>34</v>
      </c>
      <c r="D13" s="11">
        <v>10</v>
      </c>
      <c r="E13" s="11">
        <v>24</v>
      </c>
      <c r="F13" s="12">
        <f t="shared" si="1"/>
        <v>28</v>
      </c>
      <c r="G13" s="11">
        <v>11</v>
      </c>
      <c r="H13" s="11">
        <v>17</v>
      </c>
      <c r="I13" s="12">
        <f t="shared" si="2"/>
        <v>53</v>
      </c>
      <c r="J13" s="11">
        <v>22</v>
      </c>
      <c r="K13" s="11">
        <v>31</v>
      </c>
      <c r="L13" s="12">
        <f t="shared" si="3"/>
        <v>42</v>
      </c>
      <c r="M13" s="11">
        <v>18</v>
      </c>
      <c r="N13" s="11">
        <v>24</v>
      </c>
      <c r="O13" s="12">
        <f t="shared" si="6"/>
        <v>76</v>
      </c>
      <c r="P13" s="11">
        <v>38</v>
      </c>
      <c r="Q13" s="11">
        <v>38</v>
      </c>
      <c r="R13" s="12">
        <f t="shared" si="5"/>
        <v>100</v>
      </c>
      <c r="S13" s="11">
        <v>52</v>
      </c>
      <c r="T13" s="11">
        <v>48</v>
      </c>
      <c r="U13" s="13" t="s">
        <v>20</v>
      </c>
    </row>
    <row r="14" spans="1:22" ht="18.75">
      <c r="A14" s="10" t="s">
        <v>21</v>
      </c>
      <c r="B14" s="6"/>
      <c r="C14" s="11">
        <f t="shared" si="0"/>
        <v>559</v>
      </c>
      <c r="D14" s="11">
        <v>217</v>
      </c>
      <c r="E14" s="11">
        <v>342</v>
      </c>
      <c r="F14" s="12">
        <f t="shared" si="1"/>
        <v>398</v>
      </c>
      <c r="G14" s="11">
        <v>187</v>
      </c>
      <c r="H14" s="11">
        <v>211</v>
      </c>
      <c r="I14" s="12">
        <f t="shared" si="2"/>
        <v>499</v>
      </c>
      <c r="J14" s="11">
        <v>215</v>
      </c>
      <c r="K14" s="11">
        <v>284</v>
      </c>
      <c r="L14" s="12">
        <f t="shared" si="3"/>
        <v>348</v>
      </c>
      <c r="M14" s="11">
        <v>197</v>
      </c>
      <c r="N14" s="11">
        <v>151</v>
      </c>
      <c r="O14" s="12">
        <v>959</v>
      </c>
      <c r="P14" s="11">
        <v>413</v>
      </c>
      <c r="Q14" s="11">
        <v>546</v>
      </c>
      <c r="R14" s="12">
        <f t="shared" si="5"/>
        <v>898</v>
      </c>
      <c r="S14" s="11">
        <v>369</v>
      </c>
      <c r="T14" s="11">
        <v>529</v>
      </c>
      <c r="U14" s="13" t="s">
        <v>22</v>
      </c>
      <c r="V14" s="3"/>
    </row>
    <row r="15" spans="1:22" ht="18.75">
      <c r="A15" s="10" t="s">
        <v>23</v>
      </c>
      <c r="B15" s="6"/>
      <c r="C15" s="11">
        <f t="shared" si="0"/>
        <v>20</v>
      </c>
      <c r="D15" s="11">
        <v>6</v>
      </c>
      <c r="E15" s="11">
        <v>14</v>
      </c>
      <c r="F15" s="12">
        <f t="shared" si="1"/>
        <v>24</v>
      </c>
      <c r="G15" s="11">
        <v>13</v>
      </c>
      <c r="H15" s="11">
        <v>11</v>
      </c>
      <c r="I15" s="12">
        <f t="shared" si="2"/>
        <v>56</v>
      </c>
      <c r="J15" s="11">
        <v>27</v>
      </c>
      <c r="K15" s="11">
        <v>29</v>
      </c>
      <c r="L15" s="12">
        <f t="shared" si="3"/>
        <v>81</v>
      </c>
      <c r="M15" s="11">
        <v>40</v>
      </c>
      <c r="N15" s="11">
        <v>41</v>
      </c>
      <c r="O15" s="12">
        <f t="shared" si="6"/>
        <v>131</v>
      </c>
      <c r="P15" s="11">
        <v>48</v>
      </c>
      <c r="Q15" s="11">
        <v>83</v>
      </c>
      <c r="R15" s="12">
        <f t="shared" si="5"/>
        <v>86</v>
      </c>
      <c r="S15" s="11">
        <v>34</v>
      </c>
      <c r="T15" s="11">
        <v>52</v>
      </c>
      <c r="U15" s="13" t="s">
        <v>24</v>
      </c>
    </row>
    <row r="16" spans="1:22" ht="18.75">
      <c r="A16" s="10" t="s">
        <v>25</v>
      </c>
      <c r="B16" s="6"/>
      <c r="C16" s="11">
        <f t="shared" si="0"/>
        <v>34</v>
      </c>
      <c r="D16" s="11">
        <v>21</v>
      </c>
      <c r="E16" s="11">
        <v>13</v>
      </c>
      <c r="F16" s="12">
        <f t="shared" si="1"/>
        <v>62</v>
      </c>
      <c r="G16" s="11">
        <v>35</v>
      </c>
      <c r="H16" s="11">
        <v>27</v>
      </c>
      <c r="I16" s="12">
        <f t="shared" si="2"/>
        <v>63</v>
      </c>
      <c r="J16" s="11">
        <v>26</v>
      </c>
      <c r="K16" s="11">
        <v>37</v>
      </c>
      <c r="L16" s="12">
        <f t="shared" si="3"/>
        <v>91</v>
      </c>
      <c r="M16" s="11">
        <v>42</v>
      </c>
      <c r="N16" s="11">
        <v>49</v>
      </c>
      <c r="O16" s="12">
        <f t="shared" si="6"/>
        <v>198</v>
      </c>
      <c r="P16" s="11">
        <v>87</v>
      </c>
      <c r="Q16" s="11">
        <v>111</v>
      </c>
      <c r="R16" s="12">
        <f t="shared" si="5"/>
        <v>87</v>
      </c>
      <c r="S16" s="11">
        <v>47</v>
      </c>
      <c r="T16" s="11">
        <v>40</v>
      </c>
      <c r="U16" s="13" t="s">
        <v>26</v>
      </c>
    </row>
    <row r="17" spans="1:21" ht="18.75">
      <c r="A17" s="10" t="s">
        <v>27</v>
      </c>
      <c r="B17" s="6"/>
      <c r="C17" s="11">
        <f t="shared" si="0"/>
        <v>5</v>
      </c>
      <c r="D17" s="11">
        <v>3</v>
      </c>
      <c r="E17" s="11">
        <v>2</v>
      </c>
      <c r="F17" s="12">
        <f t="shared" si="1"/>
        <v>2</v>
      </c>
      <c r="G17" s="11">
        <v>2</v>
      </c>
      <c r="H17" s="11">
        <v>0</v>
      </c>
      <c r="I17" s="12">
        <f t="shared" si="2"/>
        <v>8</v>
      </c>
      <c r="J17" s="11">
        <v>3</v>
      </c>
      <c r="K17" s="11">
        <v>5</v>
      </c>
      <c r="L17" s="12">
        <f t="shared" si="3"/>
        <v>4</v>
      </c>
      <c r="M17" s="11">
        <v>4</v>
      </c>
      <c r="N17" s="11">
        <v>0</v>
      </c>
      <c r="O17" s="12">
        <f t="shared" si="6"/>
        <v>21</v>
      </c>
      <c r="P17" s="11">
        <v>15</v>
      </c>
      <c r="Q17" s="11">
        <v>6</v>
      </c>
      <c r="R17" s="12">
        <f t="shared" si="5"/>
        <v>16</v>
      </c>
      <c r="S17" s="11">
        <v>6</v>
      </c>
      <c r="T17" s="11">
        <v>10</v>
      </c>
      <c r="U17" s="13" t="s">
        <v>28</v>
      </c>
    </row>
    <row r="18" spans="1:21" ht="18.75">
      <c r="A18" s="10" t="s">
        <v>29</v>
      </c>
      <c r="B18" s="6"/>
      <c r="C18" s="11">
        <f t="shared" si="0"/>
        <v>17</v>
      </c>
      <c r="D18" s="11">
        <v>6</v>
      </c>
      <c r="E18" s="11">
        <v>11</v>
      </c>
      <c r="F18" s="12">
        <f t="shared" si="1"/>
        <v>9</v>
      </c>
      <c r="G18" s="11">
        <v>6</v>
      </c>
      <c r="H18" s="11">
        <v>3</v>
      </c>
      <c r="I18" s="12">
        <f t="shared" si="2"/>
        <v>12</v>
      </c>
      <c r="J18" s="11">
        <v>8</v>
      </c>
      <c r="K18" s="11">
        <v>4</v>
      </c>
      <c r="L18" s="12">
        <f t="shared" si="3"/>
        <v>6</v>
      </c>
      <c r="M18" s="11">
        <v>2</v>
      </c>
      <c r="N18" s="11">
        <v>4</v>
      </c>
      <c r="O18" s="12">
        <f t="shared" si="6"/>
        <v>18</v>
      </c>
      <c r="P18" s="11">
        <v>10</v>
      </c>
      <c r="Q18" s="11">
        <v>8</v>
      </c>
      <c r="R18" s="12">
        <f t="shared" si="5"/>
        <v>17</v>
      </c>
      <c r="S18" s="11">
        <v>4</v>
      </c>
      <c r="T18" s="11">
        <v>13</v>
      </c>
      <c r="U18" s="13" t="s">
        <v>30</v>
      </c>
    </row>
    <row r="19" spans="1:21" ht="18.75">
      <c r="A19" s="10" t="s">
        <v>31</v>
      </c>
      <c r="B19" s="6"/>
      <c r="C19" s="11">
        <f t="shared" si="0"/>
        <v>22</v>
      </c>
      <c r="D19" s="11">
        <v>14</v>
      </c>
      <c r="E19" s="11">
        <v>8</v>
      </c>
      <c r="F19" s="12">
        <f t="shared" si="1"/>
        <v>28</v>
      </c>
      <c r="G19" s="11">
        <v>12</v>
      </c>
      <c r="H19" s="11">
        <v>16</v>
      </c>
      <c r="I19" s="12">
        <f t="shared" si="2"/>
        <v>37</v>
      </c>
      <c r="J19" s="11">
        <v>19</v>
      </c>
      <c r="K19" s="11">
        <v>18</v>
      </c>
      <c r="L19" s="12">
        <f t="shared" si="3"/>
        <v>73</v>
      </c>
      <c r="M19" s="11">
        <v>51</v>
      </c>
      <c r="N19" s="11">
        <v>22</v>
      </c>
      <c r="O19" s="12">
        <f t="shared" si="6"/>
        <v>39</v>
      </c>
      <c r="P19" s="11">
        <v>23</v>
      </c>
      <c r="Q19" s="11">
        <v>16</v>
      </c>
      <c r="R19" s="12">
        <f t="shared" si="5"/>
        <v>27</v>
      </c>
      <c r="S19" s="11">
        <v>8</v>
      </c>
      <c r="T19" s="11">
        <v>19</v>
      </c>
      <c r="U19" s="13" t="s">
        <v>32</v>
      </c>
    </row>
    <row r="20" spans="1:21" ht="18.75">
      <c r="A20" s="10" t="s">
        <v>33</v>
      </c>
      <c r="B20" s="6"/>
      <c r="C20" s="11">
        <f t="shared" si="0"/>
        <v>20</v>
      </c>
      <c r="D20" s="11">
        <v>6</v>
      </c>
      <c r="E20" s="11">
        <v>14</v>
      </c>
      <c r="F20" s="12">
        <f t="shared" si="1"/>
        <v>0</v>
      </c>
      <c r="G20" s="11">
        <v>0</v>
      </c>
      <c r="H20" s="11">
        <v>0</v>
      </c>
      <c r="I20" s="12">
        <f t="shared" si="2"/>
        <v>29</v>
      </c>
      <c r="J20" s="11">
        <v>22</v>
      </c>
      <c r="K20" s="11">
        <v>7</v>
      </c>
      <c r="L20" s="12">
        <f t="shared" si="3"/>
        <v>43</v>
      </c>
      <c r="M20" s="11">
        <v>20</v>
      </c>
      <c r="N20" s="11">
        <v>23</v>
      </c>
      <c r="O20" s="12">
        <f t="shared" si="6"/>
        <v>28</v>
      </c>
      <c r="P20" s="11">
        <v>8</v>
      </c>
      <c r="Q20" s="11">
        <v>20</v>
      </c>
      <c r="R20" s="12">
        <f t="shared" si="5"/>
        <v>33</v>
      </c>
      <c r="S20" s="11">
        <v>19</v>
      </c>
      <c r="T20" s="11">
        <v>14</v>
      </c>
      <c r="U20" s="13" t="s">
        <v>34</v>
      </c>
    </row>
    <row r="21" spans="1:21" ht="18.75">
      <c r="A21" s="10" t="s">
        <v>35</v>
      </c>
      <c r="B21" s="6"/>
      <c r="C21" s="11">
        <f t="shared" si="0"/>
        <v>39</v>
      </c>
      <c r="D21" s="11">
        <v>20</v>
      </c>
      <c r="E21" s="11">
        <v>19</v>
      </c>
      <c r="F21" s="12">
        <f t="shared" si="1"/>
        <v>40</v>
      </c>
      <c r="G21" s="11">
        <v>22</v>
      </c>
      <c r="H21" s="11">
        <v>18</v>
      </c>
      <c r="I21" s="12">
        <f t="shared" si="2"/>
        <v>55</v>
      </c>
      <c r="J21" s="11">
        <v>22</v>
      </c>
      <c r="K21" s="11">
        <v>33</v>
      </c>
      <c r="L21" s="12">
        <f t="shared" si="3"/>
        <v>55</v>
      </c>
      <c r="M21" s="11">
        <v>32</v>
      </c>
      <c r="N21" s="11">
        <v>23</v>
      </c>
      <c r="O21" s="12">
        <f t="shared" si="6"/>
        <v>79</v>
      </c>
      <c r="P21" s="11">
        <v>46</v>
      </c>
      <c r="Q21" s="11">
        <v>33</v>
      </c>
      <c r="R21" s="12">
        <f t="shared" si="5"/>
        <v>43</v>
      </c>
      <c r="S21" s="11">
        <v>17</v>
      </c>
      <c r="T21" s="11">
        <v>26</v>
      </c>
      <c r="U21" s="13" t="s">
        <v>36</v>
      </c>
    </row>
    <row r="22" spans="1:21" ht="18.75">
      <c r="A22" s="10" t="s">
        <v>37</v>
      </c>
      <c r="B22" s="6"/>
      <c r="C22" s="11">
        <f t="shared" si="0"/>
        <v>123</v>
      </c>
      <c r="D22" s="11">
        <v>61</v>
      </c>
      <c r="E22" s="11">
        <v>62</v>
      </c>
      <c r="F22" s="12">
        <f t="shared" si="1"/>
        <v>0</v>
      </c>
      <c r="G22" s="11">
        <v>0</v>
      </c>
      <c r="H22" s="11">
        <v>0</v>
      </c>
      <c r="I22" s="12">
        <f t="shared" si="2"/>
        <v>79</v>
      </c>
      <c r="J22" s="11">
        <v>27</v>
      </c>
      <c r="K22" s="11">
        <v>52</v>
      </c>
      <c r="L22" s="12">
        <f t="shared" si="3"/>
        <v>149</v>
      </c>
      <c r="M22" s="11">
        <v>70</v>
      </c>
      <c r="N22" s="11">
        <v>79</v>
      </c>
      <c r="O22" s="12">
        <f t="shared" si="6"/>
        <v>87</v>
      </c>
      <c r="P22" s="11">
        <v>39</v>
      </c>
      <c r="Q22" s="11">
        <v>48</v>
      </c>
      <c r="R22" s="12">
        <f t="shared" si="5"/>
        <v>122</v>
      </c>
      <c r="S22" s="11">
        <v>58</v>
      </c>
      <c r="T22" s="11">
        <v>64</v>
      </c>
      <c r="U22" s="13" t="s">
        <v>38</v>
      </c>
    </row>
    <row r="23" spans="1:21" ht="18.75">
      <c r="A23" s="10" t="s">
        <v>39</v>
      </c>
      <c r="B23" s="6"/>
      <c r="C23" s="11">
        <f t="shared" si="0"/>
        <v>22</v>
      </c>
      <c r="D23" s="11">
        <v>5</v>
      </c>
      <c r="E23" s="11">
        <v>17</v>
      </c>
      <c r="F23" s="12">
        <f t="shared" si="1"/>
        <v>0</v>
      </c>
      <c r="G23" s="11">
        <v>0</v>
      </c>
      <c r="H23" s="11">
        <v>0</v>
      </c>
      <c r="I23" s="12">
        <f t="shared" si="2"/>
        <v>33</v>
      </c>
      <c r="J23" s="11">
        <v>16</v>
      </c>
      <c r="K23" s="11">
        <v>17</v>
      </c>
      <c r="L23" s="12">
        <f t="shared" si="3"/>
        <v>27</v>
      </c>
      <c r="M23" s="11">
        <v>15</v>
      </c>
      <c r="N23" s="11">
        <v>12</v>
      </c>
      <c r="O23" s="12">
        <f t="shared" si="6"/>
        <v>17</v>
      </c>
      <c r="P23" s="11">
        <v>6</v>
      </c>
      <c r="Q23" s="11">
        <v>11</v>
      </c>
      <c r="R23" s="12">
        <f t="shared" si="5"/>
        <v>103</v>
      </c>
      <c r="S23" s="11">
        <v>35</v>
      </c>
      <c r="T23" s="11">
        <v>68</v>
      </c>
      <c r="U23" s="13" t="s">
        <v>40</v>
      </c>
    </row>
    <row r="24" spans="1:21" ht="18.75">
      <c r="A24" s="10" t="s">
        <v>41</v>
      </c>
      <c r="B24" s="6"/>
      <c r="C24" s="11">
        <f t="shared" si="0"/>
        <v>0</v>
      </c>
      <c r="D24" s="11"/>
      <c r="E24" s="11"/>
      <c r="F24" s="12">
        <f t="shared" si="1"/>
        <v>69</v>
      </c>
      <c r="G24" s="11">
        <v>33</v>
      </c>
      <c r="H24" s="11">
        <v>36</v>
      </c>
      <c r="I24" s="12">
        <f t="shared" si="2"/>
        <v>138</v>
      </c>
      <c r="J24" s="11">
        <v>62</v>
      </c>
      <c r="K24" s="11">
        <v>76</v>
      </c>
      <c r="L24" s="12">
        <f t="shared" si="3"/>
        <v>274</v>
      </c>
      <c r="M24" s="11">
        <v>118</v>
      </c>
      <c r="N24" s="11">
        <v>156</v>
      </c>
      <c r="O24" s="12">
        <f t="shared" si="6"/>
        <v>189</v>
      </c>
      <c r="P24" s="11">
        <v>94</v>
      </c>
      <c r="Q24" s="11">
        <v>95</v>
      </c>
      <c r="R24" s="12">
        <f t="shared" si="5"/>
        <v>171</v>
      </c>
      <c r="S24" s="11">
        <v>69</v>
      </c>
      <c r="T24" s="11">
        <v>102</v>
      </c>
      <c r="U24" s="13" t="s">
        <v>42</v>
      </c>
    </row>
    <row r="25" spans="1:21" ht="18.75">
      <c r="A25" s="10" t="s">
        <v>43</v>
      </c>
      <c r="B25" s="6"/>
      <c r="C25" s="11">
        <f t="shared" si="0"/>
        <v>111</v>
      </c>
      <c r="D25" s="11">
        <v>55</v>
      </c>
      <c r="E25" s="11">
        <v>56</v>
      </c>
      <c r="F25" s="12">
        <f>SUM(G25:H25)</f>
        <v>91</v>
      </c>
      <c r="G25" s="11">
        <v>44</v>
      </c>
      <c r="H25" s="11">
        <v>47</v>
      </c>
      <c r="I25" s="12">
        <f>SUM(J25:K25)</f>
        <v>196</v>
      </c>
      <c r="J25" s="11">
        <v>95</v>
      </c>
      <c r="K25" s="11">
        <v>101</v>
      </c>
      <c r="L25" s="12">
        <f>SUM(M25:N25)</f>
        <v>301</v>
      </c>
      <c r="M25" s="11">
        <v>150</v>
      </c>
      <c r="N25" s="11">
        <v>151</v>
      </c>
      <c r="O25" s="12">
        <f>SUM(P25:Q25)</f>
        <v>178</v>
      </c>
      <c r="P25" s="11">
        <v>91</v>
      </c>
      <c r="Q25" s="11">
        <v>87</v>
      </c>
      <c r="R25" s="12">
        <f t="shared" si="5"/>
        <v>162</v>
      </c>
      <c r="S25" s="11">
        <v>60</v>
      </c>
      <c r="T25" s="11">
        <v>102</v>
      </c>
      <c r="U25" s="13" t="s">
        <v>44</v>
      </c>
    </row>
    <row r="26" spans="1:21" ht="18.75">
      <c r="A26" s="14" t="s">
        <v>45</v>
      </c>
      <c r="B26" s="15"/>
      <c r="C26" s="16">
        <f t="shared" si="0"/>
        <v>93</v>
      </c>
      <c r="D26" s="16">
        <v>45</v>
      </c>
      <c r="E26" s="16">
        <v>48</v>
      </c>
      <c r="F26" s="17">
        <f t="shared" ref="F26" si="7">SUM(G26:H26)</f>
        <v>209</v>
      </c>
      <c r="G26" s="16">
        <v>99</v>
      </c>
      <c r="H26" s="16">
        <v>110</v>
      </c>
      <c r="I26" s="17">
        <f t="shared" ref="I26" si="8">SUM(J26:K26)</f>
        <v>324</v>
      </c>
      <c r="J26" s="16">
        <v>145</v>
      </c>
      <c r="K26" s="16">
        <v>179</v>
      </c>
      <c r="L26" s="17">
        <f t="shared" ref="L26" si="9">SUM(M26:N26)</f>
        <v>456</v>
      </c>
      <c r="M26" s="16">
        <v>240</v>
      </c>
      <c r="N26" s="16">
        <v>216</v>
      </c>
      <c r="O26" s="17">
        <f t="shared" ref="O26" si="10">SUM(P26:Q26)</f>
        <v>270</v>
      </c>
      <c r="P26" s="16">
        <v>139</v>
      </c>
      <c r="Q26" s="16">
        <v>131</v>
      </c>
      <c r="R26" s="12">
        <f t="shared" si="5"/>
        <v>335</v>
      </c>
      <c r="S26" s="16">
        <v>154</v>
      </c>
      <c r="T26" s="16">
        <v>181</v>
      </c>
      <c r="U26" s="18" t="s">
        <v>46</v>
      </c>
    </row>
    <row r="27" spans="1:21" ht="18.75" customHeight="1">
      <c r="A27" s="5" t="s">
        <v>48</v>
      </c>
      <c r="B27" s="19"/>
      <c r="C27" s="19"/>
      <c r="D27" s="21" t="s">
        <v>47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0" t="s">
        <v>47</v>
      </c>
    </row>
  </sheetData>
  <mergeCells count="10">
    <mergeCell ref="A1:U1"/>
    <mergeCell ref="A2:U2"/>
    <mergeCell ref="A4:A5"/>
    <mergeCell ref="C4:E4"/>
    <mergeCell ref="F4:H4"/>
    <mergeCell ref="I4:K4"/>
    <mergeCell ref="L4:N4"/>
    <mergeCell ref="O4:Q4"/>
    <mergeCell ref="R4:T4"/>
    <mergeCell ref="U4:U5"/>
  </mergeCells>
  <pageMargins left="0.7" right="0.7" top="0.75" bottom="0.75" header="0.3" footer="0.3"/>
  <pageSetup paperSize="9" scale="68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8.50</vt:lpstr>
      <vt:lpstr>'8.50'!Print_Area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dcterms:created xsi:type="dcterms:W3CDTF">2019-06-30T04:22:49Z</dcterms:created>
  <dcterms:modified xsi:type="dcterms:W3CDTF">2019-12-16T03:12:16Z</dcterms:modified>
</cp:coreProperties>
</file>