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8. LAW and ORDER\"/>
    </mc:Choice>
  </mc:AlternateContent>
  <bookViews>
    <workbookView xWindow="0" yWindow="0" windowWidth="28800" windowHeight="12330" tabRatio="923"/>
  </bookViews>
  <sheets>
    <sheet name="8.27" sheetId="28" r:id="rId1"/>
  </sheets>
  <externalReferences>
    <externalReference r:id="rId2"/>
    <externalReference r:id="rId3"/>
    <externalReference r:id="rId4"/>
    <externalReference r:id="rId5"/>
  </externalReferences>
  <definedNames>
    <definedName name="_xlnm.Print_Area" localSheetId="0">'8.27'!$A$1:$F$32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L16" i="28" l="1"/>
  <c r="AM17" i="28" l="1"/>
  <c r="AL17" i="28"/>
  <c r="AK17" i="28"/>
  <c r="AJ17" i="28"/>
  <c r="AI17" i="28"/>
  <c r="AH17" i="28"/>
  <c r="AM16" i="28"/>
  <c r="AK16" i="28"/>
  <c r="AJ16" i="28"/>
  <c r="AI16" i="28"/>
  <c r="AH16" i="28"/>
  <c r="D10" i="28"/>
  <c r="C10" i="28"/>
  <c r="C4" i="28" s="1"/>
  <c r="B10" i="28"/>
  <c r="B4" i="28" s="1"/>
  <c r="D7" i="28"/>
  <c r="D4" i="28" s="1"/>
  <c r="C7" i="28"/>
  <c r="B7" i="28"/>
  <c r="D6" i="28"/>
  <c r="C6" i="28"/>
  <c r="B6" i="28"/>
  <c r="D5" i="28"/>
  <c r="C5" i="28"/>
  <c r="B5" i="28"/>
</calcChain>
</file>

<file path=xl/sharedStrings.xml><?xml version="1.0" encoding="utf-8"?>
<sst xmlns="http://schemas.openxmlformats.org/spreadsheetml/2006/main" count="32" uniqueCount="18">
  <si>
    <t>Male</t>
  </si>
  <si>
    <t>Female</t>
  </si>
  <si>
    <t>ފިރިހެން</t>
  </si>
  <si>
    <t>އަންހެން</t>
  </si>
  <si>
    <t>Source: Department of Judicial Administration</t>
  </si>
  <si>
    <t>cnwxErcTcsinimcDea clwxiDuj cfoa cTcnwmcTWpiD : utWmUluAwm</t>
  </si>
  <si>
    <t>Age and sex</t>
  </si>
  <si>
    <t>ޢުމުރު އަދި ޖިންސު</t>
  </si>
  <si>
    <t xml:space="preserve"> Total</t>
  </si>
  <si>
    <t>މުޅި ޖުމުލަ</t>
  </si>
  <si>
    <t>Above 18 - Total</t>
  </si>
  <si>
    <r>
      <rPr>
        <b/>
        <sz val="11"/>
        <color theme="1"/>
        <rFont val="Calibri"/>
        <family val="2"/>
        <scheme val="minor"/>
      </rPr>
      <t>18</t>
    </r>
    <r>
      <rPr>
        <b/>
        <sz val="11"/>
        <color theme="1"/>
        <rFont val="Faruma"/>
      </rPr>
      <t xml:space="preserve"> އަހަރުން މަތި- ޖުމުލަ</t>
    </r>
  </si>
  <si>
    <t>Below 18- Total</t>
  </si>
  <si>
    <r>
      <rPr>
        <b/>
        <sz val="11"/>
        <color theme="1"/>
        <rFont val="Calibri"/>
        <family val="2"/>
        <scheme val="minor"/>
      </rPr>
      <t>18</t>
    </r>
    <r>
      <rPr>
        <b/>
        <sz val="11"/>
        <color theme="1"/>
        <rFont val="Faruma"/>
      </rPr>
      <t xml:space="preserve"> އަހަރުން ދަށް- ޖުމުލަ</t>
    </r>
  </si>
  <si>
    <t xml:space="preserve">Above 18 </t>
  </si>
  <si>
    <t xml:space="preserve">Below 18 </t>
  </si>
  <si>
    <t>Table 8.27: Gender distribution of cases filed in the Drug Court 2016 - 2018</t>
  </si>
  <si>
    <r>
      <t xml:space="preserve">ތާވަލް </t>
    </r>
    <r>
      <rPr>
        <b/>
        <sz val="11"/>
        <color theme="1"/>
        <rFont val="Calibri"/>
        <family val="2"/>
        <scheme val="minor"/>
      </rPr>
      <t>8.27:</t>
    </r>
    <r>
      <rPr>
        <b/>
        <sz val="11"/>
        <color theme="1"/>
        <rFont val="Faruma"/>
      </rPr>
      <t xml:space="preserve"> ޑްރަގް ކޯޓަށް ހުށަހެޅުނު މައްސަލަތަކުގައި ދަޢުވާ ލިބޭ މީހުންގެ އަދަދު- </t>
    </r>
    <r>
      <rPr>
        <b/>
        <sz val="11"/>
        <color theme="1"/>
        <rFont val="Calibri"/>
        <family val="2"/>
        <scheme val="minor"/>
      </rPr>
      <t>2016-2018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</si>
</sst>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General_)"/>
    <numFmt numFmtId="166" formatCode="_-* #,##0_-;\-* #,##0_-;_-* &quot;-&quot;??_-;_-@_-"/>
    <numFmt numFmtId="167" formatCode="#,##0.0"/>
    <numFmt numFmtId="170" formatCode="_(* #,##0_);_(* \(#,##0\);_(* &quot;-&quot;??_);_(@_)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i/>
      <sz val="10"/>
      <name val="Calibri"/>
      <family val="2"/>
      <scheme val="minor"/>
    </font>
    <font>
      <sz val="10"/>
      <name val="Arial"/>
      <family val="2"/>
    </font>
    <font>
      <b/>
      <sz val="11"/>
      <color theme="1"/>
      <name val="Faruma"/>
    </font>
    <font>
      <sz val="11"/>
      <color theme="1"/>
      <name val="Faruma"/>
    </font>
    <font>
      <sz val="11"/>
      <name val="Courier"/>
      <family val="3"/>
    </font>
    <font>
      <sz val="10"/>
      <name val="A_Randhoo"/>
    </font>
    <font>
      <b/>
      <sz val="15"/>
      <color theme="3"/>
      <name val="Arial Mäo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/>
      <bottom style="thick">
        <color theme="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167" fontId="5" fillId="0" borderId="0"/>
    <xf numFmtId="0" fontId="12" fillId="0" borderId="7" applyNumberFormat="0" applyFill="0" applyAlignment="0" applyProtection="0"/>
    <xf numFmtId="0" fontId="7" fillId="0" borderId="0"/>
  </cellStyleXfs>
  <cellXfs count="31">
    <xf numFmtId="0" fontId="0" fillId="0" borderId="0" xfId="0"/>
    <xf numFmtId="164" fontId="6" fillId="2" borderId="3" xfId="0" applyNumberFormat="1" applyFont="1" applyFill="1" applyBorder="1" applyAlignment="1" applyProtection="1">
      <alignment vertical="center"/>
    </xf>
    <xf numFmtId="164" fontId="11" fillId="2" borderId="4" xfId="0" applyNumberFormat="1" applyFont="1" applyFill="1" applyBorder="1" applyAlignment="1">
      <alignment horizontal="right" vertical="center"/>
    </xf>
    <xf numFmtId="0" fontId="0" fillId="2" borderId="0" xfId="0" applyFont="1" applyFill="1"/>
    <xf numFmtId="0" fontId="2" fillId="2" borderId="5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right" vertical="center"/>
    </xf>
    <xf numFmtId="0" fontId="2" fillId="2" borderId="5" xfId="0" applyFont="1" applyFill="1" applyBorder="1" applyAlignment="1">
      <alignment horizontal="right" vertical="center" wrapText="1"/>
    </xf>
    <xf numFmtId="0" fontId="9" fillId="2" borderId="5" xfId="0" applyFont="1" applyFill="1" applyBorder="1" applyAlignment="1">
      <alignment horizontal="right" vertical="center"/>
    </xf>
    <xf numFmtId="0" fontId="2" fillId="2" borderId="0" xfId="0" applyFont="1" applyFill="1" applyBorder="1"/>
    <xf numFmtId="3" fontId="2" fillId="2" borderId="1" xfId="0" applyNumberFormat="1" applyFont="1" applyFill="1" applyBorder="1" applyAlignment="1">
      <alignment horizontal="right" vertical="center"/>
    </xf>
    <xf numFmtId="0" fontId="8" fillId="2" borderId="0" xfId="0" applyFont="1" applyFill="1" applyBorder="1"/>
    <xf numFmtId="0" fontId="0" fillId="2" borderId="0" xfId="0" applyFont="1" applyFill="1" applyBorder="1" applyAlignment="1">
      <alignment horizontal="left" vertical="center" indent="2"/>
    </xf>
    <xf numFmtId="3" fontId="2" fillId="2" borderId="0" xfId="0" applyNumberFormat="1" applyFont="1" applyFill="1" applyBorder="1" applyAlignment="1">
      <alignment horizontal="right" vertical="center"/>
    </xf>
    <xf numFmtId="0" fontId="9" fillId="2" borderId="0" xfId="0" applyFont="1" applyFill="1" applyBorder="1" applyAlignment="1">
      <alignment horizontal="right" vertical="center" indent="2" readingOrder="2"/>
    </xf>
    <xf numFmtId="0" fontId="0" fillId="2" borderId="6" xfId="0" applyFont="1" applyFill="1" applyBorder="1" applyAlignment="1">
      <alignment horizontal="left" vertical="center" indent="2"/>
    </xf>
    <xf numFmtId="3" fontId="2" fillId="2" borderId="6" xfId="0" applyNumberFormat="1" applyFont="1" applyFill="1" applyBorder="1" applyAlignment="1">
      <alignment horizontal="right" vertical="center"/>
    </xf>
    <xf numFmtId="0" fontId="9" fillId="2" borderId="6" xfId="0" applyFont="1" applyFill="1" applyBorder="1" applyAlignment="1">
      <alignment horizontal="right" vertical="center" indent="2" readingOrder="2"/>
    </xf>
    <xf numFmtId="0" fontId="2" fillId="2" borderId="0" xfId="0" applyFont="1" applyFill="1" applyBorder="1" applyAlignment="1">
      <alignment vertical="center"/>
    </xf>
    <xf numFmtId="0" fontId="8" fillId="2" borderId="0" xfId="0" applyFont="1" applyFill="1" applyBorder="1" applyAlignment="1">
      <alignment vertical="center" readingOrder="2"/>
    </xf>
    <xf numFmtId="3" fontId="0" fillId="2" borderId="0" xfId="0" applyNumberFormat="1" applyFont="1" applyFill="1" applyBorder="1" applyAlignment="1">
      <alignment horizontal="right" vertical="center"/>
    </xf>
    <xf numFmtId="3" fontId="0" fillId="2" borderId="6" xfId="0" applyNumberFormat="1" applyFont="1" applyFill="1" applyBorder="1" applyAlignment="1">
      <alignment horizontal="right" vertical="center"/>
    </xf>
    <xf numFmtId="0" fontId="0" fillId="2" borderId="2" xfId="0" applyFont="1" applyFill="1" applyBorder="1" applyAlignment="1">
      <alignment horizontal="left" vertical="center" indent="2"/>
    </xf>
    <xf numFmtId="3" fontId="0" fillId="2" borderId="2" xfId="0" applyNumberFormat="1" applyFont="1" applyFill="1" applyBorder="1" applyAlignment="1">
      <alignment horizontal="right" vertical="center"/>
    </xf>
    <xf numFmtId="0" fontId="9" fillId="2" borderId="2" xfId="0" applyFont="1" applyFill="1" applyBorder="1" applyAlignment="1">
      <alignment horizontal="right" vertical="center" indent="2" readingOrder="2"/>
    </xf>
    <xf numFmtId="0" fontId="3" fillId="2" borderId="0" xfId="0" applyFont="1" applyFill="1"/>
    <xf numFmtId="164" fontId="10" fillId="2" borderId="3" xfId="0" applyNumberFormat="1" applyFont="1" applyFill="1" applyBorder="1" applyAlignment="1">
      <alignment vertical="center"/>
    </xf>
    <xf numFmtId="0" fontId="0" fillId="2" borderId="0" xfId="0" applyFont="1" applyFill="1" applyAlignment="1"/>
    <xf numFmtId="170" fontId="0" fillId="2" borderId="0" xfId="1" applyNumberFormat="1" applyFont="1" applyFill="1" applyAlignment="1"/>
    <xf numFmtId="0" fontId="8" fillId="2" borderId="0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0" fillId="2" borderId="0" xfId="0" applyFont="1" applyFill="1" applyAlignment="1">
      <alignment horizontal="center"/>
    </xf>
  </cellXfs>
  <cellStyles count="7">
    <cellStyle name="Comma" xfId="1" builtinId="3"/>
    <cellStyle name="Comma 2" xfId="2"/>
    <cellStyle name="Heading 1 2" xfId="5"/>
    <cellStyle name="Normal" xfId="0" builtinId="0"/>
    <cellStyle name="Normal 2" xfId="6"/>
    <cellStyle name="Normal 3" xfId="4"/>
    <cellStyle name="Percent 2" xfId="3"/>
  </cellStyles>
  <dxfs count="0"/>
  <tableStyles count="0" defaultTableStyle="TableStyleMedium2" defaultPivotStyle="PivotStyleLight16"/>
  <colors>
    <mruColors>
      <color rgb="FFFFFAEB"/>
      <color rgb="FFFFF6DD"/>
      <color rgb="FF4C3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>
                <a:effectLst/>
              </a:rPr>
              <a:t>Figure 8.62: Number of cases filed in the Drug Court,  2016 - 2018</a:t>
            </a:r>
            <a:endParaRPr lang="en-US" sz="1050">
              <a:effectLst/>
            </a:endParaRPr>
          </a:p>
        </c:rich>
      </c:tx>
      <c:layout>
        <c:manualLayout>
          <c:xMode val="edge"/>
          <c:yMode val="edge"/>
          <c:x val="0.20360016330970496"/>
          <c:y val="2.4542889057871539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6594477960126547E-2"/>
          <c:y val="0.1268034188034188"/>
          <c:w val="0.91126715901414079"/>
          <c:h val="0.701745685932546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'8.27'!$AG$16</c:f>
              <c:strCache>
                <c:ptCount val="1"/>
                <c:pt idx="0">
                  <c:v>Above 18 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/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CEEA-4362-A923-D0A93F39FBAA}"/>
                </c:ext>
              </c:extLst>
            </c:dLbl>
            <c:dLbl>
              <c:idx val="2"/>
              <c:layout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CEEA-4362-A923-D0A93F39FBA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'8.27'!$AH$14:$AM$15</c:f>
              <c:multiLvlStrCache>
                <c:ptCount val="6"/>
                <c:lvl>
                  <c:pt idx="0">
                    <c:v>Male</c:v>
                  </c:pt>
                  <c:pt idx="1">
                    <c:v>Female</c:v>
                  </c:pt>
                  <c:pt idx="2">
                    <c:v>Male</c:v>
                  </c:pt>
                  <c:pt idx="3">
                    <c:v>Female</c:v>
                  </c:pt>
                  <c:pt idx="4">
                    <c:v>Male</c:v>
                  </c:pt>
                  <c:pt idx="5">
                    <c:v>Female</c:v>
                  </c:pt>
                </c:lvl>
                <c:lvl>
                  <c:pt idx="0">
                    <c:v>2016</c:v>
                  </c:pt>
                  <c:pt idx="2">
                    <c:v>2017</c:v>
                  </c:pt>
                  <c:pt idx="4">
                    <c:v>2018</c:v>
                  </c:pt>
                </c:lvl>
              </c:multiLvlStrCache>
            </c:multiLvlStrRef>
          </c:cat>
          <c:val>
            <c:numRef>
              <c:f>'8.27'!$AH$16:$AM$16</c:f>
              <c:numCache>
                <c:formatCode>_(* #,##0_);_(* \(#,##0\);_(* "-"??_);_(@_)</c:formatCode>
                <c:ptCount val="6"/>
                <c:pt idx="0">
                  <c:v>1356</c:v>
                </c:pt>
                <c:pt idx="1">
                  <c:v>52</c:v>
                </c:pt>
                <c:pt idx="2">
                  <c:v>1475</c:v>
                </c:pt>
                <c:pt idx="3">
                  <c:v>61</c:v>
                </c:pt>
                <c:pt idx="4">
                  <c:v>53</c:v>
                </c:pt>
                <c:pt idx="5">
                  <c:v>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EEA-4362-A923-D0A93F39FBAA}"/>
            </c:ext>
          </c:extLst>
        </c:ser>
        <c:ser>
          <c:idx val="1"/>
          <c:order val="1"/>
          <c:tx>
            <c:strRef>
              <c:f>'8.27'!$AG$17</c:f>
              <c:strCache>
                <c:ptCount val="1"/>
                <c:pt idx="0">
                  <c:v>Below 18 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'8.27'!$AH$14:$AM$15</c:f>
              <c:multiLvlStrCache>
                <c:ptCount val="6"/>
                <c:lvl>
                  <c:pt idx="0">
                    <c:v>Male</c:v>
                  </c:pt>
                  <c:pt idx="1">
                    <c:v>Female</c:v>
                  </c:pt>
                  <c:pt idx="2">
                    <c:v>Male</c:v>
                  </c:pt>
                  <c:pt idx="3">
                    <c:v>Female</c:v>
                  </c:pt>
                  <c:pt idx="4">
                    <c:v>Male</c:v>
                  </c:pt>
                  <c:pt idx="5">
                    <c:v>Female</c:v>
                  </c:pt>
                </c:lvl>
                <c:lvl>
                  <c:pt idx="0">
                    <c:v>2016</c:v>
                  </c:pt>
                  <c:pt idx="2">
                    <c:v>2017</c:v>
                  </c:pt>
                  <c:pt idx="4">
                    <c:v>2018</c:v>
                  </c:pt>
                </c:lvl>
              </c:multiLvlStrCache>
            </c:multiLvlStrRef>
          </c:cat>
          <c:val>
            <c:numRef>
              <c:f>'8.27'!$AH$17:$AM$17</c:f>
              <c:numCache>
                <c:formatCode>_(* #,##0_);_(* \(#,##0\);_(* "-"??_);_(@_)</c:formatCode>
                <c:ptCount val="6"/>
                <c:pt idx="0">
                  <c:v>108</c:v>
                </c:pt>
                <c:pt idx="1">
                  <c:v>7</c:v>
                </c:pt>
                <c:pt idx="2">
                  <c:v>23</c:v>
                </c:pt>
                <c:pt idx="3">
                  <c:v>3</c:v>
                </c:pt>
                <c:pt idx="4">
                  <c:v>1</c:v>
                </c:pt>
                <c:pt idx="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EEA-4362-A923-D0A93F39FB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8275584"/>
        <c:axId val="108282624"/>
      </c:barChart>
      <c:catAx>
        <c:axId val="108275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282624"/>
        <c:crosses val="autoZero"/>
        <c:auto val="1"/>
        <c:lblAlgn val="ctr"/>
        <c:lblOffset val="100"/>
        <c:noMultiLvlLbl val="0"/>
      </c:catAx>
      <c:valAx>
        <c:axId val="108282624"/>
        <c:scaling>
          <c:orientation val="minMax"/>
          <c:max val="1600"/>
        </c:scaling>
        <c:delete val="0"/>
        <c:axPos val="l"/>
        <c:majorGridlines>
          <c:spPr>
            <a:ln w="9525" cap="flat" cmpd="sng" algn="ctr">
              <a:solidFill>
                <a:schemeClr val="accent4">
                  <a:lumMod val="40000"/>
                  <a:lumOff val="60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275584"/>
        <c:crosses val="autoZero"/>
        <c:crossBetween val="between"/>
      </c:valAx>
      <c:spPr>
        <a:solidFill>
          <a:srgbClr val="FFFAEB"/>
        </a:solidFill>
        <a:ln>
          <a:solidFill>
            <a:schemeClr val="accent1">
              <a:lumMod val="60000"/>
              <a:lumOff val="40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60226895575030437"/>
          <c:y val="0.23159290652147582"/>
          <c:w val="0.300687461937308"/>
          <c:h val="5.769271148798708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214311</xdr:colOff>
      <xdr:row>13</xdr:row>
      <xdr:rowOff>76201</xdr:rowOff>
    </xdr:from>
    <xdr:to>
      <xdr:col>5</xdr:col>
      <xdr:colOff>257174</xdr:colOff>
      <xdr:row>31</xdr:row>
      <xdr:rowOff>57150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Copy%20of%208.%20LAW%20AND%20ORDER%20-%20Police%20workingsfinalmai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8.%20LAW%20AND%20ORDER-%20JSC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BFYMW6J1\8.%20LAW%20AND%20ORDER-%20JSC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8\RECEIVED\8.%20LAW%20AND%20ORDER%20-%20JS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.1"/>
      <sheetName val="8.14"/>
      <sheetName val="8.15"/>
      <sheetName val="8.16"/>
      <sheetName val="8.17"/>
      <sheetName val="8.18"/>
      <sheetName val="8.19"/>
      <sheetName val="8.20 workin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6">
          <cell r="U6" t="str">
            <v>Male</v>
          </cell>
          <cell r="V6" t="str">
            <v>Female</v>
          </cell>
        </row>
        <row r="8">
          <cell r="U8">
            <v>1191</v>
          </cell>
          <cell r="V8">
            <v>940</v>
          </cell>
        </row>
      </sheetData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9"/>
      <sheetName val="8.30"/>
      <sheetName val="8.20 workings"/>
    </sheetNames>
    <sheetDataSet>
      <sheetData sheetId="0">
        <row r="91">
          <cell r="U91" t="str">
            <v>Number  of majistrates</v>
          </cell>
          <cell r="V91" t="str">
            <v>Number of islands with majistrate courts</v>
          </cell>
        </row>
        <row r="92">
          <cell r="T92" t="str">
            <v>HA</v>
          </cell>
          <cell r="U92">
            <v>9</v>
          </cell>
          <cell r="V92">
            <v>14</v>
          </cell>
        </row>
        <row r="93">
          <cell r="T93" t="str">
            <v>HDh</v>
          </cell>
          <cell r="U93">
            <v>8</v>
          </cell>
          <cell r="V93">
            <v>13</v>
          </cell>
        </row>
        <row r="94">
          <cell r="T94" t="str">
            <v>Sh</v>
          </cell>
          <cell r="U94">
            <v>4</v>
          </cell>
          <cell r="V94">
            <v>13</v>
          </cell>
        </row>
        <row r="95">
          <cell r="T95" t="str">
            <v>N</v>
          </cell>
          <cell r="U95">
            <v>5</v>
          </cell>
          <cell r="V95">
            <v>13</v>
          </cell>
        </row>
        <row r="96">
          <cell r="T96" t="str">
            <v>R</v>
          </cell>
          <cell r="U96">
            <v>14</v>
          </cell>
          <cell r="V96">
            <v>15</v>
          </cell>
        </row>
        <row r="97">
          <cell r="T97" t="str">
            <v>B</v>
          </cell>
          <cell r="U97">
            <v>6</v>
          </cell>
          <cell r="V97">
            <v>13</v>
          </cell>
        </row>
        <row r="98">
          <cell r="T98" t="str">
            <v>Lh</v>
          </cell>
          <cell r="U98">
            <v>4</v>
          </cell>
          <cell r="V98">
            <v>4</v>
          </cell>
        </row>
        <row r="99">
          <cell r="T99" t="str">
            <v>K</v>
          </cell>
          <cell r="U99">
            <v>10</v>
          </cell>
          <cell r="V99">
            <v>9</v>
          </cell>
        </row>
        <row r="100">
          <cell r="T100" t="str">
            <v>AA</v>
          </cell>
          <cell r="U100">
            <v>4</v>
          </cell>
          <cell r="V100">
            <v>8</v>
          </cell>
        </row>
        <row r="101">
          <cell r="T101" t="str">
            <v>ADh</v>
          </cell>
          <cell r="U101">
            <v>7</v>
          </cell>
          <cell r="V101">
            <v>10</v>
          </cell>
        </row>
        <row r="102">
          <cell r="T102" t="str">
            <v>V</v>
          </cell>
          <cell r="U102">
            <v>2</v>
          </cell>
          <cell r="V102">
            <v>5</v>
          </cell>
        </row>
        <row r="103">
          <cell r="T103" t="str">
            <v>M</v>
          </cell>
          <cell r="U103">
            <v>5</v>
          </cell>
          <cell r="V103">
            <v>8</v>
          </cell>
        </row>
        <row r="104">
          <cell r="T104" t="str">
            <v>F</v>
          </cell>
          <cell r="U104">
            <v>4</v>
          </cell>
          <cell r="V104">
            <v>5</v>
          </cell>
        </row>
        <row r="105">
          <cell r="T105" t="str">
            <v>Dh</v>
          </cell>
          <cell r="U105">
            <v>5</v>
          </cell>
          <cell r="V105">
            <v>6</v>
          </cell>
        </row>
        <row r="106">
          <cell r="T106" t="str">
            <v>Th</v>
          </cell>
          <cell r="U106">
            <v>8</v>
          </cell>
          <cell r="V106">
            <v>13</v>
          </cell>
        </row>
        <row r="107">
          <cell r="T107" t="str">
            <v>L</v>
          </cell>
          <cell r="U107">
            <v>11</v>
          </cell>
          <cell r="V107">
            <v>11</v>
          </cell>
        </row>
        <row r="108">
          <cell r="T108" t="str">
            <v>GA</v>
          </cell>
          <cell r="U108">
            <v>8</v>
          </cell>
          <cell r="V108">
            <v>9</v>
          </cell>
        </row>
        <row r="109">
          <cell r="T109" t="str">
            <v>GDh</v>
          </cell>
          <cell r="U109">
            <v>10</v>
          </cell>
          <cell r="V109">
            <v>9</v>
          </cell>
        </row>
        <row r="110">
          <cell r="T110" t="str">
            <v>Gn</v>
          </cell>
          <cell r="U110">
            <v>4</v>
          </cell>
          <cell r="V110">
            <v>1</v>
          </cell>
        </row>
        <row r="111">
          <cell r="T111" t="str">
            <v>S</v>
          </cell>
          <cell r="U111">
            <v>7</v>
          </cell>
          <cell r="V111">
            <v>6</v>
          </cell>
        </row>
        <row r="129">
          <cell r="S129" t="str">
            <v>Atolls</v>
          </cell>
          <cell r="U129">
            <v>69.948186528497416</v>
          </cell>
        </row>
        <row r="130">
          <cell r="S130" t="str">
            <v>Male'</v>
          </cell>
          <cell r="U130">
            <v>30.051813471502591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9"/>
      <sheetName val="8.30"/>
      <sheetName val="8.20 workings"/>
    </sheetNames>
    <sheetDataSet>
      <sheetData sheetId="0">
        <row r="91">
          <cell r="U91" t="str">
            <v>Number  of majistrates</v>
          </cell>
        </row>
        <row r="129">
          <cell r="S129" t="str">
            <v>Atolls</v>
          </cell>
          <cell r="U129">
            <v>69.543147208121823</v>
          </cell>
        </row>
        <row r="130">
          <cell r="S130" t="str">
            <v>Male'</v>
          </cell>
          <cell r="U130">
            <v>30.456852791878177</v>
          </cell>
        </row>
      </sheetData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27"/>
      <sheetName val="8.28"/>
    </sheetNames>
    <sheetDataSet>
      <sheetData sheetId="0"/>
      <sheetData sheetId="1">
        <row r="91">
          <cell r="T91" t="str">
            <v>Number  of majistrates</v>
          </cell>
        </row>
      </sheetData>
      <sheetData sheetId="2">
        <row r="7">
          <cell r="A7" t="str">
            <v>Male</v>
          </cell>
          <cell r="H7">
            <v>173</v>
          </cell>
        </row>
        <row r="8">
          <cell r="A8" t="str">
            <v>Female</v>
          </cell>
          <cell r="H8">
            <v>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7"/>
  <sheetViews>
    <sheetView tabSelected="1" zoomScaleNormal="100" workbookViewId="0">
      <selection activeCell="I1" sqref="I1:L1048576"/>
    </sheetView>
  </sheetViews>
  <sheetFormatPr defaultRowHeight="15"/>
  <cols>
    <col min="1" max="1" width="20.28515625" style="3" customWidth="1"/>
    <col min="2" max="4" width="16.7109375" style="3" customWidth="1"/>
    <col min="5" max="5" width="33" style="3" customWidth="1"/>
    <col min="6" max="6" width="5.85546875" style="3" customWidth="1"/>
    <col min="7" max="33" width="9.140625" style="3"/>
    <col min="34" max="34" width="9.5703125" style="3" bestFit="1" customWidth="1"/>
    <col min="35" max="35" width="9.28515625" style="3" bestFit="1" customWidth="1"/>
    <col min="36" max="36" width="9.5703125" style="3" bestFit="1" customWidth="1"/>
    <col min="37" max="37" width="9.28515625" style="3" bestFit="1" customWidth="1"/>
    <col min="38" max="16384" width="9.140625" style="3"/>
  </cols>
  <sheetData>
    <row r="1" spans="1:39" ht="21">
      <c r="A1" s="28" t="s">
        <v>17</v>
      </c>
      <c r="B1" s="28"/>
      <c r="C1" s="28"/>
      <c r="D1" s="28"/>
      <c r="E1" s="28"/>
    </row>
    <row r="2" spans="1:39">
      <c r="A2" s="29" t="s">
        <v>16</v>
      </c>
      <c r="B2" s="29"/>
      <c r="C2" s="29"/>
      <c r="D2" s="29"/>
      <c r="E2" s="29"/>
    </row>
    <row r="3" spans="1:39" ht="21">
      <c r="A3" s="4" t="s">
        <v>6</v>
      </c>
      <c r="B3" s="5">
        <v>2016</v>
      </c>
      <c r="C3" s="6">
        <v>2017</v>
      </c>
      <c r="D3" s="5">
        <v>2018</v>
      </c>
      <c r="E3" s="7" t="s">
        <v>7</v>
      </c>
    </row>
    <row r="4" spans="1:39" ht="21">
      <c r="A4" s="8" t="s">
        <v>8</v>
      </c>
      <c r="B4" s="9">
        <f t="shared" ref="B4:D6" si="0">B7+B10</f>
        <v>1523</v>
      </c>
      <c r="C4" s="9">
        <f t="shared" si="0"/>
        <v>1562</v>
      </c>
      <c r="D4" s="9">
        <f t="shared" si="0"/>
        <v>1051</v>
      </c>
      <c r="E4" s="10" t="s">
        <v>9</v>
      </c>
    </row>
    <row r="5" spans="1:39" ht="21">
      <c r="A5" s="11" t="s">
        <v>0</v>
      </c>
      <c r="B5" s="12">
        <f t="shared" si="0"/>
        <v>1464</v>
      </c>
      <c r="C5" s="12">
        <f t="shared" si="0"/>
        <v>1498</v>
      </c>
      <c r="D5" s="12">
        <f t="shared" si="0"/>
        <v>54</v>
      </c>
      <c r="E5" s="13" t="s">
        <v>2</v>
      </c>
    </row>
    <row r="6" spans="1:39" ht="21">
      <c r="A6" s="14" t="s">
        <v>1</v>
      </c>
      <c r="B6" s="15">
        <f t="shared" si="0"/>
        <v>59</v>
      </c>
      <c r="C6" s="15">
        <f t="shared" si="0"/>
        <v>64</v>
      </c>
      <c r="D6" s="15">
        <f t="shared" si="0"/>
        <v>997</v>
      </c>
      <c r="E6" s="16" t="s">
        <v>3</v>
      </c>
    </row>
    <row r="7" spans="1:39" ht="21">
      <c r="A7" s="17" t="s">
        <v>10</v>
      </c>
      <c r="B7" s="12">
        <f>B8+B9</f>
        <v>1408</v>
      </c>
      <c r="C7" s="12">
        <f>C8+C9</f>
        <v>1536</v>
      </c>
      <c r="D7" s="12">
        <f>D8+D9</f>
        <v>1040</v>
      </c>
      <c r="E7" s="18" t="s">
        <v>11</v>
      </c>
    </row>
    <row r="8" spans="1:39" ht="21">
      <c r="A8" s="11" t="s">
        <v>0</v>
      </c>
      <c r="B8" s="19">
        <v>1356</v>
      </c>
      <c r="C8" s="19">
        <v>1475</v>
      </c>
      <c r="D8" s="19">
        <v>53</v>
      </c>
      <c r="E8" s="13" t="s">
        <v>2</v>
      </c>
    </row>
    <row r="9" spans="1:39" ht="21">
      <c r="A9" s="14" t="s">
        <v>1</v>
      </c>
      <c r="B9" s="20">
        <v>52</v>
      </c>
      <c r="C9" s="20">
        <v>61</v>
      </c>
      <c r="D9" s="20">
        <v>987</v>
      </c>
      <c r="E9" s="16" t="s">
        <v>3</v>
      </c>
    </row>
    <row r="10" spans="1:39" ht="21">
      <c r="A10" s="17" t="s">
        <v>12</v>
      </c>
      <c r="B10" s="12">
        <f>B11+B12</f>
        <v>115</v>
      </c>
      <c r="C10" s="12">
        <f>C11+C12</f>
        <v>26</v>
      </c>
      <c r="D10" s="12">
        <f>D11+D12</f>
        <v>11</v>
      </c>
      <c r="E10" s="18" t="s">
        <v>13</v>
      </c>
    </row>
    <row r="11" spans="1:39" ht="21">
      <c r="A11" s="11" t="s">
        <v>0</v>
      </c>
      <c r="B11" s="19">
        <v>108</v>
      </c>
      <c r="C11" s="19">
        <v>23</v>
      </c>
      <c r="D11" s="19">
        <v>1</v>
      </c>
      <c r="E11" s="13" t="s">
        <v>2</v>
      </c>
    </row>
    <row r="12" spans="1:39" ht="21">
      <c r="A12" s="21" t="s">
        <v>1</v>
      </c>
      <c r="B12" s="22">
        <v>7</v>
      </c>
      <c r="C12" s="22">
        <v>3</v>
      </c>
      <c r="D12" s="22">
        <v>10</v>
      </c>
      <c r="E12" s="23" t="s">
        <v>3</v>
      </c>
    </row>
    <row r="13" spans="1:39" ht="15.75">
      <c r="A13" s="1" t="s">
        <v>4</v>
      </c>
      <c r="B13" s="24"/>
      <c r="C13" s="24"/>
      <c r="D13" s="24"/>
      <c r="E13" s="2" t="s">
        <v>5</v>
      </c>
    </row>
    <row r="14" spans="1:39">
      <c r="B14" s="25"/>
      <c r="AH14" s="30">
        <v>2016</v>
      </c>
      <c r="AI14" s="30"/>
      <c r="AJ14" s="30">
        <v>2017</v>
      </c>
      <c r="AK14" s="30"/>
      <c r="AL14" s="30">
        <v>2018</v>
      </c>
      <c r="AM14" s="30"/>
    </row>
    <row r="15" spans="1:39">
      <c r="AH15" s="3" t="s">
        <v>0</v>
      </c>
      <c r="AI15" s="3" t="s">
        <v>1</v>
      </c>
      <c r="AJ15" s="3" t="s">
        <v>0</v>
      </c>
      <c r="AK15" s="3" t="s">
        <v>1</v>
      </c>
      <c r="AL15" s="3" t="s">
        <v>0</v>
      </c>
      <c r="AM15" s="3" t="s">
        <v>1</v>
      </c>
    </row>
    <row r="16" spans="1:39">
      <c r="AG16" s="26" t="s">
        <v>14</v>
      </c>
      <c r="AH16" s="27">
        <f>B8</f>
        <v>1356</v>
      </c>
      <c r="AI16" s="27">
        <f>B9</f>
        <v>52</v>
      </c>
      <c r="AJ16" s="27">
        <f>C8</f>
        <v>1475</v>
      </c>
      <c r="AK16" s="27">
        <f>C9</f>
        <v>61</v>
      </c>
      <c r="AL16" s="27">
        <f>D8</f>
        <v>53</v>
      </c>
      <c r="AM16" s="27">
        <f>D9</f>
        <v>987</v>
      </c>
    </row>
    <row r="17" spans="33:39">
      <c r="AG17" s="26" t="s">
        <v>15</v>
      </c>
      <c r="AH17" s="27">
        <f>B11</f>
        <v>108</v>
      </c>
      <c r="AI17" s="27">
        <f>B12</f>
        <v>7</v>
      </c>
      <c r="AJ17" s="27">
        <f>C11</f>
        <v>23</v>
      </c>
      <c r="AK17" s="27">
        <f>C12</f>
        <v>3</v>
      </c>
      <c r="AL17" s="27">
        <f>D11</f>
        <v>1</v>
      </c>
      <c r="AM17" s="27">
        <f>D12</f>
        <v>10</v>
      </c>
    </row>
  </sheetData>
  <mergeCells count="5">
    <mergeCell ref="A1:E1"/>
    <mergeCell ref="A2:E2"/>
    <mergeCell ref="AH14:AI14"/>
    <mergeCell ref="AJ14:AK14"/>
    <mergeCell ref="AL14:AM14"/>
  </mergeCells>
  <pageMargins left="0.7" right="0.7" top="0.75" bottom="0.75" header="0.3" footer="0.3"/>
  <pageSetup paperSize="9" scale="80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8.27</vt:lpstr>
      <vt:lpstr>'8.27'!Print_Area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2019-11-20T03:47:03Z</cp:lastPrinted>
  <dcterms:created xsi:type="dcterms:W3CDTF">2019-06-30T04:22:49Z</dcterms:created>
  <dcterms:modified xsi:type="dcterms:W3CDTF">2019-11-20T03:47:14Z</dcterms:modified>
</cp:coreProperties>
</file>