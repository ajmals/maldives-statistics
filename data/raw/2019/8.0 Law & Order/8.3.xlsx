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8. LAW and ORDER\"/>
    </mc:Choice>
  </mc:AlternateContent>
  <bookViews>
    <workbookView xWindow="0" yWindow="0" windowWidth="28800" windowHeight="12330" tabRatio="921"/>
  </bookViews>
  <sheets>
    <sheet name="8.3" sheetId="3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_xlnm.Print_Area" localSheetId="0">'8.3'!$A$1:$I$60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9" i="3" l="1"/>
  <c r="F28" i="3" l="1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D8" i="3"/>
  <c r="C8" i="3"/>
  <c r="C6" i="3" s="1"/>
  <c r="B8" i="3"/>
  <c r="B6" i="3" s="1"/>
  <c r="F7" i="3"/>
  <c r="D6" i="3"/>
  <c r="F6" i="3" l="1"/>
  <c r="F8" i="3"/>
</calcChain>
</file>

<file path=xl/sharedStrings.xml><?xml version="1.0" encoding="utf-8"?>
<sst xmlns="http://schemas.openxmlformats.org/spreadsheetml/2006/main" count="55" uniqueCount="52">
  <si>
    <t>% change over 2017</t>
  </si>
  <si>
    <t>Source: Maldives Police Service</t>
  </si>
  <si>
    <t>csivrws csilop cscviDclOm :Ivcaed utWmUluAwm</t>
  </si>
  <si>
    <t>އަތޮޅުތައް</t>
  </si>
  <si>
    <t>Republic</t>
  </si>
  <si>
    <t>Male'</t>
  </si>
  <si>
    <t>Atolls</t>
  </si>
  <si>
    <t>Locality</t>
  </si>
  <si>
    <t>ކުރީ އަހަރާއި  އަޅާ</t>
  </si>
  <si>
    <t>ތަން</t>
  </si>
  <si>
    <t>ބަލާއިރު އިތުރުވި މިންވަރު</t>
  </si>
  <si>
    <t>ejcaWriLum</t>
  </si>
  <si>
    <t>elWm</t>
  </si>
  <si>
    <t>HA</t>
  </si>
  <si>
    <t>ah</t>
  </si>
  <si>
    <t>HDh</t>
  </si>
  <si>
    <t>dh</t>
  </si>
  <si>
    <t>Sh</t>
  </si>
  <si>
    <t>S</t>
  </si>
  <si>
    <t>N</t>
  </si>
  <si>
    <t>n</t>
  </si>
  <si>
    <t>R</t>
  </si>
  <si>
    <t>r</t>
  </si>
  <si>
    <t>B</t>
  </si>
  <si>
    <t>b</t>
  </si>
  <si>
    <t>Lh</t>
  </si>
  <si>
    <t>L</t>
  </si>
  <si>
    <t>K</t>
  </si>
  <si>
    <t>k</t>
  </si>
  <si>
    <t>AA</t>
  </si>
  <si>
    <t xml:space="preserve"> aa</t>
  </si>
  <si>
    <t>ADh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</si>
  <si>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</si>
  <si>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</si>
  <si>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</si>
  <si>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</si>
  <si>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</si>
  <si>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</si>
  <si>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</si>
  <si>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</si>
  <si>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</si>
  <si>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</si>
  <si>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</si>
  <si>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>l</t>
  </si>
  <si>
    <t>GA</t>
  </si>
  <si>
    <t>ag</t>
  </si>
  <si>
    <t>GDh</t>
  </si>
  <si>
    <t>dg</t>
  </si>
  <si>
    <t>Gn</t>
  </si>
  <si>
    <t>s</t>
  </si>
  <si>
    <t>ތާވަލު 8.3: އެކި އަތޮޅުތަކުން ހުށަހެޅިފައިވާ މައްސަލަތަކުގެ އަދަދު، 2016- 2018</t>
  </si>
  <si>
    <t>TABLE: 8.3: NUMBER OF  LOGGED CASES BY ATOLL, 2016 - 2018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</si>
</sst>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General_)"/>
    <numFmt numFmtId="165" formatCode="0.0"/>
    <numFmt numFmtId="166" formatCode="_-* #,##0_-;\-* #,##0_-;_-* &quot;-&quot;??_-;_-@_-"/>
    <numFmt numFmtId="167" formatCode="#,##0.0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name val="Faruma"/>
      <family val="3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rgb="FF000000"/>
      <name val="Faruma"/>
      <family val="3"/>
    </font>
    <font>
      <b/>
      <sz val="10"/>
      <name val="Faruma"/>
      <family val="3"/>
    </font>
    <font>
      <sz val="10"/>
      <color rgb="FFFF0000"/>
      <name val="Courier"/>
      <family val="3"/>
    </font>
    <font>
      <sz val="10"/>
      <name val="Faruma"/>
      <family val="3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b/>
      <sz val="10"/>
      <name val="Courier"/>
      <family val="3"/>
    </font>
    <font>
      <sz val="9"/>
      <name val="Faruma"/>
      <family val="3"/>
    </font>
    <font>
      <b/>
      <sz val="9"/>
      <name val="Faruma"/>
      <family val="3"/>
    </font>
    <font>
      <b/>
      <sz val="10"/>
      <name val="A_Ilham"/>
    </font>
    <font>
      <sz val="10"/>
      <color theme="2" tint="-0.499984740745262"/>
      <name val="Times New Roman"/>
      <family val="1"/>
    </font>
    <font>
      <b/>
      <sz val="10"/>
      <color rgb="FFFF0000"/>
      <name val="Courier"/>
      <family val="3"/>
    </font>
    <font>
      <sz val="10"/>
      <name val="A_Ilham"/>
    </font>
    <font>
      <sz val="9"/>
      <color rgb="FFFF0000"/>
      <name val="Courier"/>
      <family val="3"/>
    </font>
    <font>
      <i/>
      <sz val="10"/>
      <name val="Courier"/>
      <family val="3"/>
    </font>
    <font>
      <sz val="9"/>
      <color theme="1"/>
      <name val="A_Randho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6" fillId="0" borderId="0" applyFont="0" applyFill="0" applyBorder="0" applyAlignment="0" applyProtection="0"/>
    <xf numFmtId="9" fontId="17" fillId="0" borderId="0" applyFont="0" applyFill="0" applyBorder="0" applyAlignment="0" applyProtection="0"/>
    <xf numFmtId="167" fontId="17" fillId="0" borderId="0"/>
  </cellStyleXfs>
  <cellXfs count="53">
    <xf numFmtId="0" fontId="0" fillId="0" borderId="0" xfId="0"/>
    <xf numFmtId="164" fontId="0" fillId="2" borderId="0" xfId="0" applyNumberFormat="1" applyFill="1"/>
    <xf numFmtId="164" fontId="7" fillId="2" borderId="1" xfId="0" applyNumberFormat="1" applyFont="1" applyFill="1" applyBorder="1" applyAlignment="1">
      <alignment horizontal="center" vertical="center" wrapText="1"/>
    </xf>
    <xf numFmtId="164" fontId="9" fillId="2" borderId="0" xfId="0" applyNumberFormat="1" applyFont="1" applyFill="1"/>
    <xf numFmtId="164" fontId="5" fillId="2" borderId="0" xfId="0" applyNumberFormat="1" applyFont="1" applyFill="1" applyBorder="1" applyAlignment="1">
      <alignment vertical="center"/>
    </xf>
    <xf numFmtId="164" fontId="12" fillId="2" borderId="0" xfId="0" applyNumberFormat="1" applyFont="1" applyFill="1" applyBorder="1" applyAlignment="1">
      <alignment vertical="center"/>
    </xf>
    <xf numFmtId="166" fontId="13" fillId="2" borderId="0" xfId="1" applyNumberFormat="1" applyFont="1" applyFill="1" applyBorder="1" applyAlignment="1">
      <alignment horizontal="center"/>
    </xf>
    <xf numFmtId="164" fontId="9" fillId="2" borderId="0" xfId="0" applyNumberFormat="1" applyFont="1" applyFill="1" applyAlignment="1">
      <alignment horizontal="center" vertical="top"/>
    </xf>
    <xf numFmtId="164" fontId="15" fillId="2" borderId="3" xfId="0" applyNumberFormat="1" applyFont="1" applyFill="1" applyBorder="1" applyAlignment="1" applyProtection="1">
      <alignment horizontal="left" vertical="center"/>
    </xf>
    <xf numFmtId="166" fontId="5" fillId="2" borderId="0" xfId="3" applyNumberFormat="1" applyFont="1" applyFill="1" applyBorder="1" applyAlignment="1">
      <alignment horizontal="center" vertical="center"/>
    </xf>
    <xf numFmtId="166" fontId="12" fillId="2" borderId="0" xfId="3" applyNumberFormat="1" applyFont="1" applyFill="1" applyBorder="1" applyAlignment="1">
      <alignment horizontal="center" vertical="center"/>
    </xf>
    <xf numFmtId="166" fontId="12" fillId="2" borderId="2" xfId="3" applyNumberFormat="1" applyFont="1" applyFill="1" applyBorder="1" applyAlignment="1">
      <alignment horizontal="center" vertical="center"/>
    </xf>
    <xf numFmtId="164" fontId="13" fillId="2" borderId="0" xfId="0" applyNumberFormat="1" applyFont="1" applyFill="1" applyBorder="1"/>
    <xf numFmtId="164" fontId="19" fillId="2" borderId="0" xfId="0" applyNumberFormat="1" applyFont="1" applyFill="1" applyBorder="1" applyAlignment="1" applyProtection="1">
      <alignment horizontal="right" vertical="center"/>
    </xf>
    <xf numFmtId="164" fontId="6" fillId="2" borderId="1" xfId="0" applyNumberFormat="1" applyFont="1" applyFill="1" applyBorder="1" applyAlignment="1">
      <alignment horizontal="right" vertical="center"/>
    </xf>
    <xf numFmtId="164" fontId="6" fillId="2" borderId="0" xfId="0" applyNumberFormat="1" applyFont="1" applyFill="1" applyBorder="1" applyAlignment="1">
      <alignment horizontal="right" vertical="center"/>
    </xf>
    <xf numFmtId="164" fontId="7" fillId="2" borderId="0" xfId="0" applyNumberFormat="1" applyFont="1" applyFill="1" applyBorder="1" applyAlignment="1">
      <alignment horizontal="right" vertical="center" wrapText="1"/>
    </xf>
    <xf numFmtId="164" fontId="6" fillId="2" borderId="2" xfId="0" applyNumberFormat="1" applyFont="1" applyFill="1" applyBorder="1" applyAlignment="1">
      <alignment horizontal="right" vertical="center"/>
    </xf>
    <xf numFmtId="164" fontId="6" fillId="2" borderId="2" xfId="0" applyNumberFormat="1" applyFont="1" applyFill="1" applyBorder="1" applyAlignment="1">
      <alignment horizontal="right" vertical="center" wrapText="1"/>
    </xf>
    <xf numFmtId="9" fontId="11" fillId="2" borderId="0" xfId="2" applyFont="1" applyFill="1" applyBorder="1" applyAlignment="1" applyProtection="1">
      <alignment horizontal="center" vertical="center"/>
      <protection locked="0"/>
    </xf>
    <xf numFmtId="165" fontId="11" fillId="2" borderId="0" xfId="0" applyNumberFormat="1" applyFont="1" applyFill="1" applyBorder="1" applyAlignment="1">
      <alignment horizontal="right" vertical="center" indent="5"/>
    </xf>
    <xf numFmtId="3" fontId="21" fillId="2" borderId="0" xfId="0" applyNumberFormat="1" applyFont="1" applyFill="1" applyAlignment="1">
      <alignment horizontal="right" vertical="center" indent="1"/>
    </xf>
    <xf numFmtId="164" fontId="18" fillId="2" borderId="0" xfId="0" applyNumberFormat="1" applyFont="1" applyFill="1" applyAlignment="1">
      <alignment vertical="center"/>
    </xf>
    <xf numFmtId="0" fontId="0" fillId="2" borderId="0" xfId="0" applyFill="1" applyBorder="1" applyAlignment="1">
      <alignment horizontal="center" vertical="center"/>
    </xf>
    <xf numFmtId="0" fontId="22" fillId="2" borderId="0" xfId="0" applyFont="1" applyFill="1" applyBorder="1"/>
    <xf numFmtId="164" fontId="23" fillId="2" borderId="0" xfId="0" applyNumberFormat="1" applyFont="1" applyFill="1" applyAlignment="1">
      <alignment vertical="center"/>
    </xf>
    <xf numFmtId="3" fontId="8" fillId="2" borderId="0" xfId="0" applyNumberFormat="1" applyFont="1" applyFill="1" applyAlignment="1">
      <alignment horizontal="right" vertical="center" indent="1"/>
    </xf>
    <xf numFmtId="164" fontId="12" fillId="2" borderId="0" xfId="0" applyNumberFormat="1" applyFont="1" applyFill="1" applyBorder="1" applyAlignment="1">
      <alignment horizontal="left" vertical="center" indent="1"/>
    </xf>
    <xf numFmtId="165" fontId="14" fillId="2" borderId="0" xfId="0" applyNumberFormat="1" applyFont="1" applyFill="1" applyBorder="1" applyAlignment="1">
      <alignment horizontal="right" vertical="center" indent="5"/>
    </xf>
    <xf numFmtId="164" fontId="24" fillId="2" borderId="0" xfId="0" applyNumberFormat="1" applyFont="1" applyFill="1" applyAlignment="1">
      <alignment horizontal="right" vertical="center" indent="1"/>
    </xf>
    <xf numFmtId="164" fontId="17" fillId="2" borderId="0" xfId="0" applyNumberFormat="1" applyFont="1" applyFill="1" applyAlignment="1">
      <alignment vertical="center"/>
    </xf>
    <xf numFmtId="164" fontId="9" fillId="2" borderId="0" xfId="0" applyNumberFormat="1" applyFont="1" applyFill="1" applyAlignment="1">
      <alignment vertical="center"/>
    </xf>
    <xf numFmtId="164" fontId="9" fillId="2" borderId="0" xfId="0" applyNumberFormat="1" applyFont="1" applyFill="1" applyBorder="1" applyAlignment="1">
      <alignment vertical="center"/>
    </xf>
    <xf numFmtId="164" fontId="17" fillId="2" borderId="0" xfId="0" applyNumberFormat="1" applyFont="1" applyFill="1" applyBorder="1" applyAlignment="1">
      <alignment vertical="center"/>
    </xf>
    <xf numFmtId="164" fontId="12" fillId="2" borderId="2" xfId="0" applyNumberFormat="1" applyFont="1" applyFill="1" applyBorder="1" applyAlignment="1">
      <alignment horizontal="left" vertical="center" indent="1"/>
    </xf>
    <xf numFmtId="165" fontId="14" fillId="2" borderId="2" xfId="0" applyNumberFormat="1" applyFont="1" applyFill="1" applyBorder="1" applyAlignment="1">
      <alignment horizontal="right" vertical="center" indent="5"/>
    </xf>
    <xf numFmtId="164" fontId="25" fillId="2" borderId="0" xfId="0" applyNumberFormat="1" applyFont="1" applyFill="1" applyAlignment="1">
      <alignment horizontal="center" vertical="top"/>
    </xf>
    <xf numFmtId="164" fontId="2" fillId="2" borderId="0" xfId="0" applyNumberFormat="1" applyFont="1" applyFill="1" applyAlignment="1">
      <alignment horizontal="center" vertical="top"/>
    </xf>
    <xf numFmtId="164" fontId="26" fillId="2" borderId="0" xfId="0" applyNumberFormat="1" applyFont="1" applyFill="1"/>
    <xf numFmtId="9" fontId="11" fillId="2" borderId="2" xfId="2" applyFont="1" applyFill="1" applyBorder="1" applyAlignment="1" applyProtection="1">
      <alignment horizontal="center" vertical="center"/>
      <protection locked="0"/>
    </xf>
    <xf numFmtId="164" fontId="24" fillId="2" borderId="2" xfId="0" applyNumberFormat="1" applyFont="1" applyFill="1" applyBorder="1" applyAlignment="1">
      <alignment horizontal="right" vertical="center" indent="1"/>
    </xf>
    <xf numFmtId="164" fontId="27" fillId="2" borderId="3" xfId="0" applyNumberFormat="1" applyFont="1" applyFill="1" applyBorder="1" applyAlignment="1">
      <alignment horizontal="right"/>
    </xf>
    <xf numFmtId="164" fontId="5" fillId="2" borderId="1" xfId="0" applyNumberFormat="1" applyFont="1" applyFill="1" applyBorder="1" applyAlignment="1">
      <alignment horizontal="right" vertical="center"/>
    </xf>
    <xf numFmtId="164" fontId="5" fillId="2" borderId="2" xfId="0" applyNumberFormat="1" applyFont="1" applyFill="1" applyBorder="1" applyAlignment="1">
      <alignment horizontal="right" vertical="center"/>
    </xf>
    <xf numFmtId="164" fontId="10" fillId="2" borderId="2" xfId="0" applyNumberFormat="1" applyFont="1" applyFill="1" applyBorder="1" applyAlignment="1">
      <alignment horizontal="right" vertical="center" wrapText="1"/>
    </xf>
    <xf numFmtId="164" fontId="5" fillId="2" borderId="1" xfId="0" applyNumberFormat="1" applyFont="1" applyFill="1" applyBorder="1" applyAlignment="1">
      <alignment horizontal="left" vertical="center" wrapText="1"/>
    </xf>
    <xf numFmtId="164" fontId="5" fillId="2" borderId="2" xfId="0" applyNumberFormat="1" applyFont="1" applyFill="1" applyBorder="1" applyAlignment="1">
      <alignment horizontal="left" vertical="center" wrapText="1"/>
    </xf>
    <xf numFmtId="164" fontId="5" fillId="2" borderId="0" xfId="0" applyNumberFormat="1" applyFont="1" applyFill="1" applyBorder="1" applyAlignment="1">
      <alignment horizontal="left" vertical="center" wrapText="1"/>
    </xf>
    <xf numFmtId="164" fontId="5" fillId="2" borderId="0" xfId="0" applyNumberFormat="1" applyFont="1" applyFill="1" applyBorder="1" applyAlignment="1">
      <alignment horizontal="right" vertical="center"/>
    </xf>
    <xf numFmtId="164" fontId="20" fillId="2" borderId="1" xfId="0" applyNumberFormat="1" applyFont="1" applyFill="1" applyBorder="1" applyAlignment="1" applyProtection="1">
      <alignment horizontal="right" vertical="center" wrapText="1"/>
    </xf>
    <xf numFmtId="164" fontId="20" fillId="2" borderId="0" xfId="0" applyNumberFormat="1" applyFont="1" applyFill="1" applyBorder="1" applyAlignment="1" applyProtection="1">
      <alignment horizontal="right" vertical="center" wrapText="1"/>
    </xf>
    <xf numFmtId="164" fontId="3" fillId="2" borderId="0" xfId="0" applyNumberFormat="1" applyFont="1" applyFill="1" applyBorder="1" applyAlignment="1">
      <alignment horizontal="center" vertical="center"/>
    </xf>
    <xf numFmtId="164" fontId="4" fillId="2" borderId="2" xfId="0" applyNumberFormat="1" applyFont="1" applyFill="1" applyBorder="1" applyAlignment="1">
      <alignment horizontal="center" vertical="top"/>
    </xf>
  </cellXfs>
  <cellStyles count="6">
    <cellStyle name="Comma" xfId="1" builtinId="3"/>
    <cellStyle name="Comma 2" xfId="3"/>
    <cellStyle name="Normal" xfId="0" builtinId="0"/>
    <cellStyle name="Normal 3" xfId="5"/>
    <cellStyle name="Percent" xfId="2" builtinId="5"/>
    <cellStyle name="Percent 2" xfId="4"/>
  </cellStyles>
  <dxfs count="0"/>
  <tableStyles count="0" defaultTableStyle="TableStyleMedium2" defaultPivotStyle="PivotStyleLight16"/>
  <colors>
    <mruColors>
      <color rgb="FFFFFAEB"/>
      <color rgb="FFFFF6DD"/>
      <color rgb="FF4C3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latin typeface="Candara" pitchFamily="34" charset="0"/>
                <a:cs typeface="Consolas" pitchFamily="49" charset="0"/>
              </a:defRPr>
            </a:pPr>
            <a:r>
              <a:rPr lang="en-US" sz="1100">
                <a:latin typeface="Candara" pitchFamily="34" charset="0"/>
                <a:cs typeface="Consolas" pitchFamily="49" charset="0"/>
              </a:rPr>
              <a:t>Figure 8.5: Number of logged cases by Atoll, 2017 - 2018</a:t>
            </a:r>
          </a:p>
        </c:rich>
      </c:tx>
      <c:layout>
        <c:manualLayout>
          <c:xMode val="edge"/>
          <c:yMode val="edge"/>
          <c:x val="0.22629300488757986"/>
          <c:y val="3.906443748171257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226107735613364"/>
          <c:y val="0.15366973094368686"/>
          <c:w val="0.88041279150821528"/>
          <c:h val="0.68711024629158801"/>
        </c:manualLayout>
      </c:layout>
      <c:barChart>
        <c:barDir val="col"/>
        <c:grouping val="clustered"/>
        <c:varyColors val="0"/>
        <c:ser>
          <c:idx val="3"/>
          <c:order val="0"/>
          <c:tx>
            <c:strRef>
              <c:f>'8.3'!$C$3:$C$5</c:f>
              <c:strCache>
                <c:ptCount val="3"/>
                <c:pt idx="0">
                  <c:v>2017 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</c:spPr>
          <c:invertIfNegative val="0"/>
          <c:dPt>
            <c:idx val="1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B019-48A6-86C9-412570D611AE}"/>
              </c:ext>
            </c:extLst>
          </c:dPt>
          <c:cat>
            <c:strRef>
              <c:f>'8.3'!$A$9:$A$28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'8.3'!$C$9:$C$28</c:f>
              <c:numCache>
                <c:formatCode>_-* #,##0_-;\-* #,##0_-;_-* "-"??_-;_-@_-</c:formatCode>
                <c:ptCount val="20"/>
                <c:pt idx="0">
                  <c:v>103</c:v>
                </c:pt>
                <c:pt idx="1">
                  <c:v>328</c:v>
                </c:pt>
                <c:pt idx="2">
                  <c:v>71</c:v>
                </c:pt>
                <c:pt idx="3">
                  <c:v>177</c:v>
                </c:pt>
                <c:pt idx="4">
                  <c:v>218</c:v>
                </c:pt>
                <c:pt idx="5">
                  <c:v>186</c:v>
                </c:pt>
                <c:pt idx="6">
                  <c:v>196</c:v>
                </c:pt>
                <c:pt idx="7">
                  <c:v>653</c:v>
                </c:pt>
                <c:pt idx="8">
                  <c:v>131</c:v>
                </c:pt>
                <c:pt idx="9">
                  <c:v>178</c:v>
                </c:pt>
                <c:pt idx="10">
                  <c:v>36</c:v>
                </c:pt>
                <c:pt idx="11">
                  <c:v>66</c:v>
                </c:pt>
                <c:pt idx="12">
                  <c:v>72</c:v>
                </c:pt>
                <c:pt idx="13">
                  <c:v>123</c:v>
                </c:pt>
                <c:pt idx="14">
                  <c:v>110</c:v>
                </c:pt>
                <c:pt idx="15">
                  <c:v>396</c:v>
                </c:pt>
                <c:pt idx="16">
                  <c:v>231</c:v>
                </c:pt>
                <c:pt idx="17">
                  <c:v>299</c:v>
                </c:pt>
                <c:pt idx="18">
                  <c:v>275</c:v>
                </c:pt>
                <c:pt idx="19">
                  <c:v>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84-47A1-A892-10451405B9C8}"/>
            </c:ext>
          </c:extLst>
        </c:ser>
        <c:ser>
          <c:idx val="1"/>
          <c:order val="1"/>
          <c:tx>
            <c:strRef>
              <c:f>'8.3'!$D$3:$D$5</c:f>
              <c:strCache>
                <c:ptCount val="3"/>
                <c:pt idx="0">
                  <c:v>2018 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strRef>
              <c:f>'8.3'!$A$9:$A$28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'8.3'!$D$9:$D$28</c:f>
              <c:numCache>
                <c:formatCode>_-* #,##0_-;\-* #,##0_-;_-* "-"??_-;_-@_-</c:formatCode>
                <c:ptCount val="20"/>
                <c:pt idx="0">
                  <c:v>134</c:v>
                </c:pt>
                <c:pt idx="1">
                  <c:v>354</c:v>
                </c:pt>
                <c:pt idx="2">
                  <c:v>88</c:v>
                </c:pt>
                <c:pt idx="3">
                  <c:v>177</c:v>
                </c:pt>
                <c:pt idx="4">
                  <c:v>187</c:v>
                </c:pt>
                <c:pt idx="5">
                  <c:v>155</c:v>
                </c:pt>
                <c:pt idx="6">
                  <c:v>170</c:v>
                </c:pt>
                <c:pt idx="7">
                  <c:v>524</c:v>
                </c:pt>
                <c:pt idx="8">
                  <c:v>122</c:v>
                </c:pt>
                <c:pt idx="9">
                  <c:v>193</c:v>
                </c:pt>
                <c:pt idx="10">
                  <c:v>28</c:v>
                </c:pt>
                <c:pt idx="11">
                  <c:v>78</c:v>
                </c:pt>
                <c:pt idx="12">
                  <c:v>60</c:v>
                </c:pt>
                <c:pt idx="13">
                  <c:v>139</c:v>
                </c:pt>
                <c:pt idx="14">
                  <c:v>155</c:v>
                </c:pt>
                <c:pt idx="15">
                  <c:v>298</c:v>
                </c:pt>
                <c:pt idx="16">
                  <c:v>247</c:v>
                </c:pt>
                <c:pt idx="17">
                  <c:v>388</c:v>
                </c:pt>
                <c:pt idx="18">
                  <c:v>268</c:v>
                </c:pt>
                <c:pt idx="19">
                  <c:v>843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84-47A1-A892-10451405B9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1"/>
        <c:axId val="199897472"/>
        <c:axId val="199899008"/>
      </c:barChart>
      <c:catAx>
        <c:axId val="1998974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99899008"/>
        <c:crosses val="autoZero"/>
        <c:auto val="1"/>
        <c:lblAlgn val="ctr"/>
        <c:lblOffset val="100"/>
        <c:noMultiLvlLbl val="0"/>
      </c:catAx>
      <c:valAx>
        <c:axId val="199899008"/>
        <c:scaling>
          <c:orientation val="minMax"/>
        </c:scaling>
        <c:delete val="0"/>
        <c:axPos val="l"/>
        <c:majorGridlines>
          <c:spPr>
            <a:ln>
              <a:solidFill>
                <a:schemeClr val="accent4">
                  <a:lumMod val="40000"/>
                  <a:lumOff val="60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</a:t>
                </a:r>
              </a:p>
            </c:rich>
          </c:tx>
          <c:layout/>
          <c:overlay val="0"/>
        </c:title>
        <c:numFmt formatCode="#,##0" sourceLinked="0"/>
        <c:majorTickMark val="out"/>
        <c:minorTickMark val="none"/>
        <c:tickLblPos val="nextTo"/>
        <c:crossAx val="199897472"/>
        <c:crosses val="autoZero"/>
        <c:crossBetween val="between"/>
      </c:valAx>
      <c:spPr>
        <a:solidFill>
          <a:srgbClr val="FFFAEB"/>
        </a:solidFill>
        <a:ln>
          <a:solidFill>
            <a:sysClr val="window" lastClr="FFFFFF">
              <a:lumMod val="65000"/>
            </a:sysClr>
          </a:solidFill>
        </a:ln>
      </c:spPr>
    </c:plotArea>
    <c:legend>
      <c:legendPos val="r"/>
      <c:layout>
        <c:manualLayout>
          <c:xMode val="edge"/>
          <c:yMode val="edge"/>
          <c:x val="0.60345101383163857"/>
          <c:y val="0.24736670702556218"/>
          <c:w val="0.21387798298835559"/>
          <c:h val="4.2993566287082854E-2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4" l="0.70000000000000062" r="0.70000000000000062" t="0.750000000000004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5470396866824538E-2"/>
          <c:y val="0.15731735335360053"/>
          <c:w val="0.88977289914881652"/>
          <c:h val="0.7582639669890592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4">
                <a:lumMod val="75000"/>
              </a:schemeClr>
            </a:solidFill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B952-48BE-A343-C20ED7FB5D26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B952-48BE-A343-C20ED7FB5D26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B952-48BE-A343-C20ED7FB5D26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6-B952-48BE-A343-C20ED7FB5D26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7-B952-48BE-A343-C20ED7FB5D26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9-B952-48BE-A343-C20ED7FB5D26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A-B952-48BE-A343-C20ED7FB5D26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5-B952-48BE-A343-C20ED7FB5D26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C-B952-48BE-A343-C20ED7FB5D26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6-B952-48BE-A343-C20ED7FB5D26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7-B952-48BE-A343-C20ED7FB5D26}"/>
              </c:ext>
            </c:extLst>
          </c:dPt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B952-48BE-A343-C20ED7FB5D26}"/>
              </c:ext>
            </c:extLst>
          </c:dPt>
          <c:dPt>
            <c:idx val="1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F-B952-48BE-A343-C20ED7FB5D26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8-B952-48BE-A343-C20ED7FB5D26}"/>
              </c:ext>
            </c:extLst>
          </c:dPt>
          <c:dPt>
            <c:idx val="1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1-B952-48BE-A343-C20ED7FB5D26}"/>
              </c:ext>
            </c:extLst>
          </c:dPt>
          <c:dPt>
            <c:idx val="1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3-B952-48BE-A343-C20ED7FB5D26}"/>
              </c:ext>
            </c:extLst>
          </c:dPt>
          <c:dLbls>
            <c:dLbl>
              <c:idx val="15"/>
              <c:layout>
                <c:manualLayout>
                  <c:x val="-8.3589631673812722E-17"/>
                  <c:y val="9.311318053729408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8-B952-48BE-A343-C20ED7FB5D2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6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'8.3'!$A$9:$A$28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'8.3'!$F$9:$F$28</c:f>
              <c:numCache>
                <c:formatCode>0.0</c:formatCode>
                <c:ptCount val="20"/>
                <c:pt idx="0">
                  <c:v>30.097087378640776</c:v>
                </c:pt>
                <c:pt idx="1">
                  <c:v>7.9268292682926829</c:v>
                </c:pt>
                <c:pt idx="2">
                  <c:v>23.943661971830984</c:v>
                </c:pt>
                <c:pt idx="3">
                  <c:v>0</c:v>
                </c:pt>
                <c:pt idx="4">
                  <c:v>-14.220183486238533</c:v>
                </c:pt>
                <c:pt idx="5">
                  <c:v>-16.666666666666664</c:v>
                </c:pt>
                <c:pt idx="6">
                  <c:v>-13.26530612244898</c:v>
                </c:pt>
                <c:pt idx="7">
                  <c:v>-19.754977029096477</c:v>
                </c:pt>
                <c:pt idx="8">
                  <c:v>-6.8702290076335881</c:v>
                </c:pt>
                <c:pt idx="9">
                  <c:v>8.4269662921348321</c:v>
                </c:pt>
                <c:pt idx="10">
                  <c:v>-22.222222222222221</c:v>
                </c:pt>
                <c:pt idx="11">
                  <c:v>18.181818181818183</c:v>
                </c:pt>
                <c:pt idx="12">
                  <c:v>-16.666666666666664</c:v>
                </c:pt>
                <c:pt idx="13">
                  <c:v>13.008130081300814</c:v>
                </c:pt>
                <c:pt idx="14">
                  <c:v>40.909090909090914</c:v>
                </c:pt>
                <c:pt idx="15">
                  <c:v>-24.747474747474747</c:v>
                </c:pt>
                <c:pt idx="16">
                  <c:v>6.9264069264069263</c:v>
                </c:pt>
                <c:pt idx="17">
                  <c:v>29.76588628762542</c:v>
                </c:pt>
                <c:pt idx="18">
                  <c:v>-2.5454545454545454</c:v>
                </c:pt>
                <c:pt idx="19">
                  <c:v>11.507936507936508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B952-48BE-A343-C20ED7FB5D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535046784"/>
        <c:axId val="535048576"/>
      </c:barChart>
      <c:catAx>
        <c:axId val="53504678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txPr>
          <a:bodyPr/>
          <a:lstStyle/>
          <a:p>
            <a:pPr>
              <a:defRPr sz="900"/>
            </a:pPr>
            <a:endParaRPr lang="en-US"/>
          </a:p>
        </c:txPr>
        <c:crossAx val="535048576"/>
        <c:crosses val="autoZero"/>
        <c:auto val="1"/>
        <c:lblAlgn val="ctr"/>
        <c:lblOffset val="100"/>
        <c:noMultiLvlLbl val="0"/>
      </c:catAx>
      <c:valAx>
        <c:axId val="535048576"/>
        <c:scaling>
          <c:orientation val="minMax"/>
          <c:min val="-30"/>
        </c:scaling>
        <c:delete val="0"/>
        <c:axPos val="l"/>
        <c:majorGridlines>
          <c:spPr>
            <a:ln>
              <a:solidFill>
                <a:schemeClr val="accent4">
                  <a:lumMod val="40000"/>
                  <a:lumOff val="60000"/>
                </a:schemeClr>
              </a:solidFill>
            </a:ln>
          </c:spPr>
        </c:majorGridlines>
        <c:numFmt formatCode="0.0" sourceLinked="1"/>
        <c:majorTickMark val="out"/>
        <c:minorTickMark val="none"/>
        <c:tickLblPos val="nextTo"/>
        <c:crossAx val="535046784"/>
        <c:crosses val="autoZero"/>
        <c:crossBetween val="between"/>
      </c:valAx>
      <c:spPr>
        <a:solidFill>
          <a:srgbClr val="FFFAEB"/>
        </a:solidFill>
        <a:ln w="6350"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30</xdr:row>
      <xdr:rowOff>79699</xdr:rowOff>
    </xdr:from>
    <xdr:to>
      <xdr:col>8</xdr:col>
      <xdr:colOff>7683</xdr:colOff>
      <xdr:row>43</xdr:row>
      <xdr:rowOff>163209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179614</xdr:colOff>
      <xdr:row>44</xdr:row>
      <xdr:rowOff>157840</xdr:rowOff>
    </xdr:from>
    <xdr:to>
      <xdr:col>8</xdr:col>
      <xdr:colOff>23046</xdr:colOff>
      <xdr:row>59</xdr:row>
      <xdr:rowOff>38099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609600</xdr:colOff>
      <xdr:row>45</xdr:row>
      <xdr:rowOff>97093</xdr:rowOff>
    </xdr:from>
    <xdr:to>
      <xdr:col>7</xdr:col>
      <xdr:colOff>203098</xdr:colOff>
      <xdr:row>47</xdr:row>
      <xdr:rowOff>20893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/>
      </xdr:nvSpPr>
      <xdr:spPr>
        <a:xfrm>
          <a:off x="609600" y="8993443"/>
          <a:ext cx="5032273" cy="304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tx1"/>
              </a:solidFill>
            </a:rPr>
            <a:t>Figure 8.6: </a:t>
          </a:r>
          <a:r>
            <a:rPr lang="en-US" sz="1100" b="1"/>
            <a:t>Percentage</a:t>
          </a:r>
          <a:r>
            <a:rPr lang="en-US" sz="1100" b="1" baseline="0"/>
            <a:t> change of logged cases over previous year (2018) by Atolls</a:t>
          </a:r>
          <a:endParaRPr lang="en-US" sz="1100" b="1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8.%20LAW%20AND%20ORD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Copy%20of%208.%20LAW%20AND%20ORDER%20-%20Police%20workingsfinalmai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8.%20LAW%20AND%20ORDER-%20JSC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BFYMW6J1\8.%20LAW%20AND%20ORDER-%20JSC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RECEIVED\8.%20LAW%20AND%20ORDER%20-%20JSC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8.%20LAW%20AND%20ORDER%20-%20DJA%20J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.1"/>
      <sheetName val="8.14"/>
      <sheetName val="8.15"/>
      <sheetName val="8.16"/>
      <sheetName val="8.17"/>
      <sheetName val="8.18"/>
      <sheetName val="8.19"/>
      <sheetName val="8.20 workings"/>
    </sheetNames>
    <sheetDataSet>
      <sheetData sheetId="0"/>
      <sheetData sheetId="1"/>
      <sheetData sheetId="2"/>
      <sheetData sheetId="3"/>
      <sheetData sheetId="4">
        <row r="5">
          <cell r="H5">
            <v>16362</v>
          </cell>
        </row>
      </sheetData>
      <sheetData sheetId="5"/>
      <sheetData sheetId="6"/>
      <sheetData sheetId="7">
        <row r="7">
          <cell r="A7" t="str">
            <v>Drugs</v>
          </cell>
          <cell r="H7">
            <v>1857</v>
          </cell>
        </row>
        <row r="14">
          <cell r="A14" t="str">
            <v>Alcohol</v>
          </cell>
          <cell r="H14">
            <v>168</v>
          </cell>
        </row>
        <row r="21">
          <cell r="A21" t="str">
            <v>Other cases related to drug offences</v>
          </cell>
          <cell r="H21">
            <v>13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.1"/>
      <sheetName val="8.14"/>
      <sheetName val="8.15"/>
      <sheetName val="8.16"/>
      <sheetName val="8.17"/>
      <sheetName val="8.18"/>
      <sheetName val="8.19"/>
      <sheetName val="8.20 work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6">
          <cell r="U6" t="str">
            <v>Male</v>
          </cell>
          <cell r="V6" t="str">
            <v>Female</v>
          </cell>
        </row>
        <row r="8">
          <cell r="U8">
            <v>1191</v>
          </cell>
          <cell r="V8">
            <v>940</v>
          </cell>
        </row>
      </sheetData>
      <sheetData sheetId="18"/>
      <sheetData sheetId="1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9"/>
      <sheetName val="8.30"/>
      <sheetName val="8.20 workings"/>
    </sheetNames>
    <sheetDataSet>
      <sheetData sheetId="0">
        <row r="91">
          <cell r="U91" t="str">
            <v>Number  of majistrates</v>
          </cell>
          <cell r="V91" t="str">
            <v>Number of islands with majistrate courts</v>
          </cell>
        </row>
        <row r="92">
          <cell r="T92" t="str">
            <v>HA</v>
          </cell>
          <cell r="U92">
            <v>9</v>
          </cell>
          <cell r="V92">
            <v>14</v>
          </cell>
        </row>
        <row r="93">
          <cell r="T93" t="str">
            <v>HDh</v>
          </cell>
          <cell r="U93">
            <v>8</v>
          </cell>
          <cell r="V93">
            <v>13</v>
          </cell>
        </row>
        <row r="94">
          <cell r="T94" t="str">
            <v>Sh</v>
          </cell>
          <cell r="U94">
            <v>4</v>
          </cell>
          <cell r="V94">
            <v>13</v>
          </cell>
        </row>
        <row r="95">
          <cell r="T95" t="str">
            <v>N</v>
          </cell>
          <cell r="U95">
            <v>5</v>
          </cell>
          <cell r="V95">
            <v>13</v>
          </cell>
        </row>
        <row r="96">
          <cell r="T96" t="str">
            <v>R</v>
          </cell>
          <cell r="U96">
            <v>14</v>
          </cell>
          <cell r="V96">
            <v>15</v>
          </cell>
        </row>
        <row r="97">
          <cell r="T97" t="str">
            <v>B</v>
          </cell>
          <cell r="U97">
            <v>6</v>
          </cell>
          <cell r="V97">
            <v>13</v>
          </cell>
        </row>
        <row r="98">
          <cell r="T98" t="str">
            <v>Lh</v>
          </cell>
          <cell r="U98">
            <v>4</v>
          </cell>
          <cell r="V98">
            <v>4</v>
          </cell>
        </row>
        <row r="99">
          <cell r="T99" t="str">
            <v>K</v>
          </cell>
          <cell r="U99">
            <v>10</v>
          </cell>
          <cell r="V99">
            <v>9</v>
          </cell>
        </row>
        <row r="100">
          <cell r="T100" t="str">
            <v>AA</v>
          </cell>
          <cell r="U100">
            <v>4</v>
          </cell>
          <cell r="V100">
            <v>8</v>
          </cell>
        </row>
        <row r="101">
          <cell r="T101" t="str">
            <v>ADh</v>
          </cell>
          <cell r="U101">
            <v>7</v>
          </cell>
          <cell r="V101">
            <v>10</v>
          </cell>
        </row>
        <row r="102">
          <cell r="T102" t="str">
            <v>V</v>
          </cell>
          <cell r="U102">
            <v>2</v>
          </cell>
          <cell r="V102">
            <v>5</v>
          </cell>
        </row>
        <row r="103">
          <cell r="T103" t="str">
            <v>M</v>
          </cell>
          <cell r="U103">
            <v>5</v>
          </cell>
          <cell r="V103">
            <v>8</v>
          </cell>
        </row>
        <row r="104">
          <cell r="T104" t="str">
            <v>F</v>
          </cell>
          <cell r="U104">
            <v>4</v>
          </cell>
          <cell r="V104">
            <v>5</v>
          </cell>
        </row>
        <row r="105">
          <cell r="T105" t="str">
            <v>Dh</v>
          </cell>
          <cell r="U105">
            <v>5</v>
          </cell>
          <cell r="V105">
            <v>6</v>
          </cell>
        </row>
        <row r="106">
          <cell r="T106" t="str">
            <v>Th</v>
          </cell>
          <cell r="U106">
            <v>8</v>
          </cell>
          <cell r="V106">
            <v>13</v>
          </cell>
        </row>
        <row r="107">
          <cell r="T107" t="str">
            <v>L</v>
          </cell>
          <cell r="U107">
            <v>11</v>
          </cell>
          <cell r="V107">
            <v>11</v>
          </cell>
        </row>
        <row r="108">
          <cell r="T108" t="str">
            <v>GA</v>
          </cell>
          <cell r="U108">
            <v>8</v>
          </cell>
          <cell r="V108">
            <v>9</v>
          </cell>
        </row>
        <row r="109">
          <cell r="T109" t="str">
            <v>GDh</v>
          </cell>
          <cell r="U109">
            <v>10</v>
          </cell>
          <cell r="V109">
            <v>9</v>
          </cell>
        </row>
        <row r="110">
          <cell r="T110" t="str">
            <v>Gn</v>
          </cell>
          <cell r="U110">
            <v>4</v>
          </cell>
          <cell r="V110">
            <v>1</v>
          </cell>
        </row>
        <row r="111">
          <cell r="T111" t="str">
            <v>S</v>
          </cell>
          <cell r="U111">
            <v>7</v>
          </cell>
          <cell r="V111">
            <v>6</v>
          </cell>
        </row>
        <row r="129">
          <cell r="S129" t="str">
            <v>Atolls</v>
          </cell>
          <cell r="U129">
            <v>69.948186528497416</v>
          </cell>
        </row>
        <row r="130">
          <cell r="S130" t="str">
            <v>Male'</v>
          </cell>
          <cell r="U130">
            <v>30.051813471502591</v>
          </cell>
        </row>
      </sheetData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9"/>
      <sheetName val="8.30"/>
      <sheetName val="8.20 workings"/>
    </sheetNames>
    <sheetDataSet>
      <sheetData sheetId="0">
        <row r="91">
          <cell r="U91" t="str">
            <v>Number  of majistrates</v>
          </cell>
        </row>
        <row r="129">
          <cell r="S129" t="str">
            <v>Atolls</v>
          </cell>
          <cell r="U129">
            <v>69.543147208121823</v>
          </cell>
        </row>
        <row r="130">
          <cell r="S130" t="str">
            <v>Male'</v>
          </cell>
          <cell r="U130">
            <v>30.456852791878177</v>
          </cell>
        </row>
      </sheetData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27"/>
      <sheetName val="8.28"/>
    </sheetNames>
    <sheetDataSet>
      <sheetData sheetId="0"/>
      <sheetData sheetId="1">
        <row r="91">
          <cell r="T91" t="str">
            <v>Number  of majistrates</v>
          </cell>
        </row>
      </sheetData>
      <sheetData sheetId="2">
        <row r="7">
          <cell r="A7" t="str">
            <v>Male</v>
          </cell>
          <cell r="H7">
            <v>173</v>
          </cell>
        </row>
        <row r="8">
          <cell r="A8" t="str">
            <v>Female</v>
          </cell>
          <cell r="H8">
            <v>5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"/>
      <sheetName val="8.22"/>
      <sheetName val="8.23"/>
      <sheetName val="8.24"/>
      <sheetName val="8.25"/>
      <sheetName val="8.30"/>
      <sheetName val="8.31"/>
      <sheetName val="8.56"/>
      <sheetName val="8.57"/>
      <sheetName val="8.20 work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4">
          <cell r="N14">
            <v>2016</v>
          </cell>
          <cell r="O14"/>
          <cell r="P14">
            <v>2017</v>
          </cell>
          <cell r="Q14"/>
          <cell r="R14">
            <v>2018</v>
          </cell>
          <cell r="S14"/>
        </row>
        <row r="15">
          <cell r="N15" t="str">
            <v>Male</v>
          </cell>
          <cell r="O15" t="str">
            <v>Female</v>
          </cell>
          <cell r="P15" t="str">
            <v>Male</v>
          </cell>
          <cell r="Q15" t="str">
            <v>Female</v>
          </cell>
          <cell r="R15" t="str">
            <v>Male</v>
          </cell>
          <cell r="S15" t="str">
            <v>Female</v>
          </cell>
        </row>
        <row r="16">
          <cell r="M16" t="str">
            <v xml:space="preserve">Above 18 </v>
          </cell>
          <cell r="N16">
            <v>1356</v>
          </cell>
          <cell r="O16">
            <v>52</v>
          </cell>
          <cell r="P16">
            <v>1475</v>
          </cell>
          <cell r="Q16">
            <v>61</v>
          </cell>
          <cell r="R16">
            <v>53</v>
          </cell>
          <cell r="S16">
            <v>987</v>
          </cell>
        </row>
        <row r="17">
          <cell r="M17" t="str">
            <v xml:space="preserve">Below 18 </v>
          </cell>
          <cell r="N17">
            <v>108</v>
          </cell>
          <cell r="O17">
            <v>7</v>
          </cell>
          <cell r="P17">
            <v>23</v>
          </cell>
          <cell r="Q17">
            <v>3</v>
          </cell>
          <cell r="R17">
            <v>1</v>
          </cell>
          <cell r="S17">
            <v>10</v>
          </cell>
        </row>
      </sheetData>
      <sheetData sheetId="8">
        <row r="5">
          <cell r="B5">
            <v>2016</v>
          </cell>
          <cell r="C5">
            <v>2017</v>
          </cell>
          <cell r="D5">
            <v>2018</v>
          </cell>
        </row>
        <row r="7">
          <cell r="A7" t="str">
            <v>Below 18</v>
          </cell>
          <cell r="B7">
            <v>51</v>
          </cell>
          <cell r="C7">
            <v>34</v>
          </cell>
          <cell r="D7">
            <v>14</v>
          </cell>
        </row>
        <row r="8">
          <cell r="A8" t="str">
            <v>18-25</v>
          </cell>
          <cell r="B8">
            <v>682</v>
          </cell>
          <cell r="C8">
            <v>708</v>
          </cell>
          <cell r="D8">
            <v>441</v>
          </cell>
        </row>
        <row r="9">
          <cell r="A9" t="str">
            <v>26-35</v>
          </cell>
          <cell r="B9">
            <v>550</v>
          </cell>
          <cell r="C9">
            <v>554</v>
          </cell>
          <cell r="D9">
            <v>373</v>
          </cell>
        </row>
        <row r="10">
          <cell r="A10" t="str">
            <v>36-45</v>
          </cell>
          <cell r="B10">
            <v>193</v>
          </cell>
          <cell r="C10">
            <v>204</v>
          </cell>
          <cell r="D10">
            <v>175</v>
          </cell>
        </row>
        <row r="11">
          <cell r="A11" t="str">
            <v>46-55</v>
          </cell>
          <cell r="B11">
            <v>42</v>
          </cell>
          <cell r="C11">
            <v>58</v>
          </cell>
          <cell r="D11">
            <v>43</v>
          </cell>
        </row>
        <row r="12">
          <cell r="A12" t="str">
            <v>Above 55</v>
          </cell>
          <cell r="B12">
            <v>5</v>
          </cell>
          <cell r="C12">
            <v>4</v>
          </cell>
          <cell r="D12">
            <v>5</v>
          </cell>
        </row>
      </sheetData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N60"/>
  <sheetViews>
    <sheetView tabSelected="1" zoomScale="220" zoomScaleNormal="220" workbookViewId="0">
      <selection activeCell="A2" sqref="A2:G2"/>
    </sheetView>
  </sheetViews>
  <sheetFormatPr defaultColWidth="9.140625" defaultRowHeight="15" x14ac:dyDescent="0.25"/>
  <cols>
    <col min="1" max="1" width="21.85546875" style="1" customWidth="1"/>
    <col min="2" max="4" width="10.42578125" style="1" bestFit="1" customWidth="1"/>
    <col min="5" max="5" width="1.42578125" style="1" customWidth="1"/>
    <col min="6" max="6" width="16" style="1" customWidth="1"/>
    <col min="7" max="7" width="11" style="1" customWidth="1"/>
    <col min="8" max="8" width="4.42578125" style="1" customWidth="1"/>
    <col min="9" max="9" width="6.5703125" style="1" bestFit="1" customWidth="1"/>
    <col min="10" max="16384" width="9.140625" style="1"/>
  </cols>
  <sheetData>
    <row r="1" spans="1:12" ht="21.75" x14ac:dyDescent="0.25">
      <c r="A1" s="51" t="s">
        <v>50</v>
      </c>
      <c r="B1" s="51"/>
      <c r="C1" s="51"/>
      <c r="D1" s="51"/>
      <c r="E1" s="51"/>
      <c r="F1" s="51"/>
      <c r="G1" s="51"/>
    </row>
    <row r="2" spans="1:12" ht="21.75" customHeight="1" x14ac:dyDescent="0.25">
      <c r="A2" s="52" t="s">
        <v>51</v>
      </c>
      <c r="B2" s="52"/>
      <c r="C2" s="52"/>
      <c r="D2" s="52"/>
      <c r="E2" s="52"/>
      <c r="F2" s="52"/>
      <c r="G2" s="52"/>
    </row>
    <row r="3" spans="1:12" ht="16.5" customHeight="1" x14ac:dyDescent="0.25">
      <c r="A3" s="45" t="s">
        <v>7</v>
      </c>
      <c r="B3" s="42">
        <v>2016</v>
      </c>
      <c r="C3" s="42">
        <v>2017</v>
      </c>
      <c r="D3" s="42">
        <v>2018</v>
      </c>
      <c r="E3" s="14"/>
      <c r="F3" s="2" t="s">
        <v>8</v>
      </c>
      <c r="G3" s="49" t="s">
        <v>9</v>
      </c>
      <c r="J3" s="3"/>
      <c r="K3" s="3"/>
      <c r="L3" s="3"/>
    </row>
    <row r="4" spans="1:12" ht="15.75" customHeight="1" x14ac:dyDescent="0.25">
      <c r="A4" s="47"/>
      <c r="B4" s="48"/>
      <c r="C4" s="48"/>
      <c r="D4" s="48"/>
      <c r="E4" s="15"/>
      <c r="F4" s="16" t="s">
        <v>10</v>
      </c>
      <c r="G4" s="50"/>
      <c r="J4" s="3"/>
      <c r="K4" s="3"/>
      <c r="L4" s="3"/>
    </row>
    <row r="5" spans="1:12" ht="15.75" customHeight="1" x14ac:dyDescent="0.25">
      <c r="A5" s="46"/>
      <c r="B5" s="43"/>
      <c r="C5" s="43"/>
      <c r="D5" s="43"/>
      <c r="E5" s="17"/>
      <c r="F5" s="18" t="s">
        <v>0</v>
      </c>
      <c r="G5" s="44"/>
      <c r="J5" s="3"/>
      <c r="K5" s="3"/>
      <c r="L5" s="3"/>
    </row>
    <row r="6" spans="1:12" s="22" customFormat="1" ht="15.75" customHeight="1" x14ac:dyDescent="0.2">
      <c r="A6" s="4" t="s">
        <v>4</v>
      </c>
      <c r="B6" s="9">
        <f t="shared" ref="B6:D6" si="0">SUM(B7:B8)</f>
        <v>16287</v>
      </c>
      <c r="C6" s="9">
        <f t="shared" si="0"/>
        <v>15535</v>
      </c>
      <c r="D6" s="9">
        <f t="shared" si="0"/>
        <v>14811</v>
      </c>
      <c r="E6" s="19"/>
      <c r="F6" s="20">
        <f t="shared" ref="F6:F28" si="1">IFERROR(((D6-C6)/C6)*100,"-")</f>
        <v>-4.6604441583521083</v>
      </c>
      <c r="G6" s="21" t="s">
        <v>11</v>
      </c>
      <c r="J6" s="23"/>
      <c r="K6" s="24"/>
      <c r="L6" s="25"/>
    </row>
    <row r="7" spans="1:12" s="22" customFormat="1" ht="15.75" customHeight="1" x14ac:dyDescent="0.25">
      <c r="A7" s="4" t="s">
        <v>5</v>
      </c>
      <c r="B7" s="9">
        <v>11481</v>
      </c>
      <c r="C7" s="9">
        <v>10930</v>
      </c>
      <c r="D7" s="9">
        <v>10203</v>
      </c>
      <c r="E7" s="19"/>
      <c r="F7" s="20">
        <f t="shared" si="1"/>
        <v>-6.6514181152790481</v>
      </c>
      <c r="G7" s="21" t="s">
        <v>12</v>
      </c>
      <c r="J7" s="25"/>
      <c r="K7" s="25"/>
      <c r="L7" s="25"/>
    </row>
    <row r="8" spans="1:12" s="22" customFormat="1" ht="15.75" customHeight="1" x14ac:dyDescent="0.25">
      <c r="A8" s="4" t="s">
        <v>6</v>
      </c>
      <c r="B8" s="9">
        <f t="shared" ref="B8:D8" si="2">SUM(B9:B28)</f>
        <v>4806</v>
      </c>
      <c r="C8" s="9">
        <f t="shared" si="2"/>
        <v>4605</v>
      </c>
      <c r="D8" s="9">
        <f t="shared" si="2"/>
        <v>4608</v>
      </c>
      <c r="E8" s="19"/>
      <c r="F8" s="20">
        <f t="shared" si="1"/>
        <v>6.5146579804560262E-2</v>
      </c>
      <c r="G8" s="26" t="s">
        <v>3</v>
      </c>
      <c r="J8" s="25"/>
      <c r="K8" s="25"/>
      <c r="L8" s="25"/>
    </row>
    <row r="9" spans="1:12" s="30" customFormat="1" ht="15.75" customHeight="1" x14ac:dyDescent="0.25">
      <c r="A9" s="27" t="s">
        <v>13</v>
      </c>
      <c r="B9" s="10">
        <v>154</v>
      </c>
      <c r="C9" s="10">
        <v>103</v>
      </c>
      <c r="D9" s="10">
        <v>134</v>
      </c>
      <c r="E9" s="19"/>
      <c r="F9" s="28">
        <f t="shared" si="1"/>
        <v>30.097087378640776</v>
      </c>
      <c r="G9" s="29" t="s">
        <v>14</v>
      </c>
      <c r="I9" s="5"/>
      <c r="J9" s="31"/>
      <c r="K9" s="31"/>
      <c r="L9" s="31"/>
    </row>
    <row r="10" spans="1:12" s="30" customFormat="1" ht="15.75" customHeight="1" x14ac:dyDescent="0.25">
      <c r="A10" s="27" t="s">
        <v>15</v>
      </c>
      <c r="B10" s="10">
        <v>262</v>
      </c>
      <c r="C10" s="10">
        <v>328</v>
      </c>
      <c r="D10" s="10">
        <v>354</v>
      </c>
      <c r="E10" s="19"/>
      <c r="F10" s="28">
        <f t="shared" si="1"/>
        <v>7.9268292682926829</v>
      </c>
      <c r="G10" s="29" t="s">
        <v>16</v>
      </c>
      <c r="I10" s="5"/>
      <c r="J10" s="31"/>
      <c r="K10" s="31"/>
      <c r="L10" s="31"/>
    </row>
    <row r="11" spans="1:12" s="30" customFormat="1" ht="15.75" customHeight="1" x14ac:dyDescent="0.25">
      <c r="A11" s="27" t="s">
        <v>17</v>
      </c>
      <c r="B11" s="10">
        <v>107</v>
      </c>
      <c r="C11" s="10">
        <v>71</v>
      </c>
      <c r="D11" s="10">
        <v>88</v>
      </c>
      <c r="E11" s="19"/>
      <c r="F11" s="28">
        <f t="shared" si="1"/>
        <v>23.943661971830984</v>
      </c>
      <c r="G11" s="29" t="s">
        <v>18</v>
      </c>
      <c r="I11" s="5"/>
      <c r="J11" s="31"/>
      <c r="K11" s="31"/>
      <c r="L11" s="31"/>
    </row>
    <row r="12" spans="1:12" s="30" customFormat="1" ht="15.75" customHeight="1" x14ac:dyDescent="0.25">
      <c r="A12" s="27" t="s">
        <v>19</v>
      </c>
      <c r="B12" s="10">
        <v>155</v>
      </c>
      <c r="C12" s="10">
        <v>177</v>
      </c>
      <c r="D12" s="10">
        <v>177</v>
      </c>
      <c r="E12" s="19"/>
      <c r="F12" s="28">
        <f t="shared" si="1"/>
        <v>0</v>
      </c>
      <c r="G12" s="29" t="s">
        <v>20</v>
      </c>
      <c r="I12" s="5"/>
      <c r="J12" s="31"/>
      <c r="K12" s="31"/>
      <c r="L12" s="31"/>
    </row>
    <row r="13" spans="1:12" s="30" customFormat="1" ht="15.75" customHeight="1" x14ac:dyDescent="0.25">
      <c r="A13" s="27" t="s">
        <v>21</v>
      </c>
      <c r="B13" s="10">
        <v>234</v>
      </c>
      <c r="C13" s="10">
        <v>218</v>
      </c>
      <c r="D13" s="10">
        <v>187</v>
      </c>
      <c r="E13" s="19"/>
      <c r="F13" s="28">
        <f t="shared" si="1"/>
        <v>-14.220183486238533</v>
      </c>
      <c r="G13" s="29" t="s">
        <v>22</v>
      </c>
      <c r="I13" s="5"/>
      <c r="J13" s="31"/>
      <c r="K13" s="31"/>
      <c r="L13" s="31"/>
    </row>
    <row r="14" spans="1:12" s="30" customFormat="1" ht="15.75" customHeight="1" x14ac:dyDescent="0.25">
      <c r="A14" s="27" t="s">
        <v>23</v>
      </c>
      <c r="B14" s="10">
        <v>158</v>
      </c>
      <c r="C14" s="10">
        <v>186</v>
      </c>
      <c r="D14" s="10">
        <v>155</v>
      </c>
      <c r="E14" s="19"/>
      <c r="F14" s="28">
        <f t="shared" si="1"/>
        <v>-16.666666666666664</v>
      </c>
      <c r="G14" s="29" t="s">
        <v>24</v>
      </c>
      <c r="I14" s="5"/>
      <c r="J14" s="31"/>
      <c r="K14" s="31"/>
      <c r="L14" s="31"/>
    </row>
    <row r="15" spans="1:12" s="30" customFormat="1" ht="15.75" customHeight="1" x14ac:dyDescent="0.25">
      <c r="A15" s="27" t="s">
        <v>25</v>
      </c>
      <c r="B15" s="10">
        <v>204</v>
      </c>
      <c r="C15" s="10">
        <v>196</v>
      </c>
      <c r="D15" s="10">
        <v>170</v>
      </c>
      <c r="E15" s="19"/>
      <c r="F15" s="28">
        <f t="shared" si="1"/>
        <v>-13.26530612244898</v>
      </c>
      <c r="G15" s="29" t="s">
        <v>26</v>
      </c>
      <c r="I15" s="5"/>
      <c r="J15" s="31"/>
      <c r="K15" s="31"/>
      <c r="L15" s="31"/>
    </row>
    <row r="16" spans="1:12" s="30" customFormat="1" ht="15.75" customHeight="1" x14ac:dyDescent="0.25">
      <c r="A16" s="27" t="s">
        <v>27</v>
      </c>
      <c r="B16" s="10">
        <v>602</v>
      </c>
      <c r="C16" s="10">
        <v>653</v>
      </c>
      <c r="D16" s="10">
        <v>524</v>
      </c>
      <c r="E16" s="19"/>
      <c r="F16" s="28">
        <f t="shared" si="1"/>
        <v>-19.754977029096477</v>
      </c>
      <c r="G16" s="29" t="s">
        <v>28</v>
      </c>
      <c r="I16" s="5"/>
      <c r="J16" s="31"/>
      <c r="K16" s="31"/>
      <c r="L16" s="31"/>
    </row>
    <row r="17" spans="1:12" s="30" customFormat="1" ht="15.75" customHeight="1" x14ac:dyDescent="0.25">
      <c r="A17" s="27" t="s">
        <v>29</v>
      </c>
      <c r="B17" s="10">
        <v>100</v>
      </c>
      <c r="C17" s="10">
        <v>131</v>
      </c>
      <c r="D17" s="10">
        <v>122</v>
      </c>
      <c r="E17" s="19"/>
      <c r="F17" s="28">
        <f t="shared" si="1"/>
        <v>-6.8702290076335881</v>
      </c>
      <c r="G17" s="29" t="s">
        <v>30</v>
      </c>
      <c r="I17" s="5"/>
      <c r="J17" s="31"/>
      <c r="K17" s="31"/>
      <c r="L17" s="31"/>
    </row>
    <row r="18" spans="1:12" s="30" customFormat="1" ht="15.75" customHeight="1" x14ac:dyDescent="0.25">
      <c r="A18" s="27" t="s">
        <v>31</v>
      </c>
      <c r="B18" s="10">
        <v>197</v>
      </c>
      <c r="C18" s="10">
        <v>178</v>
      </c>
      <c r="D18" s="10">
        <v>193</v>
      </c>
      <c r="E18" s="19"/>
      <c r="F18" s="28">
        <f t="shared" si="1"/>
        <v>8.4269662921348321</v>
      </c>
      <c r="G18" s="29" t="s">
        <v>32</v>
      </c>
      <c r="I18" s="5"/>
      <c r="J18" s="31"/>
      <c r="K18" s="31"/>
      <c r="L18" s="31"/>
    </row>
    <row r="19" spans="1:12" s="30" customFormat="1" ht="15.75" customHeight="1" x14ac:dyDescent="0.25">
      <c r="A19" s="27" t="s">
        <v>33</v>
      </c>
      <c r="B19" s="10">
        <v>35</v>
      </c>
      <c r="C19" s="10">
        <v>36</v>
      </c>
      <c r="D19" s="10">
        <v>28</v>
      </c>
      <c r="E19" s="19"/>
      <c r="F19" s="28">
        <f t="shared" si="1"/>
        <v>-22.222222222222221</v>
      </c>
      <c r="G19" s="29" t="s">
        <v>34</v>
      </c>
      <c r="I19" s="5"/>
      <c r="J19" s="31"/>
      <c r="K19" s="31"/>
      <c r="L19" s="31"/>
    </row>
    <row r="20" spans="1:12" s="30" customFormat="1" ht="15.75" customHeight="1" x14ac:dyDescent="0.25">
      <c r="A20" s="27" t="s">
        <v>35</v>
      </c>
      <c r="B20" s="10">
        <v>65</v>
      </c>
      <c r="C20" s="10">
        <v>66</v>
      </c>
      <c r="D20" s="10">
        <v>78</v>
      </c>
      <c r="E20" s="19"/>
      <c r="F20" s="28">
        <f t="shared" si="1"/>
        <v>18.181818181818183</v>
      </c>
      <c r="G20" s="29" t="s">
        <v>36</v>
      </c>
      <c r="I20" s="5"/>
      <c r="J20" s="31"/>
      <c r="K20" s="31"/>
      <c r="L20" s="31"/>
    </row>
    <row r="21" spans="1:12" s="30" customFormat="1" ht="15.75" customHeight="1" x14ac:dyDescent="0.25">
      <c r="A21" s="27" t="s">
        <v>37</v>
      </c>
      <c r="B21" s="10">
        <v>63</v>
      </c>
      <c r="C21" s="10">
        <v>72</v>
      </c>
      <c r="D21" s="10">
        <v>60</v>
      </c>
      <c r="E21" s="19"/>
      <c r="F21" s="28">
        <f t="shared" si="1"/>
        <v>-16.666666666666664</v>
      </c>
      <c r="G21" s="29" t="s">
        <v>38</v>
      </c>
      <c r="I21" s="5"/>
      <c r="J21" s="31"/>
      <c r="K21" s="31"/>
      <c r="L21" s="31"/>
    </row>
    <row r="22" spans="1:12" s="30" customFormat="1" ht="15.75" customHeight="1" x14ac:dyDescent="0.25">
      <c r="A22" s="27" t="s">
        <v>39</v>
      </c>
      <c r="B22" s="10">
        <v>82</v>
      </c>
      <c r="C22" s="10">
        <v>123</v>
      </c>
      <c r="D22" s="10">
        <v>139</v>
      </c>
      <c r="E22" s="19"/>
      <c r="F22" s="28">
        <f t="shared" si="1"/>
        <v>13.008130081300814</v>
      </c>
      <c r="G22" s="29" t="s">
        <v>40</v>
      </c>
      <c r="I22" s="5"/>
      <c r="J22" s="31"/>
      <c r="K22" s="31"/>
      <c r="L22" s="31"/>
    </row>
    <row r="23" spans="1:12" s="30" customFormat="1" ht="15.75" customHeight="1" x14ac:dyDescent="0.25">
      <c r="A23" s="27" t="s">
        <v>41</v>
      </c>
      <c r="B23" s="10">
        <v>138</v>
      </c>
      <c r="C23" s="10">
        <v>110</v>
      </c>
      <c r="D23" s="10">
        <v>155</v>
      </c>
      <c r="E23" s="19"/>
      <c r="F23" s="28">
        <f t="shared" si="1"/>
        <v>40.909090909090914</v>
      </c>
      <c r="G23" s="29" t="s">
        <v>42</v>
      </c>
      <c r="I23" s="5"/>
      <c r="J23" s="31"/>
      <c r="K23" s="31"/>
      <c r="L23" s="31"/>
    </row>
    <row r="24" spans="1:12" s="30" customFormat="1" ht="15.75" customHeight="1" x14ac:dyDescent="0.25">
      <c r="A24" s="27" t="s">
        <v>26</v>
      </c>
      <c r="B24" s="10">
        <v>316</v>
      </c>
      <c r="C24" s="10">
        <v>396</v>
      </c>
      <c r="D24" s="10">
        <v>298</v>
      </c>
      <c r="E24" s="19"/>
      <c r="F24" s="28">
        <f t="shared" si="1"/>
        <v>-24.747474747474747</v>
      </c>
      <c r="G24" s="29" t="s">
        <v>43</v>
      </c>
      <c r="I24" s="5"/>
      <c r="J24" s="31"/>
      <c r="K24" s="31"/>
      <c r="L24" s="31"/>
    </row>
    <row r="25" spans="1:12" s="30" customFormat="1" ht="15.75" customHeight="1" x14ac:dyDescent="0.25">
      <c r="A25" s="27" t="s">
        <v>44</v>
      </c>
      <c r="B25" s="10">
        <v>274</v>
      </c>
      <c r="C25" s="10">
        <v>231</v>
      </c>
      <c r="D25" s="10">
        <v>247</v>
      </c>
      <c r="E25" s="19"/>
      <c r="F25" s="28">
        <f t="shared" si="1"/>
        <v>6.9264069264069263</v>
      </c>
      <c r="G25" s="29" t="s">
        <v>45</v>
      </c>
      <c r="I25" s="5"/>
      <c r="J25" s="31"/>
      <c r="K25" s="31"/>
      <c r="L25" s="31"/>
    </row>
    <row r="26" spans="1:12" s="30" customFormat="1" ht="15.75" customHeight="1" x14ac:dyDescent="0.25">
      <c r="A26" s="27" t="s">
        <v>46</v>
      </c>
      <c r="B26" s="10">
        <v>252</v>
      </c>
      <c r="C26" s="10">
        <v>299</v>
      </c>
      <c r="D26" s="10">
        <v>388</v>
      </c>
      <c r="E26" s="19"/>
      <c r="F26" s="28">
        <f t="shared" si="1"/>
        <v>29.76588628762542</v>
      </c>
      <c r="G26" s="29" t="s">
        <v>47</v>
      </c>
      <c r="I26" s="5"/>
      <c r="J26" s="31"/>
      <c r="K26" s="31"/>
      <c r="L26" s="31"/>
    </row>
    <row r="27" spans="1:12" s="30" customFormat="1" ht="15.75" customHeight="1" x14ac:dyDescent="0.25">
      <c r="A27" s="27" t="s">
        <v>48</v>
      </c>
      <c r="B27" s="10">
        <v>282</v>
      </c>
      <c r="C27" s="10">
        <v>275</v>
      </c>
      <c r="D27" s="10">
        <v>268</v>
      </c>
      <c r="E27" s="19"/>
      <c r="F27" s="28">
        <f t="shared" si="1"/>
        <v>-2.5454545454545454</v>
      </c>
      <c r="G27" s="29" t="s">
        <v>19</v>
      </c>
      <c r="I27" s="5"/>
      <c r="J27" s="31"/>
      <c r="K27" s="31"/>
      <c r="L27" s="31"/>
    </row>
    <row r="28" spans="1:12" s="33" customFormat="1" ht="15.75" customHeight="1" x14ac:dyDescent="0.25">
      <c r="A28" s="34" t="s">
        <v>18</v>
      </c>
      <c r="B28" s="11">
        <v>1126</v>
      </c>
      <c r="C28" s="11">
        <v>756</v>
      </c>
      <c r="D28" s="11">
        <v>843</v>
      </c>
      <c r="E28" s="39"/>
      <c r="F28" s="35">
        <f t="shared" si="1"/>
        <v>11.507936507936508</v>
      </c>
      <c r="G28" s="40" t="s">
        <v>49</v>
      </c>
      <c r="I28" s="5"/>
      <c r="J28" s="32"/>
      <c r="K28" s="32"/>
      <c r="L28" s="32"/>
    </row>
    <row r="29" spans="1:12" s="37" customFormat="1" ht="14.25" customHeight="1" x14ac:dyDescent="0.4">
      <c r="A29" s="8" t="s">
        <v>1</v>
      </c>
      <c r="B29" s="36"/>
      <c r="C29" s="36"/>
      <c r="D29" s="36"/>
      <c r="E29" s="36"/>
      <c r="F29" s="36"/>
      <c r="G29" s="41" t="s">
        <v>2</v>
      </c>
      <c r="J29" s="7"/>
      <c r="K29" s="7"/>
      <c r="L29" s="7"/>
    </row>
    <row r="30" spans="1:12" x14ac:dyDescent="0.25">
      <c r="J30" s="3"/>
      <c r="K30" s="3"/>
      <c r="L30" s="3"/>
    </row>
    <row r="31" spans="1:12" x14ac:dyDescent="0.25">
      <c r="A31" s="38"/>
      <c r="J31" s="3"/>
      <c r="K31" s="3"/>
      <c r="L31" s="3"/>
    </row>
    <row r="32" spans="1:12" x14ac:dyDescent="0.25">
      <c r="J32" s="3"/>
      <c r="K32" s="3"/>
      <c r="L32" s="3"/>
    </row>
    <row r="33" spans="1:12" x14ac:dyDescent="0.25">
      <c r="J33" s="3"/>
      <c r="K33" s="3"/>
      <c r="L33" s="3"/>
    </row>
    <row r="34" spans="1:12" x14ac:dyDescent="0.25">
      <c r="J34" s="3"/>
      <c r="K34" s="3"/>
      <c r="L34" s="3"/>
    </row>
    <row r="35" spans="1:12" x14ac:dyDescent="0.25">
      <c r="J35" s="3"/>
      <c r="K35" s="3"/>
      <c r="L35" s="3"/>
    </row>
    <row r="36" spans="1:12" ht="17.25" x14ac:dyDescent="0.25">
      <c r="A36" s="12"/>
      <c r="B36" s="6"/>
      <c r="C36" s="6"/>
      <c r="D36" s="6"/>
      <c r="E36" s="6"/>
      <c r="F36" s="6"/>
      <c r="G36" s="13"/>
      <c r="J36" s="3"/>
      <c r="K36" s="3"/>
      <c r="L36" s="3"/>
    </row>
    <row r="37" spans="1:12" x14ac:dyDescent="0.25">
      <c r="J37" s="3"/>
      <c r="K37" s="3"/>
      <c r="L37" s="3"/>
    </row>
    <row r="38" spans="1:12" x14ac:dyDescent="0.25">
      <c r="J38" s="3"/>
      <c r="K38" s="3"/>
      <c r="L38" s="3"/>
    </row>
    <row r="45" spans="1:12" ht="5.25" customHeight="1" x14ac:dyDescent="0.25"/>
    <row r="60" ht="9" customHeight="1" x14ac:dyDescent="0.25"/>
  </sheetData>
  <mergeCells count="7">
    <mergeCell ref="C3:C5"/>
    <mergeCell ref="D3:D5"/>
    <mergeCell ref="G3:G5"/>
    <mergeCell ref="A1:G1"/>
    <mergeCell ref="A2:G2"/>
    <mergeCell ref="A3:A5"/>
    <mergeCell ref="B3:B5"/>
  </mergeCells>
  <pageMargins left="0.7" right="0.7" top="0.75" bottom="0.75" header="0.3" footer="0.3"/>
  <pageSetup paperSize="9" scale="81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8.3</vt:lpstr>
      <vt:lpstr>'8.3'!Print_Area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2019-09-15T03:08:38Z</cp:lastPrinted>
  <dcterms:created xsi:type="dcterms:W3CDTF">2019-06-30T04:22:49Z</dcterms:created>
  <dcterms:modified xsi:type="dcterms:W3CDTF">2019-09-15T03:41:03Z</dcterms:modified>
</cp:coreProperties>
</file>