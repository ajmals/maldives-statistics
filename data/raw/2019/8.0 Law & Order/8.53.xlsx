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3" sheetId="5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'8.53'!$A$1:$K$13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3" l="1"/>
  <c r="H6" i="53"/>
  <c r="G6" i="53"/>
  <c r="F6" i="53"/>
  <c r="E6" i="53"/>
  <c r="D6" i="53"/>
  <c r="C6" i="53"/>
  <c r="B6" i="53"/>
</calcChain>
</file>

<file path=xl/sharedStrings.xml><?xml version="1.0" encoding="utf-8"?>
<sst xmlns="http://schemas.openxmlformats.org/spreadsheetml/2006/main" count="16" uniqueCount="16">
  <si>
    <t>Male</t>
  </si>
  <si>
    <t>Female</t>
  </si>
  <si>
    <t>ފިރިހެން</t>
  </si>
  <si>
    <t>އަންހެން</t>
  </si>
  <si>
    <t>Number of Children</t>
  </si>
  <si>
    <t>ކުދިންގެ އަދަދު</t>
  </si>
  <si>
    <t>Number of child care workers</t>
  </si>
  <si>
    <t>ޗައިލްޑް ކެއަރ ވަރކަރސް</t>
  </si>
  <si>
    <t>Expenditure (budget) Rf</t>
  </si>
  <si>
    <t>ޖުމްލަ ބަޖެޓް (މިލިއަން ރުފިޔާ)*</t>
  </si>
  <si>
    <t xml:space="preserve">Note:  * The value provided is the total amount spent at each year </t>
  </si>
  <si>
    <t xml:space="preserve">ނޯޓް: * ބަޖެޓްގެ ގޮތުގައި ހިމެނިފައި އެވަނީ ކޮންމެ އަހަރަކަށްވެސް ޚަރަދުވި އަދަދެވެ. 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</si>
  <si>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</si>
  <si>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</si>
  <si>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8.53: ވިލިމާލެ ކުޑަކުދިންގެ މަރުކަޒުގައި ތިބި ކުދިންގެ އަދަދު އަދި ހިނގި ޚަރަދު، 2015 - 2018</t>
  </si>
  <si>
    <t>Table 8.53: Number of children at Childrens Shelter, K.Villimale', 2015 - 2018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</si>
</sst>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color rgb="FF000000"/>
      <name val="Faruma"/>
      <family val="3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8" fillId="0" borderId="2" applyNumberFormat="0" applyFill="0" applyAlignment="0" applyProtection="0"/>
    <xf numFmtId="0" fontId="13" fillId="0" borderId="0"/>
  </cellStyleXfs>
  <cellXfs count="25">
    <xf numFmtId="0" fontId="0" fillId="0" borderId="0" xfId="0"/>
    <xf numFmtId="3" fontId="11" fillId="2" borderId="1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top"/>
    </xf>
    <xf numFmtId="0" fontId="12" fillId="2" borderId="1" xfId="0" applyNumberFormat="1" applyFont="1" applyFill="1" applyBorder="1" applyAlignment="1">
      <alignment vertical="center"/>
    </xf>
    <xf numFmtId="164" fontId="3" fillId="2" borderId="0" xfId="0" applyNumberFormat="1" applyFont="1" applyFill="1"/>
    <xf numFmtId="164" fontId="2" fillId="2" borderId="4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vertical="top" wrapText="1" readingOrder="2"/>
    </xf>
    <xf numFmtId="164" fontId="5" fillId="2" borderId="0" xfId="0" applyNumberFormat="1" applyFont="1" applyFill="1" applyBorder="1" applyAlignment="1">
      <alignment vertical="top"/>
    </xf>
    <xf numFmtId="164" fontId="5" fillId="2" borderId="3" xfId="0" applyNumberFormat="1" applyFont="1" applyFill="1" applyBorder="1" applyAlignment="1">
      <alignment vertical="top"/>
    </xf>
    <xf numFmtId="164" fontId="2" fillId="2" borderId="0" xfId="0" applyNumberFormat="1" applyFont="1" applyFill="1" applyBorder="1"/>
    <xf numFmtId="164" fontId="2" fillId="2" borderId="4" xfId="0" applyNumberFormat="1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/>
    <xf numFmtId="164" fontId="14" fillId="2" borderId="0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left" vertical="center" wrapText="1" indent="2"/>
    </xf>
    <xf numFmtId="164" fontId="11" fillId="2" borderId="0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horizontal="right" vertical="center" indent="6"/>
    </xf>
    <xf numFmtId="164" fontId="6" fillId="2" borderId="0" xfId="0" applyNumberFormat="1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horizontal="right"/>
    </xf>
    <xf numFmtId="164" fontId="14" fillId="2" borderId="0" xfId="0" applyNumberFormat="1" applyFont="1" applyFill="1" applyAlignment="1">
      <alignment horizontal="center"/>
    </xf>
    <xf numFmtId="164" fontId="16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>
      <alignment horizontal="right" vertical="top" wrapText="1" readingOrder="2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4"/>
  <sheetViews>
    <sheetView tabSelected="1" zoomScaleNormal="100" workbookViewId="0">
      <selection activeCell="H34" sqref="H34"/>
    </sheetView>
  </sheetViews>
  <sheetFormatPr defaultColWidth="9.140625" defaultRowHeight="12.75"/>
  <cols>
    <col min="1" max="1" width="25.85546875" style="4" customWidth="1"/>
    <col min="2" max="5" width="12.28515625" style="4" hidden="1" customWidth="1"/>
    <col min="6" max="6" width="12.28515625" style="4" customWidth="1"/>
    <col min="7" max="7" width="13.28515625" style="4" bestFit="1" customWidth="1"/>
    <col min="8" max="9" width="13.85546875" style="4" customWidth="1"/>
    <col min="10" max="10" width="31.42578125" style="4" customWidth="1"/>
    <col min="11" max="11" width="3.42578125" style="4" customWidth="1"/>
    <col min="12" max="16384" width="9.140625" style="4"/>
  </cols>
  <sheetData>
    <row r="2" spans="1:13" ht="18.75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</row>
    <row r="3" spans="1:13" ht="15">
      <c r="A3" s="22" t="s">
        <v>15</v>
      </c>
      <c r="B3" s="22"/>
      <c r="C3" s="22"/>
      <c r="D3" s="22"/>
      <c r="E3" s="22"/>
      <c r="F3" s="22"/>
      <c r="G3" s="22"/>
      <c r="H3" s="22"/>
      <c r="I3" s="22"/>
      <c r="J3" s="22"/>
    </row>
    <row r="5" spans="1:13" s="12" customFormat="1" ht="18.75">
      <c r="A5" s="10"/>
      <c r="B5" s="5">
        <v>2011</v>
      </c>
      <c r="C5" s="5">
        <v>2012</v>
      </c>
      <c r="D5" s="5">
        <v>2013</v>
      </c>
      <c r="E5" s="5">
        <v>2014</v>
      </c>
      <c r="F5" s="5">
        <v>2015</v>
      </c>
      <c r="G5" s="5">
        <v>2016</v>
      </c>
      <c r="H5" s="5">
        <v>2017</v>
      </c>
      <c r="I5" s="5">
        <v>2018</v>
      </c>
      <c r="J5" s="11"/>
    </row>
    <row r="6" spans="1:13" s="12" customFormat="1" ht="18.75">
      <c r="A6" s="9" t="s">
        <v>4</v>
      </c>
      <c r="B6" s="13">
        <f t="shared" ref="B6:I6" si="0">B7 +B8</f>
        <v>57</v>
      </c>
      <c r="C6" s="13">
        <f t="shared" si="0"/>
        <v>57</v>
      </c>
      <c r="D6" s="13">
        <f t="shared" si="0"/>
        <v>70</v>
      </c>
      <c r="E6" s="13">
        <f t="shared" si="0"/>
        <v>69</v>
      </c>
      <c r="F6" s="13">
        <f t="shared" si="0"/>
        <v>118</v>
      </c>
      <c r="G6" s="13">
        <f t="shared" si="0"/>
        <v>63</v>
      </c>
      <c r="H6" s="13">
        <f t="shared" si="0"/>
        <v>71</v>
      </c>
      <c r="I6" s="13">
        <f t="shared" si="0"/>
        <v>48</v>
      </c>
      <c r="J6" s="14" t="s">
        <v>5</v>
      </c>
    </row>
    <row r="7" spans="1:13" ht="18.75">
      <c r="A7" s="15" t="s">
        <v>0</v>
      </c>
      <c r="B7" s="16">
        <v>23</v>
      </c>
      <c r="C7" s="16">
        <v>25</v>
      </c>
      <c r="D7" s="16">
        <v>32</v>
      </c>
      <c r="E7" s="16">
        <v>30</v>
      </c>
      <c r="F7" s="16">
        <v>65</v>
      </c>
      <c r="G7" s="16">
        <v>36</v>
      </c>
      <c r="H7" s="16">
        <v>35</v>
      </c>
      <c r="I7" s="16">
        <v>30</v>
      </c>
      <c r="J7" s="17" t="s">
        <v>2</v>
      </c>
    </row>
    <row r="8" spans="1:13" ht="18.75">
      <c r="A8" s="15" t="s">
        <v>1</v>
      </c>
      <c r="B8" s="16">
        <v>34</v>
      </c>
      <c r="C8" s="16">
        <v>32</v>
      </c>
      <c r="D8" s="16">
        <v>38</v>
      </c>
      <c r="E8" s="16">
        <v>39</v>
      </c>
      <c r="F8" s="16">
        <v>53</v>
      </c>
      <c r="G8" s="16">
        <v>27</v>
      </c>
      <c r="H8" s="16">
        <v>36</v>
      </c>
      <c r="I8" s="16">
        <v>18</v>
      </c>
      <c r="J8" s="17" t="s">
        <v>3</v>
      </c>
    </row>
    <row r="9" spans="1:13" s="12" customFormat="1" ht="18.75">
      <c r="A9" s="18" t="s">
        <v>6</v>
      </c>
      <c r="B9" s="16">
        <v>31</v>
      </c>
      <c r="C9" s="16">
        <v>29</v>
      </c>
      <c r="D9" s="16">
        <v>49</v>
      </c>
      <c r="E9" s="13">
        <v>46</v>
      </c>
      <c r="F9" s="13">
        <v>57</v>
      </c>
      <c r="G9" s="13">
        <v>36</v>
      </c>
      <c r="H9" s="13">
        <v>28</v>
      </c>
      <c r="I9" s="13">
        <v>31</v>
      </c>
      <c r="J9" s="14" t="s">
        <v>7</v>
      </c>
    </row>
    <row r="10" spans="1:13" ht="21">
      <c r="A10" s="19" t="s">
        <v>8</v>
      </c>
      <c r="B10" s="1">
        <v>1097220</v>
      </c>
      <c r="C10" s="1">
        <v>1282411</v>
      </c>
      <c r="D10" s="1">
        <v>1474230</v>
      </c>
      <c r="E10" s="1">
        <v>9660923</v>
      </c>
      <c r="F10" s="1">
        <v>16690283</v>
      </c>
      <c r="G10" s="1">
        <v>19578763.689999998</v>
      </c>
      <c r="H10" s="1">
        <v>16713956</v>
      </c>
      <c r="I10" s="1">
        <v>14317482</v>
      </c>
      <c r="J10" s="3" t="s">
        <v>9</v>
      </c>
    </row>
    <row r="11" spans="1:13" ht="17.25">
      <c r="A11" s="20" t="s">
        <v>10</v>
      </c>
      <c r="B11" s="7"/>
      <c r="C11" s="7"/>
      <c r="D11" s="7"/>
      <c r="E11" s="8"/>
      <c r="F11" s="7"/>
      <c r="G11" s="7"/>
      <c r="H11" s="7"/>
      <c r="I11" s="7"/>
      <c r="J11" s="21" t="s">
        <v>11</v>
      </c>
    </row>
    <row r="12" spans="1:13" ht="18.75">
      <c r="A12" s="7" t="s">
        <v>13</v>
      </c>
      <c r="B12" s="2"/>
      <c r="C12" s="2"/>
      <c r="D12" s="24" t="s">
        <v>12</v>
      </c>
      <c r="E12" s="24"/>
      <c r="F12" s="24"/>
      <c r="G12" s="24"/>
      <c r="H12" s="24"/>
      <c r="I12" s="24"/>
      <c r="J12" s="24"/>
      <c r="K12" s="6"/>
      <c r="L12" s="6"/>
      <c r="M12" s="6"/>
    </row>
    <row r="17" spans="11:13" s="12" customFormat="1"/>
    <row r="18" spans="11:13" s="12" customFormat="1"/>
    <row r="21" spans="11:13" s="12" customFormat="1"/>
    <row r="24" spans="11:13" ht="18.75">
      <c r="K24" s="6"/>
      <c r="L24" s="6"/>
      <c r="M24" s="6"/>
    </row>
  </sheetData>
  <mergeCells count="3">
    <mergeCell ref="A2:J2"/>
    <mergeCell ref="A3:J3"/>
    <mergeCell ref="D12:J12"/>
  </mergeCells>
  <pageMargins left="0.7" right="0.7" top="0.75" bottom="0.75" header="0.3" footer="0.3"/>
  <pageSetup paperSize="9" scale="7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8.53</vt:lpstr>
      <vt:lpstr>'8.53'!Print_Area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2019-12-16T03:17:50Z</dcterms:modified>
</cp:coreProperties>
</file>