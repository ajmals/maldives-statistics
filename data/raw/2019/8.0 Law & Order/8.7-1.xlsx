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7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'8.7'!$A$1:$N$31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7" l="1"/>
  <c r="K8" i="7"/>
  <c r="K9" i="7"/>
  <c r="K10" i="7"/>
  <c r="K11" i="7"/>
  <c r="K12" i="7"/>
  <c r="K13" i="7"/>
  <c r="K6" i="7"/>
  <c r="L13" i="7"/>
  <c r="L12" i="7"/>
  <c r="L11" i="7"/>
  <c r="L10" i="7"/>
  <c r="L9" i="7"/>
  <c r="L8" i="7"/>
  <c r="L7" i="7"/>
  <c r="L6" i="7"/>
  <c r="I6" i="7"/>
  <c r="H6" i="7" l="1"/>
  <c r="G6" i="7"/>
  <c r="F6" i="7"/>
  <c r="E6" i="7"/>
  <c r="D6" i="7"/>
  <c r="C6" i="7"/>
  <c r="B6" i="7"/>
</calcChain>
</file>

<file path=xl/sharedStrings.xml><?xml version="1.0" encoding="utf-8"?>
<sst xmlns="http://schemas.openxmlformats.org/spreadsheetml/2006/main" count="27" uniqueCount="27">
  <si>
    <t>Total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</si>
  <si>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</si>
  <si>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</si>
  <si>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</si>
  <si>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</si>
  <si>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ޖުމްލަ</t>
  </si>
  <si>
    <t xml:space="preserve">Type </t>
  </si>
  <si>
    <t>އިންސައްތަ</t>
  </si>
  <si>
    <t xml:space="preserve"> މައްސަލައިގެ ބާވަތް</t>
  </si>
  <si>
    <t>Percentage share</t>
  </si>
  <si>
    <t>%change over 2017</t>
  </si>
  <si>
    <t>Theft from  places (not by forced entry)</t>
  </si>
  <si>
    <t>ތަންތަނުން ކޮށްފައިވާ ވައްކަން (ފަޅާލައިގެންނޫން ގޮތްގޮތަށް)</t>
  </si>
  <si>
    <t>Vehicles</t>
  </si>
  <si>
    <t>ދުއްވާތަކެތީގެ ވައްކަން</t>
  </si>
  <si>
    <t>Mobile phones</t>
  </si>
  <si>
    <t>މޯބަލް ފޯން</t>
  </si>
  <si>
    <t>Money</t>
  </si>
  <si>
    <t>ފައިސާ</t>
  </si>
  <si>
    <t>Electronic items (except mobile phones)</t>
  </si>
  <si>
    <t>އިލެކްޓްރޯނިކް ސާމާނު</t>
  </si>
  <si>
    <t>Theft from  places (by forced  entry)</t>
  </si>
  <si>
    <t>ފަޅާލައިގެންވަދެ ތަންތަނުން ކޮށްފައިވާ ވައްކަން</t>
  </si>
  <si>
    <t>Other theft</t>
  </si>
  <si>
    <t>އެހެނިހެން ވައްކަން</t>
  </si>
  <si>
    <t>Table 8.7:  THEFT CASES LOGGED BY TYPE, 2016 - 2018</t>
  </si>
  <si>
    <t>ތާވަލު 8.7: ހުށަހެޅިފައިވާ ވައްކަމުގެ މައްސަލަތަކުގެ ބާވަތް، 2016- 2018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</si>
</sst>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b/>
      <sz val="9"/>
      <name val="Faruma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167" fontId="20" fillId="0" borderId="0"/>
  </cellStyleXfs>
  <cellXfs count="53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7" fillId="2" borderId="3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/>
    <xf numFmtId="164" fontId="5" fillId="2" borderId="0" xfId="0" applyNumberFormat="1" applyFont="1" applyFill="1" applyBorder="1" applyAlignment="1">
      <alignment vertical="center"/>
    </xf>
    <xf numFmtId="166" fontId="12" fillId="2" borderId="0" xfId="1" applyNumberFormat="1" applyFont="1" applyFill="1" applyBorder="1" applyAlignment="1">
      <alignment horizontal="center"/>
    </xf>
    <xf numFmtId="167" fontId="15" fillId="2" borderId="0" xfId="1" applyNumberFormat="1" applyFont="1" applyFill="1" applyBorder="1" applyAlignment="1">
      <alignment horizontal="right"/>
    </xf>
    <xf numFmtId="164" fontId="0" fillId="2" borderId="0" xfId="0" applyNumberFormat="1" applyFill="1" applyBorder="1"/>
    <xf numFmtId="164" fontId="8" fillId="2" borderId="0" xfId="0" applyNumberFormat="1" applyFont="1" applyFill="1" applyBorder="1"/>
    <xf numFmtId="164" fontId="9" fillId="2" borderId="0" xfId="0" applyNumberFormat="1" applyFont="1" applyFill="1" applyBorder="1" applyAlignment="1" applyProtection="1">
      <alignment horizontal="right" vertical="center" indent="1"/>
    </xf>
    <xf numFmtId="164" fontId="9" fillId="2" borderId="4" xfId="0" applyNumberFormat="1" applyFont="1" applyFill="1" applyBorder="1" applyAlignment="1" applyProtection="1">
      <alignment horizontal="right" vertical="center" indent="1"/>
    </xf>
    <xf numFmtId="164" fontId="14" fillId="2" borderId="0" xfId="0" applyNumberFormat="1" applyFont="1" applyFill="1"/>
    <xf numFmtId="164" fontId="16" fillId="2" borderId="6" xfId="0" applyNumberFormat="1" applyFont="1" applyFill="1" applyBorder="1" applyAlignment="1" applyProtection="1">
      <alignment vertical="center"/>
    </xf>
    <xf numFmtId="164" fontId="12" fillId="2" borderId="0" xfId="0" applyNumberFormat="1" applyFont="1" applyFill="1" applyBorder="1"/>
    <xf numFmtId="164" fontId="22" fillId="2" borderId="0" xfId="0" applyNumberFormat="1" applyFont="1" applyFill="1" applyBorder="1" applyAlignment="1" applyProtection="1">
      <alignment horizontal="right" vertical="center"/>
    </xf>
    <xf numFmtId="164" fontId="7" fillId="2" borderId="0" xfId="0" applyNumberFormat="1" applyFont="1" applyFill="1" applyBorder="1" applyAlignment="1">
      <alignment horizontal="right" vertical="center" wrapText="1"/>
    </xf>
    <xf numFmtId="164" fontId="21" fillId="2" borderId="0" xfId="0" applyNumberFormat="1" applyFont="1" applyFill="1" applyAlignment="1">
      <alignment vertical="center"/>
    </xf>
    <xf numFmtId="164" fontId="24" fillId="2" borderId="0" xfId="0" applyNumberFormat="1" applyFont="1" applyFill="1" applyAlignment="1">
      <alignment vertical="center"/>
    </xf>
    <xf numFmtId="164" fontId="11" fillId="2" borderId="0" xfId="0" applyNumberFormat="1" applyFont="1" applyFill="1" applyBorder="1" applyAlignment="1">
      <alignment horizontal="left" vertical="center" indent="1"/>
    </xf>
    <xf numFmtId="164" fontId="8" fillId="2" borderId="0" xfId="0" applyNumberFormat="1" applyFont="1" applyFill="1" applyAlignment="1">
      <alignment vertical="center"/>
    </xf>
    <xf numFmtId="164" fontId="8" fillId="2" borderId="0" xfId="0" applyNumberFormat="1" applyFont="1" applyFill="1" applyBorder="1" applyAlignment="1">
      <alignment vertical="center"/>
    </xf>
    <xf numFmtId="164" fontId="11" fillId="2" borderId="4" xfId="0" applyNumberFormat="1" applyFont="1" applyFill="1" applyBorder="1" applyAlignment="1">
      <alignment horizontal="left" vertical="center" indent="1"/>
    </xf>
    <xf numFmtId="164" fontId="25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7" fillId="2" borderId="3" xfId="0" applyNumberFormat="1" applyFont="1" applyFill="1" applyBorder="1" applyAlignment="1">
      <alignment horizontal="right" vertical="center" wrapText="1"/>
    </xf>
    <xf numFmtId="164" fontId="7" fillId="2" borderId="0" xfId="0" applyNumberFormat="1" applyFont="1" applyFill="1" applyBorder="1" applyAlignment="1">
      <alignment horizontal="center" vertical="center" wrapText="1"/>
    </xf>
    <xf numFmtId="164" fontId="7" fillId="2" borderId="0" xfId="0" applyNumberFormat="1" applyFont="1" applyFill="1" applyBorder="1" applyAlignment="1">
      <alignment horizontal="center" vertical="top" wrapText="1"/>
    </xf>
    <xf numFmtId="164" fontId="6" fillId="2" borderId="0" xfId="0" applyNumberFormat="1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right" vertical="center"/>
    </xf>
    <xf numFmtId="3" fontId="13" fillId="2" borderId="0" xfId="0" applyNumberFormat="1" applyFont="1" applyFill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/>
    </xf>
    <xf numFmtId="164" fontId="17" fillId="2" borderId="6" xfId="0" applyNumberFormat="1" applyFont="1" applyFill="1" applyBorder="1" applyAlignment="1">
      <alignment horizontal="right" vertical="center"/>
    </xf>
    <xf numFmtId="164" fontId="26" fillId="2" borderId="5" xfId="0" applyNumberFormat="1" applyFont="1" applyFill="1" applyBorder="1" applyAlignment="1" applyProtection="1">
      <alignment horizontal="right" vertical="center"/>
    </xf>
    <xf numFmtId="3" fontId="10" fillId="2" borderId="0" xfId="0" applyNumberFormat="1" applyFont="1" applyFill="1" applyAlignment="1">
      <alignment horizontal="right" vertical="center" indent="5"/>
    </xf>
    <xf numFmtId="3" fontId="10" fillId="2" borderId="0" xfId="0" applyNumberFormat="1" applyFont="1" applyFill="1" applyBorder="1" applyAlignment="1">
      <alignment horizontal="right" vertical="center"/>
    </xf>
    <xf numFmtId="3" fontId="13" fillId="2" borderId="0" xfId="0" applyNumberFormat="1" applyFont="1" applyFill="1" applyBorder="1" applyAlignment="1">
      <alignment horizontal="right" vertical="center"/>
    </xf>
    <xf numFmtId="164" fontId="24" fillId="2" borderId="0" xfId="0" applyNumberFormat="1" applyFont="1" applyFill="1" applyBorder="1" applyAlignment="1">
      <alignment vertical="center"/>
    </xf>
    <xf numFmtId="3" fontId="13" fillId="2" borderId="0" xfId="0" applyNumberFormat="1" applyFont="1" applyFill="1" applyBorder="1" applyAlignment="1">
      <alignment horizontal="right" vertical="center" indent="5"/>
    </xf>
    <xf numFmtId="3" fontId="13" fillId="2" borderId="4" xfId="0" applyNumberFormat="1" applyFont="1" applyFill="1" applyBorder="1" applyAlignment="1">
      <alignment horizontal="right" vertical="center" indent="5"/>
    </xf>
    <xf numFmtId="164" fontId="9" fillId="2" borderId="4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center" vertical="top"/>
    </xf>
    <xf numFmtId="164" fontId="18" fillId="2" borderId="1" xfId="0" applyNumberFormat="1" applyFont="1" applyFill="1" applyBorder="1" applyAlignment="1">
      <alignment horizontal="center" vertical="center"/>
    </xf>
    <xf numFmtId="164" fontId="23" fillId="2" borderId="3" xfId="0" applyNumberFormat="1" applyFont="1" applyFill="1" applyBorder="1" applyAlignment="1" applyProtection="1">
      <alignment horizontal="right" vertical="center" wrapText="1"/>
    </xf>
    <xf numFmtId="164" fontId="23" fillId="2" borderId="0" xfId="0" applyNumberFormat="1" applyFont="1" applyFill="1" applyBorder="1" applyAlignment="1" applyProtection="1">
      <alignment horizontal="right" vertical="center" wrapText="1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left" vertical="center" wrapText="1"/>
    </xf>
    <xf numFmtId="164" fontId="6" fillId="2" borderId="0" xfId="0" applyNumberFormat="1" applyFont="1" applyFill="1" applyBorder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left" vertical="center" wrapText="1"/>
    </xf>
  </cellXfs>
  <cellStyles count="6">
    <cellStyle name="Comma" xfId="1" builtinId="3"/>
    <cellStyle name="Comma 2" xfId="3"/>
    <cellStyle name="Hyperlink" xfId="2" builtinId="8"/>
    <cellStyle name="Normal" xfId="0" builtinId="0"/>
    <cellStyle name="Normal 3" xfId="5"/>
    <cellStyle name="Percent 2" xfId="4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67233036591352E-2"/>
          <c:y val="0.19821513896229198"/>
          <c:w val="0.89857041711309515"/>
          <c:h val="0.614426237214855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'8.7'!$H$3:$H$5</c:f>
              <c:strCache>
                <c:ptCount val="3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'8.7'!$H$7:$H$13</c:f>
              <c:numCache>
                <c:formatCode>#,##0</c:formatCode>
                <c:ptCount val="7"/>
                <c:pt idx="0">
                  <c:v>1217</c:v>
                </c:pt>
                <c:pt idx="1">
                  <c:v>666</c:v>
                </c:pt>
                <c:pt idx="2">
                  <c:v>606</c:v>
                </c:pt>
                <c:pt idx="3">
                  <c:v>237</c:v>
                </c:pt>
                <c:pt idx="4">
                  <c:v>135</c:v>
                </c:pt>
                <c:pt idx="5">
                  <c:v>174</c:v>
                </c:pt>
                <c:pt idx="6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2-432D-B48E-6D73FF7657F3}"/>
            </c:ext>
          </c:extLst>
        </c:ser>
        <c:ser>
          <c:idx val="1"/>
          <c:order val="1"/>
          <c:tx>
            <c:strRef>
              <c:f>'8.7'!$I$3:$I$5</c:f>
              <c:strCache>
                <c:ptCount val="3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'8.7'!$I$7:$I$13</c:f>
              <c:numCache>
                <c:formatCode>#,##0</c:formatCode>
                <c:ptCount val="7"/>
                <c:pt idx="0">
                  <c:v>1290</c:v>
                </c:pt>
                <c:pt idx="1">
                  <c:v>494</c:v>
                </c:pt>
                <c:pt idx="2">
                  <c:v>523</c:v>
                </c:pt>
                <c:pt idx="3">
                  <c:v>223</c:v>
                </c:pt>
                <c:pt idx="4">
                  <c:v>92</c:v>
                </c:pt>
                <c:pt idx="5">
                  <c:v>227</c:v>
                </c:pt>
                <c:pt idx="6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2-432D-B48E-6D73FF765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513152"/>
        <c:axId val="558514944"/>
      </c:barChart>
      <c:catAx>
        <c:axId val="558513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58514944"/>
        <c:crosses val="autoZero"/>
        <c:auto val="1"/>
        <c:lblAlgn val="ctr"/>
        <c:lblOffset val="100"/>
        <c:noMultiLvlLbl val="0"/>
      </c:catAx>
      <c:valAx>
        <c:axId val="55851494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in  Numbers</a:t>
                </a:r>
              </a:p>
            </c:rich>
          </c:tx>
          <c:layout>
            <c:manualLayout>
              <c:xMode val="edge"/>
              <c:yMode val="edge"/>
              <c:x val="4.4909331656092562E-3"/>
              <c:y val="0.10897722886349255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58513152"/>
        <c:crosses val="autoZero"/>
        <c:crossBetween val="between"/>
      </c:valAx>
      <c:spPr>
        <a:solidFill>
          <a:srgbClr val="FFFAEB"/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4326560999929027"/>
          <c:y val="0.26865504451501748"/>
          <c:w val="0.1621850783244255"/>
          <c:h val="7.0620347951596593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14</xdr:row>
      <xdr:rowOff>76108</xdr:rowOff>
    </xdr:from>
    <xdr:to>
      <xdr:col>12</xdr:col>
      <xdr:colOff>1704974</xdr:colOff>
      <xdr:row>30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0.22388</cdr:x>
      <cdr:y>0.03333</cdr:y>
    </cdr:from>
    <cdr:to>
      <cdr:x>0.81212</cdr:x>
      <cdr:y>0.11952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65816" y="90738"/>
          <a:ext cx="3588710" cy="2346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8.10: Number of Theft cases  by type, 2017 - 2018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%20-%20DJA%20J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"/>
      <sheetName val="8.22"/>
      <sheetName val="8.23"/>
      <sheetName val="8.24"/>
      <sheetName val="8.25"/>
      <sheetName val="8.30"/>
      <sheetName val="8.31"/>
      <sheetName val="8.56"/>
      <sheetName val="8.57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4">
          <cell r="N14">
            <v>2016</v>
          </cell>
          <cell r="O14"/>
          <cell r="P14">
            <v>2017</v>
          </cell>
          <cell r="Q14"/>
          <cell r="R14">
            <v>2018</v>
          </cell>
          <cell r="S14"/>
        </row>
        <row r="15">
          <cell r="N15" t="str">
            <v>Male</v>
          </cell>
          <cell r="O15" t="str">
            <v>Female</v>
          </cell>
          <cell r="P15" t="str">
            <v>Male</v>
          </cell>
          <cell r="Q15" t="str">
            <v>Female</v>
          </cell>
          <cell r="R15" t="str">
            <v>Male</v>
          </cell>
          <cell r="S15" t="str">
            <v>Female</v>
          </cell>
        </row>
        <row r="16">
          <cell r="M16" t="str">
            <v xml:space="preserve">Above 18 </v>
          </cell>
          <cell r="N16">
            <v>1356</v>
          </cell>
          <cell r="O16">
            <v>52</v>
          </cell>
          <cell r="P16">
            <v>1475</v>
          </cell>
          <cell r="Q16">
            <v>61</v>
          </cell>
          <cell r="R16">
            <v>53</v>
          </cell>
          <cell r="S16">
            <v>987</v>
          </cell>
        </row>
        <row r="17">
          <cell r="M17" t="str">
            <v xml:space="preserve">Below 18 </v>
          </cell>
          <cell r="N17">
            <v>108</v>
          </cell>
          <cell r="O17">
            <v>7</v>
          </cell>
          <cell r="P17">
            <v>23</v>
          </cell>
          <cell r="Q17">
            <v>3</v>
          </cell>
          <cell r="R17">
            <v>1</v>
          </cell>
          <cell r="S17">
            <v>10</v>
          </cell>
        </row>
      </sheetData>
      <sheetData sheetId="8">
        <row r="5">
          <cell r="B5">
            <v>2016</v>
          </cell>
          <cell r="C5">
            <v>2017</v>
          </cell>
          <cell r="D5">
            <v>2018</v>
          </cell>
        </row>
        <row r="7">
          <cell r="A7" t="str">
            <v>Below 18</v>
          </cell>
          <cell r="B7">
            <v>51</v>
          </cell>
          <cell r="C7">
            <v>34</v>
          </cell>
          <cell r="D7">
            <v>14</v>
          </cell>
        </row>
        <row r="8">
          <cell r="A8" t="str">
            <v>18-25</v>
          </cell>
          <cell r="B8">
            <v>682</v>
          </cell>
          <cell r="C8">
            <v>708</v>
          </cell>
          <cell r="D8">
            <v>441</v>
          </cell>
        </row>
        <row r="9">
          <cell r="A9" t="str">
            <v>26-35</v>
          </cell>
          <cell r="B9">
            <v>550</v>
          </cell>
          <cell r="C9">
            <v>554</v>
          </cell>
          <cell r="D9">
            <v>373</v>
          </cell>
        </row>
        <row r="10">
          <cell r="A10" t="str">
            <v>36-45</v>
          </cell>
          <cell r="B10">
            <v>193</v>
          </cell>
          <cell r="C10">
            <v>204</v>
          </cell>
          <cell r="D10">
            <v>175</v>
          </cell>
        </row>
        <row r="11">
          <cell r="A11" t="str">
            <v>46-55</v>
          </cell>
          <cell r="B11">
            <v>42</v>
          </cell>
          <cell r="C11">
            <v>58</v>
          </cell>
          <cell r="D11">
            <v>43</v>
          </cell>
        </row>
        <row r="12">
          <cell r="A12" t="str">
            <v>Above 55</v>
          </cell>
          <cell r="B12">
            <v>5</v>
          </cell>
          <cell r="C12">
            <v>4</v>
          </cell>
          <cell r="D12">
            <v>5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3"/>
  <sheetViews>
    <sheetView tabSelected="1" zoomScaleNormal="100" workbookViewId="0">
      <selection activeCell="A2" sqref="A2:M2"/>
    </sheetView>
  </sheetViews>
  <sheetFormatPr defaultColWidth="9.140625" defaultRowHeight="15" x14ac:dyDescent="0.25"/>
  <cols>
    <col min="1" max="1" width="33" style="1" customWidth="1"/>
    <col min="2" max="6" width="9.7109375" style="1" hidden="1" customWidth="1"/>
    <col min="7" max="9" width="9.7109375" style="1" customWidth="1"/>
    <col min="10" max="10" width="2.7109375" style="1" customWidth="1"/>
    <col min="11" max="11" width="15.5703125" style="1" customWidth="1"/>
    <col min="12" max="12" width="14.28515625" style="1" customWidth="1"/>
    <col min="13" max="13" width="38.28515625" style="1" customWidth="1"/>
    <col min="14" max="14" width="5.42578125" style="1" customWidth="1"/>
    <col min="15" max="15" width="22.140625" style="1" bestFit="1" customWidth="1"/>
    <col min="16" max="16384" width="9.140625" style="1"/>
  </cols>
  <sheetData>
    <row r="1" spans="1:21" ht="21" x14ac:dyDescent="0.25">
      <c r="A1" s="44" t="s">
        <v>26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21" ht="15.75" customHeight="1" x14ac:dyDescent="0.25">
      <c r="A2" s="43" t="s">
        <v>25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O2" s="2"/>
    </row>
    <row r="3" spans="1:21" ht="17.25" x14ac:dyDescent="0.25">
      <c r="A3" s="50" t="s">
        <v>6</v>
      </c>
      <c r="B3" s="47">
        <v>2011</v>
      </c>
      <c r="C3" s="47">
        <v>2012</v>
      </c>
      <c r="D3" s="47">
        <v>2013</v>
      </c>
      <c r="E3" s="47">
        <v>2014</v>
      </c>
      <c r="F3" s="47">
        <v>2015</v>
      </c>
      <c r="G3" s="47">
        <v>2016</v>
      </c>
      <c r="H3" s="47">
        <v>2017</v>
      </c>
      <c r="I3" s="47">
        <v>2018</v>
      </c>
      <c r="J3" s="25"/>
      <c r="K3" s="3" t="s">
        <v>3</v>
      </c>
      <c r="L3" s="26" t="s">
        <v>7</v>
      </c>
      <c r="M3" s="45" t="s">
        <v>8</v>
      </c>
      <c r="P3" s="4"/>
      <c r="Q3" s="4"/>
      <c r="R3" s="4"/>
      <c r="S3" s="4"/>
      <c r="T3" s="4"/>
      <c r="U3" s="4"/>
    </row>
    <row r="4" spans="1:21" ht="34.5" x14ac:dyDescent="0.25">
      <c r="A4" s="51"/>
      <c r="B4" s="48"/>
      <c r="C4" s="48"/>
      <c r="D4" s="48"/>
      <c r="E4" s="48"/>
      <c r="F4" s="48"/>
      <c r="G4" s="48"/>
      <c r="H4" s="48"/>
      <c r="I4" s="48"/>
      <c r="J4" s="16"/>
      <c r="K4" s="27" t="s">
        <v>4</v>
      </c>
      <c r="L4" s="28" t="s">
        <v>9</v>
      </c>
      <c r="M4" s="46"/>
      <c r="P4" s="4"/>
      <c r="Q4" s="4"/>
      <c r="R4" s="4"/>
      <c r="S4" s="4"/>
      <c r="T4" s="4"/>
      <c r="U4" s="4"/>
    </row>
    <row r="5" spans="1:21" ht="17.25" x14ac:dyDescent="0.25">
      <c r="A5" s="52"/>
      <c r="B5" s="49"/>
      <c r="C5" s="49"/>
      <c r="D5" s="49"/>
      <c r="E5" s="49"/>
      <c r="F5" s="49"/>
      <c r="G5" s="49"/>
      <c r="H5" s="49"/>
      <c r="I5" s="49"/>
      <c r="J5" s="29"/>
      <c r="K5" s="30" t="s">
        <v>10</v>
      </c>
      <c r="L5" s="30">
        <v>2018</v>
      </c>
      <c r="M5" s="42"/>
      <c r="P5" s="4"/>
      <c r="Q5" s="4"/>
      <c r="R5" s="4"/>
      <c r="S5" s="4"/>
      <c r="T5" s="4"/>
      <c r="U5" s="4"/>
    </row>
    <row r="6" spans="1:21" s="17" customFormat="1" ht="17.25" x14ac:dyDescent="0.25">
      <c r="A6" s="5" t="s">
        <v>0</v>
      </c>
      <c r="B6" s="31">
        <f t="shared" ref="B6:E6" si="0">SUM(B7:B13)</f>
        <v>4734</v>
      </c>
      <c r="C6" s="31">
        <f t="shared" si="0"/>
        <v>6571</v>
      </c>
      <c r="D6" s="31">
        <f t="shared" si="0"/>
        <v>6683</v>
      </c>
      <c r="E6" s="31">
        <f t="shared" si="0"/>
        <v>5080</v>
      </c>
      <c r="F6" s="31">
        <f>SUM(F7:F13)</f>
        <v>4008</v>
      </c>
      <c r="G6" s="31">
        <f>SUM(G7:G13)</f>
        <v>3616</v>
      </c>
      <c r="H6" s="31">
        <f t="shared" ref="H6" si="1">SUM(H7:H13)</f>
        <v>3503</v>
      </c>
      <c r="I6" s="31">
        <f>SUM(I7:I13)</f>
        <v>3270</v>
      </c>
      <c r="J6" s="31"/>
      <c r="K6" s="36">
        <f>((I6-H6)/I6*100)</f>
        <v>-7.1253822629969417</v>
      </c>
      <c r="L6" s="36">
        <f>I6/$I$6*100</f>
        <v>100</v>
      </c>
      <c r="M6" s="35" t="s">
        <v>5</v>
      </c>
      <c r="O6" s="31"/>
      <c r="P6" s="18"/>
      <c r="Q6" s="18"/>
      <c r="R6" s="18"/>
      <c r="S6" s="18"/>
      <c r="T6" s="18"/>
      <c r="U6" s="18"/>
    </row>
    <row r="7" spans="1:21" s="24" customFormat="1" ht="18.75" x14ac:dyDescent="0.25">
      <c r="A7" s="19" t="s">
        <v>11</v>
      </c>
      <c r="B7" s="32">
        <v>2194</v>
      </c>
      <c r="C7" s="32">
        <v>3099</v>
      </c>
      <c r="D7" s="32">
        <v>3285</v>
      </c>
      <c r="E7" s="32">
        <v>2275</v>
      </c>
      <c r="F7" s="32">
        <v>1393</v>
      </c>
      <c r="G7" s="32">
        <v>1054</v>
      </c>
      <c r="H7" s="32">
        <v>1217</v>
      </c>
      <c r="I7" s="32">
        <v>1290</v>
      </c>
      <c r="J7" s="32"/>
      <c r="K7" s="40">
        <f t="shared" ref="K7:K13" si="2">((I7-H7)/I7*100)</f>
        <v>5.6589147286821708</v>
      </c>
      <c r="L7" s="40">
        <f>I7/I6*100</f>
        <v>39.449541284403672</v>
      </c>
      <c r="M7" s="10" t="s">
        <v>12</v>
      </c>
      <c r="O7" s="31"/>
      <c r="P7" s="18"/>
      <c r="Q7" s="18"/>
      <c r="R7" s="20"/>
      <c r="S7" s="20"/>
      <c r="T7" s="20"/>
      <c r="U7" s="20"/>
    </row>
    <row r="8" spans="1:21" s="24" customFormat="1" ht="18.75" x14ac:dyDescent="0.25">
      <c r="A8" s="19" t="s">
        <v>13</v>
      </c>
      <c r="B8" s="32">
        <v>913</v>
      </c>
      <c r="C8" s="32">
        <v>1379</v>
      </c>
      <c r="D8" s="32">
        <v>1017</v>
      </c>
      <c r="E8" s="32">
        <v>602</v>
      </c>
      <c r="F8" s="32">
        <v>657</v>
      </c>
      <c r="G8" s="32">
        <v>650</v>
      </c>
      <c r="H8" s="32">
        <v>666</v>
      </c>
      <c r="I8" s="32">
        <v>494</v>
      </c>
      <c r="J8" s="32"/>
      <c r="K8" s="40">
        <f t="shared" si="2"/>
        <v>-34.817813765182187</v>
      </c>
      <c r="L8" s="40">
        <f>I8/I6*100</f>
        <v>15.107033639143729</v>
      </c>
      <c r="M8" s="10" t="s">
        <v>14</v>
      </c>
      <c r="O8" s="31"/>
      <c r="P8" s="32"/>
      <c r="Q8" s="18"/>
      <c r="R8" s="20"/>
      <c r="S8" s="20"/>
      <c r="T8" s="20"/>
      <c r="U8" s="20"/>
    </row>
    <row r="9" spans="1:21" s="24" customFormat="1" ht="18.75" x14ac:dyDescent="0.25">
      <c r="A9" s="19" t="s">
        <v>15</v>
      </c>
      <c r="B9" s="32">
        <v>643</v>
      </c>
      <c r="C9" s="32">
        <v>865</v>
      </c>
      <c r="D9" s="32">
        <v>1022</v>
      </c>
      <c r="E9" s="32">
        <v>817</v>
      </c>
      <c r="F9" s="32">
        <v>811</v>
      </c>
      <c r="G9" s="32">
        <v>778</v>
      </c>
      <c r="H9" s="32">
        <v>606</v>
      </c>
      <c r="I9" s="32">
        <v>523</v>
      </c>
      <c r="J9" s="32"/>
      <c r="K9" s="40">
        <f t="shared" si="2"/>
        <v>-15.86998087954111</v>
      </c>
      <c r="L9" s="40">
        <f>I9/I6*100</f>
        <v>15.99388379204893</v>
      </c>
      <c r="M9" s="10" t="s">
        <v>16</v>
      </c>
      <c r="O9" s="31"/>
      <c r="P9" s="32"/>
      <c r="Q9" s="18"/>
      <c r="R9" s="20"/>
      <c r="S9" s="20"/>
      <c r="T9" s="20"/>
      <c r="U9" s="20"/>
    </row>
    <row r="10" spans="1:21" s="24" customFormat="1" ht="18.75" x14ac:dyDescent="0.25">
      <c r="A10" s="19" t="s">
        <v>17</v>
      </c>
      <c r="B10" s="32">
        <v>200</v>
      </c>
      <c r="C10" s="32">
        <v>278</v>
      </c>
      <c r="D10" s="32">
        <v>324</v>
      </c>
      <c r="E10" s="32">
        <v>258</v>
      </c>
      <c r="F10" s="32">
        <v>286</v>
      </c>
      <c r="G10" s="32">
        <v>278</v>
      </c>
      <c r="H10" s="32">
        <v>237</v>
      </c>
      <c r="I10" s="32">
        <v>223</v>
      </c>
      <c r="J10" s="32"/>
      <c r="K10" s="40">
        <f t="shared" si="2"/>
        <v>-6.2780269058295968</v>
      </c>
      <c r="L10" s="40">
        <f>I10/I6*100</f>
        <v>6.8195718654434243</v>
      </c>
      <c r="M10" s="10" t="s">
        <v>18</v>
      </c>
      <c r="P10" s="32"/>
      <c r="Q10" s="18"/>
      <c r="R10" s="20"/>
      <c r="S10" s="20"/>
      <c r="T10" s="20"/>
      <c r="U10" s="20"/>
    </row>
    <row r="11" spans="1:21" s="24" customFormat="1" ht="18.75" x14ac:dyDescent="0.25">
      <c r="A11" s="19" t="s">
        <v>19</v>
      </c>
      <c r="B11" s="32">
        <v>174</v>
      </c>
      <c r="C11" s="32">
        <v>235</v>
      </c>
      <c r="D11" s="32">
        <v>218</v>
      </c>
      <c r="E11" s="32">
        <v>238</v>
      </c>
      <c r="F11" s="32">
        <v>167</v>
      </c>
      <c r="G11" s="32">
        <v>181</v>
      </c>
      <c r="H11" s="32">
        <v>135</v>
      </c>
      <c r="I11" s="32">
        <v>92</v>
      </c>
      <c r="J11" s="32"/>
      <c r="K11" s="40">
        <f t="shared" si="2"/>
        <v>-46.739130434782609</v>
      </c>
      <c r="L11" s="40">
        <f>I11/I6*100</f>
        <v>2.8134556574923546</v>
      </c>
      <c r="M11" s="10" t="s">
        <v>20</v>
      </c>
      <c r="O11" s="37"/>
      <c r="P11" s="38"/>
      <c r="Q11" s="39"/>
      <c r="R11" s="38"/>
      <c r="S11" s="21"/>
      <c r="T11" s="21"/>
      <c r="U11" s="20"/>
    </row>
    <row r="12" spans="1:21" s="24" customFormat="1" ht="18.75" x14ac:dyDescent="0.25">
      <c r="A12" s="19" t="s">
        <v>21</v>
      </c>
      <c r="B12" s="32">
        <v>111</v>
      </c>
      <c r="C12" s="32">
        <v>73</v>
      </c>
      <c r="D12" s="32">
        <v>130</v>
      </c>
      <c r="E12" s="32">
        <v>237</v>
      </c>
      <c r="F12" s="32">
        <v>220</v>
      </c>
      <c r="G12" s="32">
        <v>258</v>
      </c>
      <c r="H12" s="32">
        <v>174</v>
      </c>
      <c r="I12" s="32">
        <v>227</v>
      </c>
      <c r="J12" s="32"/>
      <c r="K12" s="40">
        <f t="shared" si="2"/>
        <v>23.348017621145374</v>
      </c>
      <c r="L12" s="40">
        <f>I12/I6*100</f>
        <v>6.9418960244648318</v>
      </c>
      <c r="M12" s="10" t="s">
        <v>22</v>
      </c>
      <c r="O12" s="37"/>
      <c r="P12" s="38"/>
      <c r="Q12" s="39"/>
      <c r="R12" s="38"/>
      <c r="S12" s="21"/>
      <c r="T12" s="21"/>
      <c r="U12" s="20"/>
    </row>
    <row r="13" spans="1:21" s="24" customFormat="1" ht="18.75" x14ac:dyDescent="0.25">
      <c r="A13" s="22" t="s">
        <v>23</v>
      </c>
      <c r="B13" s="33">
        <v>499</v>
      </c>
      <c r="C13" s="33">
        <v>642</v>
      </c>
      <c r="D13" s="33">
        <v>687</v>
      </c>
      <c r="E13" s="33">
        <v>653</v>
      </c>
      <c r="F13" s="33">
        <v>474</v>
      </c>
      <c r="G13" s="33">
        <v>417</v>
      </c>
      <c r="H13" s="33">
        <v>468</v>
      </c>
      <c r="I13" s="33">
        <v>421</v>
      </c>
      <c r="J13" s="33"/>
      <c r="K13" s="41">
        <f t="shared" si="2"/>
        <v>-11.163895486935866</v>
      </c>
      <c r="L13" s="41">
        <f>I13/I6*100</f>
        <v>12.874617737003058</v>
      </c>
      <c r="M13" s="11" t="s">
        <v>24</v>
      </c>
      <c r="O13" s="37"/>
      <c r="P13" s="38"/>
      <c r="Q13" s="39"/>
      <c r="R13" s="38"/>
      <c r="S13" s="21"/>
      <c r="T13" s="21"/>
      <c r="U13" s="20"/>
    </row>
    <row r="14" spans="1:21" x14ac:dyDescent="0.25">
      <c r="A14" s="13" t="s">
        <v>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34" t="s">
        <v>2</v>
      </c>
      <c r="O14" s="37"/>
      <c r="P14" s="38"/>
      <c r="Q14" s="39"/>
      <c r="R14" s="38"/>
      <c r="S14" s="9"/>
      <c r="T14" s="9"/>
      <c r="U14" s="4"/>
    </row>
    <row r="15" spans="1:21" x14ac:dyDescent="0.25">
      <c r="O15" s="37"/>
      <c r="P15" s="39"/>
      <c r="Q15" s="39"/>
      <c r="R15" s="38"/>
      <c r="S15" s="9"/>
      <c r="T15" s="9"/>
      <c r="U15" s="4"/>
    </row>
    <row r="16" spans="1:21" x14ac:dyDescent="0.25">
      <c r="A16" s="23"/>
      <c r="O16" s="37"/>
      <c r="P16" s="39"/>
      <c r="Q16" s="39"/>
      <c r="R16" s="38"/>
      <c r="S16" s="9"/>
      <c r="T16" s="9"/>
      <c r="U16" s="4"/>
    </row>
    <row r="17" spans="1:21" x14ac:dyDescent="0.25">
      <c r="O17" s="37"/>
      <c r="P17" s="39"/>
      <c r="Q17" s="39"/>
      <c r="R17" s="38"/>
      <c r="S17" s="9"/>
      <c r="T17" s="9"/>
      <c r="U17" s="4"/>
    </row>
    <row r="18" spans="1:21" x14ac:dyDescent="0.25">
      <c r="O18" s="37"/>
      <c r="P18" s="39"/>
      <c r="Q18" s="39"/>
      <c r="R18" s="9"/>
      <c r="S18" s="9"/>
      <c r="T18" s="9"/>
      <c r="U18" s="4"/>
    </row>
    <row r="19" spans="1:21" x14ac:dyDescent="0.25">
      <c r="O19" s="8"/>
      <c r="P19" s="9"/>
      <c r="Q19" s="9"/>
      <c r="R19" s="9"/>
      <c r="S19" s="9"/>
      <c r="T19" s="9"/>
      <c r="U19" s="4"/>
    </row>
    <row r="20" spans="1:21" x14ac:dyDescent="0.25">
      <c r="O20" s="8"/>
      <c r="P20" s="9"/>
      <c r="Q20" s="9"/>
      <c r="R20" s="9"/>
      <c r="S20" s="9"/>
      <c r="T20" s="9"/>
      <c r="U20" s="4"/>
    </row>
    <row r="21" spans="1:21" ht="17.25" x14ac:dyDescent="0.25">
      <c r="A21" s="14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15"/>
      <c r="O21" s="8"/>
      <c r="P21" s="9"/>
      <c r="Q21" s="9"/>
      <c r="R21" s="9"/>
      <c r="S21" s="9"/>
      <c r="T21" s="9"/>
      <c r="U21" s="4"/>
    </row>
    <row r="22" spans="1:21" x14ac:dyDescent="0.25">
      <c r="O22" s="8"/>
      <c r="P22" s="9"/>
      <c r="Q22" s="9"/>
      <c r="R22" s="9"/>
      <c r="S22" s="9"/>
      <c r="T22" s="9"/>
      <c r="U22" s="4"/>
    </row>
    <row r="23" spans="1:21" x14ac:dyDescent="0.25">
      <c r="P23" s="4"/>
      <c r="Q23" s="4"/>
      <c r="R23" s="4"/>
      <c r="S23" s="4"/>
      <c r="T23" s="4"/>
      <c r="U23" s="4"/>
    </row>
  </sheetData>
  <mergeCells count="12">
    <mergeCell ref="I3:I5"/>
    <mergeCell ref="M3:M5"/>
    <mergeCell ref="A1:M1"/>
    <mergeCell ref="A2:M2"/>
    <mergeCell ref="A3:A5"/>
    <mergeCell ref="B3:B5"/>
    <mergeCell ref="C3:C5"/>
    <mergeCell ref="D3:D5"/>
    <mergeCell ref="E3:E5"/>
    <mergeCell ref="F3:F5"/>
    <mergeCell ref="G3:G5"/>
    <mergeCell ref="H3:H5"/>
  </mergeCells>
  <pageMargins left="0.7" right="0.7" top="0.75" bottom="0.75" header="0.3" footer="0.3"/>
  <pageSetup paperSize="9" scale="63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8.7</vt:lpstr>
      <vt:lpstr>'8.7'!Print_Area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2019-09-16T08:28:05Z</cp:lastPrinted>
  <dcterms:created xsi:type="dcterms:W3CDTF">2019-06-30T04:22:49Z</dcterms:created>
  <dcterms:modified xsi:type="dcterms:W3CDTF">2019-09-16T08:29:58Z</dcterms:modified>
</cp:coreProperties>
</file>