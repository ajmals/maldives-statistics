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8" sheetId="8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'8.8'!$A$1:$I$51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8" l="1"/>
  <c r="F20" i="8"/>
  <c r="F19" i="8"/>
  <c r="F18" i="8"/>
  <c r="F17" i="8"/>
  <c r="F16" i="8"/>
  <c r="F15" i="8"/>
  <c r="C14" i="8"/>
  <c r="B14" i="8"/>
  <c r="F13" i="8"/>
  <c r="F12" i="8"/>
  <c r="F11" i="8"/>
  <c r="F10" i="8"/>
  <c r="F9" i="8"/>
  <c r="F8" i="8"/>
  <c r="C7" i="8"/>
  <c r="F7" i="8" s="1"/>
  <c r="B7" i="8"/>
  <c r="D6" i="8"/>
  <c r="G11" i="8" s="1"/>
  <c r="C6" i="8" l="1"/>
  <c r="G16" i="8"/>
  <c r="F14" i="8"/>
  <c r="G7" i="8"/>
  <c r="G15" i="8"/>
  <c r="G8" i="8"/>
  <c r="G14" i="8"/>
  <c r="G21" i="8"/>
  <c r="G13" i="8"/>
  <c r="G20" i="8"/>
  <c r="G12" i="8"/>
  <c r="G19" i="8"/>
  <c r="F6" i="8"/>
  <c r="G6" i="8"/>
  <c r="G18" i="8"/>
  <c r="G10" i="8"/>
  <c r="G17" i="8"/>
  <c r="G9" i="8"/>
  <c r="B6" i="8"/>
</calcChain>
</file>

<file path=xl/sharedStrings.xml><?xml version="1.0" encoding="utf-8"?>
<sst xmlns="http://schemas.openxmlformats.org/spreadsheetml/2006/main" count="44" uniqueCount="33">
  <si>
    <t>% change over 2017</t>
  </si>
  <si>
    <t>Total</t>
  </si>
  <si>
    <t>Drugs</t>
  </si>
  <si>
    <t>Others</t>
  </si>
  <si>
    <t>އެހެނިހެން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</si>
  <si>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</si>
  <si>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</si>
  <si>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</si>
  <si>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</si>
  <si>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-</t>
  </si>
  <si>
    <t>ޖުމްލަ</t>
  </si>
  <si>
    <t xml:space="preserve">Type </t>
  </si>
  <si>
    <t>އިންސައްތަ</t>
  </si>
  <si>
    <t>މައްސަލައިގެ ބާވަތް</t>
  </si>
  <si>
    <t>Percenatge share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</si>
  <si>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</si>
  <si>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</si>
  <si>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</si>
  <si>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</si>
  <si>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</si>
  <si>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>Production</t>
  </si>
  <si>
    <t xml:space="preserve">   އުފެއްދުން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</si>
  <si>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</si>
  <si>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</si>
  <si>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</si>
  <si>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</si>
  <si>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others</t>
  </si>
  <si>
    <t>Alcohol</t>
  </si>
  <si>
    <t>ރަލުގެ މައްސަލަތައް</t>
  </si>
  <si>
    <t>Other cases related to drug offences</t>
  </si>
  <si>
    <t>ޑްރަގްސް އާއި ގުޅުން ހުރި އެހެނިހެން މައްސަލަތައް</t>
  </si>
  <si>
    <t>ތާވަލު 8.8: ހުށަހެޅިފައިވާ މަސްތުވާތަކެތީގެ މައްސަލަތަކާއި އަދި ބާވަތް، 2016- 2018</t>
  </si>
  <si>
    <t>Table 8.8:  DRUG CASES LOGGED BY TYPE,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</si>
</sst>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Faruma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21" fillId="0" borderId="0"/>
  </cellStyleXfs>
  <cellXfs count="54">
    <xf numFmtId="0" fontId="0" fillId="0" borderId="0" xfId="0"/>
    <xf numFmtId="164" fontId="0" fillId="2" borderId="0" xfId="0" applyNumberFormat="1" applyFill="1"/>
    <xf numFmtId="164" fontId="6" fillId="2" borderId="3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/>
    <xf numFmtId="164" fontId="4" fillId="2" borderId="0" xfId="0" applyNumberFormat="1" applyFont="1" applyFill="1" applyBorder="1" applyAlignment="1">
      <alignment vertical="center"/>
    </xf>
    <xf numFmtId="166" fontId="12" fillId="2" borderId="0" xfId="1" applyNumberFormat="1" applyFont="1" applyFill="1" applyBorder="1" applyAlignment="1">
      <alignment horizontal="center"/>
    </xf>
    <xf numFmtId="164" fontId="9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 applyProtection="1">
      <alignment horizontal="right" vertical="center" indent="2"/>
    </xf>
    <xf numFmtId="167" fontId="15" fillId="2" borderId="0" xfId="1" applyNumberFormat="1" applyFont="1" applyFill="1" applyBorder="1" applyAlignment="1">
      <alignment horizontal="right"/>
    </xf>
    <xf numFmtId="164" fontId="0" fillId="2" borderId="0" xfId="0" applyNumberFormat="1" applyFill="1" applyBorder="1"/>
    <xf numFmtId="164" fontId="8" fillId="2" borderId="0" xfId="0" applyNumberFormat="1" applyFont="1" applyFill="1" applyBorder="1"/>
    <xf numFmtId="164" fontId="22" fillId="2" borderId="0" xfId="0" applyNumberFormat="1" applyFont="1" applyFill="1"/>
    <xf numFmtId="164" fontId="14" fillId="2" borderId="0" xfId="0" applyNumberFormat="1" applyFont="1" applyFill="1"/>
    <xf numFmtId="164" fontId="16" fillId="2" borderId="5" xfId="0" applyNumberFormat="1" applyFont="1" applyFill="1" applyBorder="1" applyAlignment="1" applyProtection="1">
      <alignment vertical="center"/>
    </xf>
    <xf numFmtId="164" fontId="12" fillId="2" borderId="0" xfId="0" applyNumberFormat="1" applyFont="1" applyFill="1" applyBorder="1"/>
    <xf numFmtId="164" fontId="23" fillId="2" borderId="0" xfId="0" applyNumberFormat="1" applyFont="1" applyFill="1" applyBorder="1" applyAlignment="1" applyProtection="1">
      <alignment horizontal="right" vertical="center"/>
    </xf>
    <xf numFmtId="164" fontId="11" fillId="2" borderId="0" xfId="0" applyNumberFormat="1" applyFont="1" applyFill="1" applyBorder="1" applyAlignment="1">
      <alignment horizontal="left" vertical="center" indent="1"/>
    </xf>
    <xf numFmtId="164" fontId="26" fillId="2" borderId="0" xfId="0" applyNumberFormat="1" applyFont="1" applyFill="1"/>
    <xf numFmtId="164" fontId="7" fillId="2" borderId="4" xfId="0" applyNumberFormat="1" applyFont="1" applyFill="1" applyBorder="1" applyAlignment="1" applyProtection="1">
      <alignment horizontal="right" vertical="center" wrapText="1"/>
    </xf>
    <xf numFmtId="164" fontId="6" fillId="2" borderId="0" xfId="0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center" vertical="top"/>
    </xf>
    <xf numFmtId="164" fontId="19" fillId="2" borderId="3" xfId="0" applyNumberFormat="1" applyFont="1" applyFill="1" applyBorder="1" applyAlignment="1">
      <alignment horizontal="center" vertical="center"/>
    </xf>
    <xf numFmtId="166" fontId="10" fillId="2" borderId="0" xfId="1" applyNumberFormat="1" applyFont="1" applyFill="1" applyBorder="1" applyAlignment="1">
      <alignment horizontal="right" vertical="center"/>
    </xf>
    <xf numFmtId="166" fontId="4" fillId="2" borderId="0" xfId="1" applyNumberFormat="1" applyFont="1" applyFill="1" applyBorder="1" applyAlignment="1">
      <alignment horizontal="right" vertical="center"/>
    </xf>
    <xf numFmtId="1" fontId="10" fillId="2" borderId="0" xfId="2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right" vertical="center" indent="5"/>
    </xf>
    <xf numFmtId="164" fontId="7" fillId="2" borderId="0" xfId="0" applyNumberFormat="1" applyFont="1" applyFill="1" applyBorder="1" applyAlignment="1" applyProtection="1">
      <alignment horizontal="right" vertical="center"/>
    </xf>
    <xf numFmtId="164" fontId="2" fillId="2" borderId="0" xfId="0" applyNumberFormat="1" applyFont="1" applyFill="1"/>
    <xf numFmtId="164" fontId="25" fillId="2" borderId="0" xfId="0" applyNumberFormat="1" applyFont="1" applyFill="1"/>
    <xf numFmtId="166" fontId="11" fillId="2" borderId="0" xfId="1" applyNumberFormat="1" applyFont="1" applyFill="1" applyBorder="1" applyAlignment="1">
      <alignment horizontal="right" vertical="center"/>
    </xf>
    <xf numFmtId="3" fontId="13" fillId="2" borderId="0" xfId="0" applyNumberFormat="1" applyFont="1" applyFill="1" applyAlignment="1">
      <alignment horizontal="right" vertical="center" indent="5"/>
    </xf>
    <xf numFmtId="164" fontId="4" fillId="2" borderId="4" xfId="0" applyNumberFormat="1" applyFont="1" applyFill="1" applyBorder="1" applyAlignment="1">
      <alignment vertical="center" wrapText="1"/>
    </xf>
    <xf numFmtId="166" fontId="4" fillId="2" borderId="4" xfId="1" applyNumberFormat="1" applyFont="1" applyFill="1" applyBorder="1" applyAlignment="1">
      <alignment horizontal="right" vertical="center"/>
    </xf>
    <xf numFmtId="164" fontId="2" fillId="2" borderId="4" xfId="0" applyNumberFormat="1" applyFont="1" applyFill="1" applyBorder="1"/>
    <xf numFmtId="1" fontId="10" fillId="2" borderId="4" xfId="2" applyNumberFormat="1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right" vertical="center" indent="5"/>
    </xf>
    <xf numFmtId="1" fontId="0" fillId="2" borderId="0" xfId="0" applyNumberFormat="1" applyFill="1"/>
    <xf numFmtId="1" fontId="8" fillId="2" borderId="0" xfId="0" applyNumberFormat="1" applyFont="1" applyFill="1"/>
    <xf numFmtId="1" fontId="13" fillId="2" borderId="0" xfId="2" applyNumberFormat="1" applyFont="1" applyFill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18" fillId="2" borderId="1" xfId="0" applyNumberFormat="1" applyFont="1" applyFill="1" applyBorder="1" applyAlignment="1">
      <alignment horizontal="center" vertical="center"/>
    </xf>
    <xf numFmtId="164" fontId="24" fillId="2" borderId="3" xfId="0" applyNumberFormat="1" applyFont="1" applyFill="1" applyBorder="1" applyAlignment="1" applyProtection="1">
      <alignment horizontal="right" vertical="center" wrapText="1"/>
    </xf>
    <xf numFmtId="164" fontId="24" fillId="2" borderId="0" xfId="0" applyNumberFormat="1" applyFont="1" applyFill="1" applyBorder="1" applyAlignment="1" applyProtection="1">
      <alignment horizontal="righ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Border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24" fillId="2" borderId="4" xfId="0" applyNumberFormat="1" applyFont="1" applyFill="1" applyBorder="1" applyAlignment="1" applyProtection="1">
      <alignment horizontal="right" vertical="center" wrapText="1"/>
    </xf>
    <xf numFmtId="164" fontId="3" fillId="2" borderId="6" xfId="0" applyNumberFormat="1" applyFont="1" applyFill="1" applyBorder="1" applyAlignment="1">
      <alignment horizontal="center" vertical="top"/>
    </xf>
  </cellXfs>
  <cellStyles count="6">
    <cellStyle name="Comma" xfId="1" builtinId="3"/>
    <cellStyle name="Comma 2" xfId="3"/>
    <cellStyle name="Normal" xfId="0" builtinId="0"/>
    <cellStyle name="Normal 3" xfId="5"/>
    <cellStyle name="Percent" xfId="2" builtinId="5"/>
    <cellStyle name="Percent 2" xfId="4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explosion val="3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B1-4759-89FB-17FE9121C893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6B1-4759-89FB-17FE9121C893}"/>
              </c:ext>
            </c:extLst>
          </c:dPt>
          <c:dPt>
            <c:idx val="2"/>
            <c:bubble3D val="0"/>
            <c:spPr>
              <a:solidFill>
                <a:srgbClr val="4C3A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6B1-4759-89FB-17FE9121C893}"/>
              </c:ext>
            </c:extLst>
          </c:dPt>
          <c:dLbls>
            <c:dLbl>
              <c:idx val="0"/>
              <c:layout>
                <c:manualLayout>
                  <c:x val="0.15827215054819899"/>
                  <c:y val="-0.271564567482934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6B1-4759-89FB-17FE9121C893}"/>
                </c:ext>
              </c:extLst>
            </c:dLbl>
            <c:dLbl>
              <c:idx val="1"/>
              <c:layout>
                <c:manualLayout>
                  <c:x val="-3.2301536336327864E-3"/>
                  <c:y val="2.293922663414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6B1-4759-89FB-17FE9121C893}"/>
                </c:ext>
              </c:extLst>
            </c:dLbl>
            <c:dLbl>
              <c:idx val="2"/>
              <c:layout>
                <c:manualLayout>
                  <c:x val="6.6869982887395207E-2"/>
                  <c:y val="0.11119847625945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6B1-4759-89FB-17FE9121C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('[1]8.8'!$A$7,'[1]8.8'!$A$14,'[1]8.8'!$A$21)</c:f>
              <c:strCache>
                <c:ptCount val="3"/>
                <c:pt idx="0">
                  <c:v>Drugs</c:v>
                </c:pt>
                <c:pt idx="1">
                  <c:v>Alcohol</c:v>
                </c:pt>
                <c:pt idx="2">
                  <c:v>Other cases related to drug offences</c:v>
                </c:pt>
              </c:strCache>
            </c:strRef>
          </c:cat>
          <c:val>
            <c:numRef>
              <c:f>('[1]8.8'!$H$7,'[1]8.8'!$H$14,'[1]8.8'!$H$21)</c:f>
              <c:numCache>
                <c:formatCode>General</c:formatCode>
                <c:ptCount val="3"/>
                <c:pt idx="0">
                  <c:v>1857</c:v>
                </c:pt>
                <c:pt idx="1">
                  <c:v>168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B1-4759-89FB-17FE9121C893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54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08167971070746E-2"/>
          <c:y val="0.16217493386411694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'8.8'!$B$3:$B$5</c:f>
              <c:strCache>
                <c:ptCount val="3"/>
                <c:pt idx="0">
                  <c:v>2016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'8.8'!$B$8:$B$13</c:f>
              <c:numCache>
                <c:formatCode>_-* #,##0_-;\-* #,##0_-;_-* "-"??_-;_-@_-</c:formatCode>
                <c:ptCount val="6"/>
                <c:pt idx="0">
                  <c:v>1281</c:v>
                </c:pt>
                <c:pt idx="1">
                  <c:v>550</c:v>
                </c:pt>
                <c:pt idx="2">
                  <c:v>0</c:v>
                </c:pt>
                <c:pt idx="3">
                  <c:v>122</c:v>
                </c:pt>
                <c:pt idx="4">
                  <c:v>184</c:v>
                </c:pt>
                <c:pt idx="5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2-426D-BAEF-F06F4B391A89}"/>
            </c:ext>
          </c:extLst>
        </c:ser>
        <c:ser>
          <c:idx val="1"/>
          <c:order val="1"/>
          <c:tx>
            <c:strRef>
              <c:f>'8.8'!$C$3:$C$5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'8.8'!$C$8:$C$13</c:f>
              <c:numCache>
                <c:formatCode>_-* #,##0_-;\-* #,##0_-;_-* "-"??_-;_-@_-</c:formatCode>
                <c:ptCount val="6"/>
                <c:pt idx="0">
                  <c:v>949</c:v>
                </c:pt>
                <c:pt idx="1">
                  <c:v>492</c:v>
                </c:pt>
                <c:pt idx="2">
                  <c:v>0</c:v>
                </c:pt>
                <c:pt idx="3">
                  <c:v>159</c:v>
                </c:pt>
                <c:pt idx="4">
                  <c:v>210</c:v>
                </c:pt>
                <c:pt idx="5">
                  <c:v>47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832-426D-BAEF-F06F4B391A89}"/>
            </c:ext>
          </c:extLst>
        </c:ser>
        <c:ser>
          <c:idx val="2"/>
          <c:order val="2"/>
          <c:tx>
            <c:strRef>
              <c:f>'8.8'!$D$3:$D$5</c:f>
              <c:strCache>
                <c:ptCount val="3"/>
                <c:pt idx="0">
                  <c:v>2018 </c:v>
                </c:pt>
              </c:strCache>
            </c:strRef>
          </c:tx>
          <c:spPr>
            <a:solidFill>
              <a:srgbClr val="4C3A00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'8.8'!$D$8:$D$13</c:f>
              <c:numCache>
                <c:formatCode>_-* #,##0_-;\-* #,##0_-;_-* "-"??_-;_-@_-</c:formatCode>
                <c:ptCount val="6"/>
                <c:pt idx="0">
                  <c:v>718</c:v>
                </c:pt>
                <c:pt idx="1">
                  <c:v>918</c:v>
                </c:pt>
                <c:pt idx="2">
                  <c:v>2</c:v>
                </c:pt>
                <c:pt idx="3">
                  <c:v>146</c:v>
                </c:pt>
                <c:pt idx="4">
                  <c:v>207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2-426D-BAEF-F06F4B391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8426880"/>
        <c:axId val="568428416"/>
        <c:extLst/>
      </c:barChart>
      <c:catAx>
        <c:axId val="568426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568428416"/>
        <c:crosses val="autoZero"/>
        <c:auto val="1"/>
        <c:lblAlgn val="ctr"/>
        <c:lblOffset val="100"/>
        <c:noMultiLvlLbl val="0"/>
      </c:catAx>
      <c:valAx>
        <c:axId val="568428416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6842688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1487956792481571"/>
          <c:y val="0.2727563326012708"/>
          <c:w val="0.37210500584877687"/>
          <c:h val="6.120094725242087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927653</xdr:colOff>
      <xdr:row>36</xdr:row>
      <xdr:rowOff>37810</xdr:rowOff>
    </xdr:from>
    <xdr:to>
      <xdr:col>7</xdr:col>
      <xdr:colOff>381001</xdr:colOff>
      <xdr:row>50</xdr:row>
      <xdr:rowOff>92163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962025</xdr:colOff>
      <xdr:row>22</xdr:row>
      <xdr:rowOff>166681</xdr:rowOff>
    </xdr:from>
    <xdr:to>
      <xdr:col>7</xdr:col>
      <xdr:colOff>379757</xdr:colOff>
      <xdr:row>35</xdr:row>
      <xdr:rowOff>91792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0.04957</cdr:x>
      <cdr:y>0.01301</cdr:y>
    </cdr:from>
    <cdr:to>
      <cdr:x>0.96322</cdr:x>
      <cdr:y>0.14361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3922" y="35405"/>
          <a:ext cx="4495799" cy="3554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8.12: Percentage share of drugs and alcohol related cases by type, </a:t>
          </a:r>
          <a:r>
            <a:rPr lang="en-US" sz="105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2018</a:t>
          </a:r>
          <a:endParaRPr lang="en-US" sz="1000" b="1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0.21351</cdr:x>
      <cdr:y>0.0135</cdr:y>
    </cdr:from>
    <cdr:to>
      <cdr:x>0.90471</cdr:x>
      <cdr:y>0.1352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3014" y="34608"/>
          <a:ext cx="3376586" cy="3119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8.11: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cases, 2016 - 2018 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%20-%20DJA%20J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"/>
      <sheetName val="8.22"/>
      <sheetName val="8.23"/>
      <sheetName val="8.24"/>
      <sheetName val="8.25"/>
      <sheetName val="8.30"/>
      <sheetName val="8.31"/>
      <sheetName val="8.56"/>
      <sheetName val="8.57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">
          <cell r="N14">
            <v>2016</v>
          </cell>
          <cell r="O14"/>
          <cell r="P14">
            <v>2017</v>
          </cell>
          <cell r="Q14"/>
          <cell r="R14">
            <v>2018</v>
          </cell>
          <cell r="S14"/>
        </row>
        <row r="15">
          <cell r="N15" t="str">
            <v>Male</v>
          </cell>
          <cell r="O15" t="str">
            <v>Female</v>
          </cell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</row>
        <row r="16">
          <cell r="M16" t="str">
            <v xml:space="preserve">Above 18 </v>
          </cell>
          <cell r="N16">
            <v>1356</v>
          </cell>
          <cell r="O16">
            <v>52</v>
          </cell>
          <cell r="P16">
            <v>1475</v>
          </cell>
          <cell r="Q16">
            <v>61</v>
          </cell>
          <cell r="R16">
            <v>53</v>
          </cell>
          <cell r="S16">
            <v>987</v>
          </cell>
        </row>
        <row r="17">
          <cell r="M17" t="str">
            <v xml:space="preserve">Below 18 </v>
          </cell>
          <cell r="N17">
            <v>108</v>
          </cell>
          <cell r="O17">
            <v>7</v>
          </cell>
          <cell r="P17">
            <v>23</v>
          </cell>
          <cell r="Q17">
            <v>3</v>
          </cell>
          <cell r="R17">
            <v>1</v>
          </cell>
          <cell r="S17">
            <v>10</v>
          </cell>
        </row>
      </sheetData>
      <sheetData sheetId="8">
        <row r="5">
          <cell r="B5">
            <v>2016</v>
          </cell>
          <cell r="C5">
            <v>2017</v>
          </cell>
          <cell r="D5">
            <v>2018</v>
          </cell>
        </row>
        <row r="7">
          <cell r="A7" t="str">
            <v>Below 18</v>
          </cell>
          <cell r="B7">
            <v>51</v>
          </cell>
          <cell r="C7">
            <v>34</v>
          </cell>
          <cell r="D7">
            <v>14</v>
          </cell>
        </row>
        <row r="8">
          <cell r="A8" t="str">
            <v>18-25</v>
          </cell>
          <cell r="B8">
            <v>682</v>
          </cell>
          <cell r="C8">
            <v>708</v>
          </cell>
          <cell r="D8">
            <v>441</v>
          </cell>
        </row>
        <row r="9">
          <cell r="A9" t="str">
            <v>26-35</v>
          </cell>
          <cell r="B9">
            <v>550</v>
          </cell>
          <cell r="C9">
            <v>554</v>
          </cell>
          <cell r="D9">
            <v>373</v>
          </cell>
        </row>
        <row r="10">
          <cell r="A10" t="str">
            <v>36-45</v>
          </cell>
          <cell r="B10">
            <v>193</v>
          </cell>
          <cell r="C10">
            <v>204</v>
          </cell>
          <cell r="D10">
            <v>175</v>
          </cell>
        </row>
        <row r="11">
          <cell r="A11" t="str">
            <v>46-55</v>
          </cell>
          <cell r="B11">
            <v>42</v>
          </cell>
          <cell r="C11">
            <v>58</v>
          </cell>
          <cell r="D11">
            <v>43</v>
          </cell>
        </row>
        <row r="12">
          <cell r="A12" t="str">
            <v>Above 55</v>
          </cell>
          <cell r="B12">
            <v>5</v>
          </cell>
          <cell r="C12">
            <v>4</v>
          </cell>
          <cell r="D12">
            <v>5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37"/>
  <sheetViews>
    <sheetView tabSelected="1" zoomScale="118" zoomScaleNormal="118" workbookViewId="0">
      <selection activeCell="L7" sqref="L7"/>
    </sheetView>
  </sheetViews>
  <sheetFormatPr defaultColWidth="9.140625" defaultRowHeight="15" x14ac:dyDescent="0.25"/>
  <cols>
    <col min="1" max="1" width="14.5703125" style="1" customWidth="1"/>
    <col min="2" max="4" width="11.42578125" style="1" customWidth="1"/>
    <col min="5" max="5" width="2.7109375" style="1" customWidth="1"/>
    <col min="6" max="6" width="15.7109375" style="1" bestFit="1" customWidth="1"/>
    <col min="7" max="7" width="14.7109375" style="1" customWidth="1"/>
    <col min="8" max="8" width="20.28515625" style="1" customWidth="1"/>
    <col min="9" max="9" width="7.5703125" style="1" customWidth="1"/>
    <col min="10" max="13" width="9.140625" style="1"/>
    <col min="14" max="14" width="18.7109375" style="1" customWidth="1"/>
    <col min="15" max="15" width="9.140625" style="1"/>
    <col min="16" max="16" width="13.7109375" style="1" customWidth="1"/>
    <col min="17" max="16384" width="9.140625" style="1"/>
  </cols>
  <sheetData>
    <row r="1" spans="1:15" ht="21" x14ac:dyDescent="0.25">
      <c r="A1" s="43" t="s">
        <v>31</v>
      </c>
      <c r="B1" s="43"/>
      <c r="C1" s="43"/>
      <c r="D1" s="43"/>
      <c r="E1" s="43"/>
      <c r="F1" s="43"/>
      <c r="G1" s="43"/>
      <c r="H1" s="43"/>
    </row>
    <row r="2" spans="1:15" ht="21.75" customHeight="1" x14ac:dyDescent="0.25">
      <c r="A2" s="42" t="s">
        <v>32</v>
      </c>
      <c r="B2" s="42"/>
      <c r="C2" s="42"/>
      <c r="D2" s="42"/>
      <c r="E2" s="42"/>
      <c r="F2" s="53"/>
      <c r="G2" s="53"/>
      <c r="H2" s="42"/>
    </row>
    <row r="3" spans="1:15" ht="17.25" x14ac:dyDescent="0.25">
      <c r="A3" s="46" t="s">
        <v>11</v>
      </c>
      <c r="B3" s="49">
        <v>2016</v>
      </c>
      <c r="C3" s="49">
        <v>2017</v>
      </c>
      <c r="D3" s="49">
        <v>2018</v>
      </c>
      <c r="E3" s="23"/>
      <c r="F3" s="2" t="s">
        <v>7</v>
      </c>
      <c r="G3" s="24">
        <v>2018</v>
      </c>
      <c r="H3" s="44" t="s">
        <v>13</v>
      </c>
    </row>
    <row r="4" spans="1:15" ht="34.5" x14ac:dyDescent="0.25">
      <c r="A4" s="47"/>
      <c r="B4" s="50"/>
      <c r="C4" s="50"/>
      <c r="D4" s="50"/>
      <c r="E4" s="19"/>
      <c r="F4" s="20" t="s">
        <v>8</v>
      </c>
      <c r="G4" s="19" t="s">
        <v>12</v>
      </c>
      <c r="H4" s="45"/>
      <c r="J4" s="3"/>
      <c r="K4" s="3"/>
      <c r="L4" s="3"/>
      <c r="M4" s="3"/>
      <c r="N4" s="3"/>
      <c r="O4" s="3"/>
    </row>
    <row r="5" spans="1:15" ht="15" customHeight="1" x14ac:dyDescent="0.25">
      <c r="A5" s="48"/>
      <c r="B5" s="51"/>
      <c r="C5" s="51"/>
      <c r="D5" s="51"/>
      <c r="E5" s="21"/>
      <c r="F5" s="21" t="s">
        <v>0</v>
      </c>
      <c r="G5" s="21" t="s">
        <v>14</v>
      </c>
      <c r="H5" s="52"/>
      <c r="J5" s="3"/>
      <c r="K5" s="3"/>
      <c r="L5" s="3"/>
      <c r="M5" s="3"/>
      <c r="N5" s="3"/>
      <c r="O5" s="3"/>
    </row>
    <row r="6" spans="1:15" s="30" customFormat="1" ht="18.75" x14ac:dyDescent="0.25">
      <c r="A6" s="4" t="s">
        <v>1</v>
      </c>
      <c r="B6" s="25">
        <f t="shared" ref="B6" si="0">B7+B14+B21</f>
        <v>2375</v>
      </c>
      <c r="C6" s="25">
        <f>C7+C14+C21</f>
        <v>2038</v>
      </c>
      <c r="D6" s="25">
        <f>D7+D14+D21</f>
        <v>2230</v>
      </c>
      <c r="E6" s="26"/>
      <c r="F6" s="27">
        <f>IFERROR(((D6-C6)/D6)*100,"-")</f>
        <v>8.6098654708520179</v>
      </c>
      <c r="G6" s="28">
        <f>IFERROR((D6/$D$6*100),"-")</f>
        <v>100</v>
      </c>
      <c r="H6" s="29" t="s">
        <v>10</v>
      </c>
      <c r="J6" s="31"/>
      <c r="K6" s="31"/>
      <c r="L6" s="31"/>
      <c r="M6" s="31"/>
      <c r="N6" s="31"/>
      <c r="O6" s="31"/>
    </row>
    <row r="7" spans="1:15" s="11" customFormat="1" ht="18.75" x14ac:dyDescent="0.15">
      <c r="A7" s="4" t="s">
        <v>2</v>
      </c>
      <c r="B7" s="26">
        <f>SUM(B8:B13)</f>
        <v>2216</v>
      </c>
      <c r="C7" s="26">
        <f t="shared" ref="C7" si="1">SUM(C8:C13)</f>
        <v>1857</v>
      </c>
      <c r="D7" s="26">
        <v>2046</v>
      </c>
      <c r="E7" s="26"/>
      <c r="F7" s="27">
        <f t="shared" ref="F7:F21" si="2">IFERROR(((D7-C7)/D7)*100,"-")</f>
        <v>9.2375366568914963</v>
      </c>
      <c r="G7" s="28">
        <f>IFERROR((D7/$D$6*100),"-")</f>
        <v>91.748878923766824</v>
      </c>
      <c r="H7" s="29" t="s">
        <v>15</v>
      </c>
      <c r="I7" s="26"/>
      <c r="J7" s="31"/>
      <c r="K7" s="31"/>
      <c r="L7" s="31"/>
      <c r="M7" s="31"/>
      <c r="N7" s="31"/>
      <c r="O7" s="31"/>
    </row>
    <row r="8" spans="1:15" ht="18.75" x14ac:dyDescent="0.25">
      <c r="A8" s="16" t="s">
        <v>16</v>
      </c>
      <c r="B8" s="32">
        <v>1281</v>
      </c>
      <c r="C8" s="32">
        <v>949</v>
      </c>
      <c r="D8" s="32">
        <v>718</v>
      </c>
      <c r="E8" s="32"/>
      <c r="F8" s="41">
        <f t="shared" si="2"/>
        <v>-32.172701949860723</v>
      </c>
      <c r="G8" s="33">
        <f>IFERROR((D8/$D$6*100),"-")</f>
        <v>32.197309417040358</v>
      </c>
      <c r="H8" s="6" t="s">
        <v>17</v>
      </c>
      <c r="I8" s="32"/>
      <c r="J8" s="3"/>
      <c r="K8" s="3"/>
      <c r="L8" s="3"/>
      <c r="M8" s="3"/>
      <c r="N8" s="3"/>
      <c r="O8" s="3"/>
    </row>
    <row r="9" spans="1:15" ht="18.75" x14ac:dyDescent="0.25">
      <c r="A9" s="16" t="s">
        <v>18</v>
      </c>
      <c r="B9" s="32">
        <v>550</v>
      </c>
      <c r="C9" s="32">
        <v>492</v>
      </c>
      <c r="D9" s="32">
        <v>918</v>
      </c>
      <c r="E9" s="32"/>
      <c r="F9" s="41">
        <f t="shared" si="2"/>
        <v>46.405228758169933</v>
      </c>
      <c r="G9" s="33">
        <f t="shared" ref="G9:G21" si="3">IFERROR((D9/$D$6*100),"-")</f>
        <v>41.165919282511211</v>
      </c>
      <c r="H9" s="6" t="s">
        <v>19</v>
      </c>
      <c r="I9" s="32"/>
      <c r="J9" s="40"/>
      <c r="K9" s="3"/>
      <c r="L9" s="3"/>
      <c r="M9" s="3"/>
      <c r="N9" s="3"/>
      <c r="O9" s="3"/>
    </row>
    <row r="10" spans="1:15" ht="18.75" x14ac:dyDescent="0.25">
      <c r="A10" s="16" t="s">
        <v>20</v>
      </c>
      <c r="B10" s="32">
        <v>0</v>
      </c>
      <c r="C10" s="32" t="s">
        <v>9</v>
      </c>
      <c r="D10" s="32">
        <v>2</v>
      </c>
      <c r="E10" s="32"/>
      <c r="F10" s="41" t="str">
        <f t="shared" si="2"/>
        <v>-</v>
      </c>
      <c r="G10" s="33">
        <f t="shared" si="3"/>
        <v>8.9686098654708515E-2</v>
      </c>
      <c r="H10" s="6" t="s">
        <v>21</v>
      </c>
      <c r="I10" s="32"/>
      <c r="J10" s="3"/>
      <c r="K10" s="3"/>
      <c r="L10" s="3"/>
      <c r="M10" s="3"/>
      <c r="N10" s="3"/>
      <c r="O10" s="3"/>
    </row>
    <row r="11" spans="1:15" ht="18.75" x14ac:dyDescent="0.25">
      <c r="A11" s="16" t="s">
        <v>22</v>
      </c>
      <c r="B11" s="32">
        <v>122</v>
      </c>
      <c r="C11" s="32">
        <v>159</v>
      </c>
      <c r="D11" s="32">
        <v>146</v>
      </c>
      <c r="E11" s="32"/>
      <c r="F11" s="41">
        <f t="shared" si="2"/>
        <v>-8.9041095890410951</v>
      </c>
      <c r="G11" s="33">
        <f t="shared" si="3"/>
        <v>6.5470852017937213</v>
      </c>
      <c r="H11" s="6" t="s">
        <v>23</v>
      </c>
      <c r="I11" s="32"/>
      <c r="J11" s="3"/>
      <c r="K11" s="3"/>
      <c r="L11" s="3"/>
      <c r="M11" s="3"/>
      <c r="N11" s="3"/>
      <c r="O11" s="3"/>
    </row>
    <row r="12" spans="1:15" ht="18.75" x14ac:dyDescent="0.25">
      <c r="A12" s="16" t="s">
        <v>24</v>
      </c>
      <c r="B12" s="32">
        <v>184</v>
      </c>
      <c r="C12" s="32">
        <v>210</v>
      </c>
      <c r="D12" s="32">
        <v>207</v>
      </c>
      <c r="E12" s="32"/>
      <c r="F12" s="41">
        <f t="shared" si="2"/>
        <v>-1.4492753623188406</v>
      </c>
      <c r="G12" s="33">
        <f t="shared" si="3"/>
        <v>9.2825112107623315</v>
      </c>
      <c r="H12" s="6" t="s">
        <v>25</v>
      </c>
      <c r="I12" s="32"/>
      <c r="J12" s="3"/>
      <c r="K12" s="3"/>
      <c r="L12" s="3"/>
      <c r="M12" s="3"/>
      <c r="N12" s="3"/>
      <c r="O12" s="3"/>
    </row>
    <row r="13" spans="1:15" ht="18.75" x14ac:dyDescent="0.25">
      <c r="A13" s="16" t="s">
        <v>26</v>
      </c>
      <c r="B13" s="32">
        <v>79</v>
      </c>
      <c r="C13" s="32">
        <v>47</v>
      </c>
      <c r="D13" s="32">
        <v>55</v>
      </c>
      <c r="E13" s="32"/>
      <c r="F13" s="41">
        <f t="shared" si="2"/>
        <v>14.545454545454545</v>
      </c>
      <c r="G13" s="33">
        <f t="shared" si="3"/>
        <v>2.4663677130044843</v>
      </c>
      <c r="H13" s="7" t="s">
        <v>4</v>
      </c>
      <c r="I13" s="32"/>
      <c r="J13" s="3"/>
      <c r="K13" s="3"/>
      <c r="L13" s="3"/>
      <c r="M13" s="3"/>
      <c r="N13" s="3"/>
      <c r="O13" s="3"/>
    </row>
    <row r="14" spans="1:15" s="11" customFormat="1" ht="18.75" x14ac:dyDescent="0.15">
      <c r="A14" s="4" t="s">
        <v>27</v>
      </c>
      <c r="B14" s="26">
        <f t="shared" ref="B14" si="4">SUM(B15:B20)</f>
        <v>151</v>
      </c>
      <c r="C14" s="26">
        <f>SUM(C15:C20)</f>
        <v>168</v>
      </c>
      <c r="D14" s="26">
        <v>178</v>
      </c>
      <c r="E14" s="26"/>
      <c r="F14" s="27">
        <f t="shared" si="2"/>
        <v>5.6179775280898872</v>
      </c>
      <c r="G14" s="28">
        <f t="shared" si="3"/>
        <v>7.9820627802690582</v>
      </c>
      <c r="H14" s="29" t="s">
        <v>28</v>
      </c>
      <c r="I14" s="26"/>
      <c r="J14" s="31"/>
      <c r="K14" s="31"/>
      <c r="L14" s="31"/>
      <c r="M14" s="31"/>
      <c r="N14" s="31"/>
      <c r="O14" s="31"/>
    </row>
    <row r="15" spans="1:15" ht="18.75" x14ac:dyDescent="0.25">
      <c r="A15" s="16" t="s">
        <v>16</v>
      </c>
      <c r="B15" s="32">
        <v>48</v>
      </c>
      <c r="C15" s="32">
        <v>59</v>
      </c>
      <c r="D15" s="32">
        <v>46</v>
      </c>
      <c r="E15" s="32"/>
      <c r="F15" s="41">
        <f t="shared" si="2"/>
        <v>-28.260869565217391</v>
      </c>
      <c r="G15" s="33">
        <f t="shared" si="3"/>
        <v>2.0627802690582961</v>
      </c>
      <c r="H15" s="6" t="s">
        <v>17</v>
      </c>
      <c r="I15" s="32"/>
      <c r="J15" s="3"/>
      <c r="K15" s="3"/>
      <c r="L15" s="3"/>
      <c r="M15" s="3"/>
      <c r="N15" s="3"/>
      <c r="O15" s="3"/>
    </row>
    <row r="16" spans="1:15" ht="18.75" x14ac:dyDescent="0.25">
      <c r="A16" s="16" t="s">
        <v>18</v>
      </c>
      <c r="B16" s="32">
        <v>55</v>
      </c>
      <c r="C16" s="32">
        <v>70</v>
      </c>
      <c r="D16" s="32">
        <v>83</v>
      </c>
      <c r="E16" s="32"/>
      <c r="F16" s="41">
        <f t="shared" si="2"/>
        <v>15.66265060240964</v>
      </c>
      <c r="G16" s="33">
        <f t="shared" si="3"/>
        <v>3.7219730941704032</v>
      </c>
      <c r="H16" s="6" t="s">
        <v>19</v>
      </c>
      <c r="I16" s="32"/>
      <c r="J16" s="3"/>
      <c r="K16" s="3"/>
      <c r="L16" s="3"/>
      <c r="M16" s="3"/>
      <c r="N16" s="3"/>
      <c r="O16" s="3"/>
    </row>
    <row r="17" spans="1:16" ht="18.75" x14ac:dyDescent="0.25">
      <c r="A17" s="16" t="s">
        <v>20</v>
      </c>
      <c r="B17" s="32">
        <v>15</v>
      </c>
      <c r="C17" s="32">
        <v>6</v>
      </c>
      <c r="D17" s="32">
        <v>9</v>
      </c>
      <c r="E17" s="32"/>
      <c r="F17" s="41">
        <f t="shared" si="2"/>
        <v>33.333333333333329</v>
      </c>
      <c r="G17" s="33">
        <f t="shared" si="3"/>
        <v>0.40358744394618834</v>
      </c>
      <c r="H17" s="6" t="s">
        <v>21</v>
      </c>
      <c r="I17" s="32"/>
      <c r="J17" s="3"/>
      <c r="K17" s="3"/>
      <c r="L17" s="3"/>
      <c r="M17" s="3"/>
      <c r="N17" s="3"/>
      <c r="O17" s="3"/>
    </row>
    <row r="18" spans="1:16" ht="18.75" x14ac:dyDescent="0.25">
      <c r="A18" s="16" t="s">
        <v>22</v>
      </c>
      <c r="B18" s="32">
        <v>6</v>
      </c>
      <c r="C18" s="32">
        <v>6</v>
      </c>
      <c r="D18" s="32">
        <v>7</v>
      </c>
      <c r="E18" s="32"/>
      <c r="F18" s="41">
        <f t="shared" si="2"/>
        <v>14.285714285714285</v>
      </c>
      <c r="G18" s="33">
        <f t="shared" si="3"/>
        <v>0.31390134529147978</v>
      </c>
      <c r="H18" s="6" t="s">
        <v>23</v>
      </c>
      <c r="I18" s="32"/>
      <c r="J18" s="3"/>
      <c r="K18" s="3"/>
      <c r="L18" s="3"/>
      <c r="M18" s="3"/>
      <c r="N18" s="3"/>
      <c r="O18" s="3"/>
    </row>
    <row r="19" spans="1:16" ht="18.75" x14ac:dyDescent="0.25">
      <c r="A19" s="16" t="s">
        <v>24</v>
      </c>
      <c r="B19" s="32">
        <v>23</v>
      </c>
      <c r="C19" s="32">
        <v>26</v>
      </c>
      <c r="D19" s="32">
        <v>29</v>
      </c>
      <c r="E19" s="32"/>
      <c r="F19" s="41">
        <f t="shared" si="2"/>
        <v>10.344827586206897</v>
      </c>
      <c r="G19" s="33">
        <f t="shared" si="3"/>
        <v>1.3004484304932735</v>
      </c>
      <c r="H19" s="6" t="s">
        <v>25</v>
      </c>
      <c r="I19" s="32"/>
      <c r="J19" s="3"/>
      <c r="K19" s="3"/>
      <c r="L19" s="3"/>
      <c r="M19" s="3"/>
      <c r="N19" s="3"/>
      <c r="O19" s="3"/>
    </row>
    <row r="20" spans="1:16" s="9" customFormat="1" ht="18.75" x14ac:dyDescent="0.25">
      <c r="A20" s="16" t="s">
        <v>3</v>
      </c>
      <c r="B20" s="32">
        <v>4</v>
      </c>
      <c r="C20" s="32">
        <v>1</v>
      </c>
      <c r="D20" s="32">
        <v>4</v>
      </c>
      <c r="E20" s="32"/>
      <c r="F20" s="41">
        <f t="shared" si="2"/>
        <v>75</v>
      </c>
      <c r="G20" s="33">
        <f t="shared" si="3"/>
        <v>0.17937219730941703</v>
      </c>
      <c r="H20" s="7" t="s">
        <v>4</v>
      </c>
      <c r="I20" s="32"/>
      <c r="J20" s="10"/>
      <c r="K20" s="10"/>
      <c r="L20" s="10"/>
      <c r="M20" s="10"/>
      <c r="N20" s="10"/>
      <c r="O20" s="10"/>
    </row>
    <row r="21" spans="1:16" s="30" customFormat="1" ht="38.25" x14ac:dyDescent="0.25">
      <c r="A21" s="34" t="s">
        <v>29</v>
      </c>
      <c r="B21" s="35">
        <v>8</v>
      </c>
      <c r="C21" s="35">
        <v>13</v>
      </c>
      <c r="D21" s="35">
        <v>6</v>
      </c>
      <c r="E21" s="36"/>
      <c r="F21" s="37">
        <f t="shared" si="2"/>
        <v>-116.66666666666667</v>
      </c>
      <c r="G21" s="38">
        <f t="shared" si="3"/>
        <v>0.26905829596412556</v>
      </c>
      <c r="H21" s="18" t="s">
        <v>30</v>
      </c>
      <c r="I21" s="26"/>
      <c r="J21" s="31"/>
      <c r="K21" s="31"/>
      <c r="L21" s="31"/>
      <c r="M21" s="31"/>
      <c r="N21" s="31"/>
    </row>
    <row r="22" spans="1:16" ht="15.6" customHeight="1" x14ac:dyDescent="0.25">
      <c r="A22" s="13" t="s">
        <v>5</v>
      </c>
      <c r="B22" s="12"/>
      <c r="C22" s="12"/>
      <c r="D22" s="12"/>
      <c r="E22" s="12"/>
      <c r="F22" s="12"/>
      <c r="G22" s="22"/>
      <c r="H22" s="22" t="s">
        <v>6</v>
      </c>
      <c r="J22" s="3"/>
      <c r="K22" s="3"/>
      <c r="L22" s="3"/>
      <c r="M22" s="3"/>
      <c r="N22" s="3"/>
      <c r="O22" s="3"/>
    </row>
    <row r="23" spans="1:16" ht="25.5" customHeight="1" x14ac:dyDescent="0.25">
      <c r="A23" s="17"/>
      <c r="J23" s="3"/>
      <c r="K23" s="3"/>
      <c r="L23" s="3"/>
      <c r="M23" s="3"/>
      <c r="N23" s="3"/>
      <c r="O23" s="3"/>
    </row>
    <row r="24" spans="1:16" x14ac:dyDescent="0.25">
      <c r="J24" s="3"/>
      <c r="K24" s="3"/>
      <c r="L24" s="3"/>
      <c r="M24" s="3"/>
      <c r="N24" s="3"/>
      <c r="O24" s="3"/>
    </row>
    <row r="25" spans="1:16" x14ac:dyDescent="0.25">
      <c r="J25" s="3"/>
      <c r="K25" s="3"/>
      <c r="L25" s="3"/>
      <c r="M25" s="3"/>
      <c r="N25" s="3"/>
      <c r="O25" s="3"/>
    </row>
    <row r="26" spans="1:16" x14ac:dyDescent="0.25">
      <c r="J26" s="3"/>
      <c r="L26" s="3"/>
      <c r="M26" s="3"/>
      <c r="N26" s="3"/>
      <c r="O26" s="3"/>
    </row>
    <row r="27" spans="1:16" x14ac:dyDescent="0.25">
      <c r="J27" s="3"/>
      <c r="L27" s="3"/>
      <c r="M27" s="3"/>
      <c r="N27" s="3"/>
      <c r="O27" s="3"/>
    </row>
    <row r="28" spans="1:16" ht="17.25" x14ac:dyDescent="0.25">
      <c r="A28" s="14"/>
      <c r="B28" s="5"/>
      <c r="C28" s="5"/>
      <c r="D28" s="5"/>
      <c r="E28" s="5"/>
      <c r="F28" s="8"/>
      <c r="G28" s="8"/>
      <c r="H28" s="15"/>
      <c r="J28" s="3"/>
      <c r="K28" s="3"/>
      <c r="L28" s="3"/>
      <c r="M28" s="3"/>
      <c r="N28" s="3"/>
      <c r="O28" s="3"/>
    </row>
    <row r="29" spans="1:16" x14ac:dyDescent="0.25">
      <c r="J29" s="3"/>
      <c r="K29" s="3"/>
      <c r="L29" s="3"/>
      <c r="M29" s="3"/>
      <c r="N29" s="4"/>
      <c r="O29" s="26"/>
      <c r="P29" s="39"/>
    </row>
    <row r="30" spans="1:16" x14ac:dyDescent="0.25">
      <c r="J30" s="3"/>
      <c r="K30" s="3"/>
      <c r="L30" s="3"/>
      <c r="M30" s="3"/>
      <c r="N30" s="4"/>
      <c r="O30" s="26"/>
      <c r="P30" s="39"/>
    </row>
    <row r="31" spans="1:16" x14ac:dyDescent="0.25">
      <c r="N31" s="4"/>
      <c r="O31" s="26"/>
      <c r="P31" s="39"/>
    </row>
    <row r="32" spans="1:16" x14ac:dyDescent="0.25">
      <c r="N32" s="9"/>
      <c r="O32" s="9"/>
    </row>
    <row r="33" spans="14:15" x14ac:dyDescent="0.25">
      <c r="N33" s="9"/>
      <c r="O33" s="9"/>
    </row>
    <row r="34" spans="14:15" x14ac:dyDescent="0.25">
      <c r="N34" s="9"/>
      <c r="O34" s="9"/>
    </row>
    <row r="35" spans="14:15" x14ac:dyDescent="0.25">
      <c r="N35" s="9"/>
      <c r="O35" s="9"/>
    </row>
    <row r="36" spans="14:15" x14ac:dyDescent="0.25">
      <c r="N36" s="9"/>
      <c r="O36" s="9"/>
    </row>
    <row r="37" spans="14:15" x14ac:dyDescent="0.25">
      <c r="N37" s="9"/>
      <c r="O37" s="9"/>
    </row>
  </sheetData>
  <mergeCells count="7">
    <mergeCell ref="D3:D5"/>
    <mergeCell ref="H3:H5"/>
    <mergeCell ref="A1:H1"/>
    <mergeCell ref="A2:H2"/>
    <mergeCell ref="A3:A5"/>
    <mergeCell ref="B3:B5"/>
    <mergeCell ref="C3:C5"/>
  </mergeCells>
  <pageMargins left="0.7" right="0.7" top="0.75" bottom="0.75" header="0.3" footer="0.3"/>
  <pageSetup paperSize="9" scale="79" orientation="portrait" horizontalDpi="4294967295" verticalDpi="4294967295" r:id="rId1"/>
  <ignoredErrors>
    <ignoredError sqref="B14:E14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8.8</vt:lpstr>
      <vt:lpstr>'8.8'!Print_Area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2019-09-16T08:44:16Z</dcterms:modified>
</cp:coreProperties>
</file>