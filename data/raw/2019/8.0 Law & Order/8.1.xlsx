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New folder\"/>
    </mc:Choice>
  </mc:AlternateContent>
  <bookViews>
    <workbookView xWindow="0" yWindow="0" windowWidth="28800" windowHeight="12330" tabRatio="923"/>
  </bookViews>
  <sheets>
    <sheet name="8.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Print_Area" localSheetId="0">'8.1'!$A$1:$H$67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Q44" i="1" l="1"/>
  <c r="AQ45" i="1"/>
  <c r="AQ46" i="1"/>
  <c r="AQ47" i="1"/>
  <c r="AQ48" i="1"/>
  <c r="AP48" i="1"/>
  <c r="AP47" i="1"/>
  <c r="AP46" i="1"/>
  <c r="AP45" i="1"/>
  <c r="AP44" i="1"/>
  <c r="F30" i="1"/>
  <c r="AK29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D5" i="1"/>
  <c r="E30" i="1" s="1"/>
  <c r="C5" i="1"/>
  <c r="B5" i="1"/>
  <c r="E7" i="1" l="1"/>
  <c r="E14" i="1"/>
  <c r="E5" i="1"/>
  <c r="E6" i="1"/>
  <c r="E10" i="1"/>
  <c r="E11" i="1"/>
  <c r="E19" i="1"/>
  <c r="E8" i="1"/>
  <c r="E16" i="1"/>
  <c r="E21" i="1"/>
  <c r="E23" i="1"/>
  <c r="E25" i="1"/>
  <c r="E27" i="1"/>
  <c r="E29" i="1"/>
  <c r="E13" i="1"/>
  <c r="E18" i="1"/>
  <c r="E15" i="1"/>
  <c r="F5" i="1"/>
  <c r="E12" i="1"/>
  <c r="E20" i="1"/>
  <c r="E22" i="1"/>
  <c r="E24" i="1"/>
  <c r="E26" i="1"/>
  <c r="E28" i="1"/>
  <c r="E9" i="1"/>
  <c r="E17" i="1"/>
</calcChain>
</file>

<file path=xl/sharedStrings.xml><?xml version="1.0" encoding="utf-8"?>
<sst xmlns="http://schemas.openxmlformats.org/spreadsheetml/2006/main" count="93" uniqueCount="60">
  <si>
    <t>Logged Cases</t>
  </si>
  <si>
    <t>ބެހިފައިވާ ގޮތް އިންސައްތައިން</t>
  </si>
  <si>
    <t>2017އާއި އަޅާބަލާއިރު 2018ގައި އިތުރުވި މިންވަރު (%)</t>
  </si>
  <si>
    <t>ހުށަހެޅިފައިވާ މައްސަލަތައް</t>
  </si>
  <si>
    <t>% share 2018</t>
  </si>
  <si>
    <t>% change over 2017</t>
  </si>
  <si>
    <t>Theft</t>
  </si>
  <si>
    <t>Total</t>
  </si>
  <si>
    <t>wlcmuj</t>
  </si>
  <si>
    <t>Traffic accidents</t>
  </si>
  <si>
    <t>ވައްކަން</t>
  </si>
  <si>
    <t>Drugs</t>
  </si>
  <si>
    <t>ޓްރެފިކް</t>
  </si>
  <si>
    <t>Assault</t>
  </si>
  <si>
    <t>Others</t>
  </si>
  <si>
    <t>މަސްތުވާތަކެތި</t>
  </si>
  <si>
    <t>Lost Items</t>
  </si>
  <si>
    <t>ގެއްލޭތަކެތި</t>
  </si>
  <si>
    <t>Robbery</t>
  </si>
  <si>
    <t>މާރާމާރީ</t>
  </si>
  <si>
    <t>Vandalism</t>
  </si>
  <si>
    <t>މުދަލަށް ގެއްލުންދިނުން</t>
  </si>
  <si>
    <t>Threats; False Alarms</t>
  </si>
  <si>
    <t>ފޭރުން</t>
  </si>
  <si>
    <t>Embezzlement</t>
  </si>
  <si>
    <t>Sexual offences</t>
  </si>
  <si>
    <t>ބަދުއަޙްލާޤީ</t>
  </si>
  <si>
    <t>Domestic violence</t>
  </si>
  <si>
    <t>މަކަރާއި ޙީލަތް</t>
  </si>
  <si>
    <t>Counterfeit and forgery</t>
  </si>
  <si>
    <t>އާއިލީ</t>
  </si>
  <si>
    <t>Disorderly Conduct</t>
  </si>
  <si>
    <t>ވަގުފައިސާ އަދި ފޯރޖްކުރުން</t>
  </si>
  <si>
    <t>Deceptive Practices</t>
  </si>
  <si>
    <t>އެހެނިހެން</t>
  </si>
  <si>
    <t>Arson</t>
  </si>
  <si>
    <t>ހުޅުޖެހުން</t>
  </si>
  <si>
    <t>Attempted Suicides</t>
  </si>
  <si>
    <t>އަމިއްލައަށް މަރުވާން އުޅުން</t>
  </si>
  <si>
    <t>Obstructing Justice</t>
  </si>
  <si>
    <t>Causing, Aiding or Soliciting Suicide</t>
  </si>
  <si>
    <t>އަމިއްލައަށް /  އެހެނިހެން ގޮތްގޮތަށް މަރުވުން</t>
  </si>
  <si>
    <t>Child Abandonment and Parental Duty of Care</t>
  </si>
  <si>
    <t>ދަރިންނަށް އިޙްމާލުވުން ފަދަ މައްސަލަތައް</t>
  </si>
  <si>
    <t>މަކަރުހެދުމާއި އޮޅުވާލުން</t>
  </si>
  <si>
    <t>އަޚްލާޤީ ގޮތުން ދަށުދަރަޖައިގެ ޢަމަލުތައް</t>
  </si>
  <si>
    <t>އަމުރަށް ނުކިޔަމަންތެރިވުމާއި ވާޖިބަށް ހުރަސްއެޅުން</t>
  </si>
  <si>
    <t>Producing or Distributing Obscene Material</t>
  </si>
  <si>
    <t>އޮރިޔާން ފޮޓޯ / ފިލްމުގެ މައްސަލަތައް</t>
  </si>
  <si>
    <t>Theft by Deception</t>
  </si>
  <si>
    <t>ޓެކުން އަދި ފްރޯޑް</t>
  </si>
  <si>
    <t>ބިރުދެއްކުމާއި އިންޒާރުދިނުން</t>
  </si>
  <si>
    <t>Trafficking, Manufacture, Sale, or Possession of Firearms or Catastrophic Agents</t>
  </si>
  <si>
    <t>ހަތިޔާރު / ގޮވާތަކެތީގެ މައްސަލަތައް</t>
  </si>
  <si>
    <t>Use of a Dangerous Weapon During an Offense</t>
  </si>
  <si>
    <t>ހަތިޔާރު ބޭނުންކުރުން</t>
  </si>
  <si>
    <t>Source: Maldives Police Service</t>
  </si>
  <si>
    <t>csivrws csilop cscviDclOm :Ivcaed utWmUluAwm</t>
  </si>
  <si>
    <t>ތާވަލު 8.1: ހުށަހެޅިފައިވާ މައްސަލަތައް، 2016- 2018</t>
  </si>
  <si>
    <t>Table 8.1: LOGGED CASES FROM THE YEAR, 2016 - 2018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</si>
</sst>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5" formatCode="0.0"/>
    <numFmt numFmtId="166" formatCode="_-* #,##0_-;\-* #,##0_-;_-* &quot;-&quot;??_-;_-@_-"/>
    <numFmt numFmtId="167" formatCode="#,##0.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Faruma"/>
      <family val="3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10"/>
      <name val="Faruma"/>
      <family val="3"/>
    </font>
    <font>
      <sz val="10"/>
      <color rgb="FFFF0000"/>
      <name val="Courier"/>
      <family val="3"/>
    </font>
    <font>
      <b/>
      <sz val="9.5"/>
      <color rgb="FF000000"/>
      <name val="Calibri"/>
      <family val="2"/>
      <scheme val="minor"/>
    </font>
    <font>
      <sz val="10"/>
      <name val="Faruma"/>
      <family val="3"/>
    </font>
    <font>
      <sz val="10"/>
      <color theme="1"/>
      <name val="Calibri"/>
      <family val="2"/>
      <scheme val="minor"/>
    </font>
    <font>
      <sz val="10"/>
      <color theme="1"/>
      <name val="Courier"/>
      <family val="3"/>
    </font>
    <font>
      <b/>
      <sz val="10"/>
      <name val="Calibri"/>
      <family val="2"/>
      <scheme val="minor"/>
    </font>
    <font>
      <b/>
      <sz val="10"/>
      <name val="A_Randhoo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color rgb="FF00000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sz val="11"/>
      <color indexed="8"/>
      <name val="Calibri"/>
      <family val="2"/>
    </font>
    <font>
      <sz val="10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6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167" fontId="27" fillId="0" borderId="0"/>
  </cellStyleXfs>
  <cellXfs count="62">
    <xf numFmtId="0" fontId="0" fillId="0" borderId="0" xfId="0"/>
    <xf numFmtId="164" fontId="0" fillId="2" borderId="0" xfId="0" applyNumberFormat="1" applyFill="1"/>
    <xf numFmtId="164" fontId="2" fillId="2" borderId="0" xfId="2" applyNumberFormat="1" applyFont="1" applyFill="1" applyAlignment="1">
      <alignment vertical="center"/>
    </xf>
    <xf numFmtId="164" fontId="7" fillId="2" borderId="3" xfId="0" applyNumberFormat="1" applyFont="1" applyFill="1" applyBorder="1" applyAlignment="1">
      <alignment vertical="center"/>
    </xf>
    <xf numFmtId="164" fontId="8" fillId="2" borderId="3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/>
    <xf numFmtId="164" fontId="7" fillId="2" borderId="4" xfId="0" applyNumberFormat="1" applyFont="1" applyFill="1" applyBorder="1" applyAlignment="1">
      <alignment vertical="center"/>
    </xf>
    <xf numFmtId="164" fontId="11" fillId="2" borderId="4" xfId="0" applyNumberFormat="1" applyFont="1" applyFill="1" applyBorder="1" applyAlignment="1">
      <alignment horizontal="center" vertical="center" wrapText="1"/>
    </xf>
    <xf numFmtId="164" fontId="13" fillId="2" borderId="0" xfId="0" applyNumberFormat="1" applyFont="1" applyFill="1" applyBorder="1" applyAlignment="1">
      <alignment horizontal="left" vertical="center"/>
    </xf>
    <xf numFmtId="165" fontId="14" fillId="2" borderId="0" xfId="0" applyNumberFormat="1" applyFont="1" applyFill="1" applyBorder="1"/>
    <xf numFmtId="164" fontId="7" fillId="2" borderId="0" xfId="0" applyNumberFormat="1" applyFont="1" applyFill="1" applyBorder="1" applyAlignment="1">
      <alignment vertical="center"/>
    </xf>
    <xf numFmtId="3" fontId="7" fillId="2" borderId="0" xfId="1" applyNumberFormat="1" applyFont="1" applyFill="1" applyBorder="1" applyAlignment="1">
      <alignment horizontal="right" vertical="center"/>
    </xf>
    <xf numFmtId="167" fontId="15" fillId="2" borderId="0" xfId="1" applyNumberFormat="1" applyFont="1" applyFill="1" applyBorder="1" applyAlignment="1">
      <alignment horizontal="right" vertical="center" indent="3"/>
    </xf>
    <xf numFmtId="167" fontId="15" fillId="2" borderId="0" xfId="1" applyNumberFormat="1" applyFont="1" applyFill="1" applyBorder="1" applyAlignment="1" applyProtection="1">
      <alignment horizontal="right" vertical="center" indent="3"/>
      <protection locked="0"/>
    </xf>
    <xf numFmtId="164" fontId="16" fillId="2" borderId="5" xfId="0" applyNumberFormat="1" applyFont="1" applyFill="1" applyBorder="1" applyAlignment="1" applyProtection="1">
      <alignment horizontal="right" vertical="center"/>
    </xf>
    <xf numFmtId="2" fontId="10" fillId="2" borderId="0" xfId="0" applyNumberFormat="1" applyFont="1" applyFill="1"/>
    <xf numFmtId="165" fontId="10" fillId="2" borderId="0" xfId="0" applyNumberFormat="1" applyFont="1" applyFill="1"/>
    <xf numFmtId="165" fontId="13" fillId="2" borderId="0" xfId="0" applyNumberFormat="1" applyFont="1" applyFill="1" applyAlignment="1">
      <alignment horizontal="right" vertical="top"/>
    </xf>
    <xf numFmtId="164" fontId="17" fillId="2" borderId="0" xfId="0" applyNumberFormat="1" applyFont="1" applyFill="1" applyBorder="1" applyAlignment="1">
      <alignment vertical="center"/>
    </xf>
    <xf numFmtId="3" fontId="17" fillId="2" borderId="0" xfId="1" applyNumberFormat="1" applyFont="1" applyFill="1" applyBorder="1" applyAlignment="1">
      <alignment horizontal="right" vertical="center"/>
    </xf>
    <xf numFmtId="3" fontId="19" fillId="2" borderId="0" xfId="0" applyNumberFormat="1" applyFont="1" applyFill="1" applyAlignment="1">
      <alignment horizontal="right" vertical="top"/>
    </xf>
    <xf numFmtId="167" fontId="19" fillId="2" borderId="0" xfId="1" applyNumberFormat="1" applyFont="1" applyFill="1" applyBorder="1" applyAlignment="1">
      <alignment horizontal="right" vertical="center" indent="3"/>
    </xf>
    <xf numFmtId="164" fontId="12" fillId="2" borderId="0" xfId="0" applyNumberFormat="1" applyFont="1" applyFill="1" applyBorder="1" applyAlignment="1" applyProtection="1">
      <alignment horizontal="right" vertical="center"/>
    </xf>
    <xf numFmtId="164" fontId="10" fillId="2" borderId="0" xfId="0" applyNumberFormat="1" applyFont="1" applyFill="1" applyAlignment="1">
      <alignment horizontal="center" vertical="top"/>
    </xf>
    <xf numFmtId="165" fontId="10" fillId="2" borderId="0" xfId="0" applyNumberFormat="1" applyFont="1" applyFill="1" applyAlignment="1">
      <alignment horizontal="center" vertical="top"/>
    </xf>
    <xf numFmtId="165" fontId="14" fillId="2" borderId="0" xfId="0" applyNumberFormat="1" applyFont="1" applyFill="1"/>
    <xf numFmtId="164" fontId="14" fillId="2" borderId="0" xfId="0" applyNumberFormat="1" applyFont="1" applyFill="1"/>
    <xf numFmtId="3" fontId="19" fillId="2" borderId="0" xfId="1" applyNumberFormat="1" applyFont="1" applyFill="1" applyAlignment="1">
      <alignment horizontal="right" vertical="center"/>
    </xf>
    <xf numFmtId="165" fontId="0" fillId="2" borderId="0" xfId="0" applyNumberFormat="1" applyFont="1" applyFill="1"/>
    <xf numFmtId="164" fontId="20" fillId="2" borderId="0" xfId="0" applyNumberFormat="1" applyFont="1" applyFill="1" applyBorder="1" applyAlignment="1">
      <alignment horizontal="left" vertical="center" indent="2"/>
    </xf>
    <xf numFmtId="164" fontId="21" fillId="2" borderId="0" xfId="0" applyNumberFormat="1" applyFont="1" applyFill="1" applyBorder="1" applyAlignment="1">
      <alignment horizontal="left" vertical="center" indent="2"/>
    </xf>
    <xf numFmtId="164" fontId="12" fillId="2" borderId="0" xfId="0" applyNumberFormat="1" applyFont="1" applyFill="1" applyBorder="1" applyAlignment="1" applyProtection="1">
      <alignment horizontal="right" vertical="center" indent="2"/>
    </xf>
    <xf numFmtId="164" fontId="22" fillId="2" borderId="0" xfId="0" applyNumberFormat="1" applyFont="1" applyFill="1" applyBorder="1" applyAlignment="1">
      <alignment horizontal="left" vertical="center" indent="2"/>
    </xf>
    <xf numFmtId="165" fontId="23" fillId="2" borderId="0" xfId="0" applyNumberFormat="1" applyFont="1" applyFill="1" applyAlignment="1">
      <alignment horizontal="right" vertical="top"/>
    </xf>
    <xf numFmtId="164" fontId="23" fillId="2" borderId="0" xfId="0" applyNumberFormat="1" applyFont="1" applyFill="1" applyBorder="1" applyAlignment="1">
      <alignment horizontal="left" vertical="center"/>
    </xf>
    <xf numFmtId="165" fontId="3" fillId="2" borderId="0" xfId="0" applyNumberFormat="1" applyFont="1" applyFill="1"/>
    <xf numFmtId="164" fontId="0" fillId="2" borderId="0" xfId="0" applyNumberFormat="1" applyFill="1" applyAlignment="1">
      <alignment horizontal="center" vertical="top"/>
    </xf>
    <xf numFmtId="164" fontId="0" fillId="2" borderId="0" xfId="0" applyNumberFormat="1" applyFill="1" applyBorder="1" applyAlignment="1">
      <alignment horizontal="center" vertical="top"/>
    </xf>
    <xf numFmtId="164" fontId="0" fillId="2" borderId="0" xfId="0" applyNumberFormat="1" applyFill="1" applyBorder="1"/>
    <xf numFmtId="164" fontId="22" fillId="2" borderId="4" xfId="0" applyNumberFormat="1" applyFont="1" applyFill="1" applyBorder="1" applyAlignment="1">
      <alignment horizontal="left" vertical="center" indent="2"/>
    </xf>
    <xf numFmtId="165" fontId="10" fillId="2" borderId="0" xfId="0" applyNumberFormat="1" applyFont="1" applyFill="1" applyBorder="1"/>
    <xf numFmtId="164" fontId="18" fillId="2" borderId="0" xfId="0" applyNumberFormat="1" applyFont="1" applyFill="1" applyBorder="1" applyAlignment="1">
      <alignment vertical="center"/>
    </xf>
    <xf numFmtId="165" fontId="0" fillId="2" borderId="0" xfId="0" applyNumberFormat="1" applyFill="1"/>
    <xf numFmtId="164" fontId="21" fillId="2" borderId="4" xfId="0" applyNumberFormat="1" applyFont="1" applyFill="1" applyBorder="1" applyAlignment="1">
      <alignment horizontal="left" vertical="center" indent="2"/>
    </xf>
    <xf numFmtId="3" fontId="19" fillId="2" borderId="4" xfId="0" applyNumberFormat="1" applyFont="1" applyFill="1" applyBorder="1" applyAlignment="1">
      <alignment horizontal="right" vertical="top"/>
    </xf>
    <xf numFmtId="164" fontId="12" fillId="2" borderId="4" xfId="0" applyNumberFormat="1" applyFont="1" applyFill="1" applyBorder="1" applyAlignment="1" applyProtection="1">
      <alignment horizontal="right" vertical="center" indent="2"/>
    </xf>
    <xf numFmtId="164" fontId="3" fillId="2" borderId="0" xfId="0" applyNumberFormat="1" applyFont="1" applyFill="1"/>
    <xf numFmtId="164" fontId="23" fillId="2" borderId="0" xfId="0" applyNumberFormat="1" applyFont="1" applyFill="1" applyBorder="1" applyAlignment="1">
      <alignment vertical="center"/>
    </xf>
    <xf numFmtId="164" fontId="24" fillId="2" borderId="6" xfId="0" applyNumberFormat="1" applyFont="1" applyFill="1" applyBorder="1" applyAlignment="1" applyProtection="1">
      <alignment horizontal="left" vertical="center"/>
    </xf>
    <xf numFmtId="164" fontId="25" fillId="2" borderId="6" xfId="0" applyNumberFormat="1" applyFont="1" applyFill="1" applyBorder="1" applyAlignment="1">
      <alignment horizontal="right"/>
    </xf>
    <xf numFmtId="167" fontId="19" fillId="2" borderId="0" xfId="1" applyNumberFormat="1" applyFont="1" applyFill="1" applyBorder="1" applyAlignment="1" applyProtection="1">
      <alignment vertical="center"/>
      <protection locked="0"/>
    </xf>
    <xf numFmtId="167" fontId="19" fillId="2" borderId="4" xfId="1" applyNumberFormat="1" applyFont="1" applyFill="1" applyBorder="1" applyAlignment="1">
      <alignment horizontal="right" vertical="center" indent="3"/>
    </xf>
    <xf numFmtId="164" fontId="7" fillId="2" borderId="3" xfId="0" applyNumberFormat="1" applyFont="1" applyFill="1" applyBorder="1" applyAlignment="1">
      <alignment horizontal="right" vertical="center"/>
    </xf>
    <xf numFmtId="164" fontId="7" fillId="2" borderId="4" xfId="0" applyNumberFormat="1" applyFont="1" applyFill="1" applyBorder="1" applyAlignment="1">
      <alignment horizontal="right" vertical="center"/>
    </xf>
    <xf numFmtId="164" fontId="9" fillId="2" borderId="3" xfId="0" applyNumberFormat="1" applyFont="1" applyFill="1" applyBorder="1" applyAlignment="1" applyProtection="1">
      <alignment horizontal="right" vertical="center" wrapText="1"/>
    </xf>
    <xf numFmtId="164" fontId="12" fillId="2" borderId="4" xfId="0" applyNumberFormat="1" applyFont="1" applyFill="1" applyBorder="1" applyAlignment="1">
      <alignment horizontal="right" vertical="center" wrapText="1"/>
    </xf>
    <xf numFmtId="164" fontId="4" fillId="2" borderId="1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top"/>
    </xf>
    <xf numFmtId="164" fontId="7" fillId="2" borderId="3" xfId="0" applyNumberFormat="1" applyFont="1" applyFill="1" applyBorder="1" applyAlignment="1">
      <alignment horizontal="left" vertical="center" wrapText="1"/>
    </xf>
    <xf numFmtId="164" fontId="7" fillId="2" borderId="4" xfId="0" applyNumberFormat="1" applyFont="1" applyFill="1" applyBorder="1" applyAlignment="1">
      <alignment horizontal="left" vertical="center" wrapText="1"/>
    </xf>
    <xf numFmtId="167" fontId="19" fillId="2" borderId="0" xfId="1" applyNumberFormat="1" applyFont="1" applyFill="1" applyBorder="1" applyAlignment="1" applyProtection="1">
      <alignment horizontal="right" vertical="center" indent="3"/>
      <protection locked="0"/>
    </xf>
    <xf numFmtId="167" fontId="19" fillId="2" borderId="4" xfId="1" applyNumberFormat="1" applyFont="1" applyFill="1" applyBorder="1" applyAlignment="1" applyProtection="1">
      <alignment horizontal="right" vertical="center" indent="3"/>
      <protection locked="0"/>
    </xf>
  </cellXfs>
  <cellStyles count="6">
    <cellStyle name="Comma" xfId="1" builtinId="3"/>
    <cellStyle name="Comma 2" xfId="3"/>
    <cellStyle name="Hyperlink" xfId="2" builtinId="8"/>
    <cellStyle name="Normal" xfId="0" builtinId="0"/>
    <cellStyle name="Normal 3" xfId="5"/>
    <cellStyle name="Percent 2" xfId="4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506272507044544E-2"/>
          <c:y val="0.12093906494282317"/>
          <c:w val="0.90162456892497678"/>
          <c:h val="0.84970562454668452"/>
        </c:manualLayout>
      </c:layout>
      <c:lineChart>
        <c:grouping val="standard"/>
        <c:varyColors val="0"/>
        <c:ser>
          <c:idx val="0"/>
          <c:order val="0"/>
          <c:tx>
            <c:strRef>
              <c:f>'8.1'!$AH$44</c:f>
              <c:strCache>
                <c:ptCount val="1"/>
                <c:pt idx="0">
                  <c:v>Theft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triangle"/>
            <c:size val="5"/>
            <c:spPr>
              <a:solidFill>
                <a:srgbClr val="FFC000"/>
              </a:solidFill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'8.1'!$AI$43:$AQ$43</c15:sqref>
                  </c15:fullRef>
                </c:ext>
              </c:extLst>
              <c:f>'8.1'!$AM$43:$AQ$43</c:f>
              <c:numCache>
                <c:formatCode>General_)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'8.1'!$AI$44:$AQ$44</c15:sqref>
                  </c15:fullRef>
                </c:ext>
              </c:extLst>
              <c:f>'8.1'!$AM$44:$AQ$44</c:f>
              <c:numCache>
                <c:formatCode>#,##0.0</c:formatCode>
                <c:ptCount val="5"/>
                <c:pt idx="0">
                  <c:v>-23.986233727367949</c:v>
                </c:pt>
                <c:pt idx="1">
                  <c:v>-21.102362204724407</c:v>
                </c:pt>
                <c:pt idx="2">
                  <c:v>-9.780439121756487</c:v>
                </c:pt>
                <c:pt idx="3">
                  <c:v>-3.125</c:v>
                </c:pt>
                <c:pt idx="4">
                  <c:v>-6.6514416214673133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F7-466B-9B1B-F14E1D8FAF48}"/>
            </c:ext>
          </c:extLst>
        </c:ser>
        <c:ser>
          <c:idx val="1"/>
          <c:order val="1"/>
          <c:tx>
            <c:strRef>
              <c:f>'8.1'!$AH$45</c:f>
              <c:strCache>
                <c:ptCount val="1"/>
                <c:pt idx="0">
                  <c:v>Traffic accidents</c:v>
                </c:pt>
              </c:strCache>
            </c:strRef>
          </c:tx>
          <c:spPr>
            <a:ln w="28575">
              <a:solidFill>
                <a:schemeClr val="accent4">
                  <a:lumMod val="50000"/>
                </a:schemeClr>
              </a:solidFill>
            </a:ln>
          </c:spPr>
          <c:marker>
            <c:symbol val="diamond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'8.1'!$AI$43:$AQ$43</c15:sqref>
                  </c15:fullRef>
                </c:ext>
              </c:extLst>
              <c:f>'8.1'!$AM$43:$AQ$43</c:f>
              <c:numCache>
                <c:formatCode>General_)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'8.1'!$AI$45:$AQ$45</c15:sqref>
                  </c15:fullRef>
                </c:ext>
              </c:extLst>
              <c:f>'8.1'!$AM$45:$AQ$45</c:f>
              <c:numCache>
                <c:formatCode>#,##0.0</c:formatCode>
                <c:ptCount val="5"/>
                <c:pt idx="0">
                  <c:v>10.725388601036268</c:v>
                </c:pt>
                <c:pt idx="1">
                  <c:v>-4.3518951801591017</c:v>
                </c:pt>
                <c:pt idx="2">
                  <c:v>9.6868884540117417</c:v>
                </c:pt>
                <c:pt idx="3">
                  <c:v>-6.1106155218554861</c:v>
                </c:pt>
                <c:pt idx="4">
                  <c:v>-4.6555819477434683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F7-466B-9B1B-F14E1D8FAF48}"/>
            </c:ext>
          </c:extLst>
        </c:ser>
        <c:ser>
          <c:idx val="2"/>
          <c:order val="2"/>
          <c:tx>
            <c:strRef>
              <c:f>'8.1'!$AH$46</c:f>
              <c:strCache>
                <c:ptCount val="1"/>
                <c:pt idx="0">
                  <c:v>Drugs</c:v>
                </c:pt>
              </c:strCache>
            </c:strRef>
          </c:tx>
          <c:spPr>
            <a:ln w="25400">
              <a:solidFill>
                <a:schemeClr val="bg1">
                  <a:lumMod val="65000"/>
                </a:schemeClr>
              </a:solidFill>
            </a:ln>
          </c:spPr>
          <c:marker>
            <c:symbol val="square"/>
            <c:size val="5"/>
            <c:spPr>
              <a:solidFill>
                <a:schemeClr val="bg2">
                  <a:lumMod val="50000"/>
                </a:schemeClr>
              </a:solidFill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'8.1'!$AI$43:$AQ$43</c15:sqref>
                  </c15:fullRef>
                </c:ext>
              </c:extLst>
              <c:f>'8.1'!$AM$43:$AQ$43</c:f>
              <c:numCache>
                <c:formatCode>General_)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'8.1'!$AI$46:$AQ$46</c15:sqref>
                  </c15:fullRef>
                </c:ext>
              </c:extLst>
              <c:f>'8.1'!$AM$46:$AQ$46</c:f>
              <c:numCache>
                <c:formatCode>#,##0.0</c:formatCode>
                <c:ptCount val="5"/>
                <c:pt idx="0">
                  <c:v>-20.807061790668349</c:v>
                </c:pt>
                <c:pt idx="1">
                  <c:v>-33.789808917197448</c:v>
                </c:pt>
                <c:pt idx="2">
                  <c:v>14.237614237614238</c:v>
                </c:pt>
                <c:pt idx="3">
                  <c:v>-14.189473684210526</c:v>
                </c:pt>
                <c:pt idx="4">
                  <c:v>9.4210009813542683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F7-466B-9B1B-F14E1D8FAF48}"/>
            </c:ext>
          </c:extLst>
        </c:ser>
        <c:ser>
          <c:idx val="3"/>
          <c:order val="3"/>
          <c:tx>
            <c:strRef>
              <c:f>'8.1'!$AH$47</c:f>
              <c:strCache>
                <c:ptCount val="1"/>
                <c:pt idx="0">
                  <c:v>Lost Items</c:v>
                </c:pt>
              </c:strCache>
            </c:strRef>
          </c:tx>
          <c:spPr>
            <a:ln w="25400">
              <a:solidFill>
                <a:schemeClr val="accent4">
                  <a:lumMod val="75000"/>
                </a:schemeClr>
              </a:solidFill>
            </a:ln>
          </c:spPr>
          <c:marker>
            <c:symbol val="x"/>
            <c:size val="5"/>
            <c:spPr>
              <a:solidFill>
                <a:srgbClr val="FF0000"/>
              </a:solidFill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'8.1'!$AI$43:$AQ$43</c15:sqref>
                  </c15:fullRef>
                </c:ext>
              </c:extLst>
              <c:f>'8.1'!$AM$43:$AQ$43</c:f>
              <c:numCache>
                <c:formatCode>General_)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'8.1'!$AI$47:$AQ$47</c15:sqref>
                  </c15:fullRef>
                </c:ext>
              </c:extLst>
              <c:f>'8.1'!$AM$47:$AQ$47</c:f>
              <c:numCache>
                <c:formatCode>#,##0.0</c:formatCode>
                <c:ptCount val="5"/>
                <c:pt idx="0">
                  <c:v>1.5632879475542107</c:v>
                </c:pt>
                <c:pt idx="1">
                  <c:v>-14.995034756703079</c:v>
                </c:pt>
                <c:pt idx="2">
                  <c:v>6.83411214953271</c:v>
                </c:pt>
                <c:pt idx="3">
                  <c:v>-9.5133952979770378</c:v>
                </c:pt>
                <c:pt idx="4">
                  <c:v>7.9758308157099691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F7-466B-9B1B-F14E1D8FAF48}"/>
            </c:ext>
          </c:extLst>
        </c:ser>
        <c:ser>
          <c:idx val="4"/>
          <c:order val="4"/>
          <c:tx>
            <c:strRef>
              <c:f>'8.1'!$AH$48</c:f>
              <c:strCache>
                <c:ptCount val="1"/>
                <c:pt idx="0">
                  <c:v>Assault</c:v>
                </c:pt>
              </c:strCache>
            </c:strRef>
          </c:tx>
          <c:spPr>
            <a:ln w="25400">
              <a:solidFill>
                <a:srgbClr val="4C3A00"/>
              </a:solidFill>
            </a:ln>
          </c:spPr>
          <c:marker>
            <c:symbol val="circle"/>
            <c:size val="5"/>
            <c:spPr>
              <a:solidFill>
                <a:srgbClr val="92D050"/>
              </a:solidFill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'8.1'!$AI$43:$AQ$43</c15:sqref>
                  </c15:fullRef>
                </c:ext>
              </c:extLst>
              <c:f>'8.1'!$AM$43:$AQ$43</c:f>
              <c:numCache>
                <c:formatCode>General_)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'8.1'!$AI$48:$AQ$48</c15:sqref>
                  </c15:fullRef>
                </c:ext>
              </c:extLst>
              <c:f>'8.1'!$AM$48:$AQ$48</c:f>
              <c:numCache>
                <c:formatCode>#,##0.0</c:formatCode>
                <c:ptCount val="5"/>
                <c:pt idx="0">
                  <c:v>-17.610550814584951</c:v>
                </c:pt>
                <c:pt idx="1">
                  <c:v>-11.111111111111111</c:v>
                </c:pt>
                <c:pt idx="2">
                  <c:v>-17.266949152542374</c:v>
                </c:pt>
                <c:pt idx="3">
                  <c:v>-1.4084507042253522</c:v>
                </c:pt>
                <c:pt idx="4">
                  <c:v>-2.2077922077922079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F7-466B-9B1B-F14E1D8FA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08480"/>
        <c:axId val="193622016"/>
      </c:lineChart>
      <c:catAx>
        <c:axId val="193508480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crossAx val="193622016"/>
        <c:crosses val="autoZero"/>
        <c:auto val="1"/>
        <c:lblAlgn val="ctr"/>
        <c:lblOffset val="100"/>
        <c:noMultiLvlLbl val="0"/>
      </c:catAx>
      <c:valAx>
        <c:axId val="193622016"/>
        <c:scaling>
          <c:orientation val="minMax"/>
          <c:min val="-35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</a:t>
                </a:r>
              </a:p>
            </c:rich>
          </c:tx>
          <c:layout>
            <c:manualLayout>
              <c:xMode val="edge"/>
              <c:yMode val="edge"/>
              <c:x val="1.0039534863014074E-2"/>
              <c:y val="0.36723912469521192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</c:spPr>
        <c:crossAx val="193508480"/>
        <c:crosses val="autoZero"/>
        <c:crossBetween val="between"/>
      </c:valAx>
      <c:spPr>
        <a:solidFill>
          <a:srgbClr val="FFFAEB"/>
        </a:solidFill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911770880984377"/>
          <c:y val="0.1920778565257584"/>
          <c:w val="0.66489464194823211"/>
          <c:h val="5.858759639138806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Figure 8.1: Percentage share of logged cases, 2018</a:t>
            </a:r>
            <a:endParaRPr lang="en-US" sz="1400">
              <a:effectLst/>
            </a:endParaRPr>
          </a:p>
        </c:rich>
      </c:tx>
      <c:layout>
        <c:manualLayout>
          <c:xMode val="edge"/>
          <c:yMode val="edge"/>
          <c:x val="0.23895219767015891"/>
          <c:y val="2.2186745428642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331972626984068"/>
          <c:y val="0.2132323846121818"/>
          <c:w val="0.34283815301612403"/>
          <c:h val="0.7572534206749603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58-454E-B63F-2C29FB2B88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5A58-454E-B63F-2C29FB2B88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58-454E-B63F-2C29FB2B88D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A58-454E-B63F-2C29FB2B88D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A58-454E-B63F-2C29FB2B88D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A58-454E-B63F-2C29FB2B88D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A58-454E-B63F-2C29FB2B88D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A58-454E-B63F-2C29FB2B88D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A58-454E-B63F-2C29FB2B88D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A58-454E-B63F-2C29FB2B88D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A58-454E-B63F-2C29FB2B88D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A58-454E-B63F-2C29FB2B88DE}"/>
              </c:ext>
            </c:extLst>
          </c:dPt>
          <c:dLbls>
            <c:dLbl>
              <c:idx val="0"/>
              <c:layout>
                <c:manualLayout>
                  <c:x val="-5.9766719855604361E-2"/>
                  <c:y val="0.1627799657207269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5A58-454E-B63F-2C29FB2B88DE}"/>
                </c:ext>
              </c:extLst>
            </c:dLbl>
            <c:dLbl>
              <c:idx val="1"/>
              <c:layout>
                <c:manualLayout>
                  <c:x val="-0.13047934355678492"/>
                  <c:y val="-5.406016116581926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C-5A58-454E-B63F-2C29FB2B88DE}"/>
                </c:ext>
              </c:extLst>
            </c:dLbl>
            <c:dLbl>
              <c:idx val="2"/>
              <c:layout>
                <c:manualLayout>
                  <c:x val="-4.8219541162386574E-2"/>
                  <c:y val="-0.1503977066911706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5A58-454E-B63F-2C29FB2B88DE}"/>
                </c:ext>
              </c:extLst>
            </c:dLbl>
            <c:dLbl>
              <c:idx val="3"/>
              <c:layout>
                <c:manualLayout>
                  <c:x val="7.149233715566225E-2"/>
                  <c:y val="-0.1678512612851371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5A58-454E-B63F-2C29FB2B88DE}"/>
                </c:ext>
              </c:extLst>
            </c:dLbl>
            <c:dLbl>
              <c:idx val="11"/>
              <c:layout>
                <c:manualLayout>
                  <c:x val="7.6996588317094633E-2"/>
                  <c:y val="0.180997628689043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5A58-454E-B63F-2C29FB2B88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'8.1'!$A$6:$A$17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'8.1'!$E$6:$E$17</c:f>
              <c:numCache>
                <c:formatCode>#,##0.0</c:formatCode>
                <c:ptCount val="12"/>
                <c:pt idx="0">
                  <c:v>22.078185132671663</c:v>
                </c:pt>
                <c:pt idx="1">
                  <c:v>13.550739315373708</c:v>
                </c:pt>
                <c:pt idx="2">
                  <c:v>15.056377017081898</c:v>
                </c:pt>
                <c:pt idx="3">
                  <c:v>12.065356829383568</c:v>
                </c:pt>
                <c:pt idx="4">
                  <c:v>5.0840591452298964</c:v>
                </c:pt>
                <c:pt idx="5">
                  <c:v>3.186820606306124</c:v>
                </c:pt>
                <c:pt idx="6">
                  <c:v>3.6256836135304846</c:v>
                </c:pt>
                <c:pt idx="7">
                  <c:v>2.4373776247383701</c:v>
                </c:pt>
                <c:pt idx="8">
                  <c:v>3.4838971035041522</c:v>
                </c:pt>
                <c:pt idx="9">
                  <c:v>1.6204172574437916</c:v>
                </c:pt>
                <c:pt idx="10">
                  <c:v>0.47937343866045506</c:v>
                </c:pt>
                <c:pt idx="11">
                  <c:v>17.33171291607589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5A58-454E-B63F-2C29FB2B8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1619249</xdr:colOff>
      <xdr:row>49</xdr:row>
      <xdr:rowOff>180975</xdr:rowOff>
    </xdr:from>
    <xdr:to>
      <xdr:col>6</xdr:col>
      <xdr:colOff>409575</xdr:colOff>
      <xdr:row>66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E80A56-DA04-4890-88C1-0B1D00873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1662680</xdr:colOff>
      <xdr:row>31</xdr:row>
      <xdr:rowOff>149206</xdr:rowOff>
    </xdr:from>
    <xdr:to>
      <xdr:col>6</xdr:col>
      <xdr:colOff>399966</xdr:colOff>
      <xdr:row>48</xdr:row>
      <xdr:rowOff>116589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0.14563</cdr:x>
      <cdr:y>0.02268</cdr:y>
    </cdr:from>
    <cdr:to>
      <cdr:x>0.84639</cdr:x>
      <cdr:y>0.08299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95376" y="73025"/>
          <a:ext cx="5270811" cy="1941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8.2: Percentage change in selected crimes, 2014 - 2018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8.%20LAW%20AND%20ORDER%20-%20Police%20workingsfinal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-%20JS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BFYMW6J1\8.%20LAW%20AND%20ORDER-%20JSC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%20-%20DJA%20J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">
          <cell r="A7" t="str">
            <v>Drugs</v>
          </cell>
          <cell r="H7">
            <v>1857</v>
          </cell>
        </row>
        <row r="14">
          <cell r="A14" t="str">
            <v>Alcohol</v>
          </cell>
          <cell r="H14">
            <v>168</v>
          </cell>
        </row>
        <row r="21">
          <cell r="A21" t="str">
            <v>Other cases related to drug offences</v>
          </cell>
          <cell r="H21">
            <v>13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U6" t="str">
            <v>Male</v>
          </cell>
          <cell r="V6" t="str">
            <v>Female</v>
          </cell>
        </row>
        <row r="8">
          <cell r="U8">
            <v>1191</v>
          </cell>
          <cell r="V8">
            <v>940</v>
          </cell>
        </row>
      </sheetData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  <cell r="V91" t="str">
            <v>Number of islands with majistrate courts</v>
          </cell>
        </row>
        <row r="92">
          <cell r="T92" t="str">
            <v>HA</v>
          </cell>
          <cell r="U92">
            <v>9</v>
          </cell>
          <cell r="V92">
            <v>14</v>
          </cell>
        </row>
        <row r="93">
          <cell r="T93" t="str">
            <v>HDh</v>
          </cell>
          <cell r="U93">
            <v>8</v>
          </cell>
          <cell r="V93">
            <v>13</v>
          </cell>
        </row>
        <row r="94">
          <cell r="T94" t="str">
            <v>Sh</v>
          </cell>
          <cell r="U94">
            <v>4</v>
          </cell>
          <cell r="V94">
            <v>13</v>
          </cell>
        </row>
        <row r="95">
          <cell r="T95" t="str">
            <v>N</v>
          </cell>
          <cell r="U95">
            <v>5</v>
          </cell>
          <cell r="V95">
            <v>13</v>
          </cell>
        </row>
        <row r="96">
          <cell r="T96" t="str">
            <v>R</v>
          </cell>
          <cell r="U96">
            <v>14</v>
          </cell>
          <cell r="V96">
            <v>15</v>
          </cell>
        </row>
        <row r="97">
          <cell r="T97" t="str">
            <v>B</v>
          </cell>
          <cell r="U97">
            <v>6</v>
          </cell>
          <cell r="V97">
            <v>13</v>
          </cell>
        </row>
        <row r="98">
          <cell r="T98" t="str">
            <v>Lh</v>
          </cell>
          <cell r="U98">
            <v>4</v>
          </cell>
          <cell r="V98">
            <v>4</v>
          </cell>
        </row>
        <row r="99">
          <cell r="T99" t="str">
            <v>K</v>
          </cell>
          <cell r="U99">
            <v>10</v>
          </cell>
          <cell r="V99">
            <v>9</v>
          </cell>
        </row>
        <row r="100">
          <cell r="T100" t="str">
            <v>AA</v>
          </cell>
          <cell r="U100">
            <v>4</v>
          </cell>
          <cell r="V100">
            <v>8</v>
          </cell>
        </row>
        <row r="101">
          <cell r="T101" t="str">
            <v>ADh</v>
          </cell>
          <cell r="U101">
            <v>7</v>
          </cell>
          <cell r="V101">
            <v>10</v>
          </cell>
        </row>
        <row r="102">
          <cell r="T102" t="str">
            <v>V</v>
          </cell>
          <cell r="U102">
            <v>2</v>
          </cell>
          <cell r="V102">
            <v>5</v>
          </cell>
        </row>
        <row r="103">
          <cell r="T103" t="str">
            <v>M</v>
          </cell>
          <cell r="U103">
            <v>5</v>
          </cell>
          <cell r="V103">
            <v>8</v>
          </cell>
        </row>
        <row r="104">
          <cell r="T104" t="str">
            <v>F</v>
          </cell>
          <cell r="U104">
            <v>4</v>
          </cell>
          <cell r="V104">
            <v>5</v>
          </cell>
        </row>
        <row r="105">
          <cell r="T105" t="str">
            <v>Dh</v>
          </cell>
          <cell r="U105">
            <v>5</v>
          </cell>
          <cell r="V105">
            <v>6</v>
          </cell>
        </row>
        <row r="106">
          <cell r="T106" t="str">
            <v>Th</v>
          </cell>
          <cell r="U106">
            <v>8</v>
          </cell>
          <cell r="V106">
            <v>13</v>
          </cell>
        </row>
        <row r="107">
          <cell r="T107" t="str">
            <v>L</v>
          </cell>
          <cell r="U107">
            <v>11</v>
          </cell>
          <cell r="V107">
            <v>11</v>
          </cell>
        </row>
        <row r="108">
          <cell r="T108" t="str">
            <v>GA</v>
          </cell>
          <cell r="U108">
            <v>8</v>
          </cell>
          <cell r="V108">
            <v>9</v>
          </cell>
        </row>
        <row r="109">
          <cell r="T109" t="str">
            <v>GDh</v>
          </cell>
          <cell r="U109">
            <v>10</v>
          </cell>
          <cell r="V109">
            <v>9</v>
          </cell>
        </row>
        <row r="110">
          <cell r="T110" t="str">
            <v>Gn</v>
          </cell>
          <cell r="U110">
            <v>4</v>
          </cell>
          <cell r="V110">
            <v>1</v>
          </cell>
        </row>
        <row r="111">
          <cell r="T111" t="str">
            <v>S</v>
          </cell>
          <cell r="U111">
            <v>7</v>
          </cell>
          <cell r="V111">
            <v>6</v>
          </cell>
        </row>
        <row r="129">
          <cell r="S129" t="str">
            <v>Atolls</v>
          </cell>
          <cell r="U129">
            <v>69.948186528497416</v>
          </cell>
        </row>
        <row r="130">
          <cell r="S130" t="str">
            <v>Male'</v>
          </cell>
          <cell r="U130">
            <v>30.051813471502591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</row>
        <row r="129">
          <cell r="S129" t="str">
            <v>Atolls</v>
          </cell>
          <cell r="U129">
            <v>69.543147208121823</v>
          </cell>
        </row>
        <row r="130">
          <cell r="S130" t="str">
            <v>Male'</v>
          </cell>
          <cell r="U130">
            <v>30.456852791878177</v>
          </cell>
        </row>
      </sheetData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"/>
      <sheetName val="8.22"/>
      <sheetName val="8.23"/>
      <sheetName val="8.24"/>
      <sheetName val="8.25"/>
      <sheetName val="8.30"/>
      <sheetName val="8.31"/>
      <sheetName val="8.56"/>
      <sheetName val="8.57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4">
          <cell r="N14">
            <v>2016</v>
          </cell>
          <cell r="O14"/>
          <cell r="P14">
            <v>2017</v>
          </cell>
          <cell r="Q14"/>
          <cell r="R14">
            <v>2018</v>
          </cell>
          <cell r="S14"/>
        </row>
        <row r="15">
          <cell r="N15" t="str">
            <v>Male</v>
          </cell>
          <cell r="O15" t="str">
            <v>Female</v>
          </cell>
          <cell r="P15" t="str">
            <v>Male</v>
          </cell>
          <cell r="Q15" t="str">
            <v>Female</v>
          </cell>
          <cell r="R15" t="str">
            <v>Male</v>
          </cell>
          <cell r="S15" t="str">
            <v>Female</v>
          </cell>
        </row>
        <row r="16">
          <cell r="M16" t="str">
            <v xml:space="preserve">Above 18 </v>
          </cell>
          <cell r="N16">
            <v>1356</v>
          </cell>
          <cell r="O16">
            <v>52</v>
          </cell>
          <cell r="P16">
            <v>1475</v>
          </cell>
          <cell r="Q16">
            <v>61</v>
          </cell>
          <cell r="R16">
            <v>53</v>
          </cell>
          <cell r="S16">
            <v>987</v>
          </cell>
        </row>
        <row r="17">
          <cell r="M17" t="str">
            <v xml:space="preserve">Below 18 </v>
          </cell>
          <cell r="N17">
            <v>108</v>
          </cell>
          <cell r="O17">
            <v>7</v>
          </cell>
          <cell r="P17">
            <v>23</v>
          </cell>
          <cell r="Q17">
            <v>3</v>
          </cell>
          <cell r="R17">
            <v>1</v>
          </cell>
          <cell r="S17">
            <v>10</v>
          </cell>
        </row>
      </sheetData>
      <sheetData sheetId="8">
        <row r="5">
          <cell r="B5">
            <v>2016</v>
          </cell>
          <cell r="C5">
            <v>2017</v>
          </cell>
          <cell r="D5">
            <v>2018</v>
          </cell>
        </row>
        <row r="7">
          <cell r="A7" t="str">
            <v>Below 18</v>
          </cell>
          <cell r="B7">
            <v>51</v>
          </cell>
          <cell r="C7">
            <v>34</v>
          </cell>
          <cell r="D7">
            <v>14</v>
          </cell>
        </row>
        <row r="8">
          <cell r="A8" t="str">
            <v>18-25</v>
          </cell>
          <cell r="B8">
            <v>682</v>
          </cell>
          <cell r="C8">
            <v>708</v>
          </cell>
          <cell r="D8">
            <v>441</v>
          </cell>
        </row>
        <row r="9">
          <cell r="A9" t="str">
            <v>26-35</v>
          </cell>
          <cell r="B9">
            <v>550</v>
          </cell>
          <cell r="C9">
            <v>554</v>
          </cell>
          <cell r="D9">
            <v>373</v>
          </cell>
        </row>
        <row r="10">
          <cell r="A10" t="str">
            <v>36-45</v>
          </cell>
          <cell r="B10">
            <v>193</v>
          </cell>
          <cell r="C10">
            <v>204</v>
          </cell>
          <cell r="D10">
            <v>175</v>
          </cell>
        </row>
        <row r="11">
          <cell r="A11" t="str">
            <v>46-55</v>
          </cell>
          <cell r="B11">
            <v>42</v>
          </cell>
          <cell r="C11">
            <v>58</v>
          </cell>
          <cell r="D11">
            <v>43</v>
          </cell>
        </row>
        <row r="12">
          <cell r="A12" t="str">
            <v>Above 55</v>
          </cell>
          <cell r="B12">
            <v>5</v>
          </cell>
          <cell r="C12">
            <v>4</v>
          </cell>
          <cell r="D12">
            <v>5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Q48"/>
  <sheetViews>
    <sheetView tabSelected="1" zoomScale="89" zoomScaleNormal="89" workbookViewId="0">
      <selection activeCell="M1" sqref="M1:U1048576"/>
    </sheetView>
  </sheetViews>
  <sheetFormatPr defaultColWidth="9.140625" defaultRowHeight="15" x14ac:dyDescent="0.25"/>
  <cols>
    <col min="1" max="1" width="63.28515625" style="1" customWidth="1"/>
    <col min="2" max="2" width="10" style="1" customWidth="1"/>
    <col min="3" max="4" width="11.85546875" style="1" customWidth="1"/>
    <col min="5" max="5" width="15.5703125" style="1" customWidth="1"/>
    <col min="6" max="6" width="18.28515625" style="1" customWidth="1"/>
    <col min="7" max="7" width="31.140625" style="1" bestFit="1" customWidth="1"/>
    <col min="8" max="9" width="2.140625" style="1" customWidth="1"/>
    <col min="10" max="10" width="9.140625" style="1"/>
    <col min="11" max="11" width="22.140625" style="1" bestFit="1" customWidth="1"/>
    <col min="12" max="23" width="9.140625" style="1"/>
    <col min="24" max="29" width="9" style="1" customWidth="1"/>
    <col min="30" max="34" width="9.140625" style="1"/>
    <col min="35" max="35" width="13.28515625" style="1" customWidth="1"/>
    <col min="36" max="16384" width="9.140625" style="1"/>
  </cols>
  <sheetData>
    <row r="1" spans="1:37" ht="21.75" x14ac:dyDescent="0.25">
      <c r="A1" s="56" t="s">
        <v>58</v>
      </c>
      <c r="B1" s="56"/>
      <c r="C1" s="56"/>
      <c r="D1" s="56"/>
      <c r="E1" s="56"/>
      <c r="F1" s="56"/>
      <c r="G1" s="56"/>
    </row>
    <row r="2" spans="1:37" ht="21.75" customHeight="1" x14ac:dyDescent="0.25">
      <c r="A2" s="57" t="s">
        <v>59</v>
      </c>
      <c r="B2" s="57"/>
      <c r="C2" s="57"/>
      <c r="D2" s="57"/>
      <c r="E2" s="57"/>
      <c r="F2" s="57"/>
      <c r="G2" s="57"/>
      <c r="K2" s="2"/>
    </row>
    <row r="3" spans="1:37" ht="51.75" x14ac:dyDescent="0.25">
      <c r="A3" s="58" t="s">
        <v>0</v>
      </c>
      <c r="B3" s="52">
        <v>2016</v>
      </c>
      <c r="C3" s="52">
        <v>2017</v>
      </c>
      <c r="D3" s="3">
        <v>2018</v>
      </c>
      <c r="E3" s="4" t="s">
        <v>1</v>
      </c>
      <c r="F3" s="4" t="s">
        <v>2</v>
      </c>
      <c r="G3" s="54" t="s">
        <v>3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37" x14ac:dyDescent="0.25">
      <c r="A4" s="59"/>
      <c r="B4" s="53"/>
      <c r="C4" s="53"/>
      <c r="D4" s="6"/>
      <c r="E4" s="7" t="s">
        <v>4</v>
      </c>
      <c r="F4" s="7" t="s">
        <v>5</v>
      </c>
      <c r="G4" s="5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J4" s="8" t="s">
        <v>6</v>
      </c>
      <c r="AK4" s="9">
        <v>22.549082716446733</v>
      </c>
    </row>
    <row r="5" spans="1:37" ht="15.75" x14ac:dyDescent="0.25">
      <c r="A5" s="10" t="s">
        <v>7</v>
      </c>
      <c r="B5" s="11">
        <f>SUM(B6:B17)</f>
        <v>16287</v>
      </c>
      <c r="C5" s="11">
        <f>SUM(C6:C17)</f>
        <v>15535</v>
      </c>
      <c r="D5" s="11">
        <f>SUM(D6:D17)</f>
        <v>14811</v>
      </c>
      <c r="E5" s="12">
        <f t="shared" ref="E5:E30" si="0">D5/$D$5*100</f>
        <v>100</v>
      </c>
      <c r="F5" s="13">
        <f t="shared" ref="F5:F30" si="1">((D5-C5)/C5)*100</f>
        <v>-4.6604441583521083</v>
      </c>
      <c r="G5" s="14" t="s">
        <v>8</v>
      </c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15"/>
      <c r="AH5" s="5"/>
      <c r="AI5" s="16"/>
      <c r="AJ5" s="8" t="s">
        <v>9</v>
      </c>
      <c r="AK5" s="17">
        <v>13.55004827808175</v>
      </c>
    </row>
    <row r="6" spans="1:37" ht="18.75" x14ac:dyDescent="0.25">
      <c r="A6" s="18" t="s">
        <v>6</v>
      </c>
      <c r="B6" s="19">
        <v>3616</v>
      </c>
      <c r="C6" s="20">
        <v>3503</v>
      </c>
      <c r="D6" s="20">
        <v>3270</v>
      </c>
      <c r="E6" s="21">
        <f t="shared" si="0"/>
        <v>22.078185132671663</v>
      </c>
      <c r="F6" s="60">
        <f t="shared" si="1"/>
        <v>-6.6514416214673133</v>
      </c>
      <c r="G6" s="22" t="s">
        <v>10</v>
      </c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15"/>
      <c r="AH6" s="23"/>
      <c r="AI6" s="24"/>
      <c r="AJ6" s="8" t="s">
        <v>11</v>
      </c>
      <c r="AK6" s="25">
        <v>13.118764081107177</v>
      </c>
    </row>
    <row r="7" spans="1:37" ht="18.75" x14ac:dyDescent="0.25">
      <c r="A7" s="18" t="s">
        <v>9</v>
      </c>
      <c r="B7" s="19">
        <v>2242</v>
      </c>
      <c r="C7" s="20">
        <v>2105</v>
      </c>
      <c r="D7" s="20">
        <v>2007</v>
      </c>
      <c r="E7" s="21">
        <f t="shared" si="0"/>
        <v>13.550739315373708</v>
      </c>
      <c r="F7" s="60">
        <f t="shared" si="1"/>
        <v>-4.6555819477434683</v>
      </c>
      <c r="G7" s="22" t="s">
        <v>12</v>
      </c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15"/>
      <c r="AH7" s="5"/>
      <c r="AI7" s="16"/>
      <c r="AJ7" s="18" t="s">
        <v>14</v>
      </c>
      <c r="AK7" s="1">
        <v>12.095268747988413</v>
      </c>
    </row>
    <row r="8" spans="1:37" ht="18.75" x14ac:dyDescent="0.25">
      <c r="A8" s="18" t="s">
        <v>11</v>
      </c>
      <c r="B8" s="19">
        <v>2375</v>
      </c>
      <c r="C8" s="20">
        <v>2038</v>
      </c>
      <c r="D8" s="20">
        <v>2230</v>
      </c>
      <c r="E8" s="21">
        <f t="shared" si="0"/>
        <v>15.056377017081898</v>
      </c>
      <c r="F8" s="60">
        <f t="shared" si="1"/>
        <v>9.4210009813542683</v>
      </c>
      <c r="G8" s="22" t="s">
        <v>15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15"/>
      <c r="AH8" s="5"/>
      <c r="AI8" s="16"/>
      <c r="AJ8" s="8" t="s">
        <v>16</v>
      </c>
      <c r="AK8" s="26">
        <v>10.653363373028645</v>
      </c>
    </row>
    <row r="9" spans="1:37" ht="18.75" x14ac:dyDescent="0.25">
      <c r="A9" s="18" t="s">
        <v>16</v>
      </c>
      <c r="B9" s="27">
        <v>1829</v>
      </c>
      <c r="C9" s="20">
        <v>1655</v>
      </c>
      <c r="D9" s="20">
        <v>1787</v>
      </c>
      <c r="E9" s="21">
        <f t="shared" si="0"/>
        <v>12.065356829383568</v>
      </c>
      <c r="F9" s="60">
        <f t="shared" si="1"/>
        <v>7.9758308157099691</v>
      </c>
      <c r="G9" s="22" t="s">
        <v>17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15"/>
      <c r="AH9" s="5"/>
      <c r="AI9" s="16"/>
      <c r="AJ9" s="8" t="s">
        <v>13</v>
      </c>
      <c r="AK9" s="28">
        <v>4.9565497264242033</v>
      </c>
    </row>
    <row r="10" spans="1:37" ht="18.75" x14ac:dyDescent="0.25">
      <c r="A10" s="18" t="s">
        <v>13</v>
      </c>
      <c r="B10" s="19">
        <v>781</v>
      </c>
      <c r="C10" s="20">
        <v>770</v>
      </c>
      <c r="D10" s="20">
        <v>753</v>
      </c>
      <c r="E10" s="21">
        <f t="shared" si="0"/>
        <v>5.0840591452298964</v>
      </c>
      <c r="F10" s="60">
        <f t="shared" si="1"/>
        <v>-2.2077922077922079</v>
      </c>
      <c r="G10" s="22" t="s">
        <v>19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15"/>
      <c r="AH10" s="5"/>
      <c r="AI10" s="16"/>
      <c r="AJ10" s="8" t="s">
        <v>18</v>
      </c>
      <c r="AK10" s="9">
        <v>4.2613453492114584</v>
      </c>
    </row>
    <row r="11" spans="1:37" ht="18.75" x14ac:dyDescent="0.25">
      <c r="A11" s="18" t="s">
        <v>20</v>
      </c>
      <c r="B11" s="19">
        <v>359</v>
      </c>
      <c r="C11" s="20">
        <v>455</v>
      </c>
      <c r="D11" s="20">
        <v>472</v>
      </c>
      <c r="E11" s="21">
        <f t="shared" si="0"/>
        <v>3.186820606306124</v>
      </c>
      <c r="F11" s="60">
        <f t="shared" si="1"/>
        <v>3.7362637362637363</v>
      </c>
      <c r="G11" s="22" t="s">
        <v>21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15"/>
      <c r="AH11" s="5"/>
      <c r="AI11" s="16"/>
      <c r="AJ11" s="29" t="s">
        <v>22</v>
      </c>
      <c r="AK11" s="28">
        <v>4.119729642742195</v>
      </c>
    </row>
    <row r="12" spans="1:37" ht="18.75" x14ac:dyDescent="0.25">
      <c r="A12" s="18" t="s">
        <v>18</v>
      </c>
      <c r="B12" s="19">
        <v>716</v>
      </c>
      <c r="C12" s="20">
        <v>662</v>
      </c>
      <c r="D12" s="20">
        <v>537</v>
      </c>
      <c r="E12" s="21">
        <f t="shared" si="0"/>
        <v>3.6256836135304846</v>
      </c>
      <c r="F12" s="60">
        <f t="shared" si="1"/>
        <v>-18.882175226586103</v>
      </c>
      <c r="G12" s="22" t="s">
        <v>23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15"/>
      <c r="AH12" s="5"/>
      <c r="AI12" s="16"/>
      <c r="AJ12" s="8" t="s">
        <v>24</v>
      </c>
      <c r="AK12" s="17">
        <v>3.3344061795944637</v>
      </c>
    </row>
    <row r="13" spans="1:37" ht="18.75" x14ac:dyDescent="0.25">
      <c r="A13" s="18" t="s">
        <v>25</v>
      </c>
      <c r="B13" s="19">
        <v>467</v>
      </c>
      <c r="C13" s="20">
        <v>417</v>
      </c>
      <c r="D13" s="20">
        <v>361</v>
      </c>
      <c r="E13" s="21">
        <f t="shared" si="0"/>
        <v>2.4373776247383701</v>
      </c>
      <c r="F13" s="60">
        <f t="shared" si="1"/>
        <v>-13.429256594724221</v>
      </c>
      <c r="G13" s="22" t="s">
        <v>26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15"/>
      <c r="AH13" s="5"/>
      <c r="AI13" s="16"/>
      <c r="AJ13" s="8" t="s">
        <v>20</v>
      </c>
      <c r="AK13" s="28">
        <v>2.9288702928870292</v>
      </c>
    </row>
    <row r="14" spans="1:37" ht="18.75" x14ac:dyDescent="0.25">
      <c r="A14" s="18" t="s">
        <v>24</v>
      </c>
      <c r="B14" s="19">
        <v>523</v>
      </c>
      <c r="C14" s="20">
        <v>518</v>
      </c>
      <c r="D14" s="20">
        <v>516</v>
      </c>
      <c r="E14" s="21">
        <f t="shared" si="0"/>
        <v>3.4838971035041522</v>
      </c>
      <c r="F14" s="60">
        <f t="shared" si="1"/>
        <v>-0.38610038610038611</v>
      </c>
      <c r="G14" s="22" t="s">
        <v>28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15"/>
      <c r="AH14" s="5"/>
      <c r="AI14" s="16"/>
      <c r="AJ14" s="8" t="s">
        <v>25</v>
      </c>
      <c r="AK14" s="17">
        <v>2.6842613453492112</v>
      </c>
    </row>
    <row r="15" spans="1:37" ht="18.75" x14ac:dyDescent="0.25">
      <c r="A15" s="18" t="s">
        <v>27</v>
      </c>
      <c r="B15" s="19">
        <v>305</v>
      </c>
      <c r="C15" s="20">
        <v>279</v>
      </c>
      <c r="D15" s="20">
        <v>240</v>
      </c>
      <c r="E15" s="21">
        <f t="shared" si="0"/>
        <v>1.6204172574437916</v>
      </c>
      <c r="F15" s="60">
        <f t="shared" si="1"/>
        <v>-13.978494623655912</v>
      </c>
      <c r="G15" s="22" t="s">
        <v>30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15"/>
      <c r="AH15" s="5"/>
      <c r="AI15" s="16"/>
      <c r="AJ15" s="29" t="s">
        <v>31</v>
      </c>
      <c r="AK15" s="17">
        <v>1.9826198905696812</v>
      </c>
    </row>
    <row r="16" spans="1:37" ht="18.75" x14ac:dyDescent="0.25">
      <c r="A16" s="18" t="s">
        <v>29</v>
      </c>
      <c r="B16" s="19">
        <v>97</v>
      </c>
      <c r="C16" s="20">
        <v>86</v>
      </c>
      <c r="D16" s="20">
        <v>71</v>
      </c>
      <c r="E16" s="21">
        <f t="shared" si="0"/>
        <v>0.47937343866045506</v>
      </c>
      <c r="F16" s="60">
        <f t="shared" si="1"/>
        <v>-17.441860465116278</v>
      </c>
      <c r="G16" s="22" t="s">
        <v>32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15"/>
      <c r="AH16" s="5"/>
      <c r="AI16" s="16"/>
      <c r="AJ16" s="29" t="s">
        <v>33</v>
      </c>
      <c r="AK16" s="17">
        <v>1.9697457354361119</v>
      </c>
    </row>
    <row r="17" spans="1:37" ht="18.75" x14ac:dyDescent="0.25">
      <c r="A17" s="18" t="s">
        <v>14</v>
      </c>
      <c r="B17" s="19">
        <v>2977</v>
      </c>
      <c r="C17" s="19">
        <v>3047</v>
      </c>
      <c r="D17" s="20">
        <v>2567</v>
      </c>
      <c r="E17" s="21">
        <f t="shared" si="0"/>
        <v>17.33171291607589</v>
      </c>
      <c r="F17" s="60">
        <f t="shared" si="1"/>
        <v>-15.753199868723334</v>
      </c>
      <c r="G17" s="22" t="s">
        <v>34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15"/>
      <c r="AH17" s="5"/>
      <c r="AI17" s="16"/>
      <c r="AJ17" s="8" t="s">
        <v>27</v>
      </c>
      <c r="AK17" s="28">
        <v>1.7959446411329256</v>
      </c>
    </row>
    <row r="18" spans="1:37" ht="18.75" x14ac:dyDescent="0.25">
      <c r="A18" s="30" t="s">
        <v>35</v>
      </c>
      <c r="B18" s="20">
        <v>101</v>
      </c>
      <c r="C18" s="20">
        <v>105</v>
      </c>
      <c r="D18" s="20">
        <v>29</v>
      </c>
      <c r="E18" s="21">
        <f t="shared" si="0"/>
        <v>0.19580041860779149</v>
      </c>
      <c r="F18" s="60">
        <f t="shared" si="1"/>
        <v>-72.38095238095238</v>
      </c>
      <c r="G18" s="31" t="s">
        <v>36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15"/>
      <c r="AH18" s="5"/>
      <c r="AI18" s="16"/>
    </row>
    <row r="19" spans="1:37" ht="18.75" x14ac:dyDescent="0.25">
      <c r="A19" s="30" t="s">
        <v>37</v>
      </c>
      <c r="B19" s="20">
        <v>59</v>
      </c>
      <c r="C19" s="20">
        <v>70</v>
      </c>
      <c r="D19" s="20">
        <v>36</v>
      </c>
      <c r="E19" s="21">
        <f t="shared" si="0"/>
        <v>0.24306258861656876</v>
      </c>
      <c r="F19" s="60">
        <f t="shared" si="1"/>
        <v>-48.571428571428569</v>
      </c>
      <c r="G19" s="31" t="s">
        <v>38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15"/>
      <c r="AH19" s="5"/>
      <c r="AI19" s="16"/>
      <c r="AJ19" s="32" t="s">
        <v>39</v>
      </c>
      <c r="AK19" s="33">
        <v>0.90762793691663979</v>
      </c>
    </row>
    <row r="20" spans="1:37" ht="18.75" x14ac:dyDescent="0.25">
      <c r="A20" s="30" t="s">
        <v>40</v>
      </c>
      <c r="B20" s="20">
        <v>47</v>
      </c>
      <c r="C20" s="20">
        <v>54</v>
      </c>
      <c r="D20" s="20">
        <v>55</v>
      </c>
      <c r="E20" s="21">
        <f t="shared" si="0"/>
        <v>0.37134562149753558</v>
      </c>
      <c r="F20" s="60">
        <f t="shared" si="1"/>
        <v>1.8518518518518516</v>
      </c>
      <c r="G20" s="31" t="s">
        <v>41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15"/>
      <c r="AH20" s="5"/>
      <c r="AI20" s="16"/>
      <c r="AJ20" s="32" t="s">
        <v>35</v>
      </c>
      <c r="AK20" s="33">
        <v>0.67589314451239135</v>
      </c>
    </row>
    <row r="21" spans="1:37" ht="18.75" x14ac:dyDescent="0.25">
      <c r="A21" s="30" t="s">
        <v>42</v>
      </c>
      <c r="B21" s="20">
        <v>77</v>
      </c>
      <c r="C21" s="20">
        <v>71</v>
      </c>
      <c r="D21" s="20">
        <v>58</v>
      </c>
      <c r="E21" s="21">
        <f t="shared" si="0"/>
        <v>0.39160083721558298</v>
      </c>
      <c r="F21" s="60">
        <f t="shared" si="1"/>
        <v>-18.30985915492958</v>
      </c>
      <c r="G21" s="31" t="s">
        <v>43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15"/>
      <c r="AH21" s="5"/>
      <c r="AI21" s="16"/>
      <c r="AJ21" s="34" t="s">
        <v>29</v>
      </c>
      <c r="AK21" s="33">
        <v>0.5535886707434825</v>
      </c>
    </row>
    <row r="22" spans="1:37" ht="18.75" x14ac:dyDescent="0.25">
      <c r="A22" s="30" t="s">
        <v>33</v>
      </c>
      <c r="B22" s="20">
        <v>275</v>
      </c>
      <c r="C22" s="20">
        <v>306</v>
      </c>
      <c r="D22" s="20">
        <v>246</v>
      </c>
      <c r="E22" s="21">
        <f t="shared" si="0"/>
        <v>1.6609276888798867</v>
      </c>
      <c r="F22" s="60">
        <f t="shared" si="1"/>
        <v>-19.607843137254903</v>
      </c>
      <c r="G22" s="31" t="s">
        <v>44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15"/>
      <c r="AH22" s="5"/>
      <c r="AI22" s="16"/>
      <c r="AJ22" s="32" t="s">
        <v>42</v>
      </c>
      <c r="AK22" s="33">
        <v>0.45703250724171229</v>
      </c>
    </row>
    <row r="23" spans="1:37" ht="18.75" x14ac:dyDescent="0.25">
      <c r="A23" s="30" t="s">
        <v>31</v>
      </c>
      <c r="B23" s="20">
        <v>286</v>
      </c>
      <c r="C23" s="20">
        <v>308</v>
      </c>
      <c r="D23" s="20">
        <v>213</v>
      </c>
      <c r="E23" s="21">
        <f t="shared" si="0"/>
        <v>1.4381203159813651</v>
      </c>
      <c r="F23" s="60">
        <f t="shared" si="1"/>
        <v>-30.844155844155846</v>
      </c>
      <c r="G23" s="31" t="s">
        <v>45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15"/>
      <c r="AH23" s="5"/>
      <c r="AI23" s="16"/>
      <c r="AJ23" s="32" t="s">
        <v>37</v>
      </c>
      <c r="AK23" s="35">
        <v>0.45059542967492755</v>
      </c>
    </row>
    <row r="24" spans="1:37" ht="18.75" x14ac:dyDescent="0.25">
      <c r="A24" s="30" t="s">
        <v>39</v>
      </c>
      <c r="B24" s="20">
        <v>147</v>
      </c>
      <c r="C24" s="20">
        <v>141</v>
      </c>
      <c r="D24" s="20">
        <v>92</v>
      </c>
      <c r="E24" s="21">
        <f t="shared" si="0"/>
        <v>0.62115994868678692</v>
      </c>
      <c r="F24" s="60">
        <f t="shared" si="1"/>
        <v>-34.751773049645394</v>
      </c>
      <c r="G24" s="31" t="s">
        <v>46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J24" s="32" t="s">
        <v>47</v>
      </c>
      <c r="AK24" s="33">
        <v>0.41841004184100417</v>
      </c>
    </row>
    <row r="25" spans="1:37" s="36" customFormat="1" ht="18.75" x14ac:dyDescent="0.25">
      <c r="A25" s="30" t="s">
        <v>47</v>
      </c>
      <c r="B25" s="20">
        <v>72</v>
      </c>
      <c r="C25" s="20">
        <v>65</v>
      </c>
      <c r="D25" s="20">
        <v>87</v>
      </c>
      <c r="E25" s="21">
        <f t="shared" si="0"/>
        <v>0.58740125582337455</v>
      </c>
      <c r="F25" s="60">
        <f t="shared" si="1"/>
        <v>33.846153846153847</v>
      </c>
      <c r="G25" s="31" t="s">
        <v>48</v>
      </c>
      <c r="J25" s="37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J25" s="32" t="s">
        <v>40</v>
      </c>
      <c r="AK25" s="35">
        <v>0.34760218860637271</v>
      </c>
    </row>
    <row r="26" spans="1:37" s="36" customFormat="1" ht="18.75" x14ac:dyDescent="0.25">
      <c r="A26" s="30" t="s">
        <v>49</v>
      </c>
      <c r="B26" s="20">
        <v>55</v>
      </c>
      <c r="C26" s="20">
        <v>52</v>
      </c>
      <c r="D26" s="20">
        <v>28</v>
      </c>
      <c r="E26" s="21">
        <f t="shared" si="0"/>
        <v>0.18904868003510902</v>
      </c>
      <c r="F26" s="60">
        <f t="shared" si="1"/>
        <v>-46.153846153846153</v>
      </c>
      <c r="G26" s="31" t="s">
        <v>50</v>
      </c>
      <c r="J26" s="37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J26" s="32" t="s">
        <v>49</v>
      </c>
      <c r="AK26" s="35">
        <v>0.33472803347280333</v>
      </c>
    </row>
    <row r="27" spans="1:37" ht="18.75" x14ac:dyDescent="0.25">
      <c r="A27" s="30" t="s">
        <v>22</v>
      </c>
      <c r="B27" s="20">
        <v>599</v>
      </c>
      <c r="C27" s="20">
        <v>640</v>
      </c>
      <c r="D27" s="20">
        <v>536</v>
      </c>
      <c r="E27" s="21">
        <f t="shared" si="0"/>
        <v>3.6189318749578017</v>
      </c>
      <c r="F27" s="60">
        <f t="shared" si="1"/>
        <v>-16.25</v>
      </c>
      <c r="G27" s="31" t="s">
        <v>51</v>
      </c>
      <c r="J27" s="38"/>
      <c r="AJ27" s="32" t="s">
        <v>52</v>
      </c>
      <c r="AK27" s="33">
        <v>0.23817186997103315</v>
      </c>
    </row>
    <row r="28" spans="1:37" ht="18.75" x14ac:dyDescent="0.25">
      <c r="A28" s="30" t="s">
        <v>52</v>
      </c>
      <c r="B28" s="20">
        <v>41</v>
      </c>
      <c r="C28" s="20">
        <v>37</v>
      </c>
      <c r="D28" s="20">
        <v>39</v>
      </c>
      <c r="E28" s="21">
        <f t="shared" si="0"/>
        <v>0.26331780433461616</v>
      </c>
      <c r="F28" s="60">
        <f t="shared" si="1"/>
        <v>5.4054054054054053</v>
      </c>
      <c r="G28" s="31" t="s">
        <v>53</v>
      </c>
      <c r="AJ28" s="39" t="s">
        <v>54</v>
      </c>
      <c r="AK28" s="40">
        <v>0.14805278403604766</v>
      </c>
    </row>
    <row r="29" spans="1:37" ht="18.75" x14ac:dyDescent="0.25">
      <c r="A29" s="30" t="s">
        <v>54</v>
      </c>
      <c r="B29" s="20">
        <v>20</v>
      </c>
      <c r="C29" s="20">
        <v>23</v>
      </c>
      <c r="D29" s="20">
        <v>27</v>
      </c>
      <c r="E29" s="21">
        <f t="shared" si="0"/>
        <v>0.18229694146242656</v>
      </c>
      <c r="F29" s="60">
        <f t="shared" si="1"/>
        <v>17.391304347826086</v>
      </c>
      <c r="G29" s="31" t="s">
        <v>55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J29" s="41"/>
      <c r="AK29" s="42">
        <f>SUM(AK19:AK28)</f>
        <v>4.5317026070164141</v>
      </c>
    </row>
    <row r="30" spans="1:37" ht="18.75" x14ac:dyDescent="0.25">
      <c r="A30" s="43" t="s">
        <v>14</v>
      </c>
      <c r="B30" s="44">
        <v>1198</v>
      </c>
      <c r="C30" s="44">
        <v>1175</v>
      </c>
      <c r="D30" s="44">
        <v>1121</v>
      </c>
      <c r="E30" s="51">
        <f t="shared" si="0"/>
        <v>7.5686989399770432</v>
      </c>
      <c r="F30" s="61">
        <f t="shared" si="1"/>
        <v>-4.5957446808510642</v>
      </c>
      <c r="G30" s="45" t="s">
        <v>34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J30" s="30" t="s">
        <v>14</v>
      </c>
      <c r="AK30" s="1">
        <v>7.5635661409719983</v>
      </c>
    </row>
    <row r="31" spans="1:37" s="46" customFormat="1" ht="17.25" x14ac:dyDescent="0.4">
      <c r="A31" s="48" t="s">
        <v>56</v>
      </c>
      <c r="B31" s="1"/>
      <c r="C31" s="1"/>
      <c r="D31" s="1"/>
      <c r="E31" s="1"/>
      <c r="F31" s="1"/>
      <c r="G31" s="49" t="s">
        <v>57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J31" s="47" t="s">
        <v>14</v>
      </c>
      <c r="AK31" s="33">
        <v>19.61377534599292</v>
      </c>
    </row>
    <row r="32" spans="1:37" x14ac:dyDescent="0.25"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</row>
    <row r="33" spans="11:43" ht="19.5" customHeight="1" x14ac:dyDescent="0.25"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</row>
    <row r="34" spans="11:43" ht="19.5" customHeight="1" x14ac:dyDescent="0.25"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</row>
    <row r="35" spans="11:43" ht="19.5" customHeight="1" x14ac:dyDescent="0.25"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</row>
    <row r="36" spans="11:43" ht="19.5" customHeight="1" x14ac:dyDescent="0.25"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</row>
    <row r="37" spans="11:43" x14ac:dyDescent="0.25"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</row>
    <row r="38" spans="11:43" x14ac:dyDescent="0.25"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</row>
    <row r="43" spans="11:43" x14ac:dyDescent="0.25">
      <c r="AI43" s="1">
        <v>2010</v>
      </c>
      <c r="AJ43" s="1">
        <v>2011</v>
      </c>
      <c r="AK43" s="1">
        <v>2012</v>
      </c>
      <c r="AL43" s="1">
        <v>2013</v>
      </c>
      <c r="AM43" s="1">
        <v>2014</v>
      </c>
      <c r="AN43" s="1">
        <v>2015</v>
      </c>
      <c r="AO43" s="1">
        <v>2016</v>
      </c>
      <c r="AP43" s="1">
        <v>2017</v>
      </c>
      <c r="AQ43" s="1">
        <v>2018</v>
      </c>
    </row>
    <row r="44" spans="11:43" x14ac:dyDescent="0.25">
      <c r="AH44" s="18" t="s">
        <v>6</v>
      </c>
      <c r="AI44" s="50">
        <v>-0.14973795857249811</v>
      </c>
      <c r="AJ44" s="50">
        <v>18.320419895026244</v>
      </c>
      <c r="AK44" s="50">
        <v>38.804393747359526</v>
      </c>
      <c r="AL44" s="50">
        <v>1.7044589864556383</v>
      </c>
      <c r="AM44" s="50">
        <v>-23.986233727367949</v>
      </c>
      <c r="AN44" s="50">
        <v>-21.102362204724407</v>
      </c>
      <c r="AO44" s="50">
        <v>-9.780439121756487</v>
      </c>
      <c r="AP44" s="50">
        <f t="shared" ref="AP44:AQ48" si="2">((C6-B6)/B6)*100</f>
        <v>-3.125</v>
      </c>
      <c r="AQ44" s="50">
        <f>((D6-C6)/C6)*100</f>
        <v>-6.6514416214673133</v>
      </c>
    </row>
    <row r="45" spans="11:43" x14ac:dyDescent="0.25">
      <c r="AH45" s="18" t="s">
        <v>9</v>
      </c>
      <c r="AI45" s="50">
        <v>-19.349485562562229</v>
      </c>
      <c r="AJ45" s="50">
        <v>-7.3662551440329223</v>
      </c>
      <c r="AK45" s="50">
        <v>-12.305641936916926</v>
      </c>
      <c r="AL45" s="50">
        <v>-2.2289766970618032</v>
      </c>
      <c r="AM45" s="50">
        <v>10.725388601036268</v>
      </c>
      <c r="AN45" s="50">
        <v>-4.3518951801591017</v>
      </c>
      <c r="AO45" s="50">
        <v>9.6868884540117417</v>
      </c>
      <c r="AP45" s="50">
        <f t="shared" si="2"/>
        <v>-6.1106155218554861</v>
      </c>
      <c r="AQ45" s="50">
        <f t="shared" si="2"/>
        <v>-4.6555819477434683</v>
      </c>
    </row>
    <row r="46" spans="11:43" x14ac:dyDescent="0.25">
      <c r="AH46" s="18" t="s">
        <v>11</v>
      </c>
      <c r="AI46" s="50">
        <v>-31.65680473372781</v>
      </c>
      <c r="AJ46" s="50">
        <v>12.739641311069882</v>
      </c>
      <c r="AK46" s="50">
        <v>39.001645639056498</v>
      </c>
      <c r="AL46" s="50">
        <v>56.471981057616418</v>
      </c>
      <c r="AM46" s="50">
        <v>-20.807061790668349</v>
      </c>
      <c r="AN46" s="50">
        <v>-33.789808917197448</v>
      </c>
      <c r="AO46" s="50">
        <v>14.237614237614238</v>
      </c>
      <c r="AP46" s="50">
        <f t="shared" si="2"/>
        <v>-14.189473684210526</v>
      </c>
      <c r="AQ46" s="50">
        <f t="shared" si="2"/>
        <v>9.4210009813542683</v>
      </c>
    </row>
    <row r="47" spans="11:43" x14ac:dyDescent="0.25">
      <c r="AH47" s="18" t="s">
        <v>16</v>
      </c>
      <c r="AI47" s="50">
        <v>-19.915848527349201</v>
      </c>
      <c r="AJ47" s="50">
        <v>-13.601868067717454</v>
      </c>
      <c r="AK47" s="50">
        <v>1.8918918918918921</v>
      </c>
      <c r="AL47" s="50">
        <v>31.49867374005305</v>
      </c>
      <c r="AM47" s="50">
        <v>1.5632879475542107</v>
      </c>
      <c r="AN47" s="50">
        <v>-14.995034756703079</v>
      </c>
      <c r="AO47" s="50">
        <v>6.83411214953271</v>
      </c>
      <c r="AP47" s="50">
        <f t="shared" si="2"/>
        <v>-9.5133952979770378</v>
      </c>
      <c r="AQ47" s="50">
        <f t="shared" si="2"/>
        <v>7.9758308157099691</v>
      </c>
    </row>
    <row r="48" spans="11:43" x14ac:dyDescent="0.25">
      <c r="AH48" s="18" t="s">
        <v>13</v>
      </c>
      <c r="AI48" s="50">
        <v>-23.7</v>
      </c>
      <c r="AJ48" s="50">
        <v>-13.499344692005241</v>
      </c>
      <c r="AK48" s="50">
        <v>-4.2424242424242431</v>
      </c>
      <c r="AL48" s="50">
        <v>1.9778481012658229</v>
      </c>
      <c r="AM48" s="50">
        <v>-17.610550814584951</v>
      </c>
      <c r="AN48" s="50">
        <v>-11.111111111111111</v>
      </c>
      <c r="AO48" s="50">
        <v>-17.266949152542374</v>
      </c>
      <c r="AP48" s="50">
        <f t="shared" si="2"/>
        <v>-1.4084507042253522</v>
      </c>
      <c r="AQ48" s="50">
        <f t="shared" si="2"/>
        <v>-2.2077922077922079</v>
      </c>
    </row>
  </sheetData>
  <mergeCells count="6">
    <mergeCell ref="B3:B4"/>
    <mergeCell ref="C3:C4"/>
    <mergeCell ref="G3:G4"/>
    <mergeCell ref="A1:G1"/>
    <mergeCell ref="A2:G2"/>
    <mergeCell ref="A3:A4"/>
  </mergeCells>
  <pageMargins left="0.7" right="0.7" top="0.75" bottom="0.75" header="0.3" footer="0.3"/>
  <pageSetup paperSize="9" scale="52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</vt:lpstr>
      <vt:lpstr>'8.1'!Print_Area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2019-09-12T07:07:59Z</cp:lastPrinted>
  <dcterms:created xsi:type="dcterms:W3CDTF">2019-06-30T04:22:49Z</dcterms:created>
  <dcterms:modified xsi:type="dcterms:W3CDTF">2019-09-12T07:08:29Z</dcterms:modified>
</cp:coreProperties>
</file>