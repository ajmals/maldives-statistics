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30" sheetId="26" r:id="rId1"/>
    <sheet name="8.31" sheetId="27" r:id="rId2"/>
  </sheets>
  <externalReferences>
    <externalReference r:id="rId3"/>
    <externalReference r:id="rId4"/>
    <externalReference r:id="rId5"/>
    <externalReference r:id="rId6"/>
  </externalReferences>
  <definedNames>
    <definedName name="_xlnm.Print_Area" localSheetId="0">'8.30'!$A$1:$L$43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7" i="27" l="1"/>
  <c r="X7" i="27" l="1"/>
  <c r="Y7" i="27"/>
  <c r="X8" i="27"/>
  <c r="Y8" i="27"/>
  <c r="X9" i="27"/>
  <c r="Y9" i="27"/>
  <c r="X10" i="27"/>
  <c r="Y10" i="27"/>
  <c r="X11" i="27"/>
  <c r="Y11" i="27"/>
  <c r="X12" i="27"/>
  <c r="Y12" i="27"/>
  <c r="X13" i="27"/>
  <c r="Y13" i="27"/>
  <c r="X14" i="27"/>
  <c r="Y14" i="27"/>
  <c r="X15" i="27"/>
  <c r="Y15" i="27"/>
  <c r="X16" i="27"/>
  <c r="Y16" i="27"/>
  <c r="W8" i="27"/>
  <c r="W9" i="27"/>
  <c r="W10" i="27"/>
  <c r="W11" i="27"/>
  <c r="W12" i="27"/>
  <c r="W13" i="27"/>
  <c r="W14" i="27"/>
  <c r="W15" i="27"/>
  <c r="W16" i="27"/>
  <c r="L7" i="27"/>
  <c r="K7" i="27" s="1"/>
  <c r="M7" i="27"/>
  <c r="O7" i="27"/>
  <c r="P7" i="27"/>
  <c r="N7" i="27" l="1"/>
  <c r="N16" i="27"/>
  <c r="K16" i="27"/>
  <c r="N15" i="27"/>
  <c r="K15" i="27"/>
  <c r="N14" i="27"/>
  <c r="K14" i="27"/>
  <c r="N13" i="27"/>
  <c r="K13" i="27"/>
  <c r="N12" i="27"/>
  <c r="K12" i="27"/>
  <c r="N11" i="27"/>
  <c r="K11" i="27"/>
  <c r="N10" i="27"/>
  <c r="K10" i="27"/>
  <c r="N9" i="27"/>
  <c r="K9" i="27"/>
  <c r="N8" i="27"/>
  <c r="K8" i="27"/>
  <c r="AH17" i="26" l="1"/>
  <c r="AH13" i="26"/>
  <c r="AH15" i="26"/>
  <c r="AH16" i="26"/>
  <c r="T16" i="27"/>
  <c r="T15" i="27"/>
  <c r="T14" i="27"/>
  <c r="T12" i="27"/>
  <c r="T11" i="27"/>
  <c r="T10" i="27"/>
  <c r="T9" i="27"/>
  <c r="T8" i="27"/>
  <c r="H16" i="27" l="1"/>
  <c r="E16" i="27"/>
  <c r="B16" i="27"/>
  <c r="H15" i="27"/>
  <c r="E15" i="27"/>
  <c r="B15" i="27"/>
  <c r="H14" i="27"/>
  <c r="E14" i="27"/>
  <c r="B14" i="27"/>
  <c r="H13" i="27"/>
  <c r="E13" i="27"/>
  <c r="B13" i="27"/>
  <c r="H12" i="27"/>
  <c r="E12" i="27"/>
  <c r="B12" i="27"/>
  <c r="H11" i="27"/>
  <c r="E11" i="27"/>
  <c r="B11" i="27"/>
  <c r="H10" i="27"/>
  <c r="E10" i="27"/>
  <c r="B10" i="27"/>
  <c r="H9" i="27"/>
  <c r="E9" i="27"/>
  <c r="B9" i="27"/>
  <c r="AM8" i="27"/>
  <c r="H8" i="27"/>
  <c r="E8" i="27"/>
  <c r="B8" i="27"/>
  <c r="AM7" i="27"/>
  <c r="V7" i="27"/>
  <c r="U7" i="27"/>
  <c r="S7" i="27"/>
  <c r="R7" i="27"/>
  <c r="Q7" i="27" s="1"/>
  <c r="J7" i="27"/>
  <c r="I7" i="27"/>
  <c r="H7" i="27" s="1"/>
  <c r="G7" i="27"/>
  <c r="F7" i="27"/>
  <c r="E7" i="27"/>
  <c r="D7" i="27"/>
  <c r="C7" i="27"/>
  <c r="B7" i="27" s="1"/>
  <c r="AG16" i="26"/>
  <c r="AG17" i="26" s="1"/>
  <c r="AF16" i="26"/>
  <c r="AE16" i="26"/>
  <c r="AE17" i="26" s="1"/>
  <c r="AD16" i="26"/>
  <c r="AC16" i="26"/>
  <c r="AG15" i="26"/>
  <c r="AF15" i="26"/>
  <c r="AF13" i="26" s="1"/>
  <c r="AE15" i="26"/>
  <c r="AE13" i="26" s="1"/>
  <c r="AD15" i="26"/>
  <c r="AC15" i="26"/>
  <c r="AD13" i="26"/>
  <c r="J6" i="26"/>
  <c r="I6" i="26"/>
  <c r="H6" i="26"/>
  <c r="AF17" i="26" s="1"/>
  <c r="G6" i="26"/>
  <c r="F6" i="26"/>
  <c r="E6" i="26"/>
  <c r="D6" i="26"/>
  <c r="AB17" i="26" s="1"/>
  <c r="C6" i="26"/>
  <c r="AA17" i="26" s="1"/>
  <c r="B6" i="26"/>
  <c r="Z17" i="26" s="1"/>
  <c r="T7" i="27" l="1"/>
  <c r="AI15" i="26"/>
  <c r="AG13" i="26"/>
  <c r="AC17" i="26"/>
  <c r="AD17" i="26"/>
  <c r="AI16" i="26"/>
</calcChain>
</file>

<file path=xl/sharedStrings.xml><?xml version="1.0" encoding="utf-8"?>
<sst xmlns="http://schemas.openxmlformats.org/spreadsheetml/2006/main" count="103" uniqueCount="54">
  <si>
    <t>އެހެނިހެން</t>
  </si>
  <si>
    <t>m</t>
  </si>
  <si>
    <t>f</t>
  </si>
  <si>
    <t>ޖުމްލަ</t>
  </si>
  <si>
    <t>Both Sexes</t>
  </si>
  <si>
    <t>Male</t>
  </si>
  <si>
    <t>Female</t>
  </si>
  <si>
    <t>ދެޖިންސް</t>
  </si>
  <si>
    <t xml:space="preserve">Total </t>
  </si>
  <si>
    <t>ތަފްސީލް</t>
  </si>
  <si>
    <t>ފިރިހެން</t>
  </si>
  <si>
    <t>އަންހެން</t>
  </si>
  <si>
    <t>Source: Department of Judicial Administration</t>
  </si>
  <si>
    <t>cnwxErcTcsinimcDea clwxiDuj cfoa cTcnwmcTWpiD : utWmUluAwm</t>
  </si>
  <si>
    <t>Category</t>
  </si>
  <si>
    <t>end year</t>
  </si>
  <si>
    <t>Total judges / Majistrates</t>
  </si>
  <si>
    <t xml:space="preserve">ފަނޑިޔާރުންގެ ޖުމްލަ އަދަދު </t>
  </si>
  <si>
    <t>Total  Expenditure for Courts (million MVR)</t>
  </si>
  <si>
    <t>ކޯޓުތަކަށް ޖުމްލަ ޚަރަދުވި ވަރު (މިލިއަން ރުފިޔާ)</t>
  </si>
  <si>
    <t>Source:  Judicial Service Commission</t>
  </si>
  <si>
    <t>މަޢުލޫމާތު ދެއްވި ފަރާތް: ޖުޑީޝަލް ސަރވިސް ކޮމިޝަން</t>
  </si>
  <si>
    <t xml:space="preserve"> Department of Judicial Administration</t>
  </si>
  <si>
    <t xml:space="preserve">                 ޑިޕާޓްމަންޓް އޮފް ޖުޑިޝަލް އެޑްމިނިސްޓްރޭޝަން</t>
  </si>
  <si>
    <t>% share 2016</t>
  </si>
  <si>
    <t>% share of females</t>
  </si>
  <si>
    <t>Qualification</t>
  </si>
  <si>
    <t xml:space="preserve">Male </t>
  </si>
  <si>
    <t xml:space="preserve">ތަޢުލީމީ ފެންވަރު </t>
  </si>
  <si>
    <t>total registered lawyers as of Dec 2017</t>
  </si>
  <si>
    <t>Certificate 3</t>
  </si>
  <si>
    <t>ސެޓްފިކެޓް 3</t>
  </si>
  <si>
    <t>Advanced Certificate</t>
  </si>
  <si>
    <t>އެޑްވާންސްޑް ސެޓްފިކެޓް</t>
  </si>
  <si>
    <t>Gaanoonee vakeelukamuge sanadhu</t>
  </si>
  <si>
    <t xml:space="preserve">ޤާނޫނޫ ވަކީލުކަމުގެ ސަނަދު </t>
  </si>
  <si>
    <t>Diploma</t>
  </si>
  <si>
    <t>ޑިޕްލޮމާ</t>
  </si>
  <si>
    <t>Advanced Diploma</t>
  </si>
  <si>
    <t>އެޑްވާންސްޑް ޑިޕްލޮމާ</t>
  </si>
  <si>
    <t>Bachelors degree</t>
  </si>
  <si>
    <t>ބެޗެލަރސް ޑިގްރީ</t>
  </si>
  <si>
    <t xml:space="preserve">Masters degree </t>
  </si>
  <si>
    <t>މާސްޓަރސް ޑިގްރީ</t>
  </si>
  <si>
    <t>Doctoral degree</t>
  </si>
  <si>
    <t>ޑޮކްޓޯރަލް ޑިގްރީ</t>
  </si>
  <si>
    <t>Other</t>
  </si>
  <si>
    <t>Total Number of lawyers</t>
  </si>
  <si>
    <t xml:space="preserve">     2017 ވަނަ އަހަރުގައި އެއްވެސް ވަކީލަކު ހުވާ ކުރައްވާފައި ނުވޭ</t>
  </si>
  <si>
    <t xml:space="preserve">ނޯޓް: 2014 ވަނަ އަހަރު އެވަނީ 2014 ވަނަ އަހަރުގެ ނިޔަލަށް ޤާނޫނީ ވަކީލުންގެ ދަފްތަރުގައި ރަޖިސްޓްރީ ކޮށްފައިވާ ޤާނޫނީ ވަކީލުންގެ މަޢުލޫމާތެވެ. އަދި 2015 , 2016 އަދި 2018 ގައި އެވަނީ އެއަހަރަކު އަލަށް ރަޖިސްޓްރީކުރެވުނު ޤާނޫނީ ވަކީލުންގެ އަދަދެވެ. </t>
  </si>
  <si>
    <t>TABLE 8.30: JUDGES BY SEX AND FINANCIAL RESOURCES FOR COURTS , 2013 - 2018</t>
  </si>
  <si>
    <t>ތާވަލު 8.30: ކޯޓުތަކުގައި ތިބި ފަނޑިޔާރުންގެ އަދަދު އަދި ކޯޓުތަކަށް ހިނގި ޚަރަދު، 2013 - 2018</t>
  </si>
  <si>
    <t>TABLE 8.31: REGISTERED LAWYERS IN SERVICE, BY QUALIFICATION AND SEX, 2014 - 2018</t>
  </si>
  <si>
    <t>ތާވަލު 8.31: ރަޖިސްޓްރީކުރެވިފައިވާ ޤާނޫނީ ވަކީލުންގެ އަދަދު އަދި ތަޢުލީމީ ފެންވަރު، 2014 - 2018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</si>
</sst>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69" formatCode="_(* #,##0.0_);_(* \(#,##0.0\);_(* &quot;-&quot;??_);_(@_)"/>
    <numFmt numFmtId="170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Faruma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9"/>
      <name val="Arial"/>
      <family val="2"/>
    </font>
    <font>
      <b/>
      <sz val="11"/>
      <color theme="1"/>
      <name val="Faruma"/>
    </font>
    <font>
      <sz val="11"/>
      <color theme="1"/>
      <name val="Faruma"/>
    </font>
    <font>
      <sz val="10"/>
      <color theme="1"/>
      <name val="Faruma"/>
    </font>
    <font>
      <b/>
      <sz val="10"/>
      <color rgb="FF000000"/>
      <name val="Faruma"/>
    </font>
    <font>
      <sz val="10"/>
      <color rgb="FF000000"/>
      <name val="Faruma"/>
    </font>
    <font>
      <sz val="9"/>
      <color theme="1"/>
      <name val="Faruma"/>
    </font>
    <font>
      <b/>
      <sz val="10"/>
      <color theme="1"/>
      <name val="Faruma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dotted">
        <color theme="1"/>
      </bottom>
      <diagonal/>
    </border>
    <border>
      <left/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/>
      <top style="thin">
        <color theme="0"/>
      </top>
      <bottom style="dotted">
        <color theme="1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dotted">
        <color theme="1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/>
      <top/>
      <bottom style="thin">
        <color indexed="64"/>
      </bottom>
      <diagonal/>
    </border>
    <border>
      <left style="hair">
        <color theme="1"/>
      </left>
      <right/>
      <top style="dotted">
        <color theme="1"/>
      </top>
      <bottom style="thin">
        <color indexed="64"/>
      </bottom>
      <diagonal/>
    </border>
    <border>
      <left/>
      <right/>
      <top style="dotted">
        <color theme="1"/>
      </top>
      <bottom style="thin">
        <color indexed="64"/>
      </bottom>
      <diagonal/>
    </border>
    <border>
      <left style="hair">
        <color indexed="64"/>
      </left>
      <right/>
      <top style="dotted">
        <color theme="1"/>
      </top>
      <bottom style="thin">
        <color indexed="64"/>
      </bottom>
      <diagonal/>
    </border>
    <border>
      <left/>
      <right style="hair">
        <color theme="1"/>
      </right>
      <top style="dotted">
        <color theme="1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/>
      <top/>
      <bottom style="thin">
        <color theme="0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167" fontId="10" fillId="0" borderId="0"/>
    <xf numFmtId="0" fontId="26" fillId="0" borderId="64" applyNumberFormat="0" applyFill="0" applyAlignment="0" applyProtection="0"/>
    <xf numFmtId="0" fontId="15" fillId="0" borderId="0"/>
  </cellStyleXfs>
  <cellXfs count="157">
    <xf numFmtId="0" fontId="0" fillId="0" borderId="0" xfId="0"/>
    <xf numFmtId="164" fontId="3" fillId="2" borderId="9" xfId="0" applyNumberFormat="1" applyFont="1" applyFill="1" applyBorder="1"/>
    <xf numFmtId="164" fontId="7" fillId="2" borderId="4" xfId="0" applyNumberFormat="1" applyFont="1" applyFill="1" applyBorder="1" applyAlignment="1">
      <alignment horizontal="right" vertical="center"/>
    </xf>
    <xf numFmtId="0" fontId="2" fillId="2" borderId="2" xfId="0" applyNumberFormat="1" applyFont="1" applyFill="1" applyBorder="1" applyAlignment="1">
      <alignment horizontal="right" vertical="center"/>
    </xf>
    <xf numFmtId="164" fontId="13" fillId="2" borderId="0" xfId="0" applyNumberFormat="1" applyFont="1" applyFill="1"/>
    <xf numFmtId="164" fontId="13" fillId="2" borderId="0" xfId="0" applyNumberFormat="1" applyFont="1" applyFill="1" applyBorder="1"/>
    <xf numFmtId="164" fontId="6" fillId="2" borderId="3" xfId="0" applyNumberFormat="1" applyFont="1" applyFill="1" applyBorder="1" applyAlignment="1" applyProtection="1">
      <alignment vertical="center"/>
    </xf>
    <xf numFmtId="0" fontId="16" fillId="2" borderId="0" xfId="0" applyNumberFormat="1" applyFont="1" applyFill="1" applyBorder="1" applyAlignment="1">
      <alignment horizontal="left" vertical="center"/>
    </xf>
    <xf numFmtId="170" fontId="16" fillId="2" borderId="0" xfId="1" applyNumberFormat="1" applyFont="1" applyFill="1" applyBorder="1" applyAlignment="1">
      <alignment horizontal="right" vertical="center"/>
    </xf>
    <xf numFmtId="164" fontId="16" fillId="2" borderId="0" xfId="0" applyNumberFormat="1" applyFont="1" applyFill="1"/>
    <xf numFmtId="0" fontId="17" fillId="2" borderId="0" xfId="0" applyNumberFormat="1" applyFont="1" applyFill="1" applyBorder="1" applyAlignment="1">
      <alignment horizontal="left" vertical="center" indent="2"/>
    </xf>
    <xf numFmtId="170" fontId="13" fillId="2" borderId="0" xfId="1" applyNumberFormat="1" applyFont="1" applyFill="1" applyBorder="1" applyAlignment="1">
      <alignment horizontal="right" vertical="center"/>
    </xf>
    <xf numFmtId="0" fontId="13" fillId="2" borderId="2" xfId="0" applyNumberFormat="1" applyFont="1" applyFill="1" applyBorder="1" applyAlignment="1">
      <alignment horizontal="left" vertical="center"/>
    </xf>
    <xf numFmtId="167" fontId="13" fillId="2" borderId="0" xfId="0" applyNumberFormat="1" applyFont="1" applyFill="1"/>
    <xf numFmtId="164" fontId="4" fillId="2" borderId="9" xfId="0" applyNumberFormat="1" applyFont="1" applyFill="1" applyBorder="1" applyAlignment="1">
      <alignment vertical="center"/>
    </xf>
    <xf numFmtId="0" fontId="22" fillId="2" borderId="7" xfId="0" applyNumberFormat="1" applyFont="1" applyFill="1" applyBorder="1" applyAlignment="1">
      <alignment vertical="top"/>
    </xf>
    <xf numFmtId="0" fontId="23" fillId="2" borderId="0" xfId="0" applyNumberFormat="1" applyFont="1" applyFill="1" applyBorder="1" applyAlignment="1">
      <alignment horizontal="right" vertical="top" indent="1"/>
    </xf>
    <xf numFmtId="167" fontId="13" fillId="2" borderId="0" xfId="0" applyNumberFormat="1" applyFont="1" applyFill="1" applyBorder="1"/>
    <xf numFmtId="169" fontId="13" fillId="2" borderId="2" xfId="1" applyNumberFormat="1" applyFont="1" applyFill="1" applyBorder="1" applyAlignment="1">
      <alignment vertical="center"/>
    </xf>
    <xf numFmtId="0" fontId="14" fillId="2" borderId="2" xfId="0" applyNumberFormat="1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167" fontId="5" fillId="2" borderId="0" xfId="0" applyNumberFormat="1" applyFont="1" applyFill="1"/>
    <xf numFmtId="0" fontId="24" fillId="2" borderId="0" xfId="0" applyFont="1" applyFill="1"/>
    <xf numFmtId="164" fontId="5" fillId="2" borderId="0" xfId="0" applyNumberFormat="1" applyFont="1" applyFill="1"/>
    <xf numFmtId="0" fontId="11" fillId="2" borderId="0" xfId="0" applyFont="1" applyFill="1" applyAlignment="1">
      <alignment horizontal="left" vertical="top" indent="4"/>
    </xf>
    <xf numFmtId="0" fontId="24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horizontal="right" vertical="center"/>
    </xf>
    <xf numFmtId="0" fontId="2" fillId="2" borderId="32" xfId="0" applyNumberFormat="1" applyFont="1" applyFill="1" applyBorder="1" applyAlignment="1">
      <alignment horizontal="right" vertical="center"/>
    </xf>
    <xf numFmtId="164" fontId="13" fillId="2" borderId="32" xfId="0" applyNumberFormat="1" applyFont="1" applyFill="1" applyBorder="1"/>
    <xf numFmtId="1" fontId="13" fillId="2" borderId="0" xfId="0" applyNumberFormat="1" applyFont="1" applyFill="1"/>
    <xf numFmtId="165" fontId="13" fillId="2" borderId="0" xfId="0" applyNumberFormat="1" applyFont="1" applyFill="1"/>
    <xf numFmtId="169" fontId="13" fillId="2" borderId="0" xfId="1" applyNumberFormat="1" applyFont="1" applyFill="1"/>
    <xf numFmtId="164" fontId="3" fillId="2" borderId="17" xfId="0" applyNumberFormat="1" applyFont="1" applyFill="1" applyBorder="1"/>
    <xf numFmtId="164" fontId="2" fillId="2" borderId="31" xfId="0" applyNumberFormat="1" applyFont="1" applyFill="1" applyBorder="1" applyAlignment="1" applyProtection="1">
      <alignment horizontal="right" vertical="center"/>
    </xf>
    <xf numFmtId="164" fontId="2" fillId="2" borderId="33" xfId="0" applyNumberFormat="1" applyFont="1" applyFill="1" applyBorder="1" applyAlignment="1" applyProtection="1">
      <alignment horizontal="right" vertical="center"/>
    </xf>
    <xf numFmtId="164" fontId="2" fillId="2" borderId="11" xfId="0" applyNumberFormat="1" applyFont="1" applyFill="1" applyBorder="1" applyAlignment="1" applyProtection="1">
      <alignment horizontal="right" vertical="center"/>
    </xf>
    <xf numFmtId="164" fontId="2" fillId="2" borderId="34" xfId="0" applyNumberFormat="1" applyFont="1" applyFill="1" applyBorder="1" applyAlignment="1" applyProtection="1">
      <alignment horizontal="right" vertical="center"/>
    </xf>
    <xf numFmtId="164" fontId="25" fillId="2" borderId="38" xfId="0" applyNumberFormat="1" applyFont="1" applyFill="1" applyBorder="1" applyAlignment="1" applyProtection="1">
      <alignment horizontal="right" vertical="center"/>
    </xf>
    <xf numFmtId="164" fontId="25" fillId="2" borderId="39" xfId="0" applyNumberFormat="1" applyFont="1" applyFill="1" applyBorder="1" applyAlignment="1" applyProtection="1">
      <alignment horizontal="right" vertical="center"/>
    </xf>
    <xf numFmtId="164" fontId="25" fillId="2" borderId="40" xfId="0" applyNumberFormat="1" applyFont="1" applyFill="1" applyBorder="1" applyAlignment="1" applyProtection="1">
      <alignment horizontal="right" vertical="center"/>
    </xf>
    <xf numFmtId="164" fontId="25" fillId="2" borderId="41" xfId="0" applyNumberFormat="1" applyFont="1" applyFill="1" applyBorder="1" applyAlignment="1" applyProtection="1">
      <alignment horizontal="right" vertical="center"/>
    </xf>
    <xf numFmtId="164" fontId="25" fillId="2" borderId="42" xfId="0" applyNumberFormat="1" applyFont="1" applyFill="1" applyBorder="1" applyAlignment="1" applyProtection="1">
      <alignment horizontal="right" vertical="center"/>
    </xf>
    <xf numFmtId="164" fontId="25" fillId="2" borderId="43" xfId="0" applyNumberFormat="1" applyFont="1" applyFill="1" applyBorder="1" applyAlignment="1" applyProtection="1">
      <alignment horizontal="right" vertical="center"/>
    </xf>
    <xf numFmtId="164" fontId="25" fillId="2" borderId="44" xfId="0" applyNumberFormat="1" applyFont="1" applyFill="1" applyBorder="1" applyAlignment="1" applyProtection="1">
      <alignment horizontal="right" vertical="center"/>
    </xf>
    <xf numFmtId="0" fontId="2" fillId="2" borderId="3" xfId="0" applyNumberFormat="1" applyFont="1" applyFill="1" applyBorder="1" applyAlignment="1" applyProtection="1">
      <alignment horizontal="right" vertical="center"/>
    </xf>
    <xf numFmtId="0" fontId="2" fillId="2" borderId="3" xfId="0" applyNumberFormat="1" applyFont="1" applyFill="1" applyBorder="1" applyAlignment="1">
      <alignment horizontal="right" vertical="center"/>
    </xf>
    <xf numFmtId="0" fontId="2" fillId="2" borderId="51" xfId="0" applyNumberFormat="1" applyFont="1" applyFill="1" applyBorder="1" applyAlignment="1">
      <alignment horizontal="right" vertical="center"/>
    </xf>
    <xf numFmtId="0" fontId="2" fillId="2" borderId="12" xfId="0" applyNumberFormat="1" applyFont="1" applyFill="1" applyBorder="1" applyAlignment="1" applyProtection="1">
      <alignment horizontal="right" vertical="center"/>
    </xf>
    <xf numFmtId="0" fontId="2" fillId="2" borderId="18" xfId="0" applyNumberFormat="1" applyFont="1" applyFill="1" applyBorder="1" applyAlignment="1">
      <alignment horizontal="right" vertical="center"/>
    </xf>
    <xf numFmtId="3" fontId="2" fillId="2" borderId="52" xfId="0" applyNumberFormat="1" applyFont="1" applyFill="1" applyBorder="1" applyAlignment="1" applyProtection="1">
      <alignment horizontal="right" vertical="center"/>
    </xf>
    <xf numFmtId="3" fontId="2" fillId="2" borderId="3" xfId="0" applyNumberFormat="1" applyFont="1" applyFill="1" applyBorder="1" applyAlignment="1">
      <alignment horizontal="right" vertical="center"/>
    </xf>
    <xf numFmtId="3" fontId="2" fillId="2" borderId="18" xfId="0" applyNumberFormat="1" applyFont="1" applyFill="1" applyBorder="1" applyAlignment="1">
      <alignment horizontal="right" vertical="center"/>
    </xf>
    <xf numFmtId="3" fontId="2" fillId="2" borderId="12" xfId="0" applyNumberFormat="1" applyFont="1" applyFill="1" applyBorder="1" applyAlignment="1" applyProtection="1">
      <alignment horizontal="right" vertical="center"/>
    </xf>
    <xf numFmtId="164" fontId="19" fillId="2" borderId="3" xfId="0" applyNumberFormat="1" applyFont="1" applyFill="1" applyBorder="1" applyAlignment="1">
      <alignment vertical="center"/>
    </xf>
    <xf numFmtId="164" fontId="0" fillId="2" borderId="9" xfId="0" applyNumberFormat="1" applyFont="1" applyFill="1" applyBorder="1" applyAlignment="1" applyProtection="1">
      <alignment vertical="center"/>
    </xf>
    <xf numFmtId="0" fontId="0" fillId="2" borderId="9" xfId="0" applyNumberFormat="1" applyFont="1" applyFill="1" applyBorder="1" applyAlignment="1" applyProtection="1">
      <alignment horizontal="right" vertical="center"/>
    </xf>
    <xf numFmtId="0" fontId="0" fillId="2" borderId="3" xfId="0" applyNumberFormat="1" applyFont="1" applyFill="1" applyBorder="1" applyAlignment="1" applyProtection="1">
      <alignment horizontal="right" vertical="center"/>
      <protection locked="0"/>
    </xf>
    <xf numFmtId="0" fontId="0" fillId="2" borderId="51" xfId="0" applyNumberFormat="1" applyFont="1" applyFill="1" applyBorder="1" applyAlignment="1" applyProtection="1">
      <alignment horizontal="right" vertical="center"/>
      <protection locked="0"/>
    </xf>
    <xf numFmtId="0" fontId="0" fillId="2" borderId="17" xfId="0" applyNumberFormat="1" applyFont="1" applyFill="1" applyBorder="1" applyAlignment="1" applyProtection="1">
      <alignment horizontal="right" vertical="center"/>
    </xf>
    <xf numFmtId="0" fontId="0" fillId="2" borderId="18" xfId="0" applyNumberFormat="1" applyFont="1" applyFill="1" applyBorder="1" applyAlignment="1" applyProtection="1">
      <alignment horizontal="right" vertical="center"/>
      <protection locked="0"/>
    </xf>
    <xf numFmtId="3" fontId="0" fillId="2" borderId="53" xfId="0" applyNumberFormat="1" applyFont="1" applyFill="1" applyBorder="1" applyAlignment="1" applyProtection="1">
      <alignment horizontal="right" vertical="center"/>
    </xf>
    <xf numFmtId="3" fontId="0" fillId="2" borderId="54" xfId="0" applyNumberFormat="1" applyFont="1" applyFill="1" applyBorder="1" applyAlignment="1" applyProtection="1">
      <alignment horizontal="right" vertical="center"/>
    </xf>
    <xf numFmtId="3" fontId="0" fillId="2" borderId="52" xfId="0" applyNumberFormat="1" applyFont="1" applyFill="1" applyBorder="1" applyAlignment="1" applyProtection="1">
      <alignment horizontal="right" vertical="center"/>
    </xf>
    <xf numFmtId="3" fontId="0" fillId="2" borderId="12" xfId="0" applyNumberFormat="1" applyFont="1" applyFill="1" applyBorder="1" applyAlignment="1" applyProtection="1">
      <alignment horizontal="right" vertical="center"/>
    </xf>
    <xf numFmtId="164" fontId="20" fillId="2" borderId="9" xfId="0" applyNumberFormat="1" applyFont="1" applyFill="1" applyBorder="1" applyAlignment="1">
      <alignment vertical="center"/>
    </xf>
    <xf numFmtId="164" fontId="0" fillId="2" borderId="3" xfId="0" applyNumberFormat="1" applyFont="1" applyFill="1" applyBorder="1" applyAlignment="1" applyProtection="1">
      <alignment vertical="center"/>
    </xf>
    <xf numFmtId="0" fontId="0" fillId="2" borderId="9" xfId="0" applyNumberFormat="1" applyFont="1" applyFill="1" applyBorder="1" applyAlignment="1" applyProtection="1">
      <alignment horizontal="right" vertical="center"/>
      <protection locked="0"/>
    </xf>
    <xf numFmtId="0" fontId="0" fillId="2" borderId="55" xfId="0" applyNumberFormat="1" applyFont="1" applyFill="1" applyBorder="1" applyAlignment="1" applyProtection="1">
      <alignment horizontal="right" vertical="center"/>
      <protection locked="0"/>
    </xf>
    <xf numFmtId="0" fontId="0" fillId="2" borderId="13" xfId="0" applyNumberFormat="1" applyFont="1" applyFill="1" applyBorder="1" applyAlignment="1" applyProtection="1">
      <alignment horizontal="right" vertical="center"/>
      <protection locked="0"/>
    </xf>
    <xf numFmtId="3" fontId="0" fillId="2" borderId="9" xfId="0" applyNumberFormat="1" applyFont="1" applyFill="1" applyBorder="1" applyAlignment="1" applyProtection="1">
      <alignment horizontal="right" vertical="center"/>
      <protection locked="0"/>
    </xf>
    <xf numFmtId="3" fontId="0" fillId="2" borderId="13" xfId="0" applyNumberFormat="1" applyFont="1" applyFill="1" applyBorder="1" applyAlignment="1" applyProtection="1">
      <alignment horizontal="right" vertical="center"/>
      <protection locked="0"/>
    </xf>
    <xf numFmtId="164" fontId="0" fillId="2" borderId="10" xfId="0" applyNumberFormat="1" applyFont="1" applyFill="1" applyBorder="1" applyAlignment="1" applyProtection="1">
      <alignment vertical="center"/>
    </xf>
    <xf numFmtId="0" fontId="0" fillId="2" borderId="10" xfId="0" applyNumberFormat="1" applyFont="1" applyFill="1" applyBorder="1" applyAlignment="1" applyProtection="1">
      <alignment horizontal="right" vertical="center"/>
    </xf>
    <xf numFmtId="0" fontId="0" fillId="2" borderId="10" xfId="0" applyNumberFormat="1" applyFont="1" applyFill="1" applyBorder="1" applyAlignment="1" applyProtection="1">
      <alignment horizontal="right" vertical="center"/>
      <protection locked="0"/>
    </xf>
    <xf numFmtId="0" fontId="0" fillId="2" borderId="56" xfId="0" applyNumberFormat="1" applyFont="1" applyFill="1" applyBorder="1" applyAlignment="1" applyProtection="1">
      <alignment horizontal="right" vertical="center"/>
      <protection locked="0"/>
    </xf>
    <xf numFmtId="0" fontId="0" fillId="2" borderId="30" xfId="0" applyNumberFormat="1" applyFont="1" applyFill="1" applyBorder="1" applyAlignment="1" applyProtection="1">
      <alignment horizontal="right" vertical="center"/>
    </xf>
    <xf numFmtId="0" fontId="0" fillId="2" borderId="19" xfId="0" applyNumberFormat="1" applyFont="1" applyFill="1" applyBorder="1" applyAlignment="1" applyProtection="1">
      <alignment horizontal="right" vertical="center"/>
      <protection locked="0"/>
    </xf>
    <xf numFmtId="3" fontId="0" fillId="2" borderId="57" xfId="0" applyNumberFormat="1" applyFont="1" applyFill="1" applyBorder="1" applyAlignment="1" applyProtection="1">
      <alignment horizontal="right" vertical="center"/>
    </xf>
    <xf numFmtId="3" fontId="0" fillId="2" borderId="58" xfId="0" applyNumberFormat="1" applyFont="1" applyFill="1" applyBorder="1" applyAlignment="1" applyProtection="1">
      <alignment horizontal="right" vertical="center"/>
    </xf>
    <xf numFmtId="164" fontId="20" fillId="2" borderId="10" xfId="0" applyNumberFormat="1" applyFont="1" applyFill="1" applyBorder="1" applyAlignment="1">
      <alignment vertical="center"/>
    </xf>
    <xf numFmtId="164" fontId="18" fillId="2" borderId="3" xfId="0" applyNumberFormat="1" applyFont="1" applyFill="1" applyBorder="1" applyAlignment="1" applyProtection="1">
      <alignment horizontal="fill" vertical="center"/>
    </xf>
    <xf numFmtId="164" fontId="4" fillId="2" borderId="3" xfId="0" applyNumberFormat="1" applyFont="1" applyFill="1" applyBorder="1" applyAlignment="1">
      <alignment vertical="center"/>
    </xf>
    <xf numFmtId="164" fontId="12" fillId="2" borderId="3" xfId="0" applyNumberFormat="1" applyFont="1" applyFill="1" applyBorder="1" applyAlignment="1">
      <alignment vertical="center"/>
    </xf>
    <xf numFmtId="0" fontId="12" fillId="2" borderId="3" xfId="0" applyNumberFormat="1" applyFont="1" applyFill="1" applyBorder="1" applyAlignment="1" applyProtection="1">
      <alignment horizontal="center" vertical="center"/>
    </xf>
    <xf numFmtId="164" fontId="21" fillId="2" borderId="9" xfId="0" applyNumberFormat="1" applyFont="1" applyFill="1" applyBorder="1" applyAlignment="1">
      <alignment horizontal="right" readingOrder="2"/>
    </xf>
    <xf numFmtId="164" fontId="3" fillId="2" borderId="9" xfId="0" applyNumberFormat="1" applyFont="1" applyFill="1" applyBorder="1" applyAlignment="1">
      <alignment horizontal="center"/>
    </xf>
    <xf numFmtId="164" fontId="3" fillId="2" borderId="0" xfId="0" applyNumberFormat="1" applyFont="1" applyFill="1" applyBorder="1" applyAlignment="1">
      <alignment horizontal="center"/>
    </xf>
    <xf numFmtId="164" fontId="3" fillId="2" borderId="0" xfId="0" applyNumberFormat="1" applyFont="1" applyFill="1" applyBorder="1"/>
    <xf numFmtId="164" fontId="3" fillId="2" borderId="25" xfId="0" applyNumberFormat="1" applyFont="1" applyFill="1" applyBorder="1"/>
    <xf numFmtId="164" fontId="12" fillId="2" borderId="9" xfId="0" applyNumberFormat="1" applyFont="1" applyFill="1" applyBorder="1" applyAlignment="1">
      <alignment vertical="center"/>
    </xf>
    <xf numFmtId="0" fontId="2" fillId="2" borderId="0" xfId="0" applyNumberFormat="1" applyFont="1" applyFill="1" applyAlignment="1">
      <alignment horizontal="center"/>
    </xf>
    <xf numFmtId="164" fontId="3" fillId="2" borderId="17" xfId="0" applyNumberFormat="1" applyFont="1" applyFill="1" applyBorder="1" applyAlignment="1">
      <alignment horizontal="left"/>
    </xf>
    <xf numFmtId="164" fontId="2" fillId="2" borderId="23" xfId="0" applyNumberFormat="1" applyFont="1" applyFill="1" applyBorder="1" applyAlignment="1" applyProtection="1">
      <alignment horizontal="left" vertical="center"/>
    </xf>
    <xf numFmtId="164" fontId="3" fillId="2" borderId="17" xfId="0" applyNumberFormat="1" applyFont="1" applyFill="1" applyBorder="1" applyAlignment="1">
      <alignment horizontal="left"/>
    </xf>
    <xf numFmtId="3" fontId="2" fillId="2" borderId="28" xfId="0" applyNumberFormat="1" applyFont="1" applyFill="1" applyBorder="1" applyAlignment="1">
      <alignment horizontal="right" vertical="center"/>
    </xf>
    <xf numFmtId="3" fontId="0" fillId="2" borderId="26" xfId="0" applyNumberFormat="1" applyFont="1" applyFill="1" applyBorder="1" applyAlignment="1" applyProtection="1">
      <alignment horizontal="right" vertical="center"/>
    </xf>
    <xf numFmtId="3" fontId="0" fillId="2" borderId="30" xfId="0" applyNumberFormat="1" applyFont="1" applyFill="1" applyBorder="1" applyAlignment="1" applyProtection="1">
      <alignment horizontal="right" vertical="center"/>
    </xf>
    <xf numFmtId="3" fontId="0" fillId="2" borderId="60" xfId="0" applyNumberFormat="1" applyFont="1" applyFill="1" applyBorder="1" applyAlignment="1" applyProtection="1">
      <alignment horizontal="right" vertical="center"/>
    </xf>
    <xf numFmtId="0" fontId="2" fillId="2" borderId="52" xfId="0" applyNumberFormat="1" applyFont="1" applyFill="1" applyBorder="1" applyAlignment="1" applyProtection="1">
      <alignment horizontal="right" vertical="center"/>
    </xf>
    <xf numFmtId="0" fontId="0" fillId="2" borderId="53" xfId="0" applyNumberFormat="1" applyFont="1" applyFill="1" applyBorder="1" applyAlignment="1" applyProtection="1">
      <alignment horizontal="right" vertical="center"/>
    </xf>
    <xf numFmtId="0" fontId="0" fillId="2" borderId="61" xfId="0" applyNumberFormat="1" applyFont="1" applyFill="1" applyBorder="1" applyAlignment="1" applyProtection="1">
      <alignment horizontal="right" vertical="center"/>
    </xf>
    <xf numFmtId="0" fontId="2" fillId="2" borderId="57" xfId="0" applyNumberFormat="1" applyFont="1" applyFill="1" applyBorder="1" applyAlignment="1" applyProtection="1">
      <alignment horizontal="right" vertical="center"/>
    </xf>
    <xf numFmtId="0" fontId="0" fillId="2" borderId="57" xfId="0" applyNumberFormat="1" applyFont="1" applyFill="1" applyBorder="1" applyAlignment="1" applyProtection="1">
      <alignment horizontal="right" vertical="center"/>
    </xf>
    <xf numFmtId="0" fontId="0" fillId="2" borderId="62" xfId="0" applyNumberFormat="1" applyFont="1" applyFill="1" applyBorder="1" applyAlignment="1" applyProtection="1">
      <alignment horizontal="right" vertical="center"/>
    </xf>
    <xf numFmtId="3" fontId="2" fillId="2" borderId="35" xfId="0" applyNumberFormat="1" applyFont="1" applyFill="1" applyBorder="1" applyAlignment="1" applyProtection="1">
      <alignment horizontal="right" vertical="center"/>
    </xf>
    <xf numFmtId="3" fontId="2" fillId="2" borderId="31" xfId="0" applyNumberFormat="1" applyFont="1" applyFill="1" applyBorder="1" applyAlignment="1">
      <alignment horizontal="right" vertical="center"/>
    </xf>
    <xf numFmtId="3" fontId="2" fillId="2" borderId="33" xfId="0" applyNumberFormat="1" applyFont="1" applyFill="1" applyBorder="1" applyAlignment="1">
      <alignment horizontal="right" vertical="center"/>
    </xf>
    <xf numFmtId="3" fontId="0" fillId="2" borderId="63" xfId="0" applyNumberFormat="1" applyFont="1" applyFill="1" applyBorder="1" applyAlignment="1" applyProtection="1">
      <alignment horizontal="right" vertical="center"/>
    </xf>
    <xf numFmtId="3" fontId="2" fillId="2" borderId="27" xfId="0" applyNumberFormat="1" applyFont="1" applyFill="1" applyBorder="1" applyAlignment="1">
      <alignment horizontal="right" vertical="center"/>
    </xf>
    <xf numFmtId="3" fontId="2" fillId="2" borderId="59" xfId="0" applyNumberFormat="1" applyFont="1" applyFill="1" applyBorder="1" applyAlignment="1">
      <alignment horizontal="right" vertical="center"/>
    </xf>
    <xf numFmtId="164" fontId="8" fillId="2" borderId="35" xfId="0" applyNumberFormat="1" applyFont="1" applyFill="1" applyBorder="1" applyAlignment="1" applyProtection="1">
      <alignment horizontal="right" vertical="center" wrapText="1"/>
    </xf>
    <xf numFmtId="164" fontId="8" fillId="2" borderId="31" xfId="0" applyNumberFormat="1" applyFont="1" applyFill="1" applyBorder="1" applyAlignment="1" applyProtection="1">
      <alignment horizontal="right" vertical="center" wrapText="1"/>
    </xf>
    <xf numFmtId="164" fontId="8" fillId="2" borderId="34" xfId="0" applyNumberFormat="1" applyFont="1" applyFill="1" applyBorder="1" applyAlignment="1" applyProtection="1">
      <alignment horizontal="right" vertical="center" wrapText="1"/>
    </xf>
    <xf numFmtId="164" fontId="8" fillId="2" borderId="36" xfId="0" applyNumberFormat="1" applyFont="1" applyFill="1" applyBorder="1" applyAlignment="1" applyProtection="1">
      <alignment horizontal="right" vertical="center" wrapText="1"/>
    </xf>
    <xf numFmtId="164" fontId="8" fillId="2" borderId="37" xfId="0" applyNumberFormat="1" applyFont="1" applyFill="1" applyBorder="1" applyAlignment="1" applyProtection="1">
      <alignment horizontal="right" vertical="center" wrapText="1"/>
    </xf>
    <xf numFmtId="164" fontId="8" fillId="2" borderId="11" xfId="0" applyNumberFormat="1" applyFont="1" applyFill="1" applyBorder="1" applyAlignment="1" applyProtection="1">
      <alignment horizontal="right" vertical="center" wrapText="1"/>
    </xf>
    <xf numFmtId="0" fontId="0" fillId="2" borderId="52" xfId="0" applyNumberFormat="1" applyFont="1" applyFill="1" applyBorder="1" applyAlignment="1" applyProtection="1">
      <alignment horizontal="right" vertical="center"/>
    </xf>
    <xf numFmtId="3" fontId="0" fillId="2" borderId="3" xfId="0" applyNumberFormat="1" applyFont="1" applyFill="1" applyBorder="1" applyAlignment="1">
      <alignment horizontal="right" vertical="center"/>
    </xf>
    <xf numFmtId="3" fontId="0" fillId="2" borderId="10" xfId="0" applyNumberFormat="1" applyFont="1" applyFill="1" applyBorder="1" applyAlignment="1">
      <alignment horizontal="right" vertical="center"/>
    </xf>
    <xf numFmtId="164" fontId="16" fillId="2" borderId="0" xfId="0" applyNumberFormat="1" applyFont="1" applyFill="1" applyAlignment="1">
      <alignment horizontal="center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/>
    </xf>
    <xf numFmtId="164" fontId="19" fillId="2" borderId="0" xfId="0" applyNumberFormat="1" applyFont="1" applyFill="1" applyBorder="1" applyAlignment="1">
      <alignment horizontal="center"/>
    </xf>
    <xf numFmtId="164" fontId="8" fillId="2" borderId="14" xfId="0" applyNumberFormat="1" applyFont="1" applyFill="1" applyBorder="1" applyAlignment="1">
      <alignment horizontal="center" vertical="center" wrapText="1"/>
    </xf>
    <xf numFmtId="164" fontId="8" fillId="2" borderId="20" xfId="0" applyNumberFormat="1" applyFont="1" applyFill="1" applyBorder="1" applyAlignment="1">
      <alignment horizontal="center" vertical="center" wrapText="1"/>
    </xf>
    <xf numFmtId="164" fontId="8" fillId="2" borderId="15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Alignment="1">
      <alignment horizontal="center"/>
    </xf>
    <xf numFmtId="164" fontId="19" fillId="2" borderId="0" xfId="0" applyNumberFormat="1" applyFont="1" applyFill="1" applyBorder="1" applyAlignment="1">
      <alignment horizontal="center" vertical="center"/>
    </xf>
    <xf numFmtId="0" fontId="16" fillId="2" borderId="8" xfId="0" applyNumberFormat="1" applyFont="1" applyFill="1" applyBorder="1" applyAlignment="1">
      <alignment horizontal="center" vertical="center"/>
    </xf>
    <xf numFmtId="0" fontId="22" fillId="2" borderId="1" xfId="0" applyNumberFormat="1" applyFont="1" applyFill="1" applyBorder="1" applyAlignment="1">
      <alignment horizontal="right" vertical="center"/>
    </xf>
    <xf numFmtId="0" fontId="22" fillId="2" borderId="2" xfId="0" applyNumberFormat="1" applyFont="1" applyFill="1" applyBorder="1" applyAlignment="1">
      <alignment horizontal="right" vertical="center"/>
    </xf>
    <xf numFmtId="164" fontId="8" fillId="2" borderId="2" xfId="0" applyNumberFormat="1" applyFont="1" applyFill="1" applyBorder="1" applyAlignment="1" applyProtection="1">
      <alignment horizontal="center" vertical="center"/>
    </xf>
    <xf numFmtId="164" fontId="8" fillId="2" borderId="5" xfId="0" applyNumberFormat="1" applyFont="1" applyFill="1" applyBorder="1" applyAlignment="1" applyProtection="1">
      <alignment horizontal="center" vertical="center"/>
    </xf>
    <xf numFmtId="164" fontId="3" fillId="2" borderId="13" xfId="0" applyNumberFormat="1" applyFont="1" applyFill="1" applyBorder="1" applyAlignment="1">
      <alignment horizontal="left"/>
    </xf>
    <xf numFmtId="164" fontId="3" fillId="2" borderId="21" xfId="0" applyNumberFormat="1" applyFont="1" applyFill="1" applyBorder="1" applyAlignment="1">
      <alignment horizontal="left"/>
    </xf>
    <xf numFmtId="164" fontId="3" fillId="2" borderId="17" xfId="0" applyNumberFormat="1" applyFont="1" applyFill="1" applyBorder="1" applyAlignment="1">
      <alignment horizontal="left"/>
    </xf>
    <xf numFmtId="164" fontId="19" fillId="2" borderId="25" xfId="0" applyNumberFormat="1" applyFont="1" applyFill="1" applyBorder="1" applyAlignment="1">
      <alignment horizontal="center"/>
    </xf>
    <xf numFmtId="164" fontId="2" fillId="2" borderId="0" xfId="0" applyNumberFormat="1" applyFont="1" applyFill="1" applyBorder="1" applyAlignment="1" applyProtection="1">
      <alignment horizontal="center" vertical="center" wrapText="1"/>
    </xf>
    <xf numFmtId="164" fontId="2" fillId="2" borderId="16" xfId="0" applyNumberFormat="1" applyFont="1" applyFill="1" applyBorder="1" applyAlignment="1" applyProtection="1">
      <alignment horizontal="center" vertical="center" wrapText="1"/>
    </xf>
    <xf numFmtId="164" fontId="2" fillId="2" borderId="2" xfId="0" applyNumberFormat="1" applyFont="1" applyFill="1" applyBorder="1" applyAlignment="1" applyProtection="1">
      <alignment horizontal="center" vertical="center" wrapText="1"/>
    </xf>
    <xf numFmtId="164" fontId="2" fillId="2" borderId="29" xfId="0" applyNumberFormat="1" applyFont="1" applyFill="1" applyBorder="1" applyAlignment="1" applyProtection="1">
      <alignment horizontal="center" vertical="center" wrapText="1"/>
    </xf>
    <xf numFmtId="164" fontId="2" fillId="2" borderId="22" xfId="0" applyNumberFormat="1" applyFont="1" applyFill="1" applyBorder="1" applyAlignment="1" applyProtection="1">
      <alignment horizontal="left" vertical="center"/>
    </xf>
    <xf numFmtId="164" fontId="2" fillId="2" borderId="23" xfId="0" applyNumberFormat="1" applyFont="1" applyFill="1" applyBorder="1" applyAlignment="1" applyProtection="1">
      <alignment horizontal="left" vertical="center"/>
    </xf>
    <xf numFmtId="164" fontId="2" fillId="2" borderId="24" xfId="0" applyNumberFormat="1" applyFont="1" applyFill="1" applyBorder="1" applyAlignment="1" applyProtection="1">
      <alignment horizontal="left" vertical="center"/>
    </xf>
    <xf numFmtId="164" fontId="19" fillId="2" borderId="22" xfId="0" applyNumberFormat="1" applyFont="1" applyFill="1" applyBorder="1" applyAlignment="1">
      <alignment horizontal="right" vertical="center"/>
    </xf>
    <xf numFmtId="164" fontId="19" fillId="2" borderId="23" xfId="0" applyNumberFormat="1" applyFont="1" applyFill="1" applyBorder="1" applyAlignment="1">
      <alignment horizontal="right" vertical="center"/>
    </xf>
    <xf numFmtId="164" fontId="19" fillId="2" borderId="24" xfId="0" applyNumberFormat="1" applyFont="1" applyFill="1" applyBorder="1" applyAlignment="1">
      <alignment horizontal="right" vertical="center"/>
    </xf>
    <xf numFmtId="164" fontId="8" fillId="2" borderId="16" xfId="0" applyNumberFormat="1" applyFont="1" applyFill="1" applyBorder="1" applyAlignment="1" applyProtection="1">
      <alignment horizontal="center" vertical="center"/>
    </xf>
    <xf numFmtId="164" fontId="8" fillId="2" borderId="45" xfId="0" applyNumberFormat="1" applyFont="1" applyFill="1" applyBorder="1" applyAlignment="1" applyProtection="1">
      <alignment horizontal="center" vertical="center"/>
    </xf>
    <xf numFmtId="164" fontId="8" fillId="2" borderId="46" xfId="0" applyNumberFormat="1" applyFont="1" applyFill="1" applyBorder="1" applyAlignment="1" applyProtection="1">
      <alignment horizontal="center" vertical="center"/>
    </xf>
    <xf numFmtId="164" fontId="8" fillId="2" borderId="47" xfId="0" applyNumberFormat="1" applyFont="1" applyFill="1" applyBorder="1" applyAlignment="1" applyProtection="1">
      <alignment horizontal="center" vertical="center"/>
    </xf>
    <xf numFmtId="164" fontId="8" fillId="2" borderId="48" xfId="0" applyNumberFormat="1" applyFont="1" applyFill="1" applyBorder="1" applyAlignment="1" applyProtection="1">
      <alignment horizontal="center" vertical="center"/>
    </xf>
    <xf numFmtId="164" fontId="8" fillId="2" borderId="49" xfId="0" applyNumberFormat="1" applyFont="1" applyFill="1" applyBorder="1" applyAlignment="1" applyProtection="1">
      <alignment horizontal="center" vertical="center"/>
    </xf>
    <xf numFmtId="164" fontId="8" fillId="2" borderId="50" xfId="0" applyNumberFormat="1" applyFont="1" applyFill="1" applyBorder="1" applyAlignment="1" applyProtection="1">
      <alignment horizontal="center" vertical="center"/>
    </xf>
    <xf numFmtId="164" fontId="8" fillId="2" borderId="6" xfId="0" applyNumberFormat="1" applyFont="1" applyFill="1" applyBorder="1" applyAlignment="1" applyProtection="1">
      <alignment horizontal="center" vertical="center"/>
    </xf>
    <xf numFmtId="164" fontId="8" fillId="2" borderId="29" xfId="0" applyNumberFormat="1" applyFont="1" applyFill="1" applyBorder="1" applyAlignment="1" applyProtection="1">
      <alignment horizontal="center" vertic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Figure: 8.45: Percentage share of majistrates by sex, 2018</a:t>
            </a:r>
          </a:p>
        </c:rich>
      </c:tx>
      <c:layout>
        <c:manualLayout>
          <c:xMode val="edge"/>
          <c:yMode val="edge"/>
          <c:x val="0.15375707728102819"/>
          <c:y val="3.690537252679384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0164012366980025"/>
          <c:y val="0.12205736782902137"/>
          <c:w val="0.39484258352348067"/>
          <c:h val="0.81168353955755534"/>
        </c:manualLayout>
      </c:layout>
      <c:doughnutChart>
        <c:varyColors val="1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dPt>
            <c:idx val="0"/>
            <c:bubble3D val="0"/>
            <c:explosion val="12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7298-444E-90EE-7CAC93D21604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7298-444E-90EE-7CAC93D21604}"/>
              </c:ext>
            </c:extLst>
          </c:dPt>
          <c:dLbls>
            <c:dLbl>
              <c:idx val="0"/>
              <c:layout>
                <c:manualLayout>
                  <c:x val="8.2591273126193243E-2"/>
                  <c:y val="9.828260684265541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298-444E-90EE-7CAC93D21604}"/>
                </c:ext>
              </c:extLst>
            </c:dLbl>
            <c:dLbl>
              <c:idx val="1"/>
              <c:layout>
                <c:manualLayout>
                  <c:x val="6.1492891077858165E-2"/>
                  <c:y val="-7.847506561679790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298-444E-90EE-7CAC93D2160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'[4]8.28'!$A$7:$A$8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'[4]8.28'!$H$7:$H$8</c:f>
              <c:numCache>
                <c:formatCode>General</c:formatCode>
                <c:ptCount val="2"/>
                <c:pt idx="0">
                  <c:v>173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98-444E-90EE-7CAC93D2160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57"/>
        <c:holeSize val="50"/>
      </c:doughnutChart>
    </c:plotArea>
    <c:plotVisOnly val="1"/>
    <c:dispBlanksAs val="zero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227599741933217E-2"/>
          <c:y val="0.18628626421697292"/>
          <c:w val="0.85897134733158342"/>
          <c:h val="0.7178191274243507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'8.30'!$Z$14:$AH$14</c:f>
              <c:numCache>
                <c:formatCode>General</c:formatCod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 formatCode="General_)">
                  <c:v>2014</c:v>
                </c:pt>
                <c:pt idx="5">
                  <c:v>2015</c:v>
                </c:pt>
                <c:pt idx="6">
                  <c:v>2016</c:v>
                </c:pt>
                <c:pt idx="7" formatCode="General_)">
                  <c:v>2017</c:v>
                </c:pt>
                <c:pt idx="8" formatCode="General_)">
                  <c:v>2018</c:v>
                </c:pt>
              </c:numCache>
            </c:numRef>
          </c:cat>
          <c:val>
            <c:numRef>
              <c:f>'8.30'!$Z$17:$AH$17</c:f>
              <c:numCache>
                <c:formatCode>_(* #,##0.0_);_(* \(#,##0.0\);_(* "-"??_);_(@_)</c:formatCode>
                <c:ptCount val="9"/>
                <c:pt idx="0">
                  <c:v>1.9801980198019802</c:v>
                </c:pt>
                <c:pt idx="1">
                  <c:v>2.5380710659898478</c:v>
                </c:pt>
                <c:pt idx="2">
                  <c:v>3.0487804878048781</c:v>
                </c:pt>
                <c:pt idx="3">
                  <c:v>4.8648648648648649</c:v>
                </c:pt>
                <c:pt idx="4">
                  <c:v>4.395604395604396</c:v>
                </c:pt>
                <c:pt idx="5">
                  <c:v>3.8251366120218582</c:v>
                </c:pt>
                <c:pt idx="6">
                  <c:v>2.8089887640449436</c:v>
                </c:pt>
                <c:pt idx="7">
                  <c:v>3.867403314917127</c:v>
                </c:pt>
                <c:pt idx="8">
                  <c:v>5.0761421319796955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4-4900-9493-D84BB6427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312256"/>
        <c:axId val="129313792"/>
      </c:barChart>
      <c:catAx>
        <c:axId val="129312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313792"/>
        <c:crosses val="autoZero"/>
        <c:auto val="1"/>
        <c:lblAlgn val="ctr"/>
        <c:lblOffset val="100"/>
        <c:noMultiLvlLbl val="0"/>
      </c:catAx>
      <c:valAx>
        <c:axId val="12931379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crossAx val="129312256"/>
        <c:crosses val="autoZero"/>
        <c:crossBetween val="between"/>
      </c:valAx>
      <c:spPr>
        <a:solidFill>
          <a:srgbClr val="FFFAEB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059182793538368"/>
          <c:y val="0.16645290671346885"/>
          <c:w val="0.77555831836809874"/>
          <c:h val="0.73659921977617082"/>
        </c:manualLayout>
      </c:layout>
      <c:pie3DChart>
        <c:varyColors val="1"/>
        <c:ser>
          <c:idx val="0"/>
          <c:order val="0"/>
          <c:explosion val="3"/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76A-464D-B54D-41BE1C2A6C45}"/>
              </c:ext>
            </c:extLst>
          </c:dPt>
          <c:dLbls>
            <c:dLbl>
              <c:idx val="0"/>
              <c:layout>
                <c:manualLayout>
                  <c:x val="-0.22627007748433359"/>
                  <c:y val="-0.1714193098366142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6A-464D-B54D-41BE1C2A6C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'8.31'!$X$4:$Y$4</c:f>
              <c:strCache>
                <c:ptCount val="2"/>
                <c:pt idx="0">
                  <c:v>Male </c:v>
                </c:pt>
                <c:pt idx="1">
                  <c:v>Female</c:v>
                </c:pt>
              </c:strCache>
            </c:strRef>
          </c:cat>
          <c:val>
            <c:numRef>
              <c:f>'8.31'!$X$7:$Y$7</c:f>
              <c:numCache>
                <c:formatCode>#,##0</c:formatCode>
                <c:ptCount val="2"/>
                <c:pt idx="0">
                  <c:v>1082</c:v>
                </c:pt>
                <c:pt idx="1">
                  <c:v>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6A-464D-B54D-41BE1C2A6C45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45712109171358E-2"/>
          <c:y val="7.407407407407407E-2"/>
          <c:w val="0.93285922960238998"/>
          <c:h val="0.75658136482939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'8.31'!$X$4</c:f>
              <c:strCache>
                <c:ptCount val="1"/>
                <c:pt idx="0">
                  <c:v>Male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'8.31'!$A$8:$A$16</c:f>
              <c:strCache>
                <c:ptCount val="9"/>
                <c:pt idx="0">
                  <c:v>Certificate 3</c:v>
                </c:pt>
                <c:pt idx="1">
                  <c:v>Advanced Certificate</c:v>
                </c:pt>
                <c:pt idx="2">
                  <c:v>Gaanoonee vakeelukamuge sanadhu</c:v>
                </c:pt>
                <c:pt idx="3">
                  <c:v>Diploma</c:v>
                </c:pt>
                <c:pt idx="4">
                  <c:v>Advanced Diploma</c:v>
                </c:pt>
                <c:pt idx="5">
                  <c:v>Bachelors degree</c:v>
                </c:pt>
                <c:pt idx="6">
                  <c:v>Masters degree </c:v>
                </c:pt>
                <c:pt idx="7">
                  <c:v>Doctoral degree</c:v>
                </c:pt>
                <c:pt idx="8">
                  <c:v>Other</c:v>
                </c:pt>
              </c:strCache>
            </c:strRef>
          </c:cat>
          <c:val>
            <c:numRef>
              <c:f>'8.31'!$X$8:$X$16</c:f>
              <c:numCache>
                <c:formatCode>#,##0</c:formatCode>
                <c:ptCount val="9"/>
                <c:pt idx="0">
                  <c:v>180</c:v>
                </c:pt>
                <c:pt idx="1">
                  <c:v>142</c:v>
                </c:pt>
                <c:pt idx="2">
                  <c:v>14</c:v>
                </c:pt>
                <c:pt idx="3">
                  <c:v>50</c:v>
                </c:pt>
                <c:pt idx="4">
                  <c:v>62</c:v>
                </c:pt>
                <c:pt idx="5">
                  <c:v>586</c:v>
                </c:pt>
                <c:pt idx="6">
                  <c:v>18</c:v>
                </c:pt>
                <c:pt idx="7">
                  <c:v>2</c:v>
                </c:pt>
                <c:pt idx="8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1-40D8-BDE1-4101A7775A92}"/>
            </c:ext>
          </c:extLst>
        </c:ser>
        <c:ser>
          <c:idx val="1"/>
          <c:order val="1"/>
          <c:tx>
            <c:strRef>
              <c:f>'8.31'!$Y$4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'8.31'!$A$8:$A$16</c:f>
              <c:strCache>
                <c:ptCount val="9"/>
                <c:pt idx="0">
                  <c:v>Certificate 3</c:v>
                </c:pt>
                <c:pt idx="1">
                  <c:v>Advanced Certificate</c:v>
                </c:pt>
                <c:pt idx="2">
                  <c:v>Gaanoonee vakeelukamuge sanadhu</c:v>
                </c:pt>
                <c:pt idx="3">
                  <c:v>Diploma</c:v>
                </c:pt>
                <c:pt idx="4">
                  <c:v>Advanced Diploma</c:v>
                </c:pt>
                <c:pt idx="5">
                  <c:v>Bachelors degree</c:v>
                </c:pt>
                <c:pt idx="6">
                  <c:v>Masters degree </c:v>
                </c:pt>
                <c:pt idx="7">
                  <c:v>Doctoral degree</c:v>
                </c:pt>
                <c:pt idx="8">
                  <c:v>Other</c:v>
                </c:pt>
              </c:strCache>
            </c:strRef>
          </c:cat>
          <c:val>
            <c:numRef>
              <c:f>'8.31'!$Y$8:$Y$16</c:f>
              <c:numCache>
                <c:formatCode>#,##0</c:formatCode>
                <c:ptCount val="9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36</c:v>
                </c:pt>
                <c:pt idx="4">
                  <c:v>74</c:v>
                </c:pt>
                <c:pt idx="5">
                  <c:v>538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A1-40D8-BDE1-4101A7775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70816"/>
        <c:axId val="36555008"/>
      </c:barChart>
      <c:catAx>
        <c:axId val="3657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55008"/>
        <c:crosses val="autoZero"/>
        <c:auto val="1"/>
        <c:lblAlgn val="ctr"/>
        <c:lblOffset val="100"/>
        <c:noMultiLvlLbl val="0"/>
      </c:catAx>
      <c:valAx>
        <c:axId val="36555008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7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2173741</xdr:colOff>
      <xdr:row>28</xdr:row>
      <xdr:rowOff>114300</xdr:rowOff>
    </xdr:from>
    <xdr:ext cx="4922520" cy="225878"/>
    <xdr:sp macro="" textlink="">
      <xdr:nvSpPr>
        <xdr:cNvPr id="2" name="TextBox 1"/>
        <xdr:cNvSpPr txBox="1"/>
      </xdr:nvSpPr>
      <xdr:spPr>
        <a:xfrm>
          <a:off x="2173741" y="5248275"/>
          <a:ext cx="4922520" cy="2258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>
              <a:latin typeface="Consolas" pitchFamily="49" charset="0"/>
              <a:cs typeface="Consolas" pitchFamily="49" charset="0"/>
            </a:rPr>
            <a:t>Figure 8.37: Share of female judges / majistrates, 2010 - 2014</a:t>
          </a:r>
        </a:p>
      </xdr:txBody>
    </xdr:sp>
    <xdr:clientData/>
  </xdr:oneCellAnchor>
  <xdr:twoCellAnchor>
    <xdr:from>
      <xdr:col>0</xdr:col>
      <xdr:colOff>2375536</xdr:colOff>
      <xdr:row>13</xdr:row>
      <xdr:rowOff>133350</xdr:rowOff>
    </xdr:from>
    <xdr:to>
      <xdr:col>5</xdr:col>
      <xdr:colOff>34018</xdr:colOff>
      <xdr:row>13</xdr:row>
      <xdr:rowOff>136072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2375536" y="2409825"/>
          <a:ext cx="1297032" cy="2722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2349420</xdr:colOff>
      <xdr:row>29</xdr:row>
      <xdr:rowOff>141582</xdr:rowOff>
    </xdr:from>
    <xdr:to>
      <xdr:col>5</xdr:col>
      <xdr:colOff>425223</xdr:colOff>
      <xdr:row>29</xdr:row>
      <xdr:rowOff>144576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2349420" y="5466057"/>
          <a:ext cx="1714353" cy="2994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1543051</xdr:colOff>
      <xdr:row>11</xdr:row>
      <xdr:rowOff>66675</xdr:rowOff>
    </xdr:from>
    <xdr:to>
      <xdr:col>10</xdr:col>
      <xdr:colOff>714375</xdr:colOff>
      <xdr:row>25</xdr:row>
      <xdr:rowOff>142875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1529715</xdr:colOff>
      <xdr:row>27</xdr:row>
      <xdr:rowOff>156210</xdr:rowOff>
    </xdr:from>
    <xdr:to>
      <xdr:col>10</xdr:col>
      <xdr:colOff>704850</xdr:colOff>
      <xdr:row>42</xdr:row>
      <xdr:rowOff>156210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2480922</xdr:colOff>
      <xdr:row>28</xdr:row>
      <xdr:rowOff>123825</xdr:rowOff>
    </xdr:from>
    <xdr:ext cx="4922520" cy="225878"/>
    <xdr:sp macro="" textlink="">
      <xdr:nvSpPr>
        <xdr:cNvPr id="7" name="TextBox 6"/>
        <xdr:cNvSpPr txBox="1"/>
      </xdr:nvSpPr>
      <xdr:spPr>
        <a:xfrm>
          <a:off x="2480922" y="5257800"/>
          <a:ext cx="4922520" cy="2258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>
              <a:latin typeface="Consolas" pitchFamily="49" charset="0"/>
              <a:cs typeface="Consolas" pitchFamily="49" charset="0"/>
            </a:rPr>
            <a:t>Figure 8.46: Share of female judges / majistrates, 2010 - 2018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304799</xdr:colOff>
      <xdr:row>18</xdr:row>
      <xdr:rowOff>51288</xdr:rowOff>
    </xdr:from>
    <xdr:to>
      <xdr:col>20</xdr:col>
      <xdr:colOff>38099</xdr:colOff>
      <xdr:row>35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28574</xdr:colOff>
      <xdr:row>37</xdr:row>
      <xdr:rowOff>95250</xdr:rowOff>
    </xdr:from>
    <xdr:to>
      <xdr:col>22</xdr:col>
      <xdr:colOff>28575</xdr:colOff>
      <xdr:row>54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</cdr:x>
      <cdr:y>0.04324</cdr:y>
    </cdr:from>
    <cdr:to>
      <cdr:x>0.95069</cdr:x>
      <cdr:y>0.1301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115900" y="141598"/>
          <a:ext cx="5393360" cy="28444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Figure</a:t>
          </a:r>
          <a:r>
            <a:rPr lang="en-US" sz="1100" b="1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8.47: Percenatge </a:t>
          </a:r>
          <a:r>
            <a:rPr lang="en-US" sz="1100" b="1">
              <a:latin typeface="Consolas" pitchFamily="49" charset="0"/>
              <a:cs typeface="Consolas" pitchFamily="49" charset="0"/>
            </a:rPr>
            <a:t>of registered lawyers by sex, 2018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3"/>
  <sheetViews>
    <sheetView tabSelected="1" zoomScaleNormal="100" workbookViewId="0">
      <selection sqref="A1:K1"/>
    </sheetView>
  </sheetViews>
  <sheetFormatPr defaultColWidth="9.140625" defaultRowHeight="15"/>
  <cols>
    <col min="1" max="1" width="40.28515625" style="4" customWidth="1"/>
    <col min="2" max="4" width="14.28515625" style="4" hidden="1" customWidth="1"/>
    <col min="5" max="5" width="14.28515625" style="4" customWidth="1"/>
    <col min="6" max="10" width="13.7109375" style="4" customWidth="1"/>
    <col min="11" max="11" width="38.5703125" style="4" customWidth="1"/>
    <col min="12" max="12" width="2.28515625" style="4" customWidth="1"/>
    <col min="13" max="16384" width="9.140625" style="4"/>
  </cols>
  <sheetData>
    <row r="1" spans="1:35" ht="21">
      <c r="A1" s="128" t="s">
        <v>51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35">
      <c r="A2" s="119" t="s">
        <v>50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35">
      <c r="A3" s="90"/>
      <c r="B3" s="90"/>
      <c r="C3" s="90"/>
      <c r="D3" s="90"/>
      <c r="E3" s="90"/>
      <c r="F3" s="90"/>
      <c r="G3" s="90"/>
      <c r="H3" s="90"/>
      <c r="I3" s="90"/>
      <c r="J3" s="90"/>
    </row>
    <row r="4" spans="1:35">
      <c r="A4" s="120" t="s">
        <v>14</v>
      </c>
      <c r="B4" s="129" t="s">
        <v>15</v>
      </c>
      <c r="C4" s="129"/>
      <c r="D4" s="129"/>
      <c r="E4" s="129"/>
      <c r="F4" s="129"/>
      <c r="G4" s="129"/>
      <c r="H4" s="129"/>
      <c r="I4" s="129"/>
      <c r="J4" s="129"/>
      <c r="K4" s="130" t="s">
        <v>9</v>
      </c>
    </row>
    <row r="5" spans="1:35">
      <c r="A5" s="121"/>
      <c r="B5" s="3">
        <v>2010</v>
      </c>
      <c r="C5" s="3">
        <v>2011</v>
      </c>
      <c r="D5" s="3">
        <v>2012</v>
      </c>
      <c r="E5" s="3">
        <v>2013</v>
      </c>
      <c r="F5" s="3">
        <v>2014</v>
      </c>
      <c r="G5" s="3">
        <v>2015</v>
      </c>
      <c r="H5" s="3">
        <v>2016</v>
      </c>
      <c r="I5" s="3">
        <v>2017</v>
      </c>
      <c r="J5" s="3">
        <v>2018</v>
      </c>
      <c r="K5" s="131"/>
    </row>
    <row r="6" spans="1:35" s="9" customFormat="1" ht="18.75">
      <c r="A6" s="7" t="s">
        <v>16</v>
      </c>
      <c r="B6" s="8">
        <f t="shared" ref="B6:J6" si="0">SUM(B7:B8)</f>
        <v>202</v>
      </c>
      <c r="C6" s="8">
        <f t="shared" si="0"/>
        <v>197</v>
      </c>
      <c r="D6" s="8">
        <f t="shared" si="0"/>
        <v>164</v>
      </c>
      <c r="E6" s="8">
        <f t="shared" si="0"/>
        <v>185</v>
      </c>
      <c r="F6" s="8">
        <f t="shared" si="0"/>
        <v>182</v>
      </c>
      <c r="G6" s="8">
        <f t="shared" si="0"/>
        <v>183</v>
      </c>
      <c r="H6" s="8">
        <f t="shared" si="0"/>
        <v>178</v>
      </c>
      <c r="I6" s="8">
        <f t="shared" si="0"/>
        <v>181</v>
      </c>
      <c r="J6" s="8">
        <f t="shared" si="0"/>
        <v>197</v>
      </c>
      <c r="K6" s="15" t="s">
        <v>17</v>
      </c>
    </row>
    <row r="7" spans="1:35" ht="18.75">
      <c r="A7" s="10" t="s">
        <v>5</v>
      </c>
      <c r="B7" s="11">
        <v>198</v>
      </c>
      <c r="C7" s="11">
        <v>192</v>
      </c>
      <c r="D7" s="11">
        <v>159</v>
      </c>
      <c r="E7" s="11">
        <v>176</v>
      </c>
      <c r="F7" s="11">
        <v>174</v>
      </c>
      <c r="G7" s="11">
        <v>176</v>
      </c>
      <c r="H7" s="11">
        <v>173</v>
      </c>
      <c r="I7" s="11">
        <v>174</v>
      </c>
      <c r="J7" s="11">
        <v>187</v>
      </c>
      <c r="K7" s="16" t="s">
        <v>10</v>
      </c>
      <c r="M7" s="13"/>
    </row>
    <row r="8" spans="1:35" s="5" customFormat="1" ht="18.75">
      <c r="A8" s="10" t="s">
        <v>6</v>
      </c>
      <c r="B8" s="11">
        <v>4</v>
      </c>
      <c r="C8" s="11">
        <v>5</v>
      </c>
      <c r="D8" s="11">
        <v>5</v>
      </c>
      <c r="E8" s="11">
        <v>9</v>
      </c>
      <c r="F8" s="11">
        <v>8</v>
      </c>
      <c r="G8" s="11">
        <v>7</v>
      </c>
      <c r="H8" s="11">
        <v>5</v>
      </c>
      <c r="I8" s="11">
        <v>7</v>
      </c>
      <c r="J8" s="11">
        <v>10</v>
      </c>
      <c r="K8" s="16" t="s">
        <v>11</v>
      </c>
      <c r="M8" s="17"/>
    </row>
    <row r="9" spans="1:35" ht="21">
      <c r="A9" s="12" t="s">
        <v>18</v>
      </c>
      <c r="B9" s="18">
        <v>211.38208</v>
      </c>
      <c r="C9" s="18">
        <v>253.832494</v>
      </c>
      <c r="D9" s="18">
        <v>298.93866270999996</v>
      </c>
      <c r="E9" s="18">
        <v>292.36569200000002</v>
      </c>
      <c r="F9" s="18">
        <v>326.90534851999996</v>
      </c>
      <c r="G9" s="18">
        <v>468.04598700000003</v>
      </c>
      <c r="H9" s="18">
        <v>448.00623200000001</v>
      </c>
      <c r="I9" s="18">
        <v>413</v>
      </c>
      <c r="J9" s="18">
        <v>447.08000700000002</v>
      </c>
      <c r="K9" s="19" t="s">
        <v>19</v>
      </c>
    </row>
    <row r="10" spans="1:35" s="23" customFormat="1" ht="17.25">
      <c r="A10" s="20" t="s">
        <v>20</v>
      </c>
      <c r="B10" s="21"/>
      <c r="C10" s="21"/>
      <c r="D10" s="21"/>
      <c r="E10" s="21"/>
      <c r="F10" s="21"/>
      <c r="G10" s="21"/>
      <c r="H10" s="21"/>
      <c r="I10" s="21"/>
      <c r="J10" s="21"/>
      <c r="K10" s="22" t="s">
        <v>21</v>
      </c>
    </row>
    <row r="11" spans="1:35" ht="17.25">
      <c r="A11" s="24" t="s">
        <v>22</v>
      </c>
      <c r="B11" s="23"/>
      <c r="C11" s="23"/>
      <c r="K11" s="25" t="s">
        <v>23</v>
      </c>
      <c r="M11" s="123"/>
      <c r="N11" s="124"/>
    </row>
    <row r="12" spans="1:35" s="23" customFormat="1" ht="12">
      <c r="C12" s="26"/>
      <c r="M12" s="125"/>
      <c r="N12" s="126"/>
    </row>
    <row r="13" spans="1:35" s="23" customFormat="1" ht="12">
      <c r="M13" s="125"/>
      <c r="N13" s="126"/>
      <c r="AD13" s="23">
        <f>AD15+AD16</f>
        <v>182</v>
      </c>
      <c r="AE13" s="23">
        <f t="shared" ref="AE13:AH13" si="1">AE15+AE16</f>
        <v>183</v>
      </c>
      <c r="AF13" s="23">
        <f t="shared" si="1"/>
        <v>178</v>
      </c>
      <c r="AG13" s="23">
        <f t="shared" si="1"/>
        <v>181</v>
      </c>
      <c r="AH13" s="23">
        <f t="shared" si="1"/>
        <v>197</v>
      </c>
    </row>
    <row r="14" spans="1:35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M14" s="125"/>
      <c r="N14" s="126"/>
      <c r="Z14" s="27">
        <v>2010</v>
      </c>
      <c r="AA14" s="27">
        <v>2011</v>
      </c>
      <c r="AB14" s="27">
        <v>2012</v>
      </c>
      <c r="AC14" s="27">
        <v>2013</v>
      </c>
      <c r="AD14" s="28">
        <v>2014</v>
      </c>
      <c r="AE14" s="27">
        <v>2015</v>
      </c>
      <c r="AF14" s="27">
        <v>2016</v>
      </c>
      <c r="AG14" s="28">
        <v>2017</v>
      </c>
      <c r="AH14" s="28">
        <v>2018</v>
      </c>
      <c r="AI14" s="4" t="s">
        <v>24</v>
      </c>
    </row>
    <row r="15" spans="1:35">
      <c r="M15" s="125"/>
      <c r="N15" s="126"/>
      <c r="Y15" s="10" t="s">
        <v>5</v>
      </c>
      <c r="Z15" s="11">
        <v>198</v>
      </c>
      <c r="AA15" s="11">
        <v>192</v>
      </c>
      <c r="AB15" s="11">
        <v>159</v>
      </c>
      <c r="AC15" s="11">
        <f t="shared" ref="AC15:AH16" si="2">E7</f>
        <v>176</v>
      </c>
      <c r="AD15" s="4">
        <f t="shared" si="2"/>
        <v>174</v>
      </c>
      <c r="AE15" s="4">
        <f t="shared" si="2"/>
        <v>176</v>
      </c>
      <c r="AF15" s="4">
        <f t="shared" si="2"/>
        <v>173</v>
      </c>
      <c r="AG15" s="4">
        <f t="shared" si="2"/>
        <v>174</v>
      </c>
      <c r="AH15" s="4">
        <f t="shared" si="2"/>
        <v>187</v>
      </c>
      <c r="AI15" s="29">
        <f>AF15/AF13*100</f>
        <v>97.19101123595506</v>
      </c>
    </row>
    <row r="16" spans="1:35">
      <c r="Y16" s="10" t="s">
        <v>6</v>
      </c>
      <c r="Z16" s="11">
        <v>4</v>
      </c>
      <c r="AA16" s="11">
        <v>5</v>
      </c>
      <c r="AB16" s="11">
        <v>5</v>
      </c>
      <c r="AC16" s="11">
        <f t="shared" si="2"/>
        <v>9</v>
      </c>
      <c r="AD16" s="4">
        <f t="shared" si="2"/>
        <v>8</v>
      </c>
      <c r="AE16" s="4">
        <f t="shared" si="2"/>
        <v>7</v>
      </c>
      <c r="AF16" s="4">
        <f t="shared" si="2"/>
        <v>5</v>
      </c>
      <c r="AG16" s="4">
        <f t="shared" si="2"/>
        <v>7</v>
      </c>
      <c r="AH16" s="4">
        <f t="shared" si="2"/>
        <v>10</v>
      </c>
      <c r="AI16" s="30">
        <f>AF16/AF13*100</f>
        <v>2.8089887640449436</v>
      </c>
    </row>
    <row r="17" spans="1:34">
      <c r="Y17" s="4" t="s">
        <v>25</v>
      </c>
      <c r="Z17" s="31">
        <f t="shared" ref="Z17:AH17" si="3">Z16/B6*100</f>
        <v>1.9801980198019802</v>
      </c>
      <c r="AA17" s="31">
        <f t="shared" si="3"/>
        <v>2.5380710659898478</v>
      </c>
      <c r="AB17" s="31">
        <f t="shared" si="3"/>
        <v>3.0487804878048781</v>
      </c>
      <c r="AC17" s="31">
        <f t="shared" si="3"/>
        <v>4.8648648648648649</v>
      </c>
      <c r="AD17" s="31">
        <f t="shared" si="3"/>
        <v>4.395604395604396</v>
      </c>
      <c r="AE17" s="31">
        <f t="shared" si="3"/>
        <v>3.8251366120218582</v>
      </c>
      <c r="AF17" s="31">
        <f t="shared" si="3"/>
        <v>2.8089887640449436</v>
      </c>
      <c r="AG17" s="31">
        <f t="shared" si="3"/>
        <v>3.867403314917127</v>
      </c>
      <c r="AH17" s="31">
        <f t="shared" si="3"/>
        <v>5.0761421319796955</v>
      </c>
    </row>
    <row r="18" spans="1:34">
      <c r="A18" s="7"/>
    </row>
    <row r="20" spans="1:34">
      <c r="Z20" s="11"/>
      <c r="AA20" s="11"/>
      <c r="AB20" s="11"/>
    </row>
    <row r="21" spans="1:34">
      <c r="Z21" s="11"/>
      <c r="AA21" s="11"/>
      <c r="AB21" s="11"/>
    </row>
    <row r="22" spans="1:34">
      <c r="AA22" s="4" t="s">
        <v>5</v>
      </c>
      <c r="AB22" s="4">
        <v>96</v>
      </c>
    </row>
    <row r="23" spans="1:34">
      <c r="AA23" s="4" t="s">
        <v>6</v>
      </c>
      <c r="AB23" s="4">
        <v>4</v>
      </c>
    </row>
    <row r="33" spans="14:14">
      <c r="N33" s="9"/>
    </row>
  </sheetData>
  <mergeCells count="7">
    <mergeCell ref="M11:N15"/>
    <mergeCell ref="A14:K14"/>
    <mergeCell ref="A1:K1"/>
    <mergeCell ref="A2:K2"/>
    <mergeCell ref="A4:A5"/>
    <mergeCell ref="B4:J4"/>
    <mergeCell ref="K4:K5"/>
  </mergeCells>
  <pageMargins left="0.7" right="0.7" top="0.75" bottom="0.75" header="0.3" footer="0.3"/>
  <pageSetup paperSize="9" scale="53" orientation="portrait" horizontalDpi="4294967295" verticalDpi="4294967295" r:id="rId1"/>
  <ignoredErrors>
    <ignoredError sqref="E6:J6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6"/>
  <sheetViews>
    <sheetView workbookViewId="0">
      <selection sqref="A1:Z1"/>
    </sheetView>
  </sheetViews>
  <sheetFormatPr defaultColWidth="22.28515625" defaultRowHeight="12.75"/>
  <cols>
    <col min="1" max="1" width="33.5703125" style="85" customWidth="1"/>
    <col min="2" max="7" width="9.85546875" style="1" hidden="1" customWidth="1"/>
    <col min="8" max="8" width="10" style="1" customWidth="1"/>
    <col min="9" max="16" width="9.28515625" style="1" customWidth="1"/>
    <col min="17" max="19" width="9.28515625" style="1" hidden="1" customWidth="1"/>
    <col min="20" max="25" width="9.28515625" style="1" customWidth="1"/>
    <col min="26" max="26" width="28.5703125" style="1" customWidth="1"/>
    <col min="27" max="27" width="11.140625" style="1" customWidth="1"/>
    <col min="28" max="28" width="5.28515625" style="1" customWidth="1"/>
    <col min="29" max="30" width="4.28515625" style="1" customWidth="1"/>
    <col min="31" max="31" width="22.28515625" style="1"/>
    <col min="32" max="32" width="6.7109375" style="1" customWidth="1"/>
    <col min="33" max="16384" width="22.28515625" style="1"/>
  </cols>
  <sheetData>
    <row r="1" spans="1:39" ht="21">
      <c r="A1" s="122" t="s">
        <v>53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37"/>
      <c r="AA1" s="32"/>
    </row>
    <row r="2" spans="1:39" ht="15">
      <c r="A2" s="138" t="s">
        <v>52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32"/>
    </row>
    <row r="3" spans="1:39" ht="15">
      <c r="A3" s="139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1"/>
      <c r="AA3" s="32"/>
    </row>
    <row r="4" spans="1:39" ht="17.25" customHeight="1">
      <c r="A4" s="142" t="s">
        <v>26</v>
      </c>
      <c r="B4" s="33" t="s">
        <v>4</v>
      </c>
      <c r="C4" s="33" t="s">
        <v>27</v>
      </c>
      <c r="D4" s="34" t="s">
        <v>6</v>
      </c>
      <c r="E4" s="35" t="s">
        <v>4</v>
      </c>
      <c r="F4" s="33" t="s">
        <v>27</v>
      </c>
      <c r="G4" s="36" t="s">
        <v>6</v>
      </c>
      <c r="H4" s="110" t="s">
        <v>4</v>
      </c>
      <c r="I4" s="111" t="s">
        <v>27</v>
      </c>
      <c r="J4" s="112" t="s">
        <v>6</v>
      </c>
      <c r="K4" s="110" t="s">
        <v>4</v>
      </c>
      <c r="L4" s="111" t="s">
        <v>27</v>
      </c>
      <c r="M4" s="112" t="s">
        <v>6</v>
      </c>
      <c r="N4" s="113" t="s">
        <v>4</v>
      </c>
      <c r="O4" s="111" t="s">
        <v>27</v>
      </c>
      <c r="P4" s="114" t="s">
        <v>6</v>
      </c>
      <c r="Q4" s="115" t="s">
        <v>4</v>
      </c>
      <c r="R4" s="111" t="s">
        <v>27</v>
      </c>
      <c r="S4" s="114" t="s">
        <v>6</v>
      </c>
      <c r="T4" s="115" t="s">
        <v>4</v>
      </c>
      <c r="U4" s="111" t="s">
        <v>27</v>
      </c>
      <c r="V4" s="112" t="s">
        <v>6</v>
      </c>
      <c r="W4" s="113" t="s">
        <v>4</v>
      </c>
      <c r="X4" s="111" t="s">
        <v>27</v>
      </c>
      <c r="Y4" s="111" t="s">
        <v>6</v>
      </c>
      <c r="Z4" s="145" t="s">
        <v>28</v>
      </c>
      <c r="AA4" s="32"/>
    </row>
    <row r="5" spans="1:39" ht="18.75">
      <c r="A5" s="143"/>
      <c r="B5" s="37" t="s">
        <v>7</v>
      </c>
      <c r="C5" s="37" t="s">
        <v>10</v>
      </c>
      <c r="D5" s="38" t="s">
        <v>11</v>
      </c>
      <c r="E5" s="39" t="s">
        <v>7</v>
      </c>
      <c r="F5" s="37" t="s">
        <v>10</v>
      </c>
      <c r="G5" s="40" t="s">
        <v>11</v>
      </c>
      <c r="H5" s="41" t="s">
        <v>7</v>
      </c>
      <c r="I5" s="37" t="s">
        <v>10</v>
      </c>
      <c r="J5" s="40" t="s">
        <v>11</v>
      </c>
      <c r="K5" s="41" t="s">
        <v>7</v>
      </c>
      <c r="L5" s="37" t="s">
        <v>10</v>
      </c>
      <c r="M5" s="40" t="s">
        <v>11</v>
      </c>
      <c r="N5" s="42" t="s">
        <v>7</v>
      </c>
      <c r="O5" s="37" t="s">
        <v>10</v>
      </c>
      <c r="P5" s="43" t="s">
        <v>11</v>
      </c>
      <c r="Q5" s="39" t="s">
        <v>7</v>
      </c>
      <c r="R5" s="37" t="s">
        <v>10</v>
      </c>
      <c r="S5" s="43" t="s">
        <v>11</v>
      </c>
      <c r="T5" s="39" t="s">
        <v>7</v>
      </c>
      <c r="U5" s="37" t="s">
        <v>10</v>
      </c>
      <c r="V5" s="40" t="s">
        <v>11</v>
      </c>
      <c r="W5" s="42" t="s">
        <v>7</v>
      </c>
      <c r="X5" s="37" t="s">
        <v>10</v>
      </c>
      <c r="Y5" s="37" t="s">
        <v>11</v>
      </c>
      <c r="Z5" s="146"/>
      <c r="AA5" s="32"/>
      <c r="AK5" s="1" t="s">
        <v>29</v>
      </c>
    </row>
    <row r="6" spans="1:39">
      <c r="A6" s="144"/>
      <c r="B6" s="148">
        <v>2012</v>
      </c>
      <c r="C6" s="132"/>
      <c r="D6" s="149"/>
      <c r="E6" s="132">
        <v>2013</v>
      </c>
      <c r="F6" s="132"/>
      <c r="G6" s="132"/>
      <c r="H6" s="150">
        <v>2014</v>
      </c>
      <c r="I6" s="132"/>
      <c r="J6" s="132"/>
      <c r="K6" s="151">
        <v>2015</v>
      </c>
      <c r="L6" s="152"/>
      <c r="M6" s="152"/>
      <c r="N6" s="153">
        <v>2016</v>
      </c>
      <c r="O6" s="152"/>
      <c r="P6" s="154"/>
      <c r="Q6" s="132">
        <v>2017</v>
      </c>
      <c r="R6" s="132"/>
      <c r="S6" s="133"/>
      <c r="T6" s="132">
        <v>2018</v>
      </c>
      <c r="U6" s="132"/>
      <c r="V6" s="132"/>
      <c r="W6" s="155" t="s">
        <v>47</v>
      </c>
      <c r="X6" s="132"/>
      <c r="Y6" s="156"/>
      <c r="Z6" s="147"/>
      <c r="AA6" s="32"/>
    </row>
    <row r="7" spans="1:39" ht="21">
      <c r="A7" s="92" t="s">
        <v>8</v>
      </c>
      <c r="B7" s="44">
        <f>C7+D7</f>
        <v>641</v>
      </c>
      <c r="C7" s="45">
        <f>SUM(C8:C16)</f>
        <v>435</v>
      </c>
      <c r="D7" s="46">
        <f>SUM(D8:D16)</f>
        <v>206</v>
      </c>
      <c r="E7" s="47">
        <f>F7+G7</f>
        <v>699</v>
      </c>
      <c r="F7" s="45">
        <f>SUM(F8:F16)</f>
        <v>466</v>
      </c>
      <c r="G7" s="48">
        <f>SUM(G8:G16)</f>
        <v>233</v>
      </c>
      <c r="H7" s="49">
        <f>SUM(I7:J7)</f>
        <v>798</v>
      </c>
      <c r="I7" s="50">
        <f>SUM(I8:I16)</f>
        <v>521</v>
      </c>
      <c r="J7" s="51">
        <f>SUM(J8:J16)</f>
        <v>277</v>
      </c>
      <c r="K7" s="49">
        <f t="shared" ref="K7" si="0">SUM(L7:M7)</f>
        <v>145</v>
      </c>
      <c r="L7" s="50">
        <f t="shared" ref="L7:M7" si="1">SUM(L8:L16)</f>
        <v>72</v>
      </c>
      <c r="M7" s="51">
        <f t="shared" si="1"/>
        <v>73</v>
      </c>
      <c r="N7" s="104">
        <f t="shared" ref="N7" si="2">SUM(O7:P7)</f>
        <v>132</v>
      </c>
      <c r="O7" s="105">
        <f t="shared" ref="O7:P7" si="3">SUM(O8:O16)</f>
        <v>54</v>
      </c>
      <c r="P7" s="106">
        <f t="shared" si="3"/>
        <v>78</v>
      </c>
      <c r="Q7" s="52">
        <f>SUM(R7:S7)</f>
        <v>0</v>
      </c>
      <c r="R7" s="50">
        <f>SUM(R8:R16)</f>
        <v>0</v>
      </c>
      <c r="S7" s="94">
        <f>SUM(S8:S16)</f>
        <v>0</v>
      </c>
      <c r="T7" s="52">
        <f>SUM(U7:V7)</f>
        <v>661</v>
      </c>
      <c r="U7" s="50">
        <f>SUM(U8:U16)</f>
        <v>435</v>
      </c>
      <c r="V7" s="51">
        <f>SUM(V8:V16)</f>
        <v>226</v>
      </c>
      <c r="W7" s="108">
        <f>H7+K7+N7+Q7+T7</f>
        <v>1736</v>
      </c>
      <c r="X7" s="50">
        <f t="shared" ref="X7:Y16" si="4">I7+L7+O7+R7+U7</f>
        <v>1082</v>
      </c>
      <c r="Y7" s="50">
        <f t="shared" si="4"/>
        <v>654</v>
      </c>
      <c r="Z7" s="53" t="s">
        <v>3</v>
      </c>
      <c r="AA7" s="32"/>
      <c r="AK7" s="1">
        <v>423</v>
      </c>
      <c r="AL7" s="1" t="s">
        <v>2</v>
      </c>
      <c r="AM7" s="1">
        <f>AK7/AK9*100</f>
        <v>39.348837209302324</v>
      </c>
    </row>
    <row r="8" spans="1:39" ht="21">
      <c r="A8" s="54" t="s">
        <v>30</v>
      </c>
      <c r="B8" s="55">
        <f>SUM(C8:D8)</f>
        <v>91</v>
      </c>
      <c r="C8" s="56">
        <v>91</v>
      </c>
      <c r="D8" s="57">
        <v>0</v>
      </c>
      <c r="E8" s="58">
        <f>SUM(F8:G8)</f>
        <v>89</v>
      </c>
      <c r="F8" s="56">
        <v>89</v>
      </c>
      <c r="G8" s="59">
        <v>0</v>
      </c>
      <c r="H8" s="60">
        <f>SUM(I8:J8)</f>
        <v>90</v>
      </c>
      <c r="I8" s="60">
        <v>90</v>
      </c>
      <c r="J8" s="61">
        <v>0</v>
      </c>
      <c r="K8" s="98">
        <f t="shared" ref="K8:K16" si="5">SUM(L8:M8)</f>
        <v>0</v>
      </c>
      <c r="L8" s="99">
        <v>0</v>
      </c>
      <c r="M8" s="100">
        <v>0</v>
      </c>
      <c r="N8" s="116">
        <f t="shared" ref="N8:N16" si="6">SUM(O8:P8)</f>
        <v>0</v>
      </c>
      <c r="O8" s="99">
        <v>0</v>
      </c>
      <c r="P8" s="100">
        <v>0</v>
      </c>
      <c r="Q8" s="63">
        <v>0</v>
      </c>
      <c r="R8" s="63">
        <v>0</v>
      </c>
      <c r="S8" s="95">
        <v>0</v>
      </c>
      <c r="T8" s="63">
        <f t="shared" ref="T8:T12" si="7">SUM(U8:V8)</f>
        <v>90</v>
      </c>
      <c r="U8" s="62">
        <v>90</v>
      </c>
      <c r="V8" s="107">
        <v>0</v>
      </c>
      <c r="W8" s="108">
        <f t="shared" ref="W8:W16" si="8">H8+K8+N8+Q8+T8</f>
        <v>180</v>
      </c>
      <c r="X8" s="117">
        <f t="shared" si="4"/>
        <v>180</v>
      </c>
      <c r="Y8" s="117">
        <f t="shared" si="4"/>
        <v>0</v>
      </c>
      <c r="Z8" s="64" t="s">
        <v>31</v>
      </c>
      <c r="AA8" s="32"/>
      <c r="AK8" s="1">
        <v>652</v>
      </c>
      <c r="AL8" s="1" t="s">
        <v>1</v>
      </c>
      <c r="AM8" s="1">
        <f>AK8/AK9*100</f>
        <v>60.651162790697676</v>
      </c>
    </row>
    <row r="9" spans="1:39" ht="21">
      <c r="A9" s="65" t="s">
        <v>32</v>
      </c>
      <c r="B9" s="55">
        <f t="shared" ref="B9:B16" si="9">SUM(C9:D9)</f>
        <v>74</v>
      </c>
      <c r="C9" s="56">
        <v>73</v>
      </c>
      <c r="D9" s="57">
        <v>1</v>
      </c>
      <c r="E9" s="58">
        <f t="shared" ref="E9:E16" si="10">SUM(F9:G9)</f>
        <v>74</v>
      </c>
      <c r="F9" s="56">
        <v>73</v>
      </c>
      <c r="G9" s="59">
        <v>1</v>
      </c>
      <c r="H9" s="60">
        <f t="shared" ref="H9:H16" si="11">SUM(I9:J9)</f>
        <v>72</v>
      </c>
      <c r="I9" s="60">
        <v>71</v>
      </c>
      <c r="J9" s="61">
        <v>1</v>
      </c>
      <c r="K9" s="98">
        <f t="shared" si="5"/>
        <v>0</v>
      </c>
      <c r="L9" s="99">
        <v>0</v>
      </c>
      <c r="M9" s="100">
        <v>0</v>
      </c>
      <c r="N9" s="116">
        <f t="shared" si="6"/>
        <v>0</v>
      </c>
      <c r="O9" s="99">
        <v>0</v>
      </c>
      <c r="P9" s="100">
        <v>0</v>
      </c>
      <c r="Q9" s="63">
        <v>0</v>
      </c>
      <c r="R9" s="63">
        <v>0</v>
      </c>
      <c r="S9" s="95">
        <v>0</v>
      </c>
      <c r="T9" s="63">
        <f t="shared" si="7"/>
        <v>72</v>
      </c>
      <c r="U9" s="62">
        <v>71</v>
      </c>
      <c r="V9" s="107">
        <v>1</v>
      </c>
      <c r="W9" s="108">
        <f t="shared" si="8"/>
        <v>144</v>
      </c>
      <c r="X9" s="117">
        <f t="shared" si="4"/>
        <v>142</v>
      </c>
      <c r="Y9" s="117">
        <f t="shared" si="4"/>
        <v>2</v>
      </c>
      <c r="Z9" s="64" t="s">
        <v>33</v>
      </c>
      <c r="AA9" s="32"/>
      <c r="AK9" s="1">
        <v>1075</v>
      </c>
    </row>
    <row r="10" spans="1:39" ht="21">
      <c r="A10" s="65" t="s">
        <v>34</v>
      </c>
      <c r="B10" s="55">
        <f t="shared" si="9"/>
        <v>7</v>
      </c>
      <c r="C10" s="66">
        <v>7</v>
      </c>
      <c r="D10" s="67">
        <v>0</v>
      </c>
      <c r="E10" s="58">
        <f t="shared" si="10"/>
        <v>7</v>
      </c>
      <c r="F10" s="66">
        <v>7</v>
      </c>
      <c r="G10" s="68">
        <v>0</v>
      </c>
      <c r="H10" s="60">
        <f t="shared" si="11"/>
        <v>7</v>
      </c>
      <c r="I10" s="60">
        <v>7</v>
      </c>
      <c r="J10" s="61">
        <v>0</v>
      </c>
      <c r="K10" s="98">
        <f t="shared" si="5"/>
        <v>0</v>
      </c>
      <c r="L10" s="99">
        <v>0</v>
      </c>
      <c r="M10" s="100">
        <v>0</v>
      </c>
      <c r="N10" s="116">
        <f t="shared" si="6"/>
        <v>0</v>
      </c>
      <c r="O10" s="99">
        <v>0</v>
      </c>
      <c r="P10" s="100">
        <v>0</v>
      </c>
      <c r="Q10" s="63">
        <v>0</v>
      </c>
      <c r="R10" s="63">
        <v>0</v>
      </c>
      <c r="S10" s="95">
        <v>0</v>
      </c>
      <c r="T10" s="63">
        <f t="shared" si="7"/>
        <v>7</v>
      </c>
      <c r="U10" s="62">
        <v>7</v>
      </c>
      <c r="V10" s="107">
        <v>0</v>
      </c>
      <c r="W10" s="108">
        <f t="shared" si="8"/>
        <v>14</v>
      </c>
      <c r="X10" s="117">
        <f t="shared" si="4"/>
        <v>14</v>
      </c>
      <c r="Y10" s="117">
        <f t="shared" si="4"/>
        <v>0</v>
      </c>
      <c r="Z10" s="64" t="s">
        <v>35</v>
      </c>
      <c r="AA10" s="32"/>
    </row>
    <row r="11" spans="1:39" ht="21">
      <c r="A11" s="54" t="s">
        <v>36</v>
      </c>
      <c r="B11" s="55">
        <f t="shared" si="9"/>
        <v>43</v>
      </c>
      <c r="C11" s="66">
        <v>25</v>
      </c>
      <c r="D11" s="67">
        <v>18</v>
      </c>
      <c r="E11" s="58">
        <f t="shared" si="10"/>
        <v>43</v>
      </c>
      <c r="F11" s="66">
        <v>25</v>
      </c>
      <c r="G11" s="68">
        <v>18</v>
      </c>
      <c r="H11" s="60">
        <f t="shared" si="11"/>
        <v>43</v>
      </c>
      <c r="I11" s="60">
        <v>25</v>
      </c>
      <c r="J11" s="61">
        <v>18</v>
      </c>
      <c r="K11" s="98">
        <f t="shared" si="5"/>
        <v>0</v>
      </c>
      <c r="L11" s="99">
        <v>0</v>
      </c>
      <c r="M11" s="100">
        <v>0</v>
      </c>
      <c r="N11" s="116">
        <f t="shared" si="6"/>
        <v>0</v>
      </c>
      <c r="O11" s="99">
        <v>0</v>
      </c>
      <c r="P11" s="100">
        <v>0</v>
      </c>
      <c r="Q11" s="63">
        <v>0</v>
      </c>
      <c r="R11" s="63">
        <v>0</v>
      </c>
      <c r="S11" s="95">
        <v>0</v>
      </c>
      <c r="T11" s="63">
        <f t="shared" si="7"/>
        <v>43</v>
      </c>
      <c r="U11" s="62">
        <v>25</v>
      </c>
      <c r="V11" s="107">
        <v>18</v>
      </c>
      <c r="W11" s="108">
        <f t="shared" si="8"/>
        <v>86</v>
      </c>
      <c r="X11" s="117">
        <f t="shared" si="4"/>
        <v>50</v>
      </c>
      <c r="Y11" s="117">
        <f t="shared" si="4"/>
        <v>36</v>
      </c>
      <c r="Z11" s="64" t="s">
        <v>37</v>
      </c>
      <c r="AA11" s="32"/>
    </row>
    <row r="12" spans="1:39" ht="21">
      <c r="A12" s="54" t="s">
        <v>38</v>
      </c>
      <c r="B12" s="55">
        <f t="shared" si="9"/>
        <v>68</v>
      </c>
      <c r="C12" s="66">
        <v>31</v>
      </c>
      <c r="D12" s="67">
        <v>37</v>
      </c>
      <c r="E12" s="58">
        <f t="shared" si="10"/>
        <v>68</v>
      </c>
      <c r="F12" s="66">
        <v>31</v>
      </c>
      <c r="G12" s="68">
        <v>37</v>
      </c>
      <c r="H12" s="60">
        <f t="shared" si="11"/>
        <v>68</v>
      </c>
      <c r="I12" s="60">
        <v>31</v>
      </c>
      <c r="J12" s="61">
        <v>37</v>
      </c>
      <c r="K12" s="98">
        <f t="shared" si="5"/>
        <v>0</v>
      </c>
      <c r="L12" s="99">
        <v>0</v>
      </c>
      <c r="M12" s="100">
        <v>0</v>
      </c>
      <c r="N12" s="116">
        <f t="shared" si="6"/>
        <v>0</v>
      </c>
      <c r="O12" s="99">
        <v>0</v>
      </c>
      <c r="P12" s="100">
        <v>0</v>
      </c>
      <c r="Q12" s="63">
        <v>0</v>
      </c>
      <c r="R12" s="63">
        <v>0</v>
      </c>
      <c r="S12" s="95">
        <v>0</v>
      </c>
      <c r="T12" s="63">
        <f t="shared" si="7"/>
        <v>68</v>
      </c>
      <c r="U12" s="62">
        <v>31</v>
      </c>
      <c r="V12" s="107">
        <v>37</v>
      </c>
      <c r="W12" s="108">
        <f t="shared" si="8"/>
        <v>136</v>
      </c>
      <c r="X12" s="117">
        <f t="shared" si="4"/>
        <v>62</v>
      </c>
      <c r="Y12" s="117">
        <f t="shared" si="4"/>
        <v>74</v>
      </c>
      <c r="Z12" s="64" t="s">
        <v>39</v>
      </c>
      <c r="AA12" s="32"/>
    </row>
    <row r="13" spans="1:39" ht="21">
      <c r="A13" s="65" t="s">
        <v>40</v>
      </c>
      <c r="B13" s="55">
        <f t="shared" si="9"/>
        <v>331</v>
      </c>
      <c r="C13" s="66">
        <v>183</v>
      </c>
      <c r="D13" s="67">
        <v>148</v>
      </c>
      <c r="E13" s="58">
        <f t="shared" si="10"/>
        <v>391</v>
      </c>
      <c r="F13" s="66">
        <v>216</v>
      </c>
      <c r="G13" s="68">
        <v>175</v>
      </c>
      <c r="H13" s="60">
        <f t="shared" si="11"/>
        <v>492</v>
      </c>
      <c r="I13" s="69">
        <v>273</v>
      </c>
      <c r="J13" s="70">
        <v>219</v>
      </c>
      <c r="K13" s="98">
        <f t="shared" si="5"/>
        <v>145</v>
      </c>
      <c r="L13" s="66">
        <v>72</v>
      </c>
      <c r="M13" s="67">
        <v>73</v>
      </c>
      <c r="N13" s="116">
        <f t="shared" si="6"/>
        <v>132</v>
      </c>
      <c r="O13" s="66">
        <v>54</v>
      </c>
      <c r="P13" s="67">
        <v>78</v>
      </c>
      <c r="Q13" s="63">
        <v>0</v>
      </c>
      <c r="R13" s="63">
        <v>0</v>
      </c>
      <c r="S13" s="95">
        <v>0</v>
      </c>
      <c r="T13" s="63">
        <v>355</v>
      </c>
      <c r="U13" s="62">
        <v>187</v>
      </c>
      <c r="V13" s="107">
        <v>168</v>
      </c>
      <c r="W13" s="108">
        <f t="shared" si="8"/>
        <v>1124</v>
      </c>
      <c r="X13" s="117">
        <f t="shared" si="4"/>
        <v>586</v>
      </c>
      <c r="Y13" s="117">
        <f t="shared" si="4"/>
        <v>538</v>
      </c>
      <c r="Z13" s="64" t="s">
        <v>41</v>
      </c>
      <c r="AA13" s="32"/>
    </row>
    <row r="14" spans="1:39" ht="21">
      <c r="A14" s="54" t="s">
        <v>42</v>
      </c>
      <c r="B14" s="55">
        <f t="shared" si="9"/>
        <v>10</v>
      </c>
      <c r="C14" s="66">
        <v>8</v>
      </c>
      <c r="D14" s="67">
        <v>2</v>
      </c>
      <c r="E14" s="58">
        <f t="shared" si="10"/>
        <v>11</v>
      </c>
      <c r="F14" s="66">
        <v>9</v>
      </c>
      <c r="G14" s="68">
        <v>2</v>
      </c>
      <c r="H14" s="60">
        <f t="shared" si="11"/>
        <v>11</v>
      </c>
      <c r="I14" s="60">
        <v>9</v>
      </c>
      <c r="J14" s="61">
        <v>2</v>
      </c>
      <c r="K14" s="98">
        <f t="shared" si="5"/>
        <v>0</v>
      </c>
      <c r="L14" s="99">
        <v>0</v>
      </c>
      <c r="M14" s="100">
        <v>0</v>
      </c>
      <c r="N14" s="116">
        <f t="shared" si="6"/>
        <v>0</v>
      </c>
      <c r="O14" s="99">
        <v>0</v>
      </c>
      <c r="P14" s="100">
        <v>0</v>
      </c>
      <c r="Q14" s="63">
        <v>0</v>
      </c>
      <c r="R14" s="63">
        <v>0</v>
      </c>
      <c r="S14" s="95">
        <v>0</v>
      </c>
      <c r="T14" s="63">
        <f t="shared" ref="T14:T16" si="12">SUM(U14:V14)</f>
        <v>11</v>
      </c>
      <c r="U14" s="62">
        <v>9</v>
      </c>
      <c r="V14" s="107">
        <v>2</v>
      </c>
      <c r="W14" s="108">
        <f t="shared" si="8"/>
        <v>22</v>
      </c>
      <c r="X14" s="117">
        <f t="shared" si="4"/>
        <v>18</v>
      </c>
      <c r="Y14" s="117">
        <f t="shared" si="4"/>
        <v>4</v>
      </c>
      <c r="Z14" s="64" t="s">
        <v>43</v>
      </c>
      <c r="AA14" s="32"/>
    </row>
    <row r="15" spans="1:39" ht="21">
      <c r="A15" s="65" t="s">
        <v>44</v>
      </c>
      <c r="B15" s="55">
        <f t="shared" si="9"/>
        <v>2</v>
      </c>
      <c r="C15" s="66">
        <v>2</v>
      </c>
      <c r="D15" s="67">
        <v>0</v>
      </c>
      <c r="E15" s="58">
        <f t="shared" si="10"/>
        <v>1</v>
      </c>
      <c r="F15" s="66">
        <v>1</v>
      </c>
      <c r="G15" s="68">
        <v>0</v>
      </c>
      <c r="H15" s="60">
        <f t="shared" si="11"/>
        <v>1</v>
      </c>
      <c r="I15" s="60">
        <v>1</v>
      </c>
      <c r="J15" s="61">
        <v>0</v>
      </c>
      <c r="K15" s="98">
        <f t="shared" si="5"/>
        <v>0</v>
      </c>
      <c r="L15" s="99">
        <v>0</v>
      </c>
      <c r="M15" s="100">
        <v>0</v>
      </c>
      <c r="N15" s="116">
        <f t="shared" si="6"/>
        <v>0</v>
      </c>
      <c r="O15" s="99">
        <v>0</v>
      </c>
      <c r="P15" s="100">
        <v>0</v>
      </c>
      <c r="Q15" s="63">
        <v>0</v>
      </c>
      <c r="R15" s="63">
        <v>0</v>
      </c>
      <c r="S15" s="95">
        <v>0</v>
      </c>
      <c r="T15" s="63">
        <f t="shared" si="12"/>
        <v>1</v>
      </c>
      <c r="U15" s="62">
        <v>1</v>
      </c>
      <c r="V15" s="107">
        <v>0</v>
      </c>
      <c r="W15" s="108">
        <f t="shared" si="8"/>
        <v>2</v>
      </c>
      <c r="X15" s="117">
        <f t="shared" si="4"/>
        <v>2</v>
      </c>
      <c r="Y15" s="117">
        <f t="shared" si="4"/>
        <v>0</v>
      </c>
      <c r="Z15" s="64" t="s">
        <v>45</v>
      </c>
      <c r="AA15" s="32"/>
    </row>
    <row r="16" spans="1:39" ht="21">
      <c r="A16" s="71" t="s">
        <v>46</v>
      </c>
      <c r="B16" s="72">
        <f t="shared" si="9"/>
        <v>15</v>
      </c>
      <c r="C16" s="73">
        <v>15</v>
      </c>
      <c r="D16" s="74">
        <v>0</v>
      </c>
      <c r="E16" s="75">
        <f t="shared" si="10"/>
        <v>15</v>
      </c>
      <c r="F16" s="73">
        <v>15</v>
      </c>
      <c r="G16" s="76">
        <v>0</v>
      </c>
      <c r="H16" s="77">
        <f t="shared" si="11"/>
        <v>14</v>
      </c>
      <c r="I16" s="77">
        <v>14</v>
      </c>
      <c r="J16" s="78">
        <v>0</v>
      </c>
      <c r="K16" s="101">
        <f t="shared" si="5"/>
        <v>0</v>
      </c>
      <c r="L16" s="102">
        <v>0</v>
      </c>
      <c r="M16" s="103">
        <v>0</v>
      </c>
      <c r="N16" s="102">
        <f t="shared" si="6"/>
        <v>0</v>
      </c>
      <c r="O16" s="102">
        <v>0</v>
      </c>
      <c r="P16" s="103">
        <v>0</v>
      </c>
      <c r="Q16" s="96">
        <v>0</v>
      </c>
      <c r="R16" s="96">
        <v>0</v>
      </c>
      <c r="S16" s="97">
        <v>0</v>
      </c>
      <c r="T16" s="96">
        <f t="shared" si="12"/>
        <v>14</v>
      </c>
      <c r="U16" s="77">
        <v>14</v>
      </c>
      <c r="V16" s="78">
        <v>0</v>
      </c>
      <c r="W16" s="109">
        <f t="shared" si="8"/>
        <v>28</v>
      </c>
      <c r="X16" s="118">
        <f t="shared" si="4"/>
        <v>28</v>
      </c>
      <c r="Y16" s="118">
        <f t="shared" si="4"/>
        <v>0</v>
      </c>
      <c r="Z16" s="79" t="s">
        <v>0</v>
      </c>
      <c r="AA16" s="32"/>
    </row>
    <row r="17" spans="1:27" ht="18.75">
      <c r="A17" s="6" t="s">
        <v>12</v>
      </c>
      <c r="B17" s="80"/>
      <c r="C17" s="80"/>
      <c r="D17" s="80"/>
      <c r="E17" s="80"/>
      <c r="F17" s="80"/>
      <c r="G17" s="14"/>
      <c r="H17" s="81"/>
      <c r="I17" s="81"/>
      <c r="J17" s="81"/>
      <c r="Q17" s="83"/>
      <c r="R17" s="82"/>
      <c r="S17" s="82"/>
      <c r="T17" s="83"/>
      <c r="U17" s="82"/>
      <c r="V17" s="82"/>
      <c r="W17" s="82"/>
      <c r="X17" s="82"/>
      <c r="Y17" s="82"/>
      <c r="Z17" s="84" t="s">
        <v>49</v>
      </c>
      <c r="AA17" s="32"/>
    </row>
    <row r="18" spans="1:27" ht="18.75">
      <c r="W18" s="87"/>
      <c r="X18" s="87"/>
      <c r="Y18" s="87"/>
      <c r="Z18" s="84" t="s">
        <v>48</v>
      </c>
      <c r="AA18" s="32"/>
    </row>
    <row r="19" spans="1:27" ht="15">
      <c r="A19" s="134"/>
      <c r="B19" s="135"/>
      <c r="C19" s="135"/>
      <c r="D19" s="136"/>
      <c r="E19" s="91"/>
      <c r="F19" s="91"/>
      <c r="G19" s="91"/>
      <c r="Q19" s="91"/>
      <c r="R19" s="91"/>
      <c r="S19" s="91"/>
      <c r="T19" s="91"/>
      <c r="U19" s="91"/>
      <c r="V19" s="91"/>
      <c r="W19" s="93"/>
      <c r="X19" s="93"/>
      <c r="Y19" s="93"/>
      <c r="Z19" s="2" t="s">
        <v>13</v>
      </c>
      <c r="AA19" s="32"/>
    </row>
    <row r="20" spans="1:27">
      <c r="AA20" s="32"/>
    </row>
    <row r="21" spans="1:27">
      <c r="A21" s="86"/>
      <c r="B21" s="87"/>
      <c r="C21" s="87"/>
      <c r="D21" s="87"/>
      <c r="E21" s="87"/>
      <c r="F21" s="87"/>
      <c r="G21" s="87"/>
      <c r="H21" s="87"/>
      <c r="I21" s="87"/>
      <c r="Q21" s="87"/>
      <c r="R21" s="87"/>
      <c r="S21" s="87"/>
      <c r="T21" s="87"/>
      <c r="U21" s="87"/>
      <c r="W21" s="88"/>
      <c r="X21" s="88"/>
      <c r="Y21" s="88"/>
      <c r="Z21" s="88"/>
      <c r="AA21" s="32"/>
    </row>
    <row r="22" spans="1:27">
      <c r="A22" s="86"/>
      <c r="B22" s="87"/>
      <c r="C22" s="87"/>
      <c r="D22" s="87"/>
      <c r="E22" s="87"/>
      <c r="F22" s="87"/>
      <c r="G22" s="87"/>
      <c r="H22" s="87"/>
      <c r="I22" s="87"/>
      <c r="Q22" s="87"/>
      <c r="R22" s="87"/>
      <c r="S22" s="87"/>
      <c r="T22" s="87"/>
      <c r="U22" s="87"/>
      <c r="V22" s="87"/>
      <c r="W22" s="87"/>
      <c r="X22" s="87"/>
      <c r="Y22" s="87"/>
      <c r="AA22" s="32"/>
    </row>
    <row r="23" spans="1:27">
      <c r="T23" s="87"/>
      <c r="AA23" s="89"/>
    </row>
    <row r="24" spans="1:27">
      <c r="T24" s="87"/>
      <c r="AA24" s="89"/>
    </row>
    <row r="25" spans="1:27">
      <c r="T25" s="87"/>
      <c r="AA25" s="89"/>
    </row>
    <row r="26" spans="1:27">
      <c r="AA26" s="89"/>
    </row>
  </sheetData>
  <mergeCells count="14">
    <mergeCell ref="Q6:S6"/>
    <mergeCell ref="T6:V6"/>
    <mergeCell ref="A19:D19"/>
    <mergeCell ref="A1:Z1"/>
    <mergeCell ref="A2:Z2"/>
    <mergeCell ref="A3:Z3"/>
    <mergeCell ref="A4:A6"/>
    <mergeCell ref="Z4:Z6"/>
    <mergeCell ref="B6:D6"/>
    <mergeCell ref="E6:G6"/>
    <mergeCell ref="H6:J6"/>
    <mergeCell ref="K6:M6"/>
    <mergeCell ref="N6:P6"/>
    <mergeCell ref="W6:Y6"/>
  </mergeCells>
  <pageMargins left="0.7" right="0.7" top="0.75" bottom="0.75" header="0.3" footer="0.3"/>
  <pageSetup paperSize="9" orientation="portrait" horizontalDpi="4294967295" verticalDpi="4294967295" r:id="rId1"/>
  <ignoredErrors>
    <ignoredError sqref="H7 N7:N16 K7:M16 O8:Z16 O7:V7 X7:Z7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8.30</vt:lpstr>
      <vt:lpstr>8.31</vt:lpstr>
      <vt:lpstr>'8.30'!Print_Area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2019-11-19T08:26:35Z</cp:lastPrinted>
  <dcterms:created xsi:type="dcterms:W3CDTF">2019-06-30T04:22:49Z</dcterms:created>
  <dcterms:modified xsi:type="dcterms:W3CDTF">2019-11-19T08:26:44Z</dcterms:modified>
</cp:coreProperties>
</file>