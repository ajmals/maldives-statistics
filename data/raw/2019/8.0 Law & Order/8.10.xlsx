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0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'8.10'!$A$1:$I$60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0" l="1"/>
  <c r="G10" i="10" l="1"/>
  <c r="G9" i="10"/>
  <c r="G8" i="10"/>
  <c r="D6" i="10"/>
  <c r="C6" i="10"/>
  <c r="C5" i="10" s="1"/>
  <c r="B6" i="10"/>
  <c r="B5" i="10" s="1"/>
  <c r="D5" i="10"/>
  <c r="F10" i="10" l="1"/>
  <c r="G5" i="10"/>
  <c r="F5" i="10"/>
  <c r="G6" i="10"/>
  <c r="F6" i="10"/>
  <c r="F7" i="10"/>
  <c r="F8" i="10"/>
  <c r="F9" i="10"/>
</calcChain>
</file>

<file path=xl/sharedStrings.xml><?xml version="1.0" encoding="utf-8"?>
<sst xmlns="http://schemas.openxmlformats.org/spreadsheetml/2006/main" count="22" uniqueCount="22">
  <si>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</si>
  <si>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</si>
  <si>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</si>
  <si>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</si>
  <si>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</si>
  <si>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</si>
  <si>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>%change over 2017</t>
  </si>
  <si>
    <t xml:space="preserve">  ކުރީ އަހަރާއި  އަޅާބަލާއިރު  އިތުރުވި މިންވަރު</t>
  </si>
  <si>
    <t>އިންސައްތަ 2018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</si>
  <si>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</si>
  <si>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</si>
  <si>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</si>
  <si>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</si>
  <si>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</si>
  <si>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</si>
  <si>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</si>
  <si>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</si>
  <si>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</si>
  <si>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</si>
  <si>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</si>
  <si>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Table 8.10:  ASSAULT CASES LOGGED BY TYPE, 2016 - 2018</t>
  </si>
  <si>
    <t>ތާވަލު 8.10: ހުށަހެޅިފައިވާ މާރާމާރީގެ މައްސަލަތައް، 2016- 2018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</si>
</sst>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22" fillId="0" borderId="0"/>
  </cellStyleXfs>
  <cellXfs count="5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Border="1" applyAlignment="1" applyProtection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17" fillId="2" borderId="0" xfId="0" applyNumberFormat="1" applyFont="1" applyFill="1"/>
    <xf numFmtId="164" fontId="19" fillId="2" borderId="5" xfId="0" applyNumberFormat="1" applyFont="1" applyFill="1" applyBorder="1" applyAlignment="1" applyProtection="1">
      <alignment vertical="center"/>
    </xf>
    <xf numFmtId="164" fontId="15" fillId="2" borderId="0" xfId="0" applyNumberFormat="1" applyFont="1" applyFill="1" applyBorder="1"/>
    <xf numFmtId="164" fontId="24" fillId="2" borderId="0" xfId="0" applyNumberFormat="1" applyFont="1" applyFill="1" applyBorder="1" applyAlignment="1" applyProtection="1">
      <alignment horizontal="right" vertical="center"/>
    </xf>
    <xf numFmtId="164" fontId="23" fillId="2" borderId="0" xfId="0" applyNumberFormat="1" applyFont="1" applyFill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14" fillId="2" borderId="0" xfId="0" applyNumberFormat="1" applyFont="1" applyFill="1" applyBorder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7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4" fontId="20" fillId="2" borderId="5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 indent="4"/>
    </xf>
    <xf numFmtId="3" fontId="13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3" fontId="16" fillId="2" borderId="0" xfId="0" applyNumberFormat="1" applyFont="1" applyFill="1" applyBorder="1" applyAlignment="1">
      <alignment horizontal="right" vertical="center" indent="4"/>
    </xf>
    <xf numFmtId="3" fontId="16" fillId="2" borderId="0" xfId="0" applyNumberFormat="1" applyFont="1" applyFill="1" applyBorder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 indent="4"/>
    </xf>
    <xf numFmtId="164" fontId="9" fillId="2" borderId="4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8" fillId="2" borderId="0" xfId="0" applyNumberFormat="1" applyFont="1" applyFill="1"/>
    <xf numFmtId="164" fontId="13" fillId="2" borderId="0" xfId="0" applyNumberFormat="1" applyFont="1" applyFill="1" applyBorder="1" applyAlignment="1">
      <alignment vertical="center"/>
    </xf>
    <xf numFmtId="3" fontId="13" fillId="2" borderId="0" xfId="1" applyNumberFormat="1" applyFont="1" applyFill="1" applyBorder="1" applyAlignment="1">
      <alignment horizontal="right" vertical="center"/>
    </xf>
    <xf numFmtId="164" fontId="28" fillId="2" borderId="0" xfId="0" applyNumberFormat="1" applyFont="1" applyFill="1" applyBorder="1"/>
    <xf numFmtId="164" fontId="7" fillId="2" borderId="7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3" fontId="13" fillId="2" borderId="8" xfId="0" applyNumberFormat="1" applyFont="1" applyFill="1" applyBorder="1" applyAlignment="1">
      <alignment vertical="center"/>
    </xf>
    <xf numFmtId="3" fontId="13" fillId="2" borderId="7" xfId="0" applyNumberFormat="1" applyFont="1" applyFill="1" applyBorder="1" applyAlignment="1">
      <alignment vertical="center"/>
    </xf>
    <xf numFmtId="3" fontId="16" fillId="2" borderId="8" xfId="0" applyNumberFormat="1" applyFont="1" applyFill="1" applyBorder="1" applyAlignment="1">
      <alignment vertical="center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25" fillId="2" borderId="3" xfId="0" applyNumberFormat="1" applyFont="1" applyFill="1" applyBorder="1" applyAlignment="1" applyProtection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Hyperlink" xfId="2" builtinId="8"/>
    <cellStyle name="Normal" xfId="0" builtinId="0"/>
    <cellStyle name="Normal 3" xfId="5"/>
    <cellStyle name="Percent 2" xfId="4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'8.10'!$B$3:$B$4</c:f>
              <c:strCache>
                <c:ptCount val="2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'8.10'!$B$7:$B$9</c:f>
              <c:numCache>
                <c:formatCode>General</c:formatCode>
                <c:ptCount val="3"/>
                <c:pt idx="0">
                  <c:v>22</c:v>
                </c:pt>
                <c:pt idx="1">
                  <c:v>24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'8.10'!$C$3:$C$4</c:f>
              <c:strCache>
                <c:ptCount val="2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'8.10'!$C$7:$C$9</c:f>
              <c:numCache>
                <c:formatCode>General</c:formatCode>
                <c:ptCount val="3"/>
                <c:pt idx="0">
                  <c:v>17</c:v>
                </c:pt>
                <c:pt idx="1">
                  <c:v>34</c:v>
                </c:pt>
                <c:pt idx="2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'8.10'!$D$3:$D$4</c:f>
              <c:strCache>
                <c:ptCount val="2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'8.10'!$D$7:$D$9</c:f>
              <c:numCache>
                <c:formatCode>General</c:formatCode>
                <c:ptCount val="3"/>
                <c:pt idx="0">
                  <c:v>26</c:v>
                </c:pt>
                <c:pt idx="1">
                  <c:v>48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769920"/>
        <c:axId val="568775808"/>
      </c:barChart>
      <c:catAx>
        <c:axId val="568769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68775808"/>
        <c:crosses val="autoZero"/>
        <c:auto val="1"/>
        <c:lblAlgn val="ctr"/>
        <c:lblOffset val="100"/>
        <c:noMultiLvlLbl val="0"/>
      </c:catAx>
      <c:valAx>
        <c:axId val="5687758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8769920"/>
        <c:crosses val="autoZero"/>
        <c:crossBetween val="between"/>
      </c:valAx>
      <c:spPr>
        <a:solidFill>
          <a:srgbClr val="FFFAEB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24134686482341955"/>
          <c:h val="7.4635399493454394E-2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6851530392649483"/>
                  <c:y val="-0.117847534198208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1.6485072374561677E-2"/>
                  <c:y val="-7.28214941080652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('8.10'!$F$6,'8.10'!$F$10)</c:f>
              <c:numCache>
                <c:formatCode>#,##0</c:formatCode>
                <c:ptCount val="2"/>
                <c:pt idx="0">
                  <c:v>29.61487383798141</c:v>
                </c:pt>
                <c:pt idx="1">
                  <c:v>70.385126162018594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(2018)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#,##0</c:formatCode>
                <c:ptCount val="3"/>
                <c:pt idx="0">
                  <c:v>34.615384615384613</c:v>
                </c:pt>
                <c:pt idx="1">
                  <c:v>29.166666666666668</c:v>
                </c:pt>
                <c:pt idx="2">
                  <c:v>-12.751677852348994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9096832"/>
        <c:axId val="569102720"/>
      </c:barChart>
      <c:catAx>
        <c:axId val="56909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02720"/>
        <c:crosses val="autoZero"/>
        <c:auto val="1"/>
        <c:lblAlgn val="ctr"/>
        <c:lblOffset val="100"/>
        <c:noMultiLvlLbl val="0"/>
      </c:catAx>
      <c:valAx>
        <c:axId val="5691027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9683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7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7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1438275</xdr:colOff>
      <xdr:row>28</xdr:row>
      <xdr:rowOff>117146</xdr:rowOff>
    </xdr:from>
    <xdr:to>
      <xdr:col>7</xdr:col>
      <xdr:colOff>19050</xdr:colOff>
      <xdr:row>30</xdr:row>
      <xdr:rowOff>28273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438275" y="6479846"/>
          <a:ext cx="4314825" cy="292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2018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7</xdr:col>
      <xdr:colOff>628649</xdr:colOff>
      <xdr:row>59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/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0.2333</cdr:x>
      <cdr:y>0.04534</cdr:y>
    </cdr:from>
    <cdr:to>
      <cdr:x>0.83024</cdr:x>
      <cdr:y>0.13345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66177" y="125132"/>
          <a:ext cx="3495676" cy="243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2016 - 2018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45"/>
  <sheetViews>
    <sheetView tabSelected="1" zoomScaleNormal="100" workbookViewId="0">
      <selection activeCell="G8" sqref="G8"/>
    </sheetView>
  </sheetViews>
  <sheetFormatPr defaultColWidth="15.42578125" defaultRowHeight="15" x14ac:dyDescent="0.25"/>
  <cols>
    <col min="1" max="1" width="23.42578125" style="1" customWidth="1"/>
    <col min="2" max="4" width="10.85546875" style="1" customWidth="1"/>
    <col min="5" max="5" width="1" style="1" customWidth="1"/>
    <col min="6" max="6" width="11.5703125" style="1" customWidth="1"/>
    <col min="7" max="7" width="17.42578125" style="1" customWidth="1"/>
    <col min="8" max="8" width="21.140625" style="1" customWidth="1"/>
    <col min="9" max="9" width="3.28515625" style="1" customWidth="1"/>
    <col min="10" max="10" width="22.140625" style="1" bestFit="1" customWidth="1"/>
    <col min="11" max="16384" width="15.42578125" style="1"/>
  </cols>
  <sheetData>
    <row r="1" spans="1:14" ht="18.75" x14ac:dyDescent="0.25">
      <c r="A1" s="54" t="s">
        <v>21</v>
      </c>
      <c r="B1" s="54"/>
      <c r="C1" s="54"/>
      <c r="D1" s="54"/>
      <c r="E1" s="54"/>
      <c r="F1" s="54"/>
      <c r="G1" s="54"/>
      <c r="H1" s="54"/>
    </row>
    <row r="2" spans="1:14" ht="21.75" customHeight="1" x14ac:dyDescent="0.25">
      <c r="A2" s="48" t="s">
        <v>20</v>
      </c>
      <c r="B2" s="48"/>
      <c r="C2" s="48"/>
      <c r="D2" s="48"/>
      <c r="E2" s="48"/>
      <c r="F2" s="48"/>
      <c r="G2" s="48"/>
      <c r="H2" s="48"/>
      <c r="J2" s="2"/>
    </row>
    <row r="3" spans="1:14" ht="51.75" x14ac:dyDescent="0.25">
      <c r="A3" s="52" t="s">
        <v>4</v>
      </c>
      <c r="B3" s="50">
        <v>2016</v>
      </c>
      <c r="C3" s="50">
        <v>2017</v>
      </c>
      <c r="D3" s="50">
        <v>2018</v>
      </c>
      <c r="E3" s="22"/>
      <c r="F3" s="43" t="s">
        <v>8</v>
      </c>
      <c r="G3" s="3" t="s">
        <v>7</v>
      </c>
      <c r="H3" s="49" t="s">
        <v>5</v>
      </c>
      <c r="K3" s="4"/>
      <c r="L3" s="4"/>
      <c r="M3" s="4"/>
      <c r="N3" s="4"/>
    </row>
    <row r="4" spans="1:14" ht="24" x14ac:dyDescent="0.25">
      <c r="A4" s="53"/>
      <c r="B4" s="51"/>
      <c r="C4" s="51"/>
      <c r="D4" s="51"/>
      <c r="E4" s="23"/>
      <c r="F4" s="42" t="s">
        <v>9</v>
      </c>
      <c r="G4" s="24" t="s">
        <v>6</v>
      </c>
      <c r="H4" s="47"/>
      <c r="K4" s="4"/>
      <c r="L4" s="4"/>
      <c r="M4" s="4"/>
      <c r="N4" s="4"/>
    </row>
    <row r="5" spans="1:14" s="16" customFormat="1" ht="18.75" x14ac:dyDescent="0.25">
      <c r="A5" s="6" t="s">
        <v>0</v>
      </c>
      <c r="B5" s="25">
        <f t="shared" ref="B5:D5" si="0">B6+B10</f>
        <v>781</v>
      </c>
      <c r="C5" s="25">
        <f t="shared" si="0"/>
        <v>770</v>
      </c>
      <c r="D5" s="25">
        <f t="shared" si="0"/>
        <v>753</v>
      </c>
      <c r="E5" s="25"/>
      <c r="F5" s="44">
        <f>D5/D5*100</f>
        <v>100</v>
      </c>
      <c r="G5" s="30">
        <f>((D5-C5)/D5*100)</f>
        <v>-2.2576361221779551</v>
      </c>
      <c r="H5" s="28" t="s">
        <v>3</v>
      </c>
      <c r="I5" s="31"/>
      <c r="J5" s="25"/>
      <c r="K5" s="17"/>
      <c r="L5" s="17"/>
      <c r="M5" s="17"/>
      <c r="N5" s="17"/>
    </row>
    <row r="6" spans="1:14" s="16" customFormat="1" ht="18.75" x14ac:dyDescent="0.25">
      <c r="A6" s="6" t="s">
        <v>10</v>
      </c>
      <c r="B6" s="7">
        <f t="shared" ref="B6" si="1">SUM(B7:B9)</f>
        <v>215</v>
      </c>
      <c r="C6" s="7">
        <f t="shared" ref="C6:D6" si="2">SUM(C7:C9)</f>
        <v>219</v>
      </c>
      <c r="D6" s="7">
        <f t="shared" si="2"/>
        <v>223</v>
      </c>
      <c r="E6" s="7"/>
      <c r="F6" s="44">
        <f>D6/D5*100</f>
        <v>29.61487383798141</v>
      </c>
      <c r="G6" s="30">
        <f t="shared" ref="G6:G10" si="3">((D6-C6)/D6*100)</f>
        <v>1.7937219730941705</v>
      </c>
      <c r="H6" s="28" t="s">
        <v>11</v>
      </c>
      <c r="I6" s="7"/>
      <c r="J6" s="7"/>
      <c r="K6" s="17"/>
      <c r="L6" s="17"/>
      <c r="M6" s="17"/>
      <c r="N6" s="17"/>
    </row>
    <row r="7" spans="1:14" s="21" customFormat="1" ht="18.75" x14ac:dyDescent="0.25">
      <c r="A7" s="18" t="s">
        <v>12</v>
      </c>
      <c r="B7" s="32">
        <v>22</v>
      </c>
      <c r="C7" s="32">
        <v>17</v>
      </c>
      <c r="D7" s="32">
        <v>26</v>
      </c>
      <c r="E7" s="32"/>
      <c r="F7" s="46">
        <f>D7/D5*100</f>
        <v>3.4528552456839305</v>
      </c>
      <c r="G7" s="33">
        <f>((D7-C7)/D7*100)</f>
        <v>34.615384615384613</v>
      </c>
      <c r="H7" s="9" t="s">
        <v>13</v>
      </c>
      <c r="I7" s="34"/>
      <c r="J7" s="26"/>
      <c r="K7" s="17"/>
      <c r="L7" s="19"/>
      <c r="M7" s="19"/>
      <c r="N7" s="19"/>
    </row>
    <row r="8" spans="1:14" s="21" customFormat="1" ht="18.75" x14ac:dyDescent="0.25">
      <c r="A8" s="18" t="s">
        <v>14</v>
      </c>
      <c r="B8" s="32">
        <v>24</v>
      </c>
      <c r="C8" s="32">
        <v>34</v>
      </c>
      <c r="D8" s="32">
        <v>48</v>
      </c>
      <c r="E8" s="32"/>
      <c r="F8" s="46">
        <f>D8/D5*100</f>
        <v>6.3745019920318722</v>
      </c>
      <c r="G8" s="33">
        <f t="shared" si="3"/>
        <v>29.166666666666668</v>
      </c>
      <c r="H8" s="9" t="s">
        <v>15</v>
      </c>
      <c r="I8" s="34"/>
      <c r="J8" s="34"/>
      <c r="K8" s="17"/>
      <c r="L8" s="19"/>
      <c r="M8" s="19"/>
      <c r="N8" s="19"/>
    </row>
    <row r="9" spans="1:14" s="21" customFormat="1" ht="18.75" x14ac:dyDescent="0.25">
      <c r="A9" s="18" t="s">
        <v>16</v>
      </c>
      <c r="B9" s="32">
        <v>169</v>
      </c>
      <c r="C9" s="32">
        <v>168</v>
      </c>
      <c r="D9" s="32">
        <v>149</v>
      </c>
      <c r="E9" s="32"/>
      <c r="F9" s="46">
        <f>D9/D5*100</f>
        <v>19.787516600265604</v>
      </c>
      <c r="G9" s="33">
        <f t="shared" si="3"/>
        <v>-12.751677852348994</v>
      </c>
      <c r="H9" s="9" t="s">
        <v>17</v>
      </c>
      <c r="I9" s="34"/>
      <c r="J9" s="34"/>
      <c r="K9" s="17"/>
      <c r="L9" s="19"/>
      <c r="M9" s="19"/>
      <c r="N9" s="19"/>
    </row>
    <row r="10" spans="1:14" s="37" customFormat="1" ht="18.75" x14ac:dyDescent="0.25">
      <c r="A10" s="5" t="s">
        <v>18</v>
      </c>
      <c r="B10" s="29">
        <v>566</v>
      </c>
      <c r="C10" s="29">
        <v>551</v>
      </c>
      <c r="D10" s="29">
        <v>530</v>
      </c>
      <c r="E10" s="29"/>
      <c r="F10" s="45">
        <f>D10/D5*100</f>
        <v>70.385126162018594</v>
      </c>
      <c r="G10" s="35">
        <f t="shared" si="3"/>
        <v>-3.9622641509433962</v>
      </c>
      <c r="H10" s="36" t="s">
        <v>19</v>
      </c>
      <c r="I10" s="7"/>
      <c r="J10" s="7"/>
      <c r="K10" s="17"/>
      <c r="L10" s="17"/>
      <c r="M10" s="17"/>
      <c r="N10" s="17"/>
    </row>
    <row r="11" spans="1:14" x14ac:dyDescent="0.25">
      <c r="A11" s="13" t="s">
        <v>1</v>
      </c>
      <c r="B11" s="12"/>
      <c r="C11" s="12"/>
      <c r="D11" s="12"/>
      <c r="E11" s="12"/>
      <c r="F11" s="12"/>
      <c r="G11" s="12"/>
      <c r="H11" s="27" t="s">
        <v>2</v>
      </c>
      <c r="J11" s="11"/>
      <c r="K11" s="4"/>
      <c r="L11" s="4"/>
      <c r="M11" s="4"/>
      <c r="N11" s="4"/>
    </row>
    <row r="12" spans="1:14" x14ac:dyDescent="0.25">
      <c r="J12" s="11"/>
      <c r="K12" s="4"/>
      <c r="L12" s="4"/>
      <c r="M12" s="4"/>
      <c r="N12" s="4"/>
    </row>
    <row r="13" spans="1:14" x14ac:dyDescent="0.25">
      <c r="A13" s="20"/>
      <c r="J13" s="11"/>
      <c r="K13" s="4"/>
      <c r="L13" s="4"/>
      <c r="M13" s="4"/>
      <c r="N13" s="4"/>
    </row>
    <row r="14" spans="1:14" x14ac:dyDescent="0.25">
      <c r="J14" s="11"/>
      <c r="K14" s="4"/>
      <c r="L14" s="4"/>
      <c r="M14" s="4"/>
      <c r="N14" s="4"/>
    </row>
    <row r="15" spans="1:14" x14ac:dyDescent="0.25">
      <c r="J15" s="11"/>
      <c r="K15" s="4"/>
      <c r="L15" s="4"/>
      <c r="M15" s="4"/>
      <c r="N15" s="4"/>
    </row>
    <row r="16" spans="1:14" x14ac:dyDescent="0.25">
      <c r="K16" s="4"/>
      <c r="L16" s="4"/>
      <c r="M16" s="4"/>
      <c r="N16" s="4"/>
    </row>
    <row r="17" spans="1:14" x14ac:dyDescent="0.25">
      <c r="K17" s="4"/>
      <c r="L17" s="4"/>
      <c r="M17" s="4"/>
      <c r="N17" s="4"/>
    </row>
    <row r="18" spans="1:14" ht="17.25" x14ac:dyDescent="0.25">
      <c r="A18" s="14"/>
      <c r="B18" s="8"/>
      <c r="C18" s="8"/>
      <c r="D18" s="8"/>
      <c r="E18" s="8"/>
      <c r="F18" s="8"/>
      <c r="G18" s="10"/>
      <c r="H18" s="15"/>
      <c r="K18" s="4"/>
      <c r="L18" s="4"/>
      <c r="M18" s="4"/>
      <c r="N18" s="4"/>
    </row>
    <row r="19" spans="1:14" x14ac:dyDescent="0.25">
      <c r="K19" s="4"/>
      <c r="L19" s="4"/>
      <c r="M19" s="4"/>
      <c r="N19" s="4"/>
    </row>
    <row r="20" spans="1:14" x14ac:dyDescent="0.25">
      <c r="K20" s="4"/>
      <c r="L20" s="4"/>
      <c r="M20" s="4"/>
      <c r="N20" s="4"/>
    </row>
    <row r="27" spans="1:14" x14ac:dyDescent="0.25">
      <c r="I27" s="38"/>
      <c r="J27" s="38"/>
      <c r="K27" s="38"/>
    </row>
    <row r="28" spans="1:14" x14ac:dyDescent="0.25">
      <c r="I28" s="16"/>
      <c r="J28" s="16"/>
      <c r="K28" s="38"/>
    </row>
    <row r="29" spans="1:14" x14ac:dyDescent="0.25">
      <c r="I29" s="16"/>
      <c r="J29" s="16"/>
      <c r="K29" s="38"/>
    </row>
    <row r="30" spans="1:14" x14ac:dyDescent="0.25">
      <c r="I30" s="16"/>
      <c r="J30" s="16"/>
      <c r="K30" s="38"/>
    </row>
    <row r="31" spans="1:14" x14ac:dyDescent="0.25">
      <c r="I31" s="16"/>
      <c r="J31" s="16"/>
      <c r="K31" s="38"/>
    </row>
    <row r="32" spans="1:14" x14ac:dyDescent="0.25">
      <c r="I32" s="16"/>
      <c r="J32" s="16"/>
      <c r="K32" s="38"/>
    </row>
    <row r="33" spans="9:15" x14ac:dyDescent="0.25">
      <c r="I33" s="16"/>
      <c r="J33" s="16"/>
      <c r="K33" s="38"/>
    </row>
    <row r="34" spans="9:15" x14ac:dyDescent="0.25">
      <c r="L34" s="39"/>
      <c r="M34" s="40"/>
      <c r="N34" s="38"/>
    </row>
    <row r="35" spans="9:15" x14ac:dyDescent="0.25">
      <c r="L35" s="39"/>
      <c r="M35" s="40"/>
      <c r="N35" s="41"/>
      <c r="O35" s="11"/>
    </row>
    <row r="36" spans="9:15" x14ac:dyDescent="0.25">
      <c r="I36" s="38"/>
      <c r="J36" s="38"/>
      <c r="K36" s="38"/>
      <c r="M36" s="6"/>
      <c r="N36" s="7"/>
      <c r="O36" s="11"/>
    </row>
    <row r="37" spans="9:15" x14ac:dyDescent="0.25">
      <c r="I37" s="38"/>
      <c r="J37" s="38"/>
      <c r="K37" s="38"/>
      <c r="M37" s="11"/>
      <c r="N37" s="11"/>
      <c r="O37" s="11"/>
    </row>
    <row r="38" spans="9:15" x14ac:dyDescent="0.25">
      <c r="I38" s="38"/>
      <c r="J38" s="38"/>
      <c r="K38" s="38"/>
      <c r="M38" s="11"/>
      <c r="N38" s="11"/>
      <c r="O38" s="11"/>
    </row>
    <row r="39" spans="9:15" x14ac:dyDescent="0.25">
      <c r="I39" s="38"/>
      <c r="J39" s="38"/>
      <c r="K39" s="38"/>
      <c r="M39" s="11"/>
      <c r="N39" s="11"/>
      <c r="O39" s="11"/>
    </row>
    <row r="40" spans="9:15" x14ac:dyDescent="0.25">
      <c r="I40" s="38"/>
      <c r="J40" s="38"/>
      <c r="K40" s="38"/>
      <c r="M40" s="11"/>
      <c r="N40" s="11"/>
      <c r="O40" s="11"/>
    </row>
    <row r="41" spans="9:15" x14ac:dyDescent="0.25">
      <c r="M41" s="11"/>
      <c r="N41" s="11"/>
      <c r="O41" s="11"/>
    </row>
    <row r="42" spans="9:15" x14ac:dyDescent="0.25">
      <c r="M42" s="11"/>
      <c r="N42" s="11"/>
      <c r="O42" s="11"/>
    </row>
    <row r="43" spans="9:15" x14ac:dyDescent="0.25">
      <c r="M43" s="11"/>
      <c r="N43" s="11"/>
      <c r="O43" s="11"/>
    </row>
    <row r="44" spans="9:15" x14ac:dyDescent="0.25">
      <c r="M44" s="11"/>
      <c r="N44" s="11"/>
      <c r="O44" s="11"/>
    </row>
    <row r="45" spans="9:15" x14ac:dyDescent="0.25">
      <c r="M45" s="11"/>
      <c r="N45" s="11"/>
      <c r="O45" s="11"/>
    </row>
  </sheetData>
  <mergeCells count="7">
    <mergeCell ref="D3:D4"/>
    <mergeCell ref="H3:H4"/>
    <mergeCell ref="A1:H1"/>
    <mergeCell ref="A2:H2"/>
    <mergeCell ref="A3:A4"/>
    <mergeCell ref="B3:B4"/>
    <mergeCell ref="C3:C4"/>
  </mergeCells>
  <pageMargins left="0.7" right="0.7" top="0.75" bottom="0.75" header="0.3" footer="0.3"/>
  <pageSetup paperSize="9" scale="75" orientation="portrait" horizontalDpi="4294967295" verticalDpi="4294967295" r:id="rId1"/>
  <ignoredErrors>
    <ignoredError sqref="B6:D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2019-09-16T08:56:30Z</cp:lastPrinted>
  <dcterms:created xsi:type="dcterms:W3CDTF">2019-06-30T04:22:49Z</dcterms:created>
  <dcterms:modified xsi:type="dcterms:W3CDTF">2019-09-16T08:56:45Z</dcterms:modified>
</cp:coreProperties>
</file>