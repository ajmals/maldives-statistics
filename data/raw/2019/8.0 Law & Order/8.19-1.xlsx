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8. LAW and ORDER\"/>
    </mc:Choice>
  </mc:AlternateContent>
  <bookViews>
    <workbookView xWindow="0" yWindow="0" windowWidth="28800" windowHeight="12330" tabRatio="923"/>
  </bookViews>
  <sheets>
    <sheet name="8.19" sheetId="18" r:id="rId1"/>
  </sheets>
  <externalReferences>
    <externalReference r:id="rId2"/>
    <externalReference r:id="rId3"/>
    <externalReference r:id="rId4"/>
    <externalReference r:id="rId5"/>
  </externalReferences>
  <definedNames>
    <definedName name="_xlnm.Print_Area" localSheetId="0">'8.19'!$A$1:$M$36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3" i="18" l="1"/>
  <c r="E33" i="18"/>
  <c r="J32" i="18"/>
  <c r="E32" i="18"/>
  <c r="J31" i="18"/>
  <c r="E31" i="18"/>
  <c r="J30" i="18"/>
  <c r="E30" i="18"/>
  <c r="J29" i="18"/>
  <c r="E29" i="18"/>
  <c r="J28" i="18"/>
  <c r="E28" i="18"/>
  <c r="J27" i="18"/>
  <c r="E27" i="18"/>
  <c r="J26" i="18"/>
  <c r="E26" i="18"/>
  <c r="J25" i="18"/>
  <c r="E25" i="18"/>
  <c r="J24" i="18"/>
  <c r="E24" i="18"/>
  <c r="J23" i="18"/>
  <c r="E23" i="18"/>
  <c r="J22" i="18"/>
  <c r="E22" i="18"/>
  <c r="J21" i="18"/>
  <c r="E21" i="18"/>
  <c r="J20" i="18"/>
  <c r="G20" i="18"/>
  <c r="F20" i="18"/>
  <c r="J19" i="18"/>
  <c r="E19" i="18"/>
  <c r="J18" i="18"/>
  <c r="E18" i="18"/>
  <c r="J17" i="18"/>
  <c r="E17" i="18"/>
  <c r="J16" i="18"/>
  <c r="E16" i="18"/>
  <c r="J15" i="18"/>
  <c r="E15" i="18"/>
  <c r="J14" i="18"/>
  <c r="E14" i="18"/>
  <c r="J13" i="18"/>
  <c r="E13" i="18"/>
  <c r="J12" i="18"/>
  <c r="E12" i="18"/>
  <c r="J11" i="18"/>
  <c r="E11" i="18"/>
  <c r="J10" i="18"/>
  <c r="E10" i="18"/>
  <c r="J9" i="18"/>
  <c r="E9" i="18"/>
  <c r="L8" i="18"/>
  <c r="K8" i="18"/>
  <c r="H8" i="18"/>
  <c r="G8" i="18"/>
  <c r="C8" i="18"/>
  <c r="E20" i="18" l="1"/>
  <c r="J8" i="18"/>
  <c r="F8" i="18"/>
  <c r="E8" i="18" s="1"/>
</calcChain>
</file>

<file path=xl/sharedStrings.xml><?xml version="1.0" encoding="utf-8"?>
<sst xmlns="http://schemas.openxmlformats.org/spreadsheetml/2006/main" count="77" uniqueCount="66">
  <si>
    <t>Theft</t>
  </si>
  <si>
    <t>Total</t>
  </si>
  <si>
    <t>Traffic accidents</t>
  </si>
  <si>
    <t>ވައްކަން</t>
  </si>
  <si>
    <t>Drugs</t>
  </si>
  <si>
    <t>ޓްރެފިކް</t>
  </si>
  <si>
    <t>Assault</t>
  </si>
  <si>
    <t>Others</t>
  </si>
  <si>
    <t>މަސްތުވާތަކެތި</t>
  </si>
  <si>
    <t>ގެއްލޭތަކެތި</t>
  </si>
  <si>
    <t>Robbery</t>
  </si>
  <si>
    <t>މާރާމާރީ</t>
  </si>
  <si>
    <t>Vandalism</t>
  </si>
  <si>
    <t>މުދަލަށް ގެއްލުންދިނުން</t>
  </si>
  <si>
    <t>Sexual Offences</t>
  </si>
  <si>
    <t>Threats; False Alarms</t>
  </si>
  <si>
    <t>ފޭރުން</t>
  </si>
  <si>
    <t>Embezzlement</t>
  </si>
  <si>
    <t>Domestic violence</t>
  </si>
  <si>
    <t>މަކަރާއި ޙީލަތް</t>
  </si>
  <si>
    <t>Counterfeit and forgery</t>
  </si>
  <si>
    <t>އާއިލީ</t>
  </si>
  <si>
    <t>Disorderly Conduct</t>
  </si>
  <si>
    <t>Deceptive Practices</t>
  </si>
  <si>
    <t>އެހެނިހެން</t>
  </si>
  <si>
    <t>Arson</t>
  </si>
  <si>
    <t>ހުޅުޖެހުން</t>
  </si>
  <si>
    <t>Lost items</t>
  </si>
  <si>
    <t>Attempted Suicides</t>
  </si>
  <si>
    <t>އަމިއްލައަށް މަރުވާން އުޅުން</t>
  </si>
  <si>
    <t>Obstructing Justice</t>
  </si>
  <si>
    <t>Causing, Aiding or Soliciting Suicide</t>
  </si>
  <si>
    <t>އަމިއްލައަށް /  އެހެނިހެން ގޮތްގޮތަށް މަރުވުން</t>
  </si>
  <si>
    <t>Child Abandonment and Parental Duty of Care</t>
  </si>
  <si>
    <t>ދަރިންނަށް އިޙްމާލުވުން ފަދަ މައްސަލަތައް</t>
  </si>
  <si>
    <t>މަކަރުހެދުމާއި އޮޅުވާލުން</t>
  </si>
  <si>
    <t>އަޚްލާޤީ ގޮތުން ދަށުދަރަޖައިގެ ޢަމަލުތައް</t>
  </si>
  <si>
    <t>އަމުރަށް ނުކިޔަމަންތެރިވުމާއި ވާޖިބަށް ހުރަސްއެޅުން</t>
  </si>
  <si>
    <t>Producing or Distributing Obscene Material</t>
  </si>
  <si>
    <t>އޮރިޔާން ފޮޓޯ / ފިލްމުގެ މައްސަލަތައް</t>
  </si>
  <si>
    <t>Theft by Deception</t>
  </si>
  <si>
    <t>ޓެކުން އަދި ފްރޯޑް</t>
  </si>
  <si>
    <t>ބިރުދެއްކުމާއި އިންޒާރުދިނުން</t>
  </si>
  <si>
    <t>Trafficking, Manufacture, Sale, or Possession of Firearms or Catastrophic Agents</t>
  </si>
  <si>
    <t>ހަތިޔާރު / ގޮވާތަކެތީގެ މައްސަލަތައް</t>
  </si>
  <si>
    <t>Use of a Dangerous Weapon During an Offense</t>
  </si>
  <si>
    <t>ހަތިޔާރު ބޭނުންކުރުން</t>
  </si>
  <si>
    <t>Source: Maldives Police Service</t>
  </si>
  <si>
    <t>csivrws csilop cscviDclOm :Ivcaed utWmUluAwm</t>
  </si>
  <si>
    <t>ޖުމްލަ</t>
  </si>
  <si>
    <t>ވަގުފައިސާ</t>
  </si>
  <si>
    <t>Type of offence</t>
  </si>
  <si>
    <t>ކުށުގެ ބާވަތް</t>
  </si>
  <si>
    <t>Number of Logged cases</t>
  </si>
  <si>
    <t>Both Sexes</t>
  </si>
  <si>
    <t>Male</t>
  </si>
  <si>
    <t>Female</t>
  </si>
  <si>
    <t xml:space="preserve">ހުށަހެޅިފައިވާ މައްސަލަތަކުގެ އަދަދު </t>
  </si>
  <si>
    <t>ދެޖިންސް</t>
  </si>
  <si>
    <t xml:space="preserve">ފިރިހެން </t>
  </si>
  <si>
    <t xml:space="preserve">އަންހެން </t>
  </si>
  <si>
    <t>ޖިންސީ މައްސަލަ</t>
  </si>
  <si>
    <r>
      <rPr>
        <b/>
        <sz val="9"/>
        <color theme="1"/>
        <rFont val="Calibri"/>
        <family val="2"/>
        <scheme val="minor"/>
      </rPr>
      <t>Number of Victims</t>
    </r>
    <r>
      <rPr>
        <b/>
        <sz val="9"/>
        <color theme="1"/>
        <rFont val="Faruma"/>
        <family val="3"/>
      </rPr>
      <t xml:space="preserve">  އަނިޔާ ލިބުނު މީހުންގެ އަދަދު</t>
    </r>
  </si>
  <si>
    <t>From the table, Some persons may have repeatedly involved in same offence (even if a person is involved more than once in same offence, it is the same person and we count that as a single person). It applies for the overall total too i.e, a person may have involved in more than once offence in a period of time and it means that overall total are calculated as a single person for that involvement.</t>
  </si>
  <si>
    <t>Table 8.19: NUMBER OF VICTIMS BY TYPE OF OFFENCE AND SEX, 2016 - 2018</t>
  </si>
  <si>
    <t xml:space="preserve">2018 - 2016  ،ތާވަލު 8.19: ހުށަހެޅިފައިވާ މައްސަލަތަކުގައި އަނިޔާލިބިފައިވާ މީހުން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</si>
</sst>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  <numFmt numFmtId="168" formatCode="0.000"/>
    <numFmt numFmtId="171" formatCode="#,##0;[Red]#,##0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9"/>
      <name val="A_Randhoo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b/>
      <sz val="11"/>
      <color theme="1"/>
      <name val="Faruma"/>
      <family val="3"/>
    </font>
    <font>
      <b/>
      <sz val="10"/>
      <color theme="1"/>
      <name val="Faruma"/>
      <family val="3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Faruma"/>
      <family val="3"/>
    </font>
    <font>
      <b/>
      <sz val="12"/>
      <color theme="1"/>
      <name val="Faruma"/>
      <family val="3"/>
    </font>
    <font>
      <sz val="11"/>
      <color theme="1"/>
      <name val="Faruma"/>
      <family val="3"/>
    </font>
    <font>
      <b/>
      <sz val="9"/>
      <color theme="1"/>
      <name val="Arial"/>
      <family val="2"/>
    </font>
    <font>
      <sz val="11"/>
      <color rgb="FF000000"/>
      <name val="Faruma"/>
      <family val="3"/>
    </font>
    <font>
      <sz val="10"/>
      <name val="Arial"/>
      <family val="2"/>
    </font>
    <font>
      <sz val="11"/>
      <name val="Faruma"/>
      <family val="3"/>
    </font>
    <font>
      <i/>
      <sz val="9"/>
      <color rgb="FF000000"/>
      <name val="Calibri"/>
      <family val="2"/>
      <scheme val="minor"/>
    </font>
    <font>
      <b/>
      <sz val="15"/>
      <color theme="3"/>
      <name val="Arial Mäo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hair">
        <color indexed="64"/>
      </right>
      <top style="thin">
        <color indexed="64"/>
      </top>
      <bottom style="hair">
        <color theme="1"/>
      </bottom>
      <diagonal/>
    </border>
    <border>
      <left/>
      <right style="thin">
        <color theme="0"/>
      </right>
      <top style="thin">
        <color indexed="64"/>
      </top>
      <bottom style="hair">
        <color theme="1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 style="hair">
        <color theme="1"/>
      </top>
      <bottom/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 style="hair">
        <color indexed="64"/>
      </right>
      <top style="hair">
        <color theme="1"/>
      </top>
      <bottom style="hair">
        <color theme="1"/>
      </bottom>
      <diagonal/>
    </border>
    <border>
      <left/>
      <right style="thin">
        <color theme="0"/>
      </right>
      <top style="hair">
        <color theme="1"/>
      </top>
      <bottom style="hair">
        <color theme="1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hair">
        <color theme="1"/>
      </left>
      <right/>
      <top/>
      <bottom/>
      <diagonal/>
    </border>
    <border>
      <left/>
      <right/>
      <top/>
      <bottom style="thick">
        <color theme="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6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167" fontId="11" fillId="0" borderId="0"/>
    <xf numFmtId="0" fontId="25" fillId="0" borderId="28" applyNumberFormat="0" applyFill="0" applyAlignment="0" applyProtection="0"/>
    <xf numFmtId="0" fontId="22" fillId="0" borderId="0"/>
  </cellStyleXfs>
  <cellXfs count="79">
    <xf numFmtId="0" fontId="0" fillId="0" borderId="0" xfId="0"/>
    <xf numFmtId="164" fontId="7" fillId="2" borderId="0" xfId="0" applyNumberFormat="1" applyFont="1" applyFill="1" applyBorder="1" applyAlignment="1">
      <alignment horizontal="left" vertical="center" indent="2"/>
    </xf>
    <xf numFmtId="164" fontId="7" fillId="2" borderId="1" xfId="0" applyNumberFormat="1" applyFont="1" applyFill="1" applyBorder="1" applyAlignment="1">
      <alignment horizontal="left" vertical="center" indent="2"/>
    </xf>
    <xf numFmtId="0" fontId="19" fillId="2" borderId="0" xfId="0" applyNumberFormat="1" applyFont="1" applyFill="1" applyBorder="1"/>
    <xf numFmtId="0" fontId="19" fillId="2" borderId="0" xfId="0" applyNumberFormat="1" applyFont="1" applyFill="1"/>
    <xf numFmtId="0" fontId="6" fillId="2" borderId="0" xfId="0" applyNumberFormat="1" applyFont="1" applyFill="1" applyBorder="1"/>
    <xf numFmtId="0" fontId="6" fillId="2" borderId="0" xfId="0" applyNumberFormat="1" applyFont="1" applyFill="1"/>
    <xf numFmtId="0" fontId="4" fillId="2" borderId="9" xfId="0" applyNumberFormat="1" applyFont="1" applyFill="1" applyBorder="1"/>
    <xf numFmtId="0" fontId="4" fillId="2" borderId="14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/>
    <xf numFmtId="0" fontId="4" fillId="2" borderId="0" xfId="0" applyNumberFormat="1" applyFont="1" applyFill="1"/>
    <xf numFmtId="0" fontId="9" fillId="2" borderId="0" xfId="0" applyNumberFormat="1" applyFont="1" applyFill="1" applyAlignment="1">
      <alignment horizontal="center" vertical="center"/>
    </xf>
    <xf numFmtId="0" fontId="9" fillId="2" borderId="5" xfId="0" applyNumberFormat="1" applyFont="1" applyFill="1" applyBorder="1" applyAlignment="1">
      <alignment horizontal="right" vertical="center" wrapText="1"/>
    </xf>
    <xf numFmtId="0" fontId="9" fillId="2" borderId="0" xfId="0" applyNumberFormat="1" applyFont="1" applyFill="1"/>
    <xf numFmtId="0" fontId="14" fillId="2" borderId="1" xfId="0" applyNumberFormat="1" applyFont="1" applyFill="1" applyBorder="1" applyAlignment="1">
      <alignment vertical="center" wrapText="1"/>
    </xf>
    <xf numFmtId="0" fontId="14" fillId="2" borderId="1" xfId="0" applyNumberFormat="1" applyFont="1" applyFill="1" applyBorder="1" applyAlignment="1">
      <alignment horizontal="right" vertical="center" wrapText="1"/>
    </xf>
    <xf numFmtId="0" fontId="13" fillId="2" borderId="4" xfId="0" applyNumberFormat="1" applyFont="1" applyFill="1" applyBorder="1" applyAlignment="1">
      <alignment vertical="center"/>
    </xf>
    <xf numFmtId="168" fontId="9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Alignment="1">
      <alignment vertical="center"/>
    </xf>
    <xf numFmtId="0" fontId="4" fillId="2" borderId="8" xfId="0" applyNumberFormat="1" applyFont="1" applyFill="1" applyBorder="1" applyAlignment="1">
      <alignment horizontal="left" vertical="center"/>
    </xf>
    <xf numFmtId="0" fontId="21" fillId="2" borderId="0" xfId="0" applyNumberFormat="1" applyFont="1" applyFill="1" applyBorder="1" applyAlignment="1">
      <alignment horizontal="right" vertical="center" wrapText="1"/>
    </xf>
    <xf numFmtId="168" fontId="4" fillId="2" borderId="0" xfId="0" applyNumberFormat="1" applyFont="1" applyFill="1" applyBorder="1" applyAlignment="1">
      <alignment vertical="center"/>
    </xf>
    <xf numFmtId="0" fontId="4" fillId="2" borderId="0" xfId="0" applyNumberFormat="1" applyFont="1" applyFill="1" applyAlignment="1">
      <alignment vertical="center"/>
    </xf>
    <xf numFmtId="0" fontId="4" fillId="2" borderId="0" xfId="0" applyNumberFormat="1" applyFont="1" applyFill="1" applyBorder="1" applyAlignment="1">
      <alignment horizontal="left" vertical="center"/>
    </xf>
    <xf numFmtId="0" fontId="4" fillId="2" borderId="0" xfId="0" applyNumberFormat="1" applyFont="1" applyFill="1" applyAlignment="1">
      <alignment vertical="top"/>
    </xf>
    <xf numFmtId="0" fontId="4" fillId="2" borderId="0" xfId="0" applyNumberFormat="1" applyFont="1" applyFill="1" applyBorder="1" applyAlignment="1">
      <alignment vertical="top"/>
    </xf>
    <xf numFmtId="0" fontId="4" fillId="2" borderId="8" xfId="0" applyNumberFormat="1" applyFont="1" applyFill="1" applyBorder="1"/>
    <xf numFmtId="164" fontId="7" fillId="2" borderId="0" xfId="0" applyNumberFormat="1" applyFont="1" applyFill="1" applyBorder="1" applyAlignment="1">
      <alignment horizontal="left" vertical="center" wrapText="1" indent="2"/>
    </xf>
    <xf numFmtId="164" fontId="8" fillId="2" borderId="7" xfId="0" applyNumberFormat="1" applyFont="1" applyFill="1" applyBorder="1" applyAlignment="1">
      <alignment horizontal="right" vertical="center"/>
    </xf>
    <xf numFmtId="0" fontId="4" fillId="2" borderId="13" xfId="0" applyNumberFormat="1" applyFont="1" applyFill="1" applyBorder="1" applyAlignment="1">
      <alignment horizontal="center" vertical="center"/>
    </xf>
    <xf numFmtId="0" fontId="14" fillId="2" borderId="3" xfId="0" applyNumberFormat="1" applyFont="1" applyFill="1" applyBorder="1" applyAlignment="1">
      <alignment horizontal="righ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9" fillId="2" borderId="19" xfId="0" applyNumberFormat="1" applyFont="1" applyFill="1" applyBorder="1" applyAlignment="1">
      <alignment horizontal="right" vertical="center" wrapText="1"/>
    </xf>
    <xf numFmtId="0" fontId="9" fillId="2" borderId="0" xfId="0" applyNumberFormat="1" applyFont="1" applyFill="1" applyBorder="1" applyAlignment="1">
      <alignment horizontal="right" vertical="center" wrapText="1"/>
    </xf>
    <xf numFmtId="0" fontId="9" fillId="2" borderId="15" xfId="0" applyNumberFormat="1" applyFont="1" applyFill="1" applyBorder="1" applyAlignment="1">
      <alignment horizontal="center" vertical="center"/>
    </xf>
    <xf numFmtId="0" fontId="20" fillId="2" borderId="19" xfId="0" applyNumberFormat="1" applyFont="1" applyFill="1" applyBorder="1" applyAlignment="1">
      <alignment horizontal="center" vertical="center"/>
    </xf>
    <xf numFmtId="0" fontId="9" fillId="2" borderId="2" xfId="0" applyNumberFormat="1" applyFont="1" applyFill="1" applyBorder="1" applyAlignment="1">
      <alignment horizontal="left" vertical="center"/>
    </xf>
    <xf numFmtId="171" fontId="3" fillId="2" borderId="6" xfId="1" applyNumberFormat="1" applyFont="1" applyFill="1" applyBorder="1" applyAlignment="1">
      <alignment horizontal="right" vertical="center"/>
    </xf>
    <xf numFmtId="171" fontId="3" fillId="2" borderId="0" xfId="1" applyNumberFormat="1" applyFont="1" applyFill="1" applyBorder="1" applyAlignment="1">
      <alignment horizontal="right" vertical="center"/>
    </xf>
    <xf numFmtId="171" fontId="2" fillId="2" borderId="0" xfId="1" applyNumberFormat="1" applyFont="1" applyFill="1" applyBorder="1" applyAlignment="1">
      <alignment horizontal="right" vertical="center"/>
    </xf>
    <xf numFmtId="171" fontId="5" fillId="2" borderId="27" xfId="1" applyNumberFormat="1" applyFont="1" applyFill="1" applyBorder="1" applyAlignment="1">
      <alignment horizontal="right" vertical="center"/>
    </xf>
    <xf numFmtId="171" fontId="5" fillId="2" borderId="0" xfId="1" applyNumberFormat="1" applyFont="1" applyFill="1" applyBorder="1" applyAlignment="1">
      <alignment horizontal="right" vertical="center"/>
    </xf>
    <xf numFmtId="171" fontId="1" fillId="2" borderId="0" xfId="1" applyNumberFormat="1" applyFont="1" applyFill="1" applyBorder="1" applyAlignment="1">
      <alignment horizontal="right" vertical="center"/>
    </xf>
    <xf numFmtId="171" fontId="1" fillId="2" borderId="0" xfId="0" applyNumberFormat="1" applyFont="1" applyFill="1" applyBorder="1" applyAlignment="1">
      <alignment horizontal="right" vertical="center"/>
    </xf>
    <xf numFmtId="0" fontId="4" fillId="2" borderId="8" xfId="0" applyNumberFormat="1" applyFont="1" applyFill="1" applyBorder="1" applyAlignment="1">
      <alignment horizontal="left" vertical="center" wrapText="1"/>
    </xf>
    <xf numFmtId="0" fontId="4" fillId="2" borderId="9" xfId="0" applyNumberFormat="1" applyFont="1" applyFill="1" applyBorder="1" applyAlignment="1">
      <alignment horizontal="left" vertical="center"/>
    </xf>
    <xf numFmtId="171" fontId="15" fillId="2" borderId="0" xfId="1" applyNumberFormat="1" applyFont="1" applyFill="1" applyBorder="1" applyAlignment="1">
      <alignment horizontal="right" vertical="center"/>
    </xf>
    <xf numFmtId="171" fontId="1" fillId="2" borderId="5" xfId="0" applyNumberFormat="1" applyFont="1" applyFill="1" applyBorder="1" applyAlignment="1">
      <alignment horizontal="right" vertical="center"/>
    </xf>
    <xf numFmtId="171" fontId="0" fillId="2" borderId="0" xfId="0" applyNumberFormat="1" applyFont="1" applyFill="1" applyBorder="1" applyAlignment="1">
      <alignment horizontal="right" vertical="center"/>
    </xf>
    <xf numFmtId="171" fontId="0" fillId="2" borderId="0" xfId="0" applyNumberFormat="1" applyFont="1" applyFill="1" applyBorder="1" applyAlignment="1">
      <alignment horizontal="right" vertical="top"/>
    </xf>
    <xf numFmtId="164" fontId="23" fillId="2" borderId="0" xfId="0" applyNumberFormat="1" applyFont="1" applyFill="1" applyBorder="1" applyAlignment="1" applyProtection="1">
      <alignment horizontal="right" vertical="center" indent="2"/>
    </xf>
    <xf numFmtId="171" fontId="0" fillId="2" borderId="8" xfId="0" applyNumberFormat="1" applyFont="1" applyFill="1" applyBorder="1" applyAlignment="1">
      <alignment horizontal="right" vertical="center"/>
    </xf>
    <xf numFmtId="171" fontId="5" fillId="2" borderId="1" xfId="1" applyNumberFormat="1" applyFont="1" applyFill="1" applyBorder="1" applyAlignment="1">
      <alignment horizontal="right" vertical="center"/>
    </xf>
    <xf numFmtId="171" fontId="0" fillId="2" borderId="10" xfId="0" applyNumberFormat="1" applyFont="1" applyFill="1" applyBorder="1" applyAlignment="1">
      <alignment horizontal="right" vertical="center"/>
    </xf>
    <xf numFmtId="171" fontId="0" fillId="2" borderId="1" xfId="0" applyNumberFormat="1" applyFont="1" applyFill="1" applyBorder="1" applyAlignment="1">
      <alignment horizontal="right" vertical="center"/>
    </xf>
    <xf numFmtId="171" fontId="0" fillId="2" borderId="1" xfId="0" applyNumberFormat="1" applyFont="1" applyFill="1" applyBorder="1" applyAlignment="1">
      <alignment horizontal="right" vertical="top"/>
    </xf>
    <xf numFmtId="164" fontId="23" fillId="2" borderId="1" xfId="0" applyNumberFormat="1" applyFont="1" applyFill="1" applyBorder="1" applyAlignment="1" applyProtection="1">
      <alignment horizontal="right" vertical="center" indent="2"/>
    </xf>
    <xf numFmtId="0" fontId="12" fillId="2" borderId="2" xfId="0" applyNumberFormat="1" applyFont="1" applyFill="1" applyBorder="1" applyAlignment="1">
      <alignment vertical="top"/>
    </xf>
    <xf numFmtId="0" fontId="14" fillId="2" borderId="0" xfId="0" applyNumberFormat="1" applyFont="1" applyFill="1" applyBorder="1" applyAlignment="1">
      <alignment horizontal="right" vertical="center"/>
    </xf>
    <xf numFmtId="0" fontId="14" fillId="2" borderId="1" xfId="0" applyNumberFormat="1" applyFont="1" applyFill="1" applyBorder="1" applyAlignment="1">
      <alignment horizontal="right" vertical="center"/>
    </xf>
    <xf numFmtId="0" fontId="18" fillId="2" borderId="4" xfId="0" applyNumberFormat="1" applyFont="1" applyFill="1" applyBorder="1" applyAlignment="1">
      <alignment horizontal="center" vertical="center"/>
    </xf>
    <xf numFmtId="0" fontId="18" fillId="2" borderId="12" xfId="0" applyNumberFormat="1" applyFont="1" applyFill="1" applyBorder="1" applyAlignment="1">
      <alignment horizontal="center" vertical="center"/>
    </xf>
    <xf numFmtId="0" fontId="2" fillId="2" borderId="8" xfId="0" applyNumberFormat="1" applyFont="1" applyFill="1" applyBorder="1" applyAlignment="1">
      <alignment horizontal="center"/>
    </xf>
    <xf numFmtId="0" fontId="2" fillId="2" borderId="13" xfId="0" applyNumberFormat="1" applyFont="1" applyFill="1" applyBorder="1" applyAlignment="1">
      <alignment horizontal="center"/>
    </xf>
    <xf numFmtId="0" fontId="9" fillId="2" borderId="24" xfId="0" applyNumberFormat="1" applyFont="1" applyFill="1" applyBorder="1" applyAlignment="1">
      <alignment horizontal="left" vertical="center" wrapText="1"/>
    </xf>
    <xf numFmtId="0" fontId="9" fillId="2" borderId="25" xfId="0" applyNumberFormat="1" applyFont="1" applyFill="1" applyBorder="1" applyAlignment="1">
      <alignment horizontal="left" vertical="center" wrapText="1"/>
    </xf>
    <xf numFmtId="0" fontId="9" fillId="2" borderId="26" xfId="0" applyNumberFormat="1" applyFont="1" applyFill="1" applyBorder="1" applyAlignment="1">
      <alignment horizontal="left" vertical="center" wrapText="1"/>
    </xf>
    <xf numFmtId="0" fontId="9" fillId="2" borderId="15" xfId="0" applyNumberFormat="1" applyFont="1" applyFill="1" applyBorder="1" applyAlignment="1">
      <alignment horizontal="center" vertical="center"/>
    </xf>
    <xf numFmtId="0" fontId="9" fillId="2" borderId="16" xfId="0" applyNumberFormat="1" applyFont="1" applyFill="1" applyBorder="1" applyAlignment="1">
      <alignment horizontal="center" vertical="center"/>
    </xf>
    <xf numFmtId="0" fontId="9" fillId="2" borderId="17" xfId="0" applyNumberFormat="1" applyFont="1" applyFill="1" applyBorder="1" applyAlignment="1">
      <alignment horizontal="center" vertical="center"/>
    </xf>
    <xf numFmtId="0" fontId="14" fillId="2" borderId="18" xfId="0" applyNumberFormat="1" applyFont="1" applyFill="1" applyBorder="1" applyAlignment="1">
      <alignment horizontal="right" vertical="center"/>
    </xf>
    <xf numFmtId="0" fontId="14" fillId="2" borderId="23" xfId="0" applyNumberFormat="1" applyFont="1" applyFill="1" applyBorder="1" applyAlignment="1">
      <alignment horizontal="right" vertical="center"/>
    </xf>
    <xf numFmtId="0" fontId="20" fillId="2" borderId="20" xfId="0" applyNumberFormat="1" applyFont="1" applyFill="1" applyBorder="1" applyAlignment="1">
      <alignment horizontal="center" vertical="center"/>
    </xf>
    <xf numFmtId="0" fontId="20" fillId="2" borderId="22" xfId="0" applyNumberFormat="1" applyFont="1" applyFill="1" applyBorder="1" applyAlignment="1">
      <alignment horizontal="center" vertical="center"/>
    </xf>
    <xf numFmtId="0" fontId="24" fillId="2" borderId="11" xfId="0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9" fillId="2" borderId="19" xfId="0" applyNumberFormat="1" applyFont="1" applyFill="1" applyBorder="1" applyAlignment="1">
      <alignment horizontal="right" vertical="center" wrapText="1"/>
    </xf>
    <xf numFmtId="0" fontId="9" fillId="2" borderId="0" xfId="0" applyNumberFormat="1" applyFont="1" applyFill="1" applyBorder="1" applyAlignment="1">
      <alignment horizontal="right" vertical="center" wrapText="1"/>
    </xf>
    <xf numFmtId="0" fontId="20" fillId="2" borderId="21" xfId="0" applyNumberFormat="1" applyFont="1" applyFill="1" applyBorder="1" applyAlignment="1">
      <alignment horizontal="center" vertical="center"/>
    </xf>
  </cellXfs>
  <cellStyles count="7">
    <cellStyle name="Comma" xfId="1" builtinId="3"/>
    <cellStyle name="Comma 2" xfId="2"/>
    <cellStyle name="Heading 1 2" xfId="5"/>
    <cellStyle name="Normal" xfId="0" builtinId="0"/>
    <cellStyle name="Normal 2" xfId="6"/>
    <cellStyle name="Normal 3" xfId="4"/>
    <cellStyle name="Percent 2" xfId="3"/>
  </cellStyles>
  <dxfs count="0"/>
  <tableStyles count="0" defaultTableStyle="TableStyleMedium2" defaultPivotStyle="PivotStyleLight16"/>
  <colors>
    <mruColors>
      <color rgb="FFFFFAEB"/>
      <color rgb="FFFFF6DD"/>
      <color rgb="FF4C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Copy%20of%208.%20LAW%20AND%20ORDER%20-%20Police%20workingsfinalmai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-%20JSC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BFYMW6J1\8.%20LAW%20AND%20ORDER-%20JS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U6" t="str">
            <v>Male</v>
          </cell>
          <cell r="V6" t="str">
            <v>Female</v>
          </cell>
        </row>
        <row r="8">
          <cell r="U8">
            <v>1191</v>
          </cell>
          <cell r="V8">
            <v>940</v>
          </cell>
        </row>
      </sheetData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  <cell r="V91" t="str">
            <v>Number of islands with majistrate courts</v>
          </cell>
        </row>
        <row r="92">
          <cell r="T92" t="str">
            <v>HA</v>
          </cell>
          <cell r="U92">
            <v>9</v>
          </cell>
          <cell r="V92">
            <v>14</v>
          </cell>
        </row>
        <row r="93">
          <cell r="T93" t="str">
            <v>HDh</v>
          </cell>
          <cell r="U93">
            <v>8</v>
          </cell>
          <cell r="V93">
            <v>13</v>
          </cell>
        </row>
        <row r="94">
          <cell r="T94" t="str">
            <v>Sh</v>
          </cell>
          <cell r="U94">
            <v>4</v>
          </cell>
          <cell r="V94">
            <v>13</v>
          </cell>
        </row>
        <row r="95">
          <cell r="T95" t="str">
            <v>N</v>
          </cell>
          <cell r="U95">
            <v>5</v>
          </cell>
          <cell r="V95">
            <v>13</v>
          </cell>
        </row>
        <row r="96">
          <cell r="T96" t="str">
            <v>R</v>
          </cell>
          <cell r="U96">
            <v>14</v>
          </cell>
          <cell r="V96">
            <v>15</v>
          </cell>
        </row>
        <row r="97">
          <cell r="T97" t="str">
            <v>B</v>
          </cell>
          <cell r="U97">
            <v>6</v>
          </cell>
          <cell r="V97">
            <v>13</v>
          </cell>
        </row>
        <row r="98">
          <cell r="T98" t="str">
            <v>Lh</v>
          </cell>
          <cell r="U98">
            <v>4</v>
          </cell>
          <cell r="V98">
            <v>4</v>
          </cell>
        </row>
        <row r="99">
          <cell r="T99" t="str">
            <v>K</v>
          </cell>
          <cell r="U99">
            <v>10</v>
          </cell>
          <cell r="V99">
            <v>9</v>
          </cell>
        </row>
        <row r="100">
          <cell r="T100" t="str">
            <v>AA</v>
          </cell>
          <cell r="U100">
            <v>4</v>
          </cell>
          <cell r="V100">
            <v>8</v>
          </cell>
        </row>
        <row r="101">
          <cell r="T101" t="str">
            <v>ADh</v>
          </cell>
          <cell r="U101">
            <v>7</v>
          </cell>
          <cell r="V101">
            <v>10</v>
          </cell>
        </row>
        <row r="102">
          <cell r="T102" t="str">
            <v>V</v>
          </cell>
          <cell r="U102">
            <v>2</v>
          </cell>
          <cell r="V102">
            <v>5</v>
          </cell>
        </row>
        <row r="103">
          <cell r="T103" t="str">
            <v>M</v>
          </cell>
          <cell r="U103">
            <v>5</v>
          </cell>
          <cell r="V103">
            <v>8</v>
          </cell>
        </row>
        <row r="104">
          <cell r="T104" t="str">
            <v>F</v>
          </cell>
          <cell r="U104">
            <v>4</v>
          </cell>
          <cell r="V104">
            <v>5</v>
          </cell>
        </row>
        <row r="105">
          <cell r="T105" t="str">
            <v>Dh</v>
          </cell>
          <cell r="U105">
            <v>5</v>
          </cell>
          <cell r="V105">
            <v>6</v>
          </cell>
        </row>
        <row r="106">
          <cell r="T106" t="str">
            <v>Th</v>
          </cell>
          <cell r="U106">
            <v>8</v>
          </cell>
          <cell r="V106">
            <v>13</v>
          </cell>
        </row>
        <row r="107">
          <cell r="T107" t="str">
            <v>L</v>
          </cell>
          <cell r="U107">
            <v>11</v>
          </cell>
          <cell r="V107">
            <v>11</v>
          </cell>
        </row>
        <row r="108">
          <cell r="T108" t="str">
            <v>GA</v>
          </cell>
          <cell r="U108">
            <v>8</v>
          </cell>
          <cell r="V108">
            <v>9</v>
          </cell>
        </row>
        <row r="109">
          <cell r="T109" t="str">
            <v>GDh</v>
          </cell>
          <cell r="U109">
            <v>10</v>
          </cell>
          <cell r="V109">
            <v>9</v>
          </cell>
        </row>
        <row r="110">
          <cell r="T110" t="str">
            <v>Gn</v>
          </cell>
          <cell r="U110">
            <v>4</v>
          </cell>
          <cell r="V110">
            <v>1</v>
          </cell>
        </row>
        <row r="111">
          <cell r="T111" t="str">
            <v>S</v>
          </cell>
          <cell r="U111">
            <v>7</v>
          </cell>
          <cell r="V111">
            <v>6</v>
          </cell>
        </row>
        <row r="129">
          <cell r="S129" t="str">
            <v>Atolls</v>
          </cell>
          <cell r="U129">
            <v>69.948186528497416</v>
          </cell>
        </row>
        <row r="130">
          <cell r="S130" t="str">
            <v>Male'</v>
          </cell>
          <cell r="U130">
            <v>30.051813471502591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</row>
        <row r="129">
          <cell r="S129" t="str">
            <v>Atolls</v>
          </cell>
          <cell r="U129">
            <v>69.543147208121823</v>
          </cell>
        </row>
        <row r="130">
          <cell r="S130" t="str">
            <v>Male'</v>
          </cell>
          <cell r="U130">
            <v>30.456852791878177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tabSelected="1" topLeftCell="B1" zoomScaleNormal="100" workbookViewId="0">
      <selection activeCell="W23" sqref="W23"/>
    </sheetView>
  </sheetViews>
  <sheetFormatPr defaultColWidth="9.140625" defaultRowHeight="12.75"/>
  <cols>
    <col min="1" max="1" width="42.7109375" style="10" customWidth="1"/>
    <col min="2" max="2" width="2.140625" style="10" customWidth="1"/>
    <col min="3" max="3" width="11.42578125" style="10" customWidth="1"/>
    <col min="4" max="4" width="2" style="10" customWidth="1"/>
    <col min="5" max="7" width="12.28515625" style="10" customWidth="1"/>
    <col min="8" max="8" width="11.42578125" style="10" customWidth="1"/>
    <col min="9" max="9" width="2" style="10" customWidth="1"/>
    <col min="10" max="12" width="12.28515625" style="10" customWidth="1"/>
    <col min="13" max="13" width="38.28515625" style="31" customWidth="1"/>
    <col min="14" max="14" width="2" style="9" customWidth="1"/>
    <col min="15" max="16384" width="9.140625" style="10"/>
  </cols>
  <sheetData>
    <row r="1" spans="1:14" s="4" customFormat="1" ht="24.75" customHeight="1">
      <c r="A1" s="60" t="s">
        <v>65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1"/>
      <c r="N1" s="3"/>
    </row>
    <row r="2" spans="1:14" s="6" customFormat="1" ht="14.25" customHeight="1">
      <c r="A2" s="62" t="s">
        <v>64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5"/>
    </row>
    <row r="3" spans="1:14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8"/>
    </row>
    <row r="4" spans="1:14" s="11" customFormat="1" ht="19.5" customHeight="1">
      <c r="A4" s="64" t="s">
        <v>51</v>
      </c>
      <c r="B4" s="34"/>
      <c r="C4" s="67">
        <v>2017</v>
      </c>
      <c r="D4" s="67"/>
      <c r="E4" s="67"/>
      <c r="F4" s="67"/>
      <c r="G4" s="68"/>
      <c r="H4" s="67">
        <v>2018</v>
      </c>
      <c r="I4" s="67"/>
      <c r="J4" s="67"/>
      <c r="K4" s="67"/>
      <c r="L4" s="69"/>
      <c r="M4" s="70" t="s">
        <v>52</v>
      </c>
      <c r="N4" s="75"/>
    </row>
    <row r="5" spans="1:14" s="11" customFormat="1" ht="19.5" customHeight="1">
      <c r="A5" s="65"/>
      <c r="B5" s="35"/>
      <c r="C5" s="76" t="s">
        <v>53</v>
      </c>
      <c r="D5" s="32"/>
      <c r="E5" s="72" t="s">
        <v>62</v>
      </c>
      <c r="F5" s="72"/>
      <c r="G5" s="78"/>
      <c r="H5" s="76" t="s">
        <v>53</v>
      </c>
      <c r="I5" s="32"/>
      <c r="J5" s="72" t="s">
        <v>62</v>
      </c>
      <c r="K5" s="72"/>
      <c r="L5" s="73"/>
      <c r="M5" s="71"/>
      <c r="N5" s="75"/>
    </row>
    <row r="6" spans="1:14" s="13" customFormat="1" ht="13.5" customHeight="1">
      <c r="A6" s="65"/>
      <c r="B6" s="33"/>
      <c r="C6" s="77"/>
      <c r="D6" s="33"/>
      <c r="E6" s="33" t="s">
        <v>54</v>
      </c>
      <c r="F6" s="33" t="s">
        <v>55</v>
      </c>
      <c r="G6" s="12" t="s">
        <v>56</v>
      </c>
      <c r="H6" s="77"/>
      <c r="I6" s="33"/>
      <c r="J6" s="33" t="s">
        <v>54</v>
      </c>
      <c r="K6" s="33" t="s">
        <v>55</v>
      </c>
      <c r="L6" s="33" t="s">
        <v>56</v>
      </c>
      <c r="M6" s="58"/>
      <c r="N6" s="75"/>
    </row>
    <row r="7" spans="1:14" s="13" customFormat="1" ht="31.5" customHeight="1">
      <c r="A7" s="66"/>
      <c r="B7" s="15"/>
      <c r="C7" s="14" t="s">
        <v>57</v>
      </c>
      <c r="D7" s="14"/>
      <c r="E7" s="15" t="s">
        <v>58</v>
      </c>
      <c r="F7" s="15" t="s">
        <v>59</v>
      </c>
      <c r="G7" s="30" t="s">
        <v>60</v>
      </c>
      <c r="H7" s="14" t="s">
        <v>57</v>
      </c>
      <c r="I7" s="14"/>
      <c r="J7" s="15" t="s">
        <v>58</v>
      </c>
      <c r="K7" s="15" t="s">
        <v>59</v>
      </c>
      <c r="L7" s="15" t="s">
        <v>60</v>
      </c>
      <c r="M7" s="59"/>
      <c r="N7" s="75"/>
    </row>
    <row r="8" spans="1:14" s="18" customFormat="1" ht="21.75" customHeight="1">
      <c r="A8" s="36" t="s">
        <v>1</v>
      </c>
      <c r="B8" s="39"/>
      <c r="C8" s="38">
        <f>SUM(C9:C20)</f>
        <v>15535</v>
      </c>
      <c r="D8" s="38"/>
      <c r="E8" s="39">
        <f>F8+G8</f>
        <v>2131</v>
      </c>
      <c r="F8" s="39">
        <f>SUM(F9:F20)</f>
        <v>1191</v>
      </c>
      <c r="G8" s="39">
        <f>SUM(G9:G20)</f>
        <v>940</v>
      </c>
      <c r="H8" s="37">
        <f>SUM(H9:H20)</f>
        <v>14811</v>
      </c>
      <c r="I8" s="38"/>
      <c r="J8" s="39">
        <f>K8+L8</f>
        <v>1793</v>
      </c>
      <c r="K8" s="39">
        <f>SUM(K9:K20)</f>
        <v>1027</v>
      </c>
      <c r="L8" s="39">
        <f>SUM(L9:L20)</f>
        <v>766</v>
      </c>
      <c r="M8" s="16" t="s">
        <v>49</v>
      </c>
      <c r="N8" s="17"/>
    </row>
    <row r="9" spans="1:14" s="22" customFormat="1" ht="19.5" customHeight="1">
      <c r="A9" s="19" t="s">
        <v>6</v>
      </c>
      <c r="B9" s="43"/>
      <c r="C9" s="41">
        <v>770</v>
      </c>
      <c r="D9" s="41"/>
      <c r="E9" s="42">
        <f>SUM(F9:G9)</f>
        <v>599</v>
      </c>
      <c r="F9" s="43">
        <v>477</v>
      </c>
      <c r="G9" s="43">
        <v>122</v>
      </c>
      <c r="H9" s="40">
        <v>753</v>
      </c>
      <c r="I9" s="41"/>
      <c r="J9" s="42">
        <f>SUM(K9:L9)</f>
        <v>516</v>
      </c>
      <c r="K9" s="43">
        <v>428</v>
      </c>
      <c r="L9" s="43">
        <v>88</v>
      </c>
      <c r="M9" s="20" t="s">
        <v>11</v>
      </c>
      <c r="N9" s="21"/>
    </row>
    <row r="10" spans="1:14" s="22" customFormat="1" ht="19.5" customHeight="1">
      <c r="A10" s="19" t="s">
        <v>0</v>
      </c>
      <c r="B10" s="43"/>
      <c r="C10" s="41">
        <v>3503</v>
      </c>
      <c r="D10" s="41"/>
      <c r="E10" s="42">
        <f t="shared" ref="E10:E19" si="0">SUM(F10:G10)</f>
        <v>18</v>
      </c>
      <c r="F10" s="43">
        <v>11</v>
      </c>
      <c r="G10" s="43">
        <v>7</v>
      </c>
      <c r="H10" s="40">
        <v>3270</v>
      </c>
      <c r="I10" s="41"/>
      <c r="J10" s="42">
        <f t="shared" ref="J10:J19" si="1">SUM(K10:L10)</f>
        <v>2</v>
      </c>
      <c r="K10" s="43">
        <v>2</v>
      </c>
      <c r="L10" s="43">
        <v>0</v>
      </c>
      <c r="M10" s="20" t="s">
        <v>3</v>
      </c>
      <c r="N10" s="21"/>
    </row>
    <row r="11" spans="1:14" s="22" customFormat="1" ht="19.5" customHeight="1">
      <c r="A11" s="19" t="s">
        <v>10</v>
      </c>
      <c r="B11" s="43"/>
      <c r="C11" s="41">
        <v>662</v>
      </c>
      <c r="D11" s="41"/>
      <c r="E11" s="42">
        <f t="shared" si="0"/>
        <v>27</v>
      </c>
      <c r="F11" s="43">
        <v>22</v>
      </c>
      <c r="G11" s="43">
        <v>5</v>
      </c>
      <c r="H11" s="40">
        <v>537</v>
      </c>
      <c r="I11" s="41"/>
      <c r="J11" s="42">
        <f t="shared" si="1"/>
        <v>24</v>
      </c>
      <c r="K11" s="43">
        <v>21</v>
      </c>
      <c r="L11" s="43">
        <v>3</v>
      </c>
      <c r="M11" s="20" t="s">
        <v>16</v>
      </c>
      <c r="N11" s="21"/>
    </row>
    <row r="12" spans="1:14" s="22" customFormat="1" ht="19.5" customHeight="1">
      <c r="A12" s="19" t="s">
        <v>4</v>
      </c>
      <c r="B12" s="43"/>
      <c r="C12" s="41">
        <v>2038</v>
      </c>
      <c r="D12" s="41"/>
      <c r="E12" s="42">
        <f t="shared" si="0"/>
        <v>4</v>
      </c>
      <c r="F12" s="43">
        <v>0</v>
      </c>
      <c r="G12" s="43">
        <v>4</v>
      </c>
      <c r="H12" s="40">
        <v>2230</v>
      </c>
      <c r="I12" s="41"/>
      <c r="J12" s="42">
        <f t="shared" si="1"/>
        <v>2</v>
      </c>
      <c r="K12" s="43">
        <v>2</v>
      </c>
      <c r="L12" s="43">
        <v>0</v>
      </c>
      <c r="M12" s="20" t="s">
        <v>8</v>
      </c>
      <c r="N12" s="21"/>
    </row>
    <row r="13" spans="1:14" s="22" customFormat="1" ht="19.5" customHeight="1">
      <c r="A13" s="19" t="s">
        <v>14</v>
      </c>
      <c r="B13" s="43"/>
      <c r="C13" s="41">
        <v>417</v>
      </c>
      <c r="D13" s="41"/>
      <c r="E13" s="42">
        <f t="shared" si="0"/>
        <v>322</v>
      </c>
      <c r="F13" s="43">
        <v>77</v>
      </c>
      <c r="G13" s="43">
        <v>245</v>
      </c>
      <c r="H13" s="40">
        <v>361</v>
      </c>
      <c r="I13" s="41"/>
      <c r="J13" s="42">
        <f t="shared" si="1"/>
        <v>335</v>
      </c>
      <c r="K13" s="43">
        <v>73</v>
      </c>
      <c r="L13" s="43">
        <v>262</v>
      </c>
      <c r="M13" s="20" t="s">
        <v>61</v>
      </c>
      <c r="N13" s="21"/>
    </row>
    <row r="14" spans="1:14" s="22" customFormat="1" ht="19.5" customHeight="1">
      <c r="A14" s="19" t="s">
        <v>2</v>
      </c>
      <c r="B14" s="43"/>
      <c r="C14" s="41">
        <v>2105</v>
      </c>
      <c r="D14" s="41"/>
      <c r="E14" s="42">
        <f t="shared" si="0"/>
        <v>225</v>
      </c>
      <c r="F14" s="43">
        <v>169</v>
      </c>
      <c r="G14" s="43">
        <v>56</v>
      </c>
      <c r="H14" s="40">
        <v>2007</v>
      </c>
      <c r="I14" s="41"/>
      <c r="J14" s="42">
        <f t="shared" si="1"/>
        <v>182</v>
      </c>
      <c r="K14" s="43">
        <v>138</v>
      </c>
      <c r="L14" s="43">
        <v>44</v>
      </c>
      <c r="M14" s="20" t="s">
        <v>5</v>
      </c>
      <c r="N14" s="21"/>
    </row>
    <row r="15" spans="1:14" s="22" customFormat="1" ht="19.5" customHeight="1">
      <c r="A15" s="19" t="s">
        <v>18</v>
      </c>
      <c r="B15" s="43"/>
      <c r="C15" s="41">
        <v>279</v>
      </c>
      <c r="D15" s="41"/>
      <c r="E15" s="42">
        <f t="shared" si="0"/>
        <v>314</v>
      </c>
      <c r="F15" s="43">
        <v>125</v>
      </c>
      <c r="G15" s="43">
        <v>189</v>
      </c>
      <c r="H15" s="40">
        <v>240</v>
      </c>
      <c r="I15" s="41"/>
      <c r="J15" s="42">
        <f t="shared" si="1"/>
        <v>219</v>
      </c>
      <c r="K15" s="43">
        <v>74</v>
      </c>
      <c r="L15" s="43">
        <v>145</v>
      </c>
      <c r="M15" s="20" t="s">
        <v>21</v>
      </c>
      <c r="N15" s="21"/>
    </row>
    <row r="16" spans="1:14" s="22" customFormat="1" ht="19.5" customHeight="1">
      <c r="A16" s="44" t="s">
        <v>20</v>
      </c>
      <c r="B16" s="43"/>
      <c r="C16" s="41">
        <v>86</v>
      </c>
      <c r="D16" s="41"/>
      <c r="E16" s="42">
        <f t="shared" si="0"/>
        <v>0</v>
      </c>
      <c r="F16" s="43">
        <v>0</v>
      </c>
      <c r="G16" s="43">
        <v>0</v>
      </c>
      <c r="H16" s="40">
        <v>71</v>
      </c>
      <c r="I16" s="41"/>
      <c r="J16" s="42">
        <f t="shared" si="1"/>
        <v>0</v>
      </c>
      <c r="K16" s="43">
        <v>0</v>
      </c>
      <c r="L16" s="43">
        <v>0</v>
      </c>
      <c r="M16" s="20" t="s">
        <v>50</v>
      </c>
      <c r="N16" s="21"/>
    </row>
    <row r="17" spans="1:14" s="22" customFormat="1" ht="19.5" customHeight="1">
      <c r="A17" s="19" t="s">
        <v>12</v>
      </c>
      <c r="B17" s="43"/>
      <c r="C17" s="41">
        <v>455</v>
      </c>
      <c r="D17" s="41"/>
      <c r="E17" s="42">
        <f t="shared" si="0"/>
        <v>22</v>
      </c>
      <c r="F17" s="43">
        <v>13</v>
      </c>
      <c r="G17" s="43">
        <v>9</v>
      </c>
      <c r="H17" s="40">
        <v>472</v>
      </c>
      <c r="I17" s="41"/>
      <c r="J17" s="42">
        <f t="shared" si="1"/>
        <v>12</v>
      </c>
      <c r="K17" s="43">
        <v>6</v>
      </c>
      <c r="L17" s="43">
        <v>6</v>
      </c>
      <c r="M17" s="20" t="s">
        <v>13</v>
      </c>
      <c r="N17" s="21"/>
    </row>
    <row r="18" spans="1:14" s="22" customFormat="1" ht="19.5" customHeight="1">
      <c r="A18" s="19" t="s">
        <v>17</v>
      </c>
      <c r="B18" s="43"/>
      <c r="C18" s="41">
        <v>518</v>
      </c>
      <c r="D18" s="41"/>
      <c r="E18" s="42">
        <f t="shared" si="0"/>
        <v>0</v>
      </c>
      <c r="F18" s="43">
        <v>0</v>
      </c>
      <c r="G18" s="43">
        <v>0</v>
      </c>
      <c r="H18" s="40">
        <v>516</v>
      </c>
      <c r="I18" s="41"/>
      <c r="J18" s="42">
        <f t="shared" si="1"/>
        <v>0</v>
      </c>
      <c r="K18" s="43">
        <v>0</v>
      </c>
      <c r="L18" s="43">
        <v>0</v>
      </c>
      <c r="M18" s="20" t="s">
        <v>19</v>
      </c>
      <c r="N18" s="21"/>
    </row>
    <row r="19" spans="1:14" s="22" customFormat="1" ht="19.5" customHeight="1">
      <c r="A19" s="45" t="s">
        <v>27</v>
      </c>
      <c r="B19" s="43"/>
      <c r="C19" s="41">
        <v>1655</v>
      </c>
      <c r="D19" s="46"/>
      <c r="E19" s="42">
        <f t="shared" si="0"/>
        <v>3</v>
      </c>
      <c r="F19" s="43">
        <v>1</v>
      </c>
      <c r="G19" s="43">
        <v>2</v>
      </c>
      <c r="H19" s="40">
        <v>1787</v>
      </c>
      <c r="I19" s="46"/>
      <c r="J19" s="42">
        <f t="shared" si="1"/>
        <v>1</v>
      </c>
      <c r="K19" s="43">
        <v>1</v>
      </c>
      <c r="L19" s="43">
        <v>0</v>
      </c>
      <c r="M19" s="20" t="s">
        <v>9</v>
      </c>
      <c r="N19" s="21"/>
    </row>
    <row r="20" spans="1:14" s="22" customFormat="1" ht="19.5" customHeight="1">
      <c r="A20" s="23" t="s">
        <v>7</v>
      </c>
      <c r="B20" s="43"/>
      <c r="C20" s="43">
        <v>3047</v>
      </c>
      <c r="D20" s="46"/>
      <c r="E20" s="41">
        <f>F20+G20</f>
        <v>597</v>
      </c>
      <c r="F20" s="41">
        <f>SUM(F21:F33)</f>
        <v>296</v>
      </c>
      <c r="G20" s="47">
        <f>SUM(G21:G33)</f>
        <v>301</v>
      </c>
      <c r="H20" s="43">
        <v>2567</v>
      </c>
      <c r="I20" s="46"/>
      <c r="J20" s="41">
        <f>K20+L20</f>
        <v>500</v>
      </c>
      <c r="K20" s="41">
        <v>282</v>
      </c>
      <c r="L20" s="41">
        <v>218</v>
      </c>
      <c r="M20" s="20" t="s">
        <v>24</v>
      </c>
      <c r="N20" s="21"/>
    </row>
    <row r="21" spans="1:14" s="24" customFormat="1" ht="19.5" customHeight="1">
      <c r="A21" s="1" t="s">
        <v>25</v>
      </c>
      <c r="B21" s="43"/>
      <c r="C21" s="41">
        <v>105</v>
      </c>
      <c r="D21" s="48"/>
      <c r="E21" s="49">
        <f>SUM(F21:G21)</f>
        <v>5</v>
      </c>
      <c r="F21" s="49">
        <v>4</v>
      </c>
      <c r="G21" s="49">
        <v>1</v>
      </c>
      <c r="H21" s="40">
        <v>29</v>
      </c>
      <c r="I21" s="48"/>
      <c r="J21" s="49">
        <f>SUM(K21:L21)</f>
        <v>0</v>
      </c>
      <c r="K21" s="43">
        <v>0</v>
      </c>
      <c r="L21" s="43">
        <v>0</v>
      </c>
      <c r="M21" s="50" t="s">
        <v>26</v>
      </c>
      <c r="N21" s="25"/>
    </row>
    <row r="22" spans="1:14" ht="19.5" customHeight="1">
      <c r="A22" s="1" t="s">
        <v>28</v>
      </c>
      <c r="B22" s="43"/>
      <c r="C22" s="41">
        <v>70</v>
      </c>
      <c r="D22" s="51"/>
      <c r="E22" s="49">
        <f t="shared" ref="E22:E33" si="2">SUM(F22:G22)</f>
        <v>26</v>
      </c>
      <c r="F22" s="49">
        <v>2</v>
      </c>
      <c r="G22" s="49">
        <v>24</v>
      </c>
      <c r="H22" s="40">
        <v>36</v>
      </c>
      <c r="I22" s="51"/>
      <c r="J22" s="49">
        <f t="shared" ref="J22:J33" si="3">SUM(K22:L22)</f>
        <v>16</v>
      </c>
      <c r="K22" s="43">
        <v>4</v>
      </c>
      <c r="L22" s="43">
        <v>12</v>
      </c>
      <c r="M22" s="50" t="s">
        <v>29</v>
      </c>
    </row>
    <row r="23" spans="1:14" ht="19.5" customHeight="1">
      <c r="A23" s="1" t="s">
        <v>31</v>
      </c>
      <c r="B23" s="48"/>
      <c r="C23" s="41">
        <v>54</v>
      </c>
      <c r="D23" s="51"/>
      <c r="E23" s="49">
        <f t="shared" si="2"/>
        <v>47</v>
      </c>
      <c r="F23" s="49">
        <v>38</v>
      </c>
      <c r="G23" s="49">
        <v>9</v>
      </c>
      <c r="H23" s="40">
        <v>55</v>
      </c>
      <c r="I23" s="51"/>
      <c r="J23" s="49">
        <f t="shared" si="3"/>
        <v>51</v>
      </c>
      <c r="K23" s="43">
        <v>44</v>
      </c>
      <c r="L23" s="43">
        <v>7</v>
      </c>
      <c r="M23" s="50" t="s">
        <v>32</v>
      </c>
    </row>
    <row r="24" spans="1:14" ht="19.5" customHeight="1">
      <c r="A24" s="1" t="s">
        <v>33</v>
      </c>
      <c r="B24" s="48"/>
      <c r="C24" s="41">
        <v>71</v>
      </c>
      <c r="D24" s="51"/>
      <c r="E24" s="49">
        <f t="shared" si="2"/>
        <v>91</v>
      </c>
      <c r="F24" s="49">
        <v>47</v>
      </c>
      <c r="G24" s="49">
        <v>44</v>
      </c>
      <c r="H24" s="40">
        <v>58</v>
      </c>
      <c r="I24" s="51"/>
      <c r="J24" s="49">
        <f t="shared" si="3"/>
        <v>59</v>
      </c>
      <c r="K24" s="43">
        <v>28</v>
      </c>
      <c r="L24" s="43">
        <v>31</v>
      </c>
      <c r="M24" s="50" t="s">
        <v>34</v>
      </c>
    </row>
    <row r="25" spans="1:14" ht="19.5" customHeight="1">
      <c r="A25" s="1" t="s">
        <v>23</v>
      </c>
      <c r="B25" s="48"/>
      <c r="C25" s="41">
        <v>306</v>
      </c>
      <c r="D25" s="51"/>
      <c r="E25" s="49">
        <f t="shared" si="2"/>
        <v>0</v>
      </c>
      <c r="F25" s="49">
        <v>0</v>
      </c>
      <c r="G25" s="49">
        <v>0</v>
      </c>
      <c r="H25" s="40">
        <v>246</v>
      </c>
      <c r="I25" s="51"/>
      <c r="J25" s="49">
        <f t="shared" si="3"/>
        <v>1</v>
      </c>
      <c r="K25" s="43">
        <v>0</v>
      </c>
      <c r="L25" s="43">
        <v>1</v>
      </c>
      <c r="M25" s="50" t="s">
        <v>35</v>
      </c>
    </row>
    <row r="26" spans="1:14" ht="19.5" customHeight="1">
      <c r="A26" s="1" t="s">
        <v>22</v>
      </c>
      <c r="B26" s="48"/>
      <c r="C26" s="41">
        <v>308</v>
      </c>
      <c r="D26" s="51"/>
      <c r="E26" s="49">
        <f t="shared" si="2"/>
        <v>38</v>
      </c>
      <c r="F26" s="49">
        <v>6</v>
      </c>
      <c r="G26" s="49">
        <v>32</v>
      </c>
      <c r="H26" s="40">
        <v>213</v>
      </c>
      <c r="I26" s="51"/>
      <c r="J26" s="49">
        <f t="shared" si="3"/>
        <v>15</v>
      </c>
      <c r="K26" s="43">
        <v>6</v>
      </c>
      <c r="L26" s="43">
        <v>9</v>
      </c>
      <c r="M26" s="50" t="s">
        <v>36</v>
      </c>
    </row>
    <row r="27" spans="1:14" ht="19.5" customHeight="1">
      <c r="A27" s="1" t="s">
        <v>30</v>
      </c>
      <c r="B27" s="48"/>
      <c r="C27" s="41">
        <v>141</v>
      </c>
      <c r="D27" s="51"/>
      <c r="E27" s="49">
        <f t="shared" si="2"/>
        <v>2</v>
      </c>
      <c r="F27" s="49">
        <v>2</v>
      </c>
      <c r="G27" s="49">
        <v>0</v>
      </c>
      <c r="H27" s="40">
        <v>92</v>
      </c>
      <c r="I27" s="51"/>
      <c r="J27" s="49">
        <f t="shared" si="3"/>
        <v>2</v>
      </c>
      <c r="K27" s="43">
        <v>0</v>
      </c>
      <c r="L27" s="43">
        <v>2</v>
      </c>
      <c r="M27" s="50" t="s">
        <v>37</v>
      </c>
    </row>
    <row r="28" spans="1:14" ht="19.5" customHeight="1">
      <c r="A28" s="1" t="s">
        <v>38</v>
      </c>
      <c r="B28" s="48"/>
      <c r="C28" s="41">
        <v>65</v>
      </c>
      <c r="D28" s="51"/>
      <c r="E28" s="49">
        <f t="shared" si="2"/>
        <v>39</v>
      </c>
      <c r="F28" s="49">
        <v>11</v>
      </c>
      <c r="G28" s="49">
        <v>28</v>
      </c>
      <c r="H28" s="40">
        <v>87</v>
      </c>
      <c r="I28" s="51"/>
      <c r="J28" s="49">
        <f t="shared" si="3"/>
        <v>43</v>
      </c>
      <c r="K28" s="43">
        <v>9</v>
      </c>
      <c r="L28" s="43">
        <v>34</v>
      </c>
      <c r="M28" s="50" t="s">
        <v>39</v>
      </c>
    </row>
    <row r="29" spans="1:14" ht="19.5" customHeight="1">
      <c r="A29" s="1" t="s">
        <v>40</v>
      </c>
      <c r="B29" s="48"/>
      <c r="C29" s="41">
        <v>52</v>
      </c>
      <c r="D29" s="51"/>
      <c r="E29" s="49">
        <f t="shared" si="2"/>
        <v>1</v>
      </c>
      <c r="F29" s="49">
        <v>1</v>
      </c>
      <c r="G29" s="49">
        <v>0</v>
      </c>
      <c r="H29" s="40">
        <v>28</v>
      </c>
      <c r="I29" s="51"/>
      <c r="J29" s="49">
        <f t="shared" si="3"/>
        <v>0</v>
      </c>
      <c r="K29" s="43">
        <v>0</v>
      </c>
      <c r="L29" s="43">
        <v>0</v>
      </c>
      <c r="M29" s="50" t="s">
        <v>41</v>
      </c>
    </row>
    <row r="30" spans="1:14" ht="19.5" customHeight="1">
      <c r="A30" s="1" t="s">
        <v>15</v>
      </c>
      <c r="B30" s="48"/>
      <c r="C30" s="41">
        <v>640</v>
      </c>
      <c r="D30" s="51"/>
      <c r="E30" s="49">
        <f t="shared" si="2"/>
        <v>120</v>
      </c>
      <c r="F30" s="49">
        <v>37</v>
      </c>
      <c r="G30" s="49">
        <v>83</v>
      </c>
      <c r="H30" s="40">
        <v>536</v>
      </c>
      <c r="I30" s="51"/>
      <c r="J30" s="49">
        <f t="shared" si="3"/>
        <v>77</v>
      </c>
      <c r="K30" s="43">
        <v>20</v>
      </c>
      <c r="L30" s="43">
        <v>57</v>
      </c>
      <c r="M30" s="50" t="s">
        <v>42</v>
      </c>
    </row>
    <row r="31" spans="1:14" ht="32.25" customHeight="1">
      <c r="A31" s="27" t="s">
        <v>43</v>
      </c>
      <c r="B31" s="48"/>
      <c r="C31" s="41">
        <v>37</v>
      </c>
      <c r="D31" s="51"/>
      <c r="E31" s="48">
        <f t="shared" si="2"/>
        <v>1</v>
      </c>
      <c r="F31" s="48">
        <v>1</v>
      </c>
      <c r="G31" s="48">
        <v>0</v>
      </c>
      <c r="H31" s="40">
        <v>39</v>
      </c>
      <c r="I31" s="51"/>
      <c r="J31" s="48">
        <f t="shared" si="3"/>
        <v>0</v>
      </c>
      <c r="K31" s="43">
        <v>0</v>
      </c>
      <c r="L31" s="43">
        <v>0</v>
      </c>
      <c r="M31" s="50" t="s">
        <v>44</v>
      </c>
    </row>
    <row r="32" spans="1:14" ht="19.5" customHeight="1">
      <c r="A32" s="1" t="s">
        <v>45</v>
      </c>
      <c r="B32" s="48"/>
      <c r="C32" s="41">
        <v>23</v>
      </c>
      <c r="D32" s="51"/>
      <c r="E32" s="49">
        <f t="shared" si="2"/>
        <v>8</v>
      </c>
      <c r="F32" s="49">
        <v>4</v>
      </c>
      <c r="G32" s="49">
        <v>4</v>
      </c>
      <c r="H32" s="40">
        <v>27</v>
      </c>
      <c r="I32" s="51"/>
      <c r="J32" s="49">
        <f t="shared" si="3"/>
        <v>6</v>
      </c>
      <c r="K32" s="43">
        <v>2</v>
      </c>
      <c r="L32" s="43">
        <v>4</v>
      </c>
      <c r="M32" s="50" t="s">
        <v>46</v>
      </c>
    </row>
    <row r="33" spans="1:13" ht="19.5" customHeight="1">
      <c r="A33" s="2" t="s">
        <v>7</v>
      </c>
      <c r="B33" s="54"/>
      <c r="C33" s="52">
        <v>1175</v>
      </c>
      <c r="D33" s="53"/>
      <c r="E33" s="49">
        <f t="shared" si="2"/>
        <v>219</v>
      </c>
      <c r="F33" s="55">
        <v>143</v>
      </c>
      <c r="G33" s="55">
        <v>76</v>
      </c>
      <c r="H33" s="40">
        <v>1121</v>
      </c>
      <c r="I33" s="53"/>
      <c r="J33" s="49">
        <f t="shared" si="3"/>
        <v>230</v>
      </c>
      <c r="K33" s="43">
        <v>169</v>
      </c>
      <c r="L33" s="43">
        <v>61</v>
      </c>
      <c r="M33" s="56" t="s">
        <v>24</v>
      </c>
    </row>
    <row r="34" spans="1:13" ht="24" customHeight="1">
      <c r="A34" s="74" t="s">
        <v>63</v>
      </c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</row>
    <row r="35" spans="1:13" ht="14.25" customHeight="1">
      <c r="A35" s="57" t="s">
        <v>47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8" t="s">
        <v>48</v>
      </c>
    </row>
    <row r="36" spans="1:13" ht="12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9"/>
    </row>
  </sheetData>
  <mergeCells count="12">
    <mergeCell ref="A34:M34"/>
    <mergeCell ref="N4:N7"/>
    <mergeCell ref="C5:C6"/>
    <mergeCell ref="E5:G5"/>
    <mergeCell ref="H5:H6"/>
    <mergeCell ref="A1:M1"/>
    <mergeCell ref="A2:M2"/>
    <mergeCell ref="A4:A7"/>
    <mergeCell ref="C4:G4"/>
    <mergeCell ref="H4:L4"/>
    <mergeCell ref="M4:M7"/>
    <mergeCell ref="J5:L5"/>
  </mergeCells>
  <pageMargins left="0.7" right="0.7" top="0.75" bottom="0.75" header="0.3" footer="0.3"/>
  <pageSetup paperSize="9" scale="47" orientation="portrait" horizontalDpi="4294967295" verticalDpi="4294967295" r:id="rId1"/>
  <ignoredErrors>
    <ignoredError sqref="H8 K8:L8 C8 E9:E19 E21:E33" formulaRange="1"/>
    <ignoredError sqref="E20" formula="1" formulaRange="1"/>
    <ignoredError sqref="F20:K2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8.19</vt:lpstr>
      <vt:lpstr>'8.19'!Print_Area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2019-11-19T06:43:07Z</cp:lastPrinted>
  <dcterms:created xsi:type="dcterms:W3CDTF">2019-06-30T04:22:49Z</dcterms:created>
  <dcterms:modified xsi:type="dcterms:W3CDTF">2019-11-19T06:43:17Z</dcterms:modified>
</cp:coreProperties>
</file>