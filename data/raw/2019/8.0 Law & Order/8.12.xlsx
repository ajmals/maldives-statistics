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12" sheetId="12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21" i="12" l="1"/>
  <c r="AW22" i="12"/>
  <c r="AW23" i="12"/>
  <c r="AW24" i="12"/>
  <c r="AW25" i="12"/>
  <c r="AW26" i="12"/>
  <c r="AW27" i="12"/>
  <c r="AW28" i="12"/>
  <c r="AW29" i="12"/>
  <c r="AW30" i="12"/>
  <c r="AW31" i="12"/>
  <c r="AW20" i="12"/>
  <c r="E17" i="12" l="1"/>
  <c r="E16" i="12"/>
  <c r="E15" i="12"/>
  <c r="E14" i="12"/>
  <c r="E13" i="12"/>
  <c r="E12" i="12"/>
  <c r="E11" i="12"/>
  <c r="F10" i="12"/>
  <c r="E10" i="12"/>
  <c r="E9" i="12"/>
  <c r="E8" i="12"/>
  <c r="F7" i="12"/>
  <c r="E7" i="12"/>
  <c r="E6" i="12"/>
  <c r="D5" i="12"/>
  <c r="F15" i="12" s="1"/>
  <c r="C5" i="12"/>
  <c r="B5" i="12"/>
  <c r="F16" i="12" l="1"/>
  <c r="F5" i="12"/>
  <c r="E5" i="12"/>
  <c r="F17" i="12"/>
  <c r="F12" i="12"/>
  <c r="F13" i="12"/>
  <c r="F9" i="12"/>
  <c r="F14" i="12"/>
  <c r="F11" i="12"/>
  <c r="F6" i="12"/>
  <c r="F8" i="12"/>
</calcChain>
</file>

<file path=xl/sharedStrings.xml><?xml version="1.0" encoding="utf-8"?>
<sst xmlns="http://schemas.openxmlformats.org/spreadsheetml/2006/main" count="50" uniqueCount="40">
  <si>
    <t>Theft</t>
  </si>
  <si>
    <t>Total</t>
  </si>
  <si>
    <t>wlcmuj</t>
  </si>
  <si>
    <t>Traffic accidents</t>
  </si>
  <si>
    <t>ވައްކަން</t>
  </si>
  <si>
    <t>Drugs</t>
  </si>
  <si>
    <t>Assault</t>
  </si>
  <si>
    <t>Others</t>
  </si>
  <si>
    <t>މަސްތުވާތަކެތި</t>
  </si>
  <si>
    <t>Lost Items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</si>
  <si>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</si>
  <si>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</si>
  <si>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</si>
  <si>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</si>
  <si>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</si>
  <si>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</si>
  <si>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</si>
  <si>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</si>
  <si>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</si>
  <si>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</si>
  <si>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</si>
  <si>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</si>
  <si>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</si>
  <si>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</si>
  <si>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</si>
  <si>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</si>
  <si>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</si>
  <si>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</si>
  <si>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</si>
  <si>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</si>
  <si>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ވަގުފައިސާ</t>
  </si>
  <si>
    <t xml:space="preserve"> މައްސަލައިގެ ބާވަތް</t>
  </si>
  <si>
    <t>%change over 2017</t>
  </si>
  <si>
    <t xml:space="preserve">  ކުރީ އަހަރާއި  އަޅާބަލާއިރު  އިތުރުވި މިންވަރު</t>
  </si>
  <si>
    <t>އިންސައްތަ 2018</t>
  </si>
  <si>
    <t>Percentage share 2018</t>
  </si>
  <si>
    <t>Logged cases</t>
  </si>
  <si>
    <t>Completed cases</t>
  </si>
  <si>
    <t>ތާވަލު 8.12: ނިންމުނު މައްސަލަތައް، 2016- 2018</t>
  </si>
  <si>
    <t>Table  8.12: COMPLETED CASES BY TYPE, 2016 - 2018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</si>
</sst>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ourier"/>
      <family val="3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b/>
      <sz val="10"/>
      <color rgb="FFFF0000"/>
      <name val="Courier"/>
      <family val="3"/>
    </font>
    <font>
      <i/>
      <sz val="10"/>
      <name val="Courier"/>
      <family val="3"/>
    </font>
    <font>
      <sz val="8"/>
      <name val="A_Randhoo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6" fontId="16" fillId="0" borderId="0" applyFont="0" applyFill="0" applyBorder="0" applyAlignment="0" applyProtection="0"/>
    <xf numFmtId="9" fontId="17" fillId="0" borderId="0" applyFont="0" applyFill="0" applyBorder="0" applyAlignment="0" applyProtection="0"/>
    <xf numFmtId="167" fontId="17" fillId="0" borderId="0"/>
  </cellStyleXfs>
  <cellXfs count="42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4" fillId="2" borderId="0" xfId="0" applyNumberFormat="1" applyFont="1" applyFill="1" applyBorder="1" applyAlignment="1">
      <alignment vertical="center"/>
    </xf>
    <xf numFmtId="164" fontId="11" fillId="2" borderId="0" xfId="0" applyNumberFormat="1" applyFont="1" applyFill="1" applyBorder="1" applyAlignment="1">
      <alignment vertical="center"/>
    </xf>
    <xf numFmtId="166" fontId="12" fillId="2" borderId="0" xfId="1" applyNumberFormat="1" applyFont="1" applyFill="1" applyBorder="1" applyAlignment="1">
      <alignment horizontal="center"/>
    </xf>
    <xf numFmtId="3" fontId="11" fillId="2" borderId="0" xfId="1" applyNumberFormat="1" applyFont="1" applyFill="1" applyBorder="1" applyAlignment="1">
      <alignment horizontal="right" vertical="center"/>
    </xf>
    <xf numFmtId="164" fontId="8" fillId="2" borderId="0" xfId="0" applyNumberFormat="1" applyFont="1" applyFill="1" applyBorder="1" applyAlignment="1" applyProtection="1">
      <alignment horizontal="right" vertical="center"/>
    </xf>
    <xf numFmtId="167" fontId="14" fillId="2" borderId="0" xfId="1" applyNumberFormat="1" applyFont="1" applyFill="1" applyBorder="1" applyAlignment="1">
      <alignment horizontal="right"/>
    </xf>
    <xf numFmtId="164" fontId="6" fillId="2" borderId="3" xfId="0" applyNumberFormat="1" applyFont="1" applyFill="1" applyBorder="1" applyAlignment="1">
      <alignment horizontal="center" vertical="center" wrapText="1"/>
    </xf>
    <xf numFmtId="164" fontId="18" fillId="2" borderId="0" xfId="0" applyNumberFormat="1" applyFont="1" applyFill="1"/>
    <xf numFmtId="164" fontId="13" fillId="2" borderId="0" xfId="0" applyNumberFormat="1" applyFont="1" applyFill="1"/>
    <xf numFmtId="164" fontId="15" fillId="2" borderId="5" xfId="0" applyNumberFormat="1" applyFont="1" applyFill="1" applyBorder="1" applyAlignment="1" applyProtection="1">
      <alignment vertical="center"/>
    </xf>
    <xf numFmtId="164" fontId="11" fillId="2" borderId="0" xfId="0" applyNumberFormat="1" applyFont="1" applyFill="1" applyBorder="1"/>
    <xf numFmtId="164" fontId="12" fillId="2" borderId="0" xfId="0" applyNumberFormat="1" applyFont="1" applyFill="1" applyBorder="1"/>
    <xf numFmtId="164" fontId="19" fillId="2" borderId="0" xfId="0" applyNumberFormat="1" applyFont="1" applyFill="1" applyBorder="1" applyAlignment="1" applyProtection="1">
      <alignment horizontal="right" vertical="center"/>
    </xf>
    <xf numFmtId="164" fontId="22" fillId="2" borderId="0" xfId="0" applyNumberFormat="1" applyFont="1" applyFill="1"/>
    <xf numFmtId="164" fontId="11" fillId="2" borderId="4" xfId="0" applyNumberFormat="1" applyFont="1" applyFill="1" applyBorder="1" applyAlignment="1">
      <alignment vertical="center"/>
    </xf>
    <xf numFmtId="164" fontId="8" fillId="2" borderId="4" xfId="0" applyNumberFormat="1" applyFont="1" applyFill="1" applyBorder="1" applyAlignment="1" applyProtection="1">
      <alignment horizontal="right" vertical="center"/>
    </xf>
    <xf numFmtId="164" fontId="5" fillId="2" borderId="4" xfId="0" applyNumberFormat="1" applyFont="1" applyFill="1" applyBorder="1" applyAlignment="1">
      <alignment horizontal="center" vertical="center" wrapText="1"/>
    </xf>
    <xf numFmtId="164" fontId="21" fillId="2" borderId="0" xfId="0" applyNumberFormat="1" applyFont="1" applyFill="1"/>
    <xf numFmtId="164" fontId="4" fillId="2" borderId="3" xfId="0" applyNumberFormat="1" applyFont="1" applyFill="1" applyBorder="1"/>
    <xf numFmtId="166" fontId="4" fillId="2" borderId="3" xfId="1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0" xfId="0" applyNumberFormat="1" applyFont="1" applyFill="1" applyBorder="1" applyAlignment="1">
      <alignment horizontal="center" vertical="center"/>
    </xf>
    <xf numFmtId="164" fontId="10" fillId="2" borderId="6" xfId="0" applyNumberFormat="1" applyFont="1" applyFill="1" applyBorder="1" applyAlignment="1" applyProtection="1">
      <alignment horizontal="right" vertical="center"/>
    </xf>
    <xf numFmtId="166" fontId="11" fillId="2" borderId="0" xfId="1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/>
    <xf numFmtId="166" fontId="11" fillId="2" borderId="4" xfId="1" applyNumberFormat="1" applyFont="1" applyFill="1" applyBorder="1" applyAlignment="1">
      <alignment horizontal="center" vertical="center"/>
    </xf>
    <xf numFmtId="3" fontId="14" fillId="2" borderId="0" xfId="0" applyNumberFormat="1" applyFont="1" applyFill="1" applyAlignment="1">
      <alignment horizontal="right" vertical="center" indent="2"/>
    </xf>
    <xf numFmtId="164" fontId="23" fillId="2" borderId="5" xfId="0" applyNumberFormat="1" applyFont="1" applyFill="1" applyBorder="1" applyAlignment="1">
      <alignment horizontal="right" vertical="center"/>
    </xf>
    <xf numFmtId="164" fontId="7" fillId="2" borderId="0" xfId="0" applyNumberFormat="1" applyFont="1" applyFill="1" applyAlignment="1">
      <alignment horizontal="right"/>
    </xf>
    <xf numFmtId="166" fontId="3" fillId="2" borderId="0" xfId="1" applyNumberFormat="1" applyFont="1" applyFill="1" applyBorder="1" applyAlignment="1" applyProtection="1">
      <alignment horizontal="right" vertical="center"/>
      <protection locked="0"/>
    </xf>
    <xf numFmtId="3" fontId="9" fillId="2" borderId="4" xfId="0" applyNumberFormat="1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 vertical="center"/>
    </xf>
    <xf numFmtId="164" fontId="8" fillId="2" borderId="4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top"/>
    </xf>
    <xf numFmtId="164" fontId="20" fillId="2" borderId="3" xfId="0" applyNumberFormat="1" applyFont="1" applyFill="1" applyBorder="1" applyAlignment="1" applyProtection="1">
      <alignment horizontal="righ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164" fontId="5" fillId="2" borderId="4" xfId="0" applyNumberFormat="1" applyFont="1" applyFill="1" applyBorder="1" applyAlignment="1">
      <alignment horizontal="left" vertical="center" wrapText="1"/>
    </xf>
  </cellXfs>
  <cellStyles count="5">
    <cellStyle name="Comma" xfId="1" builtinId="3"/>
    <cellStyle name="Comma 2" xfId="2"/>
    <cellStyle name="Normal" xfId="0" builtinId="0"/>
    <cellStyle name="Normal 3" xfId="4"/>
    <cellStyle name="Percent 2" xfId="3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'8.12'!$AV$19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'8.12'!$AU$20:$AU$31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'8.12'!$AV$20:$AV$31</c:f>
              <c:numCache>
                <c:formatCode>#,##0</c:formatCode>
                <c:ptCount val="12"/>
                <c:pt idx="0">
                  <c:v>3270</c:v>
                </c:pt>
                <c:pt idx="1">
                  <c:v>2007</c:v>
                </c:pt>
                <c:pt idx="2">
                  <c:v>2230</c:v>
                </c:pt>
                <c:pt idx="3">
                  <c:v>1787</c:v>
                </c:pt>
                <c:pt idx="4">
                  <c:v>753</c:v>
                </c:pt>
                <c:pt idx="5">
                  <c:v>472</c:v>
                </c:pt>
                <c:pt idx="6">
                  <c:v>537</c:v>
                </c:pt>
                <c:pt idx="7">
                  <c:v>361</c:v>
                </c:pt>
                <c:pt idx="8">
                  <c:v>516</c:v>
                </c:pt>
                <c:pt idx="9">
                  <c:v>240</c:v>
                </c:pt>
                <c:pt idx="10">
                  <c:v>71</c:v>
                </c:pt>
                <c:pt idx="11">
                  <c:v>2567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7-49AF-AB8D-510F36464AF3}"/>
            </c:ext>
          </c:extLst>
        </c:ser>
        <c:ser>
          <c:idx val="1"/>
          <c:order val="1"/>
          <c:tx>
            <c:strRef>
              <c:f>'8.12'!$AW$19</c:f>
              <c:strCache>
                <c:ptCount val="1"/>
                <c:pt idx="0">
                  <c:v>Completed cases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'8.12'!$AU$20:$AU$31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  <c:pt idx="11">
                  <c:v>Others</c:v>
                </c:pt>
              </c:strCache>
            </c:strRef>
          </c:cat>
          <c:val>
            <c:numRef>
              <c:f>'8.12'!$AW$20:$AW$31</c:f>
              <c:numCache>
                <c:formatCode>_-* #,##0_-;\-* #,##0_-;_-* "-"??_-;_-@_-</c:formatCode>
                <c:ptCount val="12"/>
                <c:pt idx="0">
                  <c:v>3355</c:v>
                </c:pt>
                <c:pt idx="1">
                  <c:v>1936</c:v>
                </c:pt>
                <c:pt idx="2">
                  <c:v>2405</c:v>
                </c:pt>
                <c:pt idx="3">
                  <c:v>1790</c:v>
                </c:pt>
                <c:pt idx="4">
                  <c:v>745</c:v>
                </c:pt>
                <c:pt idx="5">
                  <c:v>451</c:v>
                </c:pt>
                <c:pt idx="6">
                  <c:v>513</c:v>
                </c:pt>
                <c:pt idx="7">
                  <c:v>346</c:v>
                </c:pt>
                <c:pt idx="8">
                  <c:v>506</c:v>
                </c:pt>
                <c:pt idx="9">
                  <c:v>218</c:v>
                </c:pt>
                <c:pt idx="10">
                  <c:v>59</c:v>
                </c:pt>
                <c:pt idx="11">
                  <c:v>2532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17-49AF-AB8D-510F36464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570374016"/>
        <c:axId val="570375552"/>
      </c:barChart>
      <c:catAx>
        <c:axId val="570374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570375552"/>
        <c:crosses val="autoZero"/>
        <c:auto val="1"/>
        <c:lblAlgn val="ctr"/>
        <c:lblOffset val="100"/>
        <c:noMultiLvlLbl val="0"/>
      </c:catAx>
      <c:valAx>
        <c:axId val="570375552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57037401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044373063475363"/>
          <c:y val="0.22859657286991969"/>
          <c:w val="0.37185165301445089"/>
          <c:h val="5.975775813993760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161926</xdr:colOff>
      <xdr:row>18</xdr:row>
      <xdr:rowOff>151244</xdr:rowOff>
    </xdr:from>
    <xdr:to>
      <xdr:col>6</xdr:col>
      <xdr:colOff>876300</xdr:colOff>
      <xdr:row>34</xdr:row>
      <xdr:rowOff>173355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19</xdr:row>
      <xdr:rowOff>114300</xdr:rowOff>
    </xdr:from>
    <xdr:to>
      <xdr:col>2</xdr:col>
      <xdr:colOff>0</xdr:colOff>
      <xdr:row>20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>
          <a:off x="1085850" y="4857750"/>
          <a:ext cx="2819400" cy="2438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1</xdr:col>
      <xdr:colOff>66676</xdr:colOff>
      <xdr:row>19</xdr:row>
      <xdr:rowOff>47625</xdr:rowOff>
    </xdr:from>
    <xdr:to>
      <xdr:col>6</xdr:col>
      <xdr:colOff>209550</xdr:colOff>
      <xdr:row>20</xdr:row>
      <xdr:rowOff>123825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>
          <a:off x="1152526" y="5000625"/>
          <a:ext cx="4295774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j-lt"/>
              <a:ea typeface="+mn-ea"/>
              <a:cs typeface="Consolas" pitchFamily="49" charset="0"/>
            </a:rPr>
            <a:t>Figure 8.18: Number of  logged cases and those completed by type, 2018</a:t>
          </a:r>
          <a:endParaRPr lang="en-US">
            <a:effectLst/>
            <a:latin typeface="+mj-lt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%20-%20DJA%20J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>
        <row r="5">
          <cell r="H5">
            <v>16362</v>
          </cell>
        </row>
      </sheetData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>
        <row r="3">
          <cell r="G3">
            <v>2016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1">
          <cell r="W11" t="str">
            <v>Male</v>
          </cell>
        </row>
      </sheetData>
      <sheetData sheetId="15" refreshError="1"/>
      <sheetData sheetId="16" refreshError="1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"/>
      <sheetName val="8.22"/>
      <sheetName val="8.23"/>
      <sheetName val="8.24"/>
      <sheetName val="8.25"/>
      <sheetName val="8.30"/>
      <sheetName val="8.31"/>
      <sheetName val="8.56"/>
      <sheetName val="8.57"/>
      <sheetName val="8.20 work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Z14">
            <v>2010</v>
          </cell>
        </row>
      </sheetData>
      <sheetData sheetId="6">
        <row r="4">
          <cell r="U4" t="str">
            <v xml:space="preserve">Male </v>
          </cell>
        </row>
      </sheetData>
      <sheetData sheetId="7">
        <row r="14">
          <cell r="N14">
            <v>2016</v>
          </cell>
          <cell r="O14"/>
          <cell r="P14">
            <v>2017</v>
          </cell>
          <cell r="Q14"/>
          <cell r="R14">
            <v>2018</v>
          </cell>
          <cell r="S14"/>
        </row>
        <row r="15">
          <cell r="N15" t="str">
            <v>Male</v>
          </cell>
          <cell r="O15" t="str">
            <v>Female</v>
          </cell>
          <cell r="P15" t="str">
            <v>Male</v>
          </cell>
          <cell r="Q15" t="str">
            <v>Female</v>
          </cell>
          <cell r="R15" t="str">
            <v>Male</v>
          </cell>
          <cell r="S15" t="str">
            <v>Female</v>
          </cell>
        </row>
        <row r="16">
          <cell r="M16" t="str">
            <v xml:space="preserve">Above 18 </v>
          </cell>
          <cell r="N16">
            <v>1356</v>
          </cell>
          <cell r="O16">
            <v>52</v>
          </cell>
          <cell r="P16">
            <v>1475</v>
          </cell>
          <cell r="Q16">
            <v>61</v>
          </cell>
          <cell r="R16">
            <v>53</v>
          </cell>
          <cell r="S16">
            <v>987</v>
          </cell>
        </row>
        <row r="17">
          <cell r="M17" t="str">
            <v xml:space="preserve">Below 18 </v>
          </cell>
          <cell r="N17">
            <v>108</v>
          </cell>
          <cell r="O17">
            <v>7</v>
          </cell>
          <cell r="P17">
            <v>23</v>
          </cell>
          <cell r="Q17">
            <v>3</v>
          </cell>
          <cell r="R17">
            <v>1</v>
          </cell>
          <cell r="S17">
            <v>10</v>
          </cell>
        </row>
      </sheetData>
      <sheetData sheetId="8">
        <row r="5">
          <cell r="B5">
            <v>2016</v>
          </cell>
          <cell r="C5">
            <v>2017</v>
          </cell>
          <cell r="D5">
            <v>2018</v>
          </cell>
        </row>
        <row r="7">
          <cell r="A7" t="str">
            <v>Below 18</v>
          </cell>
          <cell r="B7">
            <v>51</v>
          </cell>
          <cell r="C7">
            <v>34</v>
          </cell>
          <cell r="D7">
            <v>14</v>
          </cell>
        </row>
        <row r="8">
          <cell r="A8" t="str">
            <v>18-25</v>
          </cell>
          <cell r="B8">
            <v>682</v>
          </cell>
          <cell r="C8">
            <v>708</v>
          </cell>
          <cell r="D8">
            <v>441</v>
          </cell>
        </row>
        <row r="9">
          <cell r="A9" t="str">
            <v>26-35</v>
          </cell>
          <cell r="B9">
            <v>550</v>
          </cell>
          <cell r="C9">
            <v>554</v>
          </cell>
          <cell r="D9">
            <v>373</v>
          </cell>
        </row>
        <row r="10">
          <cell r="A10" t="str">
            <v>36-45</v>
          </cell>
          <cell r="B10">
            <v>193</v>
          </cell>
          <cell r="C10">
            <v>204</v>
          </cell>
          <cell r="D10">
            <v>175</v>
          </cell>
        </row>
        <row r="11">
          <cell r="A11" t="str">
            <v>46-55</v>
          </cell>
          <cell r="B11">
            <v>42</v>
          </cell>
          <cell r="C11">
            <v>58</v>
          </cell>
          <cell r="D11">
            <v>43</v>
          </cell>
        </row>
        <row r="12">
          <cell r="A12" t="str">
            <v>Above 55</v>
          </cell>
          <cell r="B12">
            <v>5</v>
          </cell>
          <cell r="C12">
            <v>4</v>
          </cell>
          <cell r="D12">
            <v>5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X31"/>
  <sheetViews>
    <sheetView tabSelected="1" workbookViewId="0">
      <selection activeCell="Q27" sqref="Q27"/>
    </sheetView>
  </sheetViews>
  <sheetFormatPr defaultColWidth="9.140625" defaultRowHeight="15" x14ac:dyDescent="0.25"/>
  <cols>
    <col min="1" max="1" width="16.28515625" style="1" customWidth="1"/>
    <col min="2" max="4" width="10.5703125" style="1" bestFit="1" customWidth="1"/>
    <col min="5" max="5" width="16.42578125" style="1" customWidth="1"/>
    <col min="6" max="6" width="14.140625" style="1" customWidth="1"/>
    <col min="7" max="7" width="14.7109375" style="1" customWidth="1"/>
    <col min="8" max="8" width="1.28515625" style="1" customWidth="1"/>
    <col min="9" max="10" width="3.42578125" style="1" customWidth="1"/>
    <col min="11" max="11" width="7.85546875" style="1" customWidth="1"/>
    <col min="12" max="12" width="5.7109375" style="1" bestFit="1" customWidth="1"/>
    <col min="13" max="44" width="3.42578125" style="1" customWidth="1"/>
    <col min="45" max="16384" width="9.140625" style="1"/>
  </cols>
  <sheetData>
    <row r="1" spans="1:50" ht="21.75" x14ac:dyDescent="0.25">
      <c r="A1" s="37" t="s">
        <v>38</v>
      </c>
      <c r="B1" s="37"/>
      <c r="C1" s="37"/>
      <c r="D1" s="37"/>
      <c r="E1" s="37"/>
      <c r="F1" s="37"/>
      <c r="G1" s="37"/>
    </row>
    <row r="2" spans="1:50" ht="21.75" customHeight="1" x14ac:dyDescent="0.25">
      <c r="A2" s="38" t="s">
        <v>39</v>
      </c>
      <c r="B2" s="38"/>
      <c r="C2" s="38"/>
      <c r="D2" s="38"/>
      <c r="E2" s="38"/>
      <c r="F2" s="38"/>
      <c r="G2" s="38"/>
    </row>
    <row r="3" spans="1:50" ht="51.75" x14ac:dyDescent="0.25">
      <c r="A3" s="40" t="s">
        <v>28</v>
      </c>
      <c r="B3" s="34">
        <v>2016</v>
      </c>
      <c r="C3" s="34">
        <v>2017</v>
      </c>
      <c r="D3" s="34">
        <v>2018</v>
      </c>
      <c r="E3" s="9" t="s">
        <v>33</v>
      </c>
      <c r="F3" s="9" t="s">
        <v>34</v>
      </c>
      <c r="G3" s="39" t="s">
        <v>31</v>
      </c>
      <c r="AT3" s="2"/>
      <c r="AU3" s="2"/>
      <c r="AV3" s="2"/>
      <c r="AW3" s="2"/>
      <c r="AX3" s="2"/>
    </row>
    <row r="4" spans="1:50" ht="24" x14ac:dyDescent="0.25">
      <c r="A4" s="41"/>
      <c r="B4" s="35"/>
      <c r="C4" s="35"/>
      <c r="D4" s="35"/>
      <c r="E4" s="19" t="s">
        <v>32</v>
      </c>
      <c r="F4" s="19" t="s">
        <v>35</v>
      </c>
      <c r="G4" s="36"/>
      <c r="AS4" s="4"/>
      <c r="AT4" s="2"/>
      <c r="AU4" s="2"/>
      <c r="AV4" s="2"/>
      <c r="AW4" s="2"/>
      <c r="AX4" s="2"/>
    </row>
    <row r="5" spans="1:50" s="10" customFormat="1" ht="15.75" x14ac:dyDescent="0.2">
      <c r="A5" s="21" t="s">
        <v>1</v>
      </c>
      <c r="B5" s="22">
        <f t="shared" ref="B5:C5" si="0">SUM(B6:B17)</f>
        <v>18901</v>
      </c>
      <c r="C5" s="22">
        <f t="shared" si="0"/>
        <v>16626</v>
      </c>
      <c r="D5" s="22">
        <f>SUM(D6:D17)</f>
        <v>14856</v>
      </c>
      <c r="E5" s="23">
        <f>((D5-C5)/D5*100)</f>
        <v>-11.91437802907916</v>
      </c>
      <c r="F5" s="24">
        <f>D5/$D$5*100</f>
        <v>100</v>
      </c>
      <c r="G5" s="25" t="s">
        <v>2</v>
      </c>
      <c r="AS5" s="4"/>
      <c r="AT5" s="20"/>
      <c r="AU5" s="20"/>
      <c r="AV5" s="20"/>
      <c r="AW5" s="20"/>
      <c r="AX5" s="20"/>
    </row>
    <row r="6" spans="1:50" ht="18.75" x14ac:dyDescent="0.25">
      <c r="A6" s="13" t="s">
        <v>0</v>
      </c>
      <c r="B6" s="26">
        <v>4058</v>
      </c>
      <c r="C6" s="26">
        <v>3522</v>
      </c>
      <c r="D6" s="26">
        <v>3355</v>
      </c>
      <c r="E6" s="24">
        <f t="shared" ref="E6:E17" si="1">((D6-C6)/D6*100)</f>
        <v>-4.9776453055141578</v>
      </c>
      <c r="F6" s="24">
        <f t="shared" ref="F6:F17" si="2">D6/$D$5*100</f>
        <v>22.583467959073776</v>
      </c>
      <c r="G6" s="7" t="s">
        <v>4</v>
      </c>
      <c r="K6" s="10"/>
      <c r="AS6" s="4"/>
      <c r="AT6" s="20"/>
      <c r="AU6" s="2"/>
      <c r="AV6" s="2"/>
      <c r="AW6" s="2"/>
      <c r="AX6" s="2"/>
    </row>
    <row r="7" spans="1:50" ht="18.75" x14ac:dyDescent="0.25">
      <c r="A7" s="13" t="s">
        <v>16</v>
      </c>
      <c r="B7" s="26">
        <v>2336</v>
      </c>
      <c r="C7" s="26">
        <v>2108</v>
      </c>
      <c r="D7" s="26">
        <v>1936</v>
      </c>
      <c r="E7" s="24">
        <f t="shared" si="1"/>
        <v>-8.884297520661157</v>
      </c>
      <c r="F7" s="24">
        <f t="shared" si="2"/>
        <v>13.031771674744212</v>
      </c>
      <c r="G7" s="7" t="s">
        <v>29</v>
      </c>
      <c r="K7" s="10"/>
      <c r="AS7" s="4"/>
      <c r="AT7" s="20"/>
      <c r="AU7" s="2"/>
      <c r="AV7" s="2"/>
      <c r="AW7" s="2"/>
      <c r="AX7" s="2"/>
    </row>
    <row r="8" spans="1:50" ht="18.75" x14ac:dyDescent="0.25">
      <c r="A8" s="13" t="s">
        <v>5</v>
      </c>
      <c r="B8" s="26">
        <v>3410</v>
      </c>
      <c r="C8" s="26">
        <v>2903</v>
      </c>
      <c r="D8" s="26">
        <v>2405</v>
      </c>
      <c r="E8" s="24">
        <f t="shared" si="1"/>
        <v>-20.706860706860709</v>
      </c>
      <c r="F8" s="24">
        <f t="shared" si="2"/>
        <v>16.188745288099085</v>
      </c>
      <c r="G8" s="7" t="s">
        <v>8</v>
      </c>
      <c r="K8" s="10"/>
      <c r="AS8" s="4"/>
      <c r="AT8" s="20"/>
      <c r="AU8" s="2"/>
      <c r="AV8" s="2"/>
      <c r="AW8" s="2"/>
      <c r="AX8" s="2"/>
    </row>
    <row r="9" spans="1:50" ht="18.75" x14ac:dyDescent="0.25">
      <c r="A9" s="13" t="s">
        <v>25</v>
      </c>
      <c r="B9" s="26">
        <v>1850</v>
      </c>
      <c r="C9" s="26">
        <v>1659</v>
      </c>
      <c r="D9" s="26">
        <v>1790</v>
      </c>
      <c r="E9" s="24">
        <f t="shared" si="1"/>
        <v>7.3184357541899452</v>
      </c>
      <c r="F9" s="24">
        <f t="shared" si="2"/>
        <v>12.049003769520732</v>
      </c>
      <c r="G9" s="7" t="s">
        <v>10</v>
      </c>
      <c r="K9" s="10"/>
      <c r="AS9" s="4"/>
      <c r="AT9" s="20"/>
      <c r="AU9" s="2"/>
      <c r="AV9" s="2"/>
      <c r="AW9" s="2"/>
      <c r="AX9" s="2"/>
    </row>
    <row r="10" spans="1:50" ht="18.75" x14ac:dyDescent="0.25">
      <c r="A10" s="13" t="s">
        <v>6</v>
      </c>
      <c r="B10" s="26">
        <v>997</v>
      </c>
      <c r="C10" s="26">
        <v>820</v>
      </c>
      <c r="D10" s="26">
        <v>745</v>
      </c>
      <c r="E10" s="24">
        <f t="shared" si="1"/>
        <v>-10.067114093959731</v>
      </c>
      <c r="F10" s="24">
        <f t="shared" si="2"/>
        <v>5.0148088314485726</v>
      </c>
      <c r="G10" s="7" t="s">
        <v>12</v>
      </c>
      <c r="K10" s="10"/>
      <c r="AS10" s="4"/>
      <c r="AT10" s="20"/>
      <c r="AU10" s="2"/>
      <c r="AV10" s="2"/>
      <c r="AW10" s="2"/>
      <c r="AX10" s="2"/>
    </row>
    <row r="11" spans="1:50" ht="18.75" x14ac:dyDescent="0.25">
      <c r="A11" s="13" t="s">
        <v>13</v>
      </c>
      <c r="B11" s="26">
        <v>412</v>
      </c>
      <c r="C11" s="26">
        <v>456</v>
      </c>
      <c r="D11" s="26">
        <v>451</v>
      </c>
      <c r="E11" s="24">
        <f t="shared" si="1"/>
        <v>-1.1086474501108647</v>
      </c>
      <c r="F11" s="24">
        <f t="shared" si="2"/>
        <v>3.0358104469574583</v>
      </c>
      <c r="G11" s="7" t="s">
        <v>14</v>
      </c>
      <c r="K11" s="10"/>
      <c r="AS11" s="4"/>
      <c r="AT11" s="20"/>
      <c r="AU11" s="2"/>
      <c r="AV11" s="2"/>
      <c r="AW11" s="2"/>
      <c r="AX11" s="2"/>
    </row>
    <row r="12" spans="1:50" ht="18.75" x14ac:dyDescent="0.25">
      <c r="A12" s="13" t="s">
        <v>11</v>
      </c>
      <c r="B12" s="26">
        <v>757</v>
      </c>
      <c r="C12" s="26">
        <v>668</v>
      </c>
      <c r="D12" s="26">
        <v>513</v>
      </c>
      <c r="E12" s="24">
        <f t="shared" si="1"/>
        <v>-30.214424951267056</v>
      </c>
      <c r="F12" s="24">
        <f t="shared" si="2"/>
        <v>3.4531502423263327</v>
      </c>
      <c r="G12" s="7" t="s">
        <v>15</v>
      </c>
      <c r="K12" s="10"/>
      <c r="AS12" s="4"/>
      <c r="AT12" s="20"/>
      <c r="AU12" s="2"/>
      <c r="AV12" s="2"/>
      <c r="AW12" s="2"/>
      <c r="AX12" s="2"/>
    </row>
    <row r="13" spans="1:50" ht="18.75" x14ac:dyDescent="0.25">
      <c r="A13" s="13" t="s">
        <v>18</v>
      </c>
      <c r="B13" s="26">
        <v>643</v>
      </c>
      <c r="C13" s="26">
        <v>507</v>
      </c>
      <c r="D13" s="26">
        <v>346</v>
      </c>
      <c r="E13" s="24">
        <f t="shared" si="1"/>
        <v>-46.531791907514453</v>
      </c>
      <c r="F13" s="24">
        <f t="shared" si="2"/>
        <v>2.3290253096392028</v>
      </c>
      <c r="G13" s="7" t="s">
        <v>19</v>
      </c>
      <c r="K13" s="10"/>
      <c r="AS13" s="4"/>
      <c r="AT13" s="20"/>
      <c r="AU13" s="2"/>
      <c r="AV13" s="2"/>
      <c r="AW13" s="2"/>
      <c r="AX13" s="2"/>
    </row>
    <row r="14" spans="1:50" ht="18.75" x14ac:dyDescent="0.25">
      <c r="A14" s="13" t="s">
        <v>17</v>
      </c>
      <c r="B14" s="26">
        <v>590</v>
      </c>
      <c r="C14" s="26">
        <v>515</v>
      </c>
      <c r="D14" s="26">
        <v>506</v>
      </c>
      <c r="E14" s="24">
        <f t="shared" si="1"/>
        <v>-1.7786561264822136</v>
      </c>
      <c r="F14" s="24">
        <f t="shared" si="2"/>
        <v>3.4060312331717824</v>
      </c>
      <c r="G14" s="7" t="s">
        <v>21</v>
      </c>
      <c r="K14" s="10"/>
      <c r="AS14" s="4"/>
      <c r="AT14" s="20"/>
      <c r="AU14" s="2"/>
      <c r="AV14" s="2"/>
      <c r="AW14" s="2"/>
      <c r="AX14" s="2"/>
    </row>
    <row r="15" spans="1:50" ht="18.75" x14ac:dyDescent="0.25">
      <c r="A15" s="13" t="s">
        <v>20</v>
      </c>
      <c r="B15" s="26">
        <v>341</v>
      </c>
      <c r="C15" s="26">
        <v>273</v>
      </c>
      <c r="D15" s="26">
        <v>218</v>
      </c>
      <c r="E15" s="24">
        <f t="shared" si="1"/>
        <v>-25.229357798165136</v>
      </c>
      <c r="F15" s="24">
        <f t="shared" si="2"/>
        <v>1.4674205708131394</v>
      </c>
      <c r="G15" s="7" t="s">
        <v>23</v>
      </c>
      <c r="K15" s="10"/>
      <c r="AS15" s="4"/>
      <c r="AT15" s="20"/>
      <c r="AU15" s="2"/>
      <c r="AV15" s="2"/>
      <c r="AW15" s="2"/>
      <c r="AX15" s="2"/>
    </row>
    <row r="16" spans="1:50" ht="18.75" x14ac:dyDescent="0.25">
      <c r="A16" s="13" t="s">
        <v>22</v>
      </c>
      <c r="B16" s="26">
        <v>126</v>
      </c>
      <c r="C16" s="26">
        <v>94</v>
      </c>
      <c r="D16" s="26">
        <v>59</v>
      </c>
      <c r="E16" s="24">
        <f t="shared" si="1"/>
        <v>-59.322033898305079</v>
      </c>
      <c r="F16" s="24">
        <f t="shared" si="2"/>
        <v>0.39714593430263867</v>
      </c>
      <c r="G16" s="7" t="s">
        <v>30</v>
      </c>
      <c r="K16" s="10"/>
      <c r="AS16" s="4"/>
      <c r="AT16" s="20"/>
      <c r="AU16" s="2"/>
      <c r="AV16" s="2"/>
      <c r="AW16" s="2"/>
      <c r="AX16" s="2"/>
    </row>
    <row r="17" spans="1:50" ht="18.75" x14ac:dyDescent="0.25">
      <c r="A17" s="27" t="s">
        <v>7</v>
      </c>
      <c r="B17" s="28">
        <v>3381</v>
      </c>
      <c r="C17" s="28">
        <v>3101</v>
      </c>
      <c r="D17" s="28">
        <v>2532</v>
      </c>
      <c r="E17" s="33">
        <f t="shared" si="1"/>
        <v>-22.472353870458136</v>
      </c>
      <c r="F17" s="33">
        <f t="shared" si="2"/>
        <v>17.043618739903067</v>
      </c>
      <c r="G17" s="18" t="s">
        <v>24</v>
      </c>
      <c r="K17" s="10"/>
      <c r="AS17" s="4"/>
      <c r="AT17" s="20"/>
      <c r="AU17" s="2"/>
      <c r="AV17" s="2"/>
      <c r="AW17" s="2"/>
      <c r="AX17" s="2"/>
    </row>
    <row r="18" spans="1:50" x14ac:dyDescent="0.25">
      <c r="A18" s="12" t="s">
        <v>26</v>
      </c>
      <c r="B18" s="11"/>
      <c r="C18" s="11"/>
      <c r="D18" s="11"/>
      <c r="E18" s="29"/>
      <c r="F18" s="29"/>
      <c r="G18" s="30" t="s">
        <v>27</v>
      </c>
      <c r="AS18" s="4"/>
      <c r="AT18" s="2"/>
      <c r="AU18" s="2"/>
      <c r="AX18" s="2"/>
    </row>
    <row r="19" spans="1:50" x14ac:dyDescent="0.25">
      <c r="AS19" s="4"/>
      <c r="AT19" s="2"/>
      <c r="AU19" s="3"/>
      <c r="AV19" s="31" t="s">
        <v>36</v>
      </c>
      <c r="AW19" s="32" t="s">
        <v>37</v>
      </c>
      <c r="AX19" s="2"/>
    </row>
    <row r="20" spans="1:50" x14ac:dyDescent="0.25">
      <c r="A20" s="16"/>
      <c r="AS20" s="4"/>
      <c r="AT20" s="13"/>
      <c r="AU20" s="4" t="s">
        <v>0</v>
      </c>
      <c r="AV20" s="6">
        <v>3270</v>
      </c>
      <c r="AW20" s="26">
        <f>D6</f>
        <v>3355</v>
      </c>
    </row>
    <row r="21" spans="1:50" x14ac:dyDescent="0.25">
      <c r="AS21" s="4"/>
      <c r="AT21" s="13"/>
      <c r="AU21" s="4" t="s">
        <v>3</v>
      </c>
      <c r="AV21" s="6">
        <v>2007</v>
      </c>
      <c r="AW21" s="26">
        <f t="shared" ref="AW21:AW31" si="3">D7</f>
        <v>1936</v>
      </c>
    </row>
    <row r="22" spans="1:50" x14ac:dyDescent="0.25">
      <c r="AS22" s="4"/>
      <c r="AT22" s="13"/>
      <c r="AU22" s="4" t="s">
        <v>5</v>
      </c>
      <c r="AV22" s="6">
        <v>2230</v>
      </c>
      <c r="AW22" s="26">
        <f t="shared" si="3"/>
        <v>2405</v>
      </c>
    </row>
    <row r="23" spans="1:50" x14ac:dyDescent="0.25">
      <c r="AS23" s="4"/>
      <c r="AT23" s="13"/>
      <c r="AU23" s="4" t="s">
        <v>9</v>
      </c>
      <c r="AV23" s="6">
        <v>1787</v>
      </c>
      <c r="AW23" s="26">
        <f t="shared" si="3"/>
        <v>1790</v>
      </c>
    </row>
    <row r="24" spans="1:50" x14ac:dyDescent="0.25">
      <c r="AS24" s="4"/>
      <c r="AT24" s="13"/>
      <c r="AU24" s="4" t="s">
        <v>6</v>
      </c>
      <c r="AV24" s="6">
        <v>753</v>
      </c>
      <c r="AW24" s="26">
        <f t="shared" si="3"/>
        <v>745</v>
      </c>
    </row>
    <row r="25" spans="1:50" ht="17.25" x14ac:dyDescent="0.25">
      <c r="A25" s="14"/>
      <c r="B25" s="5"/>
      <c r="C25" s="5"/>
      <c r="D25" s="5"/>
      <c r="E25" s="8"/>
      <c r="F25" s="8"/>
      <c r="G25" s="15"/>
      <c r="AS25" s="4"/>
      <c r="AT25" s="13"/>
      <c r="AU25" s="4" t="s">
        <v>13</v>
      </c>
      <c r="AV25" s="6">
        <v>472</v>
      </c>
      <c r="AW25" s="26">
        <f t="shared" si="3"/>
        <v>451</v>
      </c>
    </row>
    <row r="26" spans="1:50" x14ac:dyDescent="0.25">
      <c r="AS26" s="4"/>
      <c r="AT26" s="13"/>
      <c r="AU26" s="4" t="s">
        <v>11</v>
      </c>
      <c r="AV26" s="6">
        <v>537</v>
      </c>
      <c r="AW26" s="26">
        <f t="shared" si="3"/>
        <v>513</v>
      </c>
    </row>
    <row r="27" spans="1:50" x14ac:dyDescent="0.25">
      <c r="AT27" s="13"/>
      <c r="AU27" s="4" t="s">
        <v>18</v>
      </c>
      <c r="AV27" s="6">
        <v>361</v>
      </c>
      <c r="AW27" s="26">
        <f t="shared" si="3"/>
        <v>346</v>
      </c>
    </row>
    <row r="28" spans="1:50" x14ac:dyDescent="0.25">
      <c r="AT28" s="13"/>
      <c r="AU28" s="4" t="s">
        <v>17</v>
      </c>
      <c r="AV28" s="6">
        <v>516</v>
      </c>
      <c r="AW28" s="26">
        <f t="shared" si="3"/>
        <v>506</v>
      </c>
    </row>
    <row r="29" spans="1:50" x14ac:dyDescent="0.25">
      <c r="AT29" s="13"/>
      <c r="AU29" s="4" t="s">
        <v>20</v>
      </c>
      <c r="AV29" s="6">
        <v>240</v>
      </c>
      <c r="AW29" s="26">
        <f t="shared" si="3"/>
        <v>218</v>
      </c>
    </row>
    <row r="30" spans="1:50" x14ac:dyDescent="0.25">
      <c r="AT30" s="13"/>
      <c r="AU30" s="4" t="s">
        <v>22</v>
      </c>
      <c r="AV30" s="6">
        <v>71</v>
      </c>
      <c r="AW30" s="26">
        <f t="shared" si="3"/>
        <v>59</v>
      </c>
    </row>
    <row r="31" spans="1:50" x14ac:dyDescent="0.25">
      <c r="AT31" s="13"/>
      <c r="AU31" s="17" t="s">
        <v>7</v>
      </c>
      <c r="AV31" s="6">
        <v>2567</v>
      </c>
      <c r="AW31" s="26">
        <f t="shared" si="3"/>
        <v>2532</v>
      </c>
    </row>
  </sheetData>
  <mergeCells count="7">
    <mergeCell ref="A1:G1"/>
    <mergeCell ref="A2:G2"/>
    <mergeCell ref="A3:A4"/>
    <mergeCell ref="B3:B4"/>
    <mergeCell ref="C3:C4"/>
    <mergeCell ref="D3:D4"/>
    <mergeCell ref="G3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dcterms:created xsi:type="dcterms:W3CDTF">2019-06-30T04:22:49Z</dcterms:created>
  <dcterms:modified xsi:type="dcterms:W3CDTF">2019-09-17T03:11:54Z</dcterms:modified>
</cp:coreProperties>
</file>