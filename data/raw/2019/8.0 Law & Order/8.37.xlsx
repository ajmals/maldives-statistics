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8. LAW and ORDER\"/>
    </mc:Choice>
  </mc:AlternateContent>
  <bookViews>
    <workbookView xWindow="0" yWindow="0" windowWidth="28800" windowHeight="12330" tabRatio="652"/>
  </bookViews>
  <sheets>
    <sheet name="8.37" sheetId="35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xlnm.Print_Area" localSheetId="0">'8.37'!$A$1:$K$30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8" i="35" l="1"/>
  <c r="H8" i="35"/>
  <c r="G8" i="35"/>
  <c r="F8" i="35"/>
  <c r="F6" i="35" s="1"/>
  <c r="E8" i="35"/>
  <c r="E6" i="35" s="1"/>
  <c r="D8" i="35"/>
  <c r="D6" i="35" s="1"/>
  <c r="C8" i="35"/>
  <c r="C6" i="35" s="1"/>
  <c r="B8" i="35"/>
  <c r="B6" i="35" s="1"/>
  <c r="I6" i="35"/>
  <c r="H6" i="35"/>
  <c r="G6" i="35"/>
</calcChain>
</file>

<file path=xl/sharedStrings.xml><?xml version="1.0" encoding="utf-8"?>
<sst xmlns="http://schemas.openxmlformats.org/spreadsheetml/2006/main" count="55" uniqueCount="55">
  <si>
    <t>މާލެ</t>
  </si>
  <si>
    <t>އަތޮޅުތައް</t>
  </si>
  <si>
    <t>Republic</t>
  </si>
  <si>
    <t>Male'</t>
  </si>
  <si>
    <t>Atolls</t>
  </si>
  <si>
    <t>Locality</t>
  </si>
  <si>
    <t>ތަން</t>
  </si>
  <si>
    <r>
      <t xml:space="preserve">Cases Reported         </t>
    </r>
    <r>
      <rPr>
        <b/>
        <sz val="11"/>
        <rFont val="Faruma"/>
      </rPr>
      <t xml:space="preserve"> ހުށައެޅުނު މައްސަލަތައް</t>
    </r>
  </si>
  <si>
    <t>މުޅި ރާއްޖެ</t>
  </si>
  <si>
    <t>North Thiladhunmathi (HA)</t>
  </si>
  <si>
    <t>ތިލަދުންމަތި އުތުރުބުރި (ހއ)</t>
  </si>
  <si>
    <t>South Thiladhunmathi (HDh)</t>
  </si>
  <si>
    <t>ތިލަދުންމަތި ދެކުނުބުރި (ހދ)</t>
  </si>
  <si>
    <t>North Miladhunmadulu (Sh)</t>
  </si>
  <si>
    <t>މިލަދުންމަޑޫލު އުތުރުބުރި (ށ)</t>
  </si>
  <si>
    <t>South Miladhunmadulu (N)</t>
  </si>
  <si>
    <t>މިލަދުންމަޑޫލު ދެކުނުބުރި (ނ)</t>
  </si>
  <si>
    <t>North Maalhosmadulu (R)</t>
  </si>
  <si>
    <t>މާޅޮސްމަޑުލު އުތުރުބުރި (ރ)</t>
  </si>
  <si>
    <t>South Maalhosamadulu (B)</t>
  </si>
  <si>
    <t>މާޅޮސްމަޑުލު ދެކުނުބުރި (ބ)</t>
  </si>
  <si>
    <t>Faadhhippolhu (Lh)</t>
  </si>
  <si>
    <t>ފާދިއްޕޮޅު (ޅ)</t>
  </si>
  <si>
    <t>Kaafu Atoll (K)</t>
  </si>
  <si>
    <t>މާލެ އަތޮޅު (ކ)</t>
  </si>
  <si>
    <t>North Ari Atoll (AA)</t>
  </si>
  <si>
    <t>އަރިއަތޮޅު އުތުރުބުރި (އއ)</t>
  </si>
  <si>
    <t>South Ari Atoll (ADh)</t>
  </si>
  <si>
    <t>އަރިއަތޮޅު ދެކުނުބުރި (އދ)</t>
  </si>
  <si>
    <t>Felidhu Atoll (V)</t>
  </si>
  <si>
    <t>ފެލިދެ އަތޮޅު (ވ)</t>
  </si>
  <si>
    <t>Mulakatholhu (M)</t>
  </si>
  <si>
    <t>މުލަކަތޮޅު (މ)</t>
  </si>
  <si>
    <t xml:space="preserve">North Nilandhe Atoll (F) </t>
  </si>
  <si>
    <t>ނިލަންދެ އަތޮޅު އުތުރުބުރި (ފ)</t>
  </si>
  <si>
    <t>South Nilandhe Atoll (Dh)</t>
  </si>
  <si>
    <t>ނިލަންދެ އަތޮޅު ދެކުނުބުރި (ދ)</t>
  </si>
  <si>
    <t>Kolhumadulu (Th)</t>
  </si>
  <si>
    <t>ކޮޅުމަޑުލު (ތ)</t>
  </si>
  <si>
    <t>Hadhdhunmathi (L)</t>
  </si>
  <si>
    <t>ހައްދުންމަތި (ލ)</t>
  </si>
  <si>
    <t>North Huvadhu Atoll (GA)</t>
  </si>
  <si>
    <t>ހުވަދު އަތޮޅު އުތުރުބުރި (ގއ)</t>
  </si>
  <si>
    <t>South Huvadhu Atoll (GDh)</t>
  </si>
  <si>
    <t>ހުވަދު އަތޮޅު ދެކުނުބުރި (ގދ)</t>
  </si>
  <si>
    <t>Fuvahmulah (Gn)</t>
  </si>
  <si>
    <t>ފުވައްމުލައް (ޏ)</t>
  </si>
  <si>
    <t>Addu Atoll (S)</t>
  </si>
  <si>
    <t>އައްޑު އަތޮޅު (ސ)</t>
  </si>
  <si>
    <t>Not Stated</t>
  </si>
  <si>
    <t>ވަކި އަތޮޅަކަށް ރައްދުނުވާ</t>
  </si>
  <si>
    <t>Source: Aniti Corruption Commision</t>
  </si>
  <si>
    <t xml:space="preserve">މަޢުލޫމާތު ދެއްވި ފަރާތް: އެންޓި ކޮރަޕްޝަން ކޮމިޝަން </t>
  </si>
  <si>
    <t>ތާވަލު 8.37: އެންޓިކޮރަޕްޝަން ކޮމިޝަނަށް ހުށަހެޅިފައިވާ ކޮރަޕްޝަންގެ މައްސަލަތައް، 2013 - 2018</t>
  </si>
  <si>
    <t>TABLE 8.37: NUMBER OF CASES REPORTED ON CORRUPTION BY LOCALITY,  2013 - 2018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</si>
</sst>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6" formatCode="_-* #,##0_-;\-* #,##0_-;_-* &quot;-&quot;??_-;_-@_-"/>
    <numFmt numFmtId="167" formatCode="#,##0.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i/>
      <sz val="9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Faruma"/>
    </font>
    <font>
      <sz val="11"/>
      <color theme="1"/>
      <name val="Faruma"/>
    </font>
    <font>
      <sz val="10"/>
      <color theme="1"/>
      <name val="Faruma"/>
    </font>
    <font>
      <b/>
      <sz val="11"/>
      <name val="Faruma"/>
    </font>
    <font>
      <sz val="10"/>
      <name val="Faruma"/>
    </font>
    <font>
      <b/>
      <sz val="10"/>
      <color theme="1"/>
      <name val="Faruma"/>
    </font>
    <font>
      <b/>
      <sz val="12"/>
      <color theme="1"/>
      <name val="Faruma"/>
    </font>
    <font>
      <b/>
      <sz val="15"/>
      <color theme="3"/>
      <name val="Arial Mäori"/>
      <family val="2"/>
    </font>
    <font>
      <sz val="10"/>
      <name val="MS Sans Serif"/>
      <family val="2"/>
    </font>
    <font>
      <sz val="12"/>
      <color theme="1"/>
      <name val="Faruma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167" fontId="6" fillId="0" borderId="0"/>
    <xf numFmtId="0" fontId="8" fillId="0" borderId="0"/>
    <xf numFmtId="0" fontId="17" fillId="0" borderId="6" applyNumberFormat="0" applyFill="0" applyAlignment="0" applyProtection="0"/>
    <xf numFmtId="0" fontId="18" fillId="0" borderId="0"/>
    <xf numFmtId="0" fontId="8" fillId="0" borderId="0"/>
  </cellStyleXfs>
  <cellXfs count="48">
    <xf numFmtId="0" fontId="0" fillId="0" borderId="0" xfId="0"/>
    <xf numFmtId="0" fontId="0" fillId="2" borderId="0" xfId="0" applyFill="1"/>
    <xf numFmtId="0" fontId="0" fillId="2" borderId="0" xfId="0" applyFill="1" applyBorder="1"/>
    <xf numFmtId="0" fontId="0" fillId="2" borderId="0" xfId="0" applyFont="1" applyFill="1"/>
    <xf numFmtId="0" fontId="2" fillId="2" borderId="0" xfId="0" applyFont="1" applyFill="1" applyBorder="1"/>
    <xf numFmtId="0" fontId="2" fillId="2" borderId="0" xfId="0" applyFont="1" applyFill="1"/>
    <xf numFmtId="0" fontId="12" fillId="2" borderId="0" xfId="0" applyFont="1" applyFill="1"/>
    <xf numFmtId="0" fontId="0" fillId="2" borderId="0" xfId="0" applyFill="1" applyBorder="1" applyAlignment="1">
      <alignment vertical="center"/>
    </xf>
    <xf numFmtId="0" fontId="1" fillId="2" borderId="0" xfId="0" applyFont="1" applyFill="1" applyBorder="1"/>
    <xf numFmtId="0" fontId="9" fillId="2" borderId="0" xfId="6" applyFont="1" applyFill="1" applyBorder="1" applyAlignment="1">
      <alignment horizontal="left"/>
    </xf>
    <xf numFmtId="0" fontId="9" fillId="2" borderId="0" xfId="7" applyFont="1" applyFill="1" applyBorder="1" applyAlignment="1">
      <alignment horizontal="right" vertical="center"/>
    </xf>
    <xf numFmtId="0" fontId="9" fillId="2" borderId="9" xfId="7" applyFont="1" applyFill="1" applyBorder="1" applyAlignment="1">
      <alignment horizontal="right" vertical="center"/>
    </xf>
    <xf numFmtId="49" fontId="4" fillId="2" borderId="7" xfId="0" applyNumberFormat="1" applyFont="1" applyFill="1" applyBorder="1" applyAlignment="1">
      <alignment horizontal="left" vertical="center"/>
    </xf>
    <xf numFmtId="37" fontId="2" fillId="2" borderId="7" xfId="1" applyNumberFormat="1" applyFont="1" applyFill="1" applyBorder="1" applyAlignment="1">
      <alignment horizontal="right" vertical="center"/>
    </xf>
    <xf numFmtId="0" fontId="15" fillId="2" borderId="7" xfId="0" applyFont="1" applyFill="1" applyBorder="1" applyAlignment="1">
      <alignment horizontal="right" vertical="center"/>
    </xf>
    <xf numFmtId="49" fontId="4" fillId="2" borderId="0" xfId="0" applyNumberFormat="1" applyFont="1" applyFill="1" applyBorder="1" applyAlignment="1">
      <alignment horizontal="left" vertical="center"/>
    </xf>
    <xf numFmtId="37" fontId="2" fillId="2" borderId="0" xfId="1" applyNumberFormat="1" applyFont="1" applyFill="1" applyBorder="1" applyAlignment="1">
      <alignment horizontal="right" vertical="center"/>
    </xf>
    <xf numFmtId="0" fontId="15" fillId="2" borderId="0" xfId="0" applyFont="1" applyFill="1" applyBorder="1" applyAlignment="1">
      <alignment horizontal="right" vertical="center"/>
    </xf>
    <xf numFmtId="0" fontId="16" fillId="2" borderId="0" xfId="0" applyFont="1" applyFill="1" applyBorder="1" applyAlignment="1">
      <alignment vertical="center" wrapText="1" readingOrder="2"/>
    </xf>
    <xf numFmtId="49" fontId="3" fillId="2" borderId="0" xfId="0" applyNumberFormat="1" applyFont="1" applyFill="1" applyBorder="1" applyAlignment="1">
      <alignment horizontal="left" vertical="center" indent="1"/>
    </xf>
    <xf numFmtId="37" fontId="1" fillId="2" borderId="0" xfId="1" applyNumberFormat="1" applyFont="1" applyFill="1" applyBorder="1" applyAlignment="1">
      <alignment horizontal="right" vertical="center"/>
    </xf>
    <xf numFmtId="0" fontId="12" fillId="2" borderId="3" xfId="8" applyFont="1" applyFill="1" applyBorder="1" applyAlignment="1">
      <alignment horizontal="right" vertical="center" indent="1"/>
    </xf>
    <xf numFmtId="0" fontId="16" fillId="2" borderId="0" xfId="0" applyFont="1" applyFill="1" applyBorder="1" applyAlignment="1">
      <alignment horizontal="right" vertical="center" wrapText="1" readingOrder="2"/>
    </xf>
    <xf numFmtId="0" fontId="19" fillId="2" borderId="0" xfId="0" applyFont="1" applyFill="1" applyBorder="1" applyAlignment="1">
      <alignment horizontal="right" vertical="center" wrapText="1" readingOrder="2"/>
    </xf>
    <xf numFmtId="0" fontId="12" fillId="2" borderId="3" xfId="8" applyFont="1" applyFill="1" applyBorder="1" applyAlignment="1" applyProtection="1">
      <alignment horizontal="right" vertical="center" indent="1"/>
    </xf>
    <xf numFmtId="0" fontId="20" fillId="2" borderId="0" xfId="0" applyFont="1" applyFill="1" applyBorder="1" applyAlignment="1">
      <alignment vertical="center"/>
    </xf>
    <xf numFmtId="0" fontId="0" fillId="2" borderId="0" xfId="0" applyFill="1" applyAlignment="1"/>
    <xf numFmtId="0" fontId="12" fillId="2" borderId="4" xfId="8" applyFont="1" applyFill="1" applyBorder="1" applyAlignment="1" applyProtection="1">
      <alignment horizontal="right" vertical="center" indent="1"/>
    </xf>
    <xf numFmtId="0" fontId="12" fillId="2" borderId="2" xfId="8" applyFont="1" applyFill="1" applyBorder="1" applyAlignment="1" applyProtection="1">
      <alignment horizontal="right" vertical="center" indent="1"/>
    </xf>
    <xf numFmtId="0" fontId="12" fillId="2" borderId="0" xfId="8" applyFont="1" applyFill="1" applyBorder="1" applyAlignment="1" applyProtection="1">
      <alignment horizontal="right" vertical="center" indent="1"/>
    </xf>
    <xf numFmtId="0" fontId="12" fillId="2" borderId="5" xfId="8" applyFont="1" applyFill="1" applyBorder="1" applyAlignment="1" applyProtection="1">
      <alignment horizontal="right" vertical="center" indent="1"/>
    </xf>
    <xf numFmtId="0" fontId="12" fillId="2" borderId="0" xfId="8" applyFont="1" applyFill="1" applyBorder="1" applyAlignment="1">
      <alignment horizontal="right" vertical="center" indent="1"/>
    </xf>
    <xf numFmtId="49" fontId="3" fillId="2" borderId="1" xfId="0" applyNumberFormat="1" applyFont="1" applyFill="1" applyBorder="1" applyAlignment="1">
      <alignment horizontal="left" vertical="center" indent="1"/>
    </xf>
    <xf numFmtId="37" fontId="1" fillId="2" borderId="1" xfId="1" applyNumberFormat="1" applyFont="1" applyFill="1" applyBorder="1" applyAlignment="1">
      <alignment horizontal="right" vertical="center"/>
    </xf>
    <xf numFmtId="3" fontId="14" fillId="2" borderId="1" xfId="5" applyNumberFormat="1" applyFont="1" applyFill="1" applyBorder="1" applyAlignment="1" applyProtection="1">
      <alignment horizontal="right" vertical="center" indent="1"/>
      <protection hidden="1"/>
    </xf>
    <xf numFmtId="0" fontId="7" fillId="2" borderId="0" xfId="0" applyFont="1" applyFill="1"/>
    <xf numFmtId="0" fontId="1" fillId="2" borderId="0" xfId="0" applyFont="1" applyFill="1"/>
    <xf numFmtId="0" fontId="0" fillId="2" borderId="0" xfId="0" applyFont="1" applyFill="1" applyBorder="1" applyAlignment="1">
      <alignment vertical="center" wrapText="1" readingOrder="2"/>
    </xf>
    <xf numFmtId="0" fontId="0" fillId="2" borderId="0" xfId="0" applyFont="1" applyFill="1" applyBorder="1" applyAlignment="1">
      <alignment horizontal="right" vertical="center" wrapText="1" readingOrder="2"/>
    </xf>
    <xf numFmtId="0" fontId="0" fillId="2" borderId="0" xfId="0" applyFont="1" applyFill="1" applyBorder="1"/>
    <xf numFmtId="0" fontId="0" fillId="2" borderId="1" xfId="0" applyFont="1" applyFill="1" applyBorder="1"/>
    <xf numFmtId="0" fontId="2" fillId="2" borderId="0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center"/>
    </xf>
    <xf numFmtId="0" fontId="9" fillId="2" borderId="0" xfId="6" applyFont="1" applyFill="1" applyBorder="1" applyAlignment="1">
      <alignment horizontal="center" vertical="center"/>
    </xf>
    <xf numFmtId="0" fontId="9" fillId="2" borderId="8" xfId="7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right" vertical="center" wrapText="1"/>
    </xf>
    <xf numFmtId="0" fontId="11" fillId="2" borderId="0" xfId="0" applyFont="1" applyFill="1" applyBorder="1" applyAlignment="1">
      <alignment horizontal="right" vertical="center" wrapText="1"/>
    </xf>
  </cellXfs>
  <cellStyles count="9">
    <cellStyle name="Comma" xfId="1" builtinId="3"/>
    <cellStyle name="Comma 2" xfId="2"/>
    <cellStyle name="Heading 1 2" xfId="6"/>
    <cellStyle name="Normal" xfId="0" builtinId="0"/>
    <cellStyle name="Normal 2" xfId="8"/>
    <cellStyle name="Normal 3" xfId="4"/>
    <cellStyle name="Normal_final_pull_anzt" xfId="7"/>
    <cellStyle name="Normal_II-15(Population) 2" xfId="5"/>
    <cellStyle name="Percent 2" xfId="3"/>
  </cellStyles>
  <dxfs count="0"/>
  <tableStyles count="0" defaultTableStyle="TableStyleMedium2" defaultPivotStyle="PivotStyleLight16"/>
  <colors>
    <mruColors>
      <color rgb="FFFFFAEB"/>
      <color rgb="FFFFF6DD"/>
      <color rgb="FF4C3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8.%20LAW%20AND%20ORD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Copy%20of%208.%20LAW%20AND%20ORDER%20-%20Police%20workingsfinalmai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8.%20LAW%20AND%20ORDER-%20JSC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BFYMW6J1\8.%20LAW%20AND%20ORDER-%20JSC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RECEIVED\8.%20LAW%20AND%20ORDER%20-%20JSC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Blank%20tables/8.%20LAW%20AND%20ORDER..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LAW%20AND%20ORDER_%20PG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.1"/>
      <sheetName val="8.14"/>
      <sheetName val="8.15"/>
      <sheetName val="8.16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>
        <row r="5">
          <cell r="H5">
            <v>16362</v>
          </cell>
        </row>
      </sheetData>
      <sheetData sheetId="5"/>
      <sheetData sheetId="6"/>
      <sheetData sheetId="7">
        <row r="7">
          <cell r="A7" t="str">
            <v>Drugs</v>
          </cell>
          <cell r="H7">
            <v>1857</v>
          </cell>
        </row>
        <row r="14">
          <cell r="A14" t="str">
            <v>Alcohol</v>
          </cell>
          <cell r="H14">
            <v>168</v>
          </cell>
        </row>
        <row r="21">
          <cell r="A21" t="str">
            <v>Other cases related to drug offences</v>
          </cell>
          <cell r="H21">
            <v>13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.1"/>
      <sheetName val="8.14"/>
      <sheetName val="8.15"/>
      <sheetName val="8.16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6">
          <cell r="U6" t="str">
            <v>Male</v>
          </cell>
          <cell r="V6" t="str">
            <v>Female</v>
          </cell>
        </row>
        <row r="8">
          <cell r="U8">
            <v>1191</v>
          </cell>
          <cell r="V8">
            <v>940</v>
          </cell>
        </row>
      </sheetData>
      <sheetData sheetId="18"/>
      <sheetData sheetId="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  <cell r="V91" t="str">
            <v>Number of islands with majistrate courts</v>
          </cell>
        </row>
        <row r="92">
          <cell r="T92" t="str">
            <v>HA</v>
          </cell>
          <cell r="U92">
            <v>9</v>
          </cell>
          <cell r="V92">
            <v>14</v>
          </cell>
        </row>
        <row r="93">
          <cell r="T93" t="str">
            <v>HDh</v>
          </cell>
          <cell r="U93">
            <v>8</v>
          </cell>
          <cell r="V93">
            <v>13</v>
          </cell>
        </row>
        <row r="94">
          <cell r="T94" t="str">
            <v>Sh</v>
          </cell>
          <cell r="U94">
            <v>4</v>
          </cell>
          <cell r="V94">
            <v>13</v>
          </cell>
        </row>
        <row r="95">
          <cell r="T95" t="str">
            <v>N</v>
          </cell>
          <cell r="U95">
            <v>5</v>
          </cell>
          <cell r="V95">
            <v>13</v>
          </cell>
        </row>
        <row r="96">
          <cell r="T96" t="str">
            <v>R</v>
          </cell>
          <cell r="U96">
            <v>14</v>
          </cell>
          <cell r="V96">
            <v>15</v>
          </cell>
        </row>
        <row r="97">
          <cell r="T97" t="str">
            <v>B</v>
          </cell>
          <cell r="U97">
            <v>6</v>
          </cell>
          <cell r="V97">
            <v>13</v>
          </cell>
        </row>
        <row r="98">
          <cell r="T98" t="str">
            <v>Lh</v>
          </cell>
          <cell r="U98">
            <v>4</v>
          </cell>
          <cell r="V98">
            <v>4</v>
          </cell>
        </row>
        <row r="99">
          <cell r="T99" t="str">
            <v>K</v>
          </cell>
          <cell r="U99">
            <v>10</v>
          </cell>
          <cell r="V99">
            <v>9</v>
          </cell>
        </row>
        <row r="100">
          <cell r="T100" t="str">
            <v>AA</v>
          </cell>
          <cell r="U100">
            <v>4</v>
          </cell>
          <cell r="V100">
            <v>8</v>
          </cell>
        </row>
        <row r="101">
          <cell r="T101" t="str">
            <v>ADh</v>
          </cell>
          <cell r="U101">
            <v>7</v>
          </cell>
          <cell r="V101">
            <v>10</v>
          </cell>
        </row>
        <row r="102">
          <cell r="T102" t="str">
            <v>V</v>
          </cell>
          <cell r="U102">
            <v>2</v>
          </cell>
          <cell r="V102">
            <v>5</v>
          </cell>
        </row>
        <row r="103">
          <cell r="T103" t="str">
            <v>M</v>
          </cell>
          <cell r="U103">
            <v>5</v>
          </cell>
          <cell r="V103">
            <v>8</v>
          </cell>
        </row>
        <row r="104">
          <cell r="T104" t="str">
            <v>F</v>
          </cell>
          <cell r="U104">
            <v>4</v>
          </cell>
          <cell r="V104">
            <v>5</v>
          </cell>
        </row>
        <row r="105">
          <cell r="T105" t="str">
            <v>Dh</v>
          </cell>
          <cell r="U105">
            <v>5</v>
          </cell>
          <cell r="V105">
            <v>6</v>
          </cell>
        </row>
        <row r="106">
          <cell r="T106" t="str">
            <v>Th</v>
          </cell>
          <cell r="U106">
            <v>8</v>
          </cell>
          <cell r="V106">
            <v>13</v>
          </cell>
        </row>
        <row r="107">
          <cell r="T107" t="str">
            <v>L</v>
          </cell>
          <cell r="U107">
            <v>11</v>
          </cell>
          <cell r="V107">
            <v>11</v>
          </cell>
        </row>
        <row r="108">
          <cell r="T108" t="str">
            <v>GA</v>
          </cell>
          <cell r="U108">
            <v>8</v>
          </cell>
          <cell r="V108">
            <v>9</v>
          </cell>
        </row>
        <row r="109">
          <cell r="T109" t="str">
            <v>GDh</v>
          </cell>
          <cell r="U109">
            <v>10</v>
          </cell>
          <cell r="V109">
            <v>9</v>
          </cell>
        </row>
        <row r="110">
          <cell r="T110" t="str">
            <v>Gn</v>
          </cell>
          <cell r="U110">
            <v>4</v>
          </cell>
          <cell r="V110">
            <v>1</v>
          </cell>
        </row>
        <row r="111">
          <cell r="T111" t="str">
            <v>S</v>
          </cell>
          <cell r="U111">
            <v>7</v>
          </cell>
          <cell r="V111">
            <v>6</v>
          </cell>
        </row>
        <row r="129">
          <cell r="S129" t="str">
            <v>Atolls</v>
          </cell>
          <cell r="U129">
            <v>69.948186528497416</v>
          </cell>
        </row>
        <row r="130">
          <cell r="S130" t="str">
            <v>Male'</v>
          </cell>
          <cell r="U130">
            <v>30.051813471502591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</row>
        <row r="129">
          <cell r="S129" t="str">
            <v>Atolls</v>
          </cell>
          <cell r="U129">
            <v>69.543147208121823</v>
          </cell>
        </row>
        <row r="130">
          <cell r="S130" t="str">
            <v>Male'</v>
          </cell>
          <cell r="U130">
            <v>30.456852791878177</v>
          </cell>
        </row>
      </sheetData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7"/>
      <sheetName val="8.28"/>
    </sheetNames>
    <sheetDataSet>
      <sheetData sheetId="0"/>
      <sheetData sheetId="1">
        <row r="91">
          <cell r="T91" t="str">
            <v>Number  of majistrates</v>
          </cell>
          <cell r="U91" t="str">
            <v>Number of islands with majistrate courts</v>
          </cell>
        </row>
        <row r="92">
          <cell r="S92" t="str">
            <v>HA</v>
          </cell>
          <cell r="T92">
            <v>10</v>
          </cell>
          <cell r="U92">
            <v>14</v>
          </cell>
        </row>
        <row r="93">
          <cell r="S93" t="str">
            <v>HDh</v>
          </cell>
          <cell r="T93">
            <v>8</v>
          </cell>
          <cell r="U93">
            <v>13</v>
          </cell>
        </row>
        <row r="94">
          <cell r="S94" t="str">
            <v>Sh</v>
          </cell>
          <cell r="T94">
            <v>4</v>
          </cell>
          <cell r="U94">
            <v>13</v>
          </cell>
        </row>
        <row r="95">
          <cell r="S95" t="str">
            <v>N</v>
          </cell>
          <cell r="T95">
            <v>7</v>
          </cell>
          <cell r="U95">
            <v>13</v>
          </cell>
        </row>
        <row r="96">
          <cell r="S96" t="str">
            <v>R</v>
          </cell>
          <cell r="T96">
            <v>12</v>
          </cell>
          <cell r="U96">
            <v>15</v>
          </cell>
        </row>
        <row r="97">
          <cell r="S97" t="str">
            <v>B</v>
          </cell>
          <cell r="T97">
            <v>8</v>
          </cell>
          <cell r="U97">
            <v>13</v>
          </cell>
        </row>
        <row r="98">
          <cell r="S98" t="str">
            <v>Lh</v>
          </cell>
          <cell r="T98">
            <v>2</v>
          </cell>
          <cell r="U98">
            <v>4</v>
          </cell>
        </row>
        <row r="99">
          <cell r="S99" t="str">
            <v>K</v>
          </cell>
          <cell r="T99">
            <v>8</v>
          </cell>
          <cell r="U99">
            <v>9</v>
          </cell>
        </row>
        <row r="100">
          <cell r="S100" t="str">
            <v>AA</v>
          </cell>
          <cell r="T100">
            <v>4</v>
          </cell>
          <cell r="U100">
            <v>8</v>
          </cell>
        </row>
        <row r="101">
          <cell r="S101" t="str">
            <v>ADh</v>
          </cell>
          <cell r="T101">
            <v>5</v>
          </cell>
          <cell r="U101">
            <v>10</v>
          </cell>
        </row>
        <row r="102">
          <cell r="S102" t="str">
            <v>V</v>
          </cell>
          <cell r="T102">
            <v>2</v>
          </cell>
          <cell r="U102">
            <v>5</v>
          </cell>
        </row>
        <row r="103">
          <cell r="S103" t="str">
            <v>M</v>
          </cell>
          <cell r="T103">
            <v>5</v>
          </cell>
          <cell r="U103">
            <v>8</v>
          </cell>
        </row>
        <row r="104">
          <cell r="S104" t="str">
            <v>F</v>
          </cell>
          <cell r="T104">
            <v>3</v>
          </cell>
          <cell r="U104">
            <v>5</v>
          </cell>
        </row>
        <row r="105">
          <cell r="S105" t="str">
            <v>Dh</v>
          </cell>
          <cell r="T105">
            <v>4</v>
          </cell>
          <cell r="U105">
            <v>6</v>
          </cell>
        </row>
        <row r="106">
          <cell r="S106" t="str">
            <v>Th</v>
          </cell>
          <cell r="T106">
            <v>7</v>
          </cell>
          <cell r="U106">
            <v>13</v>
          </cell>
        </row>
        <row r="107">
          <cell r="S107" t="str">
            <v>L</v>
          </cell>
          <cell r="T107">
            <v>11</v>
          </cell>
          <cell r="U107">
            <v>11</v>
          </cell>
        </row>
        <row r="108">
          <cell r="S108" t="str">
            <v>GA</v>
          </cell>
          <cell r="T108">
            <v>8</v>
          </cell>
          <cell r="U108">
            <v>9</v>
          </cell>
        </row>
        <row r="109">
          <cell r="S109" t="str">
            <v>GDh</v>
          </cell>
          <cell r="T109">
            <v>8</v>
          </cell>
          <cell r="U109">
            <v>9</v>
          </cell>
        </row>
        <row r="110">
          <cell r="S110" t="str">
            <v>Gn</v>
          </cell>
          <cell r="T110">
            <v>1</v>
          </cell>
          <cell r="U110">
            <v>1</v>
          </cell>
        </row>
        <row r="111">
          <cell r="S111" t="str">
            <v>S</v>
          </cell>
          <cell r="T111">
            <v>8</v>
          </cell>
          <cell r="U111">
            <v>6</v>
          </cell>
        </row>
        <row r="129">
          <cell r="R129" t="str">
            <v>Atolls</v>
          </cell>
          <cell r="T129">
            <v>70.224719101123597</v>
          </cell>
        </row>
        <row r="130">
          <cell r="R130" t="str">
            <v>Male'</v>
          </cell>
          <cell r="T130">
            <v>29.775280898876407</v>
          </cell>
        </row>
      </sheetData>
      <sheetData sheetId="2">
        <row r="7">
          <cell r="A7" t="str">
            <v>Male</v>
          </cell>
          <cell r="H7">
            <v>173</v>
          </cell>
        </row>
        <row r="8">
          <cell r="A8" t="str">
            <v>Female</v>
          </cell>
          <cell r="H8">
            <v>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3.1"/>
      <sheetName val="8.14"/>
      <sheetName val="8.15"/>
      <sheetName val="8.15.1"/>
      <sheetName val="8.16"/>
      <sheetName val="8.16.1"/>
      <sheetName val="8.17"/>
      <sheetName val="8.18"/>
      <sheetName val="8.19"/>
      <sheetName val="8.20"/>
      <sheetName val="8.21"/>
      <sheetName val="8.22"/>
      <sheetName val="8.23"/>
      <sheetName val="8.24"/>
      <sheetName val="8.25"/>
      <sheetName val="8.26"/>
      <sheetName val="8.27"/>
      <sheetName val="8.28"/>
      <sheetName val="8.29"/>
      <sheetName val="8.30"/>
      <sheetName val="8.31"/>
      <sheetName val="8.32"/>
      <sheetName val="8.33"/>
      <sheetName val="8.34"/>
      <sheetName val="8.35"/>
      <sheetName val="8.36"/>
      <sheetName val="8.37"/>
      <sheetName val="8.38"/>
      <sheetName val="8.56"/>
      <sheetName val="8.57"/>
      <sheetName val="8.39"/>
      <sheetName val="8.40"/>
      <sheetName val="8.41"/>
      <sheetName val="8.42"/>
      <sheetName val="8.43"/>
      <sheetName val="8.44"/>
      <sheetName val="8.45"/>
      <sheetName val="8.46"/>
      <sheetName val="8.47"/>
      <sheetName val="8.48"/>
      <sheetName val="8.49"/>
      <sheetName val="8.50"/>
      <sheetName val="8.51"/>
      <sheetName val="8.52"/>
      <sheetName val="8.53"/>
      <sheetName val="8.54"/>
      <sheetName val="8.55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6">
          <cell r="O6" t="str">
            <v>Male</v>
          </cell>
          <cell r="P6" t="str">
            <v>Female</v>
          </cell>
        </row>
        <row r="9">
          <cell r="A9" t="str">
            <v>15 - 19</v>
          </cell>
          <cell r="O9"/>
          <cell r="P9"/>
        </row>
        <row r="10">
          <cell r="A10" t="str">
            <v>20 - 24</v>
          </cell>
          <cell r="O10"/>
          <cell r="P10"/>
        </row>
        <row r="11">
          <cell r="A11" t="str">
            <v>25 - 29</v>
          </cell>
          <cell r="O11"/>
          <cell r="P11"/>
        </row>
        <row r="12">
          <cell r="A12" t="str">
            <v>30 - 34</v>
          </cell>
          <cell r="O12"/>
          <cell r="P12"/>
        </row>
        <row r="13">
          <cell r="A13" t="str">
            <v>35 - 39</v>
          </cell>
          <cell r="O13"/>
          <cell r="P13"/>
        </row>
        <row r="14">
          <cell r="A14" t="str">
            <v>40 - 49</v>
          </cell>
          <cell r="O14"/>
          <cell r="P14"/>
          <cell r="AA14" t="str">
            <v>Both sexes</v>
          </cell>
          <cell r="AB14" t="str">
            <v>Male</v>
          </cell>
          <cell r="AC14" t="str">
            <v>Female</v>
          </cell>
        </row>
        <row r="15">
          <cell r="A15" t="str">
            <v>50 &amp; Over</v>
          </cell>
          <cell r="O15"/>
          <cell r="P15"/>
          <cell r="Z15">
            <v>2014</v>
          </cell>
          <cell r="AA15">
            <v>401</v>
          </cell>
          <cell r="AB15">
            <v>342</v>
          </cell>
          <cell r="AC15">
            <v>59</v>
          </cell>
        </row>
        <row r="16">
          <cell r="Z16">
            <v>2015</v>
          </cell>
          <cell r="AA16">
            <v>358</v>
          </cell>
          <cell r="AB16">
            <v>302</v>
          </cell>
          <cell r="AC16">
            <v>56</v>
          </cell>
        </row>
        <row r="17">
          <cell r="Z17">
            <v>2016</v>
          </cell>
          <cell r="AA17">
            <v>828</v>
          </cell>
          <cell r="AB17">
            <v>752</v>
          </cell>
          <cell r="AC17">
            <v>76</v>
          </cell>
        </row>
        <row r="18">
          <cell r="Z18">
            <v>2017</v>
          </cell>
          <cell r="AA18">
            <v>1124</v>
          </cell>
          <cell r="AB18">
            <v>1058</v>
          </cell>
          <cell r="AC18">
            <v>66</v>
          </cell>
        </row>
        <row r="19">
          <cell r="Z19">
            <v>2018</v>
          </cell>
          <cell r="AA19">
            <v>0</v>
          </cell>
          <cell r="AB19">
            <v>0</v>
          </cell>
          <cell r="AC19">
            <v>0</v>
          </cell>
        </row>
      </sheetData>
      <sheetData sheetId="45">
        <row r="34">
          <cell r="AN34" t="str">
            <v>Jailed</v>
          </cell>
          <cell r="AO34" t="str">
            <v>Banished</v>
          </cell>
          <cell r="AP34" t="str">
            <v>House Arrest/Detention</v>
          </cell>
        </row>
        <row r="35">
          <cell r="AM35">
            <v>2014</v>
          </cell>
          <cell r="AN35">
            <v>278</v>
          </cell>
          <cell r="AO35">
            <v>24</v>
          </cell>
          <cell r="AP35">
            <v>99</v>
          </cell>
        </row>
        <row r="36">
          <cell r="AM36">
            <v>2015</v>
          </cell>
          <cell r="AN36">
            <v>257</v>
          </cell>
          <cell r="AO36">
            <v>8</v>
          </cell>
          <cell r="AP36">
            <v>93</v>
          </cell>
        </row>
        <row r="37">
          <cell r="AM37">
            <v>2016</v>
          </cell>
          <cell r="AN37">
            <v>742</v>
          </cell>
          <cell r="AO37">
            <v>5</v>
          </cell>
          <cell r="AP37">
            <v>81</v>
          </cell>
        </row>
        <row r="38">
          <cell r="AM38">
            <v>2017</v>
          </cell>
          <cell r="AN38">
            <v>893</v>
          </cell>
          <cell r="AO38">
            <v>2</v>
          </cell>
          <cell r="AP38">
            <v>229</v>
          </cell>
        </row>
        <row r="39">
          <cell r="AM39">
            <v>2018</v>
          </cell>
          <cell r="AN39">
            <v>0</v>
          </cell>
          <cell r="AO39">
            <v>0</v>
          </cell>
          <cell r="AP39">
            <v>0</v>
          </cell>
        </row>
        <row r="45">
          <cell r="AN45" t="str">
            <v>Male</v>
          </cell>
          <cell r="AO45" t="str">
            <v>Female</v>
          </cell>
        </row>
        <row r="46">
          <cell r="AM46" t="str">
            <v>Less than 1 year</v>
          </cell>
          <cell r="AQ46">
            <v>96</v>
          </cell>
          <cell r="AR46">
            <v>4</v>
          </cell>
        </row>
        <row r="47">
          <cell r="AM47" t="str">
            <v>1 - 2 years</v>
          </cell>
          <cell r="AQ47">
            <v>82.051282051282044</v>
          </cell>
          <cell r="AR47">
            <v>17.948717948717949</v>
          </cell>
        </row>
        <row r="48">
          <cell r="AM48" t="str">
            <v>2 - 3 years</v>
          </cell>
          <cell r="AQ48">
            <v>86.36363636363636</v>
          </cell>
          <cell r="AR48">
            <v>13.636363636363635</v>
          </cell>
        </row>
        <row r="49">
          <cell r="AM49" t="str">
            <v>3 - 4 years</v>
          </cell>
          <cell r="AQ49">
            <v>94.666666666666671</v>
          </cell>
          <cell r="AR49">
            <v>5.3333333333333339</v>
          </cell>
        </row>
        <row r="50">
          <cell r="AM50" t="str">
            <v>4 - 5 years</v>
          </cell>
          <cell r="AQ50">
            <v>100</v>
          </cell>
          <cell r="AR50">
            <v>0</v>
          </cell>
        </row>
        <row r="51">
          <cell r="AM51" t="str">
            <v>5 years &amp; Over</v>
          </cell>
          <cell r="AQ51">
            <v>92.592592592592595</v>
          </cell>
          <cell r="AR51">
            <v>7.4074074074074066</v>
          </cell>
        </row>
        <row r="59">
          <cell r="AN59">
            <v>2014</v>
          </cell>
          <cell r="AO59">
            <v>2015</v>
          </cell>
          <cell r="AP59">
            <v>2016</v>
          </cell>
          <cell r="AQ59">
            <v>2017</v>
          </cell>
        </row>
        <row r="60">
          <cell r="AM60" t="str">
            <v>Less than 1 year</v>
          </cell>
          <cell r="AN60">
            <v>93</v>
          </cell>
          <cell r="AO60">
            <v>92</v>
          </cell>
          <cell r="AP60">
            <v>79</v>
          </cell>
          <cell r="AQ60">
            <v>750</v>
          </cell>
        </row>
        <row r="61">
          <cell r="AM61" t="str">
            <v>1 - 2 years</v>
          </cell>
          <cell r="AN61">
            <v>98</v>
          </cell>
          <cell r="AO61">
            <v>51</v>
          </cell>
          <cell r="AP61">
            <v>60</v>
          </cell>
          <cell r="AQ61">
            <v>117</v>
          </cell>
        </row>
        <row r="62">
          <cell r="AM62" t="str">
            <v>2 - 3 years</v>
          </cell>
          <cell r="AN62">
            <v>94</v>
          </cell>
          <cell r="AO62">
            <v>66</v>
          </cell>
          <cell r="AP62">
            <v>162</v>
          </cell>
          <cell r="AQ62">
            <v>22</v>
          </cell>
        </row>
        <row r="63">
          <cell r="AM63" t="str">
            <v>3 - 4 years</v>
          </cell>
          <cell r="AN63">
            <v>25</v>
          </cell>
          <cell r="AO63">
            <v>87</v>
          </cell>
          <cell r="AP63">
            <v>188</v>
          </cell>
          <cell r="AQ63">
            <v>150</v>
          </cell>
        </row>
        <row r="64">
          <cell r="AM64" t="str">
            <v>4 - 5 years</v>
          </cell>
          <cell r="AN64">
            <v>56</v>
          </cell>
          <cell r="AO64">
            <v>47</v>
          </cell>
          <cell r="AP64">
            <v>100</v>
          </cell>
          <cell r="AQ64">
            <v>4</v>
          </cell>
        </row>
        <row r="65">
          <cell r="AM65" t="str">
            <v>5 years &amp; Over</v>
          </cell>
          <cell r="AN65">
            <v>34</v>
          </cell>
          <cell r="AO65">
            <v>15</v>
          </cell>
          <cell r="AP65">
            <v>239</v>
          </cell>
          <cell r="AQ65">
            <v>81</v>
          </cell>
        </row>
        <row r="79">
          <cell r="AN79" t="str">
            <v>Jailed</v>
          </cell>
          <cell r="AO79" t="str">
            <v>Banished</v>
          </cell>
          <cell r="AP79" t="str">
            <v>House Arrest/Detention</v>
          </cell>
        </row>
        <row r="80">
          <cell r="AN80">
            <v>893</v>
          </cell>
          <cell r="AO80">
            <v>2</v>
          </cell>
          <cell r="AP80">
            <v>229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6"/>
      <sheetName val="8.27"/>
      <sheetName val="8.28"/>
      <sheetName val="8.20 workings"/>
    </sheetNames>
    <sheetDataSet>
      <sheetData sheetId="0"/>
      <sheetData sheetId="1">
        <row r="30">
          <cell r="R30">
            <v>2011</v>
          </cell>
          <cell r="S30">
            <v>2012</v>
          </cell>
          <cell r="T30">
            <v>2013</v>
          </cell>
          <cell r="U30">
            <v>2014</v>
          </cell>
          <cell r="V30">
            <v>2015</v>
          </cell>
          <cell r="W30">
            <v>2016</v>
          </cell>
          <cell r="X30">
            <v>2017</v>
          </cell>
          <cell r="Y30">
            <v>2018</v>
          </cell>
        </row>
        <row r="31">
          <cell r="Q31" t="str">
            <v>Completion rate</v>
          </cell>
          <cell r="R31">
            <v>86.812804453723032</v>
          </cell>
          <cell r="S31">
            <v>61.540749553837003</v>
          </cell>
          <cell r="T31">
            <v>70.99408617290905</v>
          </cell>
          <cell r="U31">
            <v>70.70082449941107</v>
          </cell>
          <cell r="V31">
            <v>70.769571967176759</v>
          </cell>
          <cell r="W31">
            <v>96.101645971700833</v>
          </cell>
          <cell r="X31">
            <v>98.131868131868131</v>
          </cell>
          <cell r="Y31">
            <v>99.701195219123505</v>
          </cell>
        </row>
        <row r="32">
          <cell r="Q32" t="str">
            <v>Submission rate to courts</v>
          </cell>
          <cell r="R32">
            <v>64.370215727209469</v>
          </cell>
          <cell r="S32">
            <v>42.504461629982153</v>
          </cell>
          <cell r="T32">
            <v>51.281329203041395</v>
          </cell>
          <cell r="U32">
            <v>44.081272084805654</v>
          </cell>
          <cell r="V32">
            <v>40.607673541805276</v>
          </cell>
          <cell r="W32">
            <v>97.458850707479058</v>
          </cell>
          <cell r="X32">
            <v>118.05860805860806</v>
          </cell>
          <cell r="Y32">
            <v>132.36763236763235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"/>
  <sheetViews>
    <sheetView tabSelected="1" zoomScaleNormal="100" workbookViewId="0">
      <selection activeCell="AA5" sqref="AA5"/>
    </sheetView>
  </sheetViews>
  <sheetFormatPr defaultColWidth="9.140625" defaultRowHeight="15"/>
  <cols>
    <col min="1" max="1" width="28.42578125" style="36" customWidth="1"/>
    <col min="2" max="10" width="9.7109375" style="36" customWidth="1"/>
    <col min="11" max="11" width="27.85546875" style="1" customWidth="1"/>
    <col min="12" max="12" width="2.140625" style="1" customWidth="1"/>
    <col min="13" max="16384" width="9.140625" style="1"/>
  </cols>
  <sheetData>
    <row r="1" spans="1:12" ht="21" customHeight="1">
      <c r="A1" s="43" t="s">
        <v>53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2" s="7" customFormat="1" ht="18.75" customHeight="1">
      <c r="A2" s="44" t="s">
        <v>54</v>
      </c>
      <c r="B2" s="44"/>
      <c r="C2" s="44"/>
      <c r="D2" s="44"/>
      <c r="E2" s="44"/>
      <c r="F2" s="44"/>
      <c r="G2" s="44"/>
      <c r="H2" s="44"/>
      <c r="I2" s="44"/>
      <c r="J2" s="44"/>
      <c r="K2" s="44"/>
    </row>
    <row r="3" spans="1:12" s="2" customFormat="1" ht="2.25" customHeight="1">
      <c r="A3" s="8"/>
      <c r="B3" s="9"/>
      <c r="C3" s="9"/>
      <c r="D3" s="9"/>
      <c r="E3" s="9"/>
      <c r="F3" s="9"/>
      <c r="G3" s="9"/>
      <c r="H3" s="9"/>
      <c r="I3" s="9"/>
      <c r="J3" s="9"/>
    </row>
    <row r="4" spans="1:12" s="2" customFormat="1" ht="16.5" customHeight="1">
      <c r="A4" s="42" t="s">
        <v>5</v>
      </c>
      <c r="B4" s="45" t="s">
        <v>7</v>
      </c>
      <c r="C4" s="45"/>
      <c r="D4" s="45"/>
      <c r="E4" s="45"/>
      <c r="F4" s="45"/>
      <c r="G4" s="45"/>
      <c r="H4" s="45"/>
      <c r="I4" s="45"/>
      <c r="J4" s="45"/>
      <c r="K4" s="46" t="s">
        <v>6</v>
      </c>
    </row>
    <row r="5" spans="1:12" s="2" customFormat="1" ht="13.5" customHeight="1">
      <c r="A5" s="41"/>
      <c r="B5" s="10">
        <v>2010</v>
      </c>
      <c r="C5" s="10">
        <v>2011</v>
      </c>
      <c r="D5" s="10">
        <v>2012</v>
      </c>
      <c r="E5" s="10">
        <v>2013</v>
      </c>
      <c r="F5" s="10">
        <v>2014</v>
      </c>
      <c r="G5" s="10">
        <v>2015</v>
      </c>
      <c r="H5" s="10">
        <v>2016</v>
      </c>
      <c r="I5" s="10">
        <v>2017</v>
      </c>
      <c r="J5" s="11">
        <v>2018</v>
      </c>
      <c r="K5" s="47"/>
    </row>
    <row r="6" spans="1:12" s="5" customFormat="1" ht="18" customHeight="1">
      <c r="A6" s="12" t="s">
        <v>2</v>
      </c>
      <c r="B6" s="13">
        <f>B8+B7</f>
        <v>932</v>
      </c>
      <c r="C6" s="13">
        <f t="shared" ref="C6:H6" si="0">C8+C7</f>
        <v>1002</v>
      </c>
      <c r="D6" s="13">
        <f t="shared" si="0"/>
        <v>1294</v>
      </c>
      <c r="E6" s="13">
        <f t="shared" si="0"/>
        <v>1318</v>
      </c>
      <c r="F6" s="13">
        <f>F8+F7</f>
        <v>932</v>
      </c>
      <c r="G6" s="13">
        <f>G8+G7</f>
        <v>833</v>
      </c>
      <c r="H6" s="13">
        <f t="shared" si="0"/>
        <v>958</v>
      </c>
      <c r="I6" s="13">
        <f>SUM(I7:I8)</f>
        <v>750</v>
      </c>
      <c r="J6" s="4">
        <v>930</v>
      </c>
      <c r="K6" s="14" t="s">
        <v>8</v>
      </c>
    </row>
    <row r="7" spans="1:12" s="5" customFormat="1" ht="18" customHeight="1">
      <c r="A7" s="15" t="s">
        <v>3</v>
      </c>
      <c r="B7" s="16">
        <v>437</v>
      </c>
      <c r="C7" s="16">
        <v>356</v>
      </c>
      <c r="D7" s="16">
        <v>512</v>
      </c>
      <c r="E7" s="16">
        <v>646</v>
      </c>
      <c r="F7" s="16">
        <v>520</v>
      </c>
      <c r="G7" s="16">
        <v>301</v>
      </c>
      <c r="H7" s="16">
        <v>357</v>
      </c>
      <c r="I7" s="16">
        <v>285</v>
      </c>
      <c r="J7" s="5">
        <v>455</v>
      </c>
      <c r="K7" s="17" t="s">
        <v>0</v>
      </c>
    </row>
    <row r="8" spans="1:12" s="5" customFormat="1" ht="18" customHeight="1">
      <c r="A8" s="15" t="s">
        <v>4</v>
      </c>
      <c r="B8" s="16">
        <f>SUM(B9:B29)</f>
        <v>495</v>
      </c>
      <c r="C8" s="16">
        <f t="shared" ref="C8:I8" si="1">SUM(C9:C29)</f>
        <v>646</v>
      </c>
      <c r="D8" s="16">
        <f t="shared" si="1"/>
        <v>782</v>
      </c>
      <c r="E8" s="16">
        <f t="shared" si="1"/>
        <v>672</v>
      </c>
      <c r="F8" s="16">
        <f t="shared" si="1"/>
        <v>412</v>
      </c>
      <c r="G8" s="16">
        <f t="shared" si="1"/>
        <v>532</v>
      </c>
      <c r="H8" s="16">
        <f t="shared" si="1"/>
        <v>601</v>
      </c>
      <c r="I8" s="16">
        <f t="shared" si="1"/>
        <v>465</v>
      </c>
      <c r="J8" s="5">
        <v>475</v>
      </c>
      <c r="K8" s="17" t="s">
        <v>1</v>
      </c>
      <c r="L8" s="18"/>
    </row>
    <row r="9" spans="1:12" ht="18" customHeight="1">
      <c r="A9" s="19" t="s">
        <v>9</v>
      </c>
      <c r="B9" s="20">
        <v>52</v>
      </c>
      <c r="C9" s="20">
        <v>50</v>
      </c>
      <c r="D9" s="20">
        <v>61</v>
      </c>
      <c r="E9" s="20">
        <v>69</v>
      </c>
      <c r="F9" s="20">
        <v>32</v>
      </c>
      <c r="G9" s="20">
        <v>25</v>
      </c>
      <c r="H9" s="20">
        <v>46</v>
      </c>
      <c r="I9" s="20">
        <v>34</v>
      </c>
      <c r="J9" s="37">
        <v>39</v>
      </c>
      <c r="K9" s="21" t="s">
        <v>10</v>
      </c>
      <c r="L9" s="22"/>
    </row>
    <row r="10" spans="1:12" ht="18" customHeight="1">
      <c r="A10" s="19" t="s">
        <v>11</v>
      </c>
      <c r="B10" s="20">
        <v>40</v>
      </c>
      <c r="C10" s="20">
        <v>43</v>
      </c>
      <c r="D10" s="20">
        <v>40</v>
      </c>
      <c r="E10" s="20">
        <v>33</v>
      </c>
      <c r="F10" s="20">
        <v>23</v>
      </c>
      <c r="G10" s="20">
        <v>40</v>
      </c>
      <c r="H10" s="20">
        <v>77</v>
      </c>
      <c r="I10" s="20">
        <v>43</v>
      </c>
      <c r="J10" s="38">
        <v>17</v>
      </c>
      <c r="K10" s="21" t="s">
        <v>12</v>
      </c>
      <c r="L10" s="23"/>
    </row>
    <row r="11" spans="1:12" ht="18" customHeight="1">
      <c r="A11" s="19" t="s">
        <v>13</v>
      </c>
      <c r="B11" s="20">
        <v>24</v>
      </c>
      <c r="C11" s="20">
        <v>16</v>
      </c>
      <c r="D11" s="20">
        <v>18</v>
      </c>
      <c r="E11" s="20">
        <v>9</v>
      </c>
      <c r="F11" s="20">
        <v>18</v>
      </c>
      <c r="G11" s="20">
        <v>22</v>
      </c>
      <c r="H11" s="20">
        <v>39</v>
      </c>
      <c r="I11" s="20">
        <v>27</v>
      </c>
      <c r="J11" s="38">
        <v>31</v>
      </c>
      <c r="K11" s="24" t="s">
        <v>14</v>
      </c>
      <c r="L11" s="23"/>
    </row>
    <row r="12" spans="1:12" ht="18" customHeight="1">
      <c r="A12" s="19" t="s">
        <v>15</v>
      </c>
      <c r="B12" s="20">
        <v>24</v>
      </c>
      <c r="C12" s="20">
        <v>42</v>
      </c>
      <c r="D12" s="20">
        <v>23</v>
      </c>
      <c r="E12" s="20">
        <v>33</v>
      </c>
      <c r="F12" s="20">
        <v>16</v>
      </c>
      <c r="G12" s="20">
        <v>35</v>
      </c>
      <c r="H12" s="20">
        <v>28</v>
      </c>
      <c r="I12" s="20">
        <v>12</v>
      </c>
      <c r="J12" s="38">
        <v>21</v>
      </c>
      <c r="K12" s="24" t="s">
        <v>16</v>
      </c>
      <c r="L12" s="2"/>
    </row>
    <row r="13" spans="1:12" ht="18" customHeight="1">
      <c r="A13" s="19" t="s">
        <v>17</v>
      </c>
      <c r="B13" s="20">
        <v>16</v>
      </c>
      <c r="C13" s="20">
        <v>21</v>
      </c>
      <c r="D13" s="20">
        <v>41</v>
      </c>
      <c r="E13" s="20">
        <v>28</v>
      </c>
      <c r="F13" s="20">
        <v>16</v>
      </c>
      <c r="G13" s="20">
        <v>37</v>
      </c>
      <c r="H13" s="20">
        <v>17</v>
      </c>
      <c r="I13" s="20">
        <v>27</v>
      </c>
      <c r="J13" s="39">
        <v>46</v>
      </c>
      <c r="K13" s="24" t="s">
        <v>18</v>
      </c>
      <c r="L13" s="25"/>
    </row>
    <row r="14" spans="1:12" ht="18" customHeight="1">
      <c r="A14" s="19" t="s">
        <v>19</v>
      </c>
      <c r="B14" s="20">
        <v>10</v>
      </c>
      <c r="C14" s="20">
        <v>21</v>
      </c>
      <c r="D14" s="20">
        <v>22</v>
      </c>
      <c r="E14" s="20">
        <v>46</v>
      </c>
      <c r="F14" s="20">
        <v>12</v>
      </c>
      <c r="G14" s="20">
        <v>12</v>
      </c>
      <c r="H14" s="20">
        <v>12</v>
      </c>
      <c r="I14" s="20">
        <v>17</v>
      </c>
      <c r="J14" s="3">
        <v>26</v>
      </c>
      <c r="K14" s="24" t="s">
        <v>20</v>
      </c>
      <c r="L14" s="25"/>
    </row>
    <row r="15" spans="1:12" ht="18" customHeight="1">
      <c r="A15" s="19" t="s">
        <v>21</v>
      </c>
      <c r="B15" s="20">
        <v>31</v>
      </c>
      <c r="C15" s="20">
        <v>28</v>
      </c>
      <c r="D15" s="20">
        <v>16</v>
      </c>
      <c r="E15" s="20">
        <v>25</v>
      </c>
      <c r="F15" s="20">
        <v>5</v>
      </c>
      <c r="G15" s="20">
        <v>11</v>
      </c>
      <c r="H15" s="20">
        <v>15</v>
      </c>
      <c r="I15" s="20">
        <v>9</v>
      </c>
      <c r="J15" s="3">
        <v>26</v>
      </c>
      <c r="K15" s="24" t="s">
        <v>22</v>
      </c>
      <c r="L15" s="25"/>
    </row>
    <row r="16" spans="1:12" ht="18" customHeight="1">
      <c r="A16" s="19" t="s">
        <v>23</v>
      </c>
      <c r="B16" s="20">
        <v>18</v>
      </c>
      <c r="C16" s="20">
        <v>14</v>
      </c>
      <c r="D16" s="20">
        <v>32</v>
      </c>
      <c r="E16" s="20">
        <v>18</v>
      </c>
      <c r="F16" s="20">
        <v>23</v>
      </c>
      <c r="G16" s="20">
        <v>16</v>
      </c>
      <c r="H16" s="20">
        <v>21</v>
      </c>
      <c r="I16" s="20">
        <v>16</v>
      </c>
      <c r="J16" s="3">
        <v>24</v>
      </c>
      <c r="K16" s="24" t="s">
        <v>24</v>
      </c>
      <c r="L16" s="25"/>
    </row>
    <row r="17" spans="1:12" ht="18.75">
      <c r="A17" s="19" t="s">
        <v>25</v>
      </c>
      <c r="B17" s="20">
        <v>24</v>
      </c>
      <c r="C17" s="20">
        <v>9</v>
      </c>
      <c r="D17" s="20">
        <v>22</v>
      </c>
      <c r="E17" s="20">
        <v>23</v>
      </c>
      <c r="F17" s="20">
        <v>25</v>
      </c>
      <c r="G17" s="20">
        <v>22</v>
      </c>
      <c r="H17" s="20">
        <v>13</v>
      </c>
      <c r="I17" s="20">
        <v>18</v>
      </c>
      <c r="J17" s="3">
        <v>5</v>
      </c>
      <c r="K17" s="24" t="s">
        <v>26</v>
      </c>
      <c r="L17" s="25"/>
    </row>
    <row r="18" spans="1:12" ht="18.75">
      <c r="A18" s="19" t="s">
        <v>27</v>
      </c>
      <c r="B18" s="20">
        <v>16</v>
      </c>
      <c r="C18" s="20">
        <v>13</v>
      </c>
      <c r="D18" s="20">
        <v>17</v>
      </c>
      <c r="E18" s="20">
        <v>31</v>
      </c>
      <c r="F18" s="20">
        <v>6</v>
      </c>
      <c r="G18" s="20">
        <v>29</v>
      </c>
      <c r="H18" s="20">
        <v>39</v>
      </c>
      <c r="I18" s="20">
        <v>35</v>
      </c>
      <c r="J18" s="3">
        <v>28</v>
      </c>
      <c r="K18" s="24" t="s">
        <v>28</v>
      </c>
      <c r="L18" s="25"/>
    </row>
    <row r="19" spans="1:12" ht="18.75">
      <c r="A19" s="19" t="s">
        <v>29</v>
      </c>
      <c r="B19" s="20">
        <v>10</v>
      </c>
      <c r="C19" s="20">
        <v>1</v>
      </c>
      <c r="D19" s="20">
        <v>5</v>
      </c>
      <c r="E19" s="20">
        <v>9</v>
      </c>
      <c r="F19" s="20">
        <v>7</v>
      </c>
      <c r="G19" s="20">
        <v>8</v>
      </c>
      <c r="H19" s="20">
        <v>2</v>
      </c>
      <c r="I19" s="20">
        <v>1</v>
      </c>
      <c r="J19" s="3">
        <v>2</v>
      </c>
      <c r="K19" s="24" t="s">
        <v>30</v>
      </c>
      <c r="L19" s="26"/>
    </row>
    <row r="20" spans="1:12" ht="18.75">
      <c r="A20" s="19" t="s">
        <v>31</v>
      </c>
      <c r="B20" s="20">
        <v>16</v>
      </c>
      <c r="C20" s="20">
        <v>15</v>
      </c>
      <c r="D20" s="20">
        <v>23</v>
      </c>
      <c r="E20" s="20">
        <v>11</v>
      </c>
      <c r="F20" s="20">
        <v>2</v>
      </c>
      <c r="G20" s="20">
        <v>5</v>
      </c>
      <c r="H20" s="20">
        <v>2</v>
      </c>
      <c r="I20" s="20">
        <v>11</v>
      </c>
      <c r="J20" s="3">
        <v>5</v>
      </c>
      <c r="K20" s="21" t="s">
        <v>32</v>
      </c>
      <c r="L20" s="26"/>
    </row>
    <row r="21" spans="1:12" ht="18.75">
      <c r="A21" s="19" t="s">
        <v>33</v>
      </c>
      <c r="B21" s="20">
        <v>6</v>
      </c>
      <c r="C21" s="20">
        <v>24</v>
      </c>
      <c r="D21" s="20">
        <v>36</v>
      </c>
      <c r="E21" s="20">
        <v>23</v>
      </c>
      <c r="F21" s="20">
        <v>20</v>
      </c>
      <c r="G21" s="20">
        <v>23</v>
      </c>
      <c r="H21" s="20">
        <v>26</v>
      </c>
      <c r="I21" s="20">
        <v>39</v>
      </c>
      <c r="J21" s="3">
        <v>5</v>
      </c>
      <c r="K21" s="24" t="s">
        <v>34</v>
      </c>
      <c r="L21" s="26"/>
    </row>
    <row r="22" spans="1:12" ht="18.75">
      <c r="A22" s="19" t="s">
        <v>35</v>
      </c>
      <c r="B22" s="20">
        <v>13</v>
      </c>
      <c r="C22" s="20">
        <v>16</v>
      </c>
      <c r="D22" s="20">
        <v>32</v>
      </c>
      <c r="E22" s="20">
        <v>27</v>
      </c>
      <c r="F22" s="20">
        <v>5</v>
      </c>
      <c r="G22" s="20">
        <v>7</v>
      </c>
      <c r="H22" s="20">
        <v>2</v>
      </c>
      <c r="I22" s="20">
        <v>9</v>
      </c>
      <c r="J22" s="3">
        <v>6</v>
      </c>
      <c r="K22" s="27" t="s">
        <v>36</v>
      </c>
    </row>
    <row r="23" spans="1:12" ht="18.75">
      <c r="A23" s="19" t="s">
        <v>37</v>
      </c>
      <c r="B23" s="20">
        <v>22</v>
      </c>
      <c r="C23" s="20">
        <v>59</v>
      </c>
      <c r="D23" s="20">
        <v>35</v>
      </c>
      <c r="E23" s="20">
        <v>38</v>
      </c>
      <c r="F23" s="20">
        <v>13</v>
      </c>
      <c r="G23" s="20">
        <v>29</v>
      </c>
      <c r="H23" s="20">
        <v>28</v>
      </c>
      <c r="I23" s="20">
        <v>16</v>
      </c>
      <c r="J23" s="3">
        <v>20</v>
      </c>
      <c r="K23" s="28" t="s">
        <v>38</v>
      </c>
    </row>
    <row r="24" spans="1:12" ht="18.75">
      <c r="A24" s="19" t="s">
        <v>39</v>
      </c>
      <c r="B24" s="20">
        <v>32</v>
      </c>
      <c r="C24" s="20">
        <v>56</v>
      </c>
      <c r="D24" s="20">
        <v>81</v>
      </c>
      <c r="E24" s="20">
        <v>75</v>
      </c>
      <c r="F24" s="20">
        <v>46</v>
      </c>
      <c r="G24" s="20">
        <v>49</v>
      </c>
      <c r="H24" s="20">
        <v>35</v>
      </c>
      <c r="I24" s="20">
        <v>27</v>
      </c>
      <c r="J24" s="3">
        <v>24</v>
      </c>
      <c r="K24" s="29" t="s">
        <v>40</v>
      </c>
    </row>
    <row r="25" spans="1:12" ht="18.75">
      <c r="A25" s="19" t="s">
        <v>41</v>
      </c>
      <c r="B25" s="20">
        <v>48</v>
      </c>
      <c r="C25" s="20">
        <v>43</v>
      </c>
      <c r="D25" s="20">
        <v>82</v>
      </c>
      <c r="E25" s="20">
        <v>41</v>
      </c>
      <c r="F25" s="20">
        <v>26</v>
      </c>
      <c r="G25" s="20">
        <v>55</v>
      </c>
      <c r="H25" s="20">
        <v>52</v>
      </c>
      <c r="I25" s="20">
        <v>49</v>
      </c>
      <c r="J25" s="3">
        <v>42</v>
      </c>
      <c r="K25" s="28" t="s">
        <v>42</v>
      </c>
    </row>
    <row r="26" spans="1:12" ht="18.75">
      <c r="A26" s="19" t="s">
        <v>43</v>
      </c>
      <c r="B26" s="20">
        <v>52</v>
      </c>
      <c r="C26" s="20">
        <v>111</v>
      </c>
      <c r="D26" s="20">
        <v>127</v>
      </c>
      <c r="E26" s="20">
        <v>60</v>
      </c>
      <c r="F26" s="20">
        <v>57</v>
      </c>
      <c r="G26" s="20">
        <v>60</v>
      </c>
      <c r="H26" s="20">
        <v>98</v>
      </c>
      <c r="I26" s="20">
        <v>35</v>
      </c>
      <c r="J26" s="3">
        <v>58</v>
      </c>
      <c r="K26" s="28" t="s">
        <v>44</v>
      </c>
    </row>
    <row r="27" spans="1:12" ht="18.75">
      <c r="A27" s="19" t="s">
        <v>45</v>
      </c>
      <c r="B27" s="20">
        <v>13</v>
      </c>
      <c r="C27" s="20">
        <v>17</v>
      </c>
      <c r="D27" s="20">
        <v>12</v>
      </c>
      <c r="E27" s="20">
        <v>24</v>
      </c>
      <c r="F27" s="20">
        <v>17</v>
      </c>
      <c r="G27" s="20">
        <v>23</v>
      </c>
      <c r="H27" s="20">
        <v>18</v>
      </c>
      <c r="I27" s="20">
        <v>11</v>
      </c>
      <c r="J27" s="3">
        <v>5</v>
      </c>
      <c r="K27" s="30" t="s">
        <v>46</v>
      </c>
    </row>
    <row r="28" spans="1:12" ht="18.75">
      <c r="A28" s="19" t="s">
        <v>47</v>
      </c>
      <c r="B28" s="20">
        <v>28</v>
      </c>
      <c r="C28" s="20">
        <v>47</v>
      </c>
      <c r="D28" s="20">
        <v>57</v>
      </c>
      <c r="E28" s="20">
        <v>47</v>
      </c>
      <c r="F28" s="20">
        <v>38</v>
      </c>
      <c r="G28" s="20">
        <v>23</v>
      </c>
      <c r="H28" s="20">
        <v>31</v>
      </c>
      <c r="I28" s="20">
        <v>29</v>
      </c>
      <c r="J28" s="3">
        <v>45</v>
      </c>
      <c r="K28" s="31" t="s">
        <v>48</v>
      </c>
    </row>
    <row r="29" spans="1:12" ht="18.75">
      <c r="A29" s="32" t="s">
        <v>49</v>
      </c>
      <c r="B29" s="33">
        <v>0</v>
      </c>
      <c r="C29" s="33">
        <v>0</v>
      </c>
      <c r="D29" s="33">
        <v>0</v>
      </c>
      <c r="E29" s="33">
        <v>2</v>
      </c>
      <c r="F29" s="33">
        <v>5</v>
      </c>
      <c r="G29" s="33">
        <v>1</v>
      </c>
      <c r="H29" s="33">
        <v>0</v>
      </c>
      <c r="I29" s="33">
        <v>0</v>
      </c>
      <c r="J29" s="40">
        <v>0</v>
      </c>
      <c r="K29" s="34" t="s">
        <v>50</v>
      </c>
    </row>
    <row r="30" spans="1:12" ht="18.75">
      <c r="A30" s="35" t="s">
        <v>51</v>
      </c>
      <c r="K30" s="6" t="s">
        <v>52</v>
      </c>
    </row>
    <row r="31" spans="1:12" ht="19.5" customHeight="1"/>
    <row r="49" spans="1:10">
      <c r="A49" s="1"/>
      <c r="B49" s="1"/>
      <c r="C49" s="1"/>
      <c r="D49" s="1"/>
      <c r="E49" s="1"/>
      <c r="F49" s="1"/>
      <c r="G49" s="1"/>
      <c r="H49" s="1"/>
      <c r="I49" s="1"/>
      <c r="J49" s="1"/>
    </row>
    <row r="56" spans="1:10">
      <c r="A56" s="1"/>
      <c r="B56" s="1"/>
      <c r="C56" s="1"/>
      <c r="D56" s="1"/>
      <c r="F56" s="1"/>
      <c r="G56" s="1"/>
      <c r="H56" s="1"/>
      <c r="I56" s="1"/>
      <c r="J56" s="1"/>
    </row>
  </sheetData>
  <mergeCells count="5">
    <mergeCell ref="A1:K1"/>
    <mergeCell ref="A2:K2"/>
    <mergeCell ref="A4:A5"/>
    <mergeCell ref="B4:J4"/>
    <mergeCell ref="K4:K5"/>
  </mergeCells>
  <pageMargins left="0.7" right="0.7" top="0.75" bottom="0.75" header="0.3" footer="0.3"/>
  <pageSetup paperSize="9" scale="60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8.37</vt:lpstr>
      <vt:lpstr>'8.37'!Print_Area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2019-12-15T08:30:51Z</cp:lastPrinted>
  <dcterms:created xsi:type="dcterms:W3CDTF">2019-06-30T04:22:49Z</dcterms:created>
  <dcterms:modified xsi:type="dcterms:W3CDTF">2019-12-15T08:31:03Z</dcterms:modified>
</cp:coreProperties>
</file>