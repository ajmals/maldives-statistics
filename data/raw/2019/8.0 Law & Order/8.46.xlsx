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46" sheetId="46" r:id="rId1"/>
  </sheets>
  <definedNames>
    <definedName name="_xlnm.Print_Area" localSheetId="0">'8.46'!$A$1:$L$18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46" l="1"/>
  <c r="B14" i="46"/>
  <c r="B13" i="46"/>
  <c r="B12" i="46"/>
  <c r="B11" i="46"/>
  <c r="B10" i="46"/>
  <c r="B6" i="46" s="1"/>
  <c r="B9" i="46"/>
  <c r="B8" i="46"/>
  <c r="B7" i="46"/>
  <c r="J6" i="46"/>
  <c r="I6" i="46"/>
  <c r="H6" i="46"/>
  <c r="G6" i="46"/>
  <c r="F6" i="46"/>
  <c r="E6" i="46"/>
  <c r="D6" i="46"/>
</calcChain>
</file>

<file path=xl/sharedStrings.xml><?xml version="1.0" encoding="utf-8"?>
<sst xmlns="http://schemas.openxmlformats.org/spreadsheetml/2006/main" count="36" uniqueCount="35">
  <si>
    <t>Total</t>
  </si>
  <si>
    <t>Others</t>
  </si>
  <si>
    <t>އެހެނިހެން</t>
  </si>
  <si>
    <t>ޖުމްލަ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</si>
  <si>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</si>
  <si>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</si>
  <si>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</si>
  <si>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</si>
  <si>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</si>
  <si>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</si>
  <si>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</si>
  <si>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</si>
  <si>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</si>
  <si>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</si>
  <si>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</si>
  <si>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</si>
  <si>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</si>
  <si>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</si>
  <si>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</si>
  <si>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</si>
  <si>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</si>
  <si>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 xml:space="preserve">Note: Others include: Child Deaths, Exploitation, Commercial Exploitation / Child Labor,  Commercial Sexual Exploitation,  Trafficking of Children, Victims of Bullying,  Child Abandonment 
</t>
  </si>
  <si>
    <t>Types of abuse</t>
  </si>
  <si>
    <t xml:space="preserve">Age-group </t>
  </si>
  <si>
    <t>under 1 year</t>
  </si>
  <si>
    <t>1 - 4</t>
  </si>
  <si>
    <t>5</t>
  </si>
  <si>
    <t>6 - 9</t>
  </si>
  <si>
    <t>10 - 14</t>
  </si>
  <si>
    <t>15</t>
  </si>
  <si>
    <t>16 - 18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</si>
  <si>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</si>
  <si>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</si>
  <si>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8.46: ޢުމުރުފުރާގެ ގޮތުން ކުޑަކުދިންނަށް ކުރާ އަނިޔާއާއިބެހެގޮތުން ހުށަހެޅިފައިވާ މައްސަލަތައް،  2018</t>
  </si>
  <si>
    <t>Table 8.46: NUMBER OF REPORTED CHILD ABUSE CASES BY TYPE AND AGE OF CHILD,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</si>
</sst>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8" fillId="0" borderId="0"/>
    <xf numFmtId="0" fontId="11" fillId="0" borderId="2" applyNumberFormat="0" applyFill="0" applyAlignment="0" applyProtection="0"/>
    <xf numFmtId="0" fontId="8" fillId="0" borderId="0"/>
  </cellStyleXfs>
  <cellXfs count="36">
    <xf numFmtId="0" fontId="0" fillId="0" borderId="0" xfId="0"/>
    <xf numFmtId="164" fontId="0" fillId="2" borderId="0" xfId="0" applyNumberFormat="1" applyFill="1"/>
    <xf numFmtId="164" fontId="3" fillId="2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/>
    <xf numFmtId="165" fontId="9" fillId="2" borderId="3" xfId="1" applyNumberFormat="1" applyFont="1" applyFill="1" applyBorder="1" applyAlignment="1">
      <alignment vertical="center" wrapText="1" readingOrder="2"/>
    </xf>
    <xf numFmtId="164" fontId="4" fillId="2" borderId="0" xfId="0" applyNumberFormat="1" applyFont="1" applyFill="1" applyBorder="1" applyAlignment="1">
      <alignment vertical="top"/>
    </xf>
    <xf numFmtId="164" fontId="2" fillId="2" borderId="3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5" applyFont="1" applyFill="1" applyBorder="1" applyAlignment="1">
      <alignment horizontal="right" vertical="center"/>
    </xf>
    <xf numFmtId="49" fontId="2" fillId="2" borderId="1" xfId="5" applyNumberFormat="1" applyFont="1" applyFill="1" applyBorder="1" applyAlignment="1">
      <alignment horizontal="right" vertical="center"/>
    </xf>
    <xf numFmtId="165" fontId="2" fillId="2" borderId="3" xfId="1" applyNumberFormat="1" applyFont="1" applyFill="1" applyBorder="1" applyAlignment="1">
      <alignment vertical="center" wrapText="1"/>
    </xf>
    <xf numFmtId="3" fontId="2" fillId="2" borderId="3" xfId="1" applyNumberFormat="1" applyFont="1" applyFill="1" applyBorder="1" applyAlignment="1">
      <alignment vertical="center" wrapText="1"/>
    </xf>
    <xf numFmtId="164" fontId="2" fillId="2" borderId="0" xfId="0" applyNumberFormat="1" applyFont="1" applyFill="1" applyAlignment="1">
      <alignment vertical="center"/>
    </xf>
    <xf numFmtId="165" fontId="3" fillId="2" borderId="0" xfId="1" applyNumberFormat="1" applyFont="1" applyFill="1" applyAlignment="1">
      <alignment horizontal="left" vertical="center" wrapText="1" indent="1"/>
    </xf>
    <xf numFmtId="3" fontId="2" fillId="2" borderId="0" xfId="1" applyNumberFormat="1" applyFont="1" applyFill="1" applyAlignment="1">
      <alignment vertical="center" wrapText="1"/>
    </xf>
    <xf numFmtId="165" fontId="10" fillId="2" borderId="0" xfId="1" applyNumberFormat="1" applyFont="1" applyFill="1" applyAlignment="1">
      <alignment horizontal="right" vertical="center" wrapText="1" indent="1" readingOrder="2"/>
    </xf>
    <xf numFmtId="3" fontId="2" fillId="2" borderId="0" xfId="1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horizontal="left" vertical="center" wrapText="1" indent="1"/>
    </xf>
    <xf numFmtId="3" fontId="2" fillId="2" borderId="1" xfId="1" applyNumberFormat="1" applyFont="1" applyFill="1" applyBorder="1" applyAlignment="1">
      <alignment vertical="center" wrapText="1"/>
    </xf>
    <xf numFmtId="165" fontId="12" fillId="2" borderId="1" xfId="1" applyNumberFormat="1" applyFont="1" applyFill="1" applyBorder="1" applyAlignment="1">
      <alignment horizontal="right" vertical="center" wrapText="1" indent="1" readingOrder="2"/>
    </xf>
    <xf numFmtId="164" fontId="10" fillId="2" borderId="0" xfId="0" applyNumberFormat="1" applyFont="1" applyFill="1" applyBorder="1" applyAlignment="1">
      <alignment vertical="top" readingOrder="2"/>
    </xf>
    <xf numFmtId="3" fontId="3" fillId="2" borderId="0" xfId="1" applyNumberFormat="1" applyFont="1" applyFill="1" applyBorder="1" applyAlignment="1">
      <alignment vertical="center" wrapText="1"/>
    </xf>
    <xf numFmtId="165" fontId="12" fillId="2" borderId="0" xfId="1" applyNumberFormat="1" applyFont="1" applyFill="1" applyBorder="1" applyAlignment="1">
      <alignment vertical="center" wrapText="1" readingOrder="2"/>
    </xf>
    <xf numFmtId="3" fontId="3" fillId="2" borderId="0" xfId="1" applyNumberFormat="1" applyFont="1" applyFill="1" applyAlignment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164" fontId="7" fillId="2" borderId="3" xfId="0" applyNumberFormat="1" applyFont="1" applyFill="1" applyBorder="1" applyAlignment="1">
      <alignment horizontal="left" vertical="center" wrapText="1"/>
    </xf>
    <xf numFmtId="164" fontId="9" fillId="2" borderId="0" xfId="0" applyNumberFormat="1" applyFont="1" applyFill="1" applyAlignment="1">
      <alignment horizontal="center" vertical="center" wrapText="1" readingOrder="2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right" vertical="center" wrapText="1" readingOrder="2"/>
    </xf>
    <xf numFmtId="164" fontId="9" fillId="2" borderId="1" xfId="0" applyNumberFormat="1" applyFont="1" applyFill="1" applyBorder="1" applyAlignment="1">
      <alignment horizontal="right" vertical="center" wrapText="1" readingOrder="2"/>
    </xf>
  </cellXfs>
  <cellStyles count="8">
    <cellStyle name="Comma" xfId="1" builtinId="3"/>
    <cellStyle name="Comma 2" xfId="2"/>
    <cellStyle name="Heading 1 2" xfId="6"/>
    <cellStyle name="Normal" xfId="0" builtinId="0"/>
    <cellStyle name="Normal 2" xfId="7"/>
    <cellStyle name="Normal 3" xfId="4"/>
    <cellStyle name="Normal_II-14(Population)" xfId="5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workbookViewId="0">
      <selection activeCell="I20" sqref="I20"/>
    </sheetView>
  </sheetViews>
  <sheetFormatPr defaultColWidth="6.85546875" defaultRowHeight="15"/>
  <cols>
    <col min="1" max="1" width="23" style="1" customWidth="1"/>
    <col min="2" max="2" width="6.85546875" style="1"/>
    <col min="3" max="3" width="3.28515625" style="1" customWidth="1"/>
    <col min="4" max="4" width="9.7109375" style="1" customWidth="1"/>
    <col min="5" max="10" width="10.85546875" style="1" customWidth="1"/>
    <col min="11" max="11" width="39.7109375" style="1" customWidth="1"/>
    <col min="12" max="12" width="3.28515625" style="1" customWidth="1"/>
    <col min="13" max="16384" width="6.85546875" style="1"/>
  </cols>
  <sheetData>
    <row r="1" spans="1:11" s="4" customFormat="1" ht="18.7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s="4" customFormat="1" ht="12.75">
      <c r="A2" s="28" t="s">
        <v>34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s="4" customFormat="1" ht="12.7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4" customFormat="1" ht="12.75">
      <c r="A4" s="29" t="s">
        <v>22</v>
      </c>
      <c r="B4" s="31" t="s">
        <v>0</v>
      </c>
      <c r="C4" s="7"/>
      <c r="D4" s="33" t="s">
        <v>23</v>
      </c>
      <c r="E4" s="33"/>
      <c r="F4" s="33"/>
      <c r="G4" s="33"/>
      <c r="H4" s="33"/>
      <c r="I4" s="33"/>
      <c r="J4" s="33"/>
      <c r="K4" s="34" t="s">
        <v>4</v>
      </c>
    </row>
    <row r="5" spans="1:11" s="4" customFormat="1" ht="12.75">
      <c r="A5" s="30"/>
      <c r="B5" s="32"/>
      <c r="C5" s="8"/>
      <c r="D5" s="9" t="s">
        <v>24</v>
      </c>
      <c r="E5" s="10" t="s">
        <v>25</v>
      </c>
      <c r="F5" s="10" t="s">
        <v>26</v>
      </c>
      <c r="G5" s="10" t="s">
        <v>27</v>
      </c>
      <c r="H5" s="10" t="s">
        <v>28</v>
      </c>
      <c r="I5" s="10" t="s">
        <v>29</v>
      </c>
      <c r="J5" s="10" t="s">
        <v>30</v>
      </c>
      <c r="K5" s="35"/>
    </row>
    <row r="6" spans="1:11" s="13" customFormat="1" ht="18.75">
      <c r="A6" s="11" t="s">
        <v>0</v>
      </c>
      <c r="B6" s="12">
        <f>SUM(B7:B15)</f>
        <v>1309</v>
      </c>
      <c r="C6" s="12"/>
      <c r="D6" s="12">
        <f t="shared" ref="D6:J6" si="0">SUM(D7:D15)</f>
        <v>54</v>
      </c>
      <c r="E6" s="12">
        <f t="shared" si="0"/>
        <v>223</v>
      </c>
      <c r="F6" s="12">
        <f t="shared" si="0"/>
        <v>95</v>
      </c>
      <c r="G6" s="12">
        <f t="shared" si="0"/>
        <v>269</v>
      </c>
      <c r="H6" s="12">
        <f t="shared" si="0"/>
        <v>402</v>
      </c>
      <c r="I6" s="12">
        <f t="shared" si="0"/>
        <v>102</v>
      </c>
      <c r="J6" s="12">
        <f t="shared" si="0"/>
        <v>164</v>
      </c>
      <c r="K6" s="5" t="s">
        <v>3</v>
      </c>
    </row>
    <row r="7" spans="1:11" s="2" customFormat="1" ht="18.75">
      <c r="A7" s="14" t="s">
        <v>5</v>
      </c>
      <c r="B7" s="15">
        <f>SUM(D7:J7)</f>
        <v>351</v>
      </c>
      <c r="C7" s="15"/>
      <c r="D7" s="24">
        <v>47</v>
      </c>
      <c r="E7" s="24">
        <v>85</v>
      </c>
      <c r="F7" s="24">
        <v>32</v>
      </c>
      <c r="G7" s="24">
        <v>87</v>
      </c>
      <c r="H7" s="24">
        <v>74</v>
      </c>
      <c r="I7" s="24">
        <v>6</v>
      </c>
      <c r="J7" s="24">
        <v>20</v>
      </c>
      <c r="K7" s="16" t="s">
        <v>6</v>
      </c>
    </row>
    <row r="8" spans="1:11" s="2" customFormat="1" ht="18.75">
      <c r="A8" s="14" t="s">
        <v>7</v>
      </c>
      <c r="B8" s="15">
        <f>SUM(D8:J8)</f>
        <v>316</v>
      </c>
      <c r="C8" s="15"/>
      <c r="D8" s="24">
        <v>6</v>
      </c>
      <c r="E8" s="24">
        <v>76</v>
      </c>
      <c r="F8" s="24">
        <v>30</v>
      </c>
      <c r="G8" s="24">
        <v>61</v>
      </c>
      <c r="H8" s="24">
        <v>87</v>
      </c>
      <c r="I8" s="24">
        <v>19</v>
      </c>
      <c r="J8" s="24">
        <v>37</v>
      </c>
      <c r="K8" s="16" t="s">
        <v>8</v>
      </c>
    </row>
    <row r="9" spans="1:11" s="2" customFormat="1" ht="18.75">
      <c r="A9" s="14" t="s">
        <v>11</v>
      </c>
      <c r="B9" s="15">
        <f>SUM(D9:J9)</f>
        <v>358</v>
      </c>
      <c r="C9" s="15"/>
      <c r="D9" s="24">
        <v>0</v>
      </c>
      <c r="E9" s="24">
        <v>24</v>
      </c>
      <c r="F9" s="24">
        <v>17</v>
      </c>
      <c r="G9" s="24">
        <v>69</v>
      </c>
      <c r="H9" s="24">
        <v>141</v>
      </c>
      <c r="I9" s="24">
        <v>43</v>
      </c>
      <c r="J9" s="24">
        <v>64</v>
      </c>
      <c r="K9" s="16" t="s">
        <v>12</v>
      </c>
    </row>
    <row r="10" spans="1:11" s="2" customFormat="1" ht="18.75">
      <c r="A10" s="14" t="s">
        <v>9</v>
      </c>
      <c r="B10" s="15">
        <f>SUM(D10:J10)</f>
        <v>113</v>
      </c>
      <c r="C10" s="15"/>
      <c r="D10" s="24">
        <v>0</v>
      </c>
      <c r="E10" s="24">
        <v>17</v>
      </c>
      <c r="F10" s="24">
        <v>9</v>
      </c>
      <c r="G10" s="24">
        <v>24</v>
      </c>
      <c r="H10" s="24">
        <v>39</v>
      </c>
      <c r="I10" s="24">
        <v>11</v>
      </c>
      <c r="J10" s="24">
        <v>13</v>
      </c>
      <c r="K10" s="16" t="s">
        <v>10</v>
      </c>
    </row>
    <row r="11" spans="1:11" s="2" customFormat="1" ht="18.75">
      <c r="A11" s="14" t="s">
        <v>13</v>
      </c>
      <c r="B11" s="15">
        <f t="shared" ref="B11:B15" si="1">SUM(D11:J11)</f>
        <v>31</v>
      </c>
      <c r="C11" s="15"/>
      <c r="D11" s="24">
        <v>0</v>
      </c>
      <c r="E11" s="24">
        <v>0</v>
      </c>
      <c r="F11" s="24">
        <v>2</v>
      </c>
      <c r="G11" s="24">
        <v>5</v>
      </c>
      <c r="H11" s="24">
        <v>18</v>
      </c>
      <c r="I11" s="24">
        <v>2</v>
      </c>
      <c r="J11" s="24">
        <v>4</v>
      </c>
      <c r="K11" s="16" t="s">
        <v>14</v>
      </c>
    </row>
    <row r="12" spans="1:11" s="2" customFormat="1" ht="18.75">
      <c r="A12" s="14" t="s">
        <v>15</v>
      </c>
      <c r="B12" s="15">
        <f t="shared" si="1"/>
        <v>27</v>
      </c>
      <c r="C12" s="17"/>
      <c r="D12" s="22">
        <v>0</v>
      </c>
      <c r="E12" s="22">
        <v>1</v>
      </c>
      <c r="F12" s="22">
        <v>0</v>
      </c>
      <c r="G12" s="22">
        <v>3</v>
      </c>
      <c r="H12" s="22">
        <v>9</v>
      </c>
      <c r="I12" s="22">
        <v>5</v>
      </c>
      <c r="J12" s="22">
        <v>9</v>
      </c>
      <c r="K12" s="16" t="s">
        <v>16</v>
      </c>
    </row>
    <row r="13" spans="1:11" s="2" customFormat="1" ht="31.5" customHeight="1">
      <c r="A13" s="14" t="s">
        <v>17</v>
      </c>
      <c r="B13" s="15">
        <f t="shared" si="1"/>
        <v>55</v>
      </c>
      <c r="C13" s="17"/>
      <c r="D13" s="22">
        <v>0</v>
      </c>
      <c r="E13" s="22">
        <v>17</v>
      </c>
      <c r="F13" s="22">
        <v>5</v>
      </c>
      <c r="G13" s="22">
        <v>9</v>
      </c>
      <c r="H13" s="22">
        <v>14</v>
      </c>
      <c r="I13" s="22">
        <v>6</v>
      </c>
      <c r="J13" s="22">
        <v>4</v>
      </c>
      <c r="K13" s="16" t="s">
        <v>18</v>
      </c>
    </row>
    <row r="14" spans="1:11" s="2" customFormat="1" ht="18.75" customHeight="1">
      <c r="A14" s="14" t="s">
        <v>19</v>
      </c>
      <c r="B14" s="15">
        <f t="shared" si="1"/>
        <v>19</v>
      </c>
      <c r="C14" s="17"/>
      <c r="D14" s="22">
        <v>0</v>
      </c>
      <c r="E14" s="22">
        <v>0</v>
      </c>
      <c r="F14" s="22">
        <v>0</v>
      </c>
      <c r="G14" s="22">
        <v>0</v>
      </c>
      <c r="H14" s="22">
        <v>5</v>
      </c>
      <c r="I14" s="22">
        <v>6</v>
      </c>
      <c r="J14" s="22">
        <v>8</v>
      </c>
      <c r="K14" s="16" t="s">
        <v>20</v>
      </c>
    </row>
    <row r="15" spans="1:11" s="2" customFormat="1" ht="18.75">
      <c r="A15" s="18" t="s">
        <v>1</v>
      </c>
      <c r="B15" s="19">
        <f t="shared" si="1"/>
        <v>39</v>
      </c>
      <c r="C15" s="19"/>
      <c r="D15" s="25">
        <v>1</v>
      </c>
      <c r="E15" s="25">
        <v>3</v>
      </c>
      <c r="F15" s="25">
        <v>0</v>
      </c>
      <c r="G15" s="25">
        <v>11</v>
      </c>
      <c r="H15" s="25">
        <v>15</v>
      </c>
      <c r="I15" s="25">
        <v>4</v>
      </c>
      <c r="J15" s="25">
        <v>5</v>
      </c>
      <c r="K15" s="20" t="s">
        <v>2</v>
      </c>
    </row>
    <row r="16" spans="1:11" s="4" customFormat="1" ht="24" customHeight="1">
      <c r="A16" s="26" t="s">
        <v>21</v>
      </c>
      <c r="B16" s="26"/>
      <c r="C16" s="26"/>
      <c r="D16" s="26"/>
      <c r="E16" s="26"/>
      <c r="F16" s="26"/>
      <c r="G16" s="26"/>
      <c r="H16" s="26"/>
      <c r="I16" s="21"/>
      <c r="J16" s="21"/>
      <c r="K16" s="21" t="s">
        <v>31</v>
      </c>
    </row>
    <row r="17" spans="1:11" s="2" customFormat="1" ht="18.75">
      <c r="A17" s="6" t="s">
        <v>32</v>
      </c>
      <c r="B17" s="4"/>
      <c r="C17" s="4"/>
      <c r="D17" s="4"/>
      <c r="E17" s="22"/>
      <c r="F17" s="22"/>
      <c r="G17" s="22"/>
      <c r="H17" s="22"/>
      <c r="I17" s="22"/>
      <c r="J17" s="22"/>
      <c r="K17" s="23"/>
    </row>
  </sheetData>
  <mergeCells count="7">
    <mergeCell ref="A16:H16"/>
    <mergeCell ref="A1:K1"/>
    <mergeCell ref="A2:K2"/>
    <mergeCell ref="A4:A5"/>
    <mergeCell ref="B4:B5"/>
    <mergeCell ref="D4:J4"/>
    <mergeCell ref="K4:K5"/>
  </mergeCells>
  <pageMargins left="0.7" right="0.7" top="0.75" bottom="0.75" header="0.3" footer="0.3"/>
  <pageSetup paperSize="9" scale="5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8.46</vt:lpstr>
      <vt:lpstr>'8.46'!Print_Area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2019-12-15T09:02:03Z</cp:lastPrinted>
  <dcterms:created xsi:type="dcterms:W3CDTF">2019-06-30T04:22:49Z</dcterms:created>
  <dcterms:modified xsi:type="dcterms:W3CDTF">2019-12-15T09:02:11Z</dcterms:modified>
</cp:coreProperties>
</file>