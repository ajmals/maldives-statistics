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45" sheetId="45" r:id="rId1"/>
  </sheets>
  <definedNames>
    <definedName name="_xlnm.Print_Area" localSheetId="0">'8.45'!$A$1:$I$19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45" l="1"/>
  <c r="B16" i="45"/>
  <c r="E15" i="45"/>
  <c r="B15" i="45"/>
  <c r="E14" i="45"/>
  <c r="B14" i="45"/>
  <c r="E13" i="45"/>
  <c r="B13" i="45"/>
  <c r="E12" i="45"/>
  <c r="B12" i="45"/>
  <c r="E11" i="45"/>
  <c r="B11" i="45"/>
  <c r="E10" i="45"/>
  <c r="B10" i="45"/>
  <c r="E9" i="45"/>
  <c r="B9" i="45"/>
  <c r="E8" i="45"/>
  <c r="B8" i="45"/>
  <c r="G7" i="45"/>
  <c r="F7" i="45"/>
  <c r="E7" i="45"/>
  <c r="D7" i="45"/>
  <c r="C7" i="45"/>
  <c r="B7" i="45" s="1"/>
</calcChain>
</file>

<file path=xl/sharedStrings.xml><?xml version="1.0" encoding="utf-8"?>
<sst xmlns="http://schemas.openxmlformats.org/spreadsheetml/2006/main" count="39" uniqueCount="33">
  <si>
    <t>Total</t>
  </si>
  <si>
    <t>Others</t>
  </si>
  <si>
    <t>އެހެނިހެން</t>
  </si>
  <si>
    <t>ޖުމްލަ</t>
  </si>
  <si>
    <t>Male</t>
  </si>
  <si>
    <t>Female</t>
  </si>
  <si>
    <t>ފިރިހެން</t>
  </si>
  <si>
    <t>އަންހެން</t>
  </si>
  <si>
    <t xml:space="preserve">Types of abuse </t>
  </si>
  <si>
    <t>ކުރެވޭ އަނިޔާގެ ބާވަތް</t>
  </si>
  <si>
    <t>Neglect</t>
  </si>
  <si>
    <t>އަޅާނުލުން</t>
  </si>
  <si>
    <t>Physical Abuse</t>
  </si>
  <si>
    <t>ޖިސްމާނީ އަނިޔާ</t>
  </si>
  <si>
    <t>Emotional Abuse</t>
  </si>
  <si>
    <t>ނަފްސާނީ އަނިޔާ</t>
  </si>
  <si>
    <t>Sexual Abuse</t>
  </si>
  <si>
    <t>ޖިންސީ އަނިޔާ</t>
  </si>
  <si>
    <t>Bullying</t>
  </si>
  <si>
    <t xml:space="preserve">ގަނާކުރުން </t>
  </si>
  <si>
    <t>Harrasment</t>
  </si>
  <si>
    <t xml:space="preserve">ފުރައްސާރަކުރުން </t>
  </si>
  <si>
    <t>Witness to Domestic Violence</t>
  </si>
  <si>
    <t xml:space="preserve">ގެވެށި އަނިޔާގެ އަމަލެއް ކުރާތައް ކުއްޖަކަށް ދެއްކުން ނުވަތަ ފެނުން </t>
  </si>
  <si>
    <t>Cyber Bullying</t>
  </si>
  <si>
    <t>އެހެންކުދިންގެ ފަރާތުން އިންޓަރނެޓް މެދުވެރިކޮށް ގަނާ ލިބުން</t>
  </si>
  <si>
    <t xml:space="preserve">Note: Others include: Child Deaths, Exploitation, Commercial Exploitation / Child Labor,  Commercial Sexual Exploitation,  Trafficking of Children, Victims of Bullying,  Child Abandonment 
</t>
  </si>
  <si>
    <t>Both Sex</t>
  </si>
  <si>
    <t>ދެޖިންސު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</si>
  <si>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</si>
  <si>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</si>
  <si>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ތާވަލު 8.45: ޖިންސުގެ ގޮތުން ކުޑަކުދިންނަށް ކުރާ އަނިޔާއާއިބެހޭގޮތުން ހުށަހެޅިފައިވާ މައްސަލަތައް، 2017 - 2018</t>
  </si>
  <si>
    <t>Table 8.45: NUMBER OF REPORTED CHILD ABUSE  CASES (UNDER 18) BY TYPE AND SEX, 2017 - 2018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</si>
</sst>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Faruma"/>
    </font>
    <font>
      <sz val="10"/>
      <name val="Faruma"/>
    </font>
    <font>
      <sz val="12"/>
      <name val="Calibri"/>
      <family val="2"/>
      <scheme val="minor"/>
    </font>
    <font>
      <b/>
      <sz val="15"/>
      <color theme="3"/>
      <name val="Arial Mäori"/>
      <family val="2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/>
    <xf numFmtId="0" fontId="14" fillId="0" borderId="3" applyNumberFormat="0" applyFill="0" applyAlignment="0" applyProtection="0"/>
    <xf numFmtId="0" fontId="9" fillId="0" borderId="0"/>
  </cellStyleXfs>
  <cellXfs count="29">
    <xf numFmtId="0" fontId="0" fillId="0" borderId="0" xfId="0"/>
    <xf numFmtId="164" fontId="2" fillId="2" borderId="0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/>
    <xf numFmtId="165" fontId="10" fillId="2" borderId="4" xfId="1" applyNumberFormat="1" applyFont="1" applyFill="1" applyBorder="1" applyAlignment="1">
      <alignment vertical="center" wrapText="1"/>
    </xf>
    <xf numFmtId="165" fontId="2" fillId="2" borderId="4" xfId="1" applyNumberFormat="1" applyFont="1" applyFill="1" applyBorder="1" applyAlignment="1">
      <alignment horizontal="right" vertical="center" wrapText="1"/>
    </xf>
    <xf numFmtId="165" fontId="11" fillId="2" borderId="4" xfId="1" applyNumberFormat="1" applyFont="1" applyFill="1" applyBorder="1" applyAlignment="1">
      <alignment vertical="center" wrapText="1" readingOrder="2"/>
    </xf>
    <xf numFmtId="165" fontId="15" fillId="2" borderId="0" xfId="1" applyNumberFormat="1" applyFont="1" applyFill="1"/>
    <xf numFmtId="165" fontId="8" fillId="2" borderId="0" xfId="1" applyNumberFormat="1" applyFont="1" applyFill="1" applyAlignment="1">
      <alignment vertical="center" wrapText="1"/>
    </xf>
    <xf numFmtId="165" fontId="3" fillId="2" borderId="0" xfId="1" applyNumberFormat="1" applyFont="1" applyFill="1" applyAlignment="1">
      <alignment horizontal="right" vertical="center" wrapText="1"/>
    </xf>
    <xf numFmtId="165" fontId="12" fillId="2" borderId="0" xfId="1" applyNumberFormat="1" applyFont="1" applyFill="1" applyAlignment="1">
      <alignment vertical="center" wrapText="1" readingOrder="2"/>
    </xf>
    <xf numFmtId="165" fontId="13" fillId="2" borderId="0" xfId="1" applyNumberFormat="1" applyFont="1" applyFill="1"/>
    <xf numFmtId="165" fontId="12" fillId="2" borderId="1" xfId="1" applyNumberFormat="1" applyFont="1" applyFill="1" applyBorder="1" applyAlignment="1">
      <alignment vertical="center" wrapText="1" readingOrder="2"/>
    </xf>
    <xf numFmtId="164" fontId="4" fillId="2" borderId="0" xfId="0" applyNumberFormat="1" applyFont="1" applyFill="1" applyBorder="1" applyAlignment="1">
      <alignment vertical="top"/>
    </xf>
    <xf numFmtId="164" fontId="11" fillId="2" borderId="0" xfId="0" applyNumberFormat="1" applyFont="1" applyFill="1" applyBorder="1" applyAlignment="1">
      <alignment horizontal="right" vertical="center" wrapText="1"/>
    </xf>
    <xf numFmtId="165" fontId="3" fillId="2" borderId="0" xfId="1" applyNumberFormat="1" applyFont="1" applyFill="1" applyBorder="1" applyAlignment="1">
      <alignment horizontal="right" vertical="center" wrapText="1"/>
    </xf>
    <xf numFmtId="164" fontId="7" fillId="2" borderId="4" xfId="0" applyNumberFormat="1" applyFont="1" applyFill="1" applyBorder="1" applyAlignment="1">
      <alignment horizontal="left" vertical="center" wrapText="1"/>
    </xf>
    <xf numFmtId="164" fontId="12" fillId="2" borderId="0" xfId="0" applyNumberFormat="1" applyFont="1" applyFill="1" applyBorder="1" applyAlignment="1">
      <alignment vertical="top" readingOrder="2"/>
    </xf>
    <xf numFmtId="164" fontId="11" fillId="2" borderId="1" xfId="0" applyNumberFormat="1" applyFont="1" applyFill="1" applyBorder="1" applyAlignment="1">
      <alignment horizontal="right" vertical="center" wrapText="1"/>
    </xf>
    <xf numFmtId="164" fontId="7" fillId="2" borderId="4" xfId="0" applyNumberFormat="1" applyFont="1" applyFill="1" applyBorder="1" applyAlignment="1">
      <alignment horizontal="left" vertical="center" wrapText="1"/>
    </xf>
    <xf numFmtId="164" fontId="11" fillId="2" borderId="0" xfId="0" applyNumberFormat="1" applyFont="1" applyFill="1" applyAlignment="1">
      <alignment horizontal="center" vertical="center" wrapText="1" readingOrder="2"/>
    </xf>
    <xf numFmtId="164" fontId="2" fillId="2" borderId="0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left" vertical="center" wrapText="1"/>
    </xf>
    <xf numFmtId="164" fontId="2" fillId="2" borderId="0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11" fillId="2" borderId="4" xfId="0" applyNumberFormat="1" applyFont="1" applyFill="1" applyBorder="1" applyAlignment="1">
      <alignment horizontal="right" vertical="center" wrapText="1" readingOrder="2"/>
    </xf>
    <xf numFmtId="164" fontId="11" fillId="2" borderId="0" xfId="0" applyNumberFormat="1" applyFont="1" applyFill="1" applyBorder="1" applyAlignment="1">
      <alignment horizontal="right" vertical="center" wrapText="1" readingOrder="2"/>
    </xf>
    <xf numFmtId="164" fontId="11" fillId="2" borderId="1" xfId="0" applyNumberFormat="1" applyFont="1" applyFill="1" applyBorder="1" applyAlignment="1">
      <alignment horizontal="right" vertical="center" wrapText="1" readingOrder="2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zoomScaleNormal="100" workbookViewId="0">
      <selection activeCell="N6" sqref="N6"/>
    </sheetView>
  </sheetViews>
  <sheetFormatPr defaultColWidth="9.140625" defaultRowHeight="12.75"/>
  <cols>
    <col min="1" max="1" width="28.42578125" style="3" customWidth="1"/>
    <col min="2" max="7" width="11" style="3" customWidth="1"/>
    <col min="8" max="8" width="38.85546875" style="3" customWidth="1"/>
    <col min="9" max="9" width="3" style="3" customWidth="1"/>
    <col min="10" max="16384" width="9.140625" style="3"/>
  </cols>
  <sheetData>
    <row r="1" spans="1:8" ht="18.75">
      <c r="A1" s="20" t="s">
        <v>31</v>
      </c>
      <c r="B1" s="20"/>
      <c r="C1" s="20"/>
      <c r="D1" s="20"/>
      <c r="E1" s="20"/>
      <c r="F1" s="20"/>
      <c r="G1" s="20"/>
      <c r="H1" s="20"/>
    </row>
    <row r="2" spans="1:8">
      <c r="A2" s="21" t="s">
        <v>32</v>
      </c>
      <c r="B2" s="21"/>
      <c r="C2" s="21"/>
      <c r="D2" s="21"/>
      <c r="E2" s="21"/>
      <c r="F2" s="21"/>
      <c r="G2" s="21"/>
      <c r="H2" s="21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22" t="s">
        <v>8</v>
      </c>
      <c r="B4" s="25">
        <v>2017</v>
      </c>
      <c r="C4" s="25"/>
      <c r="D4" s="25"/>
      <c r="E4" s="25">
        <v>2018</v>
      </c>
      <c r="F4" s="25"/>
      <c r="G4" s="25"/>
      <c r="H4" s="26" t="s">
        <v>9</v>
      </c>
    </row>
    <row r="5" spans="1:8">
      <c r="A5" s="23"/>
      <c r="B5" s="1" t="s">
        <v>27</v>
      </c>
      <c r="C5" s="1" t="s">
        <v>4</v>
      </c>
      <c r="D5" s="1" t="s">
        <v>5</v>
      </c>
      <c r="E5" s="1" t="s">
        <v>27</v>
      </c>
      <c r="F5" s="1" t="s">
        <v>4</v>
      </c>
      <c r="G5" s="1" t="s">
        <v>5</v>
      </c>
      <c r="H5" s="27"/>
    </row>
    <row r="6" spans="1:8" ht="18.75">
      <c r="A6" s="24"/>
      <c r="B6" s="14" t="s">
        <v>28</v>
      </c>
      <c r="C6" s="14" t="s">
        <v>6</v>
      </c>
      <c r="D6" s="18" t="s">
        <v>7</v>
      </c>
      <c r="E6" s="14" t="s">
        <v>28</v>
      </c>
      <c r="F6" s="14" t="s">
        <v>6</v>
      </c>
      <c r="G6" s="18" t="s">
        <v>7</v>
      </c>
      <c r="H6" s="28"/>
    </row>
    <row r="7" spans="1:8" s="7" customFormat="1" ht="18.75">
      <c r="A7" s="4" t="s">
        <v>0</v>
      </c>
      <c r="B7" s="5">
        <f>SUM(C7:D7)</f>
        <v>1412</v>
      </c>
      <c r="C7" s="5">
        <f>SUM(C8:C16)</f>
        <v>677</v>
      </c>
      <c r="D7" s="5">
        <f>SUM(D8:D16)</f>
        <v>735</v>
      </c>
      <c r="E7" s="5">
        <f>SUM(F7:G7)</f>
        <v>1309</v>
      </c>
      <c r="F7" s="5">
        <f>SUM(F8:F16)</f>
        <v>588</v>
      </c>
      <c r="G7" s="5">
        <f>SUM(G8:G16)</f>
        <v>721</v>
      </c>
      <c r="H7" s="6" t="s">
        <v>3</v>
      </c>
    </row>
    <row r="8" spans="1:8" s="11" customFormat="1" ht="18.75">
      <c r="A8" s="8" t="s">
        <v>10</v>
      </c>
      <c r="B8" s="15">
        <f>SUM(C8:D8)</f>
        <v>297</v>
      </c>
      <c r="C8" s="9">
        <v>162</v>
      </c>
      <c r="D8" s="9">
        <v>135</v>
      </c>
      <c r="E8" s="15">
        <f>SUM(F8:G8)</f>
        <v>351</v>
      </c>
      <c r="F8" s="9">
        <v>190</v>
      </c>
      <c r="G8" s="9">
        <v>161</v>
      </c>
      <c r="H8" s="10" t="s">
        <v>11</v>
      </c>
    </row>
    <row r="9" spans="1:8" s="11" customFormat="1" ht="18.75">
      <c r="A9" s="8" t="s">
        <v>12</v>
      </c>
      <c r="B9" s="15">
        <f t="shared" ref="B9:B16" si="0">SUM(C9:D9)</f>
        <v>354</v>
      </c>
      <c r="C9" s="9">
        <v>216</v>
      </c>
      <c r="D9" s="9">
        <v>138</v>
      </c>
      <c r="E9" s="15">
        <f t="shared" ref="E9:E16" si="1">SUM(F9:G9)</f>
        <v>316</v>
      </c>
      <c r="F9" s="9">
        <v>186</v>
      </c>
      <c r="G9" s="9">
        <v>130</v>
      </c>
      <c r="H9" s="10" t="s">
        <v>13</v>
      </c>
    </row>
    <row r="10" spans="1:8" s="11" customFormat="1" ht="18.75">
      <c r="A10" s="8" t="s">
        <v>14</v>
      </c>
      <c r="B10" s="15">
        <f t="shared" si="0"/>
        <v>182</v>
      </c>
      <c r="C10" s="9">
        <v>92</v>
      </c>
      <c r="D10" s="9">
        <v>90</v>
      </c>
      <c r="E10" s="15">
        <f t="shared" si="1"/>
        <v>113</v>
      </c>
      <c r="F10" s="9">
        <v>56</v>
      </c>
      <c r="G10" s="9">
        <v>57</v>
      </c>
      <c r="H10" s="10" t="s">
        <v>15</v>
      </c>
    </row>
    <row r="11" spans="1:8" s="11" customFormat="1" ht="18.75">
      <c r="A11" s="8" t="s">
        <v>16</v>
      </c>
      <c r="B11" s="15">
        <f t="shared" si="0"/>
        <v>418</v>
      </c>
      <c r="C11" s="9">
        <v>126</v>
      </c>
      <c r="D11" s="9">
        <v>292</v>
      </c>
      <c r="E11" s="15">
        <f t="shared" si="1"/>
        <v>358</v>
      </c>
      <c r="F11" s="9">
        <v>84</v>
      </c>
      <c r="G11" s="9">
        <v>274</v>
      </c>
      <c r="H11" s="10" t="s">
        <v>17</v>
      </c>
    </row>
    <row r="12" spans="1:8" s="11" customFormat="1" ht="18.75">
      <c r="A12" s="8" t="s">
        <v>18</v>
      </c>
      <c r="B12" s="15">
        <f t="shared" si="0"/>
        <v>39</v>
      </c>
      <c r="C12" s="9">
        <v>17</v>
      </c>
      <c r="D12" s="9">
        <v>22</v>
      </c>
      <c r="E12" s="15">
        <f t="shared" si="1"/>
        <v>31</v>
      </c>
      <c r="F12" s="9">
        <v>12</v>
      </c>
      <c r="G12" s="9">
        <v>19</v>
      </c>
      <c r="H12" s="10" t="s">
        <v>19</v>
      </c>
    </row>
    <row r="13" spans="1:8" s="11" customFormat="1" ht="18.75">
      <c r="A13" s="8" t="s">
        <v>20</v>
      </c>
      <c r="B13" s="15">
        <f t="shared" si="0"/>
        <v>12</v>
      </c>
      <c r="C13" s="9">
        <v>4</v>
      </c>
      <c r="D13" s="9">
        <v>8</v>
      </c>
      <c r="E13" s="15">
        <f t="shared" si="1"/>
        <v>27</v>
      </c>
      <c r="F13" s="9">
        <v>9</v>
      </c>
      <c r="G13" s="9">
        <v>18</v>
      </c>
      <c r="H13" s="10" t="s">
        <v>21</v>
      </c>
    </row>
    <row r="14" spans="1:8" s="11" customFormat="1" ht="37.5">
      <c r="A14" s="8" t="s">
        <v>22</v>
      </c>
      <c r="B14" s="15">
        <f t="shared" si="0"/>
        <v>48</v>
      </c>
      <c r="C14" s="9">
        <v>31</v>
      </c>
      <c r="D14" s="9">
        <v>17</v>
      </c>
      <c r="E14" s="15">
        <f t="shared" si="1"/>
        <v>55</v>
      </c>
      <c r="F14" s="9">
        <v>28</v>
      </c>
      <c r="G14" s="9">
        <v>27</v>
      </c>
      <c r="H14" s="10" t="s">
        <v>23</v>
      </c>
    </row>
    <row r="15" spans="1:8" s="11" customFormat="1" ht="18.75">
      <c r="A15" s="8" t="s">
        <v>24</v>
      </c>
      <c r="B15" s="15">
        <f t="shared" si="0"/>
        <v>10</v>
      </c>
      <c r="C15" s="9">
        <v>4</v>
      </c>
      <c r="D15" s="9">
        <v>6</v>
      </c>
      <c r="E15" s="15">
        <f t="shared" si="1"/>
        <v>19</v>
      </c>
      <c r="F15" s="9">
        <v>4</v>
      </c>
      <c r="G15" s="9">
        <v>15</v>
      </c>
      <c r="H15" s="10" t="s">
        <v>25</v>
      </c>
    </row>
    <row r="16" spans="1:8" s="11" customFormat="1" ht="18.75">
      <c r="A16" s="8" t="s">
        <v>1</v>
      </c>
      <c r="B16" s="15">
        <f t="shared" si="0"/>
        <v>52</v>
      </c>
      <c r="C16" s="9">
        <v>25</v>
      </c>
      <c r="D16" s="9">
        <v>27</v>
      </c>
      <c r="E16" s="15">
        <f t="shared" si="1"/>
        <v>39</v>
      </c>
      <c r="F16" s="9">
        <v>19</v>
      </c>
      <c r="G16" s="9">
        <v>20</v>
      </c>
      <c r="H16" s="12" t="s">
        <v>2</v>
      </c>
    </row>
    <row r="17" spans="1:13" ht="38.25" customHeight="1">
      <c r="A17" s="19" t="s">
        <v>26</v>
      </c>
      <c r="B17" s="19"/>
      <c r="C17" s="19"/>
      <c r="D17" s="19"/>
      <c r="E17" s="16"/>
      <c r="F17" s="16"/>
      <c r="G17" s="16"/>
      <c r="H17" s="17" t="s">
        <v>29</v>
      </c>
      <c r="I17" s="11"/>
      <c r="J17" s="11"/>
      <c r="K17" s="11"/>
      <c r="L17" s="11"/>
      <c r="M17" s="11"/>
    </row>
    <row r="18" spans="1:13" ht="15.75">
      <c r="A18" s="13" t="s">
        <v>30</v>
      </c>
      <c r="I18" s="11"/>
      <c r="J18" s="11"/>
      <c r="K18" s="11"/>
      <c r="L18" s="11"/>
      <c r="M18" s="11"/>
    </row>
    <row r="19" spans="1:13" ht="15.75">
      <c r="I19" s="11"/>
      <c r="J19" s="11"/>
      <c r="K19" s="11"/>
      <c r="L19" s="11"/>
      <c r="M19" s="11"/>
    </row>
    <row r="20" spans="1:13" ht="15.75">
      <c r="I20" s="11"/>
      <c r="J20" s="11"/>
      <c r="K20" s="11"/>
      <c r="L20" s="11"/>
      <c r="M20" s="11"/>
    </row>
    <row r="21" spans="1:13" ht="15.75">
      <c r="I21" s="11"/>
      <c r="J21" s="11"/>
      <c r="K21" s="11"/>
      <c r="L21" s="11"/>
      <c r="M21" s="11"/>
    </row>
    <row r="22" spans="1:13" ht="15.75">
      <c r="I22" s="11"/>
      <c r="J22" s="11"/>
      <c r="K22" s="11"/>
      <c r="L22" s="11"/>
      <c r="M22" s="11"/>
    </row>
    <row r="23" spans="1:13" ht="15.75">
      <c r="I23" s="11"/>
      <c r="J23" s="11"/>
      <c r="K23" s="11"/>
      <c r="L23" s="11"/>
      <c r="M23" s="11"/>
    </row>
    <row r="24" spans="1:13" ht="15.75">
      <c r="I24" s="11"/>
      <c r="J24" s="11"/>
      <c r="K24" s="11"/>
      <c r="L24" s="11"/>
      <c r="M24" s="11"/>
    </row>
    <row r="25" spans="1:13" ht="15.75">
      <c r="I25" s="11"/>
      <c r="J25" s="11"/>
      <c r="K25" s="11"/>
      <c r="L25" s="11"/>
      <c r="M25" s="11"/>
    </row>
  </sheetData>
  <mergeCells count="7">
    <mergeCell ref="A17:D17"/>
    <mergeCell ref="A1:H1"/>
    <mergeCell ref="A2:H2"/>
    <mergeCell ref="A4:A6"/>
    <mergeCell ref="B4:D4"/>
    <mergeCell ref="E4:G4"/>
    <mergeCell ref="H4:H6"/>
  </mergeCells>
  <pageMargins left="0.7" right="0.7" top="0.75" bottom="0.75" header="0.3" footer="0.3"/>
  <pageSetup paperSize="9" scale="61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8.45</vt:lpstr>
      <vt:lpstr>'8.45'!Print_Area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2019-12-15T09:01:36Z</cp:lastPrinted>
  <dcterms:created xsi:type="dcterms:W3CDTF">2019-06-30T04:22:49Z</dcterms:created>
  <dcterms:modified xsi:type="dcterms:W3CDTF">2019-12-15T09:01:41Z</dcterms:modified>
</cp:coreProperties>
</file>