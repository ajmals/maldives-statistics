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13" sheetId="13" r:id="rId1"/>
  </sheets>
  <definedNames>
    <definedName name="_xlnm.Print_Area" localSheetId="0">'9.13'!$A$1:$I$31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3" l="1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 l="1"/>
  <c r="H7" i="13"/>
  <c r="G7" i="13"/>
  <c r="F7" i="13"/>
  <c r="E7" i="13"/>
  <c r="D7" i="13"/>
  <c r="C7" i="13"/>
</calcChain>
</file>

<file path=xl/sharedStrings.xml><?xml version="1.0" encoding="utf-8"?>
<sst xmlns="http://schemas.openxmlformats.org/spreadsheetml/2006/main" count="68" uniqueCount="67">
  <si>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</si>
  <si>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</si>
  <si>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</si>
  <si>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</si>
  <si>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</si>
  <si>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</si>
  <si>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</si>
  <si>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</si>
  <si>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</si>
  <si>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</si>
  <si>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</si>
  <si>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</si>
  <si>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</si>
  <si>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</si>
  <si>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</si>
  <si>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</si>
  <si>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</si>
  <si>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</si>
  <si>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</si>
  <si>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</si>
  <si>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ފާގަ</t>
  </si>
  <si>
    <t>ކަދޫ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</si>
  <si>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</si>
  <si>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</si>
  <si>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</si>
  <si>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</si>
  <si>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</si>
  <si>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</si>
  <si>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</si>
  <si>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</si>
  <si>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</si>
  <si>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</si>
  <si>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</si>
  <si>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</si>
  <si>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</si>
  <si>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</si>
  <si>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</si>
  <si>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</si>
  <si>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</si>
  <si>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</si>
  <si>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</si>
  <si>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</si>
  <si>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</si>
  <si>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ޗިޗަންޑާ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</si>
  <si>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</si>
  <si>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</si>
  <si>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</si>
  <si>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</si>
  <si>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</si>
  <si>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(cniaOlik )</t>
  </si>
  <si>
    <t>(In kgs)</t>
  </si>
  <si>
    <t>Agricultural Crops</t>
  </si>
  <si>
    <t>Bitter Gourd ( Fresh Or Chilled )</t>
  </si>
  <si>
    <t>Bottle Gourd ( Fresh Or Chilled )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</si>
  <si>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</si>
  <si>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</si>
  <si>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</si>
  <si>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</si>
  <si>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</si>
  <si>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</si>
  <si>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</si>
  <si>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</si>
  <si>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</si>
  <si>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Snake Gourd ( Fresh Or Chilled )</t>
  </si>
  <si>
    <t>Sweet Potato ( Fresh , Chilled Or Frozen )</t>
  </si>
  <si>
    <t>2019 ,cawtctwvWb egumwkirevuDnwd Wdcawh cSokumcaWa iawgEjcaWr cniaeret egukwtctwvWb unuveruk cTrOpcmia cSwaejcaWr  : 9.13 ulwvWt</t>
  </si>
  <si>
    <t>Table 9.13: IMPORTS OF FRESH AGRICULTURAL CROPS MAINLY PRODUCED IN MALDIVES,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</si>
</sst>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8" formatCode="[$-409]mmmm\ d\,\ yyyy;@"/>
  </numFmts>
  <fonts count="20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0"/>
      <color indexed="8"/>
      <name val="A_Faseyha"/>
    </font>
    <font>
      <b/>
      <sz val="11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</borders>
  <cellStyleXfs count="8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0" fontId="2" fillId="0" borderId="0"/>
    <xf numFmtId="0" fontId="9" fillId="0" borderId="0"/>
    <xf numFmtId="168" fontId="1" fillId="0" borderId="0"/>
    <xf numFmtId="168" fontId="1" fillId="0" borderId="0"/>
    <xf numFmtId="168" fontId="1" fillId="0" borderId="0"/>
  </cellStyleXfs>
  <cellXfs count="36">
    <xf numFmtId="0" fontId="0" fillId="0" borderId="0" xfId="0"/>
    <xf numFmtId="38" fontId="5" fillId="2" borderId="0" xfId="2" applyNumberFormat="1" applyFont="1" applyFill="1" applyBorder="1"/>
    <xf numFmtId="38" fontId="7" fillId="2" borderId="0" xfId="2" applyNumberFormat="1" applyFont="1" applyFill="1" applyBorder="1"/>
    <xf numFmtId="38" fontId="7" fillId="2" borderId="1" xfId="2" applyNumberFormat="1" applyFont="1" applyFill="1" applyBorder="1"/>
    <xf numFmtId="164" fontId="9" fillId="2" borderId="4" xfId="4" applyNumberFormat="1" applyFill="1" applyBorder="1"/>
    <xf numFmtId="164" fontId="9" fillId="2" borderId="4" xfId="4" applyNumberFormat="1" applyFont="1" applyFill="1" applyBorder="1"/>
    <xf numFmtId="2" fontId="14" fillId="2" borderId="3" xfId="4" applyNumberFormat="1" applyFont="1" applyFill="1" applyBorder="1" applyAlignment="1">
      <alignment horizontal="right" vertical="center"/>
    </xf>
    <xf numFmtId="0" fontId="13" fillId="2" borderId="1" xfId="4" applyNumberFormat="1" applyFont="1" applyFill="1" applyBorder="1" applyAlignment="1">
      <alignment horizontal="right" vertical="center"/>
    </xf>
    <xf numFmtId="164" fontId="1" fillId="2" borderId="4" xfId="4" applyNumberFormat="1" applyFont="1" applyFill="1" applyBorder="1"/>
    <xf numFmtId="0" fontId="12" fillId="2" borderId="2" xfId="4" applyNumberFormat="1" applyFont="1" applyFill="1" applyBorder="1" applyAlignment="1">
      <alignment horizontal="left" vertical="center"/>
    </xf>
    <xf numFmtId="38" fontId="13" fillId="2" borderId="2" xfId="4" applyNumberFormat="1" applyFont="1" applyFill="1" applyBorder="1" applyAlignment="1">
      <alignment horizontal="right" vertical="center"/>
    </xf>
    <xf numFmtId="0" fontId="11" fillId="2" borderId="7" xfId="4" applyNumberFormat="1" applyFont="1" applyFill="1" applyBorder="1" applyAlignment="1">
      <alignment horizontal="right" vertical="center"/>
    </xf>
    <xf numFmtId="0" fontId="16" fillId="2" borderId="10" xfId="4" applyNumberFormat="1" applyFont="1" applyFill="1" applyBorder="1" applyAlignment="1">
      <alignment horizontal="left" vertical="center" indent="1"/>
    </xf>
    <xf numFmtId="0" fontId="16" fillId="2" borderId="12" xfId="4" applyNumberFormat="1" applyFont="1" applyFill="1" applyBorder="1" applyAlignment="1">
      <alignment horizontal="left" vertical="center" indent="1"/>
    </xf>
    <xf numFmtId="0" fontId="16" fillId="2" borderId="13" xfId="4" applyNumberFormat="1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164" fontId="4" fillId="2" borderId="14" xfId="1" applyFont="1" applyFill="1" applyBorder="1" applyAlignment="1" applyProtection="1">
      <alignment horizontal="left" vertical="center"/>
    </xf>
    <xf numFmtId="164" fontId="9" fillId="2" borderId="0" xfId="4" applyNumberFormat="1" applyFill="1" applyBorder="1"/>
    <xf numFmtId="1" fontId="7" fillId="2" borderId="0" xfId="0" applyNumberFormat="1" applyFont="1" applyFill="1" applyBorder="1" applyAlignment="1">
      <alignment horizontal="left" indent="1"/>
    </xf>
    <xf numFmtId="0" fontId="15" fillId="2" borderId="15" xfId="4" applyNumberFormat="1" applyFont="1" applyFill="1" applyBorder="1" applyAlignment="1">
      <alignment horizontal="right" vertical="center" indent="1"/>
    </xf>
    <xf numFmtId="0" fontId="15" fillId="2" borderId="0" xfId="4" applyNumberFormat="1" applyFont="1" applyFill="1" applyBorder="1" applyAlignment="1">
      <alignment horizontal="right" vertical="center" indent="1"/>
    </xf>
    <xf numFmtId="0" fontId="15" fillId="2" borderId="9" xfId="4" applyNumberFormat="1" applyFont="1" applyFill="1" applyBorder="1" applyAlignment="1">
      <alignment horizontal="right" vertical="center" indent="1"/>
    </xf>
    <xf numFmtId="164" fontId="3" fillId="2" borderId="14" xfId="1" applyFont="1" applyFill="1" applyBorder="1" applyAlignment="1" applyProtection="1">
      <alignment horizontal="left" vertical="center"/>
    </xf>
    <xf numFmtId="164" fontId="8" fillId="2" borderId="14" xfId="1" applyFont="1" applyFill="1" applyBorder="1" applyAlignment="1">
      <alignment horizontal="left" vertical="center" indent="1"/>
    </xf>
    <xf numFmtId="0" fontId="16" fillId="2" borderId="12" xfId="4" applyNumberFormat="1" applyFont="1" applyFill="1" applyBorder="1" applyAlignment="1">
      <alignment horizontal="left" vertical="center"/>
    </xf>
    <xf numFmtId="0" fontId="15" fillId="2" borderId="11" xfId="4" applyNumberFormat="1" applyFont="1" applyFill="1" applyBorder="1" applyAlignment="1">
      <alignment vertical="center"/>
    </xf>
    <xf numFmtId="0" fontId="18" fillId="2" borderId="4" xfId="3" applyFont="1" applyFill="1" applyBorder="1" applyAlignment="1">
      <alignment horizontal="center" vertical="center"/>
    </xf>
    <xf numFmtId="0" fontId="10" fillId="2" borderId="4" xfId="4" applyNumberFormat="1" applyFont="1" applyFill="1" applyBorder="1" applyAlignment="1">
      <alignment horizontal="center" vertical="center"/>
    </xf>
    <xf numFmtId="0" fontId="12" fillId="2" borderId="5" xfId="4" applyNumberFormat="1" applyFont="1" applyFill="1" applyBorder="1" applyAlignment="1">
      <alignment horizontal="center" vertical="center"/>
    </xf>
    <xf numFmtId="0" fontId="11" fillId="2" borderId="7" xfId="4" applyNumberFormat="1" applyFont="1" applyFill="1" applyBorder="1" applyAlignment="1">
      <alignment horizontal="right" vertical="center"/>
    </xf>
    <xf numFmtId="0" fontId="11" fillId="2" borderId="9" xfId="4" applyNumberFormat="1" applyFont="1" applyFill="1" applyBorder="1" applyAlignment="1">
      <alignment horizontal="right" vertical="center"/>
    </xf>
    <xf numFmtId="0" fontId="17" fillId="2" borderId="4" xfId="4" applyNumberFormat="1" applyFont="1" applyFill="1" applyBorder="1" applyAlignment="1">
      <alignment horizontal="center" vertical="center"/>
    </xf>
    <xf numFmtId="0" fontId="14" fillId="2" borderId="4" xfId="4" applyNumberFormat="1" applyFont="1" applyFill="1" applyBorder="1" applyAlignment="1">
      <alignment horizontal="center" vertical="center"/>
    </xf>
    <xf numFmtId="0" fontId="12" fillId="2" borderId="6" xfId="4" applyNumberFormat="1" applyFont="1" applyFill="1" applyBorder="1" applyAlignment="1">
      <alignment horizontal="left" vertical="center"/>
    </xf>
    <xf numFmtId="0" fontId="12" fillId="2" borderId="8" xfId="4" applyNumberFormat="1" applyFont="1" applyFill="1" applyBorder="1" applyAlignment="1">
      <alignment horizontal="left" vertical="center"/>
    </xf>
    <xf numFmtId="164" fontId="19" fillId="2" borderId="14" xfId="1" applyFont="1" applyFill="1" applyBorder="1" applyAlignment="1">
      <alignment horizontal="right" vertical="center" indent="1"/>
    </xf>
  </cellXfs>
  <cellStyles count="8">
    <cellStyle name="Comma 2" xfId="2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agri planning 2009 year book(final)" xfId="4"/>
    <cellStyle name="Normal_Fish &amp;  Agri - 8" xfId="1"/>
    <cellStyle name="Normal_mmifco" xfId="3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32"/>
  <sheetViews>
    <sheetView tabSelected="1" zoomScaleNormal="100" zoomScaleSheetLayoutView="100" workbookViewId="0">
      <selection activeCell="O12" sqref="O12"/>
    </sheetView>
  </sheetViews>
  <sheetFormatPr defaultColWidth="8.85546875" defaultRowHeight="15"/>
  <cols>
    <col min="1" max="1" width="40.85546875" style="4" customWidth="1"/>
    <col min="2" max="8" width="15.7109375" style="4" customWidth="1"/>
    <col min="9" max="9" width="24.5703125" style="4" customWidth="1"/>
    <col min="10" max="16384" width="8.85546875" style="4"/>
  </cols>
  <sheetData>
    <row r="1" spans="1:46" ht="18">
      <c r="A1" s="26" t="s">
        <v>65</v>
      </c>
      <c r="B1" s="26"/>
      <c r="C1" s="26"/>
      <c r="D1" s="26"/>
      <c r="E1" s="26"/>
      <c r="F1" s="26"/>
      <c r="G1" s="26"/>
      <c r="H1" s="26"/>
      <c r="I1" s="26"/>
    </row>
    <row r="2" spans="1:46" s="5" customFormat="1" ht="15.75">
      <c r="A2" s="27" t="s">
        <v>66</v>
      </c>
      <c r="B2" s="27"/>
      <c r="C2" s="27"/>
      <c r="D2" s="27"/>
      <c r="E2" s="27"/>
      <c r="F2" s="27"/>
      <c r="G2" s="27"/>
      <c r="H2" s="27"/>
      <c r="I2" s="27"/>
    </row>
    <row r="3" spans="1:46" ht="18.75">
      <c r="A3" s="31" t="s">
        <v>49</v>
      </c>
      <c r="B3" s="31"/>
      <c r="C3" s="32"/>
      <c r="D3" s="32"/>
      <c r="E3" s="32"/>
      <c r="F3" s="32"/>
      <c r="G3" s="32"/>
      <c r="H3" s="32"/>
      <c r="I3" s="32"/>
    </row>
    <row r="4" spans="1:46">
      <c r="A4" s="28" t="s">
        <v>50</v>
      </c>
      <c r="B4" s="28"/>
      <c r="C4" s="28"/>
      <c r="D4" s="28"/>
      <c r="E4" s="28"/>
      <c r="F4" s="28"/>
      <c r="G4" s="28"/>
      <c r="H4" s="28"/>
      <c r="I4" s="28"/>
    </row>
    <row r="5" spans="1:46" ht="18.75">
      <c r="A5" s="33" t="s">
        <v>51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29" t="s">
        <v>8</v>
      </c>
    </row>
    <row r="6" spans="1:46">
      <c r="A6" s="34"/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30"/>
    </row>
    <row r="7" spans="1:46" ht="21">
      <c r="A7" s="9" t="s">
        <v>0</v>
      </c>
      <c r="B7" s="10">
        <f>SUM(B8:B29)</f>
        <v>19490227.443418182</v>
      </c>
      <c r="C7" s="10">
        <f t="shared" ref="C7:H7" si="0">SUM(C8:C29)</f>
        <v>12365112.645</v>
      </c>
      <c r="D7" s="10">
        <f t="shared" si="0"/>
        <v>3304692.4375999998</v>
      </c>
      <c r="E7" s="10">
        <f t="shared" si="0"/>
        <v>1432843.0322727275</v>
      </c>
      <c r="F7" s="10">
        <f t="shared" si="0"/>
        <v>323049.87899999996</v>
      </c>
      <c r="G7" s="10">
        <f t="shared" si="0"/>
        <v>919828.24899999984</v>
      </c>
      <c r="H7" s="10">
        <f t="shared" si="0"/>
        <v>1144701.2005454549</v>
      </c>
      <c r="I7" s="11" t="s">
        <v>1</v>
      </c>
      <c r="AO7" s="17"/>
      <c r="AP7" s="17"/>
      <c r="AQ7" s="17"/>
      <c r="AR7" s="17"/>
      <c r="AS7" s="17"/>
      <c r="AT7" s="17"/>
    </row>
    <row r="8" spans="1:46" ht="21">
      <c r="A8" s="18" t="s">
        <v>16</v>
      </c>
      <c r="B8" s="1">
        <f t="shared" ref="B8:B29" si="1">SUM(C8:H8)</f>
        <v>2332331.2000000002</v>
      </c>
      <c r="C8" s="2">
        <v>2004015.85</v>
      </c>
      <c r="D8" s="2">
        <v>205532.20000000004</v>
      </c>
      <c r="E8" s="2">
        <v>94636.6</v>
      </c>
      <c r="F8" s="2">
        <v>198.29</v>
      </c>
      <c r="G8" s="2">
        <v>14861.029999999999</v>
      </c>
      <c r="H8" s="2">
        <v>13087.229999999981</v>
      </c>
      <c r="I8" s="19" t="s">
        <v>17</v>
      </c>
    </row>
    <row r="9" spans="1:46" ht="21">
      <c r="A9" s="12" t="s">
        <v>18</v>
      </c>
      <c r="B9" s="1">
        <f t="shared" si="1"/>
        <v>695254.88745000004</v>
      </c>
      <c r="C9" s="2">
        <v>448076.23500000004</v>
      </c>
      <c r="D9" s="2">
        <v>151422.94099999999</v>
      </c>
      <c r="E9" s="2">
        <v>56155.24255000001</v>
      </c>
      <c r="F9" s="2">
        <v>2685.7349999999997</v>
      </c>
      <c r="G9" s="2">
        <v>15841.019999999999</v>
      </c>
      <c r="H9" s="2">
        <v>21073.71390000009</v>
      </c>
      <c r="I9" s="20" t="s">
        <v>19</v>
      </c>
    </row>
    <row r="10" spans="1:46" ht="21" hidden="1">
      <c r="A10" s="13" t="s">
        <v>52</v>
      </c>
      <c r="B10" s="1">
        <f t="shared" si="1"/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0" t="s">
        <v>20</v>
      </c>
    </row>
    <row r="11" spans="1:46" ht="21" hidden="1">
      <c r="A11" s="13" t="s">
        <v>53</v>
      </c>
      <c r="B11" s="1">
        <f t="shared" si="1"/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0" t="s">
        <v>21</v>
      </c>
    </row>
    <row r="12" spans="1:46" ht="21">
      <c r="A12" s="13" t="s">
        <v>54</v>
      </c>
      <c r="B12" s="1">
        <f t="shared" si="1"/>
        <v>12880.344999999999</v>
      </c>
      <c r="C12" s="2">
        <v>36</v>
      </c>
      <c r="D12" s="2">
        <v>12199.295</v>
      </c>
      <c r="E12" s="2">
        <v>589.04999999999995</v>
      </c>
      <c r="F12" s="2">
        <v>0</v>
      </c>
      <c r="G12" s="2">
        <v>15</v>
      </c>
      <c r="H12" s="2">
        <v>41</v>
      </c>
      <c r="I12" s="20" t="s">
        <v>22</v>
      </c>
    </row>
    <row r="13" spans="1:46" ht="21">
      <c r="A13" s="13" t="s">
        <v>55</v>
      </c>
      <c r="B13" s="1">
        <f t="shared" si="1"/>
        <v>3969992.2750000008</v>
      </c>
      <c r="C13" s="2">
        <v>3361591.8550000004</v>
      </c>
      <c r="D13" s="2">
        <v>222412.48099999994</v>
      </c>
      <c r="E13" s="2">
        <v>149321.21000000002</v>
      </c>
      <c r="F13" s="2">
        <v>24186.02</v>
      </c>
      <c r="G13" s="2">
        <v>10605.9</v>
      </c>
      <c r="H13" s="2">
        <v>201874.80900000036</v>
      </c>
      <c r="I13" s="20" t="s">
        <v>23</v>
      </c>
    </row>
    <row r="14" spans="1:46" ht="21">
      <c r="A14" s="13" t="s">
        <v>24</v>
      </c>
      <c r="B14" s="1">
        <f t="shared" si="1"/>
        <v>74706.260000000009</v>
      </c>
      <c r="C14" s="2">
        <v>4081.3299999999995</v>
      </c>
      <c r="D14" s="2">
        <v>21174.699999999997</v>
      </c>
      <c r="E14" s="2">
        <v>15916.89</v>
      </c>
      <c r="F14" s="2">
        <v>1456.8</v>
      </c>
      <c r="G14" s="2">
        <v>28581.590000000004</v>
      </c>
      <c r="H14" s="2">
        <v>3494.9500000000116</v>
      </c>
      <c r="I14" s="20" t="s">
        <v>25</v>
      </c>
    </row>
    <row r="15" spans="1:46" ht="21">
      <c r="A15" s="13" t="s">
        <v>56</v>
      </c>
      <c r="B15" s="1">
        <f t="shared" si="1"/>
        <v>101973.70520000001</v>
      </c>
      <c r="C15" s="2">
        <v>4731.9599999999991</v>
      </c>
      <c r="D15" s="2">
        <v>94534.27</v>
      </c>
      <c r="E15" s="2">
        <v>1929.1680000000001</v>
      </c>
      <c r="F15" s="2">
        <v>5</v>
      </c>
      <c r="G15" s="2">
        <v>358.5</v>
      </c>
      <c r="H15" s="2">
        <v>414.80719999999565</v>
      </c>
      <c r="I15" s="20" t="s">
        <v>26</v>
      </c>
    </row>
    <row r="16" spans="1:46" ht="21">
      <c r="A16" s="13" t="s">
        <v>57</v>
      </c>
      <c r="B16" s="1">
        <f t="shared" si="1"/>
        <v>741240.58518545458</v>
      </c>
      <c r="C16" s="2">
        <v>412575.90499999997</v>
      </c>
      <c r="D16" s="2">
        <v>75480.090000000011</v>
      </c>
      <c r="E16" s="2">
        <v>25741.118140000002</v>
      </c>
      <c r="F16" s="2">
        <v>90.42</v>
      </c>
      <c r="G16" s="2">
        <v>21419.599000000006</v>
      </c>
      <c r="H16" s="2">
        <v>205933.45304545457</v>
      </c>
      <c r="I16" s="20" t="s">
        <v>27</v>
      </c>
    </row>
    <row r="17" spans="1:17" ht="21">
      <c r="A17" s="13" t="s">
        <v>58</v>
      </c>
      <c r="B17" s="1">
        <f t="shared" si="1"/>
        <v>967040.32990000001</v>
      </c>
      <c r="C17" s="2">
        <v>197331.38</v>
      </c>
      <c r="D17" s="2">
        <v>576485.42399999988</v>
      </c>
      <c r="E17" s="2">
        <v>134051.39499999999</v>
      </c>
      <c r="F17" s="2">
        <v>14822.699999999999</v>
      </c>
      <c r="G17" s="2">
        <v>7544.3099999999995</v>
      </c>
      <c r="H17" s="2">
        <v>36805.120900000096</v>
      </c>
      <c r="I17" s="20" t="s">
        <v>28</v>
      </c>
    </row>
    <row r="18" spans="1:17" ht="21">
      <c r="A18" s="13" t="s">
        <v>59</v>
      </c>
      <c r="B18" s="1">
        <f t="shared" si="1"/>
        <v>115318.66499999999</v>
      </c>
      <c r="C18" s="2">
        <v>79643.199999999997</v>
      </c>
      <c r="D18" s="2">
        <v>29073.514999999999</v>
      </c>
      <c r="E18" s="2">
        <v>2074.6999999999998</v>
      </c>
      <c r="F18" s="2">
        <v>0</v>
      </c>
      <c r="G18" s="2">
        <v>179.75</v>
      </c>
      <c r="H18" s="2">
        <v>4347.5</v>
      </c>
      <c r="I18" s="20" t="s">
        <v>29</v>
      </c>
    </row>
    <row r="19" spans="1:17" ht="21">
      <c r="A19" s="13" t="s">
        <v>60</v>
      </c>
      <c r="B19" s="1">
        <f t="shared" si="1"/>
        <v>437657.53599999996</v>
      </c>
      <c r="C19" s="2">
        <v>66587.7</v>
      </c>
      <c r="D19" s="2">
        <v>155484.95599999998</v>
      </c>
      <c r="E19" s="2">
        <v>30326.250000000004</v>
      </c>
      <c r="F19" s="2">
        <v>96.32</v>
      </c>
      <c r="G19" s="2">
        <v>106129.35999999999</v>
      </c>
      <c r="H19" s="2">
        <v>79032.950000000012</v>
      </c>
      <c r="I19" s="20" t="s">
        <v>30</v>
      </c>
    </row>
    <row r="20" spans="1:17" ht="21">
      <c r="A20" s="13" t="s">
        <v>31</v>
      </c>
      <c r="B20" s="1">
        <f t="shared" si="1"/>
        <v>655178.11281000008</v>
      </c>
      <c r="C20" s="2">
        <v>21225.75</v>
      </c>
      <c r="D20" s="2">
        <v>62268.155000000006</v>
      </c>
      <c r="E20" s="2">
        <v>295126.69531000004</v>
      </c>
      <c r="F20" s="2">
        <v>92969.305999999982</v>
      </c>
      <c r="G20" s="2">
        <v>32599.550000000003</v>
      </c>
      <c r="H20" s="2">
        <v>150988.6565000001</v>
      </c>
      <c r="I20" s="20" t="s">
        <v>32</v>
      </c>
    </row>
    <row r="21" spans="1:17" ht="21">
      <c r="A21" s="13" t="s">
        <v>61</v>
      </c>
      <c r="B21" s="1">
        <f t="shared" si="1"/>
        <v>1006739.4499999997</v>
      </c>
      <c r="C21" s="2">
        <v>236726.29</v>
      </c>
      <c r="D21" s="2">
        <v>165208.82999999996</v>
      </c>
      <c r="E21" s="2">
        <v>105906.66999999998</v>
      </c>
      <c r="F21" s="2">
        <v>25189.8</v>
      </c>
      <c r="G21" s="2">
        <v>308781.87999999995</v>
      </c>
      <c r="H21" s="2">
        <v>164925.97999999975</v>
      </c>
      <c r="I21" s="20" t="s">
        <v>33</v>
      </c>
    </row>
    <row r="22" spans="1:17" ht="21">
      <c r="A22" s="13" t="s">
        <v>34</v>
      </c>
      <c r="B22" s="1">
        <f t="shared" si="1"/>
        <v>1088108.679</v>
      </c>
      <c r="C22" s="2">
        <v>458466.63999999984</v>
      </c>
      <c r="D22" s="2">
        <v>36581.01</v>
      </c>
      <c r="E22" s="2">
        <v>359537.18400000007</v>
      </c>
      <c r="F22" s="2">
        <v>71050.316999999981</v>
      </c>
      <c r="G22" s="2">
        <v>97228.26999999999</v>
      </c>
      <c r="H22" s="2">
        <v>65245.258000000147</v>
      </c>
      <c r="I22" s="20" t="s">
        <v>35</v>
      </c>
    </row>
    <row r="23" spans="1:17" ht="21">
      <c r="A23" s="13" t="s">
        <v>36</v>
      </c>
      <c r="B23" s="1">
        <f t="shared" si="1"/>
        <v>261069.77000000002</v>
      </c>
      <c r="C23" s="2">
        <v>6338.12</v>
      </c>
      <c r="D23" s="2">
        <v>206210.22000000003</v>
      </c>
      <c r="E23" s="2">
        <v>4375.82</v>
      </c>
      <c r="F23" s="2">
        <v>16.100000000000001</v>
      </c>
      <c r="G23" s="2">
        <v>43244.33</v>
      </c>
      <c r="H23" s="2">
        <v>885.17999999999302</v>
      </c>
      <c r="I23" s="20" t="s">
        <v>37</v>
      </c>
    </row>
    <row r="24" spans="1:17" ht="21">
      <c r="A24" s="13" t="s">
        <v>62</v>
      </c>
      <c r="B24" s="1">
        <f t="shared" si="1"/>
        <v>426786.42327272735</v>
      </c>
      <c r="C24" s="2">
        <v>20382.400000000001</v>
      </c>
      <c r="D24" s="2">
        <v>335015.00600000005</v>
      </c>
      <c r="E24" s="2">
        <v>31872.397272727259</v>
      </c>
      <c r="F24" s="2">
        <v>349</v>
      </c>
      <c r="G24" s="2">
        <v>30681.809999999994</v>
      </c>
      <c r="H24" s="2">
        <v>8485.8099999999977</v>
      </c>
      <c r="I24" s="20" t="s">
        <v>38</v>
      </c>
    </row>
    <row r="25" spans="1:17" ht="21">
      <c r="A25" s="13" t="s">
        <v>39</v>
      </c>
      <c r="B25" s="1">
        <f t="shared" si="1"/>
        <v>907419.18700000015</v>
      </c>
      <c r="C25" s="2">
        <v>707280.1</v>
      </c>
      <c r="D25" s="2">
        <v>132772.69</v>
      </c>
      <c r="E25" s="2">
        <v>43278.565000000002</v>
      </c>
      <c r="F25" s="2">
        <v>11485.460000000001</v>
      </c>
      <c r="G25" s="2">
        <v>1781.5</v>
      </c>
      <c r="H25" s="2">
        <v>10820.872000000207</v>
      </c>
      <c r="I25" s="20" t="s">
        <v>40</v>
      </c>
    </row>
    <row r="26" spans="1:17" ht="21">
      <c r="A26" s="13" t="s">
        <v>41</v>
      </c>
      <c r="B26" s="1">
        <f t="shared" si="1"/>
        <v>4288.25</v>
      </c>
      <c r="C26" s="2">
        <v>2298.2999999999997</v>
      </c>
      <c r="D26" s="2">
        <v>63</v>
      </c>
      <c r="E26" s="2">
        <v>348.29999999999995</v>
      </c>
      <c r="F26" s="2">
        <v>0</v>
      </c>
      <c r="G26" s="2">
        <v>1576.85</v>
      </c>
      <c r="H26" s="2">
        <v>1.8000000000010914</v>
      </c>
      <c r="I26" s="20" t="s">
        <v>42</v>
      </c>
    </row>
    <row r="27" spans="1:17" ht="21">
      <c r="A27" s="13" t="s">
        <v>63</v>
      </c>
      <c r="B27" s="1">
        <f t="shared" si="1"/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0" t="s">
        <v>43</v>
      </c>
    </row>
    <row r="28" spans="1:17" ht="21">
      <c r="A28" s="13" t="s">
        <v>64</v>
      </c>
      <c r="B28" s="1">
        <f t="shared" si="1"/>
        <v>446313.95299999998</v>
      </c>
      <c r="C28" s="2">
        <v>66090.41</v>
      </c>
      <c r="D28" s="2">
        <v>256331.935</v>
      </c>
      <c r="E28" s="2">
        <v>19970.317000000003</v>
      </c>
      <c r="F28" s="2">
        <v>10297.270999999999</v>
      </c>
      <c r="G28" s="2">
        <v>4678.26</v>
      </c>
      <c r="H28" s="2">
        <v>88945.760000000009</v>
      </c>
      <c r="I28" s="20" t="s">
        <v>44</v>
      </c>
    </row>
    <row r="29" spans="1:17" ht="21">
      <c r="A29" s="14" t="s">
        <v>45</v>
      </c>
      <c r="B29" s="15">
        <f t="shared" si="1"/>
        <v>5245927.8295999998</v>
      </c>
      <c r="C29" s="3">
        <v>4267633.22</v>
      </c>
      <c r="D29" s="3">
        <v>566441.71959999995</v>
      </c>
      <c r="E29" s="3">
        <v>61685.460000000006</v>
      </c>
      <c r="F29" s="3">
        <v>68151.34</v>
      </c>
      <c r="G29" s="3">
        <v>193719.74000000002</v>
      </c>
      <c r="H29" s="3">
        <v>88296.349999999627</v>
      </c>
      <c r="I29" s="21" t="s">
        <v>46</v>
      </c>
    </row>
    <row r="30" spans="1:17" s="8" customFormat="1">
      <c r="A30" s="22" t="s">
        <v>47</v>
      </c>
      <c r="B30" s="22"/>
      <c r="C30" s="16"/>
      <c r="D30" s="16"/>
      <c r="E30" s="16"/>
      <c r="F30" s="16"/>
      <c r="G30" s="16"/>
      <c r="H30" s="23"/>
      <c r="I30" s="35" t="s">
        <v>48</v>
      </c>
      <c r="J30" s="4"/>
      <c r="K30" s="4"/>
      <c r="L30" s="4"/>
      <c r="M30" s="4"/>
      <c r="N30" s="4"/>
      <c r="O30" s="4"/>
      <c r="P30" s="4"/>
      <c r="Q30" s="4"/>
    </row>
    <row r="31" spans="1:17" s="8" customFormat="1" ht="21">
      <c r="A31" s="22"/>
      <c r="B31" s="22"/>
      <c r="C31" s="16"/>
      <c r="D31" s="16"/>
      <c r="E31" s="16"/>
      <c r="F31" s="16"/>
      <c r="G31" s="16"/>
      <c r="H31" s="23"/>
      <c r="J31" s="24"/>
      <c r="K31" s="25"/>
    </row>
    <row r="32" spans="1:17" ht="21">
      <c r="J32" s="24"/>
      <c r="K32" s="25"/>
    </row>
  </sheetData>
  <mergeCells count="6"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2020-10-20T05:34:45Z</cp:lastPrinted>
  <dcterms:created xsi:type="dcterms:W3CDTF">2019-09-09T05:11:24Z</dcterms:created>
  <dcterms:modified xsi:type="dcterms:W3CDTF">2020-10-20T05:35:13Z</dcterms:modified>
</cp:coreProperties>
</file>