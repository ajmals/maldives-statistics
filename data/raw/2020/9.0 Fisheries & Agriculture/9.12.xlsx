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2" sheetId="12" r:id="rId1"/>
  </sheets>
  <definedNames>
    <definedName name="_xlnm.Print_Area" localSheetId="0">'9.12'!$A$1:$I$32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2" l="1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H7" i="12" l="1"/>
  <c r="G7" i="12"/>
  <c r="F7" i="12"/>
  <c r="E7" i="12"/>
  <c r="D7" i="12"/>
  <c r="C7" i="12"/>
  <c r="B7" i="12" l="1"/>
</calcChain>
</file>

<file path=xl/sharedStrings.xml><?xml version="1.0" encoding="utf-8"?>
<sst xmlns="http://schemas.openxmlformats.org/spreadsheetml/2006/main" count="74" uniqueCount="67">
  <si>
    <t>Total</t>
  </si>
  <si>
    <t>ޖުމްލަ</t>
  </si>
  <si>
    <t>(ރުފިޔާއިން )</t>
  </si>
  <si>
    <t>(Value in MVR)</t>
  </si>
  <si>
    <t>Agricultural crops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</si>
  <si>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</si>
  <si>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</si>
  <si>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</si>
  <si>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</si>
  <si>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</si>
  <si>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</si>
  <si>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</si>
  <si>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</si>
  <si>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</si>
  <si>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</si>
  <si>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</si>
  <si>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</si>
  <si>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</si>
  <si>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</si>
  <si>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</si>
  <si>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</si>
  <si>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</si>
  <si>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</si>
  <si>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</si>
  <si>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</si>
  <si>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</si>
  <si>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</si>
  <si>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</si>
  <si>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</si>
  <si>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</si>
  <si>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</si>
  <si>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</si>
  <si>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</si>
  <si>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</si>
  <si>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</si>
  <si>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</si>
  <si>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</si>
  <si>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</si>
  <si>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</si>
  <si>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</si>
  <si>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</si>
  <si>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</si>
  <si>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</si>
  <si>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</si>
  <si>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</si>
  <si>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</si>
  <si>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</si>
  <si>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</si>
  <si>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</si>
  <si>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</si>
  <si>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</si>
  <si>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</si>
  <si>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</si>
  <si>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</si>
  <si>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</si>
  <si>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</si>
  <si>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</si>
  <si>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</si>
  <si>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</si>
  <si>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</si>
  <si>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</si>
  <si>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</si>
  <si>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</si>
  <si>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</si>
  <si>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</si>
  <si>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2019 ,cawtctwvWb egumwkirevuDnwd Wdcawh cSokumcaWa iawgEjcaWr cniaeret egukwtctwvWb unuveruk cTrOpcmia cSwaejcaWr  : 9.12 ulwvWt</t>
  </si>
  <si>
    <t>Table 9.12: IMPORTS OF FRESH AGRICULTURAL CROPS MAINLY PRODUCED IN MALDIVES,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</si>
</sst>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8" formatCode="[$-409]mmmm\ d\,\ yyyy;@"/>
  </numFmts>
  <fonts count="2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1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8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10" fillId="0" borderId="0"/>
    <xf numFmtId="168" fontId="1" fillId="0" borderId="0"/>
    <xf numFmtId="168" fontId="1" fillId="0" borderId="0"/>
    <xf numFmtId="168" fontId="1" fillId="0" borderId="0"/>
  </cellStyleXfs>
  <cellXfs count="58">
    <xf numFmtId="0" fontId="0" fillId="0" borderId="0" xfId="0"/>
    <xf numFmtId="164" fontId="4" fillId="2" borderId="0" xfId="1" applyFont="1" applyFill="1" applyBorder="1" applyAlignment="1" applyProtection="1">
      <alignment horizontal="left" vertical="center"/>
    </xf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4" applyNumberFormat="1" applyFill="1" applyBorder="1"/>
    <xf numFmtId="164" fontId="10" fillId="2" borderId="4" xfId="4" applyNumberFormat="1" applyFont="1" applyFill="1" applyBorder="1"/>
    <xf numFmtId="2" fontId="15" fillId="2" borderId="3" xfId="4" applyNumberFormat="1" applyFont="1" applyFill="1" applyBorder="1" applyAlignment="1">
      <alignment horizontal="right" vertical="center"/>
    </xf>
    <xf numFmtId="0" fontId="14" fillId="2" borderId="1" xfId="4" applyNumberFormat="1" applyFont="1" applyFill="1" applyBorder="1" applyAlignment="1">
      <alignment horizontal="right" vertical="center"/>
    </xf>
    <xf numFmtId="164" fontId="1" fillId="2" borderId="4" xfId="4" applyNumberFormat="1" applyFont="1" applyFill="1" applyBorder="1"/>
    <xf numFmtId="0" fontId="13" fillId="2" borderId="2" xfId="4" applyNumberFormat="1" applyFont="1" applyFill="1" applyBorder="1" applyAlignment="1">
      <alignment horizontal="left" vertical="center"/>
    </xf>
    <xf numFmtId="38" fontId="14" fillId="2" borderId="2" xfId="4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left" vertical="center" indent="1"/>
    </xf>
    <xf numFmtId="0" fontId="16" fillId="2" borderId="10" xfId="4" applyNumberFormat="1" applyFont="1" applyFill="1" applyBorder="1" applyAlignment="1">
      <alignment horizontal="right" vertical="center" indent="1"/>
    </xf>
    <xf numFmtId="0" fontId="17" fillId="2" borderId="11" xfId="4" applyNumberFormat="1" applyFont="1" applyFill="1" applyBorder="1" applyAlignment="1">
      <alignment horizontal="left" vertical="center" indent="1"/>
    </xf>
    <xf numFmtId="0" fontId="16" fillId="2" borderId="12" xfId="4" applyNumberFormat="1" applyFont="1" applyFill="1" applyBorder="1" applyAlignment="1">
      <alignment horizontal="right" vertical="center" indent="1"/>
    </xf>
    <xf numFmtId="0" fontId="17" fillId="2" borderId="13" xfId="4" applyNumberFormat="1" applyFont="1" applyFill="1" applyBorder="1" applyAlignment="1">
      <alignment horizontal="left" vertical="center" indent="1"/>
    </xf>
    <xf numFmtId="0" fontId="17" fillId="2" borderId="14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0" fontId="16" fillId="2" borderId="15" xfId="4" applyNumberFormat="1" applyFont="1" applyFill="1" applyBorder="1" applyAlignment="1">
      <alignment horizontal="right" vertical="center" indent="1"/>
    </xf>
    <xf numFmtId="164" fontId="3" fillId="2" borderId="11" xfId="1" applyFont="1" applyFill="1" applyBorder="1" applyAlignment="1" applyProtection="1">
      <alignment horizontal="left" vertical="center"/>
    </xf>
    <xf numFmtId="164" fontId="1" fillId="2" borderId="16" xfId="4" applyNumberFormat="1" applyFont="1" applyFill="1" applyBorder="1"/>
    <xf numFmtId="164" fontId="8" fillId="2" borderId="16" xfId="1" applyFont="1" applyFill="1" applyBorder="1" applyAlignment="1">
      <alignment horizontal="right" vertical="center" indent="1"/>
    </xf>
    <xf numFmtId="164" fontId="3" fillId="2" borderId="0" xfId="1" applyFont="1" applyFill="1" applyBorder="1" applyAlignment="1" applyProtection="1">
      <alignment horizontal="left" vertical="center"/>
    </xf>
    <xf numFmtId="1" fontId="7" fillId="2" borderId="0" xfId="0" applyNumberFormat="1" applyFont="1" applyFill="1" applyBorder="1"/>
    <xf numFmtId="164" fontId="1" fillId="2" borderId="12" xfId="4" applyNumberFormat="1" applyFont="1" applyFill="1" applyBorder="1"/>
    <xf numFmtId="164" fontId="4" fillId="2" borderId="16" xfId="1" applyFont="1" applyFill="1" applyBorder="1" applyAlignment="1" applyProtection="1">
      <alignment horizontal="left" vertical="center"/>
    </xf>
    <xf numFmtId="164" fontId="8" fillId="2" borderId="16" xfId="1" applyFont="1" applyFill="1" applyBorder="1" applyAlignment="1">
      <alignment horizontal="left" vertical="center" indent="1" readingOrder="2"/>
    </xf>
    <xf numFmtId="164" fontId="3" fillId="2" borderId="17" xfId="1" applyFont="1" applyFill="1" applyBorder="1" applyAlignment="1" applyProtection="1">
      <alignment horizontal="left" vertical="center"/>
    </xf>
    <xf numFmtId="164" fontId="1" fillId="2" borderId="18" xfId="4" applyNumberFormat="1" applyFont="1" applyFill="1" applyBorder="1"/>
    <xf numFmtId="164" fontId="4" fillId="2" borderId="19" xfId="1" applyFont="1" applyFill="1" applyBorder="1" applyAlignment="1" applyProtection="1">
      <alignment horizontal="left" vertical="center"/>
    </xf>
    <xf numFmtId="164" fontId="8" fillId="2" borderId="19" xfId="1" applyFont="1" applyFill="1" applyBorder="1" applyAlignment="1">
      <alignment horizontal="left" vertical="center" indent="1" readingOrder="2"/>
    </xf>
    <xf numFmtId="164" fontId="1" fillId="2" borderId="5" xfId="4" applyNumberFormat="1" applyFont="1" applyFill="1" applyBorder="1"/>
    <xf numFmtId="164" fontId="1" fillId="2" borderId="0" xfId="4" applyNumberFormat="1" applyFont="1" applyFill="1" applyBorder="1"/>
    <xf numFmtId="164" fontId="8" fillId="2" borderId="0" xfId="1" applyFont="1" applyFill="1" applyBorder="1" applyAlignment="1">
      <alignment horizontal="left" vertical="center" indent="1" readingOrder="2"/>
    </xf>
    <xf numFmtId="2" fontId="15" fillId="2" borderId="0" xfId="4" applyNumberFormat="1" applyFont="1" applyFill="1" applyBorder="1" applyAlignment="1">
      <alignment horizontal="right" vertical="center"/>
    </xf>
    <xf numFmtId="0" fontId="14" fillId="2" borderId="0" xfId="4" applyNumberFormat="1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 vertical="center"/>
    </xf>
    <xf numFmtId="0" fontId="16" fillId="2" borderId="0" xfId="4" applyNumberFormat="1" applyFont="1" applyFill="1" applyBorder="1" applyAlignment="1">
      <alignment vertical="center"/>
    </xf>
    <xf numFmtId="0" fontId="17" fillId="2" borderId="0" xfId="4" applyNumberFormat="1" applyFont="1" applyFill="1" applyBorder="1" applyAlignment="1">
      <alignment horizontal="left" vertical="center"/>
    </xf>
    <xf numFmtId="0" fontId="13" fillId="2" borderId="0" xfId="4" applyNumberFormat="1" applyFont="1" applyFill="1" applyBorder="1" applyAlignment="1">
      <alignment horizontal="left" vertical="center"/>
    </xf>
    <xf numFmtId="0" fontId="12" fillId="2" borderId="0" xfId="4" applyNumberFormat="1" applyFont="1" applyFill="1" applyBorder="1" applyAlignment="1">
      <alignment horizontal="righ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horizontal="center" vertical="center"/>
    </xf>
    <xf numFmtId="0" fontId="11" fillId="2" borderId="0" xfId="4" applyNumberFormat="1" applyFont="1" applyFill="1" applyBorder="1" applyAlignment="1">
      <alignment horizontal="center" vertical="center"/>
    </xf>
    <xf numFmtId="0" fontId="12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left" vertical="center"/>
    </xf>
    <xf numFmtId="0" fontId="12" fillId="2" borderId="0" xfId="4" applyNumberFormat="1" applyFont="1" applyFill="1" applyBorder="1" applyAlignment="1">
      <alignment horizontal="right" vertical="center"/>
    </xf>
    <xf numFmtId="0" fontId="18" fillId="2" borderId="4" xfId="3" applyFont="1" applyFill="1" applyBorder="1" applyAlignment="1">
      <alignment horizontal="center" vertical="center"/>
    </xf>
    <xf numFmtId="0" fontId="11" fillId="2" borderId="4" xfId="4" applyNumberFormat="1" applyFont="1" applyFill="1" applyBorder="1" applyAlignment="1">
      <alignment horizontal="center" vertical="center"/>
    </xf>
    <xf numFmtId="0" fontId="12" fillId="2" borderId="4" xfId="4" applyNumberFormat="1" applyFont="1" applyFill="1" applyBorder="1" applyAlignment="1">
      <alignment horizontal="center" vertical="center"/>
    </xf>
    <xf numFmtId="0" fontId="13" fillId="2" borderId="5" xfId="4" applyNumberFormat="1" applyFont="1" applyFill="1" applyBorder="1" applyAlignment="1">
      <alignment horizontal="center" vertical="center"/>
    </xf>
    <xf numFmtId="0" fontId="14" fillId="2" borderId="6" xfId="4" applyNumberFormat="1" applyFont="1" applyFill="1" applyBorder="1" applyAlignment="1">
      <alignment horizontal="left" vertical="center"/>
    </xf>
    <xf numFmtId="0" fontId="14" fillId="2" borderId="8" xfId="4" applyNumberFormat="1" applyFont="1" applyFill="1" applyBorder="1" applyAlignment="1">
      <alignment horizontal="lef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2" fillId="2" borderId="9" xfId="4" applyNumberFormat="1" applyFont="1" applyFill="1" applyBorder="1" applyAlignment="1">
      <alignment horizontal="right" vertical="center"/>
    </xf>
    <xf numFmtId="164" fontId="19" fillId="2" borderId="16" xfId="1" applyFont="1" applyFill="1" applyBorder="1" applyAlignment="1">
      <alignment horizontal="right" vertical="center" indent="1"/>
    </xf>
  </cellXfs>
  <cellStyles count="8"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9"/>
  <sheetViews>
    <sheetView tabSelected="1" zoomScaleNormal="100" workbookViewId="0">
      <selection activeCell="K15" sqref="K15"/>
    </sheetView>
  </sheetViews>
  <sheetFormatPr defaultColWidth="8.85546875" defaultRowHeight="15"/>
  <cols>
    <col min="1" max="1" width="38.5703125" style="5" customWidth="1"/>
    <col min="2" max="2" width="18.85546875" style="5" customWidth="1"/>
    <col min="3" max="3" width="14" style="5" customWidth="1"/>
    <col min="4" max="7" width="12.7109375" style="5" customWidth="1"/>
    <col min="8" max="8" width="17.140625" style="5" customWidth="1"/>
    <col min="9" max="9" width="22.5703125" style="5" customWidth="1"/>
    <col min="10" max="11" width="8.85546875" style="5"/>
    <col min="12" max="26" width="11.140625" style="5" customWidth="1"/>
    <col min="27" max="27" width="13.28515625" style="5" bestFit="1" customWidth="1"/>
    <col min="28" max="29" width="8.85546875" style="5"/>
    <col min="30" max="30" width="9" style="5" bestFit="1" customWidth="1"/>
    <col min="31" max="16384" width="8.85546875" style="5"/>
  </cols>
  <sheetData>
    <row r="1" spans="1:26" ht="18">
      <c r="A1" s="49" t="s">
        <v>65</v>
      </c>
      <c r="B1" s="49"/>
      <c r="C1" s="49"/>
      <c r="D1" s="49"/>
      <c r="E1" s="49"/>
      <c r="F1" s="49"/>
      <c r="G1" s="49"/>
      <c r="H1" s="49"/>
      <c r="I1" s="49"/>
    </row>
    <row r="2" spans="1:26" s="6" customFormat="1" ht="15.75">
      <c r="A2" s="50" t="s">
        <v>66</v>
      </c>
      <c r="B2" s="50"/>
      <c r="C2" s="50"/>
      <c r="D2" s="50"/>
      <c r="E2" s="50"/>
      <c r="F2" s="50"/>
      <c r="G2" s="50"/>
      <c r="H2" s="50"/>
      <c r="I2" s="50"/>
    </row>
    <row r="3" spans="1:26" ht="21">
      <c r="A3" s="51" t="s">
        <v>2</v>
      </c>
      <c r="B3" s="51"/>
      <c r="C3" s="51"/>
      <c r="D3" s="51"/>
      <c r="E3" s="51"/>
      <c r="F3" s="51"/>
      <c r="G3" s="51"/>
      <c r="H3" s="51"/>
      <c r="I3" s="51"/>
    </row>
    <row r="4" spans="1:26">
      <c r="A4" s="52" t="s">
        <v>3</v>
      </c>
      <c r="B4" s="52"/>
      <c r="C4" s="52"/>
      <c r="D4" s="52"/>
      <c r="E4" s="52"/>
      <c r="F4" s="52"/>
      <c r="G4" s="52"/>
      <c r="H4" s="52"/>
      <c r="I4" s="52"/>
    </row>
    <row r="5" spans="1:26" ht="18.75">
      <c r="A5" s="53" t="s">
        <v>4</v>
      </c>
      <c r="B5" s="7" t="s">
        <v>1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55" t="s">
        <v>11</v>
      </c>
    </row>
    <row r="6" spans="1:26">
      <c r="A6" s="54"/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56"/>
      <c r="J6" s="9"/>
      <c r="K6" s="9"/>
    </row>
    <row r="7" spans="1:26" ht="21">
      <c r="A7" s="10" t="s">
        <v>0</v>
      </c>
      <c r="B7" s="11">
        <f>SUM(B8:B29)</f>
        <v>514951812.51000005</v>
      </c>
      <c r="C7" s="11">
        <f>SUM(C8:C29)</f>
        <v>142352817.84999999</v>
      </c>
      <c r="D7" s="11">
        <f t="shared" ref="D7:G7" si="0">SUM(D8:D29)</f>
        <v>111794659.92000002</v>
      </c>
      <c r="E7" s="11">
        <f t="shared" si="0"/>
        <v>104460113.28000002</v>
      </c>
      <c r="F7" s="11">
        <f t="shared" si="0"/>
        <v>22204652.180000007</v>
      </c>
      <c r="G7" s="11">
        <f t="shared" si="0"/>
        <v>82854493.720000014</v>
      </c>
      <c r="H7" s="11">
        <f>SUM(H8:H29)</f>
        <v>51285075.559999995</v>
      </c>
      <c r="I7" s="42" t="s">
        <v>1</v>
      </c>
      <c r="J7" s="9"/>
      <c r="K7" s="9"/>
    </row>
    <row r="8" spans="1:26" ht="21">
      <c r="A8" s="12" t="s">
        <v>19</v>
      </c>
      <c r="B8" s="2">
        <f>SUM(C8:H8)</f>
        <v>30323538.43</v>
      </c>
      <c r="C8" s="3">
        <v>20090711.510000002</v>
      </c>
      <c r="D8" s="3">
        <v>5756501.4699999988</v>
      </c>
      <c r="E8" s="3">
        <v>2912839.9000000004</v>
      </c>
      <c r="F8" s="3">
        <v>24647.14</v>
      </c>
      <c r="G8" s="3">
        <v>907407.53999999992</v>
      </c>
      <c r="H8" s="3">
        <v>631430.86999999732</v>
      </c>
      <c r="I8" s="13" t="s">
        <v>20</v>
      </c>
    </row>
    <row r="9" spans="1:26" ht="21">
      <c r="A9" s="14" t="s">
        <v>21</v>
      </c>
      <c r="B9" s="2">
        <f t="shared" ref="B9:B29" si="1">SUM(C9:H9)</f>
        <v>28612779.479999997</v>
      </c>
      <c r="C9" s="3">
        <v>15184890.199999997</v>
      </c>
      <c r="D9" s="3">
        <v>6918159.620000002</v>
      </c>
      <c r="E9" s="3">
        <v>3418809.7700000005</v>
      </c>
      <c r="F9" s="3">
        <v>471306.82</v>
      </c>
      <c r="G9" s="3">
        <v>1581020.4600000002</v>
      </c>
      <c r="H9" s="3">
        <v>1038592.6099999957</v>
      </c>
      <c r="I9" s="15" t="s">
        <v>22</v>
      </c>
      <c r="J9" s="6"/>
      <c r="K9" s="6"/>
    </row>
    <row r="10" spans="1:26" ht="21">
      <c r="A10" s="16" t="s">
        <v>23</v>
      </c>
      <c r="B10" s="2">
        <f t="shared" si="1"/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5" t="s">
        <v>24</v>
      </c>
    </row>
    <row r="11" spans="1:26" ht="21">
      <c r="A11" s="16" t="s">
        <v>25</v>
      </c>
      <c r="B11" s="2">
        <f t="shared" si="1"/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5" t="s">
        <v>26</v>
      </c>
    </row>
    <row r="12" spans="1:26" ht="21">
      <c r="A12" s="16" t="s">
        <v>27</v>
      </c>
      <c r="B12" s="2">
        <f t="shared" si="1"/>
        <v>468374.0500000001</v>
      </c>
      <c r="C12" s="3">
        <v>984.62</v>
      </c>
      <c r="D12" s="3">
        <v>427462.52000000008</v>
      </c>
      <c r="E12" s="3">
        <v>36181.269999999997</v>
      </c>
      <c r="F12" s="3">
        <v>0</v>
      </c>
      <c r="G12" s="3">
        <v>1691.51</v>
      </c>
      <c r="H12" s="3">
        <v>2054.1300000000047</v>
      </c>
      <c r="I12" s="15" t="s">
        <v>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Y12" s="5" t="s">
        <v>13</v>
      </c>
      <c r="Z12" s="5">
        <v>124404067.35999998</v>
      </c>
    </row>
    <row r="13" spans="1:26" ht="21">
      <c r="A13" s="16" t="s">
        <v>29</v>
      </c>
      <c r="B13" s="2">
        <f t="shared" si="1"/>
        <v>47598203.259999998</v>
      </c>
      <c r="C13" s="3">
        <v>28297257.32</v>
      </c>
      <c r="D13" s="3">
        <v>8806051.7200000025</v>
      </c>
      <c r="E13" s="3">
        <v>5084018.8200000012</v>
      </c>
      <c r="F13" s="3">
        <v>754946.74999999988</v>
      </c>
      <c r="G13" s="3">
        <v>898092.3</v>
      </c>
      <c r="H13" s="3">
        <v>3757836.349999994</v>
      </c>
      <c r="I13" s="15" t="s">
        <v>30</v>
      </c>
      <c r="Y13" s="5" t="s">
        <v>15</v>
      </c>
      <c r="Z13" s="5">
        <v>89466498.949999988</v>
      </c>
    </row>
    <row r="14" spans="1:26" ht="21">
      <c r="A14" s="16" t="s">
        <v>31</v>
      </c>
      <c r="B14" s="2">
        <f t="shared" si="1"/>
        <v>8197307.5200000023</v>
      </c>
      <c r="C14" s="3">
        <v>174011.37999999998</v>
      </c>
      <c r="D14" s="3">
        <v>1611050.2300000002</v>
      </c>
      <c r="E14" s="3">
        <v>1866115.4800000004</v>
      </c>
      <c r="F14" s="3">
        <v>257686.2</v>
      </c>
      <c r="G14" s="3">
        <v>3966433.5200000005</v>
      </c>
      <c r="H14" s="3">
        <v>322010.71000000089</v>
      </c>
      <c r="I14" s="15" t="s">
        <v>32</v>
      </c>
      <c r="Y14" s="5" t="s">
        <v>14</v>
      </c>
      <c r="Z14" s="5">
        <v>84504694.510000005</v>
      </c>
    </row>
    <row r="15" spans="1:26" ht="21">
      <c r="A15" s="16" t="s">
        <v>33</v>
      </c>
      <c r="B15" s="2">
        <f t="shared" si="1"/>
        <v>2601250.5300000007</v>
      </c>
      <c r="C15" s="3">
        <v>134706.97999999998</v>
      </c>
      <c r="D15" s="3">
        <v>2299951.0500000003</v>
      </c>
      <c r="E15" s="3">
        <v>115120.64</v>
      </c>
      <c r="F15" s="3">
        <v>6027.87</v>
      </c>
      <c r="G15" s="3">
        <v>26158.560000000005</v>
      </c>
      <c r="H15" s="3">
        <v>19285.430000000168</v>
      </c>
      <c r="I15" s="15" t="s">
        <v>34</v>
      </c>
      <c r="Y15" s="5" t="s">
        <v>17</v>
      </c>
      <c r="Z15" s="5">
        <v>76314727.409999982</v>
      </c>
    </row>
    <row r="16" spans="1:26" ht="21">
      <c r="A16" s="16" t="s">
        <v>35</v>
      </c>
      <c r="B16" s="2">
        <f t="shared" si="1"/>
        <v>34479154.909999989</v>
      </c>
      <c r="C16" s="3">
        <v>13525294.309999999</v>
      </c>
      <c r="D16" s="3">
        <v>4028556.1799999997</v>
      </c>
      <c r="E16" s="3">
        <v>2341237.0799999996</v>
      </c>
      <c r="F16" s="3">
        <v>31871.97</v>
      </c>
      <c r="G16" s="3">
        <v>2867861.5100000002</v>
      </c>
      <c r="H16" s="3">
        <v>11684333.859999992</v>
      </c>
      <c r="I16" s="15" t="s">
        <v>36</v>
      </c>
      <c r="Y16" s="5" t="s">
        <v>18</v>
      </c>
      <c r="Z16" s="5">
        <v>42838737.359999999</v>
      </c>
    </row>
    <row r="17" spans="1:26" ht="21">
      <c r="A17" s="16" t="s">
        <v>37</v>
      </c>
      <c r="B17" s="2">
        <f t="shared" si="1"/>
        <v>32189217.490000002</v>
      </c>
      <c r="C17" s="3">
        <v>6115397.9000000004</v>
      </c>
      <c r="D17" s="3">
        <v>16728568.159999998</v>
      </c>
      <c r="E17" s="3">
        <v>5865219.0800000019</v>
      </c>
      <c r="F17" s="3">
        <v>1175321.24</v>
      </c>
      <c r="G17" s="3">
        <v>447111.61</v>
      </c>
      <c r="H17" s="3">
        <v>1857599.5000000037</v>
      </c>
      <c r="I17" s="15" t="s">
        <v>38</v>
      </c>
      <c r="Y17" s="5" t="s">
        <v>16</v>
      </c>
      <c r="Z17" s="5">
        <v>19911562.610000003</v>
      </c>
    </row>
    <row r="18" spans="1:26" ht="21">
      <c r="A18" s="16" t="s">
        <v>39</v>
      </c>
      <c r="B18" s="2">
        <f t="shared" si="1"/>
        <v>4955193.3100000015</v>
      </c>
      <c r="C18" s="3">
        <v>3140632.17</v>
      </c>
      <c r="D18" s="3">
        <v>1466707.5000000002</v>
      </c>
      <c r="E18" s="3">
        <v>123810.69</v>
      </c>
      <c r="F18" s="3">
        <v>0</v>
      </c>
      <c r="G18" s="3">
        <v>26804.329999999998</v>
      </c>
      <c r="H18" s="3">
        <v>197238.62000000104</v>
      </c>
      <c r="I18" s="15" t="s">
        <v>40</v>
      </c>
    </row>
    <row r="19" spans="1:26" ht="21">
      <c r="A19" s="16" t="s">
        <v>41</v>
      </c>
      <c r="B19" s="2">
        <f t="shared" si="1"/>
        <v>23281844.709999997</v>
      </c>
      <c r="C19" s="3">
        <v>2273168.09</v>
      </c>
      <c r="D19" s="3">
        <v>4994669.53</v>
      </c>
      <c r="E19" s="3">
        <v>3922276.3100000005</v>
      </c>
      <c r="F19" s="3">
        <v>14469.060000000001</v>
      </c>
      <c r="G19" s="3">
        <v>8726583.1899999995</v>
      </c>
      <c r="H19" s="3">
        <v>3350678.5299999975</v>
      </c>
      <c r="I19" s="15" t="s">
        <v>42</v>
      </c>
    </row>
    <row r="20" spans="1:26" ht="21">
      <c r="A20" s="16" t="s">
        <v>43</v>
      </c>
      <c r="B20" s="2">
        <f t="shared" si="1"/>
        <v>61824671.660000011</v>
      </c>
      <c r="C20" s="3">
        <v>1130415.33</v>
      </c>
      <c r="D20" s="3">
        <v>6580065.8899999978</v>
      </c>
      <c r="E20" s="3">
        <v>29741635.540000003</v>
      </c>
      <c r="F20" s="3">
        <v>9614508.1200000066</v>
      </c>
      <c r="G20" s="3">
        <v>4484892.0300000012</v>
      </c>
      <c r="H20" s="3">
        <v>10273154.750000007</v>
      </c>
      <c r="I20" s="15" t="s">
        <v>44</v>
      </c>
    </row>
    <row r="21" spans="1:26" ht="21">
      <c r="A21" s="16" t="s">
        <v>45</v>
      </c>
      <c r="B21" s="2">
        <f t="shared" si="1"/>
        <v>71068303.840000004</v>
      </c>
      <c r="C21" s="3">
        <v>8213404.7699999996</v>
      </c>
      <c r="D21" s="3">
        <v>11153516.869999999</v>
      </c>
      <c r="E21" s="3">
        <v>13405701.099999996</v>
      </c>
      <c r="F21" s="3">
        <v>1439583.17</v>
      </c>
      <c r="G21" s="3">
        <v>30578636.060000002</v>
      </c>
      <c r="H21" s="3">
        <v>6277461.8700000048</v>
      </c>
      <c r="I21" s="15" t="s">
        <v>46</v>
      </c>
    </row>
    <row r="22" spans="1:26" ht="21">
      <c r="A22" s="16" t="s">
        <v>47</v>
      </c>
      <c r="B22" s="2">
        <f t="shared" si="1"/>
        <v>54303526.390000001</v>
      </c>
      <c r="C22" s="3">
        <v>12999250.9</v>
      </c>
      <c r="D22" s="3">
        <v>1661793.3499999999</v>
      </c>
      <c r="E22" s="3">
        <v>23047552.400000002</v>
      </c>
      <c r="F22" s="3">
        <v>3777947.4299999997</v>
      </c>
      <c r="G22" s="3">
        <v>8968154.5399999991</v>
      </c>
      <c r="H22" s="3">
        <v>3848827.7699999958</v>
      </c>
      <c r="I22" s="15" t="s">
        <v>48</v>
      </c>
    </row>
    <row r="23" spans="1:26" ht="21">
      <c r="A23" s="16" t="s">
        <v>49</v>
      </c>
      <c r="B23" s="2">
        <f t="shared" si="1"/>
        <v>8566934.2000000011</v>
      </c>
      <c r="C23" s="3">
        <v>190296.85</v>
      </c>
      <c r="D23" s="3">
        <v>4479080.28</v>
      </c>
      <c r="E23" s="3">
        <v>323299.17999999993</v>
      </c>
      <c r="F23" s="3">
        <v>1577.02</v>
      </c>
      <c r="G23" s="3">
        <v>3545889.1500000004</v>
      </c>
      <c r="H23" s="3">
        <v>26791.720000000671</v>
      </c>
      <c r="I23" s="15" t="s">
        <v>50</v>
      </c>
    </row>
    <row r="24" spans="1:26" ht="21">
      <c r="A24" s="16" t="s">
        <v>51</v>
      </c>
      <c r="B24" s="2">
        <f t="shared" si="1"/>
        <v>24225273.659999996</v>
      </c>
      <c r="C24" s="3">
        <v>974296.97</v>
      </c>
      <c r="D24" s="3">
        <v>14200928.699999997</v>
      </c>
      <c r="E24" s="3">
        <v>3659156.1799999997</v>
      </c>
      <c r="F24" s="3">
        <v>81716.290000000008</v>
      </c>
      <c r="G24" s="3">
        <v>4317358.9799999995</v>
      </c>
      <c r="H24" s="3">
        <v>991816.53999999911</v>
      </c>
      <c r="I24" s="15" t="s">
        <v>52</v>
      </c>
    </row>
    <row r="25" spans="1:26" ht="21">
      <c r="A25" s="16" t="s">
        <v>53</v>
      </c>
      <c r="B25" s="2">
        <f t="shared" si="1"/>
        <v>12255962.07</v>
      </c>
      <c r="C25" s="3">
        <v>4098057.0300000003</v>
      </c>
      <c r="D25" s="3">
        <v>3247111.3699999992</v>
      </c>
      <c r="E25" s="3">
        <v>3751164.9400000004</v>
      </c>
      <c r="F25" s="3">
        <v>634037.18999999994</v>
      </c>
      <c r="G25" s="3">
        <v>88719.040000000008</v>
      </c>
      <c r="H25" s="3">
        <v>436872.50000000186</v>
      </c>
      <c r="I25" s="15" t="s">
        <v>54</v>
      </c>
    </row>
    <row r="26" spans="1:26" ht="21">
      <c r="A26" s="16" t="s">
        <v>55</v>
      </c>
      <c r="B26" s="2">
        <f t="shared" si="1"/>
        <v>300171.75</v>
      </c>
      <c r="C26" s="3">
        <v>73069.350000000006</v>
      </c>
      <c r="D26" s="3">
        <v>3629.59</v>
      </c>
      <c r="E26" s="3">
        <v>52407.170000000006</v>
      </c>
      <c r="F26" s="3">
        <v>0</v>
      </c>
      <c r="G26" s="3">
        <v>170707.51</v>
      </c>
      <c r="H26" s="3">
        <v>358.13000000000466</v>
      </c>
      <c r="I26" s="15" t="s">
        <v>56</v>
      </c>
    </row>
    <row r="27" spans="1:26" ht="21">
      <c r="A27" s="16" t="s">
        <v>57</v>
      </c>
      <c r="B27" s="2">
        <f t="shared" si="1"/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15" t="s">
        <v>58</v>
      </c>
    </row>
    <row r="28" spans="1:26" ht="21">
      <c r="A28" s="16" t="s">
        <v>59</v>
      </c>
      <c r="B28" s="2">
        <f t="shared" si="1"/>
        <v>11188072.369999999</v>
      </c>
      <c r="C28" s="3">
        <v>917261.39</v>
      </c>
      <c r="D28" s="3">
        <v>6166556.3999999994</v>
      </c>
      <c r="E28" s="3">
        <v>1180586.99</v>
      </c>
      <c r="F28" s="3">
        <v>274331.73</v>
      </c>
      <c r="G28" s="3">
        <v>341456.55</v>
      </c>
      <c r="H28" s="3">
        <v>2307879.3099999987</v>
      </c>
      <c r="I28" s="15" t="s">
        <v>60</v>
      </c>
    </row>
    <row r="29" spans="1:26" ht="21">
      <c r="A29" s="17" t="s">
        <v>61</v>
      </c>
      <c r="B29" s="18">
        <f t="shared" si="1"/>
        <v>58512032.88000001</v>
      </c>
      <c r="C29" s="4">
        <v>24819710.780000001</v>
      </c>
      <c r="D29" s="4">
        <v>11264299.490000002</v>
      </c>
      <c r="E29" s="4">
        <v>3612980.7399999998</v>
      </c>
      <c r="F29" s="4">
        <v>3644674.1800000006</v>
      </c>
      <c r="G29" s="4">
        <v>10909515.33</v>
      </c>
      <c r="H29" s="4">
        <v>4260852.3600000069</v>
      </c>
      <c r="I29" s="19" t="s">
        <v>62</v>
      </c>
    </row>
    <row r="30" spans="1:26" s="9" customFormat="1">
      <c r="A30" s="20" t="s">
        <v>63</v>
      </c>
      <c r="B30" s="20"/>
      <c r="C30" s="21"/>
      <c r="D30" s="21"/>
      <c r="E30" s="21"/>
      <c r="F30" s="21"/>
      <c r="G30" s="21"/>
      <c r="H30" s="21"/>
      <c r="I30" s="57" t="s">
        <v>64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6" s="9" customFormat="1">
      <c r="A31" s="20"/>
      <c r="B31" s="23"/>
      <c r="C31" s="24"/>
      <c r="D31" s="25"/>
      <c r="E31" s="26"/>
      <c r="F31" s="26"/>
      <c r="G31" s="26"/>
      <c r="H31" s="2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6" s="9" customFormat="1">
      <c r="A32" s="28"/>
      <c r="B32" s="23"/>
      <c r="C32" s="24"/>
      <c r="D32" s="29"/>
      <c r="E32" s="30"/>
      <c r="F32" s="30"/>
      <c r="G32" s="30"/>
      <c r="H32" s="31"/>
      <c r="I32" s="3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s="9" customFormat="1">
      <c r="A33" s="23"/>
      <c r="B33" s="23"/>
      <c r="C33" s="24"/>
      <c r="D33" s="33"/>
      <c r="E33" s="1"/>
      <c r="F33" s="1"/>
      <c r="G33" s="1"/>
      <c r="H33" s="34"/>
      <c r="I33" s="3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>
      <c r="A34" s="43"/>
      <c r="B34" s="43"/>
      <c r="C34" s="43"/>
      <c r="D34" s="43"/>
      <c r="E34" s="43"/>
      <c r="F34" s="43"/>
      <c r="G34" s="43"/>
      <c r="H34" s="43"/>
      <c r="I34" s="43"/>
    </row>
    <row r="35" spans="1:21" s="6" customFormat="1" ht="15.75">
      <c r="A35" s="44"/>
      <c r="B35" s="44"/>
      <c r="C35" s="44"/>
      <c r="D35" s="44"/>
      <c r="E35" s="44"/>
      <c r="F35" s="44"/>
      <c r="G35" s="44"/>
      <c r="H35" s="44"/>
      <c r="I35" s="44"/>
    </row>
    <row r="36" spans="1:21" ht="21">
      <c r="A36" s="45"/>
      <c r="B36" s="45"/>
      <c r="C36" s="45"/>
      <c r="D36" s="45"/>
      <c r="E36" s="45"/>
      <c r="F36" s="45"/>
      <c r="G36" s="45"/>
      <c r="H36" s="45"/>
      <c r="I36" s="45"/>
    </row>
    <row r="37" spans="1:21">
      <c r="A37" s="46"/>
      <c r="B37" s="46"/>
      <c r="C37" s="46"/>
      <c r="D37" s="46"/>
      <c r="E37" s="46"/>
      <c r="F37" s="46"/>
      <c r="G37" s="46"/>
      <c r="H37" s="46"/>
      <c r="I37" s="46"/>
    </row>
    <row r="38" spans="1:21" ht="18.75">
      <c r="A38" s="47"/>
      <c r="B38" s="35"/>
      <c r="C38" s="35"/>
      <c r="D38" s="35"/>
      <c r="E38" s="35"/>
      <c r="F38" s="35"/>
      <c r="G38" s="35"/>
      <c r="H38" s="35"/>
      <c r="I38" s="48"/>
    </row>
    <row r="39" spans="1:21">
      <c r="A39" s="47"/>
      <c r="B39" s="36"/>
      <c r="C39" s="36"/>
      <c r="D39" s="36"/>
      <c r="E39" s="36"/>
      <c r="F39" s="36"/>
      <c r="G39" s="36"/>
      <c r="H39" s="36"/>
      <c r="I39" s="48"/>
      <c r="J39" s="9"/>
      <c r="K39" s="9"/>
    </row>
    <row r="40" spans="1:21" ht="21">
      <c r="A40" s="40"/>
      <c r="B40" s="37"/>
      <c r="C40" s="37"/>
      <c r="D40" s="37"/>
      <c r="E40" s="37"/>
      <c r="F40" s="37"/>
      <c r="G40" s="37"/>
      <c r="H40" s="37"/>
      <c r="I40" s="41"/>
      <c r="J40" s="9"/>
      <c r="K40" s="9"/>
    </row>
    <row r="41" spans="1:21" ht="21">
      <c r="A41" s="24"/>
      <c r="B41" s="2"/>
      <c r="C41" s="3"/>
      <c r="D41" s="3"/>
      <c r="E41" s="3"/>
      <c r="F41" s="3"/>
      <c r="G41" s="3"/>
      <c r="H41" s="3"/>
      <c r="I41" s="38"/>
    </row>
    <row r="42" spans="1:21" ht="21">
      <c r="A42" s="39"/>
      <c r="B42" s="2"/>
      <c r="C42" s="3"/>
      <c r="D42" s="3"/>
      <c r="E42" s="3"/>
      <c r="F42" s="3"/>
      <c r="G42" s="3"/>
      <c r="H42" s="3"/>
      <c r="I42" s="38"/>
      <c r="J42" s="6"/>
      <c r="K42" s="6"/>
    </row>
    <row r="43" spans="1:21" ht="21">
      <c r="A43" s="39"/>
      <c r="B43" s="2"/>
      <c r="C43" s="3"/>
      <c r="D43" s="3"/>
      <c r="E43" s="3"/>
      <c r="F43" s="3"/>
      <c r="G43" s="3"/>
      <c r="H43" s="3"/>
      <c r="I43" s="38"/>
    </row>
    <row r="44" spans="1:21" ht="21">
      <c r="A44" s="39"/>
      <c r="B44" s="2"/>
      <c r="C44" s="3"/>
      <c r="D44" s="3"/>
      <c r="E44" s="3"/>
      <c r="F44" s="3"/>
      <c r="G44" s="3"/>
      <c r="H44" s="3"/>
      <c r="I44" s="38"/>
    </row>
    <row r="45" spans="1:21" ht="21">
      <c r="A45" s="39"/>
      <c r="B45" s="2"/>
      <c r="C45" s="3"/>
      <c r="D45" s="3"/>
      <c r="E45" s="3"/>
      <c r="F45" s="3"/>
      <c r="G45" s="3"/>
      <c r="H45" s="3"/>
      <c r="I45" s="3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21">
      <c r="A46" s="39"/>
      <c r="B46" s="2"/>
      <c r="C46" s="3"/>
      <c r="D46" s="3"/>
      <c r="E46" s="3"/>
      <c r="F46" s="3"/>
      <c r="G46" s="3"/>
      <c r="H46" s="3"/>
      <c r="I46" s="38"/>
    </row>
    <row r="47" spans="1:21" ht="21">
      <c r="A47" s="39"/>
      <c r="B47" s="2"/>
      <c r="C47" s="3"/>
      <c r="D47" s="3"/>
      <c r="E47" s="3"/>
      <c r="F47" s="3"/>
      <c r="G47" s="3"/>
      <c r="H47" s="3"/>
      <c r="I47" s="38"/>
    </row>
    <row r="48" spans="1:21">
      <c r="A48" s="20"/>
      <c r="B48" s="20"/>
      <c r="C48" s="21"/>
      <c r="D48" s="21"/>
      <c r="E48" s="21"/>
      <c r="F48" s="21"/>
      <c r="G48" s="21"/>
      <c r="H48" s="21"/>
      <c r="I48" s="22"/>
    </row>
    <row r="49" spans="1:9">
      <c r="A49" s="20"/>
      <c r="B49" s="23"/>
      <c r="C49" s="24"/>
      <c r="D49" s="25"/>
      <c r="E49" s="26"/>
      <c r="F49" s="26"/>
      <c r="G49" s="26"/>
      <c r="H49" s="27"/>
      <c r="I49" s="9"/>
    </row>
  </sheetData>
  <mergeCells count="12">
    <mergeCell ref="A1:I1"/>
    <mergeCell ref="A2:I2"/>
    <mergeCell ref="A3:I3"/>
    <mergeCell ref="A4:I4"/>
    <mergeCell ref="A5:A6"/>
    <mergeCell ref="I5:I6"/>
    <mergeCell ref="A34:I34"/>
    <mergeCell ref="A35:I35"/>
    <mergeCell ref="A36:I36"/>
    <mergeCell ref="A37:I37"/>
    <mergeCell ref="A38:A39"/>
    <mergeCell ref="I38:I39"/>
  </mergeCells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2020-10-20T05:32:32Z</cp:lastPrinted>
  <dcterms:created xsi:type="dcterms:W3CDTF">2019-09-09T05:11:24Z</dcterms:created>
  <dcterms:modified xsi:type="dcterms:W3CDTF">2020-10-20T05:32:51Z</dcterms:modified>
</cp:coreProperties>
</file>