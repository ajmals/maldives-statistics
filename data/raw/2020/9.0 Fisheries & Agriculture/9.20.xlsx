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20" sheetId="20" r:id="rId1"/>
  </sheet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20" l="1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 l="1"/>
</calcChain>
</file>

<file path=xl/sharedStrings.xml><?xml version="1.0" encoding="utf-8"?>
<sst xmlns="http://schemas.openxmlformats.org/spreadsheetml/2006/main" count="89" uniqueCount="85">
  <si>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</si>
  <si>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</si>
  <si>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</si>
  <si>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</si>
  <si>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</si>
  <si>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</si>
  <si>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</si>
  <si>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</si>
  <si>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</si>
  <si>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</si>
  <si>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</si>
  <si>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</si>
  <si>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</si>
  <si>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</si>
  <si>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</si>
  <si>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</si>
  <si>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</si>
  <si>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</si>
  <si>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</si>
  <si>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</si>
  <si>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</si>
  <si>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</si>
  <si>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</si>
  <si>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</si>
  <si>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</si>
  <si>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</si>
  <si>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</si>
  <si>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</si>
  <si>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</si>
  <si>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</si>
  <si>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</si>
  <si>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</si>
  <si>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</si>
  <si>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</si>
  <si>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</si>
  <si>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</si>
  <si>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</si>
  <si>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</si>
  <si>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</si>
  <si>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>ޖުމްލަ</t>
  </si>
  <si>
    <t xml:space="preserve"> AA</t>
  </si>
  <si>
    <t>R</t>
  </si>
  <si>
    <t>ދަނޑުވެރިކަމުގެ ބާވަތްތައް</t>
  </si>
  <si>
    <t>ފަތްކެޔޮ</t>
  </si>
  <si>
    <t>ގިތެޔޮމިރުސް</t>
  </si>
  <si>
    <t>ކިއުކަމްބަރ</t>
  </si>
  <si>
    <t>އަނބު</t>
  </si>
  <si>
    <t>ފަޅޯ</t>
  </si>
  <si>
    <t>ބަރަބޯ</t>
  </si>
  <si>
    <t>ކަރާ</t>
  </si>
  <si>
    <t>Agricultural Crops</t>
  </si>
  <si>
    <t>ޅ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</si>
  <si>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</si>
  <si>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</si>
  <si>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</si>
  <si>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</si>
  <si>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</si>
  <si>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</si>
  <si>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</si>
  <si>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</si>
  <si>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</si>
  <si>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</si>
  <si>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</si>
  <si>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</si>
  <si>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</si>
  <si>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</si>
  <si>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</si>
  <si>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</si>
  <si>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</si>
  <si>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</si>
  <si>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</si>
  <si>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</si>
  <si>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އެހެނިހެން</t>
  </si>
  <si>
    <t xml:space="preserve">            (Value in MVR)  (ރުފިޔާއިން)</t>
  </si>
  <si>
    <t>Producing by Atolls</t>
  </si>
  <si>
    <t>Betel leaf</t>
  </si>
  <si>
    <t>ބިލެއް</t>
  </si>
  <si>
    <t>Chilly</t>
  </si>
  <si>
    <t>Papaya</t>
  </si>
  <si>
    <t>ދިއްސާ</t>
  </si>
  <si>
    <t>ނޯޓް: ހދ،ނ، ރ، ޅ، ވ، ފ، ދ، ގއ އަދި ގދ ގެ މައުލޫމާތު ނެތީ އެ އަތޮޅު ތަކުން މާލެއަށް ތަރުކަރީ އަދި މޭވާ ވިއްކަން ގެނެސްފައި ކަމުގެ މައުލޫމާތު މިނިސްޓްރީއަށް ލިބިފައި ނުވާތީއެވެ.</t>
  </si>
  <si>
    <t xml:space="preserve">މައުލޫމާތު ދެއްވި ފަރާތް: އެގްރިކަލްޗަރ ޑާޓާ މެނޭޖްމަންޓް ޔުނިޓް/ މައުލޫމާތު ދެއްވި ފަރާތް: މިނިސްޓްރީ އޮފް ފިޝަރީޒް، މެރިން ރިސޯސަސް އެންޑް އެގްރިކަލްޗަރ </t>
  </si>
  <si>
    <t>ތާވަލު 9.20:  އަތޮޅުތަކުން މާލެ މާރުކޭޓަށް ވިއްކި ދަނޑުވެރިކަމުގެ ތަކެތި ، 2019</t>
  </si>
  <si>
    <t xml:space="preserve">       Table 9.20: AGRICULTURAL PRODUCTS TRADED IN MALE' MARKET BY ATOLLS, 2019</t>
  </si>
  <si>
    <t>Source:  Agriculture Data Management Unit/Ministry of Fisheries, Marine Resources and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</si>
</sst>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8" formatCode="[$-409]mmmm\ d\,\ yyyy;@"/>
  </numFmts>
  <fonts count="2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color indexed="8"/>
      <name val="Calibri"/>
      <family val="2"/>
    </font>
    <font>
      <sz val="10"/>
      <name val="Faruma"/>
    </font>
    <font>
      <i/>
      <sz val="10"/>
      <name val="Calibri"/>
      <family val="2"/>
    </font>
    <font>
      <sz val="11"/>
      <name val="Courier"/>
      <family val="3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indexed="8"/>
      <name val="Faruma"/>
    </font>
    <font>
      <b/>
      <sz val="12"/>
      <color indexed="8"/>
      <name val="Faruma"/>
    </font>
    <font>
      <sz val="10"/>
      <color indexed="8"/>
      <name val="Calibri"/>
      <family val="2"/>
      <scheme val="minor"/>
    </font>
    <font>
      <b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0" fontId="9" fillId="0" borderId="0" applyFont="0" applyFill="0" applyBorder="0" applyAlignment="0" applyProtection="0"/>
    <xf numFmtId="0" fontId="15" fillId="0" borderId="0"/>
    <xf numFmtId="168" fontId="1" fillId="0" borderId="0"/>
    <xf numFmtId="43" fontId="15" fillId="0" borderId="0" applyFont="0" applyFill="0" applyBorder="0" applyAlignment="0" applyProtection="0"/>
    <xf numFmtId="168" fontId="1" fillId="0" borderId="0"/>
    <xf numFmtId="168" fontId="1" fillId="0" borderId="0"/>
  </cellStyleXfs>
  <cellXfs count="58">
    <xf numFmtId="0" fontId="0" fillId="0" borderId="0" xfId="0"/>
    <xf numFmtId="0" fontId="17" fillId="2" borderId="3" xfId="5" applyNumberFormat="1" applyFont="1" applyFill="1" applyBorder="1" applyAlignment="1">
      <alignment vertical="center"/>
    </xf>
    <xf numFmtId="0" fontId="1" fillId="2" borderId="3" xfId="5" applyNumberFormat="1" applyFont="1" applyFill="1" applyBorder="1" applyAlignment="1">
      <alignment vertical="center"/>
    </xf>
    <xf numFmtId="0" fontId="3" fillId="2" borderId="0" xfId="0" applyFont="1" applyFill="1" applyBorder="1" applyAlignment="1" applyProtection="1">
      <alignment horizontal="right" vertical="center"/>
    </xf>
    <xf numFmtId="164" fontId="14" fillId="2" borderId="0" xfId="5" applyNumberFormat="1" applyFont="1" applyFill="1"/>
    <xf numFmtId="0" fontId="4" fillId="2" borderId="0" xfId="5" applyNumberFormat="1" applyFont="1" applyFill="1" applyBorder="1" applyAlignment="1">
      <alignment vertical="center"/>
    </xf>
    <xf numFmtId="0" fontId="13" fillId="2" borderId="0" xfId="5" applyNumberFormat="1" applyFont="1" applyFill="1" applyBorder="1" applyAlignment="1">
      <alignment vertical="center"/>
    </xf>
    <xf numFmtId="0" fontId="19" fillId="2" borderId="0" xfId="3" applyNumberFormat="1" applyFont="1" applyFill="1" applyBorder="1" applyAlignment="1">
      <alignment horizontal="right" vertical="center"/>
    </xf>
    <xf numFmtId="164" fontId="1" fillId="2" borderId="0" xfId="6" applyNumberFormat="1" applyFill="1"/>
    <xf numFmtId="164" fontId="6" fillId="2" borderId="0" xfId="6" applyNumberFormat="1" applyFont="1" applyFill="1"/>
    <xf numFmtId="0" fontId="1" fillId="2" borderId="2" xfId="6" applyNumberFormat="1" applyFont="1" applyFill="1" applyBorder="1" applyAlignment="1">
      <alignment vertical="center"/>
    </xf>
    <xf numFmtId="164" fontId="6" fillId="2" borderId="0" xfId="6" applyNumberFormat="1" applyFont="1" applyFill="1" applyAlignment="1">
      <alignment horizontal="center"/>
    </xf>
    <xf numFmtId="0" fontId="7" fillId="2" borderId="0" xfId="6" applyNumberFormat="1" applyFont="1" applyFill="1" applyAlignment="1">
      <alignment horizontal="center" vertical="center"/>
    </xf>
    <xf numFmtId="0" fontId="4" fillId="2" borderId="0" xfId="6" applyNumberFormat="1" applyFont="1" applyFill="1" applyAlignment="1">
      <alignment horizontal="center" vertical="center"/>
    </xf>
    <xf numFmtId="0" fontId="17" fillId="2" borderId="2" xfId="6" applyNumberFormat="1" applyFont="1" applyFill="1" applyBorder="1" applyAlignment="1">
      <alignment vertical="center"/>
    </xf>
    <xf numFmtId="3" fontId="17" fillId="2" borderId="2" xfId="5" applyNumberFormat="1" applyFont="1" applyFill="1" applyBorder="1" applyAlignment="1">
      <alignment horizontal="right"/>
    </xf>
    <xf numFmtId="3" fontId="2" fillId="2" borderId="2" xfId="5" applyNumberFormat="1" applyFont="1" applyFill="1" applyBorder="1" applyAlignment="1">
      <alignment horizontal="right"/>
    </xf>
    <xf numFmtId="0" fontId="16" fillId="2" borderId="2" xfId="6" applyNumberFormat="1" applyFont="1" applyFill="1" applyBorder="1" applyAlignment="1">
      <alignment vertical="center"/>
    </xf>
    <xf numFmtId="0" fontId="11" fillId="2" borderId="0" xfId="2" applyNumberFormat="1" applyFont="1" applyFill="1" applyBorder="1" applyAlignment="1">
      <alignment horizontal="left" vertical="center" indent="2"/>
    </xf>
    <xf numFmtId="3" fontId="17" fillId="2" borderId="0" xfId="5" applyNumberFormat="1" applyFont="1" applyFill="1" applyBorder="1" applyAlignment="1">
      <alignment horizontal="right"/>
    </xf>
    <xf numFmtId="3" fontId="8" fillId="2" borderId="0" xfId="6" applyNumberFormat="1" applyFont="1" applyFill="1"/>
    <xf numFmtId="0" fontId="18" fillId="2" borderId="0" xfId="6" applyNumberFormat="1" applyFont="1" applyFill="1" applyBorder="1" applyAlignment="1">
      <alignment horizontal="right" vertical="center" indent="4"/>
    </xf>
    <xf numFmtId="3" fontId="15" fillId="2" borderId="0" xfId="5" applyNumberFormat="1" applyFont="1" applyFill="1" applyBorder="1" applyAlignment="1">
      <alignment horizontal="right"/>
    </xf>
    <xf numFmtId="3" fontId="21" fillId="2" borderId="0" xfId="4" applyNumberFormat="1" applyFont="1" applyFill="1" applyBorder="1" applyAlignment="1">
      <alignment horizontal="right" vertical="center"/>
    </xf>
    <xf numFmtId="3" fontId="15" fillId="2" borderId="0" xfId="1" applyNumberFormat="1" applyFont="1" applyFill="1" applyBorder="1" applyAlignment="1">
      <alignment horizontal="right"/>
    </xf>
    <xf numFmtId="3" fontId="8" fillId="2" borderId="0" xfId="1" applyNumberFormat="1" applyFont="1" applyFill="1" applyBorder="1" applyAlignment="1">
      <alignment horizontal="right"/>
    </xf>
    <xf numFmtId="3" fontId="4" fillId="2" borderId="0" xfId="1" applyNumberFormat="1" applyFont="1" applyFill="1" applyBorder="1" applyAlignment="1">
      <alignment horizontal="right"/>
    </xf>
    <xf numFmtId="0" fontId="11" fillId="2" borderId="0" xfId="2" applyFont="1" applyFill="1" applyBorder="1" applyAlignment="1">
      <alignment horizontal="left" indent="2"/>
    </xf>
    <xf numFmtId="3" fontId="10" fillId="2" borderId="0" xfId="6" applyNumberFormat="1" applyFont="1" applyFill="1"/>
    <xf numFmtId="3" fontId="4" fillId="2" borderId="0" xfId="1" quotePrefix="1" applyNumberFormat="1" applyFont="1" applyFill="1" applyBorder="1" applyAlignment="1">
      <alignment horizontal="right"/>
    </xf>
    <xf numFmtId="0" fontId="4" fillId="2" borderId="0" xfId="5" applyNumberFormat="1" applyFont="1" applyFill="1" applyBorder="1" applyAlignment="1">
      <alignment horizontal="left" vertical="center" indent="2"/>
    </xf>
    <xf numFmtId="0" fontId="4" fillId="2" borderId="1" xfId="6" applyNumberFormat="1" applyFont="1" applyFill="1" applyBorder="1" applyAlignment="1">
      <alignment vertical="center"/>
    </xf>
    <xf numFmtId="3" fontId="15" fillId="2" borderId="1" xfId="5" applyNumberFormat="1" applyFont="1" applyFill="1" applyBorder="1" applyAlignment="1">
      <alignment horizontal="right"/>
    </xf>
    <xf numFmtId="3" fontId="21" fillId="2" borderId="1" xfId="4" applyNumberFormat="1" applyFont="1" applyFill="1" applyBorder="1" applyAlignment="1">
      <alignment horizontal="right" vertical="center"/>
    </xf>
    <xf numFmtId="3" fontId="15" fillId="2" borderId="1" xfId="1" applyNumberFormat="1" applyFont="1" applyFill="1" applyBorder="1" applyAlignment="1">
      <alignment horizontal="right"/>
    </xf>
    <xf numFmtId="3" fontId="8" fillId="2" borderId="1" xfId="1" applyNumberFormat="1" applyFont="1" applyFill="1" applyBorder="1" applyAlignment="1">
      <alignment horizontal="right"/>
    </xf>
    <xf numFmtId="3" fontId="4" fillId="2" borderId="1" xfId="1" applyNumberFormat="1" applyFont="1" applyFill="1" applyBorder="1" applyAlignment="1">
      <alignment horizontal="right"/>
    </xf>
    <xf numFmtId="0" fontId="18" fillId="2" borderId="1" xfId="6" applyNumberFormat="1" applyFont="1" applyFill="1" applyBorder="1" applyAlignment="1">
      <alignment horizontal="right" vertical="center" indent="4"/>
    </xf>
    <xf numFmtId="0" fontId="4" fillId="2" borderId="0" xfId="6" applyNumberFormat="1" applyFont="1" applyFill="1" applyAlignment="1">
      <alignment vertical="center"/>
    </xf>
    <xf numFmtId="0" fontId="5" fillId="2" borderId="0" xfId="6" applyNumberFormat="1" applyFont="1" applyFill="1" applyAlignment="1">
      <alignment vertical="center"/>
    </xf>
    <xf numFmtId="0" fontId="1" fillId="2" borderId="0" xfId="6" applyNumberFormat="1" applyFont="1" applyFill="1" applyAlignment="1">
      <alignment vertical="center"/>
    </xf>
    <xf numFmtId="0" fontId="12" fillId="2" borderId="0" xfId="3" applyNumberFormat="1" applyFont="1" applyFill="1" applyBorder="1" applyAlignment="1">
      <alignment horizontal="right" vertical="center"/>
    </xf>
    <xf numFmtId="3" fontId="4" fillId="2" borderId="0" xfId="6" applyNumberFormat="1" applyFont="1" applyFill="1" applyAlignment="1">
      <alignment vertical="center"/>
    </xf>
    <xf numFmtId="3" fontId="17" fillId="2" borderId="1" xfId="5" applyNumberFormat="1" applyFont="1" applyFill="1" applyBorder="1" applyAlignment="1">
      <alignment horizontal="right"/>
    </xf>
    <xf numFmtId="38" fontId="1" fillId="2" borderId="0" xfId="1" applyNumberFormat="1" applyFont="1" applyFill="1"/>
    <xf numFmtId="164" fontId="1" fillId="2" borderId="0" xfId="6" applyNumberFormat="1" applyFont="1" applyFill="1"/>
    <xf numFmtId="0" fontId="17" fillId="2" borderId="3" xfId="5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right" vertical="center"/>
    </xf>
    <xf numFmtId="0" fontId="12" fillId="2" borderId="2" xfId="5" applyNumberFormat="1" applyFont="1" applyFill="1" applyBorder="1" applyAlignment="1">
      <alignment horizontal="right" vertical="center" wrapText="1"/>
    </xf>
    <xf numFmtId="0" fontId="20" fillId="2" borderId="0" xfId="6" applyNumberFormat="1" applyFont="1" applyFill="1" applyAlignment="1">
      <alignment horizontal="center" vertical="center"/>
    </xf>
    <xf numFmtId="0" fontId="17" fillId="2" borderId="0" xfId="6" applyNumberFormat="1" applyFont="1" applyFill="1" applyAlignment="1">
      <alignment horizontal="center" vertical="center"/>
    </xf>
    <xf numFmtId="0" fontId="16" fillId="2" borderId="0" xfId="6" applyNumberFormat="1" applyFont="1" applyFill="1" applyAlignment="1">
      <alignment horizontal="center" vertical="center"/>
    </xf>
    <xf numFmtId="0" fontId="17" fillId="2" borderId="2" xfId="5" applyNumberFormat="1" applyFont="1" applyFill="1" applyBorder="1" applyAlignment="1">
      <alignment horizontal="right" vertical="center"/>
    </xf>
    <xf numFmtId="0" fontId="17" fillId="2" borderId="0" xfId="5" applyNumberFormat="1" applyFont="1" applyFill="1" applyBorder="1" applyAlignment="1">
      <alignment horizontal="right" vertical="center"/>
    </xf>
    <xf numFmtId="0" fontId="17" fillId="2" borderId="3" xfId="5" applyNumberFormat="1" applyFont="1" applyFill="1" applyBorder="1" applyAlignment="1">
      <alignment horizontal="center" vertical="center"/>
    </xf>
    <xf numFmtId="0" fontId="16" fillId="2" borderId="3" xfId="5" applyNumberFormat="1" applyFont="1" applyFill="1" applyBorder="1" applyAlignment="1">
      <alignment horizontal="center" vertical="center"/>
    </xf>
    <xf numFmtId="0" fontId="16" fillId="2" borderId="2" xfId="6" applyNumberFormat="1" applyFont="1" applyFill="1" applyBorder="1" applyAlignment="1">
      <alignment horizontal="center" vertical="center"/>
    </xf>
    <xf numFmtId="0" fontId="16" fillId="2" borderId="0" xfId="6" applyNumberFormat="1" applyFont="1" applyFill="1" applyBorder="1" applyAlignment="1">
      <alignment horizontal="center" vertical="center"/>
    </xf>
  </cellXfs>
  <cellStyles count="7">
    <cellStyle name="Comma 2" xfId="1"/>
    <cellStyle name="Comma_agri planning 2009 year book(final)" xfId="4"/>
    <cellStyle name="Normal" xfId="0" builtinId="0"/>
    <cellStyle name="Normal 2_agri planning 2009 year book(final)" xfId="3"/>
    <cellStyle name="Normal 3_agri planning 2009 year book(final)" xfId="6"/>
    <cellStyle name="Normal 4_agri planning 2009 year book(final)" xfId="5"/>
    <cellStyle name="Normal_agri planning 2009 year book(final)" xfId="2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7"/>
  <sheetViews>
    <sheetView tabSelected="1" topLeftCell="A20" zoomScaleNormal="100" workbookViewId="0">
      <selection activeCell="N62" sqref="N62"/>
    </sheetView>
  </sheetViews>
  <sheetFormatPr defaultColWidth="11.28515625" defaultRowHeight="12" x14ac:dyDescent="0.15"/>
  <cols>
    <col min="1" max="1" width="18.28515625" style="8" customWidth="1"/>
    <col min="2" max="2" width="14.28515625" style="44" customWidth="1"/>
    <col min="3" max="3" width="10.7109375" style="44" customWidth="1"/>
    <col min="4" max="4" width="10.7109375" style="44" hidden="1" customWidth="1"/>
    <col min="5" max="5" width="10.7109375" style="44" customWidth="1"/>
    <col min="6" max="8" width="10.7109375" style="44" hidden="1" customWidth="1"/>
    <col min="9" max="9" width="10.7109375" style="44" customWidth="1"/>
    <col min="10" max="11" width="10.7109375" style="44" hidden="1" customWidth="1"/>
    <col min="12" max="14" width="10.7109375" style="44" customWidth="1"/>
    <col min="15" max="16" width="10.7109375" style="44" hidden="1" customWidth="1"/>
    <col min="17" max="17" width="10.7109375" style="44" customWidth="1"/>
    <col min="18" max="19" width="10.7109375" style="45" hidden="1" customWidth="1"/>
    <col min="20" max="21" width="10.7109375" style="45" customWidth="1"/>
    <col min="22" max="23" width="10.7109375" style="45" hidden="1" customWidth="1"/>
    <col min="24" max="25" width="10.7109375" style="45" customWidth="1"/>
    <col min="26" max="26" width="24" style="8" customWidth="1"/>
    <col min="27" max="16384" width="11.28515625" style="8"/>
  </cols>
  <sheetData>
    <row r="1" spans="1:26" ht="21.75" x14ac:dyDescent="0.15">
      <c r="A1" s="49" t="s">
        <v>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s="9" customFormat="1" ht="17.25" customHeight="1" x14ac:dyDescent="0.15">
      <c r="A2" s="50" t="s">
        <v>83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s="9" customFormat="1" ht="21" x14ac:dyDescent="0.15">
      <c r="A3" s="51" t="s">
        <v>73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s="11" customFormat="1" ht="21" x14ac:dyDescent="0.15">
      <c r="A4" s="10"/>
      <c r="B4" s="52" t="s">
        <v>38</v>
      </c>
      <c r="C4" s="54" t="s">
        <v>74</v>
      </c>
      <c r="D4" s="54"/>
      <c r="E4" s="54"/>
      <c r="F4" s="54"/>
      <c r="G4" s="54"/>
      <c r="H4" s="46"/>
      <c r="I4" s="1"/>
      <c r="J4" s="2"/>
      <c r="K4" s="2"/>
      <c r="L4" s="2"/>
      <c r="M4" s="2"/>
      <c r="N4" s="2"/>
      <c r="O4" s="2"/>
      <c r="P4" s="2"/>
      <c r="Q4" s="2"/>
      <c r="R4" s="2"/>
      <c r="S4" s="55" t="s">
        <v>52</v>
      </c>
      <c r="T4" s="55"/>
      <c r="U4" s="55"/>
      <c r="V4" s="55"/>
      <c r="W4" s="55"/>
      <c r="X4" s="55"/>
      <c r="Y4" s="55"/>
      <c r="Z4" s="56" t="s">
        <v>42</v>
      </c>
    </row>
    <row r="5" spans="1:26" s="11" customFormat="1" ht="12.75" customHeight="1" x14ac:dyDescent="0.15">
      <c r="A5" s="12" t="s">
        <v>50</v>
      </c>
      <c r="B5" s="53"/>
      <c r="C5" s="47" t="s">
        <v>1</v>
      </c>
      <c r="D5" s="47" t="s">
        <v>3</v>
      </c>
      <c r="E5" s="47" t="s">
        <v>5</v>
      </c>
      <c r="F5" s="47" t="s">
        <v>7</v>
      </c>
      <c r="G5" s="47" t="s">
        <v>9</v>
      </c>
      <c r="H5" s="47"/>
      <c r="I5" s="47" t="s">
        <v>11</v>
      </c>
      <c r="J5" s="47" t="s">
        <v>13</v>
      </c>
      <c r="K5" s="47" t="s">
        <v>51</v>
      </c>
      <c r="L5" s="47" t="s">
        <v>15</v>
      </c>
      <c r="M5" s="47" t="s">
        <v>16</v>
      </c>
      <c r="N5" s="47" t="s">
        <v>18</v>
      </c>
      <c r="O5" s="47" t="s">
        <v>20</v>
      </c>
      <c r="P5" s="47"/>
      <c r="Q5" s="47" t="s">
        <v>22</v>
      </c>
      <c r="R5" s="47" t="s">
        <v>24</v>
      </c>
      <c r="S5" s="47" t="s">
        <v>26</v>
      </c>
      <c r="T5" s="47" t="s">
        <v>28</v>
      </c>
      <c r="U5" s="47" t="s">
        <v>30</v>
      </c>
      <c r="V5" s="47" t="s">
        <v>32</v>
      </c>
      <c r="W5" s="47" t="s">
        <v>34</v>
      </c>
      <c r="X5" s="47" t="s">
        <v>36</v>
      </c>
      <c r="Y5" s="47" t="s">
        <v>37</v>
      </c>
      <c r="Z5" s="57"/>
    </row>
    <row r="6" spans="1:26" s="9" customFormat="1" ht="12.75" x14ac:dyDescent="0.15">
      <c r="A6" s="13"/>
      <c r="B6" s="53"/>
      <c r="C6" s="3" t="s">
        <v>0</v>
      </c>
      <c r="D6" s="3" t="s">
        <v>2</v>
      </c>
      <c r="E6" s="3" t="s">
        <v>4</v>
      </c>
      <c r="F6" s="3" t="s">
        <v>6</v>
      </c>
      <c r="G6" s="3" t="s">
        <v>8</v>
      </c>
      <c r="H6" s="3" t="s">
        <v>41</v>
      </c>
      <c r="I6" s="3" t="s">
        <v>10</v>
      </c>
      <c r="J6" s="3" t="s">
        <v>12</v>
      </c>
      <c r="K6" s="3" t="s">
        <v>12</v>
      </c>
      <c r="L6" s="3" t="s">
        <v>14</v>
      </c>
      <c r="M6" s="3" t="s">
        <v>40</v>
      </c>
      <c r="N6" s="3" t="s">
        <v>17</v>
      </c>
      <c r="O6" s="3" t="s">
        <v>19</v>
      </c>
      <c r="P6" s="3" t="s">
        <v>19</v>
      </c>
      <c r="Q6" s="3" t="s">
        <v>21</v>
      </c>
      <c r="R6" s="3" t="s">
        <v>23</v>
      </c>
      <c r="S6" s="3" t="s">
        <v>25</v>
      </c>
      <c r="T6" s="3" t="s">
        <v>27</v>
      </c>
      <c r="U6" s="3" t="s">
        <v>29</v>
      </c>
      <c r="V6" s="3" t="s">
        <v>31</v>
      </c>
      <c r="W6" s="3" t="s">
        <v>33</v>
      </c>
      <c r="X6" s="3" t="s">
        <v>35</v>
      </c>
      <c r="Y6" s="3" t="s">
        <v>5</v>
      </c>
      <c r="Z6" s="57"/>
    </row>
    <row r="7" spans="1:26" s="9" customFormat="1" ht="21" x14ac:dyDescent="0.25">
      <c r="A7" s="14" t="s">
        <v>38</v>
      </c>
      <c r="B7" s="15">
        <f>SUM(C7:Y7)</f>
        <v>30124093</v>
      </c>
      <c r="C7" s="16">
        <f>SUM(C8:C23)</f>
        <v>24650</v>
      </c>
      <c r="D7" s="16">
        <f t="shared" ref="D7:X7" si="0">SUM(D8:D23)</f>
        <v>0</v>
      </c>
      <c r="E7" s="16">
        <f t="shared" si="0"/>
        <v>829990</v>
      </c>
      <c r="F7" s="16">
        <f t="shared" si="0"/>
        <v>0</v>
      </c>
      <c r="G7" s="16">
        <f t="shared" si="0"/>
        <v>0</v>
      </c>
      <c r="H7" s="16">
        <f t="shared" si="0"/>
        <v>0</v>
      </c>
      <c r="I7" s="16">
        <f t="shared" si="0"/>
        <v>893780</v>
      </c>
      <c r="J7" s="16">
        <f t="shared" si="0"/>
        <v>0</v>
      </c>
      <c r="K7" s="16">
        <f t="shared" si="0"/>
        <v>0</v>
      </c>
      <c r="L7" s="16">
        <f t="shared" si="0"/>
        <v>2725680</v>
      </c>
      <c r="M7" s="16">
        <f t="shared" si="0"/>
        <v>19050810</v>
      </c>
      <c r="N7" s="16">
        <f t="shared" si="0"/>
        <v>161650</v>
      </c>
      <c r="O7" s="16">
        <f t="shared" si="0"/>
        <v>0</v>
      </c>
      <c r="P7" s="16">
        <f t="shared" si="0"/>
        <v>0</v>
      </c>
      <c r="Q7" s="16">
        <f t="shared" si="0"/>
        <v>500550</v>
      </c>
      <c r="R7" s="16">
        <f t="shared" si="0"/>
        <v>0</v>
      </c>
      <c r="S7" s="16">
        <f t="shared" si="0"/>
        <v>0</v>
      </c>
      <c r="T7" s="16">
        <f t="shared" si="0"/>
        <v>1624035</v>
      </c>
      <c r="U7" s="16">
        <f t="shared" si="0"/>
        <v>4025595</v>
      </c>
      <c r="V7" s="16">
        <f t="shared" si="0"/>
        <v>0</v>
      </c>
      <c r="W7" s="16">
        <f t="shared" si="0"/>
        <v>0</v>
      </c>
      <c r="X7" s="16">
        <f t="shared" si="0"/>
        <v>227085</v>
      </c>
      <c r="Y7" s="16">
        <f>SUM(Y8:Y23)</f>
        <v>60268</v>
      </c>
      <c r="Z7" s="17" t="s">
        <v>39</v>
      </c>
    </row>
    <row r="8" spans="1:26" s="9" customFormat="1" ht="21" x14ac:dyDescent="0.25">
      <c r="A8" s="18" t="s">
        <v>75</v>
      </c>
      <c r="B8" s="19">
        <f>SUM(C8:Y8)</f>
        <v>5172535</v>
      </c>
      <c r="C8" s="20">
        <v>0</v>
      </c>
      <c r="D8" s="20"/>
      <c r="E8" s="20">
        <v>0</v>
      </c>
      <c r="F8" s="20">
        <v>0</v>
      </c>
      <c r="G8" s="20"/>
      <c r="H8" s="20"/>
      <c r="I8" s="20">
        <v>0</v>
      </c>
      <c r="J8" s="20"/>
      <c r="K8" s="20"/>
      <c r="L8" s="20"/>
      <c r="M8" s="20">
        <v>5172535</v>
      </c>
      <c r="N8" s="20">
        <v>0</v>
      </c>
      <c r="O8" s="20"/>
      <c r="P8" s="20"/>
      <c r="Q8" s="20">
        <v>0</v>
      </c>
      <c r="R8" s="20"/>
      <c r="S8" s="20"/>
      <c r="T8" s="20">
        <v>0</v>
      </c>
      <c r="U8" s="20">
        <v>0</v>
      </c>
      <c r="V8" s="20"/>
      <c r="W8" s="20"/>
      <c r="X8" s="20">
        <v>0</v>
      </c>
      <c r="Y8" s="20">
        <v>0</v>
      </c>
      <c r="Z8" s="21" t="s">
        <v>76</v>
      </c>
    </row>
    <row r="9" spans="1:26" s="9" customFormat="1" ht="21" x14ac:dyDescent="0.25">
      <c r="A9" s="18" t="s">
        <v>53</v>
      </c>
      <c r="B9" s="19">
        <f t="shared" ref="B9:B23" si="1">SUM(C9:Y9)</f>
        <v>3511250</v>
      </c>
      <c r="C9" s="22">
        <v>0</v>
      </c>
      <c r="D9" s="22"/>
      <c r="E9" s="22">
        <v>23000</v>
      </c>
      <c r="F9" s="22">
        <v>0</v>
      </c>
      <c r="G9" s="23"/>
      <c r="H9" s="23"/>
      <c r="I9" s="24">
        <v>102200</v>
      </c>
      <c r="J9" s="23"/>
      <c r="K9" s="23"/>
      <c r="L9" s="25">
        <v>277200</v>
      </c>
      <c r="M9" s="24">
        <v>2792850</v>
      </c>
      <c r="N9" s="25">
        <v>0</v>
      </c>
      <c r="O9" s="23"/>
      <c r="P9" s="23"/>
      <c r="Q9" s="25">
        <v>0</v>
      </c>
      <c r="R9" s="25"/>
      <c r="S9" s="26"/>
      <c r="T9" s="26">
        <v>0</v>
      </c>
      <c r="U9" s="26">
        <v>316000</v>
      </c>
      <c r="V9" s="26"/>
      <c r="W9" s="26"/>
      <c r="X9" s="26">
        <v>0</v>
      </c>
      <c r="Y9" s="20">
        <v>0</v>
      </c>
      <c r="Z9" s="21" t="s">
        <v>49</v>
      </c>
    </row>
    <row r="10" spans="1:26" s="9" customFormat="1" ht="21" x14ac:dyDescent="0.25">
      <c r="A10" s="27" t="s">
        <v>57</v>
      </c>
      <c r="B10" s="19">
        <f t="shared" si="1"/>
        <v>1978050</v>
      </c>
      <c r="C10" s="22">
        <v>0</v>
      </c>
      <c r="D10" s="22"/>
      <c r="E10" s="22">
        <v>91700</v>
      </c>
      <c r="F10" s="22"/>
      <c r="G10" s="23"/>
      <c r="H10" s="23"/>
      <c r="I10" s="24">
        <v>230300</v>
      </c>
      <c r="J10" s="23"/>
      <c r="K10" s="23"/>
      <c r="L10" s="25">
        <v>80500</v>
      </c>
      <c r="M10" s="24">
        <v>1508800</v>
      </c>
      <c r="N10" s="25">
        <v>52200</v>
      </c>
      <c r="O10" s="23"/>
      <c r="P10" s="23"/>
      <c r="Q10" s="25">
        <v>0</v>
      </c>
      <c r="R10" s="26"/>
      <c r="S10" s="26"/>
      <c r="T10" s="26">
        <v>0</v>
      </c>
      <c r="U10" s="26">
        <v>14550</v>
      </c>
      <c r="V10" s="26"/>
      <c r="W10" s="26"/>
      <c r="X10" s="26">
        <v>0</v>
      </c>
      <c r="Y10" s="20">
        <v>0</v>
      </c>
      <c r="Z10" s="21" t="s">
        <v>45</v>
      </c>
    </row>
    <row r="11" spans="1:26" s="9" customFormat="1" ht="21" x14ac:dyDescent="0.25">
      <c r="A11" s="27" t="s">
        <v>77</v>
      </c>
      <c r="B11" s="19">
        <f t="shared" si="1"/>
        <v>1133190</v>
      </c>
      <c r="C11" s="22">
        <v>0</v>
      </c>
      <c r="D11" s="22"/>
      <c r="E11" s="22">
        <v>0</v>
      </c>
      <c r="F11" s="22"/>
      <c r="G11" s="23"/>
      <c r="H11" s="23"/>
      <c r="I11" s="24">
        <v>0</v>
      </c>
      <c r="J11" s="23"/>
      <c r="K11" s="23"/>
      <c r="L11" s="25">
        <v>64320</v>
      </c>
      <c r="M11" s="24">
        <v>298310</v>
      </c>
      <c r="N11" s="25">
        <v>0</v>
      </c>
      <c r="O11" s="23"/>
      <c r="P11" s="23"/>
      <c r="Q11" s="25">
        <v>0</v>
      </c>
      <c r="R11" s="26"/>
      <c r="S11" s="26"/>
      <c r="T11" s="28">
        <v>598560</v>
      </c>
      <c r="U11" s="26">
        <v>172000</v>
      </c>
      <c r="V11" s="26"/>
      <c r="W11" s="26"/>
      <c r="X11" s="26">
        <v>0</v>
      </c>
      <c r="Y11" s="20">
        <v>0</v>
      </c>
      <c r="Z11" s="21" t="s">
        <v>44</v>
      </c>
    </row>
    <row r="12" spans="1:26" s="9" customFormat="1" ht="21" x14ac:dyDescent="0.25">
      <c r="A12" s="18" t="s">
        <v>78</v>
      </c>
      <c r="B12" s="19">
        <f t="shared" si="1"/>
        <v>5834250</v>
      </c>
      <c r="C12" s="22">
        <v>0</v>
      </c>
      <c r="D12" s="22"/>
      <c r="E12" s="22">
        <v>0</v>
      </c>
      <c r="F12" s="22"/>
      <c r="G12" s="23"/>
      <c r="H12" s="23"/>
      <c r="I12" s="24">
        <v>0</v>
      </c>
      <c r="J12" s="23"/>
      <c r="K12" s="23"/>
      <c r="L12" s="25">
        <v>15000</v>
      </c>
      <c r="M12" s="24">
        <v>5803250</v>
      </c>
      <c r="N12" s="25">
        <v>16000</v>
      </c>
      <c r="O12" s="23"/>
      <c r="P12" s="23"/>
      <c r="Q12" s="25">
        <v>0</v>
      </c>
      <c r="R12" s="26"/>
      <c r="S12" s="29"/>
      <c r="T12" s="26">
        <v>0</v>
      </c>
      <c r="U12" s="26">
        <v>0</v>
      </c>
      <c r="V12" s="26"/>
      <c r="W12" s="26"/>
      <c r="X12" s="26">
        <v>0</v>
      </c>
      <c r="Y12" s="20">
        <v>0</v>
      </c>
      <c r="Z12" s="21" t="s">
        <v>47</v>
      </c>
    </row>
    <row r="13" spans="1:26" s="9" customFormat="1" ht="21" x14ac:dyDescent="0.25">
      <c r="A13" s="18" t="s">
        <v>56</v>
      </c>
      <c r="B13" s="19">
        <f t="shared" si="1"/>
        <v>426110</v>
      </c>
      <c r="C13" s="22">
        <v>11250</v>
      </c>
      <c r="D13" s="22"/>
      <c r="E13" s="22">
        <v>29200</v>
      </c>
      <c r="F13" s="22"/>
      <c r="G13" s="23"/>
      <c r="H13" s="23"/>
      <c r="I13" s="24">
        <v>48800</v>
      </c>
      <c r="J13" s="23"/>
      <c r="K13" s="23"/>
      <c r="L13" s="25">
        <v>80600</v>
      </c>
      <c r="M13" s="24">
        <v>168200</v>
      </c>
      <c r="N13" s="25">
        <v>0</v>
      </c>
      <c r="O13" s="23"/>
      <c r="P13" s="23"/>
      <c r="Q13" s="25">
        <v>0</v>
      </c>
      <c r="R13" s="26"/>
      <c r="S13" s="26"/>
      <c r="T13" s="26">
        <v>0</v>
      </c>
      <c r="U13" s="26">
        <v>88060</v>
      </c>
      <c r="V13" s="26"/>
      <c r="W13" s="26"/>
      <c r="X13" s="26">
        <v>0</v>
      </c>
      <c r="Y13" s="20">
        <v>0</v>
      </c>
      <c r="Z13" s="21" t="s">
        <v>48</v>
      </c>
    </row>
    <row r="14" spans="1:26" s="9" customFormat="1" ht="21" x14ac:dyDescent="0.25">
      <c r="A14" s="18" t="s">
        <v>58</v>
      </c>
      <c r="B14" s="19">
        <f>SUM(C14:Y14)</f>
        <v>2588415</v>
      </c>
      <c r="C14" s="22">
        <v>12000</v>
      </c>
      <c r="D14" s="22"/>
      <c r="E14" s="22">
        <v>143175</v>
      </c>
      <c r="F14" s="22"/>
      <c r="G14" s="23"/>
      <c r="H14" s="23"/>
      <c r="I14" s="24">
        <v>0</v>
      </c>
      <c r="J14" s="23"/>
      <c r="K14" s="23"/>
      <c r="L14" s="25">
        <v>605925</v>
      </c>
      <c r="M14" s="24">
        <v>55315</v>
      </c>
      <c r="N14" s="25">
        <v>0</v>
      </c>
      <c r="O14" s="23"/>
      <c r="P14" s="23"/>
      <c r="Q14" s="25">
        <v>0</v>
      </c>
      <c r="R14" s="26"/>
      <c r="S14" s="26"/>
      <c r="T14" s="26">
        <v>11430</v>
      </c>
      <c r="U14" s="26">
        <v>1668170</v>
      </c>
      <c r="V14" s="26"/>
      <c r="W14" s="26"/>
      <c r="X14" s="26">
        <v>32400</v>
      </c>
      <c r="Y14" s="26">
        <v>60000</v>
      </c>
      <c r="Z14" s="21" t="s">
        <v>43</v>
      </c>
    </row>
    <row r="15" spans="1:26" s="9" customFormat="1" ht="21" x14ac:dyDescent="0.25">
      <c r="A15" s="30" t="s">
        <v>54</v>
      </c>
      <c r="B15" s="19">
        <f>SUM(C15:Y15)</f>
        <v>2493160</v>
      </c>
      <c r="C15" s="22">
        <v>0</v>
      </c>
      <c r="D15" s="22"/>
      <c r="E15" s="22">
        <v>46800</v>
      </c>
      <c r="F15" s="22"/>
      <c r="G15" s="23"/>
      <c r="H15" s="23"/>
      <c r="I15" s="24">
        <v>0</v>
      </c>
      <c r="J15" s="23"/>
      <c r="K15" s="23"/>
      <c r="L15" s="25">
        <v>443080</v>
      </c>
      <c r="M15" s="24">
        <v>45200</v>
      </c>
      <c r="N15" s="25">
        <v>0</v>
      </c>
      <c r="O15" s="23"/>
      <c r="P15" s="23"/>
      <c r="Q15" s="25">
        <v>384000</v>
      </c>
      <c r="R15" s="26"/>
      <c r="S15" s="26"/>
      <c r="T15" s="26">
        <v>621500</v>
      </c>
      <c r="U15" s="26">
        <v>858340</v>
      </c>
      <c r="V15" s="26"/>
      <c r="W15" s="26"/>
      <c r="X15" s="26">
        <v>94000</v>
      </c>
      <c r="Y15" s="26">
        <v>240</v>
      </c>
      <c r="Z15" s="21" t="s">
        <v>55</v>
      </c>
    </row>
    <row r="16" spans="1:26" s="9" customFormat="1" ht="21" x14ac:dyDescent="0.25">
      <c r="A16" s="18" t="s">
        <v>59</v>
      </c>
      <c r="B16" s="19">
        <f t="shared" si="1"/>
        <v>532925</v>
      </c>
      <c r="C16" s="22">
        <v>0</v>
      </c>
      <c r="D16" s="22"/>
      <c r="E16" s="22">
        <v>5220</v>
      </c>
      <c r="F16" s="22"/>
      <c r="G16" s="23"/>
      <c r="H16" s="23"/>
      <c r="I16" s="24">
        <v>63680</v>
      </c>
      <c r="J16" s="23"/>
      <c r="K16" s="23"/>
      <c r="L16" s="25">
        <v>139600</v>
      </c>
      <c r="M16" s="24">
        <v>231300</v>
      </c>
      <c r="N16" s="25">
        <v>75600</v>
      </c>
      <c r="O16" s="23"/>
      <c r="P16" s="23"/>
      <c r="Q16" s="25">
        <v>0</v>
      </c>
      <c r="R16" s="26"/>
      <c r="S16" s="26"/>
      <c r="T16" s="26">
        <v>1750</v>
      </c>
      <c r="U16" s="26">
        <v>15775</v>
      </c>
      <c r="V16" s="26"/>
      <c r="W16" s="26"/>
      <c r="X16" s="26">
        <v>0</v>
      </c>
      <c r="Y16" s="26">
        <v>0</v>
      </c>
      <c r="Z16" s="21" t="s">
        <v>60</v>
      </c>
    </row>
    <row r="17" spans="1:26" s="9" customFormat="1" ht="21" x14ac:dyDescent="0.25">
      <c r="A17" s="27" t="s">
        <v>66</v>
      </c>
      <c r="B17" s="19">
        <f t="shared" si="1"/>
        <v>1063400</v>
      </c>
      <c r="C17" s="22">
        <v>1400</v>
      </c>
      <c r="D17" s="22"/>
      <c r="E17" s="22">
        <v>0</v>
      </c>
      <c r="F17" s="22"/>
      <c r="G17" s="23"/>
      <c r="H17" s="23"/>
      <c r="I17" s="24">
        <v>0</v>
      </c>
      <c r="J17" s="23"/>
      <c r="K17" s="23"/>
      <c r="L17" s="25">
        <v>307000</v>
      </c>
      <c r="M17" s="24">
        <v>755000</v>
      </c>
      <c r="N17" s="25">
        <v>0</v>
      </c>
      <c r="O17" s="23"/>
      <c r="P17" s="23"/>
      <c r="Q17" s="25">
        <v>0</v>
      </c>
      <c r="R17" s="26"/>
      <c r="S17" s="26"/>
      <c r="T17" s="26">
        <v>0</v>
      </c>
      <c r="U17" s="26">
        <v>0</v>
      </c>
      <c r="V17" s="26"/>
      <c r="W17" s="26"/>
      <c r="X17" s="26">
        <v>0</v>
      </c>
      <c r="Y17" s="26">
        <v>0</v>
      </c>
      <c r="Z17" s="21" t="s">
        <v>67</v>
      </c>
    </row>
    <row r="18" spans="1:26" s="9" customFormat="1" ht="21" x14ac:dyDescent="0.25">
      <c r="A18" s="30" t="s">
        <v>61</v>
      </c>
      <c r="B18" s="19">
        <f t="shared" si="1"/>
        <v>1153173</v>
      </c>
      <c r="C18" s="22">
        <v>0</v>
      </c>
      <c r="D18" s="22"/>
      <c r="E18" s="22">
        <v>23500</v>
      </c>
      <c r="F18" s="22"/>
      <c r="G18" s="23"/>
      <c r="H18" s="23"/>
      <c r="I18" s="24">
        <v>0</v>
      </c>
      <c r="J18" s="23"/>
      <c r="K18" s="23"/>
      <c r="L18" s="25">
        <v>46400</v>
      </c>
      <c r="M18" s="24">
        <v>25100</v>
      </c>
      <c r="N18" s="25">
        <v>0</v>
      </c>
      <c r="O18" s="23"/>
      <c r="P18" s="23"/>
      <c r="Q18" s="25">
        <v>116550</v>
      </c>
      <c r="R18" s="26"/>
      <c r="S18" s="26"/>
      <c r="T18" s="26">
        <v>262545</v>
      </c>
      <c r="U18" s="26">
        <v>677300</v>
      </c>
      <c r="V18" s="26"/>
      <c r="W18" s="26"/>
      <c r="X18" s="26">
        <v>1750</v>
      </c>
      <c r="Y18" s="26">
        <v>28</v>
      </c>
      <c r="Z18" s="21" t="s">
        <v>62</v>
      </c>
    </row>
    <row r="19" spans="1:26" s="9" customFormat="1" ht="21" x14ac:dyDescent="0.25">
      <c r="A19" s="18" t="s">
        <v>64</v>
      </c>
      <c r="B19" s="19">
        <f t="shared" si="1"/>
        <v>358890</v>
      </c>
      <c r="C19" s="22">
        <v>0</v>
      </c>
      <c r="D19" s="22"/>
      <c r="E19" s="22">
        <v>16800</v>
      </c>
      <c r="F19" s="22"/>
      <c r="G19" s="23"/>
      <c r="H19" s="23"/>
      <c r="I19" s="24">
        <v>262500</v>
      </c>
      <c r="J19" s="23"/>
      <c r="K19" s="23"/>
      <c r="L19" s="25">
        <v>2800</v>
      </c>
      <c r="M19" s="24">
        <v>0</v>
      </c>
      <c r="N19" s="25">
        <v>0</v>
      </c>
      <c r="O19" s="23"/>
      <c r="P19" s="23"/>
      <c r="Q19" s="25">
        <v>0</v>
      </c>
      <c r="R19" s="25"/>
      <c r="S19" s="26"/>
      <c r="T19" s="26">
        <v>69950</v>
      </c>
      <c r="U19" s="26">
        <v>6840</v>
      </c>
      <c r="V19" s="26"/>
      <c r="W19" s="26"/>
      <c r="X19" s="23">
        <v>0</v>
      </c>
      <c r="Y19" s="23">
        <v>0</v>
      </c>
      <c r="Z19" s="21" t="s">
        <v>65</v>
      </c>
    </row>
    <row r="20" spans="1:26" s="9" customFormat="1" ht="21" x14ac:dyDescent="0.25">
      <c r="A20" s="27" t="s">
        <v>68</v>
      </c>
      <c r="B20" s="19">
        <f t="shared" si="1"/>
        <v>213300</v>
      </c>
      <c r="C20" s="22">
        <v>0</v>
      </c>
      <c r="D20" s="22"/>
      <c r="E20" s="22">
        <v>39000</v>
      </c>
      <c r="F20" s="22"/>
      <c r="G20" s="23"/>
      <c r="H20" s="23"/>
      <c r="I20" s="24">
        <v>0</v>
      </c>
      <c r="J20" s="23"/>
      <c r="K20" s="23"/>
      <c r="L20" s="25">
        <v>400</v>
      </c>
      <c r="M20" s="24">
        <v>0</v>
      </c>
      <c r="N20" s="25">
        <v>0</v>
      </c>
      <c r="O20" s="23"/>
      <c r="P20" s="23"/>
      <c r="Q20" s="25">
        <v>0</v>
      </c>
      <c r="R20" s="25"/>
      <c r="S20" s="26"/>
      <c r="T20" s="26">
        <v>6400</v>
      </c>
      <c r="U20" s="26">
        <v>106500</v>
      </c>
      <c r="V20" s="26"/>
      <c r="W20" s="26"/>
      <c r="X20" s="26">
        <v>61000</v>
      </c>
      <c r="Y20" s="23">
        <v>0</v>
      </c>
      <c r="Z20" s="21" t="s">
        <v>46</v>
      </c>
    </row>
    <row r="21" spans="1:26" s="9" customFormat="1" ht="21" x14ac:dyDescent="0.25">
      <c r="A21" s="18" t="s">
        <v>63</v>
      </c>
      <c r="B21" s="19">
        <f t="shared" si="1"/>
        <v>326700</v>
      </c>
      <c r="C21" s="22">
        <v>0</v>
      </c>
      <c r="D21" s="22"/>
      <c r="E21" s="22">
        <v>6500</v>
      </c>
      <c r="F21" s="22"/>
      <c r="G21" s="23"/>
      <c r="H21" s="23"/>
      <c r="I21" s="24">
        <v>30800</v>
      </c>
      <c r="J21" s="23"/>
      <c r="K21" s="23"/>
      <c r="L21" s="25">
        <v>48000</v>
      </c>
      <c r="M21" s="24">
        <v>241400</v>
      </c>
      <c r="N21" s="25">
        <v>0</v>
      </c>
      <c r="O21" s="23"/>
      <c r="P21" s="23"/>
      <c r="Q21" s="25">
        <v>0</v>
      </c>
      <c r="R21" s="25"/>
      <c r="S21" s="26"/>
      <c r="T21" s="26">
        <v>0</v>
      </c>
      <c r="U21" s="26">
        <v>0</v>
      </c>
      <c r="V21" s="26"/>
      <c r="W21" s="26"/>
      <c r="X21" s="23">
        <v>0</v>
      </c>
      <c r="Y21" s="23">
        <v>0</v>
      </c>
      <c r="Z21" s="21" t="s">
        <v>79</v>
      </c>
    </row>
    <row r="22" spans="1:26" s="9" customFormat="1" ht="20.25" customHeight="1" x14ac:dyDescent="0.25">
      <c r="A22" s="18" t="s">
        <v>69</v>
      </c>
      <c r="B22" s="19">
        <f t="shared" si="1"/>
        <v>203700</v>
      </c>
      <c r="C22" s="22">
        <v>0</v>
      </c>
      <c r="D22" s="22"/>
      <c r="E22" s="22">
        <v>4800</v>
      </c>
      <c r="F22" s="22"/>
      <c r="G22" s="23"/>
      <c r="H22" s="23"/>
      <c r="I22" s="24">
        <v>0</v>
      </c>
      <c r="J22" s="23"/>
      <c r="K22" s="23"/>
      <c r="L22" s="25">
        <v>66000</v>
      </c>
      <c r="M22" s="24">
        <v>124700</v>
      </c>
      <c r="N22" s="25">
        <v>3000</v>
      </c>
      <c r="O22" s="23"/>
      <c r="P22" s="23"/>
      <c r="Q22" s="25">
        <v>0</v>
      </c>
      <c r="R22" s="25"/>
      <c r="S22" s="26"/>
      <c r="T22" s="26">
        <v>0</v>
      </c>
      <c r="U22" s="26">
        <v>5200</v>
      </c>
      <c r="V22" s="26"/>
      <c r="W22" s="26"/>
      <c r="X22" s="23">
        <v>0</v>
      </c>
      <c r="Y22" s="23">
        <v>0</v>
      </c>
      <c r="Z22" s="21" t="s">
        <v>70</v>
      </c>
    </row>
    <row r="23" spans="1:26" s="4" customFormat="1" ht="21.75" customHeight="1" x14ac:dyDescent="0.25">
      <c r="A23" s="31" t="s">
        <v>71</v>
      </c>
      <c r="B23" s="43">
        <f t="shared" si="1"/>
        <v>3135045</v>
      </c>
      <c r="C23" s="32">
        <v>0</v>
      </c>
      <c r="D23" s="32"/>
      <c r="E23" s="32">
        <v>400295</v>
      </c>
      <c r="F23" s="32"/>
      <c r="G23" s="33"/>
      <c r="H23" s="33"/>
      <c r="I23" s="34">
        <v>155500</v>
      </c>
      <c r="J23" s="33"/>
      <c r="K23" s="33"/>
      <c r="L23" s="35">
        <v>548855</v>
      </c>
      <c r="M23" s="34">
        <v>1828850</v>
      </c>
      <c r="N23" s="35">
        <v>14850</v>
      </c>
      <c r="O23" s="33"/>
      <c r="P23" s="33"/>
      <c r="Q23" s="35">
        <v>0</v>
      </c>
      <c r="R23" s="36"/>
      <c r="S23" s="36"/>
      <c r="T23" s="36">
        <v>51900</v>
      </c>
      <c r="U23" s="36">
        <v>96860</v>
      </c>
      <c r="V23" s="36"/>
      <c r="W23" s="33"/>
      <c r="X23" s="36">
        <v>37935</v>
      </c>
      <c r="Y23" s="36">
        <v>0</v>
      </c>
      <c r="Z23" s="37" t="s">
        <v>72</v>
      </c>
    </row>
    <row r="24" spans="1:26" s="4" customFormat="1" ht="42.75" customHeight="1" x14ac:dyDescent="0.15">
      <c r="A24" s="6" t="s">
        <v>84</v>
      </c>
      <c r="B24" s="38"/>
      <c r="C24" s="38"/>
      <c r="D24" s="38"/>
      <c r="E24" s="39"/>
      <c r="F24" s="39"/>
      <c r="G24" s="39"/>
      <c r="H24" s="39"/>
      <c r="I24" s="39"/>
      <c r="J24" s="40"/>
      <c r="K24" s="40"/>
      <c r="L24" s="40"/>
      <c r="M24" s="40"/>
      <c r="N24" s="48" t="s">
        <v>80</v>
      </c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s="4" customFormat="1" ht="12.75" customHeight="1" x14ac:dyDescent="0.15">
      <c r="A25" s="5"/>
      <c r="B25" s="42"/>
      <c r="C25" s="38"/>
      <c r="D25" s="38"/>
      <c r="E25" s="39"/>
      <c r="F25" s="39"/>
      <c r="G25" s="39"/>
      <c r="H25" s="39"/>
      <c r="I25" s="39"/>
      <c r="J25" s="40"/>
      <c r="K25" s="40"/>
      <c r="L25" s="40"/>
      <c r="M25" s="40"/>
      <c r="N25" s="40"/>
      <c r="O25" s="40"/>
      <c r="P25" s="40"/>
      <c r="Q25" s="41"/>
      <c r="R25" s="9"/>
      <c r="S25" s="9"/>
      <c r="T25" s="9"/>
      <c r="U25" s="9"/>
      <c r="V25" s="9"/>
      <c r="W25" s="9"/>
      <c r="X25" s="9"/>
      <c r="Y25" s="9"/>
      <c r="Z25" s="7" t="s">
        <v>81</v>
      </c>
    </row>
    <row r="26" spans="1:26" s="4" customFormat="1" ht="12.75" customHeight="1" x14ac:dyDescent="0.15">
      <c r="A26" s="5"/>
      <c r="B26" s="42"/>
      <c r="C26" s="38"/>
      <c r="D26" s="38"/>
      <c r="E26" s="39"/>
      <c r="F26" s="39"/>
      <c r="G26" s="39"/>
      <c r="H26" s="39"/>
      <c r="I26" s="39"/>
      <c r="J26" s="40"/>
      <c r="K26" s="40"/>
      <c r="L26" s="40"/>
      <c r="M26" s="40"/>
      <c r="N26" s="40"/>
      <c r="O26" s="40"/>
      <c r="P26" s="40"/>
      <c r="Q26" s="41"/>
      <c r="R26" s="9"/>
      <c r="S26" s="9"/>
      <c r="T26" s="9"/>
      <c r="U26" s="9"/>
      <c r="V26" s="9"/>
      <c r="W26" s="9"/>
      <c r="X26" s="9"/>
      <c r="Y26" s="9"/>
    </row>
    <row r="27" spans="1:26" s="4" customFormat="1" ht="12.75" customHeight="1" x14ac:dyDescent="0.15">
      <c r="A27" s="5"/>
      <c r="B27" s="42"/>
      <c r="C27" s="38"/>
      <c r="D27" s="38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40"/>
      <c r="P27" s="40"/>
      <c r="Q27" s="41"/>
      <c r="R27" s="9"/>
      <c r="S27" s="9"/>
      <c r="T27" s="9"/>
      <c r="U27" s="9"/>
      <c r="V27" s="9"/>
      <c r="W27" s="9"/>
      <c r="X27" s="9"/>
      <c r="Y27" s="9"/>
      <c r="Z27" s="7"/>
    </row>
  </sheetData>
  <mergeCells count="8">
    <mergeCell ref="N24:Z24"/>
    <mergeCell ref="A1:Z1"/>
    <mergeCell ref="A2:Z2"/>
    <mergeCell ref="A3:Z3"/>
    <mergeCell ref="B4:B6"/>
    <mergeCell ref="C4:G4"/>
    <mergeCell ref="S4:Y4"/>
    <mergeCell ref="Z4:Z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2020-10-20T05:44:52Z</cp:lastPrinted>
  <dcterms:created xsi:type="dcterms:W3CDTF">2019-09-09T05:11:24Z</dcterms:created>
  <dcterms:modified xsi:type="dcterms:W3CDTF">2020-10-20T05:45:53Z</dcterms:modified>
</cp:coreProperties>
</file>