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ohamed\Desktop\yearbook 2020 =update\web\9. Fisheries\"/>
    </mc:Choice>
  </mc:AlternateContent>
  <bookViews>
    <workbookView xWindow="0" yWindow="0" windowWidth="28800" windowHeight="11730" tabRatio="833"/>
  </bookViews>
  <sheets>
    <sheet name="9.4" sheetId="4" r:id="rId1"/>
  </sheets>
  <definedNames>
    <definedName name="_xlnm.Print_Area" localSheetId="0">'9.4'!$A$1:$R$48</definedName>
  </definedNames>
  <calcPr calcId="152511" iterate="1" iterateCount="1000" calcOnSave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L8" i="4" l="1"/>
  <c r="AL9" i="4"/>
  <c r="AL10" i="4"/>
  <c r="AL11" i="4"/>
  <c r="AL12" i="4"/>
  <c r="AL13" i="4"/>
  <c r="AL14" i="4"/>
  <c r="AL15" i="4"/>
  <c r="AL16" i="4"/>
  <c r="AL17" i="4"/>
  <c r="AL18" i="4"/>
  <c r="AL7" i="4"/>
  <c r="AM8" i="4"/>
  <c r="AM9" i="4"/>
  <c r="AM10" i="4"/>
  <c r="AM11" i="4"/>
  <c r="AM12" i="4"/>
  <c r="AM13" i="4"/>
  <c r="AM14" i="4"/>
  <c r="AM15" i="4"/>
  <c r="AM16" i="4"/>
  <c r="AM17" i="4"/>
  <c r="AM18" i="4"/>
  <c r="AM7" i="4"/>
  <c r="Q10" i="4" l="1"/>
  <c r="Q11" i="4"/>
  <c r="Q12" i="4"/>
  <c r="Q13" i="4"/>
  <c r="Q14" i="4"/>
  <c r="Q15" i="4"/>
  <c r="Q16" i="4"/>
  <c r="Q17" i="4"/>
  <c r="Q18" i="4"/>
  <c r="Q19" i="4"/>
  <c r="Q20" i="4"/>
  <c r="Q21" i="4"/>
  <c r="J9" i="4"/>
  <c r="P9" i="4" s="1"/>
  <c r="I9" i="4" l="1"/>
  <c r="H9" i="4"/>
  <c r="G9" i="4"/>
  <c r="M19" i="4" s="1"/>
  <c r="F9" i="4"/>
  <c r="L19" i="4" s="1"/>
  <c r="E9" i="4"/>
  <c r="K19" i="4" s="1"/>
  <c r="D9" i="4"/>
  <c r="C9" i="4"/>
  <c r="B9" i="4"/>
  <c r="O19" i="4" l="1"/>
  <c r="P18" i="4"/>
  <c r="P14" i="4"/>
  <c r="P10" i="4"/>
  <c r="P21" i="4"/>
  <c r="P17" i="4"/>
  <c r="P13" i="4"/>
  <c r="P15" i="4"/>
  <c r="P20" i="4"/>
  <c r="P16" i="4"/>
  <c r="P12" i="4"/>
  <c r="P19" i="4"/>
  <c r="P11" i="4"/>
  <c r="O9" i="4"/>
  <c r="Q9" i="4"/>
  <c r="K10" i="4"/>
  <c r="K13" i="4"/>
  <c r="K11" i="4"/>
  <c r="K20" i="4"/>
  <c r="K14" i="4"/>
  <c r="L21" i="4"/>
  <c r="K12" i="4"/>
  <c r="K9" i="4"/>
  <c r="K21" i="4"/>
  <c r="K15" i="4"/>
  <c r="K16" i="4"/>
  <c r="K17" i="4"/>
  <c r="K18" i="4"/>
  <c r="L20" i="4"/>
  <c r="M21" i="4"/>
  <c r="L9" i="4"/>
  <c r="L10" i="4"/>
  <c r="L11" i="4"/>
  <c r="L12" i="4"/>
  <c r="L13" i="4"/>
  <c r="L14" i="4"/>
  <c r="L15" i="4"/>
  <c r="L16" i="4"/>
  <c r="L17" i="4"/>
  <c r="L18" i="4"/>
  <c r="M20" i="4"/>
  <c r="N21" i="4"/>
  <c r="M9" i="4"/>
  <c r="M10" i="4"/>
  <c r="M11" i="4"/>
  <c r="M12" i="4"/>
  <c r="M13" i="4"/>
  <c r="M14" i="4"/>
  <c r="M15" i="4"/>
  <c r="M16" i="4"/>
  <c r="M17" i="4"/>
  <c r="M18" i="4"/>
  <c r="N20" i="4"/>
  <c r="O21" i="4"/>
  <c r="N9" i="4"/>
  <c r="N10" i="4"/>
  <c r="N11" i="4"/>
  <c r="N12" i="4"/>
  <c r="N13" i="4"/>
  <c r="N14" i="4"/>
  <c r="N15" i="4"/>
  <c r="N16" i="4"/>
  <c r="N17" i="4"/>
  <c r="N18" i="4"/>
  <c r="N19" i="4"/>
  <c r="O20" i="4"/>
  <c r="O10" i="4"/>
  <c r="O11" i="4"/>
  <c r="O12" i="4"/>
  <c r="O13" i="4"/>
  <c r="O14" i="4"/>
  <c r="O15" i="4"/>
  <c r="O16" i="4"/>
  <c r="O17" i="4"/>
  <c r="O18" i="4"/>
</calcChain>
</file>

<file path=xl/sharedStrings.xml><?xml version="1.0" encoding="utf-8"?>
<sst xmlns="http://schemas.openxmlformats.org/spreadsheetml/2006/main" count="43" uniqueCount="30">
  <si>
    <t>cniawtcaws ctogWviawfiheb</t>
  </si>
  <si>
    <t>Percentage share</t>
  </si>
  <si>
    <t>udwdwA ununEb cswm</t>
  </si>
  <si>
    <t>Fish catch</t>
  </si>
  <si>
    <t>Total</t>
  </si>
  <si>
    <t>(cnunwTckircTem)</t>
  </si>
  <si>
    <t>(In metric tons)</t>
  </si>
  <si>
    <t>Month</t>
  </si>
  <si>
    <t xml:space="preserve"> eruvcSwrwhwa wyidim</t>
  </si>
  <si>
    <t>(cnia % ) urwvcnim ivurutia</t>
  </si>
  <si>
    <t>Fish Catch</t>
  </si>
  <si>
    <t>Growth</t>
  </si>
  <si>
    <t>% change over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</si>
  <si>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</si>
  <si>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</si>
  <si>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</si>
  <si>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</si>
  <si>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</si>
  <si>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</si>
  <si>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</si>
  <si>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</si>
  <si>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</si>
  <si>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</si>
  <si>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</si>
  <si>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</si>
  <si>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މަޢުލޫމާތުދެއްވި ފަރާތް: މިނިސްޓްރީ އޮފް ފިޝަރީޒް، މެރިންރިސޯސަސް އެންޑް އެގްރިކަލްޗަރ</t>
  </si>
  <si>
    <t>Source:  Ministry of Fisheries, Marine Resources and Agriculture</t>
  </si>
  <si>
    <t xml:space="preserve"> previous year 2019</t>
  </si>
  <si>
    <t>Table  9.4 :  FISH CATCH  BY MONTH, 2014 - 2019</t>
  </si>
  <si>
    <t>2019 - 2014 ,urwvcnim eguhwminEb wtwvun ifih iawguhwmcswmikea : 9.4 ulwvWt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</si>
</sst>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(* #,##0.00_);_(* \(#,##0.00\);_(* &quot;-&quot;??_);_(@_)"/>
    <numFmt numFmtId="164" formatCode="General_)"/>
    <numFmt numFmtId="165" formatCode="#,##0.0"/>
    <numFmt numFmtId="167" formatCode="0.0"/>
    <numFmt numFmtId="170" formatCode="[$-409]mmmm\ d\,\ yyyy;@"/>
  </numFmts>
  <fonts count="2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urier"/>
      <family val="3"/>
    </font>
    <font>
      <b/>
      <sz val="12"/>
      <name val="Calibri"/>
      <family val="2"/>
    </font>
    <font>
      <sz val="9"/>
      <name val="Arial"/>
      <family val="2"/>
    </font>
    <font>
      <b/>
      <sz val="11"/>
      <name val="Calibri"/>
      <family val="2"/>
    </font>
    <font>
      <b/>
      <sz val="9"/>
      <name val="Arial"/>
      <family val="2"/>
    </font>
    <font>
      <b/>
      <sz val="9"/>
      <name val="Calibri"/>
      <family val="2"/>
    </font>
    <font>
      <sz val="10"/>
      <name val="Calibri"/>
      <family val="2"/>
    </font>
    <font>
      <sz val="10"/>
      <name val="Arial"/>
      <family val="2"/>
    </font>
    <font>
      <b/>
      <sz val="10"/>
      <name val="Calibri"/>
      <family val="2"/>
    </font>
    <font>
      <sz val="9"/>
      <name val="Faruma"/>
    </font>
    <font>
      <i/>
      <sz val="9"/>
      <name val="Calibri"/>
      <family val="2"/>
    </font>
    <font>
      <i/>
      <sz val="9"/>
      <name val="Arial"/>
      <family val="2"/>
    </font>
    <font>
      <sz val="9"/>
      <name val="Courier"/>
      <family val="3"/>
    </font>
    <font>
      <b/>
      <sz val="10"/>
      <name val="Arial"/>
      <family val="2"/>
    </font>
    <font>
      <b/>
      <sz val="9"/>
      <name val="A_Randhoo"/>
    </font>
    <font>
      <sz val="9"/>
      <name val="Calibri"/>
      <family val="2"/>
    </font>
    <font>
      <sz val="10"/>
      <name val="MS Sans Serif"/>
      <family val="2"/>
    </font>
    <font>
      <sz val="9"/>
      <name val="A_Randhoo"/>
    </font>
    <font>
      <b/>
      <sz val="12"/>
      <name val="A_Randhoo"/>
    </font>
    <font>
      <sz val="11"/>
      <color indexed="8"/>
      <name val="Calibri"/>
      <family val="2"/>
    </font>
    <font>
      <b/>
      <sz val="9"/>
      <name val="A_Faseyha"/>
    </font>
    <font>
      <b/>
      <sz val="11"/>
      <name val="A_Faseyha"/>
    </font>
    <font>
      <b/>
      <sz val="12"/>
      <name val="A_Faseyh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7">
    <xf numFmtId="0" fontId="0" fillId="0" borderId="0"/>
    <xf numFmtId="43" fontId="1" fillId="0" borderId="0" applyFont="0" applyFill="0" applyBorder="0" applyAlignment="0" applyProtection="0"/>
    <xf numFmtId="164" fontId="2" fillId="0" borderId="0"/>
    <xf numFmtId="40" fontId="18" fillId="0" borderId="0" applyFont="0" applyFill="0" applyBorder="0" applyAlignment="0" applyProtection="0"/>
    <xf numFmtId="170" fontId="2" fillId="0" borderId="0"/>
    <xf numFmtId="170" fontId="2" fillId="0" borderId="0"/>
    <xf numFmtId="170" fontId="2" fillId="0" borderId="0"/>
  </cellStyleXfs>
  <cellXfs count="75">
    <xf numFmtId="0" fontId="0" fillId="0" borderId="0" xfId="0"/>
    <xf numFmtId="164" fontId="4" fillId="2" borderId="0" xfId="2" applyFont="1" applyFill="1" applyAlignment="1">
      <alignment vertical="center"/>
    </xf>
    <xf numFmtId="164" fontId="8" fillId="2" borderId="0" xfId="2" applyFont="1" applyFill="1" applyAlignment="1" applyProtection="1">
      <alignment horizontal="left" vertical="center"/>
    </xf>
    <xf numFmtId="164" fontId="9" fillId="2" borderId="0" xfId="2" applyFont="1" applyFill="1" applyAlignment="1">
      <alignment vertical="center"/>
    </xf>
    <xf numFmtId="164" fontId="10" fillId="2" borderId="0" xfId="2" applyFont="1" applyFill="1" applyAlignment="1" applyProtection="1">
      <alignment horizontal="left" vertical="center"/>
    </xf>
    <xf numFmtId="164" fontId="8" fillId="2" borderId="1" xfId="2" applyFont="1" applyFill="1" applyBorder="1" applyAlignment="1" applyProtection="1">
      <alignment horizontal="left" vertical="center"/>
    </xf>
    <xf numFmtId="164" fontId="11" fillId="2" borderId="0" xfId="2" applyFont="1" applyFill="1" applyBorder="1" applyAlignment="1">
      <alignment horizontal="right" vertical="center"/>
    </xf>
    <xf numFmtId="164" fontId="13" fillId="2" borderId="0" xfId="2" applyFont="1" applyFill="1" applyAlignment="1" applyProtection="1">
      <alignment horizontal="left" vertical="center"/>
    </xf>
    <xf numFmtId="164" fontId="14" fillId="2" borderId="0" xfId="2" applyFont="1" applyFill="1" applyAlignment="1">
      <alignment vertical="center"/>
    </xf>
    <xf numFmtId="164" fontId="12" fillId="2" borderId="0" xfId="2" applyFont="1" applyFill="1" applyAlignment="1" applyProtection="1">
      <alignment horizontal="left" vertical="center"/>
    </xf>
    <xf numFmtId="164" fontId="14" fillId="2" borderId="0" xfId="2" applyFont="1" applyFill="1" applyBorder="1" applyAlignment="1">
      <alignment vertical="center"/>
    </xf>
    <xf numFmtId="164" fontId="4" fillId="2" borderId="0" xfId="2" applyFont="1" applyFill="1" applyBorder="1" applyAlignment="1">
      <alignment vertical="center"/>
    </xf>
    <xf numFmtId="164" fontId="15" fillId="2" borderId="0" xfId="2" applyFont="1" applyFill="1" applyAlignment="1">
      <alignment vertical="center"/>
    </xf>
    <xf numFmtId="164" fontId="6" fillId="2" borderId="0" xfId="2" applyFont="1" applyFill="1" applyAlignment="1">
      <alignment vertical="center"/>
    </xf>
    <xf numFmtId="164" fontId="10" fillId="2" borderId="0" xfId="2" applyFont="1" applyFill="1" applyBorder="1" applyAlignment="1">
      <alignment horizontal="center" vertical="center" wrapText="1"/>
    </xf>
    <xf numFmtId="165" fontId="8" fillId="2" borderId="0" xfId="2" applyNumberFormat="1" applyFont="1" applyFill="1" applyBorder="1" applyAlignment="1">
      <alignment horizontal="right" vertical="center"/>
    </xf>
    <xf numFmtId="165" fontId="8" fillId="2" borderId="1" xfId="2" applyNumberFormat="1" applyFont="1" applyFill="1" applyBorder="1" applyAlignment="1">
      <alignment horizontal="right" vertical="center"/>
    </xf>
    <xf numFmtId="164" fontId="7" fillId="2" borderId="0" xfId="2" applyFont="1" applyFill="1" applyAlignment="1">
      <alignment vertical="center"/>
    </xf>
    <xf numFmtId="164" fontId="7" fillId="2" borderId="0" xfId="2" applyFont="1" applyFill="1" applyBorder="1" applyAlignment="1">
      <alignment vertical="center"/>
    </xf>
    <xf numFmtId="164" fontId="6" fillId="2" borderId="0" xfId="2" applyFont="1" applyFill="1" applyBorder="1" applyAlignment="1">
      <alignment vertical="center"/>
    </xf>
    <xf numFmtId="164" fontId="9" fillId="2" borderId="0" xfId="2" applyFont="1" applyFill="1" applyAlignment="1">
      <alignment horizontal="right" vertical="center"/>
    </xf>
    <xf numFmtId="164" fontId="20" fillId="2" borderId="0" xfId="2" applyFont="1" applyFill="1" applyAlignment="1">
      <alignment horizontal="center" vertical="center"/>
    </xf>
    <xf numFmtId="164" fontId="20" fillId="2" borderId="0" xfId="2" applyFont="1" applyFill="1" applyAlignment="1">
      <alignment vertical="center"/>
    </xf>
    <xf numFmtId="164" fontId="10" fillId="2" borderId="0" xfId="2" applyFont="1" applyFill="1" applyAlignment="1" applyProtection="1">
      <alignment horizontal="center" vertical="center"/>
    </xf>
    <xf numFmtId="164" fontId="16" fillId="2" borderId="0" xfId="2" applyFont="1" applyFill="1" applyAlignment="1">
      <alignment horizontal="center" vertical="center"/>
    </xf>
    <xf numFmtId="165" fontId="4" fillId="2" borderId="0" xfId="2" applyNumberFormat="1" applyFont="1" applyFill="1" applyBorder="1" applyAlignment="1" applyProtection="1">
      <alignment horizontal="right" vertical="center"/>
    </xf>
    <xf numFmtId="165" fontId="7" fillId="2" borderId="0" xfId="2" applyNumberFormat="1" applyFont="1" applyFill="1" applyBorder="1" applyAlignment="1">
      <alignment horizontal="left" vertical="center"/>
    </xf>
    <xf numFmtId="165" fontId="17" fillId="2" borderId="0" xfId="2" applyNumberFormat="1" applyFont="1" applyFill="1" applyBorder="1" applyAlignment="1" applyProtection="1">
      <alignment horizontal="right" vertical="center"/>
    </xf>
    <xf numFmtId="164" fontId="16" fillId="2" borderId="0" xfId="2" applyFont="1" applyFill="1" applyBorder="1" applyAlignment="1">
      <alignment horizontal="right" vertical="center"/>
    </xf>
    <xf numFmtId="164" fontId="9" fillId="2" borderId="0" xfId="2" applyFont="1" applyFill="1" applyAlignment="1">
      <alignment horizontal="right"/>
    </xf>
    <xf numFmtId="164" fontId="9" fillId="2" borderId="0" xfId="2" applyFont="1" applyFill="1"/>
    <xf numFmtId="164" fontId="4" fillId="2" borderId="0" xfId="2" applyFont="1" applyFill="1" applyAlignment="1">
      <alignment horizontal="right"/>
    </xf>
    <xf numFmtId="164" fontId="6" fillId="2" borderId="0" xfId="2" applyFont="1" applyFill="1" applyBorder="1" applyAlignment="1">
      <alignment horizontal="right" vertical="center"/>
    </xf>
    <xf numFmtId="43" fontId="4" fillId="2" borderId="0" xfId="1" applyFont="1" applyFill="1" applyAlignment="1">
      <alignment horizontal="right"/>
    </xf>
    <xf numFmtId="3" fontId="4" fillId="2" borderId="0" xfId="2" applyNumberFormat="1" applyFont="1" applyFill="1" applyAlignment="1">
      <alignment horizontal="right"/>
    </xf>
    <xf numFmtId="1" fontId="7" fillId="2" borderId="5" xfId="2" applyNumberFormat="1" applyFont="1" applyFill="1" applyBorder="1" applyAlignment="1" applyProtection="1">
      <alignment horizontal="right" vertical="center"/>
    </xf>
    <xf numFmtId="1" fontId="7" fillId="2" borderId="1" xfId="2" applyNumberFormat="1" applyFont="1" applyFill="1" applyBorder="1" applyAlignment="1" applyProtection="1">
      <alignment horizontal="right" vertical="center"/>
    </xf>
    <xf numFmtId="3" fontId="10" fillId="2" borderId="2" xfId="2" applyNumberFormat="1" applyFont="1" applyFill="1" applyBorder="1" applyAlignment="1">
      <alignment horizontal="right" vertical="center"/>
    </xf>
    <xf numFmtId="165" fontId="10" fillId="2" borderId="2" xfId="2" applyNumberFormat="1" applyFont="1" applyFill="1" applyBorder="1" applyAlignment="1">
      <alignment horizontal="right" vertical="center"/>
    </xf>
    <xf numFmtId="165" fontId="10" fillId="2" borderId="6" xfId="2" applyNumberFormat="1" applyFont="1" applyFill="1" applyBorder="1" applyAlignment="1">
      <alignment horizontal="right" vertical="center"/>
    </xf>
    <xf numFmtId="165" fontId="10" fillId="2" borderId="2" xfId="2" applyNumberFormat="1" applyFont="1" applyFill="1" applyBorder="1" applyAlignment="1">
      <alignment horizontal="center" vertical="center"/>
    </xf>
    <xf numFmtId="165" fontId="6" fillId="2" borderId="0" xfId="2" applyNumberFormat="1" applyFont="1" applyFill="1" applyBorder="1" applyAlignment="1">
      <alignment horizontal="right" vertical="center"/>
    </xf>
    <xf numFmtId="167" fontId="17" fillId="2" borderId="0" xfId="2" applyNumberFormat="1" applyFont="1" applyFill="1" applyBorder="1" applyAlignment="1" applyProtection="1">
      <alignment horizontal="center" vertical="center"/>
    </xf>
    <xf numFmtId="3" fontId="8" fillId="2" borderId="0" xfId="2" applyNumberFormat="1" applyFont="1" applyFill="1" applyBorder="1" applyAlignment="1" applyProtection="1">
      <alignment horizontal="right" vertical="center"/>
    </xf>
    <xf numFmtId="165" fontId="8" fillId="2" borderId="7" xfId="2" applyNumberFormat="1" applyFont="1" applyFill="1" applyBorder="1" applyAlignment="1">
      <alignment horizontal="right" vertical="center"/>
    </xf>
    <xf numFmtId="165" fontId="8" fillId="2" borderId="0" xfId="2" applyNumberFormat="1" applyFont="1" applyFill="1" applyBorder="1" applyAlignment="1">
      <alignment horizontal="center" vertical="center"/>
    </xf>
    <xf numFmtId="3" fontId="8" fillId="2" borderId="1" xfId="2" applyNumberFormat="1" applyFont="1" applyFill="1" applyBorder="1" applyAlignment="1" applyProtection="1">
      <alignment horizontal="right" vertical="center"/>
    </xf>
    <xf numFmtId="165" fontId="8" fillId="2" borderId="8" xfId="2" applyNumberFormat="1" applyFont="1" applyFill="1" applyBorder="1" applyAlignment="1">
      <alignment horizontal="right" vertical="center"/>
    </xf>
    <xf numFmtId="165" fontId="8" fillId="2" borderId="1" xfId="2" applyNumberFormat="1" applyFont="1" applyFill="1" applyBorder="1" applyAlignment="1">
      <alignment horizontal="center" vertical="center"/>
    </xf>
    <xf numFmtId="164" fontId="19" fillId="2" borderId="0" xfId="2" applyFont="1" applyFill="1" applyBorder="1" applyAlignment="1">
      <alignment horizontal="right" vertical="center"/>
    </xf>
    <xf numFmtId="164" fontId="4" fillId="2" borderId="0" xfId="2" applyFont="1" applyFill="1" applyBorder="1"/>
    <xf numFmtId="164" fontId="4" fillId="2" borderId="0" xfId="2" applyFont="1" applyFill="1"/>
    <xf numFmtId="167" fontId="4" fillId="2" borderId="0" xfId="2" applyNumberFormat="1" applyFont="1" applyFill="1" applyAlignment="1">
      <alignment horizontal="right"/>
    </xf>
    <xf numFmtId="167" fontId="9" fillId="2" borderId="0" xfId="2" applyNumberFormat="1" applyFont="1" applyFill="1" applyAlignment="1">
      <alignment horizontal="right"/>
    </xf>
    <xf numFmtId="1" fontId="7" fillId="2" borderId="8" xfId="2" applyNumberFormat="1" applyFont="1" applyFill="1" applyBorder="1" applyAlignment="1" applyProtection="1">
      <alignment horizontal="right" vertical="center"/>
    </xf>
    <xf numFmtId="164" fontId="7" fillId="2" borderId="0" xfId="2" applyFont="1" applyFill="1" applyBorder="1" applyAlignment="1" applyProtection="1">
      <alignment horizontal="center" vertical="center"/>
    </xf>
    <xf numFmtId="164" fontId="10" fillId="2" borderId="1" xfId="2" applyFont="1" applyFill="1" applyBorder="1" applyAlignment="1">
      <alignment horizontal="center" vertical="center"/>
    </xf>
    <xf numFmtId="164" fontId="23" fillId="2" borderId="2" xfId="2" applyFont="1" applyFill="1" applyBorder="1" applyAlignment="1">
      <alignment horizontal="center" vertical="center"/>
    </xf>
    <xf numFmtId="164" fontId="22" fillId="2" borderId="6" xfId="2" applyFont="1" applyFill="1" applyBorder="1" applyAlignment="1">
      <alignment vertical="center"/>
    </xf>
    <xf numFmtId="164" fontId="22" fillId="2" borderId="2" xfId="2" applyFont="1" applyFill="1" applyBorder="1" applyAlignment="1">
      <alignment vertical="center"/>
    </xf>
    <xf numFmtId="164" fontId="22" fillId="2" borderId="2" xfId="2" applyFont="1" applyFill="1" applyBorder="1" applyAlignment="1">
      <alignment horizontal="center" vertical="center"/>
    </xf>
    <xf numFmtId="164" fontId="22" fillId="2" borderId="0" xfId="2" applyFont="1" applyFill="1" applyBorder="1" applyAlignment="1">
      <alignment horizontal="center" vertical="center"/>
    </xf>
    <xf numFmtId="164" fontId="7" fillId="2" borderId="2" xfId="2" applyFont="1" applyFill="1" applyBorder="1" applyAlignment="1" applyProtection="1">
      <alignment horizontal="left" vertical="center"/>
    </xf>
    <xf numFmtId="164" fontId="7" fillId="2" borderId="0" xfId="2" applyFont="1" applyFill="1" applyBorder="1" applyAlignment="1" applyProtection="1">
      <alignment horizontal="left" vertical="center"/>
    </xf>
    <xf numFmtId="164" fontId="7" fillId="2" borderId="1" xfId="2" applyFont="1" applyFill="1" applyBorder="1" applyAlignment="1" applyProtection="1">
      <alignment horizontal="left" vertical="center"/>
    </xf>
    <xf numFmtId="164" fontId="3" fillId="2" borderId="0" xfId="2" applyFont="1" applyFill="1" applyAlignment="1" applyProtection="1">
      <alignment horizontal="center" vertical="center"/>
    </xf>
    <xf numFmtId="164" fontId="24" fillId="2" borderId="0" xfId="2" applyFont="1" applyFill="1" applyAlignment="1">
      <alignment horizontal="center" vertical="center"/>
    </xf>
    <xf numFmtId="164" fontId="10" fillId="2" borderId="1" xfId="2" applyFont="1" applyFill="1" applyBorder="1" applyAlignment="1" applyProtection="1">
      <alignment horizontal="center" vertical="center"/>
    </xf>
    <xf numFmtId="164" fontId="23" fillId="2" borderId="2" xfId="2" applyFont="1" applyFill="1" applyBorder="1" applyAlignment="1">
      <alignment horizontal="center" vertical="center"/>
    </xf>
    <xf numFmtId="164" fontId="23" fillId="2" borderId="0" xfId="2" applyFont="1" applyFill="1" applyBorder="1" applyAlignment="1">
      <alignment horizontal="center" vertical="center"/>
    </xf>
    <xf numFmtId="164" fontId="23" fillId="2" borderId="3" xfId="2" applyFont="1" applyFill="1" applyBorder="1" applyAlignment="1">
      <alignment horizontal="center" vertical="center"/>
    </xf>
    <xf numFmtId="164" fontId="5" fillId="2" borderId="1" xfId="2" applyFont="1" applyFill="1" applyBorder="1" applyAlignment="1">
      <alignment horizontal="center" vertical="center"/>
    </xf>
    <xf numFmtId="164" fontId="5" fillId="2" borderId="4" xfId="2" applyFont="1" applyFill="1" applyBorder="1" applyAlignment="1">
      <alignment horizontal="center" vertical="center"/>
    </xf>
    <xf numFmtId="164" fontId="23" fillId="2" borderId="7" xfId="2" applyFont="1" applyFill="1" applyBorder="1" applyAlignment="1">
      <alignment horizontal="center" vertical="center"/>
    </xf>
    <xf numFmtId="164" fontId="5" fillId="2" borderId="8" xfId="2" applyFont="1" applyFill="1" applyBorder="1" applyAlignment="1">
      <alignment horizontal="center" vertical="center"/>
    </xf>
  </cellXfs>
  <cellStyles count="7">
    <cellStyle name="Comma" xfId="1" builtinId="3"/>
    <cellStyle name="Comma 2" xfId="3"/>
    <cellStyle name="Normal" xfId="0" builtinId="0"/>
    <cellStyle name="Normal 2_agri planning 2009 year book(final)" xfId="4"/>
    <cellStyle name="Normal 3_agri planning 2009 year book(final)" xfId="6"/>
    <cellStyle name="Normal 4_agri planning 2009 year book(final)" xfId="5"/>
    <cellStyle name="Normal_Fish &amp;  Agri - 8" xfId="2"/>
  </cellStyles>
  <dxfs count="0"/>
  <tableStyles count="0" defaultTableStyle="TableStyleMedium2" defaultPivotStyle="PivotStyleLight16"/>
  <colors>
    <mruColors>
      <color rgb="FFC89058"/>
      <color rgb="FF7E542A"/>
      <color rgb="FFD3A77B"/>
      <color rgb="FF996633"/>
      <color rgb="FFFFFDF7"/>
      <color rgb="FFFFFAE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/>
          <a:lstStyle/>
          <a:p>
            <a:pPr>
              <a:defRPr sz="1200">
                <a:latin typeface="Consolas" pitchFamily="49" charset="0"/>
                <a:cs typeface="Consolas" pitchFamily="49" charset="0"/>
              </a:defRPr>
            </a:pPr>
            <a:r>
              <a:rPr lang="en-US" sz="1200">
                <a:latin typeface="Consolas" pitchFamily="49" charset="0"/>
                <a:cs typeface="Consolas" pitchFamily="49" charset="0"/>
              </a:rPr>
              <a:t>Figure 9.3: Fish Catch and Fish Catch Growth by Month, 2019</a:t>
            </a:r>
          </a:p>
        </c:rich>
      </c:tx>
      <c:layout>
        <c:manualLayout>
          <c:xMode val="edge"/>
          <c:yMode val="edge"/>
          <c:x val="0.18466691582438652"/>
          <c:y val="3.7451039773874421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8476722577305318E-2"/>
          <c:y val="0.18116528703142876"/>
          <c:w val="0.88703977792249655"/>
          <c:h val="0.7208005655639795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'9.4'!$AL$6</c:f>
              <c:strCache>
                <c:ptCount val="1"/>
                <c:pt idx="0">
                  <c:v>Fish Catch</c:v>
                </c:pt>
              </c:strCache>
            </c:strRef>
          </c:tx>
          <c:spPr>
            <a:solidFill>
              <a:schemeClr val="accent4">
                <a:lumMod val="50000"/>
              </a:schemeClr>
            </a:solidFill>
          </c:spPr>
          <c:invertIfNegative val="0"/>
          <c:cat>
            <c:strRef>
              <c:f>'9.4'!$AK$7:$AK$18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'9.4'!$AL$7:$AL$18</c:f>
              <c:numCache>
                <c:formatCode>_(* #,##0.00_);_(* \(#,##0.00\);_(* "-"??_);_(@_)</c:formatCode>
                <c:ptCount val="12"/>
                <c:pt idx="0">
                  <c:v>9626.2044042341786</c:v>
                </c:pt>
                <c:pt idx="1">
                  <c:v>13254.665364671266</c:v>
                </c:pt>
                <c:pt idx="2">
                  <c:v>15358.544360522132</c:v>
                </c:pt>
                <c:pt idx="3">
                  <c:v>16513.057387880901</c:v>
                </c:pt>
                <c:pt idx="4">
                  <c:v>8869.3965661088441</c:v>
                </c:pt>
                <c:pt idx="5">
                  <c:v>6403.4358210428309</c:v>
                </c:pt>
                <c:pt idx="6">
                  <c:v>9626.1921859423455</c:v>
                </c:pt>
                <c:pt idx="7">
                  <c:v>8785.0269118440792</c:v>
                </c:pt>
                <c:pt idx="8">
                  <c:v>12909.522650218742</c:v>
                </c:pt>
                <c:pt idx="9">
                  <c:v>14183.756064596068</c:v>
                </c:pt>
                <c:pt idx="10">
                  <c:v>11174.435514952173</c:v>
                </c:pt>
                <c:pt idx="11">
                  <c:v>8364.68833817417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980-4EDB-927D-5483CD6DCD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-25"/>
        <c:axId val="154619512"/>
        <c:axId val="154615200"/>
      </c:barChart>
      <c:lineChart>
        <c:grouping val="standard"/>
        <c:varyColors val="0"/>
        <c:ser>
          <c:idx val="1"/>
          <c:order val="1"/>
          <c:tx>
            <c:strRef>
              <c:f>'9.4'!$AM$6</c:f>
              <c:strCache>
                <c:ptCount val="1"/>
                <c:pt idx="0">
                  <c:v>Growth</c:v>
                </c:pt>
              </c:strCache>
            </c:strRef>
          </c:tx>
          <c:spPr>
            <a:ln>
              <a:solidFill>
                <a:schemeClr val="accent4">
                  <a:lumMod val="60000"/>
                  <a:lumOff val="40000"/>
                </a:schemeClr>
              </a:solidFill>
            </a:ln>
          </c:spPr>
          <c:marker>
            <c:symbol val="none"/>
          </c:marker>
          <c:cat>
            <c:strRef>
              <c:f>'9.4'!$AK$7:$AK$18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'9.4'!$AM$7:$AM$18</c:f>
              <c:numCache>
                <c:formatCode>#,##0</c:formatCode>
                <c:ptCount val="12"/>
                <c:pt idx="0">
                  <c:v>-42.095194588461887</c:v>
                </c:pt>
                <c:pt idx="1">
                  <c:v>13.2538619465082</c:v>
                </c:pt>
                <c:pt idx="2">
                  <c:v>11.479004940606513</c:v>
                </c:pt>
                <c:pt idx="3">
                  <c:v>-15.814511061719882</c:v>
                </c:pt>
                <c:pt idx="4">
                  <c:v>-22.56938777792206</c:v>
                </c:pt>
                <c:pt idx="5">
                  <c:v>5.801132248062002</c:v>
                </c:pt>
                <c:pt idx="6">
                  <c:v>10.239293374285412</c:v>
                </c:pt>
                <c:pt idx="7">
                  <c:v>11.190342311844166</c:v>
                </c:pt>
                <c:pt idx="8">
                  <c:v>51.847025383331356</c:v>
                </c:pt>
                <c:pt idx="9">
                  <c:v>-5.8412331747306077</c:v>
                </c:pt>
                <c:pt idx="10">
                  <c:v>-35.395553815621831</c:v>
                </c:pt>
                <c:pt idx="11">
                  <c:v>-41.515921591957891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3980-4EDB-927D-5483CD6DCD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4619904"/>
        <c:axId val="154616376"/>
      </c:lineChart>
      <c:catAx>
        <c:axId val="1546195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/>
            </a:pPr>
            <a:endParaRPr lang="en-US"/>
          </a:p>
        </c:txPr>
        <c:crossAx val="15461520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54615200"/>
        <c:scaling>
          <c:orientation val="minMax"/>
          <c:max val="20000"/>
          <c:min val="0"/>
        </c:scaling>
        <c:delete val="0"/>
        <c:axPos val="l"/>
        <c:majorGridlines>
          <c:spPr>
            <a:ln>
              <a:noFill/>
            </a:ln>
          </c:spPr>
        </c:majorGridlines>
        <c:numFmt formatCode="#,##0" sourceLinked="0"/>
        <c:majorTickMark val="none"/>
        <c:minorTickMark val="none"/>
        <c:tickLblPos val="nextTo"/>
        <c:txPr>
          <a:bodyPr rot="0" vert="horz"/>
          <a:lstStyle/>
          <a:p>
            <a:pPr>
              <a:defRPr/>
            </a:pPr>
            <a:endParaRPr lang="en-US"/>
          </a:p>
        </c:txPr>
        <c:crossAx val="154619512"/>
        <c:crosses val="autoZero"/>
        <c:crossBetween val="between"/>
      </c:valAx>
      <c:catAx>
        <c:axId val="15461990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one"/>
        <c:crossAx val="154616376"/>
        <c:crosses val="autoZero"/>
        <c:auto val="0"/>
        <c:lblAlgn val="ctr"/>
        <c:lblOffset val="100"/>
        <c:noMultiLvlLbl val="0"/>
      </c:catAx>
      <c:valAx>
        <c:axId val="154616376"/>
        <c:scaling>
          <c:orientation val="minMax"/>
          <c:max val="160"/>
        </c:scaling>
        <c:delete val="0"/>
        <c:axPos val="r"/>
        <c:numFmt formatCode="#,##0" sourceLinked="1"/>
        <c:majorTickMark val="out"/>
        <c:minorTickMark val="none"/>
        <c:tickLblPos val="nextTo"/>
        <c:txPr>
          <a:bodyPr rot="0" vert="horz"/>
          <a:lstStyle/>
          <a:p>
            <a:pPr>
              <a:defRPr/>
            </a:pPr>
            <a:endParaRPr lang="en-US"/>
          </a:p>
        </c:txPr>
        <c:crossAx val="154619904"/>
        <c:crosses val="max"/>
        <c:crossBetween val="between"/>
      </c:valAx>
      <c:spPr>
        <a:noFill/>
        <a:ln>
          <a:solidFill>
            <a:schemeClr val="bg1">
              <a:lumMod val="7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49106948898127578"/>
          <c:y val="0.21744229086748773"/>
          <c:w val="0.24292038687260689"/>
          <c:h val="0.11195626105842199"/>
        </c:manualLayout>
      </c:layout>
      <c:overlay val="0"/>
    </c:legend>
    <c:plotVisOnly val="1"/>
    <c:dispBlanksAs val="gap"/>
    <c:showDLblsOverMax val="0"/>
  </c:chart>
  <c:printSettings>
    <c:headerFooter alignWithMargins="0">
      <c:oddHeader>&amp;A</c:oddHeader>
      <c:oddFooter>Page &amp;P</c:oddFooter>
    </c:headerFooter>
    <c:pageMargins b="1" l="0.75000000000000577" r="0.75000000000000577" t="1" header="0.5" footer="0.5"/>
    <c:pageSetup orientation="portrait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64848</xdr:colOff>
      <xdr:row>26</xdr:row>
      <xdr:rowOff>59055</xdr:rowOff>
    </xdr:from>
    <xdr:to>
      <xdr:col>8</xdr:col>
      <xdr:colOff>0</xdr:colOff>
      <xdr:row>28</xdr:row>
      <xdr:rowOff>9593</xdr:rowOff>
    </xdr:to>
    <xdr:sp macro="" textlink="">
      <xdr:nvSpPr>
        <xdr:cNvPr id="2" name="TextBox 1"/>
        <xdr:cNvSpPr txBox="1"/>
      </xdr:nvSpPr>
      <xdr:spPr>
        <a:xfrm>
          <a:off x="2884248" y="5831205"/>
          <a:ext cx="497127" cy="255338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>
            <a:lnSpc>
              <a:spcPts val="1000"/>
            </a:lnSpc>
          </a:pPr>
          <a:r>
            <a:rPr lang="en-US" sz="1000"/>
            <a:t>In numbers</a:t>
          </a:r>
        </a:p>
      </xdr:txBody>
    </xdr:sp>
    <xdr:clientData/>
  </xdr:twoCellAnchor>
  <xdr:twoCellAnchor>
    <xdr:from>
      <xdr:col>5</xdr:col>
      <xdr:colOff>571578</xdr:colOff>
      <xdr:row>26</xdr:row>
      <xdr:rowOff>68580</xdr:rowOff>
    </xdr:from>
    <xdr:to>
      <xdr:col>8</xdr:col>
      <xdr:colOff>0</xdr:colOff>
      <xdr:row>28</xdr:row>
      <xdr:rowOff>19118</xdr:rowOff>
    </xdr:to>
    <xdr:sp macro="" textlink="">
      <xdr:nvSpPr>
        <xdr:cNvPr id="3" name="TextBox 2"/>
        <xdr:cNvSpPr txBox="1"/>
      </xdr:nvSpPr>
      <xdr:spPr>
        <a:xfrm>
          <a:off x="1905078" y="5840730"/>
          <a:ext cx="1476297" cy="255338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000"/>
            <a:t>In numbers</a:t>
          </a:r>
        </a:p>
      </xdr:txBody>
    </xdr:sp>
    <xdr:clientData/>
  </xdr:twoCellAnchor>
  <xdr:twoCellAnchor>
    <xdr:from>
      <xdr:col>5</xdr:col>
      <xdr:colOff>33766</xdr:colOff>
      <xdr:row>26</xdr:row>
      <xdr:rowOff>116794</xdr:rowOff>
    </xdr:from>
    <xdr:to>
      <xdr:col>7</xdr:col>
      <xdr:colOff>260573</xdr:colOff>
      <xdr:row>27</xdr:row>
      <xdr:rowOff>112747</xdr:rowOff>
    </xdr:to>
    <xdr:sp macro="" textlink="">
      <xdr:nvSpPr>
        <xdr:cNvPr id="4" name="TextBox 3"/>
        <xdr:cNvSpPr txBox="1"/>
      </xdr:nvSpPr>
      <xdr:spPr>
        <a:xfrm>
          <a:off x="1367266" y="5888944"/>
          <a:ext cx="1712707" cy="14835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>
            <a:lnSpc>
              <a:spcPts val="1000"/>
            </a:lnSpc>
          </a:pPr>
          <a:r>
            <a:rPr lang="en-US" sz="1000"/>
            <a:t>In </a:t>
          </a:r>
          <a:r>
            <a:rPr lang="en-US" sz="900"/>
            <a:t>numbers</a:t>
          </a:r>
          <a:endParaRPr lang="en-US" sz="1000"/>
        </a:p>
      </xdr:txBody>
    </xdr:sp>
    <xdr:clientData/>
  </xdr:twoCellAnchor>
  <xdr:twoCellAnchor>
    <xdr:from>
      <xdr:col>1</xdr:col>
      <xdr:colOff>0</xdr:colOff>
      <xdr:row>26</xdr:row>
      <xdr:rowOff>59055</xdr:rowOff>
    </xdr:from>
    <xdr:to>
      <xdr:col>1</xdr:col>
      <xdr:colOff>171608</xdr:colOff>
      <xdr:row>28</xdr:row>
      <xdr:rowOff>9593</xdr:rowOff>
    </xdr:to>
    <xdr:sp macro="" textlink="">
      <xdr:nvSpPr>
        <xdr:cNvPr id="5" name="TextBox 4"/>
        <xdr:cNvSpPr txBox="1"/>
      </xdr:nvSpPr>
      <xdr:spPr>
        <a:xfrm>
          <a:off x="590550" y="5831205"/>
          <a:ext cx="0" cy="255338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>
            <a:lnSpc>
              <a:spcPts val="1000"/>
            </a:lnSpc>
          </a:pPr>
          <a:r>
            <a:rPr lang="en-US" sz="1000"/>
            <a:t>In numbers</a:t>
          </a:r>
        </a:p>
      </xdr:txBody>
    </xdr:sp>
    <xdr:clientData/>
  </xdr:twoCellAnchor>
  <xdr:twoCellAnchor>
    <xdr:from>
      <xdr:col>1</xdr:col>
      <xdr:colOff>0</xdr:colOff>
      <xdr:row>26</xdr:row>
      <xdr:rowOff>68580</xdr:rowOff>
    </xdr:from>
    <xdr:to>
      <xdr:col>2</xdr:col>
      <xdr:colOff>72534</xdr:colOff>
      <xdr:row>28</xdr:row>
      <xdr:rowOff>19118</xdr:rowOff>
    </xdr:to>
    <xdr:sp macro="" textlink="">
      <xdr:nvSpPr>
        <xdr:cNvPr id="6" name="TextBox 5"/>
        <xdr:cNvSpPr txBox="1"/>
      </xdr:nvSpPr>
      <xdr:spPr>
        <a:xfrm>
          <a:off x="590550" y="5840730"/>
          <a:ext cx="0" cy="255338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000"/>
            <a:t>In numbers</a:t>
          </a:r>
        </a:p>
      </xdr:txBody>
    </xdr:sp>
    <xdr:clientData/>
  </xdr:twoCellAnchor>
  <xdr:twoCellAnchor>
    <xdr:from>
      <xdr:col>0</xdr:col>
      <xdr:colOff>161925</xdr:colOff>
      <xdr:row>24</xdr:row>
      <xdr:rowOff>114300</xdr:rowOff>
    </xdr:from>
    <xdr:to>
      <xdr:col>16</xdr:col>
      <xdr:colOff>0</xdr:colOff>
      <xdr:row>43</xdr:row>
      <xdr:rowOff>47625</xdr:rowOff>
    </xdr:to>
    <xdr:graphicFrame macro="">
      <xdr:nvGraphicFramePr>
        <xdr:cNvPr id="7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217248</xdr:colOff>
      <xdr:row>25</xdr:row>
      <xdr:rowOff>116205</xdr:rowOff>
    </xdr:from>
    <xdr:to>
      <xdr:col>4</xdr:col>
      <xdr:colOff>476408</xdr:colOff>
      <xdr:row>27</xdr:row>
      <xdr:rowOff>66743</xdr:rowOff>
    </xdr:to>
    <xdr:sp macro="" textlink="">
      <xdr:nvSpPr>
        <xdr:cNvPr id="9" name="TextBox 8"/>
        <xdr:cNvSpPr txBox="1"/>
      </xdr:nvSpPr>
      <xdr:spPr>
        <a:xfrm>
          <a:off x="217248" y="6221730"/>
          <a:ext cx="849710" cy="255338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>
            <a:lnSpc>
              <a:spcPts val="1000"/>
            </a:lnSpc>
          </a:pPr>
          <a:r>
            <a:rPr lang="en-US" sz="1000"/>
            <a:t>In numbers</a:t>
          </a:r>
        </a:p>
      </xdr:txBody>
    </xdr:sp>
    <xdr:clientData/>
  </xdr:twoCellAnchor>
  <xdr:twoCellAnchor>
    <xdr:from>
      <xdr:col>1</xdr:col>
      <xdr:colOff>0</xdr:colOff>
      <xdr:row>25</xdr:row>
      <xdr:rowOff>59055</xdr:rowOff>
    </xdr:from>
    <xdr:to>
      <xdr:col>1</xdr:col>
      <xdr:colOff>171608</xdr:colOff>
      <xdr:row>27</xdr:row>
      <xdr:rowOff>9593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xmlns="" id="{00000000-0008-0000-0300-00000C000000}"/>
            </a:ext>
          </a:extLst>
        </xdr:cNvPr>
        <xdr:cNvSpPr txBox="1"/>
      </xdr:nvSpPr>
      <xdr:spPr>
        <a:xfrm>
          <a:off x="590550" y="5612130"/>
          <a:ext cx="0" cy="255338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>
            <a:lnSpc>
              <a:spcPts val="1000"/>
            </a:lnSpc>
          </a:pPr>
          <a:r>
            <a:rPr lang="en-US" sz="1000"/>
            <a:t>In numbers</a:t>
          </a:r>
        </a:p>
      </xdr:txBody>
    </xdr:sp>
    <xdr:clientData/>
  </xdr:twoCellAnchor>
  <xdr:twoCellAnchor>
    <xdr:from>
      <xdr:col>1</xdr:col>
      <xdr:colOff>0</xdr:colOff>
      <xdr:row>25</xdr:row>
      <xdr:rowOff>68580</xdr:rowOff>
    </xdr:from>
    <xdr:to>
      <xdr:col>2</xdr:col>
      <xdr:colOff>72534</xdr:colOff>
      <xdr:row>27</xdr:row>
      <xdr:rowOff>19118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xmlns="" id="{00000000-0008-0000-0300-00000D000000}"/>
            </a:ext>
          </a:extLst>
        </xdr:cNvPr>
        <xdr:cNvSpPr txBox="1"/>
      </xdr:nvSpPr>
      <xdr:spPr>
        <a:xfrm>
          <a:off x="590550" y="5621655"/>
          <a:ext cx="0" cy="255338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000"/>
            <a:t>In numbers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S62"/>
  <sheetViews>
    <sheetView tabSelected="1" zoomScaleNormal="100" workbookViewId="0">
      <selection activeCell="Q48" sqref="Q48"/>
    </sheetView>
  </sheetViews>
  <sheetFormatPr defaultColWidth="8.85546875" defaultRowHeight="12.75"/>
  <cols>
    <col min="1" max="1" width="8.85546875" style="30"/>
    <col min="2" max="4" width="0" style="29" hidden="1" customWidth="1"/>
    <col min="5" max="10" width="10.85546875" style="29" customWidth="1"/>
    <col min="11" max="16" width="9.85546875" style="29" customWidth="1"/>
    <col min="17" max="17" width="29.5703125" style="29" customWidth="1"/>
    <col min="18" max="19" width="4.85546875" style="29" customWidth="1"/>
    <col min="20" max="23" width="4.85546875" style="30" customWidth="1"/>
    <col min="24" max="24" width="21.28515625" style="30" customWidth="1"/>
    <col min="25" max="33" width="4.85546875" style="30" customWidth="1"/>
    <col min="34" max="37" width="8.85546875" style="30"/>
    <col min="38" max="38" width="10" style="30" bestFit="1" customWidth="1"/>
    <col min="39" max="16384" width="8.85546875" style="30"/>
  </cols>
  <sheetData>
    <row r="1" spans="1:45" s="12" customFormat="1" ht="18.75">
      <c r="A1" s="66" t="s">
        <v>29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  <c r="R1" s="21"/>
      <c r="S1" s="21"/>
      <c r="T1" s="22"/>
      <c r="U1" s="22"/>
      <c r="V1" s="22"/>
    </row>
    <row r="2" spans="1:45" s="17" customFormat="1" ht="15.75">
      <c r="A2" s="65" t="s">
        <v>28</v>
      </c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23"/>
      <c r="S2" s="21"/>
      <c r="T2" s="22"/>
      <c r="U2" s="22"/>
      <c r="V2" s="22"/>
      <c r="W2" s="12"/>
      <c r="X2" s="12"/>
      <c r="Y2" s="12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</row>
    <row r="3" spans="1:45" s="13" customFormat="1" ht="18.75">
      <c r="A3" s="66" t="s">
        <v>5</v>
      </c>
      <c r="B3" s="66"/>
      <c r="C3" s="66"/>
      <c r="D3" s="66"/>
      <c r="E3" s="66"/>
      <c r="F3" s="66"/>
      <c r="G3" s="66"/>
      <c r="H3" s="66"/>
      <c r="I3" s="66"/>
      <c r="J3" s="66"/>
      <c r="K3" s="66"/>
      <c r="L3" s="66"/>
      <c r="M3" s="66"/>
      <c r="N3" s="66"/>
      <c r="O3" s="66"/>
      <c r="P3" s="66"/>
      <c r="Q3" s="66"/>
      <c r="R3" s="24"/>
      <c r="S3" s="21"/>
      <c r="T3" s="22"/>
      <c r="U3" s="22"/>
      <c r="V3" s="22"/>
      <c r="W3" s="12"/>
      <c r="X3" s="12"/>
      <c r="Y3" s="12"/>
      <c r="Z3" s="19"/>
      <c r="AA3" s="19"/>
      <c r="AB3" s="19"/>
      <c r="AC3" s="19"/>
      <c r="AD3" s="19"/>
      <c r="AE3" s="25"/>
      <c r="AF3" s="19"/>
      <c r="AG3" s="19"/>
      <c r="AH3" s="19"/>
      <c r="AI3" s="19"/>
      <c r="AJ3" s="19"/>
      <c r="AK3" s="19"/>
      <c r="AL3" s="19"/>
      <c r="AM3" s="19"/>
    </row>
    <row r="4" spans="1:45" s="17" customFormat="1" ht="15.75">
      <c r="A4" s="67" t="s">
        <v>6</v>
      </c>
      <c r="B4" s="67"/>
      <c r="C4" s="67"/>
      <c r="D4" s="67"/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67"/>
      <c r="Q4" s="67"/>
      <c r="R4" s="55"/>
      <c r="S4" s="21"/>
      <c r="T4" s="22"/>
      <c r="U4" s="22"/>
      <c r="V4" s="22"/>
      <c r="W4" s="12"/>
      <c r="X4" s="12"/>
      <c r="Y4" s="12"/>
      <c r="Z4" s="26"/>
      <c r="AA4" s="26"/>
      <c r="AB4" s="26"/>
      <c r="AC4" s="26"/>
      <c r="AD4" s="26"/>
      <c r="AE4" s="18"/>
      <c r="AF4" s="18"/>
      <c r="AG4" s="27"/>
      <c r="AH4" s="18"/>
      <c r="AI4" s="18"/>
      <c r="AJ4" s="18"/>
      <c r="AK4" s="18"/>
      <c r="AL4" s="18"/>
      <c r="AM4" s="18"/>
    </row>
    <row r="5" spans="1:45" s="13" customFormat="1" ht="13.5" customHeight="1">
      <c r="A5" s="62" t="s">
        <v>7</v>
      </c>
      <c r="B5" s="68"/>
      <c r="C5" s="68"/>
      <c r="D5" s="68"/>
      <c r="E5" s="68"/>
      <c r="F5" s="68"/>
      <c r="G5" s="68"/>
      <c r="H5" s="68"/>
      <c r="I5" s="57"/>
      <c r="J5" s="57"/>
      <c r="K5" s="58"/>
      <c r="L5" s="59"/>
      <c r="M5" s="59"/>
      <c r="N5" s="59"/>
      <c r="O5" s="59"/>
      <c r="P5" s="59"/>
      <c r="Q5" s="60" t="s">
        <v>8</v>
      </c>
      <c r="R5" s="28"/>
      <c r="S5" s="21"/>
      <c r="T5" s="22"/>
      <c r="U5" s="22"/>
      <c r="V5" s="22"/>
      <c r="W5" s="12"/>
      <c r="X5" s="12"/>
      <c r="Y5" s="12"/>
      <c r="Z5" s="26"/>
      <c r="AA5" s="26"/>
      <c r="AB5" s="26"/>
      <c r="AC5" s="26"/>
      <c r="AD5" s="26"/>
      <c r="AE5" s="19"/>
      <c r="AF5" s="19"/>
      <c r="AG5" s="25"/>
      <c r="AH5" s="19"/>
      <c r="AI5" s="19"/>
      <c r="AJ5" s="29"/>
      <c r="AK5" s="29"/>
      <c r="AL5" s="30"/>
      <c r="AM5" s="30"/>
    </row>
    <row r="6" spans="1:45" s="1" customFormat="1" ht="20.45" customHeight="1">
      <c r="A6" s="63"/>
      <c r="B6" s="69" t="s">
        <v>2</v>
      </c>
      <c r="C6" s="69"/>
      <c r="D6" s="69"/>
      <c r="E6" s="69"/>
      <c r="F6" s="69"/>
      <c r="G6" s="69"/>
      <c r="H6" s="69"/>
      <c r="I6" s="69"/>
      <c r="J6" s="70"/>
      <c r="K6" s="73" t="s">
        <v>0</v>
      </c>
      <c r="L6" s="69"/>
      <c r="M6" s="69"/>
      <c r="N6" s="69"/>
      <c r="O6" s="69"/>
      <c r="P6" s="69"/>
      <c r="Q6" s="61" t="s">
        <v>9</v>
      </c>
      <c r="R6" s="28"/>
      <c r="S6" s="21"/>
      <c r="T6" s="22"/>
      <c r="U6" s="22"/>
      <c r="V6" s="22"/>
      <c r="W6" s="12"/>
      <c r="X6" s="12"/>
      <c r="Y6" s="12"/>
      <c r="Z6" s="26"/>
      <c r="AA6" s="26"/>
      <c r="AB6" s="26"/>
      <c r="AC6" s="26"/>
      <c r="AD6" s="26"/>
      <c r="AE6" s="11"/>
      <c r="AF6" s="11"/>
      <c r="AG6" s="25"/>
      <c r="AH6" s="11"/>
      <c r="AI6" s="11"/>
      <c r="AJ6" s="29"/>
      <c r="AK6" s="31" t="s">
        <v>7</v>
      </c>
      <c r="AL6" s="18" t="s">
        <v>10</v>
      </c>
      <c r="AM6" s="18" t="s">
        <v>11</v>
      </c>
    </row>
    <row r="7" spans="1:45" s="1" customFormat="1" ht="15.75">
      <c r="A7" s="63"/>
      <c r="B7" s="71" t="s">
        <v>3</v>
      </c>
      <c r="C7" s="71"/>
      <c r="D7" s="71"/>
      <c r="E7" s="71"/>
      <c r="F7" s="71"/>
      <c r="G7" s="71"/>
      <c r="H7" s="71"/>
      <c r="I7" s="71"/>
      <c r="J7" s="72"/>
      <c r="K7" s="74" t="s">
        <v>1</v>
      </c>
      <c r="L7" s="71"/>
      <c r="M7" s="71"/>
      <c r="N7" s="71"/>
      <c r="O7" s="71"/>
      <c r="P7" s="71"/>
      <c r="Q7" s="56" t="s">
        <v>12</v>
      </c>
      <c r="R7" s="32"/>
      <c r="S7" s="21"/>
      <c r="T7" s="22"/>
      <c r="U7" s="22"/>
      <c r="V7" s="22"/>
      <c r="W7" s="12"/>
      <c r="X7" s="12"/>
      <c r="Y7" s="12"/>
      <c r="Z7" s="26"/>
      <c r="AA7" s="26"/>
      <c r="AB7" s="26"/>
      <c r="AC7" s="26"/>
      <c r="AD7" s="26"/>
      <c r="AE7" s="11"/>
      <c r="AF7" s="11"/>
      <c r="AG7" s="25"/>
      <c r="AH7" s="11"/>
      <c r="AI7" s="11"/>
      <c r="AJ7" s="29"/>
      <c r="AK7" s="30" t="s">
        <v>13</v>
      </c>
      <c r="AL7" s="33">
        <f>J10</f>
        <v>9626.2044042341786</v>
      </c>
      <c r="AM7" s="34">
        <f>Q10</f>
        <v>-42.095194588461887</v>
      </c>
    </row>
    <row r="8" spans="1:45" s="1" customFormat="1" ht="18" customHeight="1">
      <c r="A8" s="64"/>
      <c r="B8" s="35">
        <v>2011</v>
      </c>
      <c r="C8" s="35">
        <v>2012</v>
      </c>
      <c r="D8" s="35">
        <v>2013</v>
      </c>
      <c r="E8" s="35">
        <v>2014</v>
      </c>
      <c r="F8" s="35">
        <v>2015</v>
      </c>
      <c r="G8" s="35">
        <v>2016</v>
      </c>
      <c r="H8" s="35">
        <v>2017</v>
      </c>
      <c r="I8" s="35">
        <v>2018</v>
      </c>
      <c r="J8" s="35">
        <v>2019</v>
      </c>
      <c r="K8" s="54">
        <v>2014</v>
      </c>
      <c r="L8" s="36">
        <v>2015</v>
      </c>
      <c r="M8" s="36">
        <v>2016</v>
      </c>
      <c r="N8" s="36">
        <v>2017</v>
      </c>
      <c r="O8" s="36">
        <v>2018</v>
      </c>
      <c r="P8" s="36">
        <v>2019</v>
      </c>
      <c r="Q8" s="14" t="s">
        <v>27</v>
      </c>
      <c r="R8" s="41"/>
      <c r="S8" s="21"/>
      <c r="T8" s="22"/>
      <c r="U8" s="22"/>
      <c r="V8" s="22"/>
      <c r="W8" s="12"/>
      <c r="X8" s="12"/>
      <c r="Y8" s="12"/>
      <c r="Z8" s="26"/>
      <c r="AA8" s="26"/>
      <c r="AB8" s="26"/>
      <c r="AC8" s="26"/>
      <c r="AD8" s="26"/>
      <c r="AE8" s="11"/>
      <c r="AF8" s="11"/>
      <c r="AG8" s="25"/>
      <c r="AH8" s="11"/>
      <c r="AI8" s="11"/>
      <c r="AJ8" s="29"/>
      <c r="AK8" s="30" t="s">
        <v>14</v>
      </c>
      <c r="AL8" s="33">
        <f t="shared" ref="AL8:AL18" si="0">J11</f>
        <v>13254.665364671266</v>
      </c>
      <c r="AM8" s="34">
        <f t="shared" ref="AM8:AM18" si="1">Q11</f>
        <v>13.2538619465082</v>
      </c>
    </row>
    <row r="9" spans="1:45" s="1" customFormat="1" ht="19.5" customHeight="1">
      <c r="A9" s="4" t="s">
        <v>4</v>
      </c>
      <c r="B9" s="37">
        <f t="shared" ref="B9:I9" si="2">SUM(B10:B21)</f>
        <v>120836.031774473</v>
      </c>
      <c r="C9" s="37">
        <f t="shared" si="2"/>
        <v>119866.18552466118</v>
      </c>
      <c r="D9" s="37">
        <f t="shared" si="2"/>
        <v>128242.72432257248</v>
      </c>
      <c r="E9" s="37">
        <f t="shared" si="2"/>
        <v>128683.2270000002</v>
      </c>
      <c r="F9" s="37">
        <f t="shared" si="2"/>
        <v>127351.81848143277</v>
      </c>
      <c r="G9" s="37">
        <f t="shared" si="2"/>
        <v>129190.99510655222</v>
      </c>
      <c r="H9" s="37">
        <f t="shared" si="2"/>
        <v>143159.9643316248</v>
      </c>
      <c r="I9" s="37">
        <f t="shared" si="2"/>
        <v>151024.32375223387</v>
      </c>
      <c r="J9" s="37">
        <f t="shared" ref="J9" si="3">SUM(J10:J21)</f>
        <v>135068.92557018771</v>
      </c>
      <c r="K9" s="39">
        <f t="shared" ref="K9:P9" si="4">E9/E9*100</f>
        <v>100</v>
      </c>
      <c r="L9" s="38">
        <f t="shared" si="4"/>
        <v>100</v>
      </c>
      <c r="M9" s="38">
        <f t="shared" si="4"/>
        <v>100</v>
      </c>
      <c r="N9" s="38">
        <f t="shared" si="4"/>
        <v>100</v>
      </c>
      <c r="O9" s="38">
        <f t="shared" si="4"/>
        <v>100</v>
      </c>
      <c r="P9" s="38">
        <f t="shared" si="4"/>
        <v>100</v>
      </c>
      <c r="Q9" s="40">
        <f t="shared" ref="Q9:Q21" si="5">((J9-I9)/I9)*100</f>
        <v>-10.564787039352765</v>
      </c>
      <c r="S9" s="21"/>
      <c r="T9" s="22"/>
      <c r="U9" s="22"/>
      <c r="V9" s="22"/>
      <c r="W9" s="12"/>
      <c r="X9" s="12"/>
      <c r="Y9" s="12"/>
      <c r="Z9" s="26"/>
      <c r="AA9" s="26"/>
      <c r="AB9" s="26"/>
      <c r="AC9" s="26"/>
      <c r="AD9" s="26"/>
      <c r="AE9" s="11"/>
      <c r="AF9" s="11"/>
      <c r="AG9" s="25"/>
      <c r="AH9" s="11"/>
      <c r="AI9" s="11"/>
      <c r="AJ9" s="20"/>
      <c r="AK9" s="3" t="s">
        <v>15</v>
      </c>
      <c r="AL9" s="33">
        <f t="shared" si="0"/>
        <v>15358.544360522132</v>
      </c>
      <c r="AM9" s="34">
        <f t="shared" si="1"/>
        <v>11.479004940606513</v>
      </c>
    </row>
    <row r="10" spans="1:45" s="1" customFormat="1" ht="19.5" customHeight="1">
      <c r="A10" s="2" t="s">
        <v>13</v>
      </c>
      <c r="B10" s="43">
        <v>14955.189976228001</v>
      </c>
      <c r="C10" s="43">
        <v>7654.3823507463503</v>
      </c>
      <c r="D10" s="43">
        <v>9767.2253264603569</v>
      </c>
      <c r="E10" s="43">
        <v>15339.936517689775</v>
      </c>
      <c r="F10" s="43">
        <v>19422.337638591896</v>
      </c>
      <c r="G10" s="43">
        <v>9330.6410000792876</v>
      </c>
      <c r="H10" s="43">
        <v>15502.525800186488</v>
      </c>
      <c r="I10" s="43">
        <v>16624.189194349769</v>
      </c>
      <c r="J10" s="43">
        <v>9626.2044042341786</v>
      </c>
      <c r="K10" s="44">
        <f t="shared" ref="K10:K21" si="6">E10/$E$9*100</f>
        <v>11.920696174094042</v>
      </c>
      <c r="L10" s="15">
        <f>F10/$F$9*100</f>
        <v>15.250930744599907</v>
      </c>
      <c r="M10" s="15">
        <f t="shared" ref="M10:M21" si="7">G10/$G$9*100</f>
        <v>7.2223617384351764</v>
      </c>
      <c r="N10" s="15">
        <f t="shared" ref="N10:P21" si="8">H10/$H$9*100</f>
        <v>10.828813678854694</v>
      </c>
      <c r="O10" s="15">
        <f t="shared" si="8"/>
        <v>11.612317222879746</v>
      </c>
      <c r="P10" s="15">
        <f t="shared" si="8"/>
        <v>6.7240896916790431</v>
      </c>
      <c r="Q10" s="45">
        <f t="shared" si="5"/>
        <v>-42.095194588461887</v>
      </c>
      <c r="S10" s="21"/>
      <c r="T10" s="22"/>
      <c r="U10" s="22"/>
      <c r="V10" s="22"/>
      <c r="W10" s="12"/>
      <c r="X10" s="12"/>
      <c r="Y10" s="12"/>
      <c r="Z10" s="42"/>
      <c r="AA10" s="42"/>
      <c r="AB10" s="26"/>
      <c r="AC10" s="26"/>
      <c r="AD10" s="26"/>
      <c r="AE10" s="11"/>
      <c r="AF10" s="11"/>
      <c r="AG10" s="25"/>
      <c r="AH10" s="11"/>
      <c r="AI10" s="11"/>
      <c r="AJ10" s="20"/>
      <c r="AK10" s="30" t="s">
        <v>16</v>
      </c>
      <c r="AL10" s="33">
        <f t="shared" si="0"/>
        <v>16513.057387880901</v>
      </c>
      <c r="AM10" s="34">
        <f t="shared" si="1"/>
        <v>-15.814511061719882</v>
      </c>
    </row>
    <row r="11" spans="1:45" s="1" customFormat="1" ht="19.5" customHeight="1">
      <c r="A11" s="2" t="s">
        <v>14</v>
      </c>
      <c r="B11" s="43">
        <v>12368.042381476002</v>
      </c>
      <c r="C11" s="43">
        <v>7719.8029243069659</v>
      </c>
      <c r="D11" s="43">
        <v>9293.4740501910273</v>
      </c>
      <c r="E11" s="43">
        <v>9322.0790691187103</v>
      </c>
      <c r="F11" s="43">
        <v>10331.527911195368</v>
      </c>
      <c r="G11" s="43">
        <v>9712.784106420786</v>
      </c>
      <c r="H11" s="43">
        <v>12577.998944745086</v>
      </c>
      <c r="I11" s="43">
        <v>11703.499674855837</v>
      </c>
      <c r="J11" s="43">
        <v>13254.665364671266</v>
      </c>
      <c r="K11" s="44">
        <f t="shared" si="6"/>
        <v>7.2442067909275352</v>
      </c>
      <c r="L11" s="15">
        <f t="shared" ref="L11:L21" si="9">F11/$F$9*100</f>
        <v>8.1125876602238307</v>
      </c>
      <c r="M11" s="15">
        <f t="shared" si="7"/>
        <v>7.5181587527907974</v>
      </c>
      <c r="N11" s="15">
        <f t="shared" si="8"/>
        <v>8.7859751875940777</v>
      </c>
      <c r="O11" s="15">
        <f t="shared" si="8"/>
        <v>8.1751205579690644</v>
      </c>
      <c r="P11" s="15">
        <f t="shared" si="8"/>
        <v>9.2586397506828941</v>
      </c>
      <c r="Q11" s="45">
        <f t="shared" si="5"/>
        <v>13.2538619465082</v>
      </c>
      <c r="S11" s="21"/>
      <c r="T11" s="22"/>
      <c r="U11" s="22"/>
      <c r="V11" s="22"/>
      <c r="W11" s="12"/>
      <c r="X11" s="12"/>
      <c r="Y11" s="12"/>
      <c r="Z11" s="42"/>
      <c r="AA11" s="42"/>
      <c r="AB11" s="26"/>
      <c r="AC11" s="26"/>
      <c r="AD11" s="26"/>
      <c r="AE11" s="11"/>
      <c r="AF11" s="11"/>
      <c r="AG11" s="25"/>
      <c r="AH11" s="11"/>
      <c r="AI11" s="11"/>
      <c r="AJ11" s="20"/>
      <c r="AK11" s="3" t="s">
        <v>17</v>
      </c>
      <c r="AL11" s="33">
        <f t="shared" si="0"/>
        <v>8869.3965661088441</v>
      </c>
      <c r="AM11" s="34">
        <f t="shared" si="1"/>
        <v>-22.56938777792206</v>
      </c>
    </row>
    <row r="12" spans="1:45" s="1" customFormat="1" ht="19.5" customHeight="1">
      <c r="A12" s="2" t="s">
        <v>15</v>
      </c>
      <c r="B12" s="43">
        <v>9653.7175542229998</v>
      </c>
      <c r="C12" s="43">
        <v>7106.4788059804832</v>
      </c>
      <c r="D12" s="43">
        <v>9850.8752725132399</v>
      </c>
      <c r="E12" s="43">
        <v>8608.8267200830196</v>
      </c>
      <c r="F12" s="43">
        <v>9502.0411982502246</v>
      </c>
      <c r="G12" s="43">
        <v>11336.591236540209</v>
      </c>
      <c r="H12" s="43">
        <v>11854.913529886182</v>
      </c>
      <c r="I12" s="43">
        <v>13777.073421766561</v>
      </c>
      <c r="J12" s="43">
        <v>15358.544360522132</v>
      </c>
      <c r="K12" s="44">
        <f t="shared" si="6"/>
        <v>6.6899369255660686</v>
      </c>
      <c r="L12" s="15">
        <f t="shared" si="9"/>
        <v>7.4612528596406129</v>
      </c>
      <c r="M12" s="15">
        <f t="shared" si="7"/>
        <v>8.7750630198259447</v>
      </c>
      <c r="N12" s="15">
        <f t="shared" si="8"/>
        <v>8.2808860600333141</v>
      </c>
      <c r="O12" s="15">
        <f t="shared" si="8"/>
        <v>9.6235518680714929</v>
      </c>
      <c r="P12" s="15">
        <f t="shared" si="8"/>
        <v>10.72823986246925</v>
      </c>
      <c r="Q12" s="45">
        <f t="shared" si="5"/>
        <v>11.479004940606513</v>
      </c>
      <c r="S12" s="21"/>
      <c r="T12" s="22"/>
      <c r="U12" s="22"/>
      <c r="V12" s="22"/>
      <c r="W12" s="12"/>
      <c r="X12" s="12"/>
      <c r="Y12" s="12"/>
      <c r="Z12" s="42"/>
      <c r="AA12" s="42"/>
      <c r="AB12" s="26"/>
      <c r="AC12" s="26"/>
      <c r="AD12" s="26"/>
      <c r="AE12" s="11"/>
      <c r="AF12" s="11"/>
      <c r="AG12" s="25"/>
      <c r="AH12" s="11"/>
      <c r="AI12" s="11"/>
      <c r="AJ12" s="20"/>
      <c r="AK12" s="3" t="s">
        <v>18</v>
      </c>
      <c r="AL12" s="33">
        <f t="shared" si="0"/>
        <v>6403.4358210428309</v>
      </c>
      <c r="AM12" s="34">
        <f t="shared" si="1"/>
        <v>5.801132248062002</v>
      </c>
    </row>
    <row r="13" spans="1:45" s="1" customFormat="1" ht="19.5" customHeight="1">
      <c r="A13" s="2" t="s">
        <v>16</v>
      </c>
      <c r="B13" s="43">
        <v>10557.514762582001</v>
      </c>
      <c r="C13" s="43">
        <v>11496.477852750637</v>
      </c>
      <c r="D13" s="43">
        <v>7526.4802679976619</v>
      </c>
      <c r="E13" s="43">
        <v>16224.338764017641</v>
      </c>
      <c r="F13" s="43">
        <v>16833.635232918969</v>
      </c>
      <c r="G13" s="43">
        <v>16353.251172322914</v>
      </c>
      <c r="H13" s="43">
        <v>14617.157081737798</v>
      </c>
      <c r="I13" s="43">
        <v>19615.087583546981</v>
      </c>
      <c r="J13" s="43">
        <v>16513.057387880901</v>
      </c>
      <c r="K13" s="44">
        <f t="shared" si="6"/>
        <v>12.607966976160471</v>
      </c>
      <c r="L13" s="15">
        <f t="shared" si="9"/>
        <v>13.218213476373112</v>
      </c>
      <c r="M13" s="15">
        <f t="shared" si="7"/>
        <v>12.658197391261924</v>
      </c>
      <c r="N13" s="15">
        <f t="shared" si="8"/>
        <v>10.210366529484242</v>
      </c>
      <c r="O13" s="15">
        <f t="shared" si="8"/>
        <v>13.701517512332813</v>
      </c>
      <c r="P13" s="15">
        <f t="shared" si="8"/>
        <v>11.534689509721455</v>
      </c>
      <c r="Q13" s="45">
        <f t="shared" si="5"/>
        <v>-15.814511061719882</v>
      </c>
      <c r="S13" s="21"/>
      <c r="T13" s="22"/>
      <c r="U13" s="22"/>
      <c r="V13" s="22"/>
      <c r="W13" s="12"/>
      <c r="X13" s="12"/>
      <c r="Y13" s="12"/>
      <c r="Z13" s="42"/>
      <c r="AA13" s="42"/>
      <c r="AB13" s="26"/>
      <c r="AC13" s="26"/>
      <c r="AD13" s="26"/>
      <c r="AE13" s="11"/>
      <c r="AF13" s="11"/>
      <c r="AG13" s="25"/>
      <c r="AH13" s="11"/>
      <c r="AI13" s="11"/>
      <c r="AJ13" s="20"/>
      <c r="AK13" s="3" t="s">
        <v>19</v>
      </c>
      <c r="AL13" s="33">
        <f t="shared" si="0"/>
        <v>9626.1921859423455</v>
      </c>
      <c r="AM13" s="34">
        <f t="shared" si="1"/>
        <v>10.239293374285412</v>
      </c>
    </row>
    <row r="14" spans="1:45" s="1" customFormat="1" ht="19.5" customHeight="1">
      <c r="A14" s="2" t="s">
        <v>17</v>
      </c>
      <c r="B14" s="43">
        <v>7156.1713736889997</v>
      </c>
      <c r="C14" s="43">
        <v>13126.340141529225</v>
      </c>
      <c r="D14" s="43">
        <v>6692.1508321880965</v>
      </c>
      <c r="E14" s="43">
        <v>12590.391144779127</v>
      </c>
      <c r="F14" s="43">
        <v>9249.1472113244563</v>
      </c>
      <c r="G14" s="43">
        <v>11204.604071055752</v>
      </c>
      <c r="H14" s="43">
        <v>13980.242230759486</v>
      </c>
      <c r="I14" s="43">
        <v>11454.638303350384</v>
      </c>
      <c r="J14" s="43">
        <v>8869.3965661088441</v>
      </c>
      <c r="K14" s="44">
        <f t="shared" si="6"/>
        <v>9.7840188176032505</v>
      </c>
      <c r="L14" s="15">
        <f t="shared" si="9"/>
        <v>7.2626738444829781</v>
      </c>
      <c r="M14" s="15">
        <f t="shared" si="7"/>
        <v>8.6728986504164531</v>
      </c>
      <c r="N14" s="15">
        <f t="shared" si="8"/>
        <v>9.7654692050458802</v>
      </c>
      <c r="O14" s="15">
        <f t="shared" si="8"/>
        <v>8.0012860835981598</v>
      </c>
      <c r="P14" s="15">
        <f t="shared" si="8"/>
        <v>6.1954448001699784</v>
      </c>
      <c r="Q14" s="45">
        <f t="shared" si="5"/>
        <v>-22.56938777792206</v>
      </c>
      <c r="S14" s="21"/>
      <c r="T14" s="22"/>
      <c r="U14" s="22"/>
      <c r="V14" s="22"/>
      <c r="W14" s="12"/>
      <c r="X14" s="12"/>
      <c r="Y14" s="12"/>
      <c r="Z14" s="42"/>
      <c r="AA14" s="42"/>
      <c r="AB14" s="26"/>
      <c r="AC14" s="26"/>
      <c r="AD14" s="26"/>
      <c r="AE14" s="11"/>
      <c r="AF14" s="11"/>
      <c r="AG14" s="25"/>
      <c r="AH14" s="11"/>
      <c r="AI14" s="11"/>
      <c r="AJ14" s="20"/>
      <c r="AK14" s="3" t="s">
        <v>20</v>
      </c>
      <c r="AL14" s="33">
        <f t="shared" si="0"/>
        <v>8785.0269118440792</v>
      </c>
      <c r="AM14" s="34">
        <f t="shared" si="1"/>
        <v>11.190342311844166</v>
      </c>
    </row>
    <row r="15" spans="1:45" s="1" customFormat="1" ht="19.5" customHeight="1">
      <c r="A15" s="2" t="s">
        <v>18</v>
      </c>
      <c r="B15" s="43">
        <v>10604.482355167002</v>
      </c>
      <c r="C15" s="43">
        <v>8892.1734252299484</v>
      </c>
      <c r="D15" s="43">
        <v>11226.887568886428</v>
      </c>
      <c r="E15" s="43">
        <v>10581.04690025821</v>
      </c>
      <c r="F15" s="43">
        <v>6663.1824102206965</v>
      </c>
      <c r="G15" s="43">
        <v>3542.5939041135643</v>
      </c>
      <c r="H15" s="43">
        <v>8234.1337762096937</v>
      </c>
      <c r="I15" s="43">
        <v>6052.3320355677242</v>
      </c>
      <c r="J15" s="43">
        <v>6403.4358210428309</v>
      </c>
      <c r="K15" s="44">
        <f t="shared" si="6"/>
        <v>8.2225532782591735</v>
      </c>
      <c r="L15" s="15">
        <f t="shared" si="9"/>
        <v>5.232106215422557</v>
      </c>
      <c r="M15" s="15">
        <f t="shared" si="7"/>
        <v>2.7421368658022618</v>
      </c>
      <c r="N15" s="15">
        <f t="shared" si="8"/>
        <v>5.751701472302428</v>
      </c>
      <c r="O15" s="15">
        <f t="shared" si="8"/>
        <v>4.2276708183216076</v>
      </c>
      <c r="P15" s="15">
        <f t="shared" si="8"/>
        <v>4.4729235935051692</v>
      </c>
      <c r="Q15" s="45">
        <f t="shared" si="5"/>
        <v>5.801132248062002</v>
      </c>
      <c r="S15" s="21"/>
      <c r="T15" s="22"/>
      <c r="U15" s="22"/>
      <c r="V15" s="22"/>
      <c r="W15" s="12"/>
      <c r="X15" s="12"/>
      <c r="Y15" s="12"/>
      <c r="Z15" s="42"/>
      <c r="AA15" s="42"/>
      <c r="AB15" s="26"/>
      <c r="AC15" s="11"/>
      <c r="AD15" s="11"/>
      <c r="AE15" s="10"/>
      <c r="AF15" s="10"/>
      <c r="AG15" s="10"/>
      <c r="AH15" s="10"/>
      <c r="AI15" s="10"/>
      <c r="AJ15" s="20"/>
      <c r="AK15" s="3" t="s">
        <v>21</v>
      </c>
      <c r="AL15" s="33">
        <f t="shared" si="0"/>
        <v>12909.522650218742</v>
      </c>
      <c r="AM15" s="34">
        <f t="shared" si="1"/>
        <v>51.847025383331356</v>
      </c>
      <c r="AN15" s="8"/>
      <c r="AO15" s="8"/>
      <c r="AP15" s="8"/>
      <c r="AQ15" s="8"/>
      <c r="AR15" s="8"/>
      <c r="AS15" s="8"/>
    </row>
    <row r="16" spans="1:45" s="1" customFormat="1" ht="19.5" customHeight="1">
      <c r="A16" s="2" t="s">
        <v>19</v>
      </c>
      <c r="B16" s="43">
        <v>8156.2926204970008</v>
      </c>
      <c r="C16" s="43">
        <v>8574.5320683597911</v>
      </c>
      <c r="D16" s="43">
        <v>11224.360457733363</v>
      </c>
      <c r="E16" s="43">
        <v>5999.9784964833161</v>
      </c>
      <c r="F16" s="43">
        <v>5705.2319713741481</v>
      </c>
      <c r="G16" s="43">
        <v>4446.3519660894235</v>
      </c>
      <c r="H16" s="43">
        <v>11166.244052147251</v>
      </c>
      <c r="I16" s="43">
        <v>8732.0880706840289</v>
      </c>
      <c r="J16" s="43">
        <v>9626.1921859423455</v>
      </c>
      <c r="K16" s="44">
        <f t="shared" si="6"/>
        <v>4.6625956127781176</v>
      </c>
      <c r="L16" s="15">
        <f t="shared" si="9"/>
        <v>4.4798983158657766</v>
      </c>
      <c r="M16" s="15">
        <f t="shared" si="7"/>
        <v>3.44168876663751</v>
      </c>
      <c r="N16" s="15">
        <f t="shared" si="8"/>
        <v>7.7998371292417046</v>
      </c>
      <c r="O16" s="15">
        <f t="shared" si="8"/>
        <v>6.0995321642135005</v>
      </c>
      <c r="P16" s="15">
        <f t="shared" si="8"/>
        <v>6.7240811569662204</v>
      </c>
      <c r="Q16" s="45">
        <f t="shared" si="5"/>
        <v>10.239293374285412</v>
      </c>
      <c r="S16" s="21"/>
      <c r="T16" s="22"/>
      <c r="U16" s="22"/>
      <c r="V16" s="22"/>
      <c r="W16" s="12"/>
      <c r="X16" s="12"/>
      <c r="Y16" s="12"/>
      <c r="Z16" s="42"/>
      <c r="AA16" s="42"/>
      <c r="AB16" s="26"/>
      <c r="AC16" s="11"/>
      <c r="AD16" s="11"/>
      <c r="AE16" s="11"/>
      <c r="AF16" s="11"/>
      <c r="AG16" s="11"/>
      <c r="AH16" s="11"/>
      <c r="AI16" s="11"/>
      <c r="AJ16" s="20"/>
      <c r="AK16" s="3" t="s">
        <v>22</v>
      </c>
      <c r="AL16" s="33">
        <f t="shared" si="0"/>
        <v>14183.756064596068</v>
      </c>
      <c r="AM16" s="34">
        <f t="shared" si="1"/>
        <v>-5.8412331747306077</v>
      </c>
    </row>
    <row r="17" spans="1:39" s="1" customFormat="1" ht="19.5" customHeight="1">
      <c r="A17" s="2" t="s">
        <v>20</v>
      </c>
      <c r="B17" s="43">
        <v>9236.857506600998</v>
      </c>
      <c r="C17" s="43">
        <v>7636.4221581192196</v>
      </c>
      <c r="D17" s="43">
        <v>11467.470863380531</v>
      </c>
      <c r="E17" s="43">
        <v>8294.7931659124097</v>
      </c>
      <c r="F17" s="43">
        <v>7517.6798073128002</v>
      </c>
      <c r="G17" s="43">
        <v>6849.7522346372625</v>
      </c>
      <c r="H17" s="43">
        <v>6985.0008384718385</v>
      </c>
      <c r="I17" s="43">
        <v>7900.8902474691677</v>
      </c>
      <c r="J17" s="43">
        <v>8785.0269118440792</v>
      </c>
      <c r="K17" s="44">
        <f t="shared" si="6"/>
        <v>6.4459008056367733</v>
      </c>
      <c r="L17" s="15">
        <f t="shared" si="9"/>
        <v>5.9030800635240546</v>
      </c>
      <c r="M17" s="15">
        <f t="shared" si="7"/>
        <v>5.3020353539252687</v>
      </c>
      <c r="N17" s="15">
        <f t="shared" si="8"/>
        <v>4.8791579902125015</v>
      </c>
      <c r="O17" s="15">
        <f t="shared" si="8"/>
        <v>5.5189244313913397</v>
      </c>
      <c r="P17" s="15">
        <f t="shared" si="8"/>
        <v>6.1365109671960294</v>
      </c>
      <c r="Q17" s="45">
        <f t="shared" si="5"/>
        <v>11.190342311844166</v>
      </c>
      <c r="S17" s="21"/>
      <c r="T17" s="22"/>
      <c r="U17" s="22"/>
      <c r="V17" s="22"/>
      <c r="W17" s="12"/>
      <c r="Y17" s="12"/>
      <c r="Z17" s="42"/>
      <c r="AA17" s="42"/>
      <c r="AB17" s="26"/>
      <c r="AC17" s="11"/>
      <c r="AD17" s="11"/>
      <c r="AE17" s="11"/>
      <c r="AF17" s="11"/>
      <c r="AG17" s="11"/>
      <c r="AH17" s="11"/>
      <c r="AI17" s="11"/>
      <c r="AJ17" s="20"/>
      <c r="AK17" s="3" t="s">
        <v>23</v>
      </c>
      <c r="AL17" s="33">
        <f t="shared" si="0"/>
        <v>11174.435514952173</v>
      </c>
      <c r="AM17" s="34">
        <f t="shared" si="1"/>
        <v>-35.395553815621831</v>
      </c>
    </row>
    <row r="18" spans="1:39" s="1" customFormat="1" ht="19.5" customHeight="1">
      <c r="A18" s="2" t="s">
        <v>21</v>
      </c>
      <c r="B18" s="43">
        <v>8492.9045429220023</v>
      </c>
      <c r="C18" s="43">
        <v>8898.5551975141716</v>
      </c>
      <c r="D18" s="43">
        <v>9268.4341059480703</v>
      </c>
      <c r="E18" s="43">
        <v>10311.062738892764</v>
      </c>
      <c r="F18" s="43">
        <v>5944.2507932135295</v>
      </c>
      <c r="G18" s="43">
        <v>7211.9517685126457</v>
      </c>
      <c r="H18" s="43">
        <v>5862.8220043651399</v>
      </c>
      <c r="I18" s="43">
        <v>8501.6631821592819</v>
      </c>
      <c r="J18" s="43">
        <v>12909.522650218742</v>
      </c>
      <c r="K18" s="44">
        <f t="shared" si="6"/>
        <v>8.0127480319503857</v>
      </c>
      <c r="L18" s="15">
        <f t="shared" si="9"/>
        <v>4.6675821861783389</v>
      </c>
      <c r="M18" s="15">
        <f t="shared" si="7"/>
        <v>5.5823950907448925</v>
      </c>
      <c r="N18" s="15">
        <f t="shared" si="8"/>
        <v>4.0952944014320432</v>
      </c>
      <c r="O18" s="15">
        <f t="shared" si="8"/>
        <v>5.9385759292769107</v>
      </c>
      <c r="P18" s="15">
        <f t="shared" si="8"/>
        <v>9.0175508987375181</v>
      </c>
      <c r="Q18" s="45">
        <f t="shared" si="5"/>
        <v>51.847025383331356</v>
      </c>
      <c r="S18" s="21"/>
      <c r="T18" s="22"/>
      <c r="U18" s="22"/>
      <c r="V18" s="22"/>
      <c r="W18" s="12"/>
      <c r="X18" s="12"/>
      <c r="Y18" s="12"/>
      <c r="Z18" s="42"/>
      <c r="AA18" s="42"/>
      <c r="AB18" s="26"/>
      <c r="AC18" s="11"/>
      <c r="AD18" s="11"/>
      <c r="AE18" s="11"/>
      <c r="AF18" s="11"/>
      <c r="AG18" s="11"/>
      <c r="AH18" s="11"/>
      <c r="AI18" s="11"/>
      <c r="AJ18" s="11"/>
      <c r="AK18" s="3" t="s">
        <v>24</v>
      </c>
      <c r="AL18" s="33">
        <f t="shared" si="0"/>
        <v>8364.68833817417</v>
      </c>
      <c r="AM18" s="34">
        <f t="shared" si="1"/>
        <v>-41.515921591957891</v>
      </c>
    </row>
    <row r="19" spans="1:39" s="1" customFormat="1" ht="19.5" customHeight="1">
      <c r="A19" s="2" t="s">
        <v>22</v>
      </c>
      <c r="B19" s="43">
        <v>12514.620116255997</v>
      </c>
      <c r="C19" s="43">
        <v>10731.297585609453</v>
      </c>
      <c r="D19" s="43">
        <v>14779.970038353686</v>
      </c>
      <c r="E19" s="43">
        <v>8739.8404707656719</v>
      </c>
      <c r="F19" s="43">
        <v>14365.957756026388</v>
      </c>
      <c r="G19" s="43">
        <v>17269.85730980118</v>
      </c>
      <c r="H19" s="43">
        <v>11841.761255422482</v>
      </c>
      <c r="I19" s="43">
        <v>15063.659543159578</v>
      </c>
      <c r="J19" s="43">
        <v>14183.756064596068</v>
      </c>
      <c r="K19" s="44">
        <f t="shared" si="6"/>
        <v>6.7917479803064449</v>
      </c>
      <c r="L19" s="15">
        <f t="shared" si="9"/>
        <v>11.280528167817932</v>
      </c>
      <c r="M19" s="15">
        <f t="shared" si="7"/>
        <v>13.367694316122888</v>
      </c>
      <c r="N19" s="15">
        <f t="shared" si="8"/>
        <v>8.2716989423044804</v>
      </c>
      <c r="O19" s="15">
        <f t="shared" si="8"/>
        <v>10.522257122295144</v>
      </c>
      <c r="P19" s="15">
        <f t="shared" si="8"/>
        <v>9.9076275485371852</v>
      </c>
      <c r="Q19" s="45">
        <f t="shared" si="5"/>
        <v>-5.8412331747306077</v>
      </c>
      <c r="S19" s="21"/>
      <c r="T19" s="22"/>
      <c r="U19" s="22"/>
      <c r="V19" s="22"/>
      <c r="W19" s="12"/>
      <c r="X19" s="12"/>
      <c r="Y19" s="12"/>
      <c r="Z19" s="42"/>
      <c r="AA19" s="42"/>
      <c r="AB19" s="42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</row>
    <row r="20" spans="1:39" s="1" customFormat="1" ht="19.5" customHeight="1">
      <c r="A20" s="2" t="s">
        <v>23</v>
      </c>
      <c r="B20" s="43">
        <v>8293.5629008889991</v>
      </c>
      <c r="C20" s="43">
        <v>13742.635969865547</v>
      </c>
      <c r="D20" s="43">
        <v>15548.262440127372</v>
      </c>
      <c r="E20" s="43">
        <v>10449.915819876145</v>
      </c>
      <c r="F20" s="43">
        <v>12692.422778464579</v>
      </c>
      <c r="G20" s="43">
        <v>16136.678894941842</v>
      </c>
      <c r="H20" s="43">
        <v>15699.534266345063</v>
      </c>
      <c r="I20" s="43">
        <v>17296.697324919154</v>
      </c>
      <c r="J20" s="43">
        <v>11174.435514952173</v>
      </c>
      <c r="K20" s="44">
        <f t="shared" si="6"/>
        <v>8.1206510463684047</v>
      </c>
      <c r="L20" s="15">
        <f t="shared" si="9"/>
        <v>9.9664244529928467</v>
      </c>
      <c r="M20" s="15">
        <f t="shared" si="7"/>
        <v>12.490560105704636</v>
      </c>
      <c r="N20" s="15">
        <f t="shared" si="8"/>
        <v>10.966427897381749</v>
      </c>
      <c r="O20" s="15">
        <f t="shared" si="8"/>
        <v>12.082077140541884</v>
      </c>
      <c r="P20" s="15">
        <f t="shared" si="8"/>
        <v>7.8055590242164383</v>
      </c>
      <c r="Q20" s="45">
        <f t="shared" si="5"/>
        <v>-35.395553815621831</v>
      </c>
      <c r="S20" s="21"/>
      <c r="T20" s="22"/>
      <c r="U20" s="22"/>
      <c r="V20" s="22"/>
      <c r="W20" s="12"/>
      <c r="X20" s="12"/>
      <c r="Y20" s="12"/>
      <c r="Z20" s="42"/>
      <c r="AA20" s="42"/>
      <c r="AB20" s="42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</row>
    <row r="21" spans="1:39" s="1" customFormat="1" ht="19.5" customHeight="1">
      <c r="A21" s="5" t="s">
        <v>24</v>
      </c>
      <c r="B21" s="46">
        <v>8846.6756839430018</v>
      </c>
      <c r="C21" s="46">
        <v>14287.087044649401</v>
      </c>
      <c r="D21" s="46">
        <v>11597.133098792654</v>
      </c>
      <c r="E21" s="46">
        <v>12221.017192123414</v>
      </c>
      <c r="F21" s="46">
        <v>9124.4037725397029</v>
      </c>
      <c r="G21" s="46">
        <v>15795.937442037344</v>
      </c>
      <c r="H21" s="46">
        <v>14837.630551348317</v>
      </c>
      <c r="I21" s="46">
        <v>14302.505170405399</v>
      </c>
      <c r="J21" s="46">
        <v>8364.68833817417</v>
      </c>
      <c r="K21" s="47">
        <f t="shared" si="6"/>
        <v>9.4969775603493325</v>
      </c>
      <c r="L21" s="16">
        <f t="shared" si="9"/>
        <v>7.1647220128780447</v>
      </c>
      <c r="M21" s="16">
        <f t="shared" si="7"/>
        <v>12.226809948332241</v>
      </c>
      <c r="N21" s="16">
        <f t="shared" si="8"/>
        <v>10.364371506112905</v>
      </c>
      <c r="O21" s="16">
        <f t="shared" si="8"/>
        <v>9.9905760924012039</v>
      </c>
      <c r="P21" s="16">
        <f t="shared" si="8"/>
        <v>5.8428963552950295</v>
      </c>
      <c r="Q21" s="48">
        <f t="shared" si="5"/>
        <v>-41.515921591957891</v>
      </c>
      <c r="S21" s="21"/>
      <c r="T21" s="22"/>
      <c r="U21" s="22"/>
      <c r="V21" s="22"/>
      <c r="W21" s="12"/>
      <c r="X21" s="12"/>
      <c r="Y21" s="12"/>
      <c r="Z21" s="42"/>
      <c r="AA21" s="42"/>
      <c r="AB21" s="42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</row>
    <row r="22" spans="1:39" s="51" customFormat="1" ht="17.25">
      <c r="A22" s="9" t="s">
        <v>26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N22" s="7"/>
      <c r="O22" s="7"/>
      <c r="P22" s="7"/>
      <c r="Q22" s="6" t="s">
        <v>25</v>
      </c>
      <c r="R22" s="49"/>
      <c r="S22" s="21"/>
      <c r="T22" s="22"/>
      <c r="U22" s="22"/>
      <c r="V22" s="22"/>
      <c r="W22" s="12"/>
      <c r="X22" s="12"/>
      <c r="Y22" s="12"/>
      <c r="Z22" s="50"/>
      <c r="AA22" s="50"/>
      <c r="AB22" s="50"/>
      <c r="AC22" s="50"/>
      <c r="AD22" s="50"/>
      <c r="AE22" s="50"/>
      <c r="AF22" s="50"/>
      <c r="AG22" s="50"/>
      <c r="AH22" s="50"/>
      <c r="AI22" s="50"/>
      <c r="AJ22" s="50"/>
      <c r="AK22" s="50"/>
      <c r="AL22" s="50"/>
      <c r="AM22" s="50"/>
    </row>
    <row r="23" spans="1:39" s="51" customFormat="1" ht="15.75"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21"/>
      <c r="T23" s="22"/>
      <c r="U23" s="22"/>
      <c r="V23" s="22"/>
      <c r="W23" s="12"/>
      <c r="X23" s="12"/>
      <c r="Y23" s="12"/>
    </row>
    <row r="24" spans="1:39" s="51" customFormat="1" ht="15.75"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21"/>
      <c r="T24" s="22"/>
      <c r="U24" s="22"/>
      <c r="V24" s="22"/>
      <c r="W24" s="12"/>
      <c r="X24" s="12"/>
      <c r="Y24" s="12"/>
    </row>
    <row r="25" spans="1:39" s="51" customFormat="1" ht="15.75"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21"/>
      <c r="T25" s="22"/>
      <c r="U25" s="22"/>
      <c r="V25" s="22"/>
      <c r="W25" s="12"/>
      <c r="X25" s="12"/>
      <c r="Y25" s="12"/>
    </row>
    <row r="26" spans="1:39" s="51" customFormat="1" ht="12"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</row>
    <row r="27" spans="1:39" s="51" customFormat="1" ht="12"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</row>
    <row r="28" spans="1:39">
      <c r="A28" s="51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51"/>
      <c r="U28" s="51"/>
      <c r="V28" s="51"/>
    </row>
    <row r="29" spans="1:39">
      <c r="A29" s="51"/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51"/>
      <c r="U29" s="51"/>
      <c r="V29" s="51"/>
    </row>
    <row r="30" spans="1:39">
      <c r="A30" s="51"/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51"/>
      <c r="U30" s="51"/>
      <c r="V30" s="51"/>
    </row>
    <row r="31" spans="1:39">
      <c r="A31" s="51"/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51"/>
      <c r="U31" s="51"/>
      <c r="V31" s="51"/>
    </row>
    <row r="32" spans="1:39">
      <c r="A32" s="51"/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51"/>
      <c r="U32" s="51"/>
      <c r="V32" s="51"/>
    </row>
    <row r="33" spans="1:22">
      <c r="A33" s="51"/>
      <c r="B33" s="31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51"/>
      <c r="U33" s="51"/>
      <c r="V33" s="51"/>
    </row>
    <row r="34" spans="1:22">
      <c r="A34" s="51"/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51"/>
      <c r="U34" s="51"/>
      <c r="V34" s="51"/>
    </row>
    <row r="35" spans="1:22">
      <c r="B35" s="31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</row>
    <row r="36" spans="1:22"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</row>
    <row r="37" spans="1:22">
      <c r="B37" s="31"/>
      <c r="C37" s="31"/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</row>
    <row r="38" spans="1:22">
      <c r="B38" s="31"/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</row>
    <row r="39" spans="1:22">
      <c r="B39" s="31"/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</row>
    <row r="40" spans="1:22"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</row>
    <row r="41" spans="1:22">
      <c r="B41" s="31"/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</row>
    <row r="42" spans="1:22"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</row>
    <row r="43" spans="1:22">
      <c r="B43" s="31"/>
      <c r="C43" s="31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</row>
    <row r="44" spans="1:22">
      <c r="B44" s="31"/>
      <c r="C44" s="31"/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</row>
    <row r="45" spans="1:22">
      <c r="B45" s="31"/>
      <c r="C45" s="31"/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</row>
    <row r="46" spans="1:22">
      <c r="B46" s="31"/>
      <c r="C46" s="31"/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</row>
    <row r="47" spans="1:22">
      <c r="B47" s="31"/>
      <c r="C47" s="31"/>
      <c r="D47" s="31"/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</row>
    <row r="48" spans="1:22">
      <c r="B48" s="31"/>
      <c r="C48" s="31"/>
      <c r="D48" s="31"/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</row>
    <row r="49" spans="2:16">
      <c r="B49" s="31"/>
      <c r="C49" s="31"/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</row>
    <row r="50" spans="2:16">
      <c r="C50" s="18"/>
      <c r="D50" s="18"/>
      <c r="E50" s="18"/>
      <c r="F50" s="18"/>
      <c r="G50" s="18"/>
      <c r="H50" s="18"/>
      <c r="I50" s="18"/>
      <c r="J50" s="18"/>
      <c r="K50" s="31"/>
      <c r="L50" s="31"/>
      <c r="M50" s="31"/>
      <c r="N50" s="31"/>
      <c r="O50" s="31"/>
      <c r="P50" s="31"/>
    </row>
    <row r="51" spans="2:16">
      <c r="C51" s="52"/>
      <c r="D51" s="52"/>
      <c r="E51" s="52"/>
      <c r="F51" s="52"/>
      <c r="G51" s="52"/>
      <c r="H51" s="52"/>
      <c r="I51" s="52"/>
      <c r="J51" s="52"/>
      <c r="K51" s="31"/>
      <c r="L51" s="31"/>
      <c r="M51" s="31"/>
      <c r="N51" s="31"/>
      <c r="O51" s="31"/>
      <c r="P51" s="31"/>
    </row>
    <row r="52" spans="2:16">
      <c r="C52" s="52"/>
      <c r="D52" s="52"/>
      <c r="E52" s="52"/>
      <c r="F52" s="52"/>
      <c r="G52" s="52"/>
      <c r="H52" s="52"/>
      <c r="I52" s="52"/>
      <c r="J52" s="52"/>
      <c r="K52" s="31"/>
      <c r="L52" s="31"/>
      <c r="M52" s="31"/>
      <c r="N52" s="31"/>
      <c r="O52" s="31"/>
      <c r="P52" s="31"/>
    </row>
    <row r="53" spans="2:16">
      <c r="C53" s="52"/>
      <c r="D53" s="52"/>
      <c r="E53" s="52"/>
      <c r="F53" s="52"/>
      <c r="G53" s="52"/>
      <c r="H53" s="52"/>
      <c r="I53" s="52"/>
      <c r="J53" s="52"/>
      <c r="K53" s="31"/>
      <c r="L53" s="31"/>
      <c r="M53" s="31"/>
      <c r="N53" s="31"/>
      <c r="O53" s="31"/>
      <c r="P53" s="31"/>
    </row>
    <row r="54" spans="2:16">
      <c r="C54" s="52"/>
      <c r="D54" s="52"/>
      <c r="E54" s="52"/>
      <c r="F54" s="52"/>
      <c r="G54" s="52"/>
      <c r="H54" s="52"/>
      <c r="I54" s="52"/>
      <c r="J54" s="52"/>
      <c r="K54" s="31"/>
      <c r="L54" s="31"/>
      <c r="M54" s="31"/>
      <c r="N54" s="31"/>
      <c r="O54" s="31"/>
      <c r="P54" s="31"/>
    </row>
    <row r="55" spans="2:16">
      <c r="C55" s="52"/>
      <c r="D55" s="52"/>
      <c r="E55" s="52"/>
      <c r="F55" s="52"/>
      <c r="G55" s="52"/>
      <c r="H55" s="52"/>
      <c r="I55" s="52"/>
      <c r="J55" s="52"/>
      <c r="K55" s="31"/>
      <c r="L55" s="31"/>
      <c r="M55" s="31"/>
      <c r="N55" s="31"/>
      <c r="O55" s="31"/>
      <c r="P55" s="31"/>
    </row>
    <row r="56" spans="2:16">
      <c r="C56" s="52"/>
      <c r="D56" s="52"/>
      <c r="E56" s="52"/>
      <c r="F56" s="52"/>
      <c r="G56" s="52"/>
      <c r="H56" s="52"/>
      <c r="I56" s="52"/>
      <c r="J56" s="52"/>
      <c r="K56" s="31"/>
      <c r="L56" s="31"/>
      <c r="M56" s="31"/>
      <c r="N56" s="31"/>
      <c r="O56" s="31"/>
      <c r="P56" s="31"/>
    </row>
    <row r="57" spans="2:16">
      <c r="C57" s="52"/>
      <c r="D57" s="52"/>
      <c r="E57" s="52"/>
      <c r="F57" s="52"/>
      <c r="G57" s="52"/>
      <c r="H57" s="52"/>
      <c r="I57" s="52"/>
      <c r="J57" s="52"/>
      <c r="K57" s="31"/>
      <c r="L57" s="31"/>
      <c r="M57" s="31"/>
      <c r="N57" s="31"/>
      <c r="O57" s="31"/>
      <c r="P57" s="31"/>
    </row>
    <row r="58" spans="2:16">
      <c r="C58" s="53"/>
      <c r="D58" s="53"/>
      <c r="E58" s="53"/>
      <c r="F58" s="53"/>
      <c r="G58" s="53"/>
      <c r="H58" s="53"/>
      <c r="I58" s="53"/>
      <c r="J58" s="53"/>
    </row>
    <row r="59" spans="2:16">
      <c r="C59" s="53"/>
      <c r="D59" s="53"/>
      <c r="E59" s="53"/>
      <c r="F59" s="53"/>
      <c r="G59" s="53"/>
      <c r="H59" s="53"/>
      <c r="I59" s="53"/>
      <c r="J59" s="53"/>
    </row>
    <row r="60" spans="2:16">
      <c r="C60" s="53"/>
      <c r="D60" s="53"/>
      <c r="E60" s="53"/>
      <c r="F60" s="53"/>
      <c r="G60" s="53"/>
      <c r="H60" s="53"/>
      <c r="I60" s="53"/>
      <c r="J60" s="53"/>
    </row>
    <row r="61" spans="2:16">
      <c r="C61" s="53"/>
      <c r="D61" s="53"/>
      <c r="E61" s="53"/>
      <c r="F61" s="53"/>
      <c r="G61" s="53"/>
      <c r="H61" s="53"/>
      <c r="I61" s="53"/>
      <c r="J61" s="53"/>
    </row>
    <row r="62" spans="2:16">
      <c r="C62" s="53"/>
      <c r="D62" s="53"/>
      <c r="E62" s="53"/>
      <c r="F62" s="53"/>
      <c r="G62" s="53"/>
      <c r="H62" s="53"/>
      <c r="I62" s="53"/>
      <c r="J62" s="53"/>
    </row>
  </sheetData>
  <mergeCells count="10">
    <mergeCell ref="A2:Q2"/>
    <mergeCell ref="A1:Q1"/>
    <mergeCell ref="A3:Q3"/>
    <mergeCell ref="A4:Q4"/>
    <mergeCell ref="A5:A8"/>
    <mergeCell ref="B5:H5"/>
    <mergeCell ref="B6:J6"/>
    <mergeCell ref="B7:J7"/>
    <mergeCell ref="K6:P6"/>
    <mergeCell ref="K7:P7"/>
  </mergeCells>
  <pageMargins left="0.7" right="0.7" top="0.75" bottom="0.75" header="0.3" footer="0.3"/>
  <pageSetup paperSize="9" scale="52" orientation="portrait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9.4</vt:lpstr>
      <vt:lpstr>'9.4'!Print_Area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mohamed</cp:lastModifiedBy>
  <cp:lastPrinted>2020-10-20T05:11:32Z</cp:lastPrinted>
  <dcterms:created xsi:type="dcterms:W3CDTF">2019-09-09T05:11:24Z</dcterms:created>
  <dcterms:modified xsi:type="dcterms:W3CDTF">2020-10-20T05:11:43Z</dcterms:modified>
</cp:coreProperties>
</file>