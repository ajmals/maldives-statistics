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10" sheetId="10" r:id="rId1"/>
  </sheets>
  <definedNames>
    <definedName name="_xlnm.Print_Area" localSheetId="0">'7.10'!$A$1:$K$146</definedName>
    <definedName name="_xlnm.Print_Titles" localSheetId="0">'7.10'!$4:$5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9" i="10" l="1"/>
  <c r="D33" i="10" l="1"/>
  <c r="C33" i="10"/>
  <c r="C58" i="10"/>
  <c r="D58" i="10"/>
  <c r="D83" i="10"/>
  <c r="C83" i="10"/>
  <c r="I108" i="10"/>
  <c r="F108" i="10"/>
  <c r="D108" i="10"/>
  <c r="C108" i="10"/>
  <c r="E107" i="10"/>
  <c r="H128" i="10" l="1"/>
  <c r="E128" i="10"/>
  <c r="B128" i="10"/>
  <c r="AI51" i="10" s="1"/>
  <c r="H127" i="10"/>
  <c r="E127" i="10"/>
  <c r="B127" i="10"/>
  <c r="H126" i="10"/>
  <c r="E126" i="10"/>
  <c r="AI49" i="10" s="1"/>
  <c r="B126" i="10"/>
  <c r="H125" i="10"/>
  <c r="E125" i="10"/>
  <c r="B125" i="10"/>
  <c r="AI48" i="10" s="1"/>
  <c r="H124" i="10"/>
  <c r="E124" i="10"/>
  <c r="B124" i="10"/>
  <c r="AI47" i="10" s="1"/>
  <c r="H123" i="10"/>
  <c r="E123" i="10"/>
  <c r="B123" i="10"/>
  <c r="H122" i="10"/>
  <c r="E122" i="10"/>
  <c r="B122" i="10"/>
  <c r="H121" i="10"/>
  <c r="E121" i="10"/>
  <c r="B121" i="10"/>
  <c r="AI44" i="10" s="1"/>
  <c r="H120" i="10"/>
  <c r="E120" i="10"/>
  <c r="B120" i="10"/>
  <c r="AI43" i="10" s="1"/>
  <c r="H119" i="10"/>
  <c r="E119" i="10"/>
  <c r="B119" i="10"/>
  <c r="H118" i="10"/>
  <c r="E118" i="10"/>
  <c r="AI41" i="10" s="1"/>
  <c r="B118" i="10"/>
  <c r="H117" i="10"/>
  <c r="E117" i="10"/>
  <c r="B117" i="10"/>
  <c r="AI40" i="10" s="1"/>
  <c r="H116" i="10"/>
  <c r="E116" i="10"/>
  <c r="B116" i="10"/>
  <c r="H115" i="10"/>
  <c r="E115" i="10"/>
  <c r="B115" i="10"/>
  <c r="H114" i="10"/>
  <c r="E114" i="10"/>
  <c r="B114" i="10"/>
  <c r="H113" i="10"/>
  <c r="E113" i="10"/>
  <c r="B113" i="10"/>
  <c r="AI36" i="10" s="1"/>
  <c r="H112" i="10"/>
  <c r="E112" i="10"/>
  <c r="B112" i="10"/>
  <c r="AI35" i="10" s="1"/>
  <c r="H111" i="10"/>
  <c r="E111" i="10"/>
  <c r="B111" i="10"/>
  <c r="H110" i="10"/>
  <c r="E110" i="10"/>
  <c r="AI33" i="10" s="1"/>
  <c r="B110" i="10"/>
  <c r="H109" i="10"/>
  <c r="E109" i="10"/>
  <c r="B109" i="10"/>
  <c r="B108" i="10" s="1"/>
  <c r="J108" i="10"/>
  <c r="J106" i="10" s="1"/>
  <c r="G108" i="10"/>
  <c r="AK31" i="10" s="1"/>
  <c r="F106" i="10"/>
  <c r="H107" i="10"/>
  <c r="B107" i="10"/>
  <c r="AI30" i="10" s="1"/>
  <c r="I106" i="10"/>
  <c r="H106" i="10" s="1"/>
  <c r="D106" i="10"/>
  <c r="C106" i="10"/>
  <c r="H103" i="10"/>
  <c r="E103" i="10"/>
  <c r="B103" i="10"/>
  <c r="H102" i="10"/>
  <c r="E102" i="10"/>
  <c r="B102" i="10"/>
  <c r="H101" i="10"/>
  <c r="E101" i="10"/>
  <c r="B101" i="10"/>
  <c r="H100" i="10"/>
  <c r="E100" i="10"/>
  <c r="AF48" i="10" s="1"/>
  <c r="B100" i="10"/>
  <c r="H99" i="10"/>
  <c r="E99" i="10"/>
  <c r="B99" i="10"/>
  <c r="H98" i="10"/>
  <c r="E98" i="10"/>
  <c r="B98" i="10"/>
  <c r="H97" i="10"/>
  <c r="E97" i="10"/>
  <c r="B97" i="10"/>
  <c r="H96" i="10"/>
  <c r="E96" i="10"/>
  <c r="B96" i="10"/>
  <c r="H95" i="10"/>
  <c r="E95" i="10"/>
  <c r="B95" i="10"/>
  <c r="H94" i="10"/>
  <c r="E94" i="10"/>
  <c r="B94" i="10"/>
  <c r="H93" i="10"/>
  <c r="E93" i="10"/>
  <c r="B93" i="10"/>
  <c r="H92" i="10"/>
  <c r="E92" i="10"/>
  <c r="AF40" i="10" s="1"/>
  <c r="B92" i="10"/>
  <c r="H91" i="10"/>
  <c r="E91" i="10"/>
  <c r="B91" i="10"/>
  <c r="H90" i="10"/>
  <c r="E90" i="10"/>
  <c r="B90" i="10"/>
  <c r="H89" i="10"/>
  <c r="E89" i="10"/>
  <c r="B89" i="10"/>
  <c r="H88" i="10"/>
  <c r="E88" i="10"/>
  <c r="B88" i="10"/>
  <c r="H87" i="10"/>
  <c r="E87" i="10"/>
  <c r="B87" i="10"/>
  <c r="H86" i="10"/>
  <c r="E86" i="10"/>
  <c r="B86" i="10"/>
  <c r="H85" i="10"/>
  <c r="E85" i="10"/>
  <c r="B85" i="10"/>
  <c r="H84" i="10"/>
  <c r="E84" i="10"/>
  <c r="AF32" i="10" s="1"/>
  <c r="B84" i="10"/>
  <c r="J83" i="10"/>
  <c r="I83" i="10"/>
  <c r="G83" i="10"/>
  <c r="G81" i="10" s="1"/>
  <c r="F83" i="10"/>
  <c r="H82" i="10"/>
  <c r="E82" i="10"/>
  <c r="B82" i="10"/>
  <c r="AF30" i="10" s="1"/>
  <c r="D81" i="10"/>
  <c r="C81" i="10"/>
  <c r="H78" i="10"/>
  <c r="E78" i="10"/>
  <c r="B78" i="10"/>
  <c r="H77" i="10"/>
  <c r="E77" i="10"/>
  <c r="B77" i="10"/>
  <c r="H76" i="10"/>
  <c r="E76" i="10"/>
  <c r="B76" i="10"/>
  <c r="H75" i="10"/>
  <c r="E75" i="10"/>
  <c r="B75" i="10"/>
  <c r="H74" i="10"/>
  <c r="E74" i="10"/>
  <c r="B74" i="10"/>
  <c r="H73" i="10"/>
  <c r="E73" i="10"/>
  <c r="B73" i="10"/>
  <c r="H72" i="10"/>
  <c r="E72" i="10"/>
  <c r="B72" i="10"/>
  <c r="H71" i="10"/>
  <c r="E71" i="10"/>
  <c r="B71" i="10"/>
  <c r="H70" i="10"/>
  <c r="E70" i="10"/>
  <c r="B70" i="10"/>
  <c r="H69" i="10"/>
  <c r="E69" i="10"/>
  <c r="B69" i="10"/>
  <c r="H68" i="10"/>
  <c r="E68" i="10"/>
  <c r="B68" i="10"/>
  <c r="H67" i="10"/>
  <c r="E67" i="10"/>
  <c r="B67" i="10"/>
  <c r="H66" i="10"/>
  <c r="E66" i="10"/>
  <c r="B66" i="10"/>
  <c r="H65" i="10"/>
  <c r="E65" i="10"/>
  <c r="B65" i="10"/>
  <c r="H64" i="10"/>
  <c r="E64" i="10"/>
  <c r="B64" i="10"/>
  <c r="H63" i="10"/>
  <c r="E63" i="10"/>
  <c r="B63" i="10"/>
  <c r="H62" i="10"/>
  <c r="E62" i="10"/>
  <c r="B62" i="10"/>
  <c r="H61" i="10"/>
  <c r="E61" i="10"/>
  <c r="B61" i="10"/>
  <c r="H60" i="10"/>
  <c r="E60" i="10"/>
  <c r="B60" i="10"/>
  <c r="H59" i="10"/>
  <c r="E59" i="10"/>
  <c r="B59" i="10"/>
  <c r="J58" i="10"/>
  <c r="J56" i="10" s="1"/>
  <c r="I58" i="10"/>
  <c r="H58" i="10" s="1"/>
  <c r="G58" i="10"/>
  <c r="F58" i="10"/>
  <c r="E58" i="10"/>
  <c r="H57" i="10"/>
  <c r="E57" i="10"/>
  <c r="B57" i="10"/>
  <c r="G56" i="10"/>
  <c r="F56" i="10"/>
  <c r="D56" i="10"/>
  <c r="C56" i="10"/>
  <c r="H53" i="10"/>
  <c r="E53" i="10"/>
  <c r="B53" i="10"/>
  <c r="H52" i="10"/>
  <c r="E52" i="10"/>
  <c r="B52" i="10"/>
  <c r="H51" i="10"/>
  <c r="E51" i="10"/>
  <c r="B51" i="10"/>
  <c r="H50" i="10"/>
  <c r="E50" i="10"/>
  <c r="B50" i="10"/>
  <c r="H49" i="10"/>
  <c r="E49" i="10"/>
  <c r="B49" i="10"/>
  <c r="H48" i="10"/>
  <c r="E48" i="10"/>
  <c r="B48" i="10"/>
  <c r="H47" i="10"/>
  <c r="E47" i="10"/>
  <c r="B47" i="10"/>
  <c r="H46" i="10"/>
  <c r="E46" i="10"/>
  <c r="B46" i="10"/>
  <c r="H45" i="10"/>
  <c r="E45" i="10"/>
  <c r="B45" i="10"/>
  <c r="H44" i="10"/>
  <c r="E44" i="10"/>
  <c r="B44" i="10"/>
  <c r="H43" i="10"/>
  <c r="E43" i="10"/>
  <c r="B43" i="10"/>
  <c r="H42" i="10"/>
  <c r="E42" i="10"/>
  <c r="B42" i="10"/>
  <c r="H41" i="10"/>
  <c r="E41" i="10"/>
  <c r="B41" i="10"/>
  <c r="H40" i="10"/>
  <c r="E40" i="10"/>
  <c r="B40" i="10"/>
  <c r="H39" i="10"/>
  <c r="E39" i="10"/>
  <c r="B39" i="10"/>
  <c r="H38" i="10"/>
  <c r="E38" i="10"/>
  <c r="B38" i="10"/>
  <c r="H37" i="10"/>
  <c r="E37" i="10"/>
  <c r="B37" i="10"/>
  <c r="H36" i="10"/>
  <c r="E36" i="10"/>
  <c r="B36" i="10"/>
  <c r="H35" i="10"/>
  <c r="E35" i="10"/>
  <c r="B35" i="10"/>
  <c r="H34" i="10"/>
  <c r="E34" i="10"/>
  <c r="B34" i="10"/>
  <c r="J33" i="10"/>
  <c r="J31" i="10" s="1"/>
  <c r="I33" i="10"/>
  <c r="I31" i="10" s="1"/>
  <c r="G33" i="10"/>
  <c r="G31" i="10" s="1"/>
  <c r="F33" i="10"/>
  <c r="F31" i="10" s="1"/>
  <c r="H32" i="10"/>
  <c r="E32" i="10"/>
  <c r="B32" i="10"/>
  <c r="D31" i="10"/>
  <c r="C31" i="10"/>
  <c r="AK51" i="10"/>
  <c r="AJ51" i="10"/>
  <c r="AH51" i="10"/>
  <c r="AG51" i="10"/>
  <c r="AE51" i="10"/>
  <c r="AD51" i="10"/>
  <c r="H28" i="10"/>
  <c r="E28" i="10"/>
  <c r="D28" i="10"/>
  <c r="C28" i="10"/>
  <c r="AK50" i="10"/>
  <c r="AJ50" i="10"/>
  <c r="AI50" i="10"/>
  <c r="AH50" i="10"/>
  <c r="AG50" i="10"/>
  <c r="AE50" i="10"/>
  <c r="AD50" i="10"/>
  <c r="H27" i="10"/>
  <c r="E27" i="10"/>
  <c r="D27" i="10"/>
  <c r="C27" i="10"/>
  <c r="AK49" i="10"/>
  <c r="AJ49" i="10"/>
  <c r="AH49" i="10"/>
  <c r="AG49" i="10"/>
  <c r="AE49" i="10"/>
  <c r="AD49" i="10"/>
  <c r="H26" i="10"/>
  <c r="E26" i="10"/>
  <c r="D26" i="10"/>
  <c r="C26" i="10"/>
  <c r="AK48" i="10"/>
  <c r="AJ48" i="10"/>
  <c r="AH48" i="10"/>
  <c r="AG48" i="10"/>
  <c r="AE48" i="10"/>
  <c r="AD48" i="10"/>
  <c r="H25" i="10"/>
  <c r="E25" i="10"/>
  <c r="D25" i="10"/>
  <c r="C25" i="10"/>
  <c r="AK47" i="10"/>
  <c r="AJ47" i="10"/>
  <c r="AH47" i="10"/>
  <c r="AG47" i="10"/>
  <c r="AE47" i="10"/>
  <c r="AD47" i="10"/>
  <c r="H24" i="10"/>
  <c r="E24" i="10"/>
  <c r="D24" i="10"/>
  <c r="C24" i="10"/>
  <c r="AK46" i="10"/>
  <c r="AJ46" i="10"/>
  <c r="AI46" i="10"/>
  <c r="AH46" i="10"/>
  <c r="AG46" i="10"/>
  <c r="AE46" i="10"/>
  <c r="AD46" i="10"/>
  <c r="H23" i="10"/>
  <c r="E23" i="10"/>
  <c r="D23" i="10"/>
  <c r="C23" i="10"/>
  <c r="AK45" i="10"/>
  <c r="AJ45" i="10"/>
  <c r="AH45" i="10"/>
  <c r="AG45" i="10"/>
  <c r="AE45" i="10"/>
  <c r="AD45" i="10"/>
  <c r="H22" i="10"/>
  <c r="E22" i="10"/>
  <c r="D22" i="10"/>
  <c r="C22" i="10"/>
  <c r="AK44" i="10"/>
  <c r="AJ44" i="10"/>
  <c r="AH44" i="10"/>
  <c r="AG44" i="10"/>
  <c r="AE44" i="10"/>
  <c r="AD44" i="10"/>
  <c r="H21" i="10"/>
  <c r="E21" i="10"/>
  <c r="D21" i="10"/>
  <c r="C21" i="10"/>
  <c r="AK43" i="10"/>
  <c r="AJ43" i="10"/>
  <c r="AH43" i="10"/>
  <c r="AG43" i="10"/>
  <c r="AE43" i="10"/>
  <c r="AD43" i="10"/>
  <c r="H20" i="10"/>
  <c r="E20" i="10"/>
  <c r="D20" i="10"/>
  <c r="C20" i="10"/>
  <c r="AK42" i="10"/>
  <c r="AJ42" i="10"/>
  <c r="AI42" i="10"/>
  <c r="AH42" i="10"/>
  <c r="AG42" i="10"/>
  <c r="AE42" i="10"/>
  <c r="AD42" i="10"/>
  <c r="H19" i="10"/>
  <c r="E19" i="10"/>
  <c r="D19" i="10"/>
  <c r="C19" i="10"/>
  <c r="AK41" i="10"/>
  <c r="AJ41" i="10"/>
  <c r="AH41" i="10"/>
  <c r="AG41" i="10"/>
  <c r="AE41" i="10"/>
  <c r="AD41" i="10"/>
  <c r="H18" i="10"/>
  <c r="E18" i="10"/>
  <c r="D18" i="10"/>
  <c r="C18" i="10"/>
  <c r="AK40" i="10"/>
  <c r="AJ40" i="10"/>
  <c r="AH40" i="10"/>
  <c r="AG40" i="10"/>
  <c r="AE40" i="10"/>
  <c r="AD40" i="10"/>
  <c r="H17" i="10"/>
  <c r="E17" i="10"/>
  <c r="D17" i="10"/>
  <c r="C17" i="10"/>
  <c r="AK39" i="10"/>
  <c r="AJ39" i="10"/>
  <c r="AI39" i="10"/>
  <c r="AH39" i="10"/>
  <c r="AG39" i="10"/>
  <c r="AE39" i="10"/>
  <c r="AD39" i="10"/>
  <c r="H16" i="10"/>
  <c r="E16" i="10"/>
  <c r="D16" i="10"/>
  <c r="C16" i="10"/>
  <c r="AK38" i="10"/>
  <c r="AJ38" i="10"/>
  <c r="AI38" i="10"/>
  <c r="AH38" i="10"/>
  <c r="AG38" i="10"/>
  <c r="AE38" i="10"/>
  <c r="AD38" i="10"/>
  <c r="H15" i="10"/>
  <c r="E15" i="10"/>
  <c r="D15" i="10"/>
  <c r="C15" i="10"/>
  <c r="AK37" i="10"/>
  <c r="AJ37" i="10"/>
  <c r="AH37" i="10"/>
  <c r="AG37" i="10"/>
  <c r="AE37" i="10"/>
  <c r="AD37" i="10"/>
  <c r="H14" i="10"/>
  <c r="E14" i="10"/>
  <c r="D14" i="10"/>
  <c r="C14" i="10"/>
  <c r="AK36" i="10"/>
  <c r="AJ36" i="10"/>
  <c r="AH36" i="10"/>
  <c r="AG36" i="10"/>
  <c r="AE36" i="10"/>
  <c r="AD36" i="10"/>
  <c r="H13" i="10"/>
  <c r="E13" i="10"/>
  <c r="D13" i="10"/>
  <c r="C13" i="10"/>
  <c r="AK35" i="10"/>
  <c r="AJ35" i="10"/>
  <c r="AH35" i="10"/>
  <c r="AG35" i="10"/>
  <c r="AE35" i="10"/>
  <c r="AD35" i="10"/>
  <c r="H12" i="10"/>
  <c r="E12" i="10"/>
  <c r="D12" i="10"/>
  <c r="C12" i="10"/>
  <c r="AK34" i="10"/>
  <c r="AJ34" i="10"/>
  <c r="AI34" i="10"/>
  <c r="AH34" i="10"/>
  <c r="AG34" i="10"/>
  <c r="AE34" i="10"/>
  <c r="AD34" i="10"/>
  <c r="H11" i="10"/>
  <c r="E11" i="10"/>
  <c r="D11" i="10"/>
  <c r="C11" i="10"/>
  <c r="AK33" i="10"/>
  <c r="AJ33" i="10"/>
  <c r="AH33" i="10"/>
  <c r="AG33" i="10"/>
  <c r="AE33" i="10"/>
  <c r="AD33" i="10"/>
  <c r="H10" i="10"/>
  <c r="E10" i="10"/>
  <c r="D10" i="10"/>
  <c r="C10" i="10"/>
  <c r="AK32" i="10"/>
  <c r="AJ32" i="10"/>
  <c r="AH32" i="10"/>
  <c r="AG32" i="10"/>
  <c r="AE32" i="10"/>
  <c r="AD32" i="10"/>
  <c r="H9" i="10"/>
  <c r="E9" i="10"/>
  <c r="D9" i="10"/>
  <c r="C9" i="10"/>
  <c r="J8" i="10"/>
  <c r="J6" i="10" s="1"/>
  <c r="I8" i="10"/>
  <c r="G8" i="10"/>
  <c r="F8" i="10"/>
  <c r="F6" i="10" s="1"/>
  <c r="AK30" i="10"/>
  <c r="AJ30" i="10"/>
  <c r="AH30" i="10"/>
  <c r="AG30" i="10"/>
  <c r="AE30" i="10"/>
  <c r="AD30" i="10"/>
  <c r="H7" i="10"/>
  <c r="E7" i="10"/>
  <c r="D7" i="10"/>
  <c r="C7" i="10"/>
  <c r="AD31" i="10" l="1"/>
  <c r="AC45" i="10"/>
  <c r="H108" i="10"/>
  <c r="B56" i="10"/>
  <c r="AJ29" i="10"/>
  <c r="AC34" i="10"/>
  <c r="AH31" i="10"/>
  <c r="AF37" i="10"/>
  <c r="AF43" i="10"/>
  <c r="AF51" i="10"/>
  <c r="B83" i="10"/>
  <c r="AF34" i="10"/>
  <c r="AF35" i="10"/>
  <c r="AF38" i="10"/>
  <c r="AF41" i="10"/>
  <c r="AF42" i="10"/>
  <c r="AF45" i="10"/>
  <c r="AF46" i="10"/>
  <c r="AF49" i="10"/>
  <c r="AF50" i="10"/>
  <c r="AC30" i="10"/>
  <c r="B31" i="10"/>
  <c r="AC35" i="10"/>
  <c r="AC43" i="10"/>
  <c r="AC51" i="10"/>
  <c r="I56" i="10"/>
  <c r="H56" i="10" s="1"/>
  <c r="E83" i="10"/>
  <c r="B106" i="10"/>
  <c r="B7" i="10"/>
  <c r="E108" i="10"/>
  <c r="AJ31" i="10"/>
  <c r="AI37" i="10"/>
  <c r="AI45" i="10"/>
  <c r="AI32" i="10"/>
  <c r="J81" i="10"/>
  <c r="AH29" i="10" s="1"/>
  <c r="B27" i="10"/>
  <c r="H83" i="10"/>
  <c r="AF39" i="10"/>
  <c r="AF47" i="10"/>
  <c r="C8" i="10"/>
  <c r="AF36" i="10"/>
  <c r="AF44" i="10"/>
  <c r="AC36" i="10"/>
  <c r="AC40" i="10"/>
  <c r="E56" i="10"/>
  <c r="B58" i="10"/>
  <c r="H33" i="10"/>
  <c r="AC42" i="10"/>
  <c r="AC33" i="10"/>
  <c r="AC37" i="10"/>
  <c r="H31" i="10"/>
  <c r="B24" i="10"/>
  <c r="AC44" i="10"/>
  <c r="B23" i="10"/>
  <c r="AC32" i="10"/>
  <c r="AC48" i="10"/>
  <c r="AE29" i="10"/>
  <c r="AE31" i="10"/>
  <c r="AC46" i="10"/>
  <c r="E33" i="10"/>
  <c r="AC41" i="10"/>
  <c r="AC49" i="10"/>
  <c r="AC47" i="10"/>
  <c r="B33" i="10"/>
  <c r="AC31" i="10" s="1"/>
  <c r="AC39" i="10"/>
  <c r="B12" i="10"/>
  <c r="D8" i="10"/>
  <c r="B15" i="10"/>
  <c r="B16" i="10"/>
  <c r="AC50" i="10"/>
  <c r="B20" i="10"/>
  <c r="I6" i="10"/>
  <c r="H8" i="10"/>
  <c r="B11" i="10"/>
  <c r="B19" i="10"/>
  <c r="AC38" i="10"/>
  <c r="G6" i="10"/>
  <c r="E8" i="10"/>
  <c r="B9" i="10"/>
  <c r="B10" i="10"/>
  <c r="B13" i="10"/>
  <c r="B22" i="10"/>
  <c r="B25" i="10"/>
  <c r="B26" i="10"/>
  <c r="B28" i="10"/>
  <c r="E6" i="10"/>
  <c r="B14" i="10"/>
  <c r="B17" i="10"/>
  <c r="B18" i="10"/>
  <c r="B21" i="10"/>
  <c r="AI31" i="10"/>
  <c r="E31" i="10"/>
  <c r="I81" i="10"/>
  <c r="AF33" i="10"/>
  <c r="B81" i="10"/>
  <c r="F81" i="10"/>
  <c r="G106" i="10"/>
  <c r="AG31" i="10"/>
  <c r="H81" i="10" l="1"/>
  <c r="AF31" i="10"/>
  <c r="B8" i="10"/>
  <c r="AD29" i="10"/>
  <c r="H6" i="10"/>
  <c r="E106" i="10"/>
  <c r="AI29" i="10" s="1"/>
  <c r="AK29" i="10"/>
  <c r="C6" i="10"/>
  <c r="E81" i="10"/>
  <c r="AF29" i="10" s="1"/>
  <c r="D6" i="10"/>
  <c r="AG29" i="10"/>
  <c r="B6" i="10" l="1"/>
</calcChain>
</file>

<file path=xl/sharedStrings.xml><?xml version="1.0" encoding="utf-8"?>
<sst xmlns="http://schemas.openxmlformats.org/spreadsheetml/2006/main" count="244" uniqueCount="66">
  <si>
    <t xml:space="preserve">  Locality</t>
  </si>
  <si>
    <t>Total</t>
  </si>
  <si>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</si>
  <si>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</si>
  <si>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</si>
  <si>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</si>
  <si>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</si>
  <si>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</si>
  <si>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</si>
  <si>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</si>
  <si>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</si>
  <si>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</si>
  <si>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</si>
  <si>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</si>
  <si>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</si>
  <si>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</si>
  <si>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</si>
  <si>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</si>
  <si>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</si>
  <si>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</si>
  <si>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</si>
  <si>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</si>
  <si>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</si>
  <si>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</si>
  <si>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</si>
  <si>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</si>
  <si>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</si>
  <si>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Male</t>
  </si>
  <si>
    <t>Female</t>
  </si>
  <si>
    <t xml:space="preserve">Both Sexes </t>
  </si>
  <si>
    <t>Adh</t>
  </si>
  <si>
    <t>Pre-primary</t>
  </si>
  <si>
    <t>Grade 1</t>
  </si>
  <si>
    <t>primary</t>
  </si>
  <si>
    <t>lower secondary</t>
  </si>
  <si>
    <t>higher secondary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</si>
  <si>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</si>
  <si>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</si>
  <si>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</si>
  <si>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</si>
  <si>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</si>
  <si>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</si>
  <si>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</si>
  <si>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</si>
  <si>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</si>
  <si>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</si>
  <si>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</si>
  <si>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 xml:space="preserve">Special Classes </t>
  </si>
  <si>
    <t>Nurs.</t>
  </si>
  <si>
    <t>LKG</t>
  </si>
  <si>
    <t>UKG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</si>
  <si>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</si>
  <si>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</si>
  <si>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</si>
  <si>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</si>
  <si>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</si>
  <si>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</si>
  <si>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</si>
  <si>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</si>
  <si>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</si>
  <si>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</si>
  <si>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</si>
  <si>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</si>
  <si>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Special</t>
  </si>
  <si>
    <t>Table 7.10 : STUDENT ENROLMENT IN MALE' AND ATOLLS, BY GRADE AND SEX, 2019</t>
  </si>
  <si>
    <t>ތާވަލް 7.10: މާލޭއާއި އަތޮޅުތަކުގެ މަދަރުސާތަކުގެ އެކި ފަންތީގައި ކިޔަވާކުދިންގެ އަދަދު، ގްރޭޑް އަދި ޖިންސް ވަކިން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</si>
</sst>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Faruma"/>
    </font>
    <font>
      <sz val="10"/>
      <name val="MS Sans Serif"/>
      <family val="2"/>
    </font>
    <font>
      <b/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7" fontId="5" fillId="0" borderId="0"/>
    <xf numFmtId="0" fontId="3" fillId="0" borderId="0"/>
    <xf numFmtId="0" fontId="3" fillId="0" borderId="0"/>
    <xf numFmtId="164" fontId="5" fillId="0" borderId="0"/>
    <xf numFmtId="165" fontId="5" fillId="0" borderId="0"/>
    <xf numFmtId="164" fontId="5" fillId="0" borderId="0"/>
    <xf numFmtId="165" fontId="5" fillId="0" borderId="0"/>
    <xf numFmtId="40" fontId="12" fillId="0" borderId="0" applyFont="0" applyFill="0" applyBorder="0" applyAlignment="0" applyProtection="0"/>
    <xf numFmtId="165" fontId="5" fillId="0" borderId="0"/>
    <xf numFmtId="164" fontId="5" fillId="0" borderId="0"/>
    <xf numFmtId="164" fontId="5" fillId="0" borderId="0"/>
  </cellStyleXfs>
  <cellXfs count="51">
    <xf numFmtId="0" fontId="0" fillId="0" borderId="0" xfId="0"/>
    <xf numFmtId="164" fontId="8" fillId="2" borderId="1" xfId="0" applyNumberFormat="1" applyFont="1" applyFill="1" applyBorder="1" applyAlignment="1" applyProtection="1">
      <alignment horizontal="left" vertical="center"/>
    </xf>
    <xf numFmtId="164" fontId="0" fillId="2" borderId="0" xfId="0" applyNumberFormat="1" applyFill="1"/>
    <xf numFmtId="164" fontId="7" fillId="2" borderId="0" xfId="0" applyNumberFormat="1" applyFont="1" applyFill="1" applyAlignment="1" applyProtection="1">
      <alignment horizontal="left"/>
    </xf>
    <xf numFmtId="167" fontId="0" fillId="2" borderId="0" xfId="1" applyNumberFormat="1" applyFont="1" applyFill="1"/>
    <xf numFmtId="164" fontId="2" fillId="2" borderId="0" xfId="0" applyNumberFormat="1" applyFont="1" applyFill="1"/>
    <xf numFmtId="164" fontId="9" fillId="2" borderId="0" xfId="0" applyNumberFormat="1" applyFont="1" applyFill="1" applyAlignment="1" applyProtection="1">
      <alignment horizontal="left"/>
    </xf>
    <xf numFmtId="164" fontId="7" fillId="2" borderId="2" xfId="0" applyNumberFormat="1" applyFont="1" applyFill="1" applyBorder="1" applyAlignment="1" applyProtection="1">
      <alignment horizontal="left" vertical="center"/>
    </xf>
    <xf numFmtId="164" fontId="7" fillId="2" borderId="1" xfId="0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7" fillId="2" borderId="1" xfId="0" applyNumberFormat="1" applyFont="1" applyFill="1" applyBorder="1" applyAlignment="1" applyProtection="1">
      <alignment horizontal="right" vertical="top" wrapText="1"/>
    </xf>
    <xf numFmtId="164" fontId="7" fillId="2" borderId="6" xfId="0" applyNumberFormat="1" applyFont="1" applyFill="1" applyBorder="1" applyAlignment="1" applyProtection="1">
      <alignment horizontal="right" vertical="top" wrapText="1"/>
    </xf>
    <xf numFmtId="164" fontId="7" fillId="2" borderId="4" xfId="0" applyNumberFormat="1" applyFont="1" applyFill="1" applyBorder="1" applyAlignment="1" applyProtection="1">
      <alignment horizontal="right" vertical="top" wrapText="1"/>
    </xf>
    <xf numFmtId="37" fontId="7" fillId="2" borderId="0" xfId="1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horizontal="right"/>
    </xf>
    <xf numFmtId="37" fontId="7" fillId="2" borderId="5" xfId="1" applyNumberFormat="1" applyFont="1" applyFill="1" applyBorder="1" applyAlignment="1">
      <alignment horizontal="right" vertical="center"/>
    </xf>
    <xf numFmtId="37" fontId="7" fillId="2" borderId="3" xfId="1" applyNumberFormat="1" applyFont="1" applyFill="1" applyBorder="1" applyAlignment="1">
      <alignment horizontal="right"/>
    </xf>
    <xf numFmtId="37" fontId="7" fillId="2" borderId="0" xfId="1" applyNumberFormat="1" applyFont="1" applyFill="1" applyBorder="1" applyAlignment="1" applyProtection="1">
      <alignment vertical="center"/>
    </xf>
    <xf numFmtId="37" fontId="8" fillId="2" borderId="0" xfId="1" applyNumberFormat="1" applyFont="1" applyFill="1" applyBorder="1" applyAlignment="1" applyProtection="1">
      <alignment vertical="center"/>
    </xf>
    <xf numFmtId="37" fontId="8" fillId="2" borderId="3" xfId="1" applyNumberFormat="1" applyFont="1" applyFill="1" applyBorder="1" applyAlignment="1" applyProtection="1">
      <alignment vertical="center"/>
    </xf>
    <xf numFmtId="164" fontId="8" fillId="2" borderId="0" xfId="0" applyNumberFormat="1" applyFont="1" applyFill="1" applyAlignment="1" applyProtection="1">
      <alignment horizontal="left" vertical="center"/>
    </xf>
    <xf numFmtId="37" fontId="7" fillId="2" borderId="0" xfId="1" applyNumberFormat="1" applyFont="1" applyFill="1" applyBorder="1" applyAlignment="1">
      <alignment horizontal="right" vertical="center"/>
    </xf>
    <xf numFmtId="37" fontId="7" fillId="2" borderId="0" xfId="1" applyNumberFormat="1" applyFont="1" applyFill="1" applyBorder="1" applyAlignment="1" applyProtection="1">
      <alignment horizontal="right" vertical="center"/>
    </xf>
    <xf numFmtId="37" fontId="7" fillId="2" borderId="3" xfId="1" applyNumberFormat="1" applyFont="1" applyFill="1" applyBorder="1" applyAlignment="1" applyProtection="1">
      <alignment horizontal="right" vertical="center"/>
    </xf>
    <xf numFmtId="37" fontId="7" fillId="2" borderId="1" xfId="1" applyNumberFormat="1" applyFont="1" applyFill="1" applyBorder="1" applyAlignment="1">
      <alignment horizontal="right" vertical="center"/>
    </xf>
    <xf numFmtId="37" fontId="7" fillId="2" borderId="1" xfId="1" applyNumberFormat="1" applyFont="1" applyFill="1" applyBorder="1" applyAlignment="1" applyProtection="1">
      <alignment horizontal="right" vertical="center"/>
    </xf>
    <xf numFmtId="37" fontId="7" fillId="2" borderId="4" xfId="1" applyNumberFormat="1" applyFont="1" applyFill="1" applyBorder="1" applyAlignment="1" applyProtection="1">
      <alignment horizontal="right" vertical="center"/>
    </xf>
    <xf numFmtId="37" fontId="7" fillId="2" borderId="6" xfId="1" applyNumberFormat="1" applyFont="1" applyFill="1" applyBorder="1" applyAlignment="1">
      <alignment horizontal="right" vertical="center"/>
    </xf>
    <xf numFmtId="37" fontId="8" fillId="2" borderId="1" xfId="1" applyNumberFormat="1" applyFont="1" applyFill="1" applyBorder="1" applyAlignment="1" applyProtection="1">
      <alignment vertical="center"/>
    </xf>
    <xf numFmtId="37" fontId="8" fillId="2" borderId="4" xfId="1" applyNumberFormat="1" applyFont="1" applyFill="1" applyBorder="1" applyAlignment="1" applyProtection="1">
      <alignment vertical="center"/>
    </xf>
    <xf numFmtId="164" fontId="7" fillId="2" borderId="7" xfId="0" applyNumberFormat="1" applyFont="1" applyFill="1" applyBorder="1" applyAlignment="1" applyProtection="1">
      <alignment horizontal="right" wrapText="1"/>
    </xf>
    <xf numFmtId="164" fontId="7" fillId="2" borderId="6" xfId="0" applyNumberFormat="1" applyFont="1" applyFill="1" applyBorder="1" applyAlignment="1" applyProtection="1">
      <alignment horizontal="right" wrapText="1"/>
    </xf>
    <xf numFmtId="164" fontId="7" fillId="2" borderId="1" xfId="0" applyNumberFormat="1" applyFont="1" applyFill="1" applyBorder="1" applyAlignment="1" applyProtection="1">
      <alignment horizontal="right" wrapText="1"/>
    </xf>
    <xf numFmtId="164" fontId="7" fillId="2" borderId="4" xfId="0" applyNumberFormat="1" applyFont="1" applyFill="1" applyBorder="1" applyAlignment="1" applyProtection="1">
      <alignment horizontal="right" wrapText="1"/>
    </xf>
    <xf numFmtId="164" fontId="7" fillId="2" borderId="7" xfId="0" applyNumberFormat="1" applyFont="1" applyFill="1" applyBorder="1" applyAlignment="1" applyProtection="1">
      <alignment horizontal="right" vertical="top" wrapText="1"/>
    </xf>
    <xf numFmtId="37" fontId="7" fillId="2" borderId="2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0" fillId="2" borderId="0" xfId="0" applyNumberFormat="1" applyFill="1" applyAlignment="1">
      <alignment horizontal="center"/>
    </xf>
    <xf numFmtId="164" fontId="13" fillId="2" borderId="0" xfId="0" applyNumberFormat="1" applyFont="1" applyFill="1" applyBorder="1" applyAlignment="1">
      <alignment horizontal="right" vertical="center"/>
    </xf>
    <xf numFmtId="3" fontId="7" fillId="2" borderId="7" xfId="0" applyNumberFormat="1" applyFont="1" applyFill="1" applyBorder="1" applyAlignment="1" applyProtection="1">
      <alignment horizontal="center" vertical="center"/>
    </xf>
    <xf numFmtId="3" fontId="7" fillId="2" borderId="10" xfId="0" applyNumberFormat="1" applyFont="1" applyFill="1" applyBorder="1" applyAlignment="1" applyProtection="1">
      <alignment horizontal="center" vertical="center"/>
    </xf>
    <xf numFmtId="3" fontId="7" fillId="2" borderId="11" xfId="0" applyNumberFormat="1" applyFont="1" applyFill="1" applyBorder="1" applyAlignment="1" applyProtection="1">
      <alignment horizontal="center" vertical="center"/>
    </xf>
    <xf numFmtId="164" fontId="7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NumberFormat="1" applyFont="1" applyFill="1" applyBorder="1" applyAlignment="1" applyProtection="1">
      <alignment horizontal="center" vertical="center"/>
    </xf>
    <xf numFmtId="164" fontId="7" fillId="2" borderId="11" xfId="0" applyNumberFormat="1" applyFont="1" applyFill="1" applyBorder="1" applyAlignment="1" applyProtection="1">
      <alignment horizontal="center" vertical="center"/>
    </xf>
    <xf numFmtId="164" fontId="0" fillId="2" borderId="0" xfId="0" applyNumberFormat="1" applyFill="1" applyAlignment="1">
      <alignment horizontal="center"/>
    </xf>
    <xf numFmtId="164" fontId="11" fillId="2" borderId="8" xfId="3" applyNumberFormat="1" applyFont="1" applyFill="1" applyBorder="1" applyAlignment="1">
      <alignment horizontal="center" vertical="center"/>
    </xf>
    <xf numFmtId="164" fontId="4" fillId="2" borderId="9" xfId="0" applyNumberFormat="1" applyFont="1" applyFill="1" applyBorder="1" applyAlignment="1" applyProtection="1">
      <alignment horizontal="center" vertical="center"/>
    </xf>
    <xf numFmtId="164" fontId="7" fillId="2" borderId="2" xfId="0" applyNumberFormat="1" applyFont="1" applyFill="1" applyBorder="1" applyAlignment="1" applyProtection="1">
      <alignment horizontal="left" vertical="center"/>
    </xf>
    <xf numFmtId="164" fontId="7" fillId="2" borderId="1" xfId="0" applyNumberFormat="1" applyFont="1" applyFill="1" applyBorder="1" applyAlignment="1" applyProtection="1">
      <alignment horizontal="left" vertical="center"/>
    </xf>
  </cellXfs>
  <cellStyles count="14">
    <cellStyle name="Comma" xfId="1" builtinId="3"/>
    <cellStyle name="Comma 2" xfId="10"/>
    <cellStyle name="Normal" xfId="0" builtinId="0"/>
    <cellStyle name="Normal 10" xfId="5"/>
    <cellStyle name="Normal 2 2 2" xfId="2"/>
    <cellStyle name="Normal 2 26" xfId="13"/>
    <cellStyle name="Normal 37" xfId="4"/>
    <cellStyle name="Normal 6" xfId="9"/>
    <cellStyle name="Normal 6 4" xfId="8"/>
    <cellStyle name="Normal 7" xfId="7"/>
    <cellStyle name="Normal 7 4" xfId="6"/>
    <cellStyle name="Normal 8" xfId="3"/>
    <cellStyle name="Normal 8 2" xfId="11"/>
    <cellStyle name="Normal 8 2 3" xfId="12"/>
  </cellStyles>
  <dxfs count="0"/>
  <tableStyles count="0" defaultTableStyle="TableStyleMedium2" defaultPivotStyle="PivotStyleLight16"/>
  <colors>
    <mruColors>
      <color rgb="FFDFBE9D"/>
      <color rgb="FFC48648"/>
      <color rgb="FFE8D1BA"/>
      <color rgb="FF996633"/>
      <color rgb="FF964B00"/>
      <color rgb="FFFFF2E5"/>
      <color rgb="FFCC6600"/>
      <color rgb="FF976431"/>
      <color rgb="FFFFEF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251616716925745E-2"/>
          <c:y val="0.14571288440324517"/>
          <c:w val="0.91141138925881693"/>
          <c:h val="0.625118554072097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48648"/>
            </a:solidFill>
          </c:spPr>
          <c:invertIfNegative val="0"/>
          <c:cat>
            <c:multiLvlStrRef>
              <c:f>'7.10'!$AC$123:$BH$124</c:f>
              <c:multiLvlStrCache>
                <c:ptCount val="32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  <c:pt idx="7">
                    <c:v>F</c:v>
                  </c:pt>
                  <c:pt idx="8">
                    <c:v>M</c:v>
                  </c:pt>
                  <c:pt idx="9">
                    <c:v>F</c:v>
                  </c:pt>
                  <c:pt idx="10">
                    <c:v>M</c:v>
                  </c:pt>
                  <c:pt idx="11">
                    <c:v>F</c:v>
                  </c:pt>
                  <c:pt idx="12">
                    <c:v>M</c:v>
                  </c:pt>
                  <c:pt idx="13">
                    <c:v>F</c:v>
                  </c:pt>
                  <c:pt idx="14">
                    <c:v>M</c:v>
                  </c:pt>
                  <c:pt idx="15">
                    <c:v>F</c:v>
                  </c:pt>
                  <c:pt idx="16">
                    <c:v>M</c:v>
                  </c:pt>
                  <c:pt idx="17">
                    <c:v>F</c:v>
                  </c:pt>
                  <c:pt idx="18">
                    <c:v>M</c:v>
                  </c:pt>
                  <c:pt idx="19">
                    <c:v>F</c:v>
                  </c:pt>
                  <c:pt idx="20">
                    <c:v>M</c:v>
                  </c:pt>
                  <c:pt idx="21">
                    <c:v>F</c:v>
                  </c:pt>
                  <c:pt idx="22">
                    <c:v>M</c:v>
                  </c:pt>
                  <c:pt idx="23">
                    <c:v>F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F</c:v>
                  </c:pt>
                  <c:pt idx="28">
                    <c:v>M</c:v>
                  </c:pt>
                  <c:pt idx="29">
                    <c:v>F</c:v>
                  </c:pt>
                  <c:pt idx="30">
                    <c:v>M</c:v>
                  </c:pt>
                  <c:pt idx="31">
                    <c:v>F</c:v>
                  </c:pt>
                </c:lvl>
                <c:lvl>
                  <c:pt idx="0">
                    <c:v>Nurs.</c:v>
                  </c:pt>
                  <c:pt idx="2">
                    <c:v>LKG</c:v>
                  </c:pt>
                  <c:pt idx="4">
                    <c:v>UKG</c:v>
                  </c:pt>
                  <c:pt idx="6">
                    <c:v>Gr. 1</c:v>
                  </c:pt>
                  <c:pt idx="8">
                    <c:v>Gr. 2</c:v>
                  </c:pt>
                  <c:pt idx="10">
                    <c:v>Gr. 3</c:v>
                  </c:pt>
                  <c:pt idx="12">
                    <c:v>Gr. 4</c:v>
                  </c:pt>
                  <c:pt idx="14">
                    <c:v>Gr. 5</c:v>
                  </c:pt>
                  <c:pt idx="16">
                    <c:v>Gr. 6</c:v>
                  </c:pt>
                  <c:pt idx="18">
                    <c:v>Gr. 7</c:v>
                  </c:pt>
                  <c:pt idx="20">
                    <c:v>Gr. 8</c:v>
                  </c:pt>
                  <c:pt idx="22">
                    <c:v>Gr. 9</c:v>
                  </c:pt>
                  <c:pt idx="24">
                    <c:v>Gr. 10</c:v>
                  </c:pt>
                  <c:pt idx="26">
                    <c:v>Gr. 11</c:v>
                  </c:pt>
                  <c:pt idx="28">
                    <c:v>Gr. 12</c:v>
                  </c:pt>
                  <c:pt idx="30">
                    <c:v>Special</c:v>
                  </c:pt>
                </c:lvl>
              </c:multiLvlStrCache>
            </c:multiLvlStrRef>
          </c:cat>
          <c:val>
            <c:numRef>
              <c:f>'7.10'!$AC$125:$BH$125</c:f>
              <c:numCache>
                <c:formatCode>General_)</c:formatCode>
                <c:ptCount val="32"/>
                <c:pt idx="0">
                  <c:v>2653</c:v>
                </c:pt>
                <c:pt idx="1">
                  <c:v>2660</c:v>
                </c:pt>
                <c:pt idx="2">
                  <c:v>3579</c:v>
                </c:pt>
                <c:pt idx="3">
                  <c:v>3411</c:v>
                </c:pt>
                <c:pt idx="4">
                  <c:v>3782</c:v>
                </c:pt>
                <c:pt idx="5">
                  <c:v>3511</c:v>
                </c:pt>
                <c:pt idx="6">
                  <c:v>4042</c:v>
                </c:pt>
                <c:pt idx="7">
                  <c:v>3648</c:v>
                </c:pt>
                <c:pt idx="8">
                  <c:v>3919</c:v>
                </c:pt>
                <c:pt idx="9">
                  <c:v>3541</c:v>
                </c:pt>
                <c:pt idx="10">
                  <c:v>3739</c:v>
                </c:pt>
                <c:pt idx="11">
                  <c:v>3430</c:v>
                </c:pt>
                <c:pt idx="12">
                  <c:v>3711</c:v>
                </c:pt>
                <c:pt idx="13">
                  <c:v>3593</c:v>
                </c:pt>
                <c:pt idx="14">
                  <c:v>3678</c:v>
                </c:pt>
                <c:pt idx="15">
                  <c:v>3491</c:v>
                </c:pt>
                <c:pt idx="16">
                  <c:v>3459</c:v>
                </c:pt>
                <c:pt idx="17">
                  <c:v>3235</c:v>
                </c:pt>
                <c:pt idx="18">
                  <c:v>2987</c:v>
                </c:pt>
                <c:pt idx="19">
                  <c:v>2900</c:v>
                </c:pt>
                <c:pt idx="20">
                  <c:v>2771</c:v>
                </c:pt>
                <c:pt idx="21">
                  <c:v>2713</c:v>
                </c:pt>
                <c:pt idx="22">
                  <c:v>2748</c:v>
                </c:pt>
                <c:pt idx="23">
                  <c:v>2523</c:v>
                </c:pt>
                <c:pt idx="24">
                  <c:v>2828</c:v>
                </c:pt>
                <c:pt idx="25">
                  <c:v>2584</c:v>
                </c:pt>
                <c:pt idx="26">
                  <c:v>836</c:v>
                </c:pt>
                <c:pt idx="27">
                  <c:v>1002</c:v>
                </c:pt>
                <c:pt idx="28">
                  <c:v>867</c:v>
                </c:pt>
                <c:pt idx="29">
                  <c:v>1071</c:v>
                </c:pt>
                <c:pt idx="30">
                  <c:v>280</c:v>
                </c:pt>
                <c:pt idx="31">
                  <c:v>240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C778-4C9E-8DD1-CDF18F592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8"/>
        <c:axId val="126807264"/>
        <c:axId val="126806088"/>
      </c:barChart>
      <c:catAx>
        <c:axId val="12680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6088"/>
        <c:crosses val="autoZero"/>
        <c:auto val="1"/>
        <c:lblAlgn val="ctr"/>
        <c:lblOffset val="100"/>
        <c:noMultiLvlLbl val="0"/>
      </c:catAx>
      <c:valAx>
        <c:axId val="12680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D1BA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7264"/>
        <c:crosses val="autoZero"/>
        <c:crossBetween val="between"/>
      </c:valAx>
      <c:spPr>
        <a:solidFill>
          <a:sysClr val="window" lastClr="FFFFFF"/>
        </a:solidFill>
        <a:ln>
          <a:solidFill>
            <a:srgbClr val="DFBE9D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135356</xdr:colOff>
      <xdr:row>129</xdr:row>
      <xdr:rowOff>160419</xdr:rowOff>
    </xdr:from>
    <xdr:to>
      <xdr:col>9</xdr:col>
      <xdr:colOff>361950</xdr:colOff>
      <xdr:row>145</xdr:row>
      <xdr:rowOff>180974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385009</xdr:colOff>
      <xdr:row>130</xdr:row>
      <xdr:rowOff>52639</xdr:rowOff>
    </xdr:from>
    <xdr:to>
      <xdr:col>8</xdr:col>
      <xdr:colOff>385010</xdr:colOff>
      <xdr:row>131</xdr:row>
      <xdr:rowOff>122822</xdr:rowOff>
    </xdr:to>
    <xdr:sp macro="" textlink="">
      <xdr:nvSpPr>
        <xdr:cNvPr id="3" name="TextBox 2"/>
        <xdr:cNvSpPr txBox="1"/>
      </xdr:nvSpPr>
      <xdr:spPr>
        <a:xfrm>
          <a:off x="1223209" y="24903364"/>
          <a:ext cx="5086351" cy="26068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Figure 7.9: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Number of </a:t>
          </a:r>
          <a:r>
            <a:rPr lang="en-US" sz="1100" b="1">
              <a:latin typeface="Consolas" pitchFamily="49" charset="0"/>
              <a:cs typeface="Consolas" pitchFamily="49" charset="0"/>
            </a:rPr>
            <a:t>Students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enrolement by grade and sex,2019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0.44453</cdr:x>
      <cdr:y>0.91309</cdr:y>
    </cdr:from>
    <cdr:to>
      <cdr:x>0.53042</cdr:x>
      <cdr:y>0.99163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56150" y="2801856"/>
          <a:ext cx="590489" cy="2410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Grade</a:t>
          </a:r>
          <a:endParaRPr lang="en-US" sz="7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H129"/>
  <sheetViews>
    <sheetView tabSelected="1" zoomScaleNormal="100" workbookViewId="0">
      <selection activeCell="R127" sqref="R127"/>
    </sheetView>
  </sheetViews>
  <sheetFormatPr defaultColWidth="9.140625" defaultRowHeight="15" x14ac:dyDescent="0.25"/>
  <cols>
    <col min="1" max="1" width="12.5703125" style="2" customWidth="1"/>
    <col min="2" max="4" width="10.85546875" style="2" customWidth="1"/>
    <col min="5" max="5" width="11.140625" style="2" customWidth="1"/>
    <col min="6" max="10" width="10.85546875" style="2" customWidth="1"/>
    <col min="11" max="20" width="10.5703125" style="2" customWidth="1"/>
    <col min="21" max="23" width="10.5703125" style="2" bestFit="1" customWidth="1"/>
    <col min="24" max="28" width="9.5703125" style="2" bestFit="1" customWidth="1"/>
    <col min="29" max="16384" width="9.140625" style="2"/>
  </cols>
  <sheetData>
    <row r="1" spans="1:20" x14ac:dyDescent="0.25"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21.75" x14ac:dyDescent="0.25">
      <c r="A2" s="47" t="s">
        <v>65</v>
      </c>
      <c r="B2" s="47"/>
      <c r="C2" s="47"/>
      <c r="D2" s="47"/>
      <c r="E2" s="47"/>
      <c r="F2" s="47"/>
      <c r="G2" s="47"/>
      <c r="H2" s="47"/>
      <c r="I2" s="47"/>
      <c r="J2" s="47"/>
    </row>
    <row r="3" spans="1:20" x14ac:dyDescent="0.25">
      <c r="A3" s="48" t="s">
        <v>64</v>
      </c>
      <c r="B3" s="48"/>
      <c r="C3" s="48"/>
      <c r="D3" s="48"/>
      <c r="E3" s="48"/>
      <c r="F3" s="48"/>
      <c r="G3" s="48"/>
      <c r="H3" s="48"/>
      <c r="I3" s="48"/>
      <c r="J3" s="48"/>
    </row>
    <row r="4" spans="1:20" s="10" customFormat="1" x14ac:dyDescent="0.25">
      <c r="A4" s="49" t="s">
        <v>0</v>
      </c>
      <c r="B4" s="43" t="s">
        <v>1</v>
      </c>
      <c r="C4" s="43"/>
      <c r="D4" s="43"/>
      <c r="E4" s="44" t="s">
        <v>31</v>
      </c>
      <c r="F4" s="43"/>
      <c r="G4" s="45"/>
      <c r="H4" s="43" t="s">
        <v>32</v>
      </c>
      <c r="I4" s="43"/>
      <c r="J4" s="43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0" x14ac:dyDescent="0.25">
      <c r="A5" s="50"/>
      <c r="B5" s="11" t="s">
        <v>29</v>
      </c>
      <c r="C5" s="11" t="s">
        <v>27</v>
      </c>
      <c r="D5" s="11" t="s">
        <v>28</v>
      </c>
      <c r="E5" s="12" t="s">
        <v>29</v>
      </c>
      <c r="F5" s="11" t="s">
        <v>27</v>
      </c>
      <c r="G5" s="13" t="s">
        <v>28</v>
      </c>
      <c r="H5" s="11" t="s">
        <v>29</v>
      </c>
      <c r="I5" s="11" t="s">
        <v>27</v>
      </c>
      <c r="J5" s="11" t="s">
        <v>28</v>
      </c>
    </row>
    <row r="6" spans="1:20" x14ac:dyDescent="0.25">
      <c r="A6" s="3" t="s">
        <v>2</v>
      </c>
      <c r="B6" s="14">
        <f>SUM(C6:D6)</f>
        <v>89432</v>
      </c>
      <c r="C6" s="15">
        <f>F6+I6+C31+F31+I31+C56+F56+I56+C81+F81+I81+C106+F106+I106</f>
        <v>45879</v>
      </c>
      <c r="D6" s="15">
        <f t="shared" ref="D6:D28" si="0">G6+J6+D31+G31+J31+D56+G56+J56+D81+G81+J81+D106+G106+J106</f>
        <v>43553</v>
      </c>
      <c r="E6" s="16">
        <f>F6+G6</f>
        <v>19596</v>
      </c>
      <c r="F6" s="15">
        <f>F7+F8</f>
        <v>10014</v>
      </c>
      <c r="G6" s="17">
        <f>G7+G8</f>
        <v>9582</v>
      </c>
      <c r="H6" s="16">
        <f>I6+J6</f>
        <v>7690</v>
      </c>
      <c r="I6" s="15">
        <f>I7+I8</f>
        <v>4042</v>
      </c>
      <c r="J6" s="15">
        <f>J7+J8</f>
        <v>3648</v>
      </c>
    </row>
    <row r="7" spans="1:20" x14ac:dyDescent="0.25">
      <c r="A7" s="3" t="s">
        <v>3</v>
      </c>
      <c r="B7" s="18">
        <f>SUM(C7:D7)</f>
        <v>33376</v>
      </c>
      <c r="C7" s="19">
        <f>F7+I7+C32+F32+I32+C57+F57+I57+C82+F82+I82+C107+F107+I107</f>
        <v>16991</v>
      </c>
      <c r="D7" s="19">
        <f>G7+J7+D32+G32+J32+D57+G57+J57+D82+G82+J82+D107+G107+J107</f>
        <v>16385</v>
      </c>
      <c r="E7" s="16">
        <f>F7+G7</f>
        <v>7353</v>
      </c>
      <c r="F7" s="19">
        <v>3768</v>
      </c>
      <c r="G7" s="20">
        <v>3585</v>
      </c>
      <c r="H7" s="16">
        <f>I7+J7</f>
        <v>2941</v>
      </c>
      <c r="I7" s="19">
        <v>1534</v>
      </c>
      <c r="J7" s="19">
        <v>1407</v>
      </c>
    </row>
    <row r="8" spans="1:20" x14ac:dyDescent="0.25">
      <c r="A8" s="3" t="s">
        <v>4</v>
      </c>
      <c r="B8" s="18">
        <f>SUM(C8:D8)</f>
        <v>56056</v>
      </c>
      <c r="C8" s="15">
        <f>F8+I8+C33+F33+I33+C58+F58+I58+C83+F83+I83+C108+F108+I108</f>
        <v>28888</v>
      </c>
      <c r="D8" s="15">
        <f t="shared" si="0"/>
        <v>27168</v>
      </c>
      <c r="E8" s="16">
        <f>F8+G8</f>
        <v>12243</v>
      </c>
      <c r="F8" s="15">
        <f>SUM(F9:F28)</f>
        <v>6246</v>
      </c>
      <c r="G8" s="15">
        <f>SUM(G9:G28)</f>
        <v>5997</v>
      </c>
      <c r="H8" s="16">
        <f>I8+J8</f>
        <v>4749</v>
      </c>
      <c r="I8" s="15">
        <f>SUM(I9:I28)</f>
        <v>2508</v>
      </c>
      <c r="J8" s="15">
        <f>SUM(J9:J28)</f>
        <v>2241</v>
      </c>
    </row>
    <row r="9" spans="1:20" x14ac:dyDescent="0.25">
      <c r="A9" s="21" t="s">
        <v>5</v>
      </c>
      <c r="B9" s="22">
        <f t="shared" ref="B9:B28" si="1">SUM(C9:D9)</f>
        <v>3729</v>
      </c>
      <c r="C9" s="23">
        <f t="shared" ref="C9:C28" si="2">F9+I9+C34+F34+I34+C59+F59+I59+C84+F84+I84+C109+F109+I109</f>
        <v>1939</v>
      </c>
      <c r="D9" s="24">
        <f t="shared" si="0"/>
        <v>1790</v>
      </c>
      <c r="E9" s="16">
        <f t="shared" ref="E9:E28" si="3">F9+G9</f>
        <v>825</v>
      </c>
      <c r="F9" s="19">
        <v>425</v>
      </c>
      <c r="G9" s="20">
        <v>400</v>
      </c>
      <c r="H9" s="16">
        <f t="shared" ref="H9:H28" si="4">I9+J9</f>
        <v>311</v>
      </c>
      <c r="I9" s="19">
        <v>174</v>
      </c>
      <c r="J9" s="19">
        <v>137</v>
      </c>
    </row>
    <row r="10" spans="1:20" x14ac:dyDescent="0.25">
      <c r="A10" s="21" t="s">
        <v>6</v>
      </c>
      <c r="B10" s="22">
        <f t="shared" si="1"/>
        <v>5819</v>
      </c>
      <c r="C10" s="23">
        <f t="shared" si="2"/>
        <v>3016</v>
      </c>
      <c r="D10" s="24">
        <f t="shared" si="0"/>
        <v>2803</v>
      </c>
      <c r="E10" s="16">
        <f t="shared" si="3"/>
        <v>1403</v>
      </c>
      <c r="F10" s="19">
        <v>718</v>
      </c>
      <c r="G10" s="20">
        <v>685</v>
      </c>
      <c r="H10" s="16">
        <f t="shared" si="4"/>
        <v>517</v>
      </c>
      <c r="I10" s="19">
        <v>283</v>
      </c>
      <c r="J10" s="19">
        <v>234</v>
      </c>
    </row>
    <row r="11" spans="1:20" x14ac:dyDescent="0.25">
      <c r="A11" s="21" t="s">
        <v>7</v>
      </c>
      <c r="B11" s="22">
        <f t="shared" si="1"/>
        <v>3568</v>
      </c>
      <c r="C11" s="23">
        <f t="shared" si="2"/>
        <v>1841</v>
      </c>
      <c r="D11" s="24">
        <f t="shared" si="0"/>
        <v>1727</v>
      </c>
      <c r="E11" s="16">
        <f t="shared" si="3"/>
        <v>646</v>
      </c>
      <c r="F11" s="19">
        <v>343</v>
      </c>
      <c r="G11" s="20">
        <v>303</v>
      </c>
      <c r="H11" s="16">
        <f t="shared" si="4"/>
        <v>286</v>
      </c>
      <c r="I11" s="19">
        <v>160</v>
      </c>
      <c r="J11" s="19">
        <v>126</v>
      </c>
    </row>
    <row r="12" spans="1:20" x14ac:dyDescent="0.25">
      <c r="A12" s="21" t="s">
        <v>9</v>
      </c>
      <c r="B12" s="22">
        <f t="shared" si="1"/>
        <v>3097</v>
      </c>
      <c r="C12" s="23">
        <f t="shared" si="2"/>
        <v>1582</v>
      </c>
      <c r="D12" s="24">
        <f t="shared" si="0"/>
        <v>1515</v>
      </c>
      <c r="E12" s="16">
        <f t="shared" si="3"/>
        <v>691</v>
      </c>
      <c r="F12" s="19">
        <v>355</v>
      </c>
      <c r="G12" s="20">
        <v>336</v>
      </c>
      <c r="H12" s="16">
        <f t="shared" si="4"/>
        <v>254</v>
      </c>
      <c r="I12" s="19">
        <v>129</v>
      </c>
      <c r="J12" s="19">
        <v>125</v>
      </c>
    </row>
    <row r="13" spans="1:20" x14ac:dyDescent="0.25">
      <c r="A13" s="21" t="s">
        <v>10</v>
      </c>
      <c r="B13" s="22">
        <f t="shared" si="1"/>
        <v>4485</v>
      </c>
      <c r="C13" s="23">
        <f t="shared" si="2"/>
        <v>2325</v>
      </c>
      <c r="D13" s="24">
        <f t="shared" si="0"/>
        <v>2160</v>
      </c>
      <c r="E13" s="16">
        <f t="shared" si="3"/>
        <v>969</v>
      </c>
      <c r="F13" s="19">
        <v>490</v>
      </c>
      <c r="G13" s="20">
        <v>479</v>
      </c>
      <c r="H13" s="16">
        <f t="shared" si="4"/>
        <v>385</v>
      </c>
      <c r="I13" s="19">
        <v>197</v>
      </c>
      <c r="J13" s="19">
        <v>188</v>
      </c>
    </row>
    <row r="14" spans="1:20" x14ac:dyDescent="0.25">
      <c r="A14" s="21" t="s">
        <v>11</v>
      </c>
      <c r="B14" s="22">
        <f t="shared" si="1"/>
        <v>2516</v>
      </c>
      <c r="C14" s="23">
        <f t="shared" si="2"/>
        <v>1282</v>
      </c>
      <c r="D14" s="24">
        <f t="shared" si="0"/>
        <v>1234</v>
      </c>
      <c r="E14" s="16">
        <f t="shared" si="3"/>
        <v>552</v>
      </c>
      <c r="F14" s="19">
        <v>266</v>
      </c>
      <c r="G14" s="20">
        <v>286</v>
      </c>
      <c r="H14" s="16">
        <f t="shared" si="4"/>
        <v>202</v>
      </c>
      <c r="I14" s="19">
        <v>104</v>
      </c>
      <c r="J14" s="19">
        <v>98</v>
      </c>
    </row>
    <row r="15" spans="1:20" x14ac:dyDescent="0.25">
      <c r="A15" s="21" t="s">
        <v>12</v>
      </c>
      <c r="B15" s="22">
        <f t="shared" si="1"/>
        <v>2252</v>
      </c>
      <c r="C15" s="23">
        <f t="shared" si="2"/>
        <v>1114</v>
      </c>
      <c r="D15" s="24">
        <f t="shared" si="0"/>
        <v>1138</v>
      </c>
      <c r="E15" s="16">
        <f t="shared" si="3"/>
        <v>550</v>
      </c>
      <c r="F15" s="19">
        <v>267</v>
      </c>
      <c r="G15" s="20">
        <v>283</v>
      </c>
      <c r="H15" s="16">
        <f t="shared" si="4"/>
        <v>204</v>
      </c>
      <c r="I15" s="19">
        <v>109</v>
      </c>
      <c r="J15" s="19">
        <v>95</v>
      </c>
    </row>
    <row r="16" spans="1:20" x14ac:dyDescent="0.25">
      <c r="A16" s="21" t="s">
        <v>14</v>
      </c>
      <c r="B16" s="22">
        <f t="shared" si="1"/>
        <v>2822</v>
      </c>
      <c r="C16" s="23">
        <f t="shared" si="2"/>
        <v>1500</v>
      </c>
      <c r="D16" s="24">
        <f t="shared" si="0"/>
        <v>1322</v>
      </c>
      <c r="E16" s="16">
        <f t="shared" si="3"/>
        <v>631</v>
      </c>
      <c r="F16" s="19">
        <v>335</v>
      </c>
      <c r="G16" s="20">
        <v>296</v>
      </c>
      <c r="H16" s="16">
        <f t="shared" si="4"/>
        <v>279</v>
      </c>
      <c r="I16" s="19">
        <v>137</v>
      </c>
      <c r="J16" s="19">
        <v>142</v>
      </c>
    </row>
    <row r="17" spans="1:37" x14ac:dyDescent="0.25">
      <c r="A17" s="21" t="s">
        <v>15</v>
      </c>
      <c r="B17" s="22">
        <f t="shared" si="1"/>
        <v>1833</v>
      </c>
      <c r="C17" s="23">
        <f t="shared" si="2"/>
        <v>962</v>
      </c>
      <c r="D17" s="24">
        <f t="shared" si="0"/>
        <v>871</v>
      </c>
      <c r="E17" s="16">
        <f t="shared" si="3"/>
        <v>391</v>
      </c>
      <c r="F17" s="19">
        <v>209</v>
      </c>
      <c r="G17" s="20">
        <v>182</v>
      </c>
      <c r="H17" s="16">
        <f t="shared" si="4"/>
        <v>179</v>
      </c>
      <c r="I17" s="19">
        <v>99</v>
      </c>
      <c r="J17" s="19">
        <v>80</v>
      </c>
    </row>
    <row r="18" spans="1:37" x14ac:dyDescent="0.25">
      <c r="A18" s="21" t="s">
        <v>30</v>
      </c>
      <c r="B18" s="22">
        <f t="shared" si="1"/>
        <v>2351</v>
      </c>
      <c r="C18" s="23">
        <f t="shared" si="2"/>
        <v>1236</v>
      </c>
      <c r="D18" s="24">
        <f t="shared" si="0"/>
        <v>1115</v>
      </c>
      <c r="E18" s="16">
        <f t="shared" si="3"/>
        <v>591</v>
      </c>
      <c r="F18" s="19">
        <v>309</v>
      </c>
      <c r="G18" s="20">
        <v>282</v>
      </c>
      <c r="H18" s="16">
        <f t="shared" si="4"/>
        <v>220</v>
      </c>
      <c r="I18" s="19">
        <v>114</v>
      </c>
      <c r="J18" s="19">
        <v>106</v>
      </c>
    </row>
    <row r="19" spans="1:37" x14ac:dyDescent="0.25">
      <c r="A19" s="21" t="s">
        <v>17</v>
      </c>
      <c r="B19" s="22">
        <f t="shared" si="1"/>
        <v>347</v>
      </c>
      <c r="C19" s="23">
        <f t="shared" si="2"/>
        <v>188</v>
      </c>
      <c r="D19" s="24">
        <f t="shared" si="0"/>
        <v>159</v>
      </c>
      <c r="E19" s="16">
        <f t="shared" si="3"/>
        <v>70</v>
      </c>
      <c r="F19" s="19">
        <v>41</v>
      </c>
      <c r="G19" s="20">
        <v>29</v>
      </c>
      <c r="H19" s="16">
        <f t="shared" si="4"/>
        <v>30</v>
      </c>
      <c r="I19" s="19">
        <v>15</v>
      </c>
      <c r="J19" s="19">
        <v>15</v>
      </c>
    </row>
    <row r="20" spans="1:37" x14ac:dyDescent="0.25">
      <c r="A20" s="21" t="s">
        <v>18</v>
      </c>
      <c r="B20" s="22">
        <f t="shared" si="1"/>
        <v>1234</v>
      </c>
      <c r="C20" s="23">
        <f t="shared" si="2"/>
        <v>624</v>
      </c>
      <c r="D20" s="24">
        <f t="shared" si="0"/>
        <v>610</v>
      </c>
      <c r="E20" s="16">
        <f t="shared" si="3"/>
        <v>274</v>
      </c>
      <c r="F20" s="19">
        <v>130</v>
      </c>
      <c r="G20" s="20">
        <v>144</v>
      </c>
      <c r="H20" s="16">
        <f t="shared" si="4"/>
        <v>99</v>
      </c>
      <c r="I20" s="19">
        <v>49</v>
      </c>
      <c r="J20" s="19">
        <v>50</v>
      </c>
    </row>
    <row r="21" spans="1:37" x14ac:dyDescent="0.25">
      <c r="A21" s="21" t="s">
        <v>19</v>
      </c>
      <c r="B21" s="22">
        <f t="shared" si="1"/>
        <v>1391</v>
      </c>
      <c r="C21" s="23">
        <f t="shared" si="2"/>
        <v>717</v>
      </c>
      <c r="D21" s="24">
        <f t="shared" si="0"/>
        <v>674</v>
      </c>
      <c r="E21" s="16">
        <f t="shared" si="3"/>
        <v>318</v>
      </c>
      <c r="F21" s="19">
        <v>142</v>
      </c>
      <c r="G21" s="20">
        <v>176</v>
      </c>
      <c r="H21" s="16">
        <f t="shared" si="4"/>
        <v>119</v>
      </c>
      <c r="I21" s="19">
        <v>68</v>
      </c>
      <c r="J21" s="19">
        <v>51</v>
      </c>
    </row>
    <row r="22" spans="1:37" x14ac:dyDescent="0.25">
      <c r="A22" s="21" t="s">
        <v>20</v>
      </c>
      <c r="B22" s="22">
        <f t="shared" si="1"/>
        <v>1629</v>
      </c>
      <c r="C22" s="23">
        <f t="shared" si="2"/>
        <v>790</v>
      </c>
      <c r="D22" s="24">
        <f t="shared" si="0"/>
        <v>839</v>
      </c>
      <c r="E22" s="16">
        <f t="shared" si="3"/>
        <v>328</v>
      </c>
      <c r="F22" s="19">
        <v>156</v>
      </c>
      <c r="G22" s="20">
        <v>172</v>
      </c>
      <c r="H22" s="16">
        <f t="shared" si="4"/>
        <v>162</v>
      </c>
      <c r="I22" s="19">
        <v>83</v>
      </c>
      <c r="J22" s="19">
        <v>79</v>
      </c>
    </row>
    <row r="23" spans="1:37" x14ac:dyDescent="0.25">
      <c r="A23" s="21" t="s">
        <v>21</v>
      </c>
      <c r="B23" s="22">
        <f t="shared" si="1"/>
        <v>2627</v>
      </c>
      <c r="C23" s="23">
        <f t="shared" si="2"/>
        <v>1342</v>
      </c>
      <c r="D23" s="24">
        <f t="shared" si="0"/>
        <v>1285</v>
      </c>
      <c r="E23" s="16">
        <f t="shared" si="3"/>
        <v>588</v>
      </c>
      <c r="F23" s="19">
        <v>299</v>
      </c>
      <c r="G23" s="20">
        <v>289</v>
      </c>
      <c r="H23" s="16">
        <f t="shared" si="4"/>
        <v>218</v>
      </c>
      <c r="I23" s="19">
        <v>120</v>
      </c>
      <c r="J23" s="19">
        <v>98</v>
      </c>
    </row>
    <row r="24" spans="1:37" x14ac:dyDescent="0.25">
      <c r="A24" s="21" t="s">
        <v>13</v>
      </c>
      <c r="B24" s="22">
        <f t="shared" si="1"/>
        <v>3474</v>
      </c>
      <c r="C24" s="23">
        <f t="shared" si="2"/>
        <v>1830</v>
      </c>
      <c r="D24" s="24">
        <f t="shared" si="0"/>
        <v>1644</v>
      </c>
      <c r="E24" s="16">
        <f t="shared" si="3"/>
        <v>669</v>
      </c>
      <c r="F24" s="19">
        <v>347</v>
      </c>
      <c r="G24" s="20">
        <v>322</v>
      </c>
      <c r="H24" s="16">
        <f t="shared" si="4"/>
        <v>292</v>
      </c>
      <c r="I24" s="19">
        <v>151</v>
      </c>
      <c r="J24" s="19">
        <v>141</v>
      </c>
    </row>
    <row r="25" spans="1:37" x14ac:dyDescent="0.25">
      <c r="A25" s="21" t="s">
        <v>22</v>
      </c>
      <c r="B25" s="22">
        <f t="shared" si="1"/>
        <v>2163</v>
      </c>
      <c r="C25" s="23">
        <f t="shared" si="2"/>
        <v>1107</v>
      </c>
      <c r="D25" s="24">
        <f t="shared" si="0"/>
        <v>1056</v>
      </c>
      <c r="E25" s="16">
        <f t="shared" si="3"/>
        <v>475</v>
      </c>
      <c r="F25" s="19">
        <v>254</v>
      </c>
      <c r="G25" s="20">
        <v>221</v>
      </c>
      <c r="H25" s="16">
        <f t="shared" si="4"/>
        <v>190</v>
      </c>
      <c r="I25" s="19">
        <v>87</v>
      </c>
      <c r="J25" s="19">
        <v>103</v>
      </c>
    </row>
    <row r="26" spans="1:37" x14ac:dyDescent="0.25">
      <c r="A26" s="21" t="s">
        <v>23</v>
      </c>
      <c r="B26" s="22">
        <f t="shared" si="1"/>
        <v>3055</v>
      </c>
      <c r="C26" s="23">
        <f t="shared" si="2"/>
        <v>1636</v>
      </c>
      <c r="D26" s="24">
        <f t="shared" si="0"/>
        <v>1419</v>
      </c>
      <c r="E26" s="16">
        <f t="shared" si="3"/>
        <v>547</v>
      </c>
      <c r="F26" s="19">
        <v>298</v>
      </c>
      <c r="G26" s="20">
        <v>249</v>
      </c>
      <c r="H26" s="16">
        <f t="shared" si="4"/>
        <v>243</v>
      </c>
      <c r="I26" s="19">
        <v>136</v>
      </c>
      <c r="J26" s="19">
        <v>107</v>
      </c>
    </row>
    <row r="27" spans="1:37" x14ac:dyDescent="0.25">
      <c r="A27" s="21" t="s">
        <v>24</v>
      </c>
      <c r="B27" s="22">
        <f t="shared" si="1"/>
        <v>2349</v>
      </c>
      <c r="C27" s="23">
        <f t="shared" si="2"/>
        <v>1186</v>
      </c>
      <c r="D27" s="24">
        <f t="shared" si="0"/>
        <v>1163</v>
      </c>
      <c r="E27" s="16">
        <f t="shared" si="3"/>
        <v>534</v>
      </c>
      <c r="F27" s="19">
        <v>276</v>
      </c>
      <c r="G27" s="20">
        <v>258</v>
      </c>
      <c r="H27" s="16">
        <f t="shared" si="4"/>
        <v>163</v>
      </c>
      <c r="I27" s="19">
        <v>76</v>
      </c>
      <c r="J27" s="19">
        <v>87</v>
      </c>
      <c r="AC27" s="46" t="s">
        <v>33</v>
      </c>
      <c r="AD27" s="46"/>
      <c r="AE27" s="46"/>
      <c r="AF27" s="2" t="s">
        <v>34</v>
      </c>
      <c r="AG27" s="10"/>
      <c r="AH27" s="10"/>
      <c r="AI27" s="2" t="s">
        <v>35</v>
      </c>
      <c r="AJ27" s="10"/>
      <c r="AK27" s="10"/>
    </row>
    <row r="28" spans="1:37" x14ac:dyDescent="0.25">
      <c r="A28" s="1" t="s">
        <v>8</v>
      </c>
      <c r="B28" s="25">
        <f t="shared" si="1"/>
        <v>5315</v>
      </c>
      <c r="C28" s="26">
        <f t="shared" si="2"/>
        <v>2671</v>
      </c>
      <c r="D28" s="27">
        <f t="shared" si="0"/>
        <v>2644</v>
      </c>
      <c r="E28" s="28">
        <f t="shared" si="3"/>
        <v>1191</v>
      </c>
      <c r="F28" s="29">
        <v>586</v>
      </c>
      <c r="G28" s="30">
        <v>605</v>
      </c>
      <c r="H28" s="28">
        <f t="shared" si="4"/>
        <v>396</v>
      </c>
      <c r="I28" s="29">
        <v>217</v>
      </c>
      <c r="J28" s="29">
        <v>179</v>
      </c>
      <c r="AC28" s="12" t="s">
        <v>29</v>
      </c>
      <c r="AD28" s="11" t="s">
        <v>27</v>
      </c>
      <c r="AE28" s="11" t="s">
        <v>28</v>
      </c>
      <c r="AF28" s="12" t="s">
        <v>29</v>
      </c>
      <c r="AG28" s="11" t="s">
        <v>27</v>
      </c>
      <c r="AH28" s="11" t="s">
        <v>28</v>
      </c>
      <c r="AI28" s="12" t="s">
        <v>29</v>
      </c>
      <c r="AJ28" s="11" t="s">
        <v>27</v>
      </c>
      <c r="AK28" s="11" t="s">
        <v>28</v>
      </c>
    </row>
    <row r="29" spans="1:37" x14ac:dyDescent="0.25">
      <c r="A29" s="7" t="s">
        <v>0</v>
      </c>
      <c r="B29" s="43" t="s">
        <v>36</v>
      </c>
      <c r="C29" s="43"/>
      <c r="D29" s="45"/>
      <c r="E29" s="44" t="s">
        <v>37</v>
      </c>
      <c r="F29" s="43"/>
      <c r="G29" s="45"/>
      <c r="H29" s="43" t="s">
        <v>38</v>
      </c>
      <c r="I29" s="43"/>
      <c r="J29" s="43"/>
      <c r="AC29" s="4">
        <f t="shared" ref="AC29:AC51" si="5">H6+B31+E31+H31+B56+E56+H56</f>
        <v>49373</v>
      </c>
      <c r="AD29" s="4">
        <f t="shared" ref="AD29:AD51" si="6">I6+C31+F31+I31+C56+F56+I56</f>
        <v>25535</v>
      </c>
      <c r="AE29" s="4">
        <f t="shared" ref="AE29:AE51" si="7">J6+D31+G31+J31+D56+G56+J56</f>
        <v>23838</v>
      </c>
      <c r="AF29" s="4">
        <f t="shared" ref="AF29:AF51" si="8">B81+E81+H81</f>
        <v>16167</v>
      </c>
      <c r="AG29" s="4">
        <f t="shared" ref="AG29:AG51" si="9">C81+F81+I81</f>
        <v>8347</v>
      </c>
      <c r="AH29" s="4">
        <f t="shared" ref="AH29:AH51" si="10">D81+G81+J81</f>
        <v>7820</v>
      </c>
      <c r="AI29" s="4">
        <f t="shared" ref="AI29:AI51" si="11">B106+E106</f>
        <v>3776</v>
      </c>
      <c r="AJ29" s="4">
        <f t="shared" ref="AJ29:AJ51" si="12">C106+F106</f>
        <v>1703</v>
      </c>
      <c r="AK29" s="4">
        <f t="shared" ref="AK29:AK51" si="13">D106+G106</f>
        <v>2073</v>
      </c>
    </row>
    <row r="30" spans="1:37" x14ac:dyDescent="0.25">
      <c r="A30" s="8"/>
      <c r="B30" s="31" t="s">
        <v>29</v>
      </c>
      <c r="C30" s="31" t="s">
        <v>27</v>
      </c>
      <c r="D30" s="31" t="s">
        <v>28</v>
      </c>
      <c r="E30" s="32" t="s">
        <v>29</v>
      </c>
      <c r="F30" s="33" t="s">
        <v>27</v>
      </c>
      <c r="G30" s="34" t="s">
        <v>28</v>
      </c>
      <c r="H30" s="33" t="s">
        <v>29</v>
      </c>
      <c r="I30" s="33" t="s">
        <v>27</v>
      </c>
      <c r="J30" s="33" t="s">
        <v>28</v>
      </c>
      <c r="AC30" s="4">
        <f t="shared" si="5"/>
        <v>17625</v>
      </c>
      <c r="AD30" s="4">
        <f t="shared" si="6"/>
        <v>9055</v>
      </c>
      <c r="AE30" s="4">
        <f t="shared" si="7"/>
        <v>8570</v>
      </c>
      <c r="AF30" s="4">
        <f t="shared" si="8"/>
        <v>5673</v>
      </c>
      <c r="AG30" s="4">
        <f t="shared" si="9"/>
        <v>2887</v>
      </c>
      <c r="AH30" s="4">
        <f t="shared" si="10"/>
        <v>2786</v>
      </c>
      <c r="AI30" s="4">
        <f t="shared" si="11"/>
        <v>2337</v>
      </c>
      <c r="AJ30" s="4">
        <f t="shared" si="12"/>
        <v>1084</v>
      </c>
      <c r="AK30" s="4">
        <f t="shared" si="13"/>
        <v>1253</v>
      </c>
    </row>
    <row r="31" spans="1:37" x14ac:dyDescent="0.25">
      <c r="A31" s="3" t="s">
        <v>2</v>
      </c>
      <c r="B31" s="14">
        <f>C31+D31</f>
        <v>7460</v>
      </c>
      <c r="C31" s="15">
        <f>C32+C33</f>
        <v>3919</v>
      </c>
      <c r="D31" s="15">
        <f>D32+D33</f>
        <v>3541</v>
      </c>
      <c r="E31" s="16">
        <f>F31+G31</f>
        <v>7169</v>
      </c>
      <c r="F31" s="15">
        <f>F32+F33</f>
        <v>3739</v>
      </c>
      <c r="G31" s="17">
        <f>G32+G33</f>
        <v>3430</v>
      </c>
      <c r="H31" s="16">
        <f>I31+J31</f>
        <v>7304</v>
      </c>
      <c r="I31" s="15">
        <f>I32+I33</f>
        <v>3711</v>
      </c>
      <c r="J31" s="15">
        <f>J32+J33</f>
        <v>3593</v>
      </c>
      <c r="AC31" s="4">
        <f t="shared" si="5"/>
        <v>31748</v>
      </c>
      <c r="AD31" s="4">
        <f t="shared" si="6"/>
        <v>16480</v>
      </c>
      <c r="AE31" s="4">
        <f t="shared" si="7"/>
        <v>15268</v>
      </c>
      <c r="AF31" s="4">
        <f t="shared" si="8"/>
        <v>10494</v>
      </c>
      <c r="AG31" s="4">
        <f t="shared" si="9"/>
        <v>5460</v>
      </c>
      <c r="AH31" s="4">
        <f t="shared" si="10"/>
        <v>5034</v>
      </c>
      <c r="AI31" s="4">
        <f t="shared" si="11"/>
        <v>1439</v>
      </c>
      <c r="AJ31" s="4">
        <f t="shared" si="12"/>
        <v>619</v>
      </c>
      <c r="AK31" s="4">
        <f t="shared" si="13"/>
        <v>820</v>
      </c>
    </row>
    <row r="32" spans="1:37" x14ac:dyDescent="0.25">
      <c r="A32" s="3" t="s">
        <v>3</v>
      </c>
      <c r="B32" s="18">
        <f>SUM(C32:D32)</f>
        <v>2597</v>
      </c>
      <c r="C32" s="19">
        <v>1372</v>
      </c>
      <c r="D32" s="19">
        <v>1225</v>
      </c>
      <c r="E32" s="16">
        <f>F32+G32</f>
        <v>2526</v>
      </c>
      <c r="F32" s="19">
        <v>1318</v>
      </c>
      <c r="G32" s="20">
        <v>1208</v>
      </c>
      <c r="H32" s="16">
        <f>I32+J32</f>
        <v>2517</v>
      </c>
      <c r="I32" s="19">
        <v>1261</v>
      </c>
      <c r="J32" s="19">
        <v>1256</v>
      </c>
      <c r="AC32" s="4">
        <f t="shared" si="5"/>
        <v>2107</v>
      </c>
      <c r="AD32" s="4">
        <f t="shared" si="6"/>
        <v>1120</v>
      </c>
      <c r="AE32" s="4">
        <f t="shared" si="7"/>
        <v>987</v>
      </c>
      <c r="AF32" s="4">
        <f t="shared" si="8"/>
        <v>699</v>
      </c>
      <c r="AG32" s="4">
        <f t="shared" si="9"/>
        <v>363</v>
      </c>
      <c r="AH32" s="4">
        <f t="shared" si="10"/>
        <v>336</v>
      </c>
      <c r="AI32" s="4">
        <f t="shared" si="11"/>
        <v>93</v>
      </c>
      <c r="AJ32" s="4">
        <f t="shared" si="12"/>
        <v>27</v>
      </c>
      <c r="AK32" s="4">
        <f t="shared" si="13"/>
        <v>66</v>
      </c>
    </row>
    <row r="33" spans="1:37" x14ac:dyDescent="0.25">
      <c r="A33" s="3" t="s">
        <v>4</v>
      </c>
      <c r="B33" s="18">
        <f>SUM(B34:B53)</f>
        <v>4863</v>
      </c>
      <c r="C33" s="15">
        <f>SUM(C34:C53)</f>
        <v>2547</v>
      </c>
      <c r="D33" s="15">
        <f>SUM(D34:D53)</f>
        <v>2316</v>
      </c>
      <c r="E33" s="16">
        <f>F33+G33</f>
        <v>4643</v>
      </c>
      <c r="F33" s="15">
        <f>SUM(F34:F53)</f>
        <v>2421</v>
      </c>
      <c r="G33" s="15">
        <f>SUM(G34:G53)</f>
        <v>2222</v>
      </c>
      <c r="H33" s="16">
        <f>I33+J33</f>
        <v>4787</v>
      </c>
      <c r="I33" s="15">
        <f>SUM(I34:I53)</f>
        <v>2450</v>
      </c>
      <c r="J33" s="15">
        <f>SUM(J34:J53)</f>
        <v>2337</v>
      </c>
      <c r="AC33" s="4">
        <f t="shared" si="5"/>
        <v>3286</v>
      </c>
      <c r="AD33" s="4">
        <f t="shared" si="6"/>
        <v>1711</v>
      </c>
      <c r="AE33" s="4">
        <f t="shared" si="7"/>
        <v>1575</v>
      </c>
      <c r="AF33" s="4">
        <f t="shared" si="8"/>
        <v>983</v>
      </c>
      <c r="AG33" s="4">
        <f t="shared" si="9"/>
        <v>520</v>
      </c>
      <c r="AH33" s="4">
        <f t="shared" si="10"/>
        <v>463</v>
      </c>
      <c r="AI33" s="4">
        <f t="shared" si="11"/>
        <v>109</v>
      </c>
      <c r="AJ33" s="4">
        <f t="shared" si="12"/>
        <v>42</v>
      </c>
      <c r="AK33" s="4">
        <f t="shared" si="13"/>
        <v>67</v>
      </c>
    </row>
    <row r="34" spans="1:37" x14ac:dyDescent="0.25">
      <c r="A34" s="21" t="s">
        <v>5</v>
      </c>
      <c r="B34" s="22">
        <f t="shared" ref="B34:B53" si="14">SUM(C34:D34)</f>
        <v>331</v>
      </c>
      <c r="C34" s="19">
        <v>176</v>
      </c>
      <c r="D34" s="19">
        <v>155</v>
      </c>
      <c r="E34" s="16">
        <f t="shared" ref="E34:E53" si="15">F34+G34</f>
        <v>304</v>
      </c>
      <c r="F34" s="19">
        <v>154</v>
      </c>
      <c r="G34" s="20">
        <v>150</v>
      </c>
      <c r="H34" s="16">
        <f t="shared" ref="H34:H53" si="16">I34+J34</f>
        <v>314</v>
      </c>
      <c r="I34" s="19">
        <v>163</v>
      </c>
      <c r="J34" s="19">
        <v>151</v>
      </c>
      <c r="AC34" s="4">
        <f t="shared" si="5"/>
        <v>2096</v>
      </c>
      <c r="AD34" s="4">
        <f t="shared" si="6"/>
        <v>1078</v>
      </c>
      <c r="AE34" s="4">
        <f t="shared" si="7"/>
        <v>1018</v>
      </c>
      <c r="AF34" s="4">
        <f t="shared" si="8"/>
        <v>724</v>
      </c>
      <c r="AG34" s="4">
        <f t="shared" si="9"/>
        <v>370</v>
      </c>
      <c r="AH34" s="4">
        <f t="shared" si="10"/>
        <v>354</v>
      </c>
      <c r="AI34" s="4">
        <f t="shared" si="11"/>
        <v>97</v>
      </c>
      <c r="AJ34" s="4">
        <f t="shared" si="12"/>
        <v>47</v>
      </c>
      <c r="AK34" s="4">
        <f t="shared" si="13"/>
        <v>50</v>
      </c>
    </row>
    <row r="35" spans="1:37" x14ac:dyDescent="0.25">
      <c r="A35" s="21" t="s">
        <v>6</v>
      </c>
      <c r="B35" s="22">
        <f t="shared" si="14"/>
        <v>525</v>
      </c>
      <c r="C35" s="19">
        <v>275</v>
      </c>
      <c r="D35" s="19">
        <v>250</v>
      </c>
      <c r="E35" s="16">
        <f t="shared" si="15"/>
        <v>499</v>
      </c>
      <c r="F35" s="19">
        <v>263</v>
      </c>
      <c r="G35" s="20">
        <v>236</v>
      </c>
      <c r="H35" s="16">
        <f t="shared" si="16"/>
        <v>509</v>
      </c>
      <c r="I35" s="19">
        <v>252</v>
      </c>
      <c r="J35" s="19">
        <v>257</v>
      </c>
      <c r="AC35" s="4">
        <f t="shared" si="5"/>
        <v>1795</v>
      </c>
      <c r="AD35" s="4">
        <f t="shared" si="6"/>
        <v>908</v>
      </c>
      <c r="AE35" s="4">
        <f t="shared" si="7"/>
        <v>887</v>
      </c>
      <c r="AF35" s="4">
        <f t="shared" si="8"/>
        <v>531</v>
      </c>
      <c r="AG35" s="4">
        <f t="shared" si="9"/>
        <v>278</v>
      </c>
      <c r="AH35" s="4">
        <f t="shared" si="10"/>
        <v>253</v>
      </c>
      <c r="AI35" s="4">
        <f t="shared" si="11"/>
        <v>80</v>
      </c>
      <c r="AJ35" s="4">
        <f t="shared" si="12"/>
        <v>41</v>
      </c>
      <c r="AK35" s="4">
        <f t="shared" si="13"/>
        <v>39</v>
      </c>
    </row>
    <row r="36" spans="1:37" x14ac:dyDescent="0.25">
      <c r="A36" s="21" t="s">
        <v>7</v>
      </c>
      <c r="B36" s="22">
        <f t="shared" si="14"/>
        <v>323</v>
      </c>
      <c r="C36" s="19">
        <v>174</v>
      </c>
      <c r="D36" s="19">
        <v>149</v>
      </c>
      <c r="E36" s="16">
        <f t="shared" si="15"/>
        <v>329</v>
      </c>
      <c r="F36" s="19">
        <v>173</v>
      </c>
      <c r="G36" s="20">
        <v>156</v>
      </c>
      <c r="H36" s="16">
        <f t="shared" si="16"/>
        <v>335</v>
      </c>
      <c r="I36" s="19">
        <v>168</v>
      </c>
      <c r="J36" s="19">
        <v>167</v>
      </c>
      <c r="AC36" s="4">
        <f t="shared" si="5"/>
        <v>2508</v>
      </c>
      <c r="AD36" s="4">
        <f t="shared" si="6"/>
        <v>1298</v>
      </c>
      <c r="AE36" s="4">
        <f t="shared" si="7"/>
        <v>1210</v>
      </c>
      <c r="AF36" s="4">
        <f t="shared" si="8"/>
        <v>870</v>
      </c>
      <c r="AG36" s="4">
        <f t="shared" si="9"/>
        <v>465</v>
      </c>
      <c r="AH36" s="4">
        <f t="shared" si="10"/>
        <v>405</v>
      </c>
      <c r="AI36" s="4">
        <f t="shared" si="11"/>
        <v>134</v>
      </c>
      <c r="AJ36" s="4">
        <f t="shared" si="12"/>
        <v>69</v>
      </c>
      <c r="AK36" s="4">
        <f t="shared" si="13"/>
        <v>65</v>
      </c>
    </row>
    <row r="37" spans="1:37" x14ac:dyDescent="0.25">
      <c r="A37" s="21" t="s">
        <v>9</v>
      </c>
      <c r="B37" s="22">
        <f t="shared" si="14"/>
        <v>289</v>
      </c>
      <c r="C37" s="19">
        <v>133</v>
      </c>
      <c r="D37" s="19">
        <v>156</v>
      </c>
      <c r="E37" s="16">
        <f t="shared" si="15"/>
        <v>274</v>
      </c>
      <c r="F37" s="19">
        <v>144</v>
      </c>
      <c r="G37" s="20">
        <v>130</v>
      </c>
      <c r="H37" s="16">
        <f t="shared" si="16"/>
        <v>296</v>
      </c>
      <c r="I37" s="19">
        <v>155</v>
      </c>
      <c r="J37" s="19">
        <v>141</v>
      </c>
      <c r="AC37" s="4">
        <f t="shared" si="5"/>
        <v>1381</v>
      </c>
      <c r="AD37" s="4">
        <f t="shared" si="6"/>
        <v>716</v>
      </c>
      <c r="AE37" s="4">
        <f t="shared" si="7"/>
        <v>665</v>
      </c>
      <c r="AF37" s="4">
        <f t="shared" si="8"/>
        <v>502</v>
      </c>
      <c r="AG37" s="4">
        <f t="shared" si="9"/>
        <v>270</v>
      </c>
      <c r="AH37" s="4">
        <f t="shared" si="10"/>
        <v>232</v>
      </c>
      <c r="AI37" s="4">
        <f t="shared" si="11"/>
        <v>81</v>
      </c>
      <c r="AJ37" s="4">
        <f t="shared" si="12"/>
        <v>30</v>
      </c>
      <c r="AK37" s="4">
        <f t="shared" si="13"/>
        <v>51</v>
      </c>
    </row>
    <row r="38" spans="1:37" x14ac:dyDescent="0.25">
      <c r="A38" s="21" t="s">
        <v>10</v>
      </c>
      <c r="B38" s="22">
        <f t="shared" si="14"/>
        <v>402</v>
      </c>
      <c r="C38" s="19">
        <v>206</v>
      </c>
      <c r="D38" s="19">
        <v>196</v>
      </c>
      <c r="E38" s="16">
        <f t="shared" si="15"/>
        <v>354</v>
      </c>
      <c r="F38" s="19">
        <v>183</v>
      </c>
      <c r="G38" s="20">
        <v>171</v>
      </c>
      <c r="H38" s="16">
        <f t="shared" si="16"/>
        <v>400</v>
      </c>
      <c r="I38" s="19">
        <v>203</v>
      </c>
      <c r="J38" s="19">
        <v>197</v>
      </c>
      <c r="AC38" s="4">
        <f t="shared" si="5"/>
        <v>1244</v>
      </c>
      <c r="AD38" s="4">
        <f t="shared" si="6"/>
        <v>626</v>
      </c>
      <c r="AE38" s="4">
        <f t="shared" si="7"/>
        <v>618</v>
      </c>
      <c r="AF38" s="4">
        <f t="shared" si="8"/>
        <v>419</v>
      </c>
      <c r="AG38" s="4">
        <f t="shared" si="9"/>
        <v>204</v>
      </c>
      <c r="AH38" s="4">
        <f t="shared" si="10"/>
        <v>215</v>
      </c>
      <c r="AI38" s="4">
        <f t="shared" si="11"/>
        <v>39</v>
      </c>
      <c r="AJ38" s="4">
        <f t="shared" si="12"/>
        <v>17</v>
      </c>
      <c r="AK38" s="4">
        <f t="shared" si="13"/>
        <v>22</v>
      </c>
    </row>
    <row r="39" spans="1:37" x14ac:dyDescent="0.25">
      <c r="A39" s="21" t="s">
        <v>11</v>
      </c>
      <c r="B39" s="22">
        <f t="shared" si="14"/>
        <v>210</v>
      </c>
      <c r="C39" s="19">
        <v>112</v>
      </c>
      <c r="D39" s="19">
        <v>98</v>
      </c>
      <c r="E39" s="16">
        <f t="shared" si="15"/>
        <v>216</v>
      </c>
      <c r="F39" s="19">
        <v>115</v>
      </c>
      <c r="G39" s="20">
        <v>101</v>
      </c>
      <c r="H39" s="16">
        <f t="shared" si="16"/>
        <v>224</v>
      </c>
      <c r="I39" s="19">
        <v>106</v>
      </c>
      <c r="J39" s="19">
        <v>118</v>
      </c>
      <c r="AC39" s="4">
        <f t="shared" si="5"/>
        <v>1689</v>
      </c>
      <c r="AD39" s="4">
        <f t="shared" si="6"/>
        <v>896</v>
      </c>
      <c r="AE39" s="4">
        <f t="shared" si="7"/>
        <v>793</v>
      </c>
      <c r="AF39" s="4">
        <f t="shared" si="8"/>
        <v>490</v>
      </c>
      <c r="AG39" s="4">
        <f t="shared" si="9"/>
        <v>259</v>
      </c>
      <c r="AH39" s="4">
        <f t="shared" si="10"/>
        <v>231</v>
      </c>
      <c r="AI39" s="4">
        <f t="shared" si="11"/>
        <v>1</v>
      </c>
      <c r="AJ39" s="4">
        <f t="shared" si="12"/>
        <v>1</v>
      </c>
      <c r="AK39" s="4">
        <f t="shared" si="13"/>
        <v>0</v>
      </c>
    </row>
    <row r="40" spans="1:37" x14ac:dyDescent="0.25">
      <c r="A40" s="21" t="s">
        <v>12</v>
      </c>
      <c r="B40" s="22">
        <f t="shared" si="14"/>
        <v>186</v>
      </c>
      <c r="C40" s="19">
        <v>97</v>
      </c>
      <c r="D40" s="19">
        <v>89</v>
      </c>
      <c r="E40" s="16">
        <f t="shared" si="15"/>
        <v>173</v>
      </c>
      <c r="F40" s="19">
        <v>81</v>
      </c>
      <c r="G40" s="20">
        <v>92</v>
      </c>
      <c r="H40" s="16">
        <f t="shared" si="16"/>
        <v>194</v>
      </c>
      <c r="I40" s="19">
        <v>107</v>
      </c>
      <c r="J40" s="19">
        <v>87</v>
      </c>
      <c r="AC40" s="4">
        <f t="shared" si="5"/>
        <v>1092</v>
      </c>
      <c r="AD40" s="4">
        <f t="shared" si="6"/>
        <v>566</v>
      </c>
      <c r="AE40" s="4">
        <f t="shared" si="7"/>
        <v>526</v>
      </c>
      <c r="AF40" s="4">
        <f t="shared" si="8"/>
        <v>328</v>
      </c>
      <c r="AG40" s="4">
        <f t="shared" si="9"/>
        <v>175</v>
      </c>
      <c r="AH40" s="4">
        <f t="shared" si="10"/>
        <v>153</v>
      </c>
      <c r="AI40" s="4">
        <f t="shared" si="11"/>
        <v>21</v>
      </c>
      <c r="AJ40" s="4">
        <f t="shared" si="12"/>
        <v>11</v>
      </c>
      <c r="AK40" s="4">
        <f t="shared" si="13"/>
        <v>10</v>
      </c>
    </row>
    <row r="41" spans="1:37" x14ac:dyDescent="0.25">
      <c r="A41" s="21" t="s">
        <v>14</v>
      </c>
      <c r="B41" s="22">
        <f t="shared" si="14"/>
        <v>276</v>
      </c>
      <c r="C41" s="19">
        <v>145</v>
      </c>
      <c r="D41" s="19">
        <v>131</v>
      </c>
      <c r="E41" s="16">
        <f t="shared" si="15"/>
        <v>242</v>
      </c>
      <c r="F41" s="19">
        <v>137</v>
      </c>
      <c r="G41" s="20">
        <v>105</v>
      </c>
      <c r="H41" s="16">
        <f t="shared" si="16"/>
        <v>221</v>
      </c>
      <c r="I41" s="19">
        <v>117</v>
      </c>
      <c r="J41" s="19">
        <v>104</v>
      </c>
      <c r="AC41" s="4">
        <f t="shared" si="5"/>
        <v>1382</v>
      </c>
      <c r="AD41" s="4">
        <f t="shared" si="6"/>
        <v>732</v>
      </c>
      <c r="AE41" s="4">
        <f t="shared" si="7"/>
        <v>650</v>
      </c>
      <c r="AF41" s="4">
        <f t="shared" si="8"/>
        <v>372</v>
      </c>
      <c r="AG41" s="4">
        <f t="shared" si="9"/>
        <v>194</v>
      </c>
      <c r="AH41" s="4">
        <f t="shared" si="10"/>
        <v>178</v>
      </c>
      <c r="AI41" s="4">
        <f t="shared" si="11"/>
        <v>0</v>
      </c>
      <c r="AJ41" s="4">
        <f t="shared" si="12"/>
        <v>0</v>
      </c>
      <c r="AK41" s="4">
        <f t="shared" si="13"/>
        <v>0</v>
      </c>
    </row>
    <row r="42" spans="1:37" x14ac:dyDescent="0.25">
      <c r="A42" s="21" t="s">
        <v>15</v>
      </c>
      <c r="B42" s="22">
        <f t="shared" si="14"/>
        <v>163</v>
      </c>
      <c r="C42" s="19">
        <v>85</v>
      </c>
      <c r="D42" s="19">
        <v>78</v>
      </c>
      <c r="E42" s="16">
        <f t="shared" si="15"/>
        <v>150</v>
      </c>
      <c r="F42" s="19">
        <v>73</v>
      </c>
      <c r="G42" s="20">
        <v>77</v>
      </c>
      <c r="H42" s="16">
        <f t="shared" si="16"/>
        <v>166</v>
      </c>
      <c r="I42" s="19">
        <v>91</v>
      </c>
      <c r="J42" s="19">
        <v>75</v>
      </c>
      <c r="AC42" s="4">
        <f t="shared" si="5"/>
        <v>216</v>
      </c>
      <c r="AD42" s="4">
        <f t="shared" si="6"/>
        <v>111</v>
      </c>
      <c r="AE42" s="4">
        <f t="shared" si="7"/>
        <v>105</v>
      </c>
      <c r="AF42" s="4">
        <f t="shared" si="8"/>
        <v>61</v>
      </c>
      <c r="AG42" s="4">
        <f t="shared" si="9"/>
        <v>36</v>
      </c>
      <c r="AH42" s="4">
        <f t="shared" si="10"/>
        <v>25</v>
      </c>
      <c r="AI42" s="4">
        <f t="shared" si="11"/>
        <v>0</v>
      </c>
      <c r="AJ42" s="4">
        <f t="shared" si="12"/>
        <v>0</v>
      </c>
      <c r="AK42" s="4">
        <f t="shared" si="13"/>
        <v>0</v>
      </c>
    </row>
    <row r="43" spans="1:37" x14ac:dyDescent="0.25">
      <c r="A43" s="21" t="s">
        <v>30</v>
      </c>
      <c r="B43" s="22">
        <f t="shared" si="14"/>
        <v>247</v>
      </c>
      <c r="C43" s="19">
        <v>133</v>
      </c>
      <c r="D43" s="19">
        <v>114</v>
      </c>
      <c r="E43" s="16">
        <f t="shared" si="15"/>
        <v>207</v>
      </c>
      <c r="F43" s="19">
        <v>118</v>
      </c>
      <c r="G43" s="20">
        <v>89</v>
      </c>
      <c r="H43" s="16">
        <f t="shared" si="16"/>
        <v>198</v>
      </c>
      <c r="I43" s="19">
        <v>97</v>
      </c>
      <c r="J43" s="19">
        <v>101</v>
      </c>
      <c r="AC43" s="4">
        <f t="shared" si="5"/>
        <v>718</v>
      </c>
      <c r="AD43" s="4">
        <f t="shared" si="6"/>
        <v>371</v>
      </c>
      <c r="AE43" s="4">
        <f t="shared" si="7"/>
        <v>347</v>
      </c>
      <c r="AF43" s="4">
        <f t="shared" si="8"/>
        <v>207</v>
      </c>
      <c r="AG43" s="4">
        <f t="shared" si="9"/>
        <v>105</v>
      </c>
      <c r="AH43" s="4">
        <f t="shared" si="10"/>
        <v>102</v>
      </c>
      <c r="AI43" s="4">
        <f t="shared" si="11"/>
        <v>35</v>
      </c>
      <c r="AJ43" s="4">
        <f t="shared" si="12"/>
        <v>18</v>
      </c>
      <c r="AK43" s="4">
        <f t="shared" si="13"/>
        <v>17</v>
      </c>
    </row>
    <row r="44" spans="1:37" x14ac:dyDescent="0.25">
      <c r="A44" s="21" t="s">
        <v>17</v>
      </c>
      <c r="B44" s="22">
        <f t="shared" si="14"/>
        <v>37</v>
      </c>
      <c r="C44" s="19">
        <v>16</v>
      </c>
      <c r="D44" s="19">
        <v>21</v>
      </c>
      <c r="E44" s="16">
        <f t="shared" si="15"/>
        <v>30</v>
      </c>
      <c r="F44" s="19">
        <v>10</v>
      </c>
      <c r="G44" s="20">
        <v>20</v>
      </c>
      <c r="H44" s="16">
        <f t="shared" si="16"/>
        <v>27</v>
      </c>
      <c r="I44" s="19">
        <v>18</v>
      </c>
      <c r="J44" s="19">
        <v>9</v>
      </c>
      <c r="AC44" s="4">
        <f t="shared" si="5"/>
        <v>759</v>
      </c>
      <c r="AD44" s="4">
        <f t="shared" si="6"/>
        <v>414</v>
      </c>
      <c r="AE44" s="4">
        <f t="shared" si="7"/>
        <v>345</v>
      </c>
      <c r="AF44" s="4">
        <f t="shared" si="8"/>
        <v>245</v>
      </c>
      <c r="AG44" s="4">
        <f t="shared" si="9"/>
        <v>125</v>
      </c>
      <c r="AH44" s="4">
        <f t="shared" si="10"/>
        <v>120</v>
      </c>
      <c r="AI44" s="4">
        <f t="shared" si="11"/>
        <v>65</v>
      </c>
      <c r="AJ44" s="4">
        <f t="shared" si="12"/>
        <v>32</v>
      </c>
      <c r="AK44" s="4">
        <f t="shared" si="13"/>
        <v>33</v>
      </c>
    </row>
    <row r="45" spans="1:37" x14ac:dyDescent="0.25">
      <c r="A45" s="21" t="s">
        <v>18</v>
      </c>
      <c r="B45" s="22">
        <f t="shared" si="14"/>
        <v>97</v>
      </c>
      <c r="C45" s="19">
        <v>60</v>
      </c>
      <c r="D45" s="19">
        <v>37</v>
      </c>
      <c r="E45" s="16">
        <f t="shared" si="15"/>
        <v>111</v>
      </c>
      <c r="F45" s="19">
        <v>57</v>
      </c>
      <c r="G45" s="20">
        <v>54</v>
      </c>
      <c r="H45" s="16">
        <f t="shared" si="16"/>
        <v>110</v>
      </c>
      <c r="I45" s="19">
        <v>48</v>
      </c>
      <c r="J45" s="19">
        <v>62</v>
      </c>
      <c r="AC45" s="4">
        <f t="shared" si="5"/>
        <v>957</v>
      </c>
      <c r="AD45" s="4">
        <f t="shared" si="6"/>
        <v>466</v>
      </c>
      <c r="AE45" s="4">
        <f t="shared" si="7"/>
        <v>491</v>
      </c>
      <c r="AF45" s="4">
        <f t="shared" si="8"/>
        <v>284</v>
      </c>
      <c r="AG45" s="4">
        <f t="shared" si="9"/>
        <v>145</v>
      </c>
      <c r="AH45" s="4">
        <f t="shared" si="10"/>
        <v>139</v>
      </c>
      <c r="AI45" s="4">
        <f t="shared" si="11"/>
        <v>60</v>
      </c>
      <c r="AJ45" s="4">
        <f t="shared" si="12"/>
        <v>23</v>
      </c>
      <c r="AK45" s="4">
        <f t="shared" si="13"/>
        <v>37</v>
      </c>
    </row>
    <row r="46" spans="1:37" x14ac:dyDescent="0.25">
      <c r="A46" s="21" t="s">
        <v>19</v>
      </c>
      <c r="B46" s="22">
        <f t="shared" si="14"/>
        <v>112</v>
      </c>
      <c r="C46" s="19">
        <v>63</v>
      </c>
      <c r="D46" s="19">
        <v>49</v>
      </c>
      <c r="E46" s="16">
        <f t="shared" si="15"/>
        <v>105</v>
      </c>
      <c r="F46" s="19">
        <v>51</v>
      </c>
      <c r="G46" s="20">
        <v>54</v>
      </c>
      <c r="H46" s="16">
        <f t="shared" si="16"/>
        <v>116</v>
      </c>
      <c r="I46" s="19">
        <v>63</v>
      </c>
      <c r="J46" s="19">
        <v>53</v>
      </c>
      <c r="AC46" s="4">
        <f t="shared" si="5"/>
        <v>1564</v>
      </c>
      <c r="AD46" s="4">
        <f t="shared" si="6"/>
        <v>792</v>
      </c>
      <c r="AE46" s="4">
        <f t="shared" si="7"/>
        <v>772</v>
      </c>
      <c r="AF46" s="4">
        <f t="shared" si="8"/>
        <v>441</v>
      </c>
      <c r="AG46" s="4">
        <f t="shared" si="9"/>
        <v>237</v>
      </c>
      <c r="AH46" s="4">
        <f t="shared" si="10"/>
        <v>204</v>
      </c>
      <c r="AI46" s="4">
        <f t="shared" si="11"/>
        <v>32</v>
      </c>
      <c r="AJ46" s="4">
        <f t="shared" si="12"/>
        <v>13</v>
      </c>
      <c r="AK46" s="4">
        <f t="shared" si="13"/>
        <v>19</v>
      </c>
    </row>
    <row r="47" spans="1:37" x14ac:dyDescent="0.25">
      <c r="A47" s="21" t="s">
        <v>20</v>
      </c>
      <c r="B47" s="22">
        <f t="shared" si="14"/>
        <v>139</v>
      </c>
      <c r="C47" s="19">
        <v>69</v>
      </c>
      <c r="D47" s="19">
        <v>70</v>
      </c>
      <c r="E47" s="16">
        <f t="shared" si="15"/>
        <v>130</v>
      </c>
      <c r="F47" s="19">
        <v>55</v>
      </c>
      <c r="G47" s="20">
        <v>75</v>
      </c>
      <c r="H47" s="16">
        <f t="shared" si="16"/>
        <v>159</v>
      </c>
      <c r="I47" s="19">
        <v>80</v>
      </c>
      <c r="J47" s="19">
        <v>79</v>
      </c>
      <c r="AC47" s="4">
        <f t="shared" si="5"/>
        <v>2003</v>
      </c>
      <c r="AD47" s="4">
        <f t="shared" si="6"/>
        <v>1056</v>
      </c>
      <c r="AE47" s="4">
        <f t="shared" si="7"/>
        <v>947</v>
      </c>
      <c r="AF47" s="4">
        <f t="shared" si="8"/>
        <v>698</v>
      </c>
      <c r="AG47" s="4">
        <f t="shared" si="9"/>
        <v>380</v>
      </c>
      <c r="AH47" s="4">
        <f t="shared" si="10"/>
        <v>318</v>
      </c>
      <c r="AI47" s="4">
        <f t="shared" si="11"/>
        <v>97</v>
      </c>
      <c r="AJ47" s="4">
        <f t="shared" si="12"/>
        <v>45</v>
      </c>
      <c r="AK47" s="4">
        <f t="shared" si="13"/>
        <v>52</v>
      </c>
    </row>
    <row r="48" spans="1:37" x14ac:dyDescent="0.25">
      <c r="A48" s="21" t="s">
        <v>21</v>
      </c>
      <c r="B48" s="22">
        <f t="shared" si="14"/>
        <v>239</v>
      </c>
      <c r="C48" s="19">
        <v>116</v>
      </c>
      <c r="D48" s="19">
        <v>123</v>
      </c>
      <c r="E48" s="16">
        <f t="shared" si="15"/>
        <v>268</v>
      </c>
      <c r="F48" s="19">
        <v>141</v>
      </c>
      <c r="G48" s="20">
        <v>127</v>
      </c>
      <c r="H48" s="16">
        <f t="shared" si="16"/>
        <v>217</v>
      </c>
      <c r="I48" s="19">
        <v>108</v>
      </c>
      <c r="J48" s="19">
        <v>109</v>
      </c>
      <c r="AC48" s="4">
        <f t="shared" si="5"/>
        <v>1186</v>
      </c>
      <c r="AD48" s="4">
        <f t="shared" si="6"/>
        <v>604</v>
      </c>
      <c r="AE48" s="4">
        <f t="shared" si="7"/>
        <v>582</v>
      </c>
      <c r="AF48" s="4">
        <f t="shared" si="8"/>
        <v>477</v>
      </c>
      <c r="AG48" s="4">
        <f t="shared" si="9"/>
        <v>240</v>
      </c>
      <c r="AH48" s="4">
        <f t="shared" si="10"/>
        <v>237</v>
      </c>
      <c r="AI48" s="4">
        <f t="shared" si="11"/>
        <v>25</v>
      </c>
      <c r="AJ48" s="4">
        <f t="shared" si="12"/>
        <v>9</v>
      </c>
      <c r="AK48" s="4">
        <f t="shared" si="13"/>
        <v>16</v>
      </c>
    </row>
    <row r="49" spans="1:37" x14ac:dyDescent="0.25">
      <c r="A49" s="21" t="s">
        <v>13</v>
      </c>
      <c r="B49" s="22">
        <f t="shared" si="14"/>
        <v>286</v>
      </c>
      <c r="C49" s="19">
        <v>154</v>
      </c>
      <c r="D49" s="19">
        <v>132</v>
      </c>
      <c r="E49" s="16">
        <f t="shared" si="15"/>
        <v>282</v>
      </c>
      <c r="F49" s="19">
        <v>148</v>
      </c>
      <c r="G49" s="20">
        <v>134</v>
      </c>
      <c r="H49" s="16">
        <f t="shared" si="16"/>
        <v>267</v>
      </c>
      <c r="I49" s="19">
        <v>145</v>
      </c>
      <c r="J49" s="19">
        <v>122</v>
      </c>
      <c r="AC49" s="4">
        <f t="shared" si="5"/>
        <v>1773</v>
      </c>
      <c r="AD49" s="4">
        <f t="shared" si="6"/>
        <v>950</v>
      </c>
      <c r="AE49" s="4">
        <f t="shared" si="7"/>
        <v>823</v>
      </c>
      <c r="AF49" s="4">
        <f t="shared" si="8"/>
        <v>676</v>
      </c>
      <c r="AG49" s="4">
        <f t="shared" si="9"/>
        <v>360</v>
      </c>
      <c r="AH49" s="4">
        <f t="shared" si="10"/>
        <v>316</v>
      </c>
      <c r="AI49" s="4">
        <f t="shared" si="11"/>
        <v>56</v>
      </c>
      <c r="AJ49" s="4">
        <f t="shared" si="12"/>
        <v>26</v>
      </c>
      <c r="AK49" s="4">
        <f t="shared" si="13"/>
        <v>30</v>
      </c>
    </row>
    <row r="50" spans="1:37" x14ac:dyDescent="0.25">
      <c r="A50" s="21" t="s">
        <v>22</v>
      </c>
      <c r="B50" s="22">
        <f t="shared" si="14"/>
        <v>182</v>
      </c>
      <c r="C50" s="19">
        <v>95</v>
      </c>
      <c r="D50" s="19">
        <v>87</v>
      </c>
      <c r="E50" s="16">
        <f t="shared" si="15"/>
        <v>166</v>
      </c>
      <c r="F50" s="19">
        <v>88</v>
      </c>
      <c r="G50" s="20">
        <v>78</v>
      </c>
      <c r="H50" s="16">
        <f t="shared" si="16"/>
        <v>148</v>
      </c>
      <c r="I50" s="19">
        <v>72</v>
      </c>
      <c r="J50" s="19">
        <v>76</v>
      </c>
      <c r="AC50" s="4">
        <f t="shared" si="5"/>
        <v>1277</v>
      </c>
      <c r="AD50" s="4">
        <f t="shared" si="6"/>
        <v>647</v>
      </c>
      <c r="AE50" s="4">
        <f t="shared" si="7"/>
        <v>630</v>
      </c>
      <c r="AF50" s="4">
        <f t="shared" si="8"/>
        <v>440</v>
      </c>
      <c r="AG50" s="4">
        <f t="shared" si="9"/>
        <v>224</v>
      </c>
      <c r="AH50" s="4">
        <f t="shared" si="10"/>
        <v>216</v>
      </c>
      <c r="AI50" s="4">
        <f t="shared" si="11"/>
        <v>63</v>
      </c>
      <c r="AJ50" s="4">
        <f t="shared" si="12"/>
        <v>17</v>
      </c>
      <c r="AK50" s="4">
        <f t="shared" si="13"/>
        <v>46</v>
      </c>
    </row>
    <row r="51" spans="1:37" x14ac:dyDescent="0.25">
      <c r="A51" s="21" t="s">
        <v>23</v>
      </c>
      <c r="B51" s="22">
        <f t="shared" si="14"/>
        <v>298</v>
      </c>
      <c r="C51" s="19">
        <v>168</v>
      </c>
      <c r="D51" s="19">
        <v>130</v>
      </c>
      <c r="E51" s="16">
        <f t="shared" si="15"/>
        <v>248</v>
      </c>
      <c r="F51" s="19">
        <v>120</v>
      </c>
      <c r="G51" s="20">
        <v>128</v>
      </c>
      <c r="H51" s="16">
        <f t="shared" si="16"/>
        <v>242</v>
      </c>
      <c r="I51" s="19">
        <v>130</v>
      </c>
      <c r="J51" s="19">
        <v>112</v>
      </c>
      <c r="AC51" s="4">
        <f t="shared" si="5"/>
        <v>2715</v>
      </c>
      <c r="AD51" s="4">
        <f t="shared" si="6"/>
        <v>1418</v>
      </c>
      <c r="AE51" s="4">
        <f t="shared" si="7"/>
        <v>1297</v>
      </c>
      <c r="AF51" s="4">
        <f t="shared" si="8"/>
        <v>1047</v>
      </c>
      <c r="AG51" s="4">
        <f t="shared" si="9"/>
        <v>510</v>
      </c>
      <c r="AH51" s="4">
        <f t="shared" si="10"/>
        <v>537</v>
      </c>
      <c r="AI51" s="4">
        <f t="shared" si="11"/>
        <v>351</v>
      </c>
      <c r="AJ51" s="4">
        <f t="shared" si="12"/>
        <v>151</v>
      </c>
      <c r="AK51" s="4">
        <f t="shared" si="13"/>
        <v>200</v>
      </c>
    </row>
    <row r="52" spans="1:37" x14ac:dyDescent="0.25">
      <c r="A52" s="21" t="s">
        <v>24</v>
      </c>
      <c r="B52" s="22">
        <f t="shared" si="14"/>
        <v>160</v>
      </c>
      <c r="C52" s="19">
        <v>86</v>
      </c>
      <c r="D52" s="19">
        <v>74</v>
      </c>
      <c r="E52" s="16">
        <f t="shared" si="15"/>
        <v>167</v>
      </c>
      <c r="F52" s="19">
        <v>96</v>
      </c>
      <c r="G52" s="20">
        <v>71</v>
      </c>
      <c r="H52" s="16">
        <f t="shared" si="16"/>
        <v>242</v>
      </c>
      <c r="I52" s="19">
        <v>132</v>
      </c>
      <c r="J52" s="19">
        <v>110</v>
      </c>
    </row>
    <row r="53" spans="1:37" x14ac:dyDescent="0.25">
      <c r="A53" s="1" t="s">
        <v>8</v>
      </c>
      <c r="B53" s="25">
        <f t="shared" si="14"/>
        <v>361</v>
      </c>
      <c r="C53" s="29">
        <v>184</v>
      </c>
      <c r="D53" s="29">
        <v>177</v>
      </c>
      <c r="E53" s="28">
        <f t="shared" si="15"/>
        <v>388</v>
      </c>
      <c r="F53" s="29">
        <v>214</v>
      </c>
      <c r="G53" s="30">
        <v>174</v>
      </c>
      <c r="H53" s="28">
        <f t="shared" si="16"/>
        <v>402</v>
      </c>
      <c r="I53" s="29">
        <v>195</v>
      </c>
      <c r="J53" s="29">
        <v>207</v>
      </c>
    </row>
    <row r="54" spans="1:37" x14ac:dyDescent="0.25">
      <c r="A54" s="7" t="s">
        <v>0</v>
      </c>
      <c r="B54" s="43" t="s">
        <v>39</v>
      </c>
      <c r="C54" s="43"/>
      <c r="D54" s="43"/>
      <c r="E54" s="44" t="s">
        <v>40</v>
      </c>
      <c r="F54" s="43"/>
      <c r="G54" s="45"/>
      <c r="H54" s="43" t="s">
        <v>41</v>
      </c>
      <c r="I54" s="43"/>
      <c r="J54" s="43"/>
    </row>
    <row r="55" spans="1:37" x14ac:dyDescent="0.25">
      <c r="A55" s="8"/>
      <c r="B55" s="35" t="s">
        <v>29</v>
      </c>
      <c r="C55" s="35" t="s">
        <v>27</v>
      </c>
      <c r="D55" s="35" t="s">
        <v>28</v>
      </c>
      <c r="E55" s="12" t="s">
        <v>29</v>
      </c>
      <c r="F55" s="11" t="s">
        <v>27</v>
      </c>
      <c r="G55" s="13" t="s">
        <v>28</v>
      </c>
      <c r="H55" s="11" t="s">
        <v>29</v>
      </c>
      <c r="I55" s="11" t="s">
        <v>27</v>
      </c>
      <c r="J55" s="11" t="s">
        <v>28</v>
      </c>
    </row>
    <row r="56" spans="1:37" s="5" customFormat="1" x14ac:dyDescent="0.25">
      <c r="A56" s="3" t="s">
        <v>2</v>
      </c>
      <c r="B56" s="14">
        <f>C56+D56</f>
        <v>7169</v>
      </c>
      <c r="C56" s="15">
        <f>C57+C58</f>
        <v>3678</v>
      </c>
      <c r="D56" s="15">
        <f>D57+D58</f>
        <v>3491</v>
      </c>
      <c r="E56" s="16">
        <f>F56+G56</f>
        <v>6694</v>
      </c>
      <c r="F56" s="15">
        <f>F57+F58</f>
        <v>3459</v>
      </c>
      <c r="G56" s="17">
        <f>G57+G58</f>
        <v>3235</v>
      </c>
      <c r="H56" s="16">
        <f>I56+J56</f>
        <v>5887</v>
      </c>
      <c r="I56" s="15">
        <f>I57+I58</f>
        <v>2987</v>
      </c>
      <c r="J56" s="15">
        <f>J57+J58</f>
        <v>2900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37" x14ac:dyDescent="0.25">
      <c r="A57" s="3" t="s">
        <v>3</v>
      </c>
      <c r="B57" s="18">
        <f>SUM(C57:D57)</f>
        <v>2585</v>
      </c>
      <c r="C57" s="19">
        <v>1325</v>
      </c>
      <c r="D57" s="19">
        <v>1260</v>
      </c>
      <c r="E57" s="16">
        <f>F57+G57</f>
        <v>2376</v>
      </c>
      <c r="F57" s="19">
        <v>1199</v>
      </c>
      <c r="G57" s="20">
        <v>1177</v>
      </c>
      <c r="H57" s="16">
        <f>I57+J57</f>
        <v>2083</v>
      </c>
      <c r="I57" s="19">
        <v>1046</v>
      </c>
      <c r="J57" s="19">
        <v>1037</v>
      </c>
    </row>
    <row r="58" spans="1:37" s="5" customFormat="1" x14ac:dyDescent="0.25">
      <c r="A58" s="3" t="s">
        <v>4</v>
      </c>
      <c r="B58" s="18">
        <f>SUM(B59:B78)</f>
        <v>4584</v>
      </c>
      <c r="C58" s="15">
        <f>SUM(C59:C78)</f>
        <v>2353</v>
      </c>
      <c r="D58" s="15">
        <f>SUM(D59:D78)</f>
        <v>2231</v>
      </c>
      <c r="E58" s="16">
        <f>F58+G58</f>
        <v>4318</v>
      </c>
      <c r="F58" s="15">
        <f>SUM(F59:F78)</f>
        <v>2260</v>
      </c>
      <c r="G58" s="15">
        <f>SUM(G59:G78)</f>
        <v>2058</v>
      </c>
      <c r="H58" s="16">
        <f>I58+J58</f>
        <v>3804</v>
      </c>
      <c r="I58" s="15">
        <f>SUM(I59:I78)</f>
        <v>1941</v>
      </c>
      <c r="J58" s="15">
        <f>SUM(J59:J78)</f>
        <v>1863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37" x14ac:dyDescent="0.25">
      <c r="A59" s="21" t="s">
        <v>5</v>
      </c>
      <c r="B59" s="22">
        <f t="shared" ref="B59:B78" si="17">SUM(C59:D59)</f>
        <v>325</v>
      </c>
      <c r="C59" s="18">
        <v>178</v>
      </c>
      <c r="D59" s="18">
        <v>147</v>
      </c>
      <c r="E59" s="16">
        <f t="shared" ref="E59:E78" si="18">F59+G59</f>
        <v>284</v>
      </c>
      <c r="F59" s="19">
        <v>152</v>
      </c>
      <c r="G59" s="20">
        <v>132</v>
      </c>
      <c r="H59" s="16">
        <f t="shared" ref="H59:H78" si="19">I59+J59</f>
        <v>238</v>
      </c>
      <c r="I59" s="19">
        <v>123</v>
      </c>
      <c r="J59" s="19">
        <v>115</v>
      </c>
    </row>
    <row r="60" spans="1:37" x14ac:dyDescent="0.25">
      <c r="A60" s="21" t="s">
        <v>6</v>
      </c>
      <c r="B60" s="22">
        <f t="shared" si="17"/>
        <v>425</v>
      </c>
      <c r="C60" s="19">
        <v>212</v>
      </c>
      <c r="D60" s="19">
        <v>213</v>
      </c>
      <c r="E60" s="16">
        <f t="shared" si="18"/>
        <v>421</v>
      </c>
      <c r="F60" s="19">
        <v>221</v>
      </c>
      <c r="G60" s="20">
        <v>200</v>
      </c>
      <c r="H60" s="16">
        <f t="shared" si="19"/>
        <v>390</v>
      </c>
      <c r="I60" s="19">
        <v>205</v>
      </c>
      <c r="J60" s="19">
        <v>185</v>
      </c>
    </row>
    <row r="61" spans="1:37" x14ac:dyDescent="0.25">
      <c r="A61" s="21" t="s">
        <v>7</v>
      </c>
      <c r="B61" s="22">
        <f t="shared" si="17"/>
        <v>284</v>
      </c>
      <c r="C61" s="19">
        <v>141</v>
      </c>
      <c r="D61" s="19">
        <v>143</v>
      </c>
      <c r="E61" s="16">
        <f t="shared" si="18"/>
        <v>286</v>
      </c>
      <c r="F61" s="19">
        <v>143</v>
      </c>
      <c r="G61" s="20">
        <v>143</v>
      </c>
      <c r="H61" s="16">
        <f t="shared" si="19"/>
        <v>253</v>
      </c>
      <c r="I61" s="19">
        <v>119</v>
      </c>
      <c r="J61" s="19">
        <v>134</v>
      </c>
    </row>
    <row r="62" spans="1:37" x14ac:dyDescent="0.25">
      <c r="A62" s="21" t="s">
        <v>9</v>
      </c>
      <c r="B62" s="22">
        <f t="shared" si="17"/>
        <v>244</v>
      </c>
      <c r="C62" s="19">
        <v>118</v>
      </c>
      <c r="D62" s="19">
        <v>126</v>
      </c>
      <c r="E62" s="16">
        <f t="shared" si="18"/>
        <v>234</v>
      </c>
      <c r="F62" s="19">
        <v>124</v>
      </c>
      <c r="G62" s="20">
        <v>110</v>
      </c>
      <c r="H62" s="16">
        <f t="shared" si="19"/>
        <v>204</v>
      </c>
      <c r="I62" s="19">
        <v>105</v>
      </c>
      <c r="J62" s="19">
        <v>99</v>
      </c>
    </row>
    <row r="63" spans="1:37" x14ac:dyDescent="0.25">
      <c r="A63" s="21" t="s">
        <v>10</v>
      </c>
      <c r="B63" s="22">
        <f t="shared" si="17"/>
        <v>349</v>
      </c>
      <c r="C63" s="19">
        <v>172</v>
      </c>
      <c r="D63" s="19">
        <v>177</v>
      </c>
      <c r="E63" s="16">
        <f t="shared" si="18"/>
        <v>315</v>
      </c>
      <c r="F63" s="19">
        <v>181</v>
      </c>
      <c r="G63" s="20">
        <v>134</v>
      </c>
      <c r="H63" s="16">
        <f t="shared" si="19"/>
        <v>303</v>
      </c>
      <c r="I63" s="19">
        <v>156</v>
      </c>
      <c r="J63" s="19">
        <v>147</v>
      </c>
    </row>
    <row r="64" spans="1:37" x14ac:dyDescent="0.25">
      <c r="A64" s="21" t="s">
        <v>11</v>
      </c>
      <c r="B64" s="22">
        <f t="shared" si="17"/>
        <v>181</v>
      </c>
      <c r="C64" s="19">
        <v>97</v>
      </c>
      <c r="D64" s="19">
        <v>84</v>
      </c>
      <c r="E64" s="16">
        <f t="shared" si="18"/>
        <v>187</v>
      </c>
      <c r="F64" s="19">
        <v>91</v>
      </c>
      <c r="G64" s="20">
        <v>96</v>
      </c>
      <c r="H64" s="16">
        <f t="shared" si="19"/>
        <v>161</v>
      </c>
      <c r="I64" s="19">
        <v>91</v>
      </c>
      <c r="J64" s="19">
        <v>70</v>
      </c>
    </row>
    <row r="65" spans="1:10" x14ac:dyDescent="0.25">
      <c r="A65" s="21" t="s">
        <v>12</v>
      </c>
      <c r="B65" s="22">
        <f t="shared" si="17"/>
        <v>172</v>
      </c>
      <c r="C65" s="19">
        <v>82</v>
      </c>
      <c r="D65" s="19">
        <v>90</v>
      </c>
      <c r="E65" s="16">
        <f t="shared" si="18"/>
        <v>162</v>
      </c>
      <c r="F65" s="19">
        <v>73</v>
      </c>
      <c r="G65" s="20">
        <v>89</v>
      </c>
      <c r="H65" s="16">
        <f t="shared" si="19"/>
        <v>153</v>
      </c>
      <c r="I65" s="19">
        <v>77</v>
      </c>
      <c r="J65" s="19">
        <v>76</v>
      </c>
    </row>
    <row r="66" spans="1:10" x14ac:dyDescent="0.25">
      <c r="A66" s="21" t="s">
        <v>14</v>
      </c>
      <c r="B66" s="22">
        <f t="shared" si="17"/>
        <v>254</v>
      </c>
      <c r="C66" s="19">
        <v>138</v>
      </c>
      <c r="D66" s="19">
        <v>116</v>
      </c>
      <c r="E66" s="16">
        <f t="shared" si="18"/>
        <v>207</v>
      </c>
      <c r="F66" s="19">
        <v>111</v>
      </c>
      <c r="G66" s="20">
        <v>96</v>
      </c>
      <c r="H66" s="16">
        <f t="shared" si="19"/>
        <v>210</v>
      </c>
      <c r="I66" s="19">
        <v>111</v>
      </c>
      <c r="J66" s="19">
        <v>99</v>
      </c>
    </row>
    <row r="67" spans="1:10" x14ac:dyDescent="0.25">
      <c r="A67" s="21" t="s">
        <v>15</v>
      </c>
      <c r="B67" s="22">
        <f t="shared" si="17"/>
        <v>157</v>
      </c>
      <c r="C67" s="19">
        <v>80</v>
      </c>
      <c r="D67" s="19">
        <v>77</v>
      </c>
      <c r="E67" s="16">
        <f t="shared" si="18"/>
        <v>160</v>
      </c>
      <c r="F67" s="19">
        <v>87</v>
      </c>
      <c r="G67" s="20">
        <v>73</v>
      </c>
      <c r="H67" s="16">
        <f t="shared" si="19"/>
        <v>117</v>
      </c>
      <c r="I67" s="19">
        <v>51</v>
      </c>
      <c r="J67" s="19">
        <v>66</v>
      </c>
    </row>
    <row r="68" spans="1:10" x14ac:dyDescent="0.25">
      <c r="A68" s="21" t="s">
        <v>30</v>
      </c>
      <c r="B68" s="22">
        <f t="shared" si="17"/>
        <v>207</v>
      </c>
      <c r="C68" s="19">
        <v>118</v>
      </c>
      <c r="D68" s="19">
        <v>89</v>
      </c>
      <c r="E68" s="16">
        <f t="shared" si="18"/>
        <v>169</v>
      </c>
      <c r="F68" s="19">
        <v>87</v>
      </c>
      <c r="G68" s="20">
        <v>82</v>
      </c>
      <c r="H68" s="16">
        <f t="shared" si="19"/>
        <v>134</v>
      </c>
      <c r="I68" s="19">
        <v>65</v>
      </c>
      <c r="J68" s="19">
        <v>69</v>
      </c>
    </row>
    <row r="69" spans="1:10" x14ac:dyDescent="0.25">
      <c r="A69" s="21" t="s">
        <v>17</v>
      </c>
      <c r="B69" s="22">
        <f t="shared" si="17"/>
        <v>40</v>
      </c>
      <c r="C69" s="19">
        <v>23</v>
      </c>
      <c r="D69" s="19">
        <v>17</v>
      </c>
      <c r="E69" s="16">
        <f t="shared" si="18"/>
        <v>29</v>
      </c>
      <c r="F69" s="19">
        <v>17</v>
      </c>
      <c r="G69" s="20">
        <v>12</v>
      </c>
      <c r="H69" s="16">
        <f t="shared" si="19"/>
        <v>23</v>
      </c>
      <c r="I69" s="19">
        <v>12</v>
      </c>
      <c r="J69" s="19">
        <v>11</v>
      </c>
    </row>
    <row r="70" spans="1:10" x14ac:dyDescent="0.25">
      <c r="A70" s="21" t="s">
        <v>18</v>
      </c>
      <c r="B70" s="22">
        <f t="shared" si="17"/>
        <v>118</v>
      </c>
      <c r="C70" s="19">
        <v>69</v>
      </c>
      <c r="D70" s="19">
        <v>49</v>
      </c>
      <c r="E70" s="16">
        <f t="shared" si="18"/>
        <v>88</v>
      </c>
      <c r="F70" s="19">
        <v>44</v>
      </c>
      <c r="G70" s="20">
        <v>44</v>
      </c>
      <c r="H70" s="16">
        <f t="shared" si="19"/>
        <v>95</v>
      </c>
      <c r="I70" s="19">
        <v>44</v>
      </c>
      <c r="J70" s="19">
        <v>51</v>
      </c>
    </row>
    <row r="71" spans="1:10" x14ac:dyDescent="0.25">
      <c r="A71" s="21" t="s">
        <v>19</v>
      </c>
      <c r="B71" s="22">
        <f t="shared" si="17"/>
        <v>108</v>
      </c>
      <c r="C71" s="19">
        <v>61</v>
      </c>
      <c r="D71" s="19">
        <v>47</v>
      </c>
      <c r="E71" s="16">
        <f t="shared" si="18"/>
        <v>109</v>
      </c>
      <c r="F71" s="19">
        <v>55</v>
      </c>
      <c r="G71" s="20">
        <v>54</v>
      </c>
      <c r="H71" s="16">
        <f t="shared" si="19"/>
        <v>90</v>
      </c>
      <c r="I71" s="19">
        <v>53</v>
      </c>
      <c r="J71" s="19">
        <v>37</v>
      </c>
    </row>
    <row r="72" spans="1:10" x14ac:dyDescent="0.25">
      <c r="A72" s="21" t="s">
        <v>20</v>
      </c>
      <c r="B72" s="22">
        <f t="shared" si="17"/>
        <v>127</v>
      </c>
      <c r="C72" s="19">
        <v>65</v>
      </c>
      <c r="D72" s="19">
        <v>62</v>
      </c>
      <c r="E72" s="16">
        <f t="shared" si="18"/>
        <v>123</v>
      </c>
      <c r="F72" s="19">
        <v>61</v>
      </c>
      <c r="G72" s="20">
        <v>62</v>
      </c>
      <c r="H72" s="16">
        <f t="shared" si="19"/>
        <v>117</v>
      </c>
      <c r="I72" s="19">
        <v>53</v>
      </c>
      <c r="J72" s="19">
        <v>64</v>
      </c>
    </row>
    <row r="73" spans="1:10" x14ac:dyDescent="0.25">
      <c r="A73" s="21" t="s">
        <v>21</v>
      </c>
      <c r="B73" s="22">
        <f t="shared" si="17"/>
        <v>211</v>
      </c>
      <c r="C73" s="19">
        <v>102</v>
      </c>
      <c r="D73" s="19">
        <v>109</v>
      </c>
      <c r="E73" s="16">
        <f t="shared" si="18"/>
        <v>234</v>
      </c>
      <c r="F73" s="19">
        <v>118</v>
      </c>
      <c r="G73" s="20">
        <v>116</v>
      </c>
      <c r="H73" s="16">
        <f t="shared" si="19"/>
        <v>177</v>
      </c>
      <c r="I73" s="19">
        <v>87</v>
      </c>
      <c r="J73" s="19">
        <v>90</v>
      </c>
    </row>
    <row r="74" spans="1:10" x14ac:dyDescent="0.25">
      <c r="A74" s="21" t="s">
        <v>13</v>
      </c>
      <c r="B74" s="22">
        <f t="shared" si="17"/>
        <v>306</v>
      </c>
      <c r="C74" s="19">
        <v>157</v>
      </c>
      <c r="D74" s="19">
        <v>149</v>
      </c>
      <c r="E74" s="16">
        <f t="shared" si="18"/>
        <v>311</v>
      </c>
      <c r="F74" s="19">
        <v>172</v>
      </c>
      <c r="G74" s="20">
        <v>139</v>
      </c>
      <c r="H74" s="16">
        <f t="shared" si="19"/>
        <v>259</v>
      </c>
      <c r="I74" s="19">
        <v>129</v>
      </c>
      <c r="J74" s="19">
        <v>130</v>
      </c>
    </row>
    <row r="75" spans="1:10" x14ac:dyDescent="0.25">
      <c r="A75" s="21" t="s">
        <v>22</v>
      </c>
      <c r="B75" s="22">
        <f t="shared" si="17"/>
        <v>173</v>
      </c>
      <c r="C75" s="19">
        <v>87</v>
      </c>
      <c r="D75" s="19">
        <v>86</v>
      </c>
      <c r="E75" s="16">
        <f t="shared" si="18"/>
        <v>171</v>
      </c>
      <c r="F75" s="19">
        <v>93</v>
      </c>
      <c r="G75" s="20">
        <v>78</v>
      </c>
      <c r="H75" s="16">
        <f t="shared" si="19"/>
        <v>156</v>
      </c>
      <c r="I75" s="19">
        <v>82</v>
      </c>
      <c r="J75" s="19">
        <v>74</v>
      </c>
    </row>
    <row r="76" spans="1:10" x14ac:dyDescent="0.25">
      <c r="A76" s="21" t="s">
        <v>23</v>
      </c>
      <c r="B76" s="22">
        <f t="shared" si="17"/>
        <v>270</v>
      </c>
      <c r="C76" s="19">
        <v>140</v>
      </c>
      <c r="D76" s="19">
        <v>130</v>
      </c>
      <c r="E76" s="16">
        <f t="shared" si="18"/>
        <v>251</v>
      </c>
      <c r="F76" s="19">
        <v>134</v>
      </c>
      <c r="G76" s="20">
        <v>117</v>
      </c>
      <c r="H76" s="16">
        <f t="shared" si="19"/>
        <v>221</v>
      </c>
      <c r="I76" s="19">
        <v>122</v>
      </c>
      <c r="J76" s="19">
        <v>99</v>
      </c>
    </row>
    <row r="77" spans="1:10" x14ac:dyDescent="0.25">
      <c r="A77" s="21" t="s">
        <v>24</v>
      </c>
      <c r="B77" s="22">
        <f t="shared" si="17"/>
        <v>209</v>
      </c>
      <c r="C77" s="19">
        <v>101</v>
      </c>
      <c r="D77" s="19">
        <v>108</v>
      </c>
      <c r="E77" s="16">
        <f t="shared" si="18"/>
        <v>183</v>
      </c>
      <c r="F77" s="19">
        <v>87</v>
      </c>
      <c r="G77" s="20">
        <v>96</v>
      </c>
      <c r="H77" s="16">
        <f t="shared" si="19"/>
        <v>153</v>
      </c>
      <c r="I77" s="19">
        <v>69</v>
      </c>
      <c r="J77" s="19">
        <v>84</v>
      </c>
    </row>
    <row r="78" spans="1:10" x14ac:dyDescent="0.25">
      <c r="A78" s="1" t="s">
        <v>8</v>
      </c>
      <c r="B78" s="25">
        <f t="shared" si="17"/>
        <v>424</v>
      </c>
      <c r="C78" s="19">
        <v>212</v>
      </c>
      <c r="D78" s="19">
        <v>212</v>
      </c>
      <c r="E78" s="28">
        <f t="shared" si="18"/>
        <v>394</v>
      </c>
      <c r="F78" s="19">
        <v>209</v>
      </c>
      <c r="G78" s="20">
        <v>185</v>
      </c>
      <c r="H78" s="28">
        <f t="shared" si="19"/>
        <v>350</v>
      </c>
      <c r="I78" s="19">
        <v>187</v>
      </c>
      <c r="J78" s="19">
        <v>163</v>
      </c>
    </row>
    <row r="79" spans="1:10" x14ac:dyDescent="0.25">
      <c r="A79" s="7" t="s">
        <v>0</v>
      </c>
      <c r="B79" s="40" t="s">
        <v>42</v>
      </c>
      <c r="C79" s="40"/>
      <c r="D79" s="40"/>
      <c r="E79" s="41" t="s">
        <v>43</v>
      </c>
      <c r="F79" s="40"/>
      <c r="G79" s="42"/>
      <c r="H79" s="40" t="s">
        <v>44</v>
      </c>
      <c r="I79" s="40"/>
      <c r="J79" s="40"/>
    </row>
    <row r="80" spans="1:10" x14ac:dyDescent="0.25">
      <c r="A80" s="8"/>
      <c r="B80" s="11" t="s">
        <v>29</v>
      </c>
      <c r="C80" s="11" t="s">
        <v>27</v>
      </c>
      <c r="D80" s="11" t="s">
        <v>28</v>
      </c>
      <c r="E80" s="12" t="s">
        <v>29</v>
      </c>
      <c r="F80" s="11" t="s">
        <v>27</v>
      </c>
      <c r="G80" s="13" t="s">
        <v>28</v>
      </c>
      <c r="H80" s="11" t="s">
        <v>29</v>
      </c>
      <c r="I80" s="11" t="s">
        <v>27</v>
      </c>
      <c r="J80" s="11" t="s">
        <v>28</v>
      </c>
    </row>
    <row r="81" spans="1:25" s="5" customFormat="1" x14ac:dyDescent="0.25">
      <c r="A81" s="3" t="s">
        <v>2</v>
      </c>
      <c r="B81" s="14">
        <f>C81+D81</f>
        <v>5484</v>
      </c>
      <c r="C81" s="15">
        <f>C82+C83</f>
        <v>2771</v>
      </c>
      <c r="D81" s="15">
        <f>D82+D83</f>
        <v>2713</v>
      </c>
      <c r="E81" s="16">
        <f>F81+G81</f>
        <v>5271</v>
      </c>
      <c r="F81" s="15">
        <f>F82+F83</f>
        <v>2748</v>
      </c>
      <c r="G81" s="17">
        <f>G82+G83</f>
        <v>2523</v>
      </c>
      <c r="H81" s="16">
        <f>I81+J81</f>
        <v>5412</v>
      </c>
      <c r="I81" s="15">
        <f>I82+I83</f>
        <v>2828</v>
      </c>
      <c r="J81" s="15">
        <f>J82+J83</f>
        <v>2584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s="5" customFormat="1" x14ac:dyDescent="0.25">
      <c r="A82" s="3" t="s">
        <v>3</v>
      </c>
      <c r="B82" s="18">
        <f>SUM(C82:D82)</f>
        <v>1952</v>
      </c>
      <c r="C82" s="19">
        <v>1007</v>
      </c>
      <c r="D82" s="19">
        <v>945</v>
      </c>
      <c r="E82" s="16">
        <f>F82+G82</f>
        <v>1906</v>
      </c>
      <c r="F82" s="19">
        <v>985</v>
      </c>
      <c r="G82" s="20">
        <v>921</v>
      </c>
      <c r="H82" s="16">
        <f>I82+J82</f>
        <v>1815</v>
      </c>
      <c r="I82" s="19">
        <v>895</v>
      </c>
      <c r="J82" s="19">
        <v>920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s="5" customFormat="1" x14ac:dyDescent="0.25">
      <c r="A83" s="3" t="s">
        <v>4</v>
      </c>
      <c r="B83" s="18">
        <f>SUM(B84:B103)</f>
        <v>3532</v>
      </c>
      <c r="C83" s="15">
        <f>SUM(C84:C103)</f>
        <v>1764</v>
      </c>
      <c r="D83" s="15">
        <f>SUM(D84:D103)</f>
        <v>1768</v>
      </c>
      <c r="E83" s="16">
        <f>F83+G83</f>
        <v>3365</v>
      </c>
      <c r="F83" s="15">
        <f>SUM(F84:F103)</f>
        <v>1763</v>
      </c>
      <c r="G83" s="15">
        <f>SUM(G84:G103)</f>
        <v>1602</v>
      </c>
      <c r="H83" s="16">
        <f>I83+J83</f>
        <v>3597</v>
      </c>
      <c r="I83" s="15">
        <f>SUM(I84:I103)</f>
        <v>1933</v>
      </c>
      <c r="J83" s="15">
        <f>SUM(J84:J103)</f>
        <v>1664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25">
      <c r="A84" s="21" t="s">
        <v>5</v>
      </c>
      <c r="B84" s="22">
        <f t="shared" ref="B84:B103" si="20">SUM(C84:D84)</f>
        <v>226</v>
      </c>
      <c r="C84" s="19">
        <v>113</v>
      </c>
      <c r="D84" s="19">
        <v>113</v>
      </c>
      <c r="E84" s="16">
        <f t="shared" ref="E84:E103" si="21">F84+G84</f>
        <v>219</v>
      </c>
      <c r="F84" s="19">
        <v>118</v>
      </c>
      <c r="G84" s="20">
        <v>101</v>
      </c>
      <c r="H84" s="16">
        <f t="shared" ref="H84:H103" si="22">I84+J84</f>
        <v>254</v>
      </c>
      <c r="I84" s="19">
        <v>132</v>
      </c>
      <c r="J84" s="19">
        <v>122</v>
      </c>
    </row>
    <row r="85" spans="1:25" x14ac:dyDescent="0.25">
      <c r="A85" s="21" t="s">
        <v>6</v>
      </c>
      <c r="B85" s="22">
        <f t="shared" si="20"/>
        <v>310</v>
      </c>
      <c r="C85" s="19">
        <v>158</v>
      </c>
      <c r="D85" s="19">
        <v>152</v>
      </c>
      <c r="E85" s="16">
        <f t="shared" si="21"/>
        <v>314</v>
      </c>
      <c r="F85" s="19">
        <v>168</v>
      </c>
      <c r="G85" s="20">
        <v>146</v>
      </c>
      <c r="H85" s="16">
        <f t="shared" si="22"/>
        <v>359</v>
      </c>
      <c r="I85" s="19">
        <v>194</v>
      </c>
      <c r="J85" s="19">
        <v>165</v>
      </c>
    </row>
    <row r="86" spans="1:25" x14ac:dyDescent="0.25">
      <c r="A86" s="21" t="s">
        <v>7</v>
      </c>
      <c r="B86" s="22">
        <f t="shared" si="20"/>
        <v>235</v>
      </c>
      <c r="C86" s="19">
        <v>109</v>
      </c>
      <c r="D86" s="19">
        <v>126</v>
      </c>
      <c r="E86" s="16">
        <f t="shared" si="21"/>
        <v>242</v>
      </c>
      <c r="F86" s="19">
        <v>120</v>
      </c>
      <c r="G86" s="20">
        <v>122</v>
      </c>
      <c r="H86" s="16">
        <f t="shared" si="22"/>
        <v>247</v>
      </c>
      <c r="I86" s="19">
        <v>141</v>
      </c>
      <c r="J86" s="19">
        <v>106</v>
      </c>
    </row>
    <row r="87" spans="1:25" x14ac:dyDescent="0.25">
      <c r="A87" s="21" t="s">
        <v>9</v>
      </c>
      <c r="B87" s="22">
        <f t="shared" si="20"/>
        <v>175</v>
      </c>
      <c r="C87" s="19">
        <v>92</v>
      </c>
      <c r="D87" s="19">
        <v>83</v>
      </c>
      <c r="E87" s="16">
        <f t="shared" si="21"/>
        <v>171</v>
      </c>
      <c r="F87" s="19">
        <v>83</v>
      </c>
      <c r="G87" s="20">
        <v>88</v>
      </c>
      <c r="H87" s="16">
        <f t="shared" si="22"/>
        <v>185</v>
      </c>
      <c r="I87" s="19">
        <v>103</v>
      </c>
      <c r="J87" s="19">
        <v>82</v>
      </c>
    </row>
    <row r="88" spans="1:25" x14ac:dyDescent="0.25">
      <c r="A88" s="21" t="s">
        <v>10</v>
      </c>
      <c r="B88" s="22">
        <f t="shared" si="20"/>
        <v>291</v>
      </c>
      <c r="C88" s="19">
        <v>139</v>
      </c>
      <c r="D88" s="19">
        <v>152</v>
      </c>
      <c r="E88" s="16">
        <f t="shared" si="21"/>
        <v>251</v>
      </c>
      <c r="F88" s="19">
        <v>152</v>
      </c>
      <c r="G88" s="20">
        <v>99</v>
      </c>
      <c r="H88" s="16">
        <f t="shared" si="22"/>
        <v>328</v>
      </c>
      <c r="I88" s="19">
        <v>174</v>
      </c>
      <c r="J88" s="19">
        <v>154</v>
      </c>
    </row>
    <row r="89" spans="1:25" x14ac:dyDescent="0.25">
      <c r="A89" s="21" t="s">
        <v>11</v>
      </c>
      <c r="B89" s="22">
        <f t="shared" si="20"/>
        <v>164</v>
      </c>
      <c r="C89" s="19">
        <v>92</v>
      </c>
      <c r="D89" s="19">
        <v>72</v>
      </c>
      <c r="E89" s="16">
        <f t="shared" si="21"/>
        <v>178</v>
      </c>
      <c r="F89" s="19">
        <v>92</v>
      </c>
      <c r="G89" s="20">
        <v>86</v>
      </c>
      <c r="H89" s="16">
        <f t="shared" si="22"/>
        <v>160</v>
      </c>
      <c r="I89" s="19">
        <v>86</v>
      </c>
      <c r="J89" s="19">
        <v>74</v>
      </c>
    </row>
    <row r="90" spans="1:25" x14ac:dyDescent="0.25">
      <c r="A90" s="21" t="s">
        <v>12</v>
      </c>
      <c r="B90" s="22">
        <f t="shared" si="20"/>
        <v>144</v>
      </c>
      <c r="C90" s="19">
        <v>66</v>
      </c>
      <c r="D90" s="19">
        <v>78</v>
      </c>
      <c r="E90" s="16">
        <f t="shared" si="21"/>
        <v>130</v>
      </c>
      <c r="F90" s="19">
        <v>57</v>
      </c>
      <c r="G90" s="20">
        <v>73</v>
      </c>
      <c r="H90" s="16">
        <f t="shared" si="22"/>
        <v>145</v>
      </c>
      <c r="I90" s="19">
        <v>81</v>
      </c>
      <c r="J90" s="19">
        <v>64</v>
      </c>
    </row>
    <row r="91" spans="1:25" x14ac:dyDescent="0.25">
      <c r="A91" s="21" t="s">
        <v>14</v>
      </c>
      <c r="B91" s="22">
        <f t="shared" si="20"/>
        <v>169</v>
      </c>
      <c r="C91" s="19">
        <v>86</v>
      </c>
      <c r="D91" s="19">
        <v>83</v>
      </c>
      <c r="E91" s="16">
        <f t="shared" si="21"/>
        <v>165</v>
      </c>
      <c r="F91" s="19">
        <v>86</v>
      </c>
      <c r="G91" s="20">
        <v>79</v>
      </c>
      <c r="H91" s="16">
        <f t="shared" si="22"/>
        <v>156</v>
      </c>
      <c r="I91" s="19">
        <v>87</v>
      </c>
      <c r="J91" s="19">
        <v>69</v>
      </c>
    </row>
    <row r="92" spans="1:25" x14ac:dyDescent="0.25">
      <c r="A92" s="21" t="s">
        <v>15</v>
      </c>
      <c r="B92" s="22">
        <f t="shared" si="20"/>
        <v>121</v>
      </c>
      <c r="C92" s="19">
        <v>70</v>
      </c>
      <c r="D92" s="19">
        <v>51</v>
      </c>
      <c r="E92" s="16">
        <f t="shared" si="21"/>
        <v>110</v>
      </c>
      <c r="F92" s="19">
        <v>54</v>
      </c>
      <c r="G92" s="20">
        <v>56</v>
      </c>
      <c r="H92" s="16">
        <f t="shared" si="22"/>
        <v>97</v>
      </c>
      <c r="I92" s="19">
        <v>51</v>
      </c>
      <c r="J92" s="19">
        <v>46</v>
      </c>
    </row>
    <row r="93" spans="1:25" x14ac:dyDescent="0.25">
      <c r="A93" s="21" t="s">
        <v>30</v>
      </c>
      <c r="B93" s="22">
        <f t="shared" si="20"/>
        <v>141</v>
      </c>
      <c r="C93" s="19">
        <v>68</v>
      </c>
      <c r="D93" s="19">
        <v>73</v>
      </c>
      <c r="E93" s="16">
        <f t="shared" si="21"/>
        <v>144</v>
      </c>
      <c r="F93" s="19">
        <v>85</v>
      </c>
      <c r="G93" s="20">
        <v>59</v>
      </c>
      <c r="H93" s="16">
        <f t="shared" si="22"/>
        <v>87</v>
      </c>
      <c r="I93" s="19">
        <v>41</v>
      </c>
      <c r="J93" s="19">
        <v>46</v>
      </c>
    </row>
    <row r="94" spans="1:25" x14ac:dyDescent="0.25">
      <c r="A94" s="21" t="s">
        <v>17</v>
      </c>
      <c r="B94" s="22">
        <f t="shared" si="20"/>
        <v>23</v>
      </c>
      <c r="C94" s="19">
        <v>13</v>
      </c>
      <c r="D94" s="19">
        <v>10</v>
      </c>
      <c r="E94" s="16">
        <f t="shared" si="21"/>
        <v>20</v>
      </c>
      <c r="F94" s="19">
        <v>13</v>
      </c>
      <c r="G94" s="20">
        <v>7</v>
      </c>
      <c r="H94" s="16">
        <f t="shared" si="22"/>
        <v>18</v>
      </c>
      <c r="I94" s="19">
        <v>10</v>
      </c>
      <c r="J94" s="19">
        <v>8</v>
      </c>
    </row>
    <row r="95" spans="1:25" x14ac:dyDescent="0.25">
      <c r="A95" s="21" t="s">
        <v>18</v>
      </c>
      <c r="B95" s="22">
        <f t="shared" si="20"/>
        <v>78</v>
      </c>
      <c r="C95" s="19">
        <v>37</v>
      </c>
      <c r="D95" s="19">
        <v>41</v>
      </c>
      <c r="E95" s="16">
        <f t="shared" si="21"/>
        <v>61</v>
      </c>
      <c r="F95" s="19">
        <v>30</v>
      </c>
      <c r="G95" s="20">
        <v>31</v>
      </c>
      <c r="H95" s="16">
        <f t="shared" si="22"/>
        <v>68</v>
      </c>
      <c r="I95" s="19">
        <v>38</v>
      </c>
      <c r="J95" s="19">
        <v>30</v>
      </c>
    </row>
    <row r="96" spans="1:25" x14ac:dyDescent="0.25">
      <c r="A96" s="21" t="s">
        <v>19</v>
      </c>
      <c r="B96" s="22">
        <f t="shared" si="20"/>
        <v>91</v>
      </c>
      <c r="C96" s="19">
        <v>50</v>
      </c>
      <c r="D96" s="19">
        <v>41</v>
      </c>
      <c r="E96" s="16">
        <f t="shared" si="21"/>
        <v>80</v>
      </c>
      <c r="F96" s="19">
        <v>38</v>
      </c>
      <c r="G96" s="20">
        <v>42</v>
      </c>
      <c r="H96" s="16">
        <f t="shared" si="22"/>
        <v>74</v>
      </c>
      <c r="I96" s="19">
        <v>37</v>
      </c>
      <c r="J96" s="19">
        <v>37</v>
      </c>
    </row>
    <row r="97" spans="1:25" x14ac:dyDescent="0.25">
      <c r="A97" s="21" t="s">
        <v>20</v>
      </c>
      <c r="B97" s="22">
        <f t="shared" si="20"/>
        <v>113</v>
      </c>
      <c r="C97" s="19">
        <v>51</v>
      </c>
      <c r="D97" s="19">
        <v>62</v>
      </c>
      <c r="E97" s="16">
        <f t="shared" si="21"/>
        <v>74</v>
      </c>
      <c r="F97" s="19">
        <v>37</v>
      </c>
      <c r="G97" s="20">
        <v>37</v>
      </c>
      <c r="H97" s="16">
        <f t="shared" si="22"/>
        <v>97</v>
      </c>
      <c r="I97" s="19">
        <v>57</v>
      </c>
      <c r="J97" s="19">
        <v>40</v>
      </c>
    </row>
    <row r="98" spans="1:25" x14ac:dyDescent="0.25">
      <c r="A98" s="21" t="s">
        <v>21</v>
      </c>
      <c r="B98" s="22">
        <f t="shared" si="20"/>
        <v>148</v>
      </c>
      <c r="C98" s="19">
        <v>67</v>
      </c>
      <c r="D98" s="19">
        <v>81</v>
      </c>
      <c r="E98" s="16">
        <f t="shared" si="21"/>
        <v>132</v>
      </c>
      <c r="F98" s="19">
        <v>76</v>
      </c>
      <c r="G98" s="20">
        <v>56</v>
      </c>
      <c r="H98" s="16">
        <f t="shared" si="22"/>
        <v>161</v>
      </c>
      <c r="I98" s="19">
        <v>94</v>
      </c>
      <c r="J98" s="19">
        <v>67</v>
      </c>
    </row>
    <row r="99" spans="1:25" x14ac:dyDescent="0.25">
      <c r="A99" s="21" t="s">
        <v>13</v>
      </c>
      <c r="B99" s="22">
        <f t="shared" si="20"/>
        <v>237</v>
      </c>
      <c r="C99" s="19">
        <v>123</v>
      </c>
      <c r="D99" s="19">
        <v>114</v>
      </c>
      <c r="E99" s="16">
        <f t="shared" si="21"/>
        <v>194</v>
      </c>
      <c r="F99" s="19">
        <v>111</v>
      </c>
      <c r="G99" s="20">
        <v>83</v>
      </c>
      <c r="H99" s="16">
        <f t="shared" si="22"/>
        <v>267</v>
      </c>
      <c r="I99" s="19">
        <v>146</v>
      </c>
      <c r="J99" s="19">
        <v>121</v>
      </c>
    </row>
    <row r="100" spans="1:25" x14ac:dyDescent="0.25">
      <c r="A100" s="21" t="s">
        <v>22</v>
      </c>
      <c r="B100" s="22">
        <f t="shared" si="20"/>
        <v>157</v>
      </c>
      <c r="C100" s="19">
        <v>79</v>
      </c>
      <c r="D100" s="19">
        <v>78</v>
      </c>
      <c r="E100" s="16">
        <f t="shared" si="21"/>
        <v>146</v>
      </c>
      <c r="F100" s="19">
        <v>71</v>
      </c>
      <c r="G100" s="20">
        <v>75</v>
      </c>
      <c r="H100" s="16">
        <f t="shared" si="22"/>
        <v>174</v>
      </c>
      <c r="I100" s="19">
        <v>90</v>
      </c>
      <c r="J100" s="19">
        <v>84</v>
      </c>
    </row>
    <row r="101" spans="1:25" x14ac:dyDescent="0.25">
      <c r="A101" s="21" t="s">
        <v>23</v>
      </c>
      <c r="B101" s="22">
        <f t="shared" si="20"/>
        <v>235</v>
      </c>
      <c r="C101" s="19">
        <v>125</v>
      </c>
      <c r="D101" s="19">
        <v>110</v>
      </c>
      <c r="E101" s="16">
        <f t="shared" si="21"/>
        <v>217</v>
      </c>
      <c r="F101" s="19">
        <v>122</v>
      </c>
      <c r="G101" s="20">
        <v>95</v>
      </c>
      <c r="H101" s="16">
        <f t="shared" si="22"/>
        <v>224</v>
      </c>
      <c r="I101" s="19">
        <v>113</v>
      </c>
      <c r="J101" s="19">
        <v>111</v>
      </c>
    </row>
    <row r="102" spans="1:25" x14ac:dyDescent="0.25">
      <c r="A102" s="21" t="s">
        <v>24</v>
      </c>
      <c r="B102" s="22">
        <f t="shared" si="20"/>
        <v>137</v>
      </c>
      <c r="C102" s="19">
        <v>64</v>
      </c>
      <c r="D102" s="19">
        <v>73</v>
      </c>
      <c r="E102" s="16">
        <f t="shared" si="21"/>
        <v>146</v>
      </c>
      <c r="F102" s="19">
        <v>75</v>
      </c>
      <c r="G102" s="20">
        <v>71</v>
      </c>
      <c r="H102" s="16">
        <f t="shared" si="22"/>
        <v>157</v>
      </c>
      <c r="I102" s="19">
        <v>85</v>
      </c>
      <c r="J102" s="19">
        <v>72</v>
      </c>
    </row>
    <row r="103" spans="1:25" x14ac:dyDescent="0.25">
      <c r="A103" s="1" t="s">
        <v>8</v>
      </c>
      <c r="B103" s="25">
        <f t="shared" si="20"/>
        <v>337</v>
      </c>
      <c r="C103" s="29">
        <v>162</v>
      </c>
      <c r="D103" s="29">
        <v>175</v>
      </c>
      <c r="E103" s="28">
        <f t="shared" si="21"/>
        <v>371</v>
      </c>
      <c r="F103" s="29">
        <v>175</v>
      </c>
      <c r="G103" s="30">
        <v>196</v>
      </c>
      <c r="H103" s="28">
        <f t="shared" si="22"/>
        <v>339</v>
      </c>
      <c r="I103" s="29">
        <v>173</v>
      </c>
      <c r="J103" s="29">
        <v>166</v>
      </c>
    </row>
    <row r="104" spans="1:25" x14ac:dyDescent="0.25">
      <c r="A104" s="7" t="s">
        <v>0</v>
      </c>
      <c r="B104" s="43" t="s">
        <v>45</v>
      </c>
      <c r="C104" s="43"/>
      <c r="D104" s="43"/>
      <c r="E104" s="44" t="s">
        <v>46</v>
      </c>
      <c r="F104" s="43"/>
      <c r="G104" s="45"/>
      <c r="H104" s="43" t="s">
        <v>47</v>
      </c>
      <c r="I104" s="43"/>
      <c r="J104" s="43"/>
    </row>
    <row r="105" spans="1:25" x14ac:dyDescent="0.25">
      <c r="A105" s="8"/>
      <c r="B105" s="33" t="s">
        <v>29</v>
      </c>
      <c r="C105" s="33" t="s">
        <v>27</v>
      </c>
      <c r="D105" s="33" t="s">
        <v>28</v>
      </c>
      <c r="E105" s="32" t="s">
        <v>29</v>
      </c>
      <c r="F105" s="33" t="s">
        <v>27</v>
      </c>
      <c r="G105" s="34" t="s">
        <v>28</v>
      </c>
      <c r="H105" s="33" t="s">
        <v>29</v>
      </c>
      <c r="I105" s="33" t="s">
        <v>27</v>
      </c>
      <c r="J105" s="33" t="s">
        <v>28</v>
      </c>
    </row>
    <row r="106" spans="1:25" s="5" customFormat="1" x14ac:dyDescent="0.25">
      <c r="A106" s="3" t="s">
        <v>2</v>
      </c>
      <c r="B106" s="36">
        <f>C106+D106</f>
        <v>1838</v>
      </c>
      <c r="C106" s="15">
        <f>C107+C108</f>
        <v>836</v>
      </c>
      <c r="D106" s="15">
        <f>D107+D108</f>
        <v>1002</v>
      </c>
      <c r="E106" s="16">
        <f>F106+G106</f>
        <v>1938</v>
      </c>
      <c r="F106" s="15">
        <f>F107+F108</f>
        <v>867</v>
      </c>
      <c r="G106" s="17">
        <f>G107+G108</f>
        <v>1071</v>
      </c>
      <c r="H106" s="16">
        <f>I106+J106</f>
        <v>520</v>
      </c>
      <c r="I106" s="15">
        <f>I107+I108</f>
        <v>280</v>
      </c>
      <c r="J106" s="15">
        <f>J107+J108</f>
        <v>240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s="5" customFormat="1" x14ac:dyDescent="0.25">
      <c r="A107" s="3" t="s">
        <v>3</v>
      </c>
      <c r="B107" s="18">
        <f>SUM(C107:D107)</f>
        <v>1170</v>
      </c>
      <c r="C107" s="19">
        <v>541</v>
      </c>
      <c r="D107" s="19">
        <v>629</v>
      </c>
      <c r="E107" s="16">
        <f>F107+G107</f>
        <v>1167</v>
      </c>
      <c r="F107" s="19">
        <v>543</v>
      </c>
      <c r="G107" s="20">
        <v>624</v>
      </c>
      <c r="H107" s="16">
        <f>I107+J107</f>
        <v>388</v>
      </c>
      <c r="I107" s="19">
        <v>197</v>
      </c>
      <c r="J107" s="19">
        <v>191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s="5" customFormat="1" x14ac:dyDescent="0.25">
      <c r="A108" s="3" t="s">
        <v>4</v>
      </c>
      <c r="B108" s="18">
        <f>SUM(B109:B128)</f>
        <v>668</v>
      </c>
      <c r="C108" s="15">
        <f>SUM(C109:C128)</f>
        <v>295</v>
      </c>
      <c r="D108" s="15">
        <f>SUM(D109:D128)</f>
        <v>373</v>
      </c>
      <c r="E108" s="16">
        <f>F108+G108</f>
        <v>771</v>
      </c>
      <c r="F108" s="15">
        <f>SUM(F109:F128)</f>
        <v>324</v>
      </c>
      <c r="G108" s="15">
        <f>SUM(G109:G128)</f>
        <v>447</v>
      </c>
      <c r="H108" s="16">
        <f>I108+J108</f>
        <v>132</v>
      </c>
      <c r="I108" s="15">
        <f>SUM(I109:I128)</f>
        <v>83</v>
      </c>
      <c r="J108" s="15">
        <f>SUM(J109:J128)</f>
        <v>49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5">
      <c r="A109" s="21" t="s">
        <v>5</v>
      </c>
      <c r="B109" s="22">
        <f t="shared" ref="B109:B128" si="23">SUM(C109:D109)</f>
        <v>36</v>
      </c>
      <c r="C109" s="19">
        <v>11</v>
      </c>
      <c r="D109" s="19">
        <v>25</v>
      </c>
      <c r="E109" s="16">
        <f t="shared" ref="E109:E128" si="24">F109+G109</f>
        <v>57</v>
      </c>
      <c r="F109" s="19">
        <v>16</v>
      </c>
      <c r="G109" s="20">
        <v>41</v>
      </c>
      <c r="H109" s="16">
        <f t="shared" ref="H109:H128" si="25">I109+J109</f>
        <v>5</v>
      </c>
      <c r="I109" s="19">
        <v>4</v>
      </c>
      <c r="J109" s="19">
        <v>1</v>
      </c>
    </row>
    <row r="110" spans="1:25" x14ac:dyDescent="0.25">
      <c r="A110" s="21" t="s">
        <v>6</v>
      </c>
      <c r="B110" s="22">
        <f t="shared" si="23"/>
        <v>56</v>
      </c>
      <c r="C110" s="19">
        <v>23</v>
      </c>
      <c r="D110" s="19">
        <v>33</v>
      </c>
      <c r="E110" s="16">
        <f t="shared" si="24"/>
        <v>53</v>
      </c>
      <c r="F110" s="19">
        <v>19</v>
      </c>
      <c r="G110" s="20">
        <v>34</v>
      </c>
      <c r="H110" s="16">
        <f t="shared" si="25"/>
        <v>38</v>
      </c>
      <c r="I110" s="19">
        <v>25</v>
      </c>
      <c r="J110" s="19">
        <v>13</v>
      </c>
    </row>
    <row r="111" spans="1:25" x14ac:dyDescent="0.25">
      <c r="A111" s="21" t="s">
        <v>7</v>
      </c>
      <c r="B111" s="22">
        <f t="shared" si="23"/>
        <v>48</v>
      </c>
      <c r="C111" s="19">
        <v>25</v>
      </c>
      <c r="D111" s="19">
        <v>23</v>
      </c>
      <c r="E111" s="16">
        <f t="shared" si="24"/>
        <v>49</v>
      </c>
      <c r="F111" s="19">
        <v>22</v>
      </c>
      <c r="G111" s="20">
        <v>27</v>
      </c>
      <c r="H111" s="16">
        <f t="shared" si="25"/>
        <v>5</v>
      </c>
      <c r="I111" s="19">
        <v>3</v>
      </c>
      <c r="J111" s="19">
        <v>2</v>
      </c>
    </row>
    <row r="112" spans="1:25" x14ac:dyDescent="0.25">
      <c r="A112" s="21" t="s">
        <v>9</v>
      </c>
      <c r="B112" s="22">
        <f t="shared" si="23"/>
        <v>33</v>
      </c>
      <c r="C112" s="19">
        <v>18</v>
      </c>
      <c r="D112" s="19">
        <v>15</v>
      </c>
      <c r="E112" s="16">
        <f t="shared" si="24"/>
        <v>47</v>
      </c>
      <c r="F112" s="19">
        <v>23</v>
      </c>
      <c r="G112" s="20">
        <v>24</v>
      </c>
      <c r="H112" s="16">
        <f t="shared" si="25"/>
        <v>0</v>
      </c>
      <c r="I112" s="19">
        <v>0</v>
      </c>
      <c r="J112" s="19">
        <v>0</v>
      </c>
    </row>
    <row r="113" spans="1:60" x14ac:dyDescent="0.25">
      <c r="A113" s="21" t="s">
        <v>10</v>
      </c>
      <c r="B113" s="22">
        <f t="shared" si="23"/>
        <v>52</v>
      </c>
      <c r="C113" s="19">
        <v>25</v>
      </c>
      <c r="D113" s="19">
        <v>27</v>
      </c>
      <c r="E113" s="16">
        <f t="shared" si="24"/>
        <v>82</v>
      </c>
      <c r="F113" s="19">
        <v>44</v>
      </c>
      <c r="G113" s="20">
        <v>38</v>
      </c>
      <c r="H113" s="16">
        <f t="shared" si="25"/>
        <v>4</v>
      </c>
      <c r="I113" s="19">
        <v>3</v>
      </c>
      <c r="J113" s="19">
        <v>1</v>
      </c>
    </row>
    <row r="114" spans="1:60" x14ac:dyDescent="0.25">
      <c r="A114" s="21" t="s">
        <v>11</v>
      </c>
      <c r="B114" s="22">
        <f t="shared" si="23"/>
        <v>34</v>
      </c>
      <c r="C114" s="19">
        <v>11</v>
      </c>
      <c r="D114" s="19">
        <v>23</v>
      </c>
      <c r="E114" s="16">
        <f t="shared" si="24"/>
        <v>47</v>
      </c>
      <c r="F114" s="19">
        <v>19</v>
      </c>
      <c r="G114" s="20">
        <v>28</v>
      </c>
      <c r="H114" s="16">
        <f t="shared" si="25"/>
        <v>0</v>
      </c>
      <c r="I114" s="19">
        <v>0</v>
      </c>
      <c r="J114" s="19">
        <v>0</v>
      </c>
    </row>
    <row r="115" spans="1:60" x14ac:dyDescent="0.25">
      <c r="A115" s="21" t="s">
        <v>12</v>
      </c>
      <c r="B115" s="22">
        <f t="shared" si="23"/>
        <v>9</v>
      </c>
      <c r="C115" s="19">
        <v>2</v>
      </c>
      <c r="D115" s="19">
        <v>7</v>
      </c>
      <c r="E115" s="16">
        <f t="shared" si="24"/>
        <v>30</v>
      </c>
      <c r="F115" s="19">
        <v>15</v>
      </c>
      <c r="G115" s="20">
        <v>15</v>
      </c>
      <c r="H115" s="16">
        <f t="shared" si="25"/>
        <v>0</v>
      </c>
      <c r="I115" s="19">
        <v>0</v>
      </c>
      <c r="J115" s="19">
        <v>0</v>
      </c>
    </row>
    <row r="116" spans="1:60" x14ac:dyDescent="0.25">
      <c r="A116" s="21" t="s">
        <v>14</v>
      </c>
      <c r="B116" s="22">
        <f t="shared" si="23"/>
        <v>0</v>
      </c>
      <c r="C116" s="19">
        <v>0</v>
      </c>
      <c r="D116" s="19">
        <v>0</v>
      </c>
      <c r="E116" s="16">
        <f t="shared" si="24"/>
        <v>1</v>
      </c>
      <c r="F116" s="19">
        <v>1</v>
      </c>
      <c r="G116" s="20">
        <v>0</v>
      </c>
      <c r="H116" s="16">
        <f t="shared" si="25"/>
        <v>11</v>
      </c>
      <c r="I116" s="19">
        <v>9</v>
      </c>
      <c r="J116" s="19">
        <v>2</v>
      </c>
    </row>
    <row r="117" spans="1:60" x14ac:dyDescent="0.25">
      <c r="A117" s="21" t="s">
        <v>15</v>
      </c>
      <c r="B117" s="22">
        <f t="shared" si="23"/>
        <v>11</v>
      </c>
      <c r="C117" s="19">
        <v>6</v>
      </c>
      <c r="D117" s="19">
        <v>5</v>
      </c>
      <c r="E117" s="16">
        <f t="shared" si="24"/>
        <v>10</v>
      </c>
      <c r="F117" s="19">
        <v>5</v>
      </c>
      <c r="G117" s="20">
        <v>5</v>
      </c>
      <c r="H117" s="16">
        <f t="shared" si="25"/>
        <v>1</v>
      </c>
      <c r="I117" s="19">
        <v>1</v>
      </c>
      <c r="J117" s="19">
        <v>0</v>
      </c>
    </row>
    <row r="118" spans="1:60" x14ac:dyDescent="0.25">
      <c r="A118" s="21" t="s">
        <v>16</v>
      </c>
      <c r="B118" s="22">
        <f t="shared" si="23"/>
        <v>0</v>
      </c>
      <c r="C118" s="19">
        <v>0</v>
      </c>
      <c r="D118" s="19">
        <v>0</v>
      </c>
      <c r="E118" s="16">
        <f t="shared" si="24"/>
        <v>0</v>
      </c>
      <c r="F118" s="19">
        <v>0</v>
      </c>
      <c r="G118" s="20">
        <v>0</v>
      </c>
      <c r="H118" s="16">
        <f t="shared" si="25"/>
        <v>6</v>
      </c>
      <c r="I118" s="19">
        <v>1</v>
      </c>
      <c r="J118" s="19">
        <v>5</v>
      </c>
    </row>
    <row r="119" spans="1:60" x14ac:dyDescent="0.25">
      <c r="A119" s="21" t="s">
        <v>17</v>
      </c>
      <c r="B119" s="22">
        <f t="shared" si="23"/>
        <v>0</v>
      </c>
      <c r="C119" s="19">
        <v>0</v>
      </c>
      <c r="D119" s="19">
        <v>0</v>
      </c>
      <c r="E119" s="16">
        <f t="shared" si="24"/>
        <v>0</v>
      </c>
      <c r="F119" s="19">
        <v>0</v>
      </c>
      <c r="G119" s="20">
        <v>0</v>
      </c>
      <c r="H119" s="16">
        <f t="shared" si="25"/>
        <v>0</v>
      </c>
      <c r="I119" s="19">
        <v>0</v>
      </c>
      <c r="J119" s="19">
        <v>0</v>
      </c>
    </row>
    <row r="120" spans="1:60" x14ac:dyDescent="0.25">
      <c r="A120" s="21" t="s">
        <v>18</v>
      </c>
      <c r="B120" s="22">
        <f t="shared" si="23"/>
        <v>13</v>
      </c>
      <c r="C120" s="19">
        <v>7</v>
      </c>
      <c r="D120" s="19">
        <v>6</v>
      </c>
      <c r="E120" s="16">
        <f t="shared" si="24"/>
        <v>22</v>
      </c>
      <c r="F120" s="19">
        <v>11</v>
      </c>
      <c r="G120" s="20">
        <v>11</v>
      </c>
      <c r="H120" s="16">
        <f t="shared" si="25"/>
        <v>0</v>
      </c>
      <c r="I120" s="19">
        <v>0</v>
      </c>
      <c r="J120" s="19">
        <v>0</v>
      </c>
    </row>
    <row r="121" spans="1:60" x14ac:dyDescent="0.25">
      <c r="A121" s="21" t="s">
        <v>19</v>
      </c>
      <c r="B121" s="22">
        <f t="shared" si="23"/>
        <v>43</v>
      </c>
      <c r="C121" s="19">
        <v>21</v>
      </c>
      <c r="D121" s="19">
        <v>22</v>
      </c>
      <c r="E121" s="16">
        <f t="shared" si="24"/>
        <v>22</v>
      </c>
      <c r="F121" s="19">
        <v>11</v>
      </c>
      <c r="G121" s="20">
        <v>11</v>
      </c>
      <c r="H121" s="16">
        <f t="shared" si="25"/>
        <v>4</v>
      </c>
      <c r="I121" s="19">
        <v>4</v>
      </c>
      <c r="J121" s="19">
        <v>0</v>
      </c>
    </row>
    <row r="122" spans="1:60" x14ac:dyDescent="0.25">
      <c r="A122" s="21" t="s">
        <v>20</v>
      </c>
      <c r="B122" s="22">
        <f t="shared" si="23"/>
        <v>29</v>
      </c>
      <c r="C122" s="19">
        <v>12</v>
      </c>
      <c r="D122" s="19">
        <v>17</v>
      </c>
      <c r="E122" s="16">
        <f t="shared" si="24"/>
        <v>31</v>
      </c>
      <c r="F122" s="19">
        <v>11</v>
      </c>
      <c r="G122" s="20">
        <v>20</v>
      </c>
      <c r="H122" s="16">
        <f t="shared" si="25"/>
        <v>0</v>
      </c>
      <c r="I122" s="19">
        <v>0</v>
      </c>
      <c r="J122" s="19">
        <v>0</v>
      </c>
    </row>
    <row r="123" spans="1:60" x14ac:dyDescent="0.25">
      <c r="A123" s="21" t="s">
        <v>21</v>
      </c>
      <c r="B123" s="22">
        <f t="shared" si="23"/>
        <v>13</v>
      </c>
      <c r="C123" s="19">
        <v>5</v>
      </c>
      <c r="D123" s="19">
        <v>8</v>
      </c>
      <c r="E123" s="16">
        <f t="shared" si="24"/>
        <v>19</v>
      </c>
      <c r="F123" s="19">
        <v>8</v>
      </c>
      <c r="G123" s="20">
        <v>11</v>
      </c>
      <c r="H123" s="16">
        <f t="shared" si="25"/>
        <v>2</v>
      </c>
      <c r="I123" s="19">
        <v>1</v>
      </c>
      <c r="J123" s="19">
        <v>1</v>
      </c>
      <c r="AC123" s="2" t="s">
        <v>48</v>
      </c>
      <c r="AE123" s="2" t="s">
        <v>49</v>
      </c>
      <c r="AG123" s="2" t="s">
        <v>50</v>
      </c>
      <c r="AI123" s="2" t="s">
        <v>51</v>
      </c>
      <c r="AK123" s="2" t="s">
        <v>52</v>
      </c>
      <c r="AM123" s="2" t="s">
        <v>53</v>
      </c>
      <c r="AO123" s="2" t="s">
        <v>54</v>
      </c>
      <c r="AQ123" s="2" t="s">
        <v>55</v>
      </c>
      <c r="AS123" s="2" t="s">
        <v>56</v>
      </c>
      <c r="AU123" s="2" t="s">
        <v>57</v>
      </c>
      <c r="AW123" s="2" t="s">
        <v>58</v>
      </c>
      <c r="AY123" s="2" t="s">
        <v>59</v>
      </c>
      <c r="BA123" s="2" t="s">
        <v>60</v>
      </c>
      <c r="BC123" s="2" t="s">
        <v>61</v>
      </c>
      <c r="BE123" s="2" t="s">
        <v>62</v>
      </c>
      <c r="BG123" s="2" t="s">
        <v>63</v>
      </c>
    </row>
    <row r="124" spans="1:60" x14ac:dyDescent="0.25">
      <c r="A124" s="21" t="s">
        <v>13</v>
      </c>
      <c r="B124" s="22">
        <f t="shared" si="23"/>
        <v>44</v>
      </c>
      <c r="C124" s="19">
        <v>22</v>
      </c>
      <c r="D124" s="19">
        <v>22</v>
      </c>
      <c r="E124" s="16">
        <f t="shared" si="24"/>
        <v>53</v>
      </c>
      <c r="F124" s="19">
        <v>23</v>
      </c>
      <c r="G124" s="20">
        <v>30</v>
      </c>
      <c r="H124" s="16">
        <f t="shared" si="25"/>
        <v>7</v>
      </c>
      <c r="I124" s="19">
        <v>2</v>
      </c>
      <c r="J124" s="19">
        <v>5</v>
      </c>
      <c r="AC124" s="2" t="s">
        <v>18</v>
      </c>
      <c r="AD124" s="2" t="s">
        <v>19</v>
      </c>
      <c r="AE124" s="2" t="s">
        <v>18</v>
      </c>
      <c r="AF124" s="2" t="s">
        <v>19</v>
      </c>
      <c r="AG124" s="2" t="s">
        <v>18</v>
      </c>
      <c r="AH124" s="2" t="s">
        <v>19</v>
      </c>
      <c r="AI124" s="2" t="s">
        <v>18</v>
      </c>
      <c r="AJ124" s="2" t="s">
        <v>19</v>
      </c>
      <c r="AK124" s="2" t="s">
        <v>18</v>
      </c>
      <c r="AL124" s="2" t="s">
        <v>19</v>
      </c>
      <c r="AM124" s="2" t="s">
        <v>18</v>
      </c>
      <c r="AN124" s="2" t="s">
        <v>19</v>
      </c>
      <c r="AO124" s="2" t="s">
        <v>18</v>
      </c>
      <c r="AP124" s="2" t="s">
        <v>19</v>
      </c>
      <c r="AQ124" s="2" t="s">
        <v>18</v>
      </c>
      <c r="AR124" s="2" t="s">
        <v>19</v>
      </c>
      <c r="AS124" s="2" t="s">
        <v>18</v>
      </c>
      <c r="AT124" s="2" t="s">
        <v>19</v>
      </c>
      <c r="AU124" s="2" t="s">
        <v>18</v>
      </c>
      <c r="AV124" s="2" t="s">
        <v>19</v>
      </c>
      <c r="AW124" s="2" t="s">
        <v>18</v>
      </c>
      <c r="AX124" s="2" t="s">
        <v>19</v>
      </c>
      <c r="AY124" s="2" t="s">
        <v>18</v>
      </c>
      <c r="AZ124" s="2" t="s">
        <v>19</v>
      </c>
      <c r="BA124" s="2" t="s">
        <v>18</v>
      </c>
      <c r="BB124" s="2" t="s">
        <v>19</v>
      </c>
      <c r="BC124" s="2" t="s">
        <v>18</v>
      </c>
      <c r="BD124" s="2" t="s">
        <v>19</v>
      </c>
      <c r="BE124" s="2" t="s">
        <v>18</v>
      </c>
      <c r="BF124" s="2" t="s">
        <v>19</v>
      </c>
      <c r="BG124" s="2" t="s">
        <v>18</v>
      </c>
      <c r="BH124" s="2" t="s">
        <v>19</v>
      </c>
    </row>
    <row r="125" spans="1:60" x14ac:dyDescent="0.25">
      <c r="A125" s="21" t="s">
        <v>22</v>
      </c>
      <c r="B125" s="22">
        <f t="shared" si="23"/>
        <v>16</v>
      </c>
      <c r="C125" s="19">
        <v>5</v>
      </c>
      <c r="D125" s="19">
        <v>11</v>
      </c>
      <c r="E125" s="16">
        <f t="shared" si="24"/>
        <v>9</v>
      </c>
      <c r="F125" s="19">
        <v>4</v>
      </c>
      <c r="G125" s="20">
        <v>5</v>
      </c>
      <c r="H125" s="16">
        <f t="shared" si="25"/>
        <v>0</v>
      </c>
      <c r="I125" s="19">
        <v>0</v>
      </c>
      <c r="J125" s="19">
        <v>0</v>
      </c>
      <c r="AC125" s="2">
        <v>2653</v>
      </c>
      <c r="AD125" s="2">
        <v>2660</v>
      </c>
      <c r="AE125" s="2">
        <v>3579</v>
      </c>
      <c r="AF125" s="2">
        <v>3411</v>
      </c>
      <c r="AG125" s="2">
        <v>3782</v>
      </c>
      <c r="AH125" s="2">
        <v>3511</v>
      </c>
      <c r="AI125" s="2">
        <v>4042</v>
      </c>
      <c r="AJ125" s="2">
        <v>3648</v>
      </c>
      <c r="AK125" s="2">
        <v>3919</v>
      </c>
      <c r="AL125" s="2">
        <v>3541</v>
      </c>
      <c r="AM125" s="2">
        <v>3739</v>
      </c>
      <c r="AN125" s="2">
        <v>3430</v>
      </c>
      <c r="AO125" s="2">
        <v>3711</v>
      </c>
      <c r="AP125" s="2">
        <v>3593</v>
      </c>
      <c r="AQ125" s="2">
        <v>3678</v>
      </c>
      <c r="AR125" s="2">
        <v>3491</v>
      </c>
      <c r="AS125" s="2">
        <v>3459</v>
      </c>
      <c r="AT125" s="2">
        <v>3235</v>
      </c>
      <c r="AU125" s="2">
        <v>2987</v>
      </c>
      <c r="AV125" s="2">
        <v>2900</v>
      </c>
      <c r="AW125" s="2">
        <v>2771</v>
      </c>
      <c r="AX125" s="2">
        <v>2713</v>
      </c>
      <c r="AY125" s="2">
        <v>2748</v>
      </c>
      <c r="AZ125" s="2">
        <v>2523</v>
      </c>
      <c r="BA125" s="2">
        <v>2828</v>
      </c>
      <c r="BB125" s="2">
        <v>2584</v>
      </c>
      <c r="BC125" s="2">
        <v>836</v>
      </c>
      <c r="BD125" s="2">
        <v>1002</v>
      </c>
      <c r="BE125" s="2">
        <v>867</v>
      </c>
      <c r="BF125" s="2">
        <v>1071</v>
      </c>
      <c r="BG125" s="2">
        <v>280</v>
      </c>
      <c r="BH125" s="2">
        <v>240</v>
      </c>
    </row>
    <row r="126" spans="1:60" x14ac:dyDescent="0.25">
      <c r="A126" s="21" t="s">
        <v>23</v>
      </c>
      <c r="B126" s="22">
        <f t="shared" si="23"/>
        <v>26</v>
      </c>
      <c r="C126" s="19">
        <v>13</v>
      </c>
      <c r="D126" s="19">
        <v>13</v>
      </c>
      <c r="E126" s="16">
        <f t="shared" si="24"/>
        <v>30</v>
      </c>
      <c r="F126" s="19">
        <v>13</v>
      </c>
      <c r="G126" s="20">
        <v>17</v>
      </c>
      <c r="H126" s="16">
        <f t="shared" si="25"/>
        <v>3</v>
      </c>
      <c r="I126" s="19">
        <v>2</v>
      </c>
      <c r="J126" s="19">
        <v>1</v>
      </c>
    </row>
    <row r="127" spans="1:60" x14ac:dyDescent="0.25">
      <c r="A127" s="21" t="s">
        <v>24</v>
      </c>
      <c r="B127" s="22">
        <f t="shared" si="23"/>
        <v>36</v>
      </c>
      <c r="C127" s="19">
        <v>8</v>
      </c>
      <c r="D127" s="19">
        <v>28</v>
      </c>
      <c r="E127" s="16">
        <f t="shared" si="24"/>
        <v>27</v>
      </c>
      <c r="F127" s="19">
        <v>9</v>
      </c>
      <c r="G127" s="20">
        <v>18</v>
      </c>
      <c r="H127" s="16">
        <f t="shared" si="25"/>
        <v>35</v>
      </c>
      <c r="I127" s="19">
        <v>22</v>
      </c>
      <c r="J127" s="19">
        <v>13</v>
      </c>
    </row>
    <row r="128" spans="1:60" x14ac:dyDescent="0.25">
      <c r="A128" s="1" t="s">
        <v>8</v>
      </c>
      <c r="B128" s="25">
        <f t="shared" si="23"/>
        <v>169</v>
      </c>
      <c r="C128" s="29">
        <v>81</v>
      </c>
      <c r="D128" s="29">
        <v>88</v>
      </c>
      <c r="E128" s="28">
        <f t="shared" si="24"/>
        <v>182</v>
      </c>
      <c r="F128" s="29">
        <v>70</v>
      </c>
      <c r="G128" s="30">
        <v>112</v>
      </c>
      <c r="H128" s="28">
        <f t="shared" si="25"/>
        <v>11</v>
      </c>
      <c r="I128" s="29">
        <v>6</v>
      </c>
      <c r="J128" s="29">
        <v>5</v>
      </c>
    </row>
    <row r="129" spans="1:10" x14ac:dyDescent="0.25">
      <c r="A129" s="6" t="s">
        <v>25</v>
      </c>
      <c r="B129" s="37"/>
      <c r="C129" s="37"/>
      <c r="D129" s="37"/>
      <c r="E129" s="37"/>
      <c r="F129" s="37"/>
      <c r="G129" s="37"/>
      <c r="H129" s="37"/>
      <c r="I129" s="37"/>
      <c r="J129" s="39" t="s">
        <v>26</v>
      </c>
    </row>
  </sheetData>
  <mergeCells count="19">
    <mergeCell ref="A2:J2"/>
    <mergeCell ref="A3:J3"/>
    <mergeCell ref="A4:A5"/>
    <mergeCell ref="B4:D4"/>
    <mergeCell ref="E4:G4"/>
    <mergeCell ref="H4:J4"/>
    <mergeCell ref="AC27:AE27"/>
    <mergeCell ref="B29:D29"/>
    <mergeCell ref="E29:G29"/>
    <mergeCell ref="H29:J29"/>
    <mergeCell ref="B54:D54"/>
    <mergeCell ref="E54:G54"/>
    <mergeCell ref="H54:J54"/>
    <mergeCell ref="B79:D79"/>
    <mergeCell ref="E79:G79"/>
    <mergeCell ref="H79:J79"/>
    <mergeCell ref="B104:D104"/>
    <mergeCell ref="E104:G104"/>
    <mergeCell ref="H104:J104"/>
  </mergeCells>
  <pageMargins left="0.7" right="0.7" top="0.75" bottom="0.75" header="0.3" footer="0.3"/>
  <pageSetup scale="7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7.10</vt:lpstr>
      <vt:lpstr>'7.10'!Print_Area</vt:lpstr>
      <vt:lpstr>'7.10'!Print_Titles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2020-06-27T02:47:20Z</cp:lastPrinted>
  <dcterms:created xsi:type="dcterms:W3CDTF">2019-02-28T08:20:57Z</dcterms:created>
  <dcterms:modified xsi:type="dcterms:W3CDTF">2020-06-27T02:47:54Z</dcterms:modified>
</cp:coreProperties>
</file>