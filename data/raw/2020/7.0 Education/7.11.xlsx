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7. EDUCATION\"/>
    </mc:Choice>
  </mc:AlternateContent>
  <bookViews>
    <workbookView xWindow="0" yWindow="0" windowWidth="28800" windowHeight="12330" tabRatio="834"/>
  </bookViews>
  <sheets>
    <sheet name="7.11" sheetId="11" r:id="rId1"/>
  </sheets>
  <definedNames>
    <definedName name="_xlnm.Print_Area" localSheetId="0">'7.11'!$A$1:$T$27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1" l="1"/>
  <c r="D7" i="11"/>
  <c r="C8" i="11"/>
  <c r="D8" i="11"/>
  <c r="C9" i="11"/>
  <c r="D9" i="11"/>
  <c r="C10" i="11"/>
  <c r="D10" i="11"/>
  <c r="C11" i="11"/>
  <c r="D11" i="11"/>
  <c r="C12" i="11"/>
  <c r="D12" i="11"/>
  <c r="C13" i="11"/>
  <c r="D13" i="11"/>
  <c r="C14" i="11"/>
  <c r="D14" i="11"/>
  <c r="C15" i="11"/>
  <c r="D15" i="11"/>
  <c r="C16" i="11"/>
  <c r="D16" i="11"/>
  <c r="C17" i="11"/>
  <c r="D17" i="11"/>
  <c r="C18" i="11"/>
  <c r="D18" i="11"/>
  <c r="C19" i="11"/>
  <c r="D19" i="11"/>
  <c r="C20" i="11"/>
  <c r="D20" i="11"/>
  <c r="C21" i="11"/>
  <c r="D21" i="11"/>
  <c r="C22" i="11"/>
  <c r="D22" i="11"/>
  <c r="C23" i="11"/>
  <c r="D23" i="11"/>
  <c r="C24" i="11"/>
  <c r="D24" i="11"/>
  <c r="C25" i="11"/>
  <c r="D25" i="11"/>
  <c r="C26" i="11"/>
  <c r="D26" i="11"/>
  <c r="G6" i="11"/>
  <c r="F6" i="11"/>
  <c r="C6" i="11" s="1"/>
  <c r="I6" i="11"/>
  <c r="J6" i="11"/>
  <c r="D6" i="11" s="1"/>
  <c r="L6" i="11"/>
  <c r="M6" i="11"/>
  <c r="K6" i="11" s="1"/>
  <c r="O6" i="11"/>
  <c r="P6" i="11"/>
  <c r="R6" i="11"/>
  <c r="S6" i="11"/>
  <c r="E7" i="11"/>
  <c r="B7" i="11" s="1"/>
  <c r="H7" i="11"/>
  <c r="K7" i="11"/>
  <c r="N7" i="11"/>
  <c r="Q7" i="11"/>
  <c r="E8" i="11"/>
  <c r="B8" i="11" s="1"/>
  <c r="H8" i="11"/>
  <c r="K8" i="11"/>
  <c r="N8" i="11"/>
  <c r="Q8" i="11"/>
  <c r="E9" i="11"/>
  <c r="H9" i="11"/>
  <c r="K9" i="11"/>
  <c r="N9" i="11"/>
  <c r="B9" i="11" s="1"/>
  <c r="Q9" i="11"/>
  <c r="E10" i="11"/>
  <c r="B10" i="11" s="1"/>
  <c r="H10" i="11"/>
  <c r="K10" i="11"/>
  <c r="N10" i="11"/>
  <c r="Q10" i="11"/>
  <c r="E11" i="11"/>
  <c r="B11" i="11" s="1"/>
  <c r="H11" i="11"/>
  <c r="K11" i="11"/>
  <c r="N11" i="11"/>
  <c r="Q11" i="11"/>
  <c r="E12" i="11"/>
  <c r="B12" i="11" s="1"/>
  <c r="H12" i="11"/>
  <c r="K12" i="11"/>
  <c r="N12" i="11"/>
  <c r="Q12" i="11"/>
  <c r="E13" i="11"/>
  <c r="H13" i="11"/>
  <c r="K13" i="11"/>
  <c r="N13" i="11"/>
  <c r="B13" i="11" s="1"/>
  <c r="Q13" i="11"/>
  <c r="E14" i="11"/>
  <c r="B14" i="11" s="1"/>
  <c r="H14" i="11"/>
  <c r="K14" i="11"/>
  <c r="N14" i="11"/>
  <c r="Q14" i="11"/>
  <c r="E15" i="11"/>
  <c r="B15" i="11" s="1"/>
  <c r="H15" i="11"/>
  <c r="K15" i="11"/>
  <c r="N15" i="11"/>
  <c r="Q15" i="11"/>
  <c r="E16" i="11"/>
  <c r="B16" i="11" s="1"/>
  <c r="H16" i="11"/>
  <c r="K16" i="11"/>
  <c r="N16" i="11"/>
  <c r="Q16" i="11"/>
  <c r="E17" i="11"/>
  <c r="H17" i="11"/>
  <c r="K17" i="11"/>
  <c r="N17" i="11"/>
  <c r="B17" i="11" s="1"/>
  <c r="Q17" i="11"/>
  <c r="E18" i="11"/>
  <c r="B18" i="11" s="1"/>
  <c r="H18" i="11"/>
  <c r="K18" i="11"/>
  <c r="N18" i="11"/>
  <c r="Q18" i="11"/>
  <c r="E19" i="11"/>
  <c r="B19" i="11" s="1"/>
  <c r="H19" i="11"/>
  <c r="K19" i="11"/>
  <c r="N19" i="11"/>
  <c r="Q19" i="11"/>
  <c r="E20" i="11"/>
  <c r="B20" i="11" s="1"/>
  <c r="H20" i="11"/>
  <c r="K20" i="11"/>
  <c r="N20" i="11"/>
  <c r="Q20" i="11"/>
  <c r="E21" i="11"/>
  <c r="H21" i="11"/>
  <c r="K21" i="11"/>
  <c r="N21" i="11"/>
  <c r="B21" i="11" s="1"/>
  <c r="Q21" i="11"/>
  <c r="E22" i="11"/>
  <c r="B22" i="11" s="1"/>
  <c r="H22" i="11"/>
  <c r="K22" i="11"/>
  <c r="N22" i="11"/>
  <c r="Q22" i="11"/>
  <c r="E23" i="11"/>
  <c r="B23" i="11" s="1"/>
  <c r="H23" i="11"/>
  <c r="K23" i="11"/>
  <c r="N23" i="11"/>
  <c r="Q23" i="11"/>
  <c r="E24" i="11"/>
  <c r="B24" i="11" s="1"/>
  <c r="H24" i="11"/>
  <c r="K24" i="11"/>
  <c r="N24" i="11"/>
  <c r="Q24" i="11"/>
  <c r="E25" i="11"/>
  <c r="H25" i="11"/>
  <c r="K25" i="11"/>
  <c r="N25" i="11"/>
  <c r="B25" i="11" s="1"/>
  <c r="Q25" i="11"/>
  <c r="E26" i="11"/>
  <c r="B26" i="11" s="1"/>
  <c r="H26" i="11"/>
  <c r="K26" i="11"/>
  <c r="N26" i="11"/>
  <c r="Q26" i="11"/>
  <c r="Q6" i="11" l="1"/>
  <c r="N6" i="11"/>
  <c r="H6" i="11"/>
  <c r="E6" i="11"/>
  <c r="B6" i="11" s="1"/>
</calcChain>
</file>

<file path=xl/sharedStrings.xml><?xml version="1.0" encoding="utf-8"?>
<sst xmlns="http://schemas.openxmlformats.org/spreadsheetml/2006/main" count="50" uniqueCount="35">
  <si>
    <t>Total</t>
  </si>
  <si>
    <t>Atolls</t>
  </si>
  <si>
    <t>HA</t>
  </si>
  <si>
    <t>HDh</t>
  </si>
  <si>
    <t>Sh</t>
  </si>
  <si>
    <t>S</t>
  </si>
  <si>
    <t>N</t>
  </si>
  <si>
    <t>R</t>
  </si>
  <si>
    <t>B</t>
  </si>
  <si>
    <t>Lh</t>
  </si>
  <si>
    <t>L</t>
  </si>
  <si>
    <t>K</t>
  </si>
  <si>
    <t>AA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</si>
  <si>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</si>
  <si>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</si>
  <si>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</si>
  <si>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</si>
  <si>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</si>
  <si>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</si>
  <si>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</si>
  <si>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</si>
  <si>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</si>
  <si>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>Source: Ministry of Education</t>
  </si>
  <si>
    <t>cnwxEkuaiDea cfoa IrcTcsinim :ctWrwf ivcaed utWmUluAwm</t>
  </si>
  <si>
    <t>Both Sexes</t>
  </si>
  <si>
    <t>Male</t>
  </si>
  <si>
    <t>Female</t>
  </si>
  <si>
    <t>Locality</t>
  </si>
  <si>
    <t>Lower Secondary Level</t>
  </si>
  <si>
    <t>Higher Secondary Level</t>
  </si>
  <si>
    <t>Pre-Primary</t>
  </si>
  <si>
    <t>Primary Level</t>
  </si>
  <si>
    <t>Special Classes</t>
  </si>
  <si>
    <t xml:space="preserve"> ތާވަލް 7.11: އަތޮޅުތަކުގައި ހުރި ސަރުކާރު މަދަރުސާގައި އެކިފެންވަރަށް ކިޔަވާކުދިންގެ އަދަދު، ޖިންސު ވަކިން، 2019</t>
  </si>
  <si>
    <t>Table  7.11 : STUDENT ENROLMENT IN GOVERNMENT SCHOOLS OF ATOLLS, BY EDUCATIONAL LEVEL AND SEX 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</si>
</sst>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General_)"/>
    <numFmt numFmtId="165" formatCode="#,##0;[Red]#,##0"/>
    <numFmt numFmtId="167" formatCode="_(* #,##0_);_(* \(#,##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0"/>
      <name val="Calibri"/>
      <family val="2"/>
      <scheme val="minor"/>
    </font>
    <font>
      <sz val="10"/>
      <name val="Courier"/>
      <family val="3"/>
    </font>
    <font>
      <sz val="10"/>
      <name val="Calibri"/>
      <family val="2"/>
      <scheme val="minor"/>
    </font>
    <font>
      <sz val="9"/>
      <name val="Arial"/>
      <family val="2"/>
    </font>
    <font>
      <sz val="9"/>
      <name val="Calibri"/>
      <family val="2"/>
      <scheme val="minor"/>
    </font>
    <font>
      <u/>
      <sz val="10"/>
      <color indexed="12"/>
      <name val="Courier"/>
      <family val="3"/>
    </font>
    <font>
      <i/>
      <sz val="9"/>
      <name val="Calibri"/>
      <family val="2"/>
      <scheme val="minor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0000"/>
      <name val="Arial"/>
      <family val="2"/>
    </font>
    <font>
      <b/>
      <sz val="12"/>
      <name val="Faruma"/>
    </font>
    <font>
      <b/>
      <sz val="12"/>
      <name val="Calibri"/>
      <family val="2"/>
      <scheme val="minor"/>
    </font>
    <font>
      <u/>
      <sz val="9"/>
      <name val="Courier"/>
      <family val="3"/>
    </font>
    <font>
      <sz val="10"/>
      <name val="MS Sans Serif"/>
      <family val="2"/>
    </font>
    <font>
      <sz val="9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6" fillId="0" borderId="0"/>
    <xf numFmtId="167" fontId="6" fillId="0" borderId="0"/>
    <xf numFmtId="0" fontId="2" fillId="0" borderId="0"/>
    <xf numFmtId="0" fontId="2" fillId="0" borderId="0"/>
    <xf numFmtId="164" fontId="6" fillId="0" borderId="0"/>
    <xf numFmtId="165" fontId="6" fillId="0" borderId="0"/>
    <xf numFmtId="164" fontId="6" fillId="0" borderId="0"/>
    <xf numFmtId="165" fontId="6" fillId="0" borderId="0"/>
    <xf numFmtId="40" fontId="18" fillId="0" borderId="0" applyFont="0" applyFill="0" applyBorder="0" applyAlignment="0" applyProtection="0"/>
    <xf numFmtId="165" fontId="6" fillId="0" borderId="0"/>
    <xf numFmtId="164" fontId="6" fillId="0" borderId="0"/>
    <xf numFmtId="164" fontId="6" fillId="0" borderId="0"/>
  </cellStyleXfs>
  <cellXfs count="44">
    <xf numFmtId="0" fontId="0" fillId="0" borderId="0" xfId="0"/>
    <xf numFmtId="164" fontId="2" fillId="2" borderId="0" xfId="0" applyNumberFormat="1" applyFont="1" applyFill="1"/>
    <xf numFmtId="164" fontId="8" fillId="2" borderId="0" xfId="0" applyNumberFormat="1" applyFont="1" applyFill="1"/>
    <xf numFmtId="164" fontId="11" fillId="2" borderId="0" xfId="0" applyNumberFormat="1" applyFont="1" applyFill="1" applyAlignment="1" applyProtection="1">
      <alignment horizontal="left" vertical="center"/>
    </xf>
    <xf numFmtId="164" fontId="7" fillId="2" borderId="0" xfId="0" applyNumberFormat="1" applyFont="1" applyFill="1"/>
    <xf numFmtId="164" fontId="12" fillId="2" borderId="0" xfId="0" applyNumberFormat="1" applyFont="1" applyFill="1" applyAlignment="1" applyProtection="1">
      <alignment horizontal="left" vertical="center" indent="1"/>
    </xf>
    <xf numFmtId="164" fontId="12" fillId="2" borderId="1" xfId="0" applyNumberFormat="1" applyFont="1" applyFill="1" applyBorder="1" applyAlignment="1" applyProtection="1">
      <alignment horizontal="left" vertical="center" indent="1"/>
    </xf>
    <xf numFmtId="164" fontId="2" fillId="2" borderId="0" xfId="0" applyNumberFormat="1" applyFont="1" applyFill="1" applyAlignment="1">
      <alignment vertical="center"/>
    </xf>
    <xf numFmtId="0" fontId="0" fillId="2" borderId="0" xfId="0" applyFill="1"/>
    <xf numFmtId="164" fontId="14" fillId="2" borderId="0" xfId="0" applyNumberFormat="1" applyFont="1" applyFill="1"/>
    <xf numFmtId="164" fontId="12" fillId="2" borderId="0" xfId="0" applyNumberFormat="1" applyFont="1" applyFill="1"/>
    <xf numFmtId="164" fontId="5" fillId="2" borderId="0" xfId="0" applyNumberFormat="1" applyFont="1" applyFill="1" applyAlignment="1" applyProtection="1">
      <alignment horizontal="center" vertical="center"/>
    </xf>
    <xf numFmtId="164" fontId="4" fillId="2" borderId="0" xfId="0" applyNumberFormat="1" applyFont="1" applyFill="1" applyAlignment="1">
      <alignment vertical="center"/>
    </xf>
    <xf numFmtId="164" fontId="3" fillId="2" borderId="8" xfId="0" applyNumberFormat="1" applyFont="1" applyFill="1" applyBorder="1" applyAlignment="1" applyProtection="1">
      <alignment horizontal="right" vertical="center" wrapText="1"/>
    </xf>
    <xf numFmtId="164" fontId="3" fillId="2" borderId="8" xfId="0" applyNumberFormat="1" applyFont="1" applyFill="1" applyBorder="1" applyAlignment="1" applyProtection="1">
      <alignment horizontal="right" vertical="center"/>
    </xf>
    <xf numFmtId="164" fontId="3" fillId="2" borderId="6" xfId="0" applyNumberFormat="1" applyFont="1" applyFill="1" applyBorder="1" applyAlignment="1" applyProtection="1">
      <alignment horizontal="right" vertical="center" wrapText="1"/>
    </xf>
    <xf numFmtId="164" fontId="3" fillId="2" borderId="1" xfId="0" applyNumberFormat="1" applyFont="1" applyFill="1" applyBorder="1" applyAlignment="1" applyProtection="1">
      <alignment horizontal="right" vertical="center"/>
    </xf>
    <xf numFmtId="164" fontId="3" fillId="2" borderId="4" xfId="0" applyNumberFormat="1" applyFont="1" applyFill="1" applyBorder="1" applyAlignment="1" applyProtection="1">
      <alignment horizontal="right" vertical="center" wrapText="1"/>
    </xf>
    <xf numFmtId="164" fontId="3" fillId="2" borderId="1" xfId="0" applyNumberFormat="1" applyFont="1" applyFill="1" applyBorder="1" applyAlignment="1" applyProtection="1">
      <alignment horizontal="right" vertical="center" wrapText="1"/>
    </xf>
    <xf numFmtId="164" fontId="3" fillId="2" borderId="0" xfId="0" applyNumberFormat="1" applyFont="1" applyFill="1" applyAlignment="1" applyProtection="1">
      <alignment horizontal="left" vertical="center"/>
    </xf>
    <xf numFmtId="3" fontId="3" fillId="2" borderId="0" xfId="0" applyNumberFormat="1" applyFont="1" applyFill="1" applyBorder="1" applyAlignment="1" applyProtection="1">
      <alignment vertical="center"/>
    </xf>
    <xf numFmtId="3" fontId="3" fillId="2" borderId="7" xfId="0" applyNumberFormat="1" applyFont="1" applyFill="1" applyBorder="1" applyAlignment="1" applyProtection="1">
      <alignment vertical="center"/>
    </xf>
    <xf numFmtId="3" fontId="3" fillId="2" borderId="3" xfId="0" applyNumberFormat="1" applyFont="1" applyFill="1" applyBorder="1" applyAlignment="1" applyProtection="1">
      <alignment vertical="center"/>
    </xf>
    <xf numFmtId="3" fontId="12" fillId="2" borderId="0" xfId="0" applyNumberFormat="1" applyFont="1" applyFill="1" applyBorder="1" applyAlignment="1" applyProtection="1">
      <alignment vertical="center"/>
    </xf>
    <xf numFmtId="3" fontId="3" fillId="2" borderId="5" xfId="0" applyNumberFormat="1" applyFont="1" applyFill="1" applyBorder="1" applyAlignment="1" applyProtection="1">
      <alignment vertical="center"/>
    </xf>
    <xf numFmtId="3" fontId="12" fillId="2" borderId="1" xfId="0" applyNumberFormat="1" applyFont="1" applyFill="1" applyBorder="1" applyAlignment="1" applyProtection="1">
      <alignment vertical="center"/>
    </xf>
    <xf numFmtId="3" fontId="3" fillId="2" borderId="6" xfId="0" applyNumberFormat="1" applyFont="1" applyFill="1" applyBorder="1" applyAlignment="1" applyProtection="1">
      <alignment vertical="center"/>
    </xf>
    <xf numFmtId="164" fontId="13" fillId="2" borderId="0" xfId="0" applyNumberFormat="1" applyFont="1" applyFill="1" applyAlignment="1" applyProtection="1">
      <alignment horizontal="left"/>
    </xf>
    <xf numFmtId="164" fontId="7" fillId="2" borderId="0" xfId="0" applyNumberFormat="1" applyFont="1" applyFill="1" applyBorder="1" applyAlignment="1">
      <alignment horizontal="right" vertical="center"/>
    </xf>
    <xf numFmtId="3" fontId="9" fillId="2" borderId="0" xfId="1" applyNumberFormat="1" applyFont="1" applyFill="1" applyBorder="1" applyAlignment="1">
      <alignment horizontal="right" vertical="center"/>
    </xf>
    <xf numFmtId="164" fontId="17" fillId="2" borderId="0" xfId="2" applyNumberFormat="1" applyFont="1" applyFill="1" applyAlignment="1" applyProtection="1"/>
    <xf numFmtId="3" fontId="12" fillId="2" borderId="3" xfId="0" applyNumberFormat="1" applyFont="1" applyFill="1" applyBorder="1" applyAlignment="1" applyProtection="1">
      <alignment vertical="center"/>
    </xf>
    <xf numFmtId="3" fontId="12" fillId="2" borderId="4" xfId="0" applyNumberFormat="1" applyFont="1" applyFill="1" applyBorder="1" applyAlignment="1" applyProtection="1">
      <alignment vertical="center"/>
    </xf>
    <xf numFmtId="164" fontId="19" fillId="2" borderId="0" xfId="0" applyNumberFormat="1" applyFont="1" applyFill="1" applyBorder="1" applyAlignment="1">
      <alignment horizontal="right" vertical="center"/>
    </xf>
    <xf numFmtId="164" fontId="4" fillId="2" borderId="0" xfId="0" applyNumberFormat="1" applyFont="1" applyFill="1"/>
    <xf numFmtId="164" fontId="15" fillId="2" borderId="0" xfId="0" applyNumberFormat="1" applyFont="1" applyFill="1" applyAlignment="1">
      <alignment horizontal="center" vertical="center"/>
    </xf>
    <xf numFmtId="164" fontId="16" fillId="2" borderId="0" xfId="0" applyNumberFormat="1" applyFont="1" applyFill="1" applyAlignment="1" applyProtection="1">
      <alignment horizontal="center" vertical="center"/>
    </xf>
    <xf numFmtId="164" fontId="3" fillId="2" borderId="2" xfId="0" applyNumberFormat="1" applyFont="1" applyFill="1" applyBorder="1" applyAlignment="1" applyProtection="1">
      <alignment horizontal="left" vertical="center"/>
    </xf>
    <xf numFmtId="164" fontId="3" fillId="2" borderId="1" xfId="0" applyNumberFormat="1" applyFont="1" applyFill="1" applyBorder="1" applyAlignment="1" applyProtection="1">
      <alignment horizontal="left" vertical="center"/>
    </xf>
    <xf numFmtId="164" fontId="3" fillId="2" borderId="8" xfId="0" applyNumberFormat="1" applyFont="1" applyFill="1" applyBorder="1" applyAlignment="1" applyProtection="1">
      <alignment horizontal="center" vertical="center"/>
    </xf>
    <xf numFmtId="164" fontId="3" fillId="2" borderId="10" xfId="0" applyNumberFormat="1" applyFont="1" applyFill="1" applyBorder="1" applyAlignment="1" applyProtection="1">
      <alignment horizontal="center" vertical="center"/>
    </xf>
    <xf numFmtId="164" fontId="3" fillId="2" borderId="9" xfId="0" applyNumberFormat="1" applyFont="1" applyFill="1" applyBorder="1" applyAlignment="1" applyProtection="1">
      <alignment horizontal="center" vertical="center"/>
    </xf>
    <xf numFmtId="3" fontId="3" fillId="2" borderId="2" xfId="0" applyNumberFormat="1" applyFont="1" applyFill="1" applyBorder="1" applyAlignment="1" applyProtection="1">
      <alignment vertical="center"/>
    </xf>
    <xf numFmtId="3" fontId="3" fillId="2" borderId="1" xfId="0" applyNumberFormat="1" applyFont="1" applyFill="1" applyBorder="1" applyAlignment="1" applyProtection="1">
      <alignment vertical="center"/>
    </xf>
  </cellXfs>
  <cellStyles count="15">
    <cellStyle name="Comma" xfId="1" builtinId="3"/>
    <cellStyle name="Comma 2" xfId="11"/>
    <cellStyle name="Hyperlink" xfId="2" builtinId="8"/>
    <cellStyle name="Normal" xfId="0" builtinId="0"/>
    <cellStyle name="Normal 10" xfId="6"/>
    <cellStyle name="Normal 2 2 2" xfId="3"/>
    <cellStyle name="Normal 2 26" xfId="14"/>
    <cellStyle name="Normal 37" xfId="5"/>
    <cellStyle name="Normal 6" xfId="10"/>
    <cellStyle name="Normal 6 4" xfId="9"/>
    <cellStyle name="Normal 7" xfId="8"/>
    <cellStyle name="Normal 7 4" xfId="7"/>
    <cellStyle name="Normal 8" xfId="4"/>
    <cellStyle name="Normal 8 2" xfId="12"/>
    <cellStyle name="Normal 8 2 3" xfId="13"/>
  </cellStyles>
  <dxfs count="0"/>
  <tableStyles count="0" defaultTableStyle="TableStyleMedium2" defaultPivotStyle="PivotStyleLight16"/>
  <colors>
    <mruColors>
      <color rgb="FFE8D1BA"/>
      <color rgb="FFDFBE9D"/>
      <color rgb="FF996633"/>
      <color rgb="FF964B00"/>
      <color rgb="FFC48648"/>
      <color rgb="FFFFF2E5"/>
      <color rgb="FFCC6600"/>
      <color rgb="FF976431"/>
      <color rgb="FFFFEFEF"/>
      <color rgb="FFFFC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2" name="Text 3"/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3" name="Text 4"/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4" name="Text 7"/>
        <xdr:cNvSpPr txBox="1">
          <a:spLocks noChangeArrowheads="1"/>
        </xdr:cNvSpPr>
      </xdr:nvSpPr>
      <xdr:spPr bwMode="auto">
        <a:xfrm>
          <a:off x="26193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5" name="Text 8"/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6" name="Text 9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7" name="Text 10"/>
        <xdr:cNvSpPr txBox="1">
          <a:spLocks noChangeArrowheads="1"/>
        </xdr:cNvSpPr>
      </xdr:nvSpPr>
      <xdr:spPr bwMode="auto">
        <a:xfrm>
          <a:off x="66675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8" name="Text 5"/>
        <xdr:cNvSpPr txBox="1">
          <a:spLocks noChangeArrowheads="1"/>
        </xdr:cNvSpPr>
      </xdr:nvSpPr>
      <xdr:spPr bwMode="auto">
        <a:xfrm flipV="1">
          <a:off x="9525" y="68103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9" name="Text 5"/>
        <xdr:cNvSpPr txBox="1">
          <a:spLocks noChangeArrowheads="1"/>
        </xdr:cNvSpPr>
      </xdr:nvSpPr>
      <xdr:spPr bwMode="auto">
        <a:xfrm>
          <a:off x="19050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0" name="Text 5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11" name="Text Box 10"/>
        <xdr:cNvSpPr txBox="1">
          <a:spLocks noChangeArrowheads="1"/>
        </xdr:cNvSpPr>
      </xdr:nvSpPr>
      <xdr:spPr bwMode="auto">
        <a:xfrm flipV="1">
          <a:off x="19050" y="304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2" name="Text 3"/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3" name="Text 4"/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14" name="Text 7"/>
        <xdr:cNvSpPr txBox="1">
          <a:spLocks noChangeArrowheads="1"/>
        </xdr:cNvSpPr>
      </xdr:nvSpPr>
      <xdr:spPr bwMode="auto">
        <a:xfrm>
          <a:off x="26193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5" name="Text 8"/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6" name="Text 9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17" name="Text 10"/>
        <xdr:cNvSpPr txBox="1">
          <a:spLocks noChangeArrowheads="1"/>
        </xdr:cNvSpPr>
      </xdr:nvSpPr>
      <xdr:spPr bwMode="auto">
        <a:xfrm>
          <a:off x="66675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8" name="Text 5"/>
        <xdr:cNvSpPr txBox="1">
          <a:spLocks noChangeArrowheads="1"/>
        </xdr:cNvSpPr>
      </xdr:nvSpPr>
      <xdr:spPr bwMode="auto">
        <a:xfrm flipV="1">
          <a:off x="9525" y="68103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9" name="Text 5"/>
        <xdr:cNvSpPr txBox="1">
          <a:spLocks noChangeArrowheads="1"/>
        </xdr:cNvSpPr>
      </xdr:nvSpPr>
      <xdr:spPr bwMode="auto">
        <a:xfrm>
          <a:off x="19050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20" name="Text 5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21" name="Text Box 300"/>
        <xdr:cNvSpPr txBox="1">
          <a:spLocks noChangeArrowheads="1"/>
        </xdr:cNvSpPr>
      </xdr:nvSpPr>
      <xdr:spPr bwMode="auto">
        <a:xfrm flipV="1">
          <a:off x="19050" y="304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22" name="Text 3"/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23" name="Text 4"/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24" name="Text 7"/>
        <xdr:cNvSpPr txBox="1">
          <a:spLocks noChangeArrowheads="1"/>
        </xdr:cNvSpPr>
      </xdr:nvSpPr>
      <xdr:spPr bwMode="auto">
        <a:xfrm>
          <a:off x="26193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25" name="Text 8"/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26" name="Text 9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27" name="Text 10"/>
        <xdr:cNvSpPr txBox="1">
          <a:spLocks noChangeArrowheads="1"/>
        </xdr:cNvSpPr>
      </xdr:nvSpPr>
      <xdr:spPr bwMode="auto">
        <a:xfrm>
          <a:off x="66675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28" name="Text 5"/>
        <xdr:cNvSpPr txBox="1">
          <a:spLocks noChangeArrowheads="1"/>
        </xdr:cNvSpPr>
      </xdr:nvSpPr>
      <xdr:spPr bwMode="auto">
        <a:xfrm flipV="1">
          <a:off x="9525" y="68103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29" name="Text 5"/>
        <xdr:cNvSpPr txBox="1">
          <a:spLocks noChangeArrowheads="1"/>
        </xdr:cNvSpPr>
      </xdr:nvSpPr>
      <xdr:spPr bwMode="auto">
        <a:xfrm>
          <a:off x="19050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30" name="Text 5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31" name="Text Box 10"/>
        <xdr:cNvSpPr txBox="1">
          <a:spLocks noChangeArrowheads="1"/>
        </xdr:cNvSpPr>
      </xdr:nvSpPr>
      <xdr:spPr bwMode="auto">
        <a:xfrm flipV="1">
          <a:off x="19050" y="304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32" name="Text 3"/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33" name="Text 4"/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34" name="Text 7"/>
        <xdr:cNvSpPr txBox="1">
          <a:spLocks noChangeArrowheads="1"/>
        </xdr:cNvSpPr>
      </xdr:nvSpPr>
      <xdr:spPr bwMode="auto">
        <a:xfrm>
          <a:off x="26193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35" name="Text 8"/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36" name="Text 9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37" name="Text 10"/>
        <xdr:cNvSpPr txBox="1">
          <a:spLocks noChangeArrowheads="1"/>
        </xdr:cNvSpPr>
      </xdr:nvSpPr>
      <xdr:spPr bwMode="auto">
        <a:xfrm>
          <a:off x="66675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38" name="Text 5"/>
        <xdr:cNvSpPr txBox="1">
          <a:spLocks noChangeArrowheads="1"/>
        </xdr:cNvSpPr>
      </xdr:nvSpPr>
      <xdr:spPr bwMode="auto">
        <a:xfrm flipV="1">
          <a:off x="9525" y="68103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39" name="Text 5"/>
        <xdr:cNvSpPr txBox="1">
          <a:spLocks noChangeArrowheads="1"/>
        </xdr:cNvSpPr>
      </xdr:nvSpPr>
      <xdr:spPr bwMode="auto">
        <a:xfrm>
          <a:off x="19050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40" name="Text 5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41" name="Text Box 300"/>
        <xdr:cNvSpPr txBox="1">
          <a:spLocks noChangeArrowheads="1"/>
        </xdr:cNvSpPr>
      </xdr:nvSpPr>
      <xdr:spPr bwMode="auto">
        <a:xfrm flipV="1">
          <a:off x="19050" y="304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42" name="Text 3"/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43" name="Text 4"/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44" name="Text 7"/>
        <xdr:cNvSpPr txBox="1">
          <a:spLocks noChangeArrowheads="1"/>
        </xdr:cNvSpPr>
      </xdr:nvSpPr>
      <xdr:spPr bwMode="auto">
        <a:xfrm>
          <a:off x="26193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45" name="Text 8"/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46" name="Text 9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47" name="Text 10"/>
        <xdr:cNvSpPr txBox="1">
          <a:spLocks noChangeArrowheads="1"/>
        </xdr:cNvSpPr>
      </xdr:nvSpPr>
      <xdr:spPr bwMode="auto">
        <a:xfrm>
          <a:off x="66675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48" name="Text 5"/>
        <xdr:cNvSpPr txBox="1">
          <a:spLocks noChangeArrowheads="1"/>
        </xdr:cNvSpPr>
      </xdr:nvSpPr>
      <xdr:spPr bwMode="auto">
        <a:xfrm flipV="1">
          <a:off x="9525" y="68103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49" name="Text 5"/>
        <xdr:cNvSpPr txBox="1">
          <a:spLocks noChangeArrowheads="1"/>
        </xdr:cNvSpPr>
      </xdr:nvSpPr>
      <xdr:spPr bwMode="auto">
        <a:xfrm>
          <a:off x="19050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50" name="Text 5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51" name="Text Box 10"/>
        <xdr:cNvSpPr txBox="1">
          <a:spLocks noChangeArrowheads="1"/>
        </xdr:cNvSpPr>
      </xdr:nvSpPr>
      <xdr:spPr bwMode="auto">
        <a:xfrm flipV="1">
          <a:off x="19050" y="304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52" name="Text 3"/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53" name="Text 4"/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54" name="Text 7"/>
        <xdr:cNvSpPr txBox="1">
          <a:spLocks noChangeArrowheads="1"/>
        </xdr:cNvSpPr>
      </xdr:nvSpPr>
      <xdr:spPr bwMode="auto">
        <a:xfrm>
          <a:off x="26193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55" name="Text 8"/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56" name="Text 9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57" name="Text 10"/>
        <xdr:cNvSpPr txBox="1">
          <a:spLocks noChangeArrowheads="1"/>
        </xdr:cNvSpPr>
      </xdr:nvSpPr>
      <xdr:spPr bwMode="auto">
        <a:xfrm>
          <a:off x="66675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58" name="Text 5"/>
        <xdr:cNvSpPr txBox="1">
          <a:spLocks noChangeArrowheads="1"/>
        </xdr:cNvSpPr>
      </xdr:nvSpPr>
      <xdr:spPr bwMode="auto">
        <a:xfrm flipV="1">
          <a:off x="9525" y="68103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59" name="Text 5"/>
        <xdr:cNvSpPr txBox="1">
          <a:spLocks noChangeArrowheads="1"/>
        </xdr:cNvSpPr>
      </xdr:nvSpPr>
      <xdr:spPr bwMode="auto">
        <a:xfrm>
          <a:off x="19050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60" name="Text 5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61" name="Text Box 300"/>
        <xdr:cNvSpPr txBox="1">
          <a:spLocks noChangeArrowheads="1"/>
        </xdr:cNvSpPr>
      </xdr:nvSpPr>
      <xdr:spPr bwMode="auto">
        <a:xfrm flipV="1">
          <a:off x="19050" y="304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62" name="Text 3"/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63" name="Text 4"/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64" name="Text 7"/>
        <xdr:cNvSpPr txBox="1">
          <a:spLocks noChangeArrowheads="1"/>
        </xdr:cNvSpPr>
      </xdr:nvSpPr>
      <xdr:spPr bwMode="auto">
        <a:xfrm>
          <a:off x="26193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65" name="Text 8"/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66" name="Text 9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67" name="Text 10"/>
        <xdr:cNvSpPr txBox="1">
          <a:spLocks noChangeArrowheads="1"/>
        </xdr:cNvSpPr>
      </xdr:nvSpPr>
      <xdr:spPr bwMode="auto">
        <a:xfrm>
          <a:off x="66675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68" name="Text 5"/>
        <xdr:cNvSpPr txBox="1">
          <a:spLocks noChangeArrowheads="1"/>
        </xdr:cNvSpPr>
      </xdr:nvSpPr>
      <xdr:spPr bwMode="auto">
        <a:xfrm flipV="1">
          <a:off x="9525" y="68103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69" name="Text 5"/>
        <xdr:cNvSpPr txBox="1">
          <a:spLocks noChangeArrowheads="1"/>
        </xdr:cNvSpPr>
      </xdr:nvSpPr>
      <xdr:spPr bwMode="auto">
        <a:xfrm>
          <a:off x="19050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70" name="Text 5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71" name="Text Box 10"/>
        <xdr:cNvSpPr txBox="1">
          <a:spLocks noChangeArrowheads="1"/>
        </xdr:cNvSpPr>
      </xdr:nvSpPr>
      <xdr:spPr bwMode="auto">
        <a:xfrm flipV="1">
          <a:off x="19050" y="304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72" name="Text 3"/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73" name="Text 4"/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74" name="Text 7"/>
        <xdr:cNvSpPr txBox="1">
          <a:spLocks noChangeArrowheads="1"/>
        </xdr:cNvSpPr>
      </xdr:nvSpPr>
      <xdr:spPr bwMode="auto">
        <a:xfrm>
          <a:off x="26193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75" name="Text 8"/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76" name="Text 9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77" name="Text 10"/>
        <xdr:cNvSpPr txBox="1">
          <a:spLocks noChangeArrowheads="1"/>
        </xdr:cNvSpPr>
      </xdr:nvSpPr>
      <xdr:spPr bwMode="auto">
        <a:xfrm>
          <a:off x="66675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78" name="Text 5"/>
        <xdr:cNvSpPr txBox="1">
          <a:spLocks noChangeArrowheads="1"/>
        </xdr:cNvSpPr>
      </xdr:nvSpPr>
      <xdr:spPr bwMode="auto">
        <a:xfrm flipV="1">
          <a:off x="9525" y="68103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495300</xdr:colOff>
      <xdr:row>28</xdr:row>
      <xdr:rowOff>19050</xdr:rowOff>
    </xdr:from>
    <xdr:to>
      <xdr:col>2</xdr:col>
      <xdr:colOff>438150</xdr:colOff>
      <xdr:row>28</xdr:row>
      <xdr:rowOff>19050</xdr:rowOff>
    </xdr:to>
    <xdr:sp macro="" textlink="">
      <xdr:nvSpPr>
        <xdr:cNvPr id="79" name="Text 5"/>
        <xdr:cNvSpPr txBox="1">
          <a:spLocks noChangeArrowheads="1"/>
        </xdr:cNvSpPr>
      </xdr:nvSpPr>
      <xdr:spPr bwMode="auto">
        <a:xfrm>
          <a:off x="1143000" y="70770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80" name="Text Box 300"/>
        <xdr:cNvSpPr txBox="1">
          <a:spLocks noChangeArrowheads="1"/>
        </xdr:cNvSpPr>
      </xdr:nvSpPr>
      <xdr:spPr bwMode="auto">
        <a:xfrm flipV="1">
          <a:off x="19050" y="304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16</xdr:col>
      <xdr:colOff>514350</xdr:colOff>
      <xdr:row>20</xdr:row>
      <xdr:rowOff>114300</xdr:rowOff>
    </xdr:from>
    <xdr:to>
      <xdr:col>17</xdr:col>
      <xdr:colOff>495300</xdr:colOff>
      <xdr:row>20</xdr:row>
      <xdr:rowOff>114300</xdr:rowOff>
    </xdr:to>
    <xdr:sp macro="" textlink="">
      <xdr:nvSpPr>
        <xdr:cNvPr id="116" name="Text 5"/>
        <xdr:cNvSpPr txBox="1">
          <a:spLocks noChangeArrowheads="1"/>
        </xdr:cNvSpPr>
      </xdr:nvSpPr>
      <xdr:spPr bwMode="auto">
        <a:xfrm>
          <a:off x="11372850" y="519112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16</xdr:col>
      <xdr:colOff>514350</xdr:colOff>
      <xdr:row>20</xdr:row>
      <xdr:rowOff>114300</xdr:rowOff>
    </xdr:from>
    <xdr:to>
      <xdr:col>17</xdr:col>
      <xdr:colOff>495300</xdr:colOff>
      <xdr:row>20</xdr:row>
      <xdr:rowOff>114300</xdr:rowOff>
    </xdr:to>
    <xdr:sp macro="" textlink="">
      <xdr:nvSpPr>
        <xdr:cNvPr id="117" name="Text 5"/>
        <xdr:cNvSpPr txBox="1">
          <a:spLocks noChangeArrowheads="1"/>
        </xdr:cNvSpPr>
      </xdr:nvSpPr>
      <xdr:spPr bwMode="auto">
        <a:xfrm>
          <a:off x="11372850" y="519112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18" name="Text 3"/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19" name="Text 4"/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120" name="Text 7"/>
        <xdr:cNvSpPr txBox="1">
          <a:spLocks noChangeArrowheads="1"/>
        </xdr:cNvSpPr>
      </xdr:nvSpPr>
      <xdr:spPr bwMode="auto">
        <a:xfrm>
          <a:off x="26193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21" name="Text 8"/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22" name="Text 9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123" name="Text 10"/>
        <xdr:cNvSpPr txBox="1">
          <a:spLocks noChangeArrowheads="1"/>
        </xdr:cNvSpPr>
      </xdr:nvSpPr>
      <xdr:spPr bwMode="auto">
        <a:xfrm>
          <a:off x="66675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24" name="Text 5"/>
        <xdr:cNvSpPr txBox="1">
          <a:spLocks noChangeArrowheads="1"/>
        </xdr:cNvSpPr>
      </xdr:nvSpPr>
      <xdr:spPr bwMode="auto">
        <a:xfrm flipV="1">
          <a:off x="9525" y="68103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25" name="Text 5"/>
        <xdr:cNvSpPr txBox="1">
          <a:spLocks noChangeArrowheads="1"/>
        </xdr:cNvSpPr>
      </xdr:nvSpPr>
      <xdr:spPr bwMode="auto">
        <a:xfrm>
          <a:off x="19050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26" name="Text 5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127" name="Text Box 10"/>
        <xdr:cNvSpPr txBox="1">
          <a:spLocks noChangeArrowheads="1"/>
        </xdr:cNvSpPr>
      </xdr:nvSpPr>
      <xdr:spPr bwMode="auto">
        <a:xfrm flipV="1">
          <a:off x="19050" y="304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28" name="Text 3"/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29" name="Text 4"/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130" name="Text 7"/>
        <xdr:cNvSpPr txBox="1">
          <a:spLocks noChangeArrowheads="1"/>
        </xdr:cNvSpPr>
      </xdr:nvSpPr>
      <xdr:spPr bwMode="auto">
        <a:xfrm>
          <a:off x="26193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31" name="Text 8"/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32" name="Text 9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133" name="Text 10"/>
        <xdr:cNvSpPr txBox="1">
          <a:spLocks noChangeArrowheads="1"/>
        </xdr:cNvSpPr>
      </xdr:nvSpPr>
      <xdr:spPr bwMode="auto">
        <a:xfrm>
          <a:off x="66675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34" name="Text 5"/>
        <xdr:cNvSpPr txBox="1">
          <a:spLocks noChangeArrowheads="1"/>
        </xdr:cNvSpPr>
      </xdr:nvSpPr>
      <xdr:spPr bwMode="auto">
        <a:xfrm flipV="1">
          <a:off x="9525" y="68103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35" name="Text 5"/>
        <xdr:cNvSpPr txBox="1">
          <a:spLocks noChangeArrowheads="1"/>
        </xdr:cNvSpPr>
      </xdr:nvSpPr>
      <xdr:spPr bwMode="auto">
        <a:xfrm>
          <a:off x="19050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36" name="Text 5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137" name="Text Box 300"/>
        <xdr:cNvSpPr txBox="1">
          <a:spLocks noChangeArrowheads="1"/>
        </xdr:cNvSpPr>
      </xdr:nvSpPr>
      <xdr:spPr bwMode="auto">
        <a:xfrm flipV="1">
          <a:off x="19050" y="304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38" name="Text 3"/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39" name="Text 4"/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140" name="Text 7"/>
        <xdr:cNvSpPr txBox="1">
          <a:spLocks noChangeArrowheads="1"/>
        </xdr:cNvSpPr>
      </xdr:nvSpPr>
      <xdr:spPr bwMode="auto">
        <a:xfrm>
          <a:off x="26193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41" name="Text 8"/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42" name="Text 9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143" name="Text 10"/>
        <xdr:cNvSpPr txBox="1">
          <a:spLocks noChangeArrowheads="1"/>
        </xdr:cNvSpPr>
      </xdr:nvSpPr>
      <xdr:spPr bwMode="auto">
        <a:xfrm>
          <a:off x="66675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44" name="Text 5"/>
        <xdr:cNvSpPr txBox="1">
          <a:spLocks noChangeArrowheads="1"/>
        </xdr:cNvSpPr>
      </xdr:nvSpPr>
      <xdr:spPr bwMode="auto">
        <a:xfrm flipV="1">
          <a:off x="9525" y="68103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45" name="Text 5"/>
        <xdr:cNvSpPr txBox="1">
          <a:spLocks noChangeArrowheads="1"/>
        </xdr:cNvSpPr>
      </xdr:nvSpPr>
      <xdr:spPr bwMode="auto">
        <a:xfrm>
          <a:off x="19050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46" name="Text 5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147" name="Text Box 10"/>
        <xdr:cNvSpPr txBox="1">
          <a:spLocks noChangeArrowheads="1"/>
        </xdr:cNvSpPr>
      </xdr:nvSpPr>
      <xdr:spPr bwMode="auto">
        <a:xfrm flipV="1">
          <a:off x="19050" y="304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48" name="Text 3"/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49" name="Text 4"/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150" name="Text 7"/>
        <xdr:cNvSpPr txBox="1">
          <a:spLocks noChangeArrowheads="1"/>
        </xdr:cNvSpPr>
      </xdr:nvSpPr>
      <xdr:spPr bwMode="auto">
        <a:xfrm>
          <a:off x="26193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51" name="Text 8"/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52" name="Text 9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153" name="Text 10"/>
        <xdr:cNvSpPr txBox="1">
          <a:spLocks noChangeArrowheads="1"/>
        </xdr:cNvSpPr>
      </xdr:nvSpPr>
      <xdr:spPr bwMode="auto">
        <a:xfrm>
          <a:off x="66675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54" name="Text 5"/>
        <xdr:cNvSpPr txBox="1">
          <a:spLocks noChangeArrowheads="1"/>
        </xdr:cNvSpPr>
      </xdr:nvSpPr>
      <xdr:spPr bwMode="auto">
        <a:xfrm flipV="1">
          <a:off x="9525" y="68103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55" name="Text 5"/>
        <xdr:cNvSpPr txBox="1">
          <a:spLocks noChangeArrowheads="1"/>
        </xdr:cNvSpPr>
      </xdr:nvSpPr>
      <xdr:spPr bwMode="auto">
        <a:xfrm>
          <a:off x="19050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56" name="Text 5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157" name="Text Box 300"/>
        <xdr:cNvSpPr txBox="1">
          <a:spLocks noChangeArrowheads="1"/>
        </xdr:cNvSpPr>
      </xdr:nvSpPr>
      <xdr:spPr bwMode="auto">
        <a:xfrm flipV="1">
          <a:off x="19050" y="304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58" name="Text 3"/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59" name="Text 4"/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160" name="Text 7"/>
        <xdr:cNvSpPr txBox="1">
          <a:spLocks noChangeArrowheads="1"/>
        </xdr:cNvSpPr>
      </xdr:nvSpPr>
      <xdr:spPr bwMode="auto">
        <a:xfrm>
          <a:off x="26193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61" name="Text 8"/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62" name="Text 9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163" name="Text 10"/>
        <xdr:cNvSpPr txBox="1">
          <a:spLocks noChangeArrowheads="1"/>
        </xdr:cNvSpPr>
      </xdr:nvSpPr>
      <xdr:spPr bwMode="auto">
        <a:xfrm>
          <a:off x="66675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64" name="Text 5"/>
        <xdr:cNvSpPr txBox="1">
          <a:spLocks noChangeArrowheads="1"/>
        </xdr:cNvSpPr>
      </xdr:nvSpPr>
      <xdr:spPr bwMode="auto">
        <a:xfrm flipV="1">
          <a:off x="9525" y="68103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65" name="Text 5"/>
        <xdr:cNvSpPr txBox="1">
          <a:spLocks noChangeArrowheads="1"/>
        </xdr:cNvSpPr>
      </xdr:nvSpPr>
      <xdr:spPr bwMode="auto">
        <a:xfrm>
          <a:off x="19050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66" name="Text 5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167" name="Text Box 10"/>
        <xdr:cNvSpPr txBox="1">
          <a:spLocks noChangeArrowheads="1"/>
        </xdr:cNvSpPr>
      </xdr:nvSpPr>
      <xdr:spPr bwMode="auto">
        <a:xfrm flipV="1">
          <a:off x="19050" y="304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68" name="Text 3"/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69" name="Text 4"/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170" name="Text 7"/>
        <xdr:cNvSpPr txBox="1">
          <a:spLocks noChangeArrowheads="1"/>
        </xdr:cNvSpPr>
      </xdr:nvSpPr>
      <xdr:spPr bwMode="auto">
        <a:xfrm>
          <a:off x="26193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71" name="Text 8"/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72" name="Text 9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173" name="Text 10"/>
        <xdr:cNvSpPr txBox="1">
          <a:spLocks noChangeArrowheads="1"/>
        </xdr:cNvSpPr>
      </xdr:nvSpPr>
      <xdr:spPr bwMode="auto">
        <a:xfrm>
          <a:off x="66675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74" name="Text 5"/>
        <xdr:cNvSpPr txBox="1">
          <a:spLocks noChangeArrowheads="1"/>
        </xdr:cNvSpPr>
      </xdr:nvSpPr>
      <xdr:spPr bwMode="auto">
        <a:xfrm flipV="1">
          <a:off x="9525" y="68103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75" name="Text 5"/>
        <xdr:cNvSpPr txBox="1">
          <a:spLocks noChangeArrowheads="1"/>
        </xdr:cNvSpPr>
      </xdr:nvSpPr>
      <xdr:spPr bwMode="auto">
        <a:xfrm>
          <a:off x="19050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76" name="Text 5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177" name="Text Box 300"/>
        <xdr:cNvSpPr txBox="1">
          <a:spLocks noChangeArrowheads="1"/>
        </xdr:cNvSpPr>
      </xdr:nvSpPr>
      <xdr:spPr bwMode="auto">
        <a:xfrm flipV="1">
          <a:off x="19050" y="304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78" name="Text 3"/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79" name="Text 4"/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180" name="Text 7"/>
        <xdr:cNvSpPr txBox="1">
          <a:spLocks noChangeArrowheads="1"/>
        </xdr:cNvSpPr>
      </xdr:nvSpPr>
      <xdr:spPr bwMode="auto">
        <a:xfrm>
          <a:off x="26193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81" name="Text 8"/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82" name="Text 9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183" name="Text 10"/>
        <xdr:cNvSpPr txBox="1">
          <a:spLocks noChangeArrowheads="1"/>
        </xdr:cNvSpPr>
      </xdr:nvSpPr>
      <xdr:spPr bwMode="auto">
        <a:xfrm>
          <a:off x="66675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84" name="Text 5"/>
        <xdr:cNvSpPr txBox="1">
          <a:spLocks noChangeArrowheads="1"/>
        </xdr:cNvSpPr>
      </xdr:nvSpPr>
      <xdr:spPr bwMode="auto">
        <a:xfrm flipV="1">
          <a:off x="9525" y="68103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85" name="Text 5"/>
        <xdr:cNvSpPr txBox="1">
          <a:spLocks noChangeArrowheads="1"/>
        </xdr:cNvSpPr>
      </xdr:nvSpPr>
      <xdr:spPr bwMode="auto">
        <a:xfrm>
          <a:off x="19050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86" name="Text 5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187" name="Text Box 10"/>
        <xdr:cNvSpPr txBox="1">
          <a:spLocks noChangeArrowheads="1"/>
        </xdr:cNvSpPr>
      </xdr:nvSpPr>
      <xdr:spPr bwMode="auto">
        <a:xfrm flipV="1">
          <a:off x="19050" y="304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88" name="Text 3"/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89" name="Text 4"/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190" name="Text 7"/>
        <xdr:cNvSpPr txBox="1">
          <a:spLocks noChangeArrowheads="1"/>
        </xdr:cNvSpPr>
      </xdr:nvSpPr>
      <xdr:spPr bwMode="auto">
        <a:xfrm>
          <a:off x="26193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91" name="Text 8"/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92" name="Text 9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193" name="Text 10"/>
        <xdr:cNvSpPr txBox="1">
          <a:spLocks noChangeArrowheads="1"/>
        </xdr:cNvSpPr>
      </xdr:nvSpPr>
      <xdr:spPr bwMode="auto">
        <a:xfrm>
          <a:off x="66675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94" name="Text 5"/>
        <xdr:cNvSpPr txBox="1">
          <a:spLocks noChangeArrowheads="1"/>
        </xdr:cNvSpPr>
      </xdr:nvSpPr>
      <xdr:spPr bwMode="auto">
        <a:xfrm flipV="1">
          <a:off x="9525" y="68103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495300</xdr:colOff>
      <xdr:row>28</xdr:row>
      <xdr:rowOff>19050</xdr:rowOff>
    </xdr:from>
    <xdr:to>
      <xdr:col>2</xdr:col>
      <xdr:colOff>438150</xdr:colOff>
      <xdr:row>28</xdr:row>
      <xdr:rowOff>19050</xdr:rowOff>
    </xdr:to>
    <xdr:sp macro="" textlink="">
      <xdr:nvSpPr>
        <xdr:cNvPr id="195" name="Text 5"/>
        <xdr:cNvSpPr txBox="1">
          <a:spLocks noChangeArrowheads="1"/>
        </xdr:cNvSpPr>
      </xdr:nvSpPr>
      <xdr:spPr bwMode="auto">
        <a:xfrm>
          <a:off x="1143000" y="70770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196" name="Text Box 300"/>
        <xdr:cNvSpPr txBox="1">
          <a:spLocks noChangeArrowheads="1"/>
        </xdr:cNvSpPr>
      </xdr:nvSpPr>
      <xdr:spPr bwMode="auto">
        <a:xfrm flipV="1">
          <a:off x="19050" y="304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16</xdr:col>
      <xdr:colOff>514350</xdr:colOff>
      <xdr:row>20</xdr:row>
      <xdr:rowOff>114300</xdr:rowOff>
    </xdr:from>
    <xdr:to>
      <xdr:col>17</xdr:col>
      <xdr:colOff>495300</xdr:colOff>
      <xdr:row>20</xdr:row>
      <xdr:rowOff>114300</xdr:rowOff>
    </xdr:to>
    <xdr:sp macro="" textlink="">
      <xdr:nvSpPr>
        <xdr:cNvPr id="232" name="Text 5"/>
        <xdr:cNvSpPr txBox="1">
          <a:spLocks noChangeArrowheads="1"/>
        </xdr:cNvSpPr>
      </xdr:nvSpPr>
      <xdr:spPr bwMode="auto">
        <a:xfrm>
          <a:off x="11372850" y="519112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16</xdr:col>
      <xdr:colOff>514350</xdr:colOff>
      <xdr:row>20</xdr:row>
      <xdr:rowOff>114300</xdr:rowOff>
    </xdr:from>
    <xdr:to>
      <xdr:col>17</xdr:col>
      <xdr:colOff>495300</xdr:colOff>
      <xdr:row>20</xdr:row>
      <xdr:rowOff>114300</xdr:rowOff>
    </xdr:to>
    <xdr:sp macro="" textlink="">
      <xdr:nvSpPr>
        <xdr:cNvPr id="233" name="Text 5"/>
        <xdr:cNvSpPr txBox="1">
          <a:spLocks noChangeArrowheads="1"/>
        </xdr:cNvSpPr>
      </xdr:nvSpPr>
      <xdr:spPr bwMode="auto">
        <a:xfrm>
          <a:off x="11372850" y="519112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32"/>
  <sheetViews>
    <sheetView tabSelected="1" zoomScaleNormal="100" workbookViewId="0">
      <selection activeCell="I29" sqref="I29"/>
    </sheetView>
  </sheetViews>
  <sheetFormatPr defaultColWidth="11.140625" defaultRowHeight="19.5" customHeight="1" x14ac:dyDescent="0.2"/>
  <cols>
    <col min="1" max="1" width="9.7109375" style="1" customWidth="1"/>
    <col min="2" max="8" width="9.85546875" style="1" customWidth="1"/>
    <col min="9" max="9" width="10.42578125" style="1" customWidth="1"/>
    <col min="10" max="10" width="10.7109375" style="1" customWidth="1"/>
    <col min="11" max="11" width="10.28515625" style="1" customWidth="1"/>
    <col min="12" max="12" width="10.85546875" style="1" customWidth="1"/>
    <col min="13" max="13" width="10.140625" style="1" customWidth="1"/>
    <col min="14" max="14" width="9.42578125" style="1" customWidth="1"/>
    <col min="15" max="16" width="11.140625" style="1"/>
    <col min="17" max="17" width="9.28515625" style="1" customWidth="1"/>
    <col min="18" max="19" width="11.140625" style="1"/>
    <col min="20" max="20" width="1.42578125" style="1" customWidth="1"/>
    <col min="21" max="16384" width="11.140625" style="1"/>
  </cols>
  <sheetData>
    <row r="1" spans="1:21" ht="19.5" customHeight="1" x14ac:dyDescent="0.25">
      <c r="A1" s="35" t="s">
        <v>33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8"/>
      <c r="U1" s="9"/>
    </row>
    <row r="2" spans="1:21" s="10" customFormat="1" ht="19.5" customHeight="1" x14ac:dyDescent="0.25">
      <c r="A2" s="36" t="s">
        <v>34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</row>
    <row r="3" spans="1:21" s="10" customFormat="1" ht="19.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2"/>
    </row>
    <row r="4" spans="1:21" s="12" customFormat="1" ht="19.5" customHeight="1" x14ac:dyDescent="0.25">
      <c r="A4" s="37" t="s">
        <v>27</v>
      </c>
      <c r="B4" s="39" t="s">
        <v>0</v>
      </c>
      <c r="C4" s="39"/>
      <c r="D4" s="40"/>
      <c r="E4" s="41" t="s">
        <v>30</v>
      </c>
      <c r="F4" s="39"/>
      <c r="G4" s="40"/>
      <c r="H4" s="41" t="s">
        <v>31</v>
      </c>
      <c r="I4" s="39"/>
      <c r="J4" s="40"/>
      <c r="K4" s="41" t="s">
        <v>28</v>
      </c>
      <c r="L4" s="39"/>
      <c r="M4" s="40"/>
      <c r="N4" s="41" t="s">
        <v>29</v>
      </c>
      <c r="O4" s="39"/>
      <c r="P4" s="40"/>
      <c r="Q4" s="41" t="s">
        <v>32</v>
      </c>
      <c r="R4" s="39"/>
      <c r="S4" s="39"/>
    </row>
    <row r="5" spans="1:21" s="12" customFormat="1" ht="29.25" customHeight="1" x14ac:dyDescent="0.25">
      <c r="A5" s="38"/>
      <c r="B5" s="13" t="s">
        <v>24</v>
      </c>
      <c r="C5" s="14" t="s">
        <v>25</v>
      </c>
      <c r="D5" s="13" t="s">
        <v>26</v>
      </c>
      <c r="E5" s="15" t="s">
        <v>24</v>
      </c>
      <c r="F5" s="16" t="s">
        <v>25</v>
      </c>
      <c r="G5" s="17" t="s">
        <v>26</v>
      </c>
      <c r="H5" s="18" t="s">
        <v>24</v>
      </c>
      <c r="I5" s="16" t="s">
        <v>25</v>
      </c>
      <c r="J5" s="18" t="s">
        <v>26</v>
      </c>
      <c r="K5" s="15" t="s">
        <v>24</v>
      </c>
      <c r="L5" s="16" t="s">
        <v>25</v>
      </c>
      <c r="M5" s="17" t="s">
        <v>26</v>
      </c>
      <c r="N5" s="15" t="s">
        <v>24</v>
      </c>
      <c r="O5" s="16" t="s">
        <v>25</v>
      </c>
      <c r="P5" s="17" t="s">
        <v>26</v>
      </c>
      <c r="Q5" s="18" t="s">
        <v>24</v>
      </c>
      <c r="R5" s="16" t="s">
        <v>25</v>
      </c>
      <c r="S5" s="18" t="s">
        <v>26</v>
      </c>
    </row>
    <row r="6" spans="1:21" s="12" customFormat="1" ht="19.5" customHeight="1" x14ac:dyDescent="0.25">
      <c r="A6" s="19" t="s">
        <v>1</v>
      </c>
      <c r="B6" s="42">
        <f>E6+H6+K6+N6+Q6</f>
        <v>52217</v>
      </c>
      <c r="C6" s="20">
        <f t="shared" ref="C6:D6" si="0">F6+I6+L6+O6+R6</f>
        <v>26971</v>
      </c>
      <c r="D6" s="22">
        <f t="shared" si="0"/>
        <v>25246</v>
      </c>
      <c r="E6" s="21">
        <f>SUM(F6:G6)</f>
        <v>8659</v>
      </c>
      <c r="F6" s="20">
        <f>SUM(F7:F26)</f>
        <v>4456</v>
      </c>
      <c r="G6" s="22">
        <f>SUM(G7:G26)</f>
        <v>4203</v>
      </c>
      <c r="H6" s="21">
        <f>SUM(I6:J6)</f>
        <v>31505</v>
      </c>
      <c r="I6" s="20">
        <f>SUM(I7:I26)</f>
        <v>16356</v>
      </c>
      <c r="J6" s="20">
        <f>SUM(J7:J26)</f>
        <v>15149</v>
      </c>
      <c r="K6" s="21">
        <f>SUM(L6:M6)</f>
        <v>10482</v>
      </c>
      <c r="L6" s="20">
        <f>SUM(L7:L26)</f>
        <v>5457</v>
      </c>
      <c r="M6" s="22">
        <f>SUM(M7:M26)</f>
        <v>5025</v>
      </c>
      <c r="N6" s="21">
        <f>SUM(O6:P6)</f>
        <v>1439</v>
      </c>
      <c r="O6" s="20">
        <f>SUM(O7:O26)</f>
        <v>619</v>
      </c>
      <c r="P6" s="22">
        <f>SUM(P7:P26)</f>
        <v>820</v>
      </c>
      <c r="Q6" s="21">
        <f>SUM(R6:S6)</f>
        <v>132</v>
      </c>
      <c r="R6" s="20">
        <f>SUM(R7:R26)</f>
        <v>83</v>
      </c>
      <c r="S6" s="20">
        <f>SUM(S7:S26)</f>
        <v>49</v>
      </c>
    </row>
    <row r="7" spans="1:21" s="12" customFormat="1" ht="19.5" customHeight="1" x14ac:dyDescent="0.25">
      <c r="A7" s="5" t="s">
        <v>2</v>
      </c>
      <c r="B7" s="20">
        <f t="shared" ref="B7:B26" si="1">E7+H7+K7+N7+Q7</f>
        <v>3549</v>
      </c>
      <c r="C7" s="23">
        <f t="shared" ref="C7:C26" si="2">F7+I7+L7+O7+R7</f>
        <v>1854</v>
      </c>
      <c r="D7" s="31">
        <f t="shared" ref="D7:D26" si="3">G7+J7+M7+P7+S7</f>
        <v>1695</v>
      </c>
      <c r="E7" s="24">
        <f t="shared" ref="E7:E26" si="4">SUM(F7:G7)</f>
        <v>645</v>
      </c>
      <c r="F7" s="23">
        <v>340</v>
      </c>
      <c r="G7" s="31">
        <v>305</v>
      </c>
      <c r="H7" s="24">
        <f t="shared" ref="H7:H26" si="5">SUM(I7:J7)</f>
        <v>2107</v>
      </c>
      <c r="I7" s="23">
        <v>1120</v>
      </c>
      <c r="J7" s="23">
        <v>987</v>
      </c>
      <c r="K7" s="24">
        <f t="shared" ref="K7:K26" si="6">SUM(L7:M7)</f>
        <v>699</v>
      </c>
      <c r="L7" s="23">
        <v>363</v>
      </c>
      <c r="M7" s="31">
        <v>336</v>
      </c>
      <c r="N7" s="24">
        <f t="shared" ref="N7:N26" si="7">SUM(O7:P7)</f>
        <v>93</v>
      </c>
      <c r="O7" s="23">
        <v>27</v>
      </c>
      <c r="P7" s="31">
        <v>66</v>
      </c>
      <c r="Q7" s="24">
        <f t="shared" ref="Q7:Q26" si="8">SUM(R7:S7)</f>
        <v>5</v>
      </c>
      <c r="R7" s="23">
        <v>4</v>
      </c>
      <c r="S7" s="23">
        <v>1</v>
      </c>
    </row>
    <row r="8" spans="1:21" s="12" customFormat="1" ht="19.5" customHeight="1" x14ac:dyDescent="0.25">
      <c r="A8" s="5" t="s">
        <v>3</v>
      </c>
      <c r="B8" s="20">
        <f t="shared" si="1"/>
        <v>5389</v>
      </c>
      <c r="C8" s="23">
        <f t="shared" si="2"/>
        <v>2797</v>
      </c>
      <c r="D8" s="31">
        <f t="shared" si="3"/>
        <v>2592</v>
      </c>
      <c r="E8" s="24">
        <f t="shared" si="4"/>
        <v>973</v>
      </c>
      <c r="F8" s="23">
        <v>499</v>
      </c>
      <c r="G8" s="31">
        <v>474</v>
      </c>
      <c r="H8" s="24">
        <f t="shared" si="5"/>
        <v>3286</v>
      </c>
      <c r="I8" s="23">
        <v>1711</v>
      </c>
      <c r="J8" s="23">
        <v>1575</v>
      </c>
      <c r="K8" s="24">
        <f t="shared" si="6"/>
        <v>983</v>
      </c>
      <c r="L8" s="23">
        <v>520</v>
      </c>
      <c r="M8" s="31">
        <v>463</v>
      </c>
      <c r="N8" s="24">
        <f t="shared" si="7"/>
        <v>109</v>
      </c>
      <c r="O8" s="23">
        <v>42</v>
      </c>
      <c r="P8" s="31">
        <v>67</v>
      </c>
      <c r="Q8" s="24">
        <f t="shared" si="8"/>
        <v>38</v>
      </c>
      <c r="R8" s="23">
        <v>25</v>
      </c>
      <c r="S8" s="23">
        <v>13</v>
      </c>
    </row>
    <row r="9" spans="1:21" s="12" customFormat="1" ht="19.5" customHeight="1" x14ac:dyDescent="0.25">
      <c r="A9" s="5" t="s">
        <v>4</v>
      </c>
      <c r="B9" s="20">
        <f t="shared" si="1"/>
        <v>3515</v>
      </c>
      <c r="C9" s="23">
        <f t="shared" si="2"/>
        <v>1809</v>
      </c>
      <c r="D9" s="31">
        <f t="shared" si="3"/>
        <v>1706</v>
      </c>
      <c r="E9" s="24">
        <f t="shared" si="4"/>
        <v>593</v>
      </c>
      <c r="F9" s="23">
        <v>311</v>
      </c>
      <c r="G9" s="31">
        <v>282</v>
      </c>
      <c r="H9" s="24">
        <f t="shared" si="5"/>
        <v>2096</v>
      </c>
      <c r="I9" s="23">
        <v>1078</v>
      </c>
      <c r="J9" s="23">
        <v>1018</v>
      </c>
      <c r="K9" s="24">
        <f t="shared" si="6"/>
        <v>724</v>
      </c>
      <c r="L9" s="23">
        <v>370</v>
      </c>
      <c r="M9" s="31">
        <v>354</v>
      </c>
      <c r="N9" s="24">
        <f t="shared" si="7"/>
        <v>97</v>
      </c>
      <c r="O9" s="23">
        <v>47</v>
      </c>
      <c r="P9" s="31">
        <v>50</v>
      </c>
      <c r="Q9" s="24">
        <f t="shared" si="8"/>
        <v>5</v>
      </c>
      <c r="R9" s="23">
        <v>3</v>
      </c>
      <c r="S9" s="23">
        <v>2</v>
      </c>
    </row>
    <row r="10" spans="1:21" s="12" customFormat="1" ht="19.5" customHeight="1" x14ac:dyDescent="0.25">
      <c r="A10" s="5" t="s">
        <v>6</v>
      </c>
      <c r="B10" s="20">
        <f t="shared" si="1"/>
        <v>2912</v>
      </c>
      <c r="C10" s="23">
        <f t="shared" si="2"/>
        <v>1495</v>
      </c>
      <c r="D10" s="31">
        <f t="shared" si="3"/>
        <v>1417</v>
      </c>
      <c r="E10" s="24">
        <f t="shared" si="4"/>
        <v>506</v>
      </c>
      <c r="F10" s="23">
        <v>268</v>
      </c>
      <c r="G10" s="31">
        <v>238</v>
      </c>
      <c r="H10" s="24">
        <f t="shared" si="5"/>
        <v>1795</v>
      </c>
      <c r="I10" s="23">
        <v>908</v>
      </c>
      <c r="J10" s="23">
        <v>887</v>
      </c>
      <c r="K10" s="24">
        <f t="shared" si="6"/>
        <v>531</v>
      </c>
      <c r="L10" s="23">
        <v>278</v>
      </c>
      <c r="M10" s="31">
        <v>253</v>
      </c>
      <c r="N10" s="24">
        <f t="shared" si="7"/>
        <v>80</v>
      </c>
      <c r="O10" s="23">
        <v>41</v>
      </c>
      <c r="P10" s="31">
        <v>39</v>
      </c>
      <c r="Q10" s="24">
        <f t="shared" si="8"/>
        <v>0</v>
      </c>
      <c r="R10" s="23">
        <v>0</v>
      </c>
      <c r="S10" s="23">
        <v>0</v>
      </c>
    </row>
    <row r="11" spans="1:21" s="12" customFormat="1" ht="19.5" customHeight="1" x14ac:dyDescent="0.25">
      <c r="A11" s="5" t="s">
        <v>7</v>
      </c>
      <c r="B11" s="20">
        <f t="shared" si="1"/>
        <v>4235</v>
      </c>
      <c r="C11" s="23">
        <f t="shared" si="2"/>
        <v>2208</v>
      </c>
      <c r="D11" s="31">
        <f t="shared" si="3"/>
        <v>2027</v>
      </c>
      <c r="E11" s="24">
        <f t="shared" si="4"/>
        <v>719</v>
      </c>
      <c r="F11" s="23">
        <v>373</v>
      </c>
      <c r="G11" s="31">
        <v>346</v>
      </c>
      <c r="H11" s="24">
        <f t="shared" si="5"/>
        <v>2508</v>
      </c>
      <c r="I11" s="23">
        <v>1298</v>
      </c>
      <c r="J11" s="23">
        <v>1210</v>
      </c>
      <c r="K11" s="24">
        <f t="shared" si="6"/>
        <v>870</v>
      </c>
      <c r="L11" s="23">
        <v>465</v>
      </c>
      <c r="M11" s="31">
        <v>405</v>
      </c>
      <c r="N11" s="24">
        <f t="shared" si="7"/>
        <v>134</v>
      </c>
      <c r="O11" s="23">
        <v>69</v>
      </c>
      <c r="P11" s="31">
        <v>65</v>
      </c>
      <c r="Q11" s="24">
        <f t="shared" si="8"/>
        <v>4</v>
      </c>
      <c r="R11" s="23">
        <v>3</v>
      </c>
      <c r="S11" s="23">
        <v>1</v>
      </c>
    </row>
    <row r="12" spans="1:21" s="12" customFormat="1" ht="19.5" customHeight="1" x14ac:dyDescent="0.25">
      <c r="A12" s="5" t="s">
        <v>8</v>
      </c>
      <c r="B12" s="20">
        <f t="shared" si="1"/>
        <v>2357</v>
      </c>
      <c r="C12" s="23">
        <f t="shared" si="2"/>
        <v>1209</v>
      </c>
      <c r="D12" s="31">
        <f t="shared" si="3"/>
        <v>1148</v>
      </c>
      <c r="E12" s="24">
        <f t="shared" si="4"/>
        <v>393</v>
      </c>
      <c r="F12" s="23">
        <v>193</v>
      </c>
      <c r="G12" s="31">
        <v>200</v>
      </c>
      <c r="H12" s="24">
        <f t="shared" si="5"/>
        <v>1381</v>
      </c>
      <c r="I12" s="23">
        <v>716</v>
      </c>
      <c r="J12" s="23">
        <v>665</v>
      </c>
      <c r="K12" s="24">
        <f t="shared" si="6"/>
        <v>502</v>
      </c>
      <c r="L12" s="23">
        <v>270</v>
      </c>
      <c r="M12" s="31">
        <v>232</v>
      </c>
      <c r="N12" s="24">
        <f t="shared" si="7"/>
        <v>81</v>
      </c>
      <c r="O12" s="23">
        <v>30</v>
      </c>
      <c r="P12" s="31">
        <v>51</v>
      </c>
      <c r="Q12" s="24">
        <f t="shared" si="8"/>
        <v>0</v>
      </c>
      <c r="R12" s="23">
        <v>0</v>
      </c>
      <c r="S12" s="23">
        <v>0</v>
      </c>
    </row>
    <row r="13" spans="1:21" s="12" customFormat="1" ht="19.5" customHeight="1" x14ac:dyDescent="0.25">
      <c r="A13" s="5" t="s">
        <v>9</v>
      </c>
      <c r="B13" s="20">
        <f t="shared" si="1"/>
        <v>2050</v>
      </c>
      <c r="C13" s="23">
        <f t="shared" si="2"/>
        <v>1014</v>
      </c>
      <c r="D13" s="31">
        <f t="shared" si="3"/>
        <v>1036</v>
      </c>
      <c r="E13" s="24">
        <f t="shared" si="4"/>
        <v>348</v>
      </c>
      <c r="F13" s="23">
        <v>167</v>
      </c>
      <c r="G13" s="31">
        <v>181</v>
      </c>
      <c r="H13" s="24">
        <f t="shared" si="5"/>
        <v>1244</v>
      </c>
      <c r="I13" s="23">
        <v>626</v>
      </c>
      <c r="J13" s="23">
        <v>618</v>
      </c>
      <c r="K13" s="24">
        <f t="shared" si="6"/>
        <v>419</v>
      </c>
      <c r="L13" s="23">
        <v>204</v>
      </c>
      <c r="M13" s="31">
        <v>215</v>
      </c>
      <c r="N13" s="24">
        <f t="shared" si="7"/>
        <v>39</v>
      </c>
      <c r="O13" s="23">
        <v>17</v>
      </c>
      <c r="P13" s="31">
        <v>22</v>
      </c>
      <c r="Q13" s="24">
        <f t="shared" si="8"/>
        <v>0</v>
      </c>
      <c r="R13" s="23">
        <v>0</v>
      </c>
      <c r="S13" s="23">
        <v>0</v>
      </c>
    </row>
    <row r="14" spans="1:21" s="12" customFormat="1" ht="19.5" customHeight="1" x14ac:dyDescent="0.25">
      <c r="A14" s="5" t="s">
        <v>11</v>
      </c>
      <c r="B14" s="20">
        <f t="shared" si="1"/>
        <v>2711</v>
      </c>
      <c r="C14" s="23">
        <f t="shared" si="2"/>
        <v>1449</v>
      </c>
      <c r="D14" s="31">
        <f t="shared" si="3"/>
        <v>1262</v>
      </c>
      <c r="E14" s="24">
        <f t="shared" si="4"/>
        <v>520</v>
      </c>
      <c r="F14" s="23">
        <v>284</v>
      </c>
      <c r="G14" s="31">
        <v>236</v>
      </c>
      <c r="H14" s="24">
        <f t="shared" si="5"/>
        <v>1689</v>
      </c>
      <c r="I14" s="23">
        <v>896</v>
      </c>
      <c r="J14" s="23">
        <v>793</v>
      </c>
      <c r="K14" s="24">
        <f t="shared" si="6"/>
        <v>490</v>
      </c>
      <c r="L14" s="23">
        <v>259</v>
      </c>
      <c r="M14" s="31">
        <v>231</v>
      </c>
      <c r="N14" s="24">
        <f t="shared" si="7"/>
        <v>1</v>
      </c>
      <c r="O14" s="23">
        <v>1</v>
      </c>
      <c r="P14" s="31">
        <v>0</v>
      </c>
      <c r="Q14" s="24">
        <f t="shared" si="8"/>
        <v>11</v>
      </c>
      <c r="R14" s="23">
        <v>9</v>
      </c>
      <c r="S14" s="23">
        <v>2</v>
      </c>
    </row>
    <row r="15" spans="1:21" s="12" customFormat="1" ht="19.5" customHeight="1" x14ac:dyDescent="0.25">
      <c r="A15" s="5" t="s">
        <v>12</v>
      </c>
      <c r="B15" s="20">
        <f t="shared" si="1"/>
        <v>1759</v>
      </c>
      <c r="C15" s="23">
        <f t="shared" si="2"/>
        <v>918</v>
      </c>
      <c r="D15" s="31">
        <f t="shared" si="3"/>
        <v>841</v>
      </c>
      <c r="E15" s="24">
        <f t="shared" si="4"/>
        <v>317</v>
      </c>
      <c r="F15" s="23">
        <v>165</v>
      </c>
      <c r="G15" s="31">
        <v>152</v>
      </c>
      <c r="H15" s="24">
        <f t="shared" si="5"/>
        <v>1092</v>
      </c>
      <c r="I15" s="23">
        <v>566</v>
      </c>
      <c r="J15" s="23">
        <v>526</v>
      </c>
      <c r="K15" s="24">
        <f t="shared" si="6"/>
        <v>328</v>
      </c>
      <c r="L15" s="23">
        <v>175</v>
      </c>
      <c r="M15" s="31">
        <v>153</v>
      </c>
      <c r="N15" s="24">
        <f t="shared" si="7"/>
        <v>21</v>
      </c>
      <c r="O15" s="23">
        <v>11</v>
      </c>
      <c r="P15" s="31">
        <v>10</v>
      </c>
      <c r="Q15" s="24">
        <f t="shared" si="8"/>
        <v>1</v>
      </c>
      <c r="R15" s="23">
        <v>1</v>
      </c>
      <c r="S15" s="23">
        <v>0</v>
      </c>
    </row>
    <row r="16" spans="1:21" s="12" customFormat="1" ht="19.5" customHeight="1" x14ac:dyDescent="0.25">
      <c r="A16" s="5" t="s">
        <v>13</v>
      </c>
      <c r="B16" s="20">
        <f t="shared" si="1"/>
        <v>2187</v>
      </c>
      <c r="C16" s="23">
        <f t="shared" si="2"/>
        <v>1149</v>
      </c>
      <c r="D16" s="31">
        <f t="shared" si="3"/>
        <v>1038</v>
      </c>
      <c r="E16" s="24">
        <f t="shared" si="4"/>
        <v>427</v>
      </c>
      <c r="F16" s="23">
        <v>222</v>
      </c>
      <c r="G16" s="31">
        <v>205</v>
      </c>
      <c r="H16" s="24">
        <f t="shared" si="5"/>
        <v>1382</v>
      </c>
      <c r="I16" s="23">
        <v>732</v>
      </c>
      <c r="J16" s="23">
        <v>650</v>
      </c>
      <c r="K16" s="24">
        <f t="shared" si="6"/>
        <v>372</v>
      </c>
      <c r="L16" s="23">
        <v>194</v>
      </c>
      <c r="M16" s="31">
        <v>178</v>
      </c>
      <c r="N16" s="24">
        <f t="shared" si="7"/>
        <v>0</v>
      </c>
      <c r="O16" s="23">
        <v>0</v>
      </c>
      <c r="P16" s="31">
        <v>0</v>
      </c>
      <c r="Q16" s="24">
        <f t="shared" si="8"/>
        <v>6</v>
      </c>
      <c r="R16" s="23">
        <v>1</v>
      </c>
      <c r="S16" s="23">
        <v>5</v>
      </c>
    </row>
    <row r="17" spans="1:19" s="12" customFormat="1" ht="19.5" customHeight="1" x14ac:dyDescent="0.25">
      <c r="A17" s="5" t="s">
        <v>14</v>
      </c>
      <c r="B17" s="20">
        <f t="shared" si="1"/>
        <v>338</v>
      </c>
      <c r="C17" s="23">
        <f t="shared" si="2"/>
        <v>184</v>
      </c>
      <c r="D17" s="31">
        <f t="shared" si="3"/>
        <v>154</v>
      </c>
      <c r="E17" s="24">
        <f t="shared" si="4"/>
        <v>61</v>
      </c>
      <c r="F17" s="23">
        <v>37</v>
      </c>
      <c r="G17" s="31">
        <v>24</v>
      </c>
      <c r="H17" s="24">
        <f t="shared" si="5"/>
        <v>216</v>
      </c>
      <c r="I17" s="23">
        <v>111</v>
      </c>
      <c r="J17" s="23">
        <v>105</v>
      </c>
      <c r="K17" s="24">
        <f t="shared" si="6"/>
        <v>61</v>
      </c>
      <c r="L17" s="23">
        <v>36</v>
      </c>
      <c r="M17" s="31">
        <v>25</v>
      </c>
      <c r="N17" s="24">
        <f t="shared" si="7"/>
        <v>0</v>
      </c>
      <c r="O17" s="23">
        <v>0</v>
      </c>
      <c r="P17" s="31">
        <v>0</v>
      </c>
      <c r="Q17" s="24">
        <f t="shared" si="8"/>
        <v>0</v>
      </c>
      <c r="R17" s="23">
        <v>0</v>
      </c>
      <c r="S17" s="23">
        <v>0</v>
      </c>
    </row>
    <row r="18" spans="1:19" s="7" customFormat="1" ht="19.5" customHeight="1" x14ac:dyDescent="0.25">
      <c r="A18" s="5" t="s">
        <v>15</v>
      </c>
      <c r="B18" s="20">
        <f t="shared" si="1"/>
        <v>1165</v>
      </c>
      <c r="C18" s="23">
        <f t="shared" si="2"/>
        <v>592</v>
      </c>
      <c r="D18" s="31">
        <f t="shared" si="3"/>
        <v>573</v>
      </c>
      <c r="E18" s="24">
        <f t="shared" si="4"/>
        <v>205</v>
      </c>
      <c r="F18" s="23">
        <v>98</v>
      </c>
      <c r="G18" s="31">
        <v>107</v>
      </c>
      <c r="H18" s="24">
        <f t="shared" si="5"/>
        <v>718</v>
      </c>
      <c r="I18" s="23">
        <v>371</v>
      </c>
      <c r="J18" s="23">
        <v>347</v>
      </c>
      <c r="K18" s="24">
        <f t="shared" si="6"/>
        <v>207</v>
      </c>
      <c r="L18" s="23">
        <v>105</v>
      </c>
      <c r="M18" s="31">
        <v>102</v>
      </c>
      <c r="N18" s="24">
        <f t="shared" si="7"/>
        <v>35</v>
      </c>
      <c r="O18" s="23">
        <v>18</v>
      </c>
      <c r="P18" s="31">
        <v>17</v>
      </c>
      <c r="Q18" s="24">
        <f t="shared" si="8"/>
        <v>0</v>
      </c>
      <c r="R18" s="23">
        <v>0</v>
      </c>
      <c r="S18" s="23">
        <v>0</v>
      </c>
    </row>
    <row r="19" spans="1:19" s="7" customFormat="1" ht="19.5" customHeight="1" x14ac:dyDescent="0.25">
      <c r="A19" s="5" t="s">
        <v>16</v>
      </c>
      <c r="B19" s="20">
        <f t="shared" si="1"/>
        <v>1333</v>
      </c>
      <c r="C19" s="23">
        <f t="shared" si="2"/>
        <v>690</v>
      </c>
      <c r="D19" s="31">
        <f t="shared" si="3"/>
        <v>643</v>
      </c>
      <c r="E19" s="24">
        <f t="shared" si="4"/>
        <v>260</v>
      </c>
      <c r="F19" s="23">
        <v>115</v>
      </c>
      <c r="G19" s="31">
        <v>145</v>
      </c>
      <c r="H19" s="24">
        <f t="shared" si="5"/>
        <v>759</v>
      </c>
      <c r="I19" s="23">
        <v>414</v>
      </c>
      <c r="J19" s="23">
        <v>345</v>
      </c>
      <c r="K19" s="24">
        <f t="shared" si="6"/>
        <v>245</v>
      </c>
      <c r="L19" s="23">
        <v>125</v>
      </c>
      <c r="M19" s="31">
        <v>120</v>
      </c>
      <c r="N19" s="24">
        <f t="shared" si="7"/>
        <v>65</v>
      </c>
      <c r="O19" s="23">
        <v>32</v>
      </c>
      <c r="P19" s="31">
        <v>33</v>
      </c>
      <c r="Q19" s="24">
        <f t="shared" si="8"/>
        <v>4</v>
      </c>
      <c r="R19" s="23">
        <v>4</v>
      </c>
      <c r="S19" s="23">
        <v>0</v>
      </c>
    </row>
    <row r="20" spans="1:19" s="7" customFormat="1" ht="19.5" customHeight="1" x14ac:dyDescent="0.25">
      <c r="A20" s="5" t="s">
        <v>17</v>
      </c>
      <c r="B20" s="20">
        <f t="shared" si="1"/>
        <v>1543</v>
      </c>
      <c r="C20" s="23">
        <f t="shared" si="2"/>
        <v>752</v>
      </c>
      <c r="D20" s="31">
        <f t="shared" si="3"/>
        <v>791</v>
      </c>
      <c r="E20" s="24">
        <f t="shared" si="4"/>
        <v>242</v>
      </c>
      <c r="F20" s="23">
        <v>118</v>
      </c>
      <c r="G20" s="31">
        <v>124</v>
      </c>
      <c r="H20" s="24">
        <f t="shared" si="5"/>
        <v>957</v>
      </c>
      <c r="I20" s="23">
        <v>466</v>
      </c>
      <c r="J20" s="23">
        <v>491</v>
      </c>
      <c r="K20" s="24">
        <f t="shared" si="6"/>
        <v>284</v>
      </c>
      <c r="L20" s="23">
        <v>145</v>
      </c>
      <c r="M20" s="31">
        <v>139</v>
      </c>
      <c r="N20" s="24">
        <f t="shared" si="7"/>
        <v>60</v>
      </c>
      <c r="O20" s="23">
        <v>23</v>
      </c>
      <c r="P20" s="31">
        <v>37</v>
      </c>
      <c r="Q20" s="24">
        <f t="shared" si="8"/>
        <v>0</v>
      </c>
      <c r="R20" s="23">
        <v>0</v>
      </c>
      <c r="S20" s="23">
        <v>0</v>
      </c>
    </row>
    <row r="21" spans="1:19" s="7" customFormat="1" ht="19.5" customHeight="1" x14ac:dyDescent="0.25">
      <c r="A21" s="5" t="s">
        <v>18</v>
      </c>
      <c r="B21" s="20">
        <f t="shared" si="1"/>
        <v>2468</v>
      </c>
      <c r="C21" s="23">
        <f t="shared" si="2"/>
        <v>1262</v>
      </c>
      <c r="D21" s="31">
        <f t="shared" si="3"/>
        <v>1206</v>
      </c>
      <c r="E21" s="24">
        <f t="shared" si="4"/>
        <v>429</v>
      </c>
      <c r="F21" s="23">
        <v>219</v>
      </c>
      <c r="G21" s="31">
        <v>210</v>
      </c>
      <c r="H21" s="24">
        <f t="shared" si="5"/>
        <v>1564</v>
      </c>
      <c r="I21" s="23">
        <v>792</v>
      </c>
      <c r="J21" s="23">
        <v>772</v>
      </c>
      <c r="K21" s="24">
        <f t="shared" si="6"/>
        <v>441</v>
      </c>
      <c r="L21" s="23">
        <v>237</v>
      </c>
      <c r="M21" s="31">
        <v>204</v>
      </c>
      <c r="N21" s="24">
        <f t="shared" si="7"/>
        <v>32</v>
      </c>
      <c r="O21" s="23">
        <v>13</v>
      </c>
      <c r="P21" s="31">
        <v>19</v>
      </c>
      <c r="Q21" s="24">
        <f t="shared" si="8"/>
        <v>2</v>
      </c>
      <c r="R21" s="23">
        <v>1</v>
      </c>
      <c r="S21" s="23">
        <v>1</v>
      </c>
    </row>
    <row r="22" spans="1:19" s="7" customFormat="1" ht="19.5" customHeight="1" x14ac:dyDescent="0.25">
      <c r="A22" s="5" t="s">
        <v>10</v>
      </c>
      <c r="B22" s="20">
        <f t="shared" si="1"/>
        <v>3371</v>
      </c>
      <c r="C22" s="23">
        <f t="shared" si="2"/>
        <v>1786</v>
      </c>
      <c r="D22" s="31">
        <f t="shared" si="3"/>
        <v>1585</v>
      </c>
      <c r="E22" s="24">
        <f t="shared" si="4"/>
        <v>566</v>
      </c>
      <c r="F22" s="23">
        <v>303</v>
      </c>
      <c r="G22" s="31">
        <v>263</v>
      </c>
      <c r="H22" s="24">
        <f t="shared" si="5"/>
        <v>2003</v>
      </c>
      <c r="I22" s="23">
        <v>1056</v>
      </c>
      <c r="J22" s="23">
        <v>947</v>
      </c>
      <c r="K22" s="24">
        <f t="shared" si="6"/>
        <v>698</v>
      </c>
      <c r="L22" s="23">
        <v>380</v>
      </c>
      <c r="M22" s="31">
        <v>318</v>
      </c>
      <c r="N22" s="24">
        <f t="shared" si="7"/>
        <v>97</v>
      </c>
      <c r="O22" s="23">
        <v>45</v>
      </c>
      <c r="P22" s="31">
        <v>52</v>
      </c>
      <c r="Q22" s="24">
        <f t="shared" si="8"/>
        <v>7</v>
      </c>
      <c r="R22" s="23">
        <v>2</v>
      </c>
      <c r="S22" s="23">
        <v>5</v>
      </c>
    </row>
    <row r="23" spans="1:19" s="7" customFormat="1" ht="19.5" customHeight="1" x14ac:dyDescent="0.25">
      <c r="A23" s="5" t="s">
        <v>19</v>
      </c>
      <c r="B23" s="20">
        <f t="shared" si="1"/>
        <v>2003</v>
      </c>
      <c r="C23" s="23">
        <f t="shared" si="2"/>
        <v>1019</v>
      </c>
      <c r="D23" s="31">
        <f t="shared" si="3"/>
        <v>984</v>
      </c>
      <c r="E23" s="24">
        <f t="shared" si="4"/>
        <v>315</v>
      </c>
      <c r="F23" s="23">
        <v>166</v>
      </c>
      <c r="G23" s="31">
        <v>149</v>
      </c>
      <c r="H23" s="24">
        <f t="shared" si="5"/>
        <v>1186</v>
      </c>
      <c r="I23" s="23">
        <v>604</v>
      </c>
      <c r="J23" s="23">
        <v>582</v>
      </c>
      <c r="K23" s="24">
        <f t="shared" si="6"/>
        <v>477</v>
      </c>
      <c r="L23" s="23">
        <v>240</v>
      </c>
      <c r="M23" s="31">
        <v>237</v>
      </c>
      <c r="N23" s="24">
        <f t="shared" si="7"/>
        <v>25</v>
      </c>
      <c r="O23" s="23">
        <v>9</v>
      </c>
      <c r="P23" s="31">
        <v>16</v>
      </c>
      <c r="Q23" s="24">
        <f t="shared" si="8"/>
        <v>0</v>
      </c>
      <c r="R23" s="23">
        <v>0</v>
      </c>
      <c r="S23" s="23">
        <v>0</v>
      </c>
    </row>
    <row r="24" spans="1:19" s="7" customFormat="1" ht="19.5" customHeight="1" x14ac:dyDescent="0.25">
      <c r="A24" s="5" t="s">
        <v>20</v>
      </c>
      <c r="B24" s="20">
        <f t="shared" si="1"/>
        <v>2930</v>
      </c>
      <c r="C24" s="23">
        <f t="shared" si="2"/>
        <v>1557</v>
      </c>
      <c r="D24" s="31">
        <f t="shared" si="3"/>
        <v>1373</v>
      </c>
      <c r="E24" s="24">
        <f t="shared" si="4"/>
        <v>422</v>
      </c>
      <c r="F24" s="23">
        <v>219</v>
      </c>
      <c r="G24" s="31">
        <v>203</v>
      </c>
      <c r="H24" s="24">
        <f t="shared" si="5"/>
        <v>1773</v>
      </c>
      <c r="I24" s="23">
        <v>950</v>
      </c>
      <c r="J24" s="23">
        <v>823</v>
      </c>
      <c r="K24" s="24">
        <f t="shared" si="6"/>
        <v>676</v>
      </c>
      <c r="L24" s="23">
        <v>360</v>
      </c>
      <c r="M24" s="31">
        <v>316</v>
      </c>
      <c r="N24" s="24">
        <f t="shared" si="7"/>
        <v>56</v>
      </c>
      <c r="O24" s="23">
        <v>26</v>
      </c>
      <c r="P24" s="31">
        <v>30</v>
      </c>
      <c r="Q24" s="24">
        <f t="shared" si="8"/>
        <v>3</v>
      </c>
      <c r="R24" s="23">
        <v>2</v>
      </c>
      <c r="S24" s="23">
        <v>1</v>
      </c>
    </row>
    <row r="25" spans="1:19" s="7" customFormat="1" ht="19.5" customHeight="1" x14ac:dyDescent="0.25">
      <c r="A25" s="5" t="s">
        <v>21</v>
      </c>
      <c r="B25" s="20">
        <f t="shared" si="1"/>
        <v>2015</v>
      </c>
      <c r="C25" s="23">
        <f t="shared" si="2"/>
        <v>1015</v>
      </c>
      <c r="D25" s="31">
        <f t="shared" si="3"/>
        <v>1000</v>
      </c>
      <c r="E25" s="24">
        <f t="shared" si="4"/>
        <v>200</v>
      </c>
      <c r="F25" s="23">
        <v>105</v>
      </c>
      <c r="G25" s="31">
        <v>95</v>
      </c>
      <c r="H25" s="24">
        <f t="shared" si="5"/>
        <v>1277</v>
      </c>
      <c r="I25" s="23">
        <v>647</v>
      </c>
      <c r="J25" s="23">
        <v>630</v>
      </c>
      <c r="K25" s="24">
        <f t="shared" si="6"/>
        <v>440</v>
      </c>
      <c r="L25" s="23">
        <v>224</v>
      </c>
      <c r="M25" s="31">
        <v>216</v>
      </c>
      <c r="N25" s="24">
        <f t="shared" si="7"/>
        <v>63</v>
      </c>
      <c r="O25" s="23">
        <v>17</v>
      </c>
      <c r="P25" s="31">
        <v>46</v>
      </c>
      <c r="Q25" s="24">
        <f t="shared" si="8"/>
        <v>35</v>
      </c>
      <c r="R25" s="23">
        <v>22</v>
      </c>
      <c r="S25" s="23">
        <v>13</v>
      </c>
    </row>
    <row r="26" spans="1:19" s="7" customFormat="1" ht="19.5" customHeight="1" x14ac:dyDescent="0.25">
      <c r="A26" s="6" t="s">
        <v>5</v>
      </c>
      <c r="B26" s="43">
        <f t="shared" si="1"/>
        <v>4387</v>
      </c>
      <c r="C26" s="25">
        <f t="shared" si="2"/>
        <v>2212</v>
      </c>
      <c r="D26" s="32">
        <f t="shared" si="3"/>
        <v>2175</v>
      </c>
      <c r="E26" s="26">
        <f t="shared" si="4"/>
        <v>518</v>
      </c>
      <c r="F26" s="25">
        <v>254</v>
      </c>
      <c r="G26" s="32">
        <v>264</v>
      </c>
      <c r="H26" s="26">
        <f t="shared" si="5"/>
        <v>2472</v>
      </c>
      <c r="I26" s="25">
        <v>1294</v>
      </c>
      <c r="J26" s="25">
        <v>1178</v>
      </c>
      <c r="K26" s="26">
        <f t="shared" si="6"/>
        <v>1035</v>
      </c>
      <c r="L26" s="25">
        <v>507</v>
      </c>
      <c r="M26" s="32">
        <v>528</v>
      </c>
      <c r="N26" s="26">
        <f t="shared" si="7"/>
        <v>351</v>
      </c>
      <c r="O26" s="25">
        <v>151</v>
      </c>
      <c r="P26" s="32">
        <v>200</v>
      </c>
      <c r="Q26" s="26">
        <f t="shared" si="8"/>
        <v>11</v>
      </c>
      <c r="R26" s="25">
        <v>6</v>
      </c>
      <c r="S26" s="25">
        <v>5</v>
      </c>
    </row>
    <row r="27" spans="1:19" ht="19.5" customHeight="1" x14ac:dyDescent="0.25">
      <c r="A27" s="3" t="s">
        <v>22</v>
      </c>
      <c r="B27" s="27"/>
      <c r="C27" s="4"/>
      <c r="D27" s="4"/>
      <c r="E27" s="4"/>
      <c r="F27" s="4"/>
      <c r="G27" s="4"/>
      <c r="H27" s="27"/>
      <c r="I27" s="27"/>
      <c r="J27" s="4"/>
      <c r="K27" s="4"/>
      <c r="L27" s="4"/>
      <c r="M27" s="4"/>
      <c r="N27" s="28"/>
      <c r="O27" s="28"/>
      <c r="P27" s="29"/>
      <c r="Q27" s="8"/>
      <c r="R27" s="8"/>
      <c r="S27" s="33" t="s">
        <v>23</v>
      </c>
    </row>
    <row r="28" spans="1:19" s="2" customFormat="1" ht="19.5" customHeight="1" x14ac:dyDescent="0.2">
      <c r="L28" s="30"/>
    </row>
    <row r="32" spans="1:19" ht="19.5" customHeight="1" x14ac:dyDescent="0.2">
      <c r="Q32" s="34"/>
    </row>
  </sheetData>
  <mergeCells count="9">
    <mergeCell ref="A1:S1"/>
    <mergeCell ref="A2:S2"/>
    <mergeCell ref="A4:A5"/>
    <mergeCell ref="B4:D4"/>
    <mergeCell ref="E4:G4"/>
    <mergeCell ref="H4:J4"/>
    <mergeCell ref="K4:M4"/>
    <mergeCell ref="N4:P4"/>
    <mergeCell ref="Q4:S4"/>
  </mergeCells>
  <pageMargins left="0.7" right="0.7" top="0.75" bottom="0.75" header="0.3" footer="0.3"/>
  <pageSetup scale="62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7.11</vt:lpstr>
      <vt:lpstr>'7.11'!Print_Area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2020-06-27T02:50:38Z</cp:lastPrinted>
  <dcterms:created xsi:type="dcterms:W3CDTF">2019-02-28T08:20:57Z</dcterms:created>
  <dcterms:modified xsi:type="dcterms:W3CDTF">2020-06-27T02:50:51Z</dcterms:modified>
</cp:coreProperties>
</file>