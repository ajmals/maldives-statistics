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7. EDUCATION\"/>
    </mc:Choice>
  </mc:AlternateContent>
  <bookViews>
    <workbookView xWindow="0" yWindow="0" windowWidth="28800" windowHeight="12330" tabRatio="834"/>
  </bookViews>
  <sheets>
    <sheet name="7.22" sheetId="30" r:id="rId1"/>
  </sheets>
  <definedNames>
    <definedName name="_xlnm.Print_Area" localSheetId="0">'7.22'!$A$1:$M$74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" i="30" l="1"/>
  <c r="H46" i="30"/>
  <c r="D46" i="30"/>
  <c r="C46" i="30"/>
  <c r="K45" i="30"/>
  <c r="D45" i="30"/>
  <c r="C45" i="30"/>
  <c r="H44" i="30"/>
  <c r="D44" i="30"/>
  <c r="C44" i="30"/>
  <c r="K43" i="30"/>
  <c r="H43" i="30"/>
  <c r="D43" i="30"/>
  <c r="C43" i="30"/>
  <c r="K42" i="30"/>
  <c r="D42" i="30"/>
  <c r="C42" i="30"/>
  <c r="K41" i="30"/>
  <c r="H41" i="30"/>
  <c r="D41" i="30"/>
  <c r="C41" i="30"/>
  <c r="K40" i="30"/>
  <c r="H40" i="30"/>
  <c r="D40" i="30"/>
  <c r="C40" i="30"/>
  <c r="K39" i="30"/>
  <c r="D39" i="30"/>
  <c r="C39" i="30"/>
  <c r="K38" i="30"/>
  <c r="D38" i="30"/>
  <c r="C38" i="30"/>
  <c r="K37" i="30"/>
  <c r="H37" i="30"/>
  <c r="D37" i="30"/>
  <c r="C37" i="30"/>
  <c r="K36" i="30"/>
  <c r="H36" i="30"/>
  <c r="D36" i="30"/>
  <c r="C36" i="30"/>
  <c r="K35" i="30"/>
  <c r="H35" i="30"/>
  <c r="D35" i="30"/>
  <c r="C35" i="30"/>
  <c r="K34" i="30"/>
  <c r="H34" i="30"/>
  <c r="D34" i="30"/>
  <c r="C34" i="30"/>
  <c r="K33" i="30"/>
  <c r="H33" i="30"/>
  <c r="D33" i="30"/>
  <c r="C33" i="30"/>
  <c r="K32" i="30"/>
  <c r="H32" i="30"/>
  <c r="D32" i="30"/>
  <c r="C32" i="30"/>
  <c r="K31" i="30"/>
  <c r="H31" i="30"/>
  <c r="D31" i="30"/>
  <c r="C31" i="30"/>
  <c r="K22" i="30"/>
  <c r="D22" i="30"/>
  <c r="C22" i="30"/>
  <c r="K21" i="30"/>
  <c r="H21" i="30"/>
  <c r="D21" i="30"/>
  <c r="C21" i="30"/>
  <c r="K20" i="30"/>
  <c r="H20" i="30"/>
  <c r="D20" i="30"/>
  <c r="C20" i="30"/>
  <c r="K19" i="30"/>
  <c r="H19" i="30"/>
  <c r="D19" i="30"/>
  <c r="C19" i="30"/>
  <c r="K18" i="30"/>
  <c r="H18" i="30"/>
  <c r="D18" i="30"/>
  <c r="C18" i="30"/>
  <c r="K17" i="30"/>
  <c r="H17" i="30"/>
  <c r="D17" i="30"/>
  <c r="C17" i="30"/>
  <c r="K16" i="30"/>
  <c r="H16" i="30"/>
  <c r="D16" i="30"/>
  <c r="C16" i="30"/>
  <c r="K15" i="30"/>
  <c r="H15" i="30"/>
  <c r="D15" i="30"/>
  <c r="C15" i="30"/>
  <c r="K14" i="30"/>
  <c r="H14" i="30"/>
  <c r="D14" i="30"/>
  <c r="C14" i="30"/>
  <c r="K13" i="30"/>
  <c r="H13" i="30"/>
  <c r="D13" i="30"/>
  <c r="C13" i="30"/>
  <c r="K12" i="30"/>
  <c r="H12" i="30"/>
  <c r="D12" i="30"/>
  <c r="C12" i="30"/>
  <c r="K11" i="30"/>
  <c r="H11" i="30"/>
  <c r="D11" i="30"/>
  <c r="C11" i="30"/>
  <c r="K10" i="30"/>
  <c r="D10" i="30"/>
  <c r="C10" i="30"/>
  <c r="K9" i="30"/>
  <c r="H9" i="30"/>
  <c r="D9" i="30"/>
  <c r="C9" i="30"/>
  <c r="K8" i="30"/>
  <c r="H8" i="30"/>
  <c r="D8" i="30"/>
  <c r="C8" i="30"/>
  <c r="K7" i="30"/>
  <c r="H7" i="30"/>
  <c r="D7" i="30"/>
  <c r="C7" i="30"/>
  <c r="E46" i="30" l="1"/>
  <c r="E11" i="30"/>
  <c r="E10" i="30"/>
  <c r="E32" i="30"/>
  <c r="E37" i="30"/>
  <c r="E36" i="30"/>
  <c r="E12" i="30"/>
  <c r="E13" i="30"/>
  <c r="E14" i="30"/>
  <c r="E15" i="30"/>
  <c r="E19" i="30"/>
  <c r="E43" i="30"/>
  <c r="E42" i="30"/>
  <c r="E17" i="30"/>
  <c r="E40" i="30"/>
  <c r="E41" i="30"/>
  <c r="E45" i="30"/>
  <c r="E18" i="30"/>
  <c r="E31" i="30"/>
  <c r="E20" i="30"/>
  <c r="E21" i="30"/>
  <c r="E22" i="30"/>
  <c r="E33" i="30"/>
  <c r="E34" i="30"/>
  <c r="E35" i="30"/>
  <c r="E39" i="30"/>
  <c r="E44" i="30"/>
  <c r="E16" i="30"/>
  <c r="E7" i="30"/>
  <c r="E8" i="30"/>
  <c r="E9" i="30"/>
  <c r="E38" i="30"/>
</calcChain>
</file>

<file path=xl/sharedStrings.xml><?xml version="1.0" encoding="utf-8"?>
<sst xmlns="http://schemas.openxmlformats.org/spreadsheetml/2006/main" count="136" uniqueCount="55">
  <si>
    <t>Source: Ministry of Education</t>
  </si>
  <si>
    <t>Male</t>
  </si>
  <si>
    <t>Female</t>
  </si>
  <si>
    <t>Both sex</t>
  </si>
  <si>
    <t>Candidates</t>
  </si>
  <si>
    <t>Passed</t>
  </si>
  <si>
    <t>ބައިވެރިވި</t>
  </si>
  <si>
    <t>*pass: C and above</t>
  </si>
  <si>
    <t>Subject</t>
  </si>
  <si>
    <t>% Passed</t>
  </si>
  <si>
    <t>މާއްދާ</t>
  </si>
  <si>
    <t>ފާސްވި</t>
  </si>
  <si>
    <t>ފާސްވި %</t>
  </si>
  <si>
    <t>Islam</t>
  </si>
  <si>
    <t>އިސްލާމް</t>
  </si>
  <si>
    <t>Dhivehi</t>
  </si>
  <si>
    <t>ދިވެހި</t>
  </si>
  <si>
    <t>އިނގިރޭސި</t>
  </si>
  <si>
    <t>ހިސާބު</t>
  </si>
  <si>
    <t>ލިޓްރޭޗަރ</t>
  </si>
  <si>
    <t>ހިސްޓްރީ</t>
  </si>
  <si>
    <t>އިކޮނޮމިކްސް</t>
  </si>
  <si>
    <t>ފިޒިކްސް</t>
  </si>
  <si>
    <t>ކެމިސްޓްރީ</t>
  </si>
  <si>
    <t>ބައޮލޮޖީ</t>
  </si>
  <si>
    <t>ޓްރެވަލް އެންޑް ޓުއަރިޒަމް</t>
  </si>
  <si>
    <t>ބިޒްނަސް ސްޓަޑީޒް</t>
  </si>
  <si>
    <t>ISLAM</t>
  </si>
  <si>
    <t>DHIVEHI</t>
  </si>
  <si>
    <t>ENGLISH LANGUAGE</t>
  </si>
  <si>
    <t>TRAVEL AND TOURISM</t>
  </si>
  <si>
    <t>INFORMATION TECHNOLOGY</t>
  </si>
  <si>
    <t>އިންފޮމޭޝަން ޓެކްނޮލޮޖީ</t>
  </si>
  <si>
    <t>LITERATURE IN ENGLISH</t>
  </si>
  <si>
    <t>SOCIOLOGY</t>
  </si>
  <si>
    <t>ސޯސިއޮލޮޖީ</t>
  </si>
  <si>
    <t>ACCOUNTING</t>
  </si>
  <si>
    <t>އެކައުންޓިންގ</t>
  </si>
  <si>
    <t>BIOLOGY</t>
  </si>
  <si>
    <t>BUSINESS STUDIES</t>
  </si>
  <si>
    <t>CHEMISTRY</t>
  </si>
  <si>
    <t>ECONOMICS</t>
  </si>
  <si>
    <t>HISTORY</t>
  </si>
  <si>
    <t>MATHEMATICS</t>
  </si>
  <si>
    <t>PHYSICS</t>
  </si>
  <si>
    <t>PSYCHOLOGY</t>
  </si>
  <si>
    <t>ސައިކޮލޮޖީ</t>
  </si>
  <si>
    <t>LAW</t>
  </si>
  <si>
    <t>ލޯ</t>
  </si>
  <si>
    <t>އަރަބި</t>
  </si>
  <si>
    <t>ARABIC</t>
  </si>
  <si>
    <t>Table 7.22: Number of candidates sat and passed in A 'Level by subject and sex, 2019</t>
  </si>
  <si>
    <t>ތާވަލް 7.22: ޖީ. ސީ. އޭލެވެލް އިމްތިހާނުގައި މާއްދާތަކުގައި ބައިވެރިވި އަދި ފާސްވި ކުދިންގެ ޢަދަދު އަދި ޖިންސު،  2019</t>
  </si>
  <si>
    <t>Table 7.22: Number of candidates sat and passed in A 'Level by subject and sex, 2018</t>
  </si>
  <si>
    <t>ތާވަލް 7.22: ޖީ. ސީ. އޭލެވެލް އިމްތިހާނުގައި މާއްދާތަކުގައި ބައިވެރިވި އަދި ފާސްވި ކުދިންގެ ޢަދަދު އަދި ޖިންސު، 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</si>
</sst>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General_)"/>
    <numFmt numFmtId="165" formatCode="#,##0;[Red]#,##0"/>
    <numFmt numFmtId="166" formatCode="0.0"/>
    <numFmt numFmtId="167" formatCode="_(* #,##0_);_(* \(#,##0\);_(* &quot;-&quot;??_);_(@_)"/>
    <numFmt numFmtId="168" formatCode="#,##0.0_);[Red]\(#,##0.0\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sz val="10"/>
      <name val="MS Sans Serif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dotted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3">
    <xf numFmtId="0" fontId="0" fillId="0" borderId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9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50">
    <xf numFmtId="0" fontId="0" fillId="0" borderId="0" xfId="0"/>
    <xf numFmtId="0" fontId="0" fillId="2" borderId="0" xfId="0" applyFill="1"/>
    <xf numFmtId="0" fontId="0" fillId="2" borderId="0" xfId="0" applyFill="1" applyBorder="1"/>
    <xf numFmtId="0" fontId="6" fillId="2" borderId="14" xfId="0" applyNumberFormat="1" applyFont="1" applyFill="1" applyBorder="1" applyAlignment="1">
      <alignment horizontal="right" vertical="center"/>
    </xf>
    <xf numFmtId="0" fontId="10" fillId="2" borderId="8" xfId="0" applyNumberFormat="1" applyFont="1" applyFill="1" applyBorder="1" applyAlignment="1">
      <alignment horizontal="left" vertical="center" indent="1"/>
    </xf>
    <xf numFmtId="166" fontId="0" fillId="2" borderId="0" xfId="0" applyNumberFormat="1" applyFill="1"/>
    <xf numFmtId="0" fontId="10" fillId="2" borderId="7" xfId="0" applyNumberFormat="1" applyFont="1" applyFill="1" applyBorder="1" applyAlignment="1">
      <alignment horizontal="left" vertical="center" indent="1"/>
    </xf>
    <xf numFmtId="0" fontId="10" fillId="2" borderId="9" xfId="0" applyNumberFormat="1" applyFont="1" applyFill="1" applyBorder="1" applyAlignment="1">
      <alignment horizontal="left" vertical="center" indent="1"/>
    </xf>
    <xf numFmtId="166" fontId="5" fillId="2" borderId="0" xfId="0" applyNumberFormat="1" applyFont="1" applyFill="1"/>
    <xf numFmtId="0" fontId="8" fillId="2" borderId="15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7" fillId="2" borderId="6" xfId="0" applyNumberFormat="1" applyFont="1" applyFill="1" applyBorder="1" applyAlignment="1">
      <alignment horizontal="right" vertical="center" indent="1"/>
    </xf>
    <xf numFmtId="0" fontId="7" fillId="2" borderId="12" xfId="0" applyNumberFormat="1" applyFont="1" applyFill="1" applyBorder="1" applyAlignment="1">
      <alignment horizontal="right" vertical="center" indent="1"/>
    </xf>
    <xf numFmtId="166" fontId="0" fillId="2" borderId="1" xfId="0" applyNumberFormat="1" applyFill="1" applyBorder="1"/>
    <xf numFmtId="0" fontId="6" fillId="2" borderId="23" xfId="0" applyNumberFormat="1" applyFont="1" applyFill="1" applyBorder="1" applyAlignment="1">
      <alignment horizontal="right" vertical="center"/>
    </xf>
    <xf numFmtId="0" fontId="6" fillId="2" borderId="24" xfId="0" applyNumberFormat="1" applyFont="1" applyFill="1" applyBorder="1" applyAlignment="1">
      <alignment horizontal="right" vertical="center"/>
    </xf>
    <xf numFmtId="0" fontId="6" fillId="2" borderId="20" xfId="0" applyNumberFormat="1" applyFont="1" applyFill="1" applyBorder="1" applyAlignment="1">
      <alignment horizontal="right" vertical="center"/>
    </xf>
    <xf numFmtId="0" fontId="8" fillId="2" borderId="25" xfId="0" applyNumberFormat="1" applyFont="1" applyFill="1" applyBorder="1" applyAlignment="1">
      <alignment horizontal="right" vertical="center"/>
    </xf>
    <xf numFmtId="0" fontId="8" fillId="2" borderId="26" xfId="0" applyNumberFormat="1" applyFont="1" applyFill="1" applyBorder="1" applyAlignment="1">
      <alignment horizontal="right" vertical="center"/>
    </xf>
    <xf numFmtId="0" fontId="8" fillId="2" borderId="27" xfId="0" applyNumberFormat="1" applyFont="1" applyFill="1" applyBorder="1" applyAlignment="1">
      <alignment horizontal="right" vertical="center"/>
    </xf>
    <xf numFmtId="0" fontId="10" fillId="2" borderId="10" xfId="0" applyNumberFormat="1" applyFont="1" applyFill="1" applyBorder="1" applyAlignment="1">
      <alignment horizontal="left" vertical="center" indent="1"/>
    </xf>
    <xf numFmtId="3" fontId="0" fillId="2" borderId="0" xfId="0" applyNumberFormat="1" applyFill="1"/>
    <xf numFmtId="168" fontId="0" fillId="2" borderId="28" xfId="9" applyNumberFormat="1" applyFont="1" applyFill="1" applyBorder="1" applyAlignment="1">
      <alignment horizontal="right"/>
    </xf>
    <xf numFmtId="3" fontId="0" fillId="2" borderId="21" xfId="0" applyNumberFormat="1" applyFill="1" applyBorder="1"/>
    <xf numFmtId="0" fontId="0" fillId="2" borderId="0" xfId="9" applyNumberFormat="1" applyFont="1" applyFill="1" applyBorder="1" applyAlignment="1">
      <alignment horizontal="right"/>
    </xf>
    <xf numFmtId="40" fontId="0" fillId="2" borderId="0" xfId="9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right" vertical="center" indent="1"/>
    </xf>
    <xf numFmtId="166" fontId="0" fillId="2" borderId="3" xfId="0" applyNumberFormat="1" applyFill="1" applyBorder="1"/>
    <xf numFmtId="3" fontId="0" fillId="2" borderId="0" xfId="0" applyNumberFormat="1" applyFill="1" applyBorder="1"/>
    <xf numFmtId="168" fontId="0" fillId="2" borderId="25" xfId="9" applyNumberFormat="1" applyFont="1" applyFill="1" applyBorder="1" applyAlignment="1">
      <alignment horizontal="right"/>
    </xf>
    <xf numFmtId="166" fontId="0" fillId="2" borderId="4" xfId="0" applyNumberFormat="1" applyFill="1" applyBorder="1"/>
    <xf numFmtId="0" fontId="0" fillId="2" borderId="5" xfId="9" applyNumberFormat="1" applyFont="1" applyFill="1" applyBorder="1" applyAlignment="1">
      <alignment horizontal="right"/>
    </xf>
    <xf numFmtId="166" fontId="0" fillId="2" borderId="0" xfId="0" applyNumberFormat="1" applyFill="1" applyBorder="1"/>
    <xf numFmtId="0" fontId="7" fillId="2" borderId="18" xfId="0" applyNumberFormat="1" applyFont="1" applyFill="1" applyBorder="1" applyAlignment="1">
      <alignment horizontal="right" vertical="center" indent="1"/>
    </xf>
    <xf numFmtId="3" fontId="0" fillId="2" borderId="1" xfId="0" applyNumberFormat="1" applyFill="1" applyBorder="1"/>
    <xf numFmtId="0" fontId="7" fillId="2" borderId="11" xfId="0" applyNumberFormat="1" applyFont="1" applyFill="1" applyBorder="1" applyAlignment="1">
      <alignment horizontal="right" vertical="center" indent="1"/>
    </xf>
    <xf numFmtId="0" fontId="4" fillId="2" borderId="17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8" fillId="2" borderId="17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8" fillId="2" borderId="19" xfId="0" applyNumberFormat="1" applyFont="1" applyFill="1" applyBorder="1" applyAlignment="1">
      <alignment horizontal="center" vertical="center"/>
    </xf>
    <xf numFmtId="0" fontId="8" fillId="2" borderId="17" xfId="0" applyNumberFormat="1" applyFont="1" applyFill="1" applyBorder="1" applyAlignment="1">
      <alignment horizontal="center" vertical="center"/>
    </xf>
    <xf numFmtId="0" fontId="8" fillId="2" borderId="21" xfId="0" applyNumberFormat="1" applyFont="1" applyFill="1" applyBorder="1" applyAlignment="1">
      <alignment horizontal="center" vertical="center"/>
    </xf>
    <xf numFmtId="0" fontId="6" fillId="2" borderId="13" xfId="0" applyNumberFormat="1" applyFont="1" applyFill="1" applyBorder="1" applyAlignment="1">
      <alignment horizontal="left" vertical="center"/>
    </xf>
    <xf numFmtId="0" fontId="6" fillId="2" borderId="29" xfId="0" applyNumberFormat="1" applyFont="1" applyFill="1" applyBorder="1" applyAlignment="1">
      <alignment horizontal="left" vertical="center"/>
    </xf>
    <xf numFmtId="0" fontId="6" fillId="2" borderId="15" xfId="0" applyNumberFormat="1" applyFont="1" applyFill="1" applyBorder="1" applyAlignment="1">
      <alignment horizontal="left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C48648"/>
      <color rgb="FF976431"/>
      <color rgb="FFDFBE9D"/>
      <color rgb="FFE8D1BA"/>
      <color rgb="FF964B00"/>
      <color rgb="FFFFF9F3"/>
      <color rgb="FFFFF2E5"/>
      <color rgb="FFFFEFEF"/>
      <color rgb="FF996633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solidFill>
                  <a:schemeClr val="tx1"/>
                </a:solidFill>
                <a:effectLst/>
              </a:rPr>
              <a:t>Figure 7.24:  Number of candidates sat and passed in higher secondary exam by subjects , 2019</a:t>
            </a:r>
            <a:endParaRPr lang="en-US" sz="1100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8274327088249124"/>
          <c:y val="5.0109736282964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01300143176853"/>
          <c:y val="0.14109365457016343"/>
          <c:w val="0.80158391465009649"/>
          <c:h val="0.7628587090411527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'7.22'!$AK$5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C48648"/>
            </a:solidFill>
            <a:ln>
              <a:noFill/>
            </a:ln>
            <a:effectLst/>
          </c:spPr>
          <c:invertIfNegative val="0"/>
          <c:cat>
            <c:strRef>
              <c:f>'7.22'!$AI$6:$AI$21</c:f>
              <c:strCache>
                <c:ptCount val="16"/>
                <c:pt idx="0">
                  <c:v>TRAVEL AND TOURISM</c:v>
                </c:pt>
                <c:pt idx="1">
                  <c:v>LITERATURE IN ENGLISH</c:v>
                </c:pt>
                <c:pt idx="2">
                  <c:v>INFORMATION TECHNOLOGY</c:v>
                </c:pt>
                <c:pt idx="3">
                  <c:v>PSYCHOLOGY</c:v>
                </c:pt>
                <c:pt idx="4">
                  <c:v>SOCIOLOGY</c:v>
                </c:pt>
                <c:pt idx="5">
                  <c:v>ENGLISH LANGUAGE</c:v>
                </c:pt>
                <c:pt idx="6">
                  <c:v>HISTORY</c:v>
                </c:pt>
                <c:pt idx="7">
                  <c:v>ECONOMICS</c:v>
                </c:pt>
                <c:pt idx="8">
                  <c:v>BUSINESS STUDIES</c:v>
                </c:pt>
                <c:pt idx="9">
                  <c:v>ACCOUNTING</c:v>
                </c:pt>
                <c:pt idx="10">
                  <c:v>PHYSICS</c:v>
                </c:pt>
                <c:pt idx="11">
                  <c:v>MATHEMATICS</c:v>
                </c:pt>
                <c:pt idx="12">
                  <c:v>CHEMISTRY</c:v>
                </c:pt>
                <c:pt idx="13">
                  <c:v>BIOLOGY</c:v>
                </c:pt>
                <c:pt idx="14">
                  <c:v>ISLAM</c:v>
                </c:pt>
                <c:pt idx="15">
                  <c:v>DHIVEHI</c:v>
                </c:pt>
              </c:strCache>
            </c:strRef>
          </c:cat>
          <c:val>
            <c:numRef>
              <c:f>'7.22'!$AK$6:$AK$21</c:f>
              <c:numCache>
                <c:formatCode>#,##0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10</c:v>
                </c:pt>
                <c:pt idx="6">
                  <c:v>8</c:v>
                </c:pt>
                <c:pt idx="7">
                  <c:v>212</c:v>
                </c:pt>
                <c:pt idx="8">
                  <c:v>321</c:v>
                </c:pt>
                <c:pt idx="9">
                  <c:v>247</c:v>
                </c:pt>
                <c:pt idx="10">
                  <c:v>107</c:v>
                </c:pt>
                <c:pt idx="11">
                  <c:v>184</c:v>
                </c:pt>
                <c:pt idx="12">
                  <c:v>173</c:v>
                </c:pt>
                <c:pt idx="13">
                  <c:v>173</c:v>
                </c:pt>
                <c:pt idx="14">
                  <c:v>1264</c:v>
                </c:pt>
                <c:pt idx="15">
                  <c:v>1292</c:v>
                </c:pt>
              </c:numCache>
            </c:numRef>
          </c:val>
        </c:ser>
        <c:ser>
          <c:idx val="0"/>
          <c:order val="1"/>
          <c:tx>
            <c:strRef>
              <c:f>'7.22'!$AJ$5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976431"/>
            </a:solidFill>
            <a:ln>
              <a:noFill/>
            </a:ln>
            <a:effectLst/>
          </c:spPr>
          <c:invertIfNegative val="0"/>
          <c:cat>
            <c:strRef>
              <c:f>'7.22'!$AI$6:$AI$21</c:f>
              <c:strCache>
                <c:ptCount val="16"/>
                <c:pt idx="0">
                  <c:v>TRAVEL AND TOURISM</c:v>
                </c:pt>
                <c:pt idx="1">
                  <c:v>LITERATURE IN ENGLISH</c:v>
                </c:pt>
                <c:pt idx="2">
                  <c:v>INFORMATION TECHNOLOGY</c:v>
                </c:pt>
                <c:pt idx="3">
                  <c:v>PSYCHOLOGY</c:v>
                </c:pt>
                <c:pt idx="4">
                  <c:v>SOCIOLOGY</c:v>
                </c:pt>
                <c:pt idx="5">
                  <c:v>ENGLISH LANGUAGE</c:v>
                </c:pt>
                <c:pt idx="6">
                  <c:v>HISTORY</c:v>
                </c:pt>
                <c:pt idx="7">
                  <c:v>ECONOMICS</c:v>
                </c:pt>
                <c:pt idx="8">
                  <c:v>BUSINESS STUDIES</c:v>
                </c:pt>
                <c:pt idx="9">
                  <c:v>ACCOUNTING</c:v>
                </c:pt>
                <c:pt idx="10">
                  <c:v>PHYSICS</c:v>
                </c:pt>
                <c:pt idx="11">
                  <c:v>MATHEMATICS</c:v>
                </c:pt>
                <c:pt idx="12">
                  <c:v>CHEMISTRY</c:v>
                </c:pt>
                <c:pt idx="13">
                  <c:v>BIOLOGY</c:v>
                </c:pt>
                <c:pt idx="14">
                  <c:v>ISLAM</c:v>
                </c:pt>
                <c:pt idx="15">
                  <c:v>DHIVEHI</c:v>
                </c:pt>
              </c:strCache>
            </c:strRef>
          </c:cat>
          <c:val>
            <c:numRef>
              <c:f>'7.22'!$AJ$6:$AJ$21</c:f>
              <c:numCache>
                <c:formatCode>#,##0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13</c:v>
                </c:pt>
                <c:pt idx="6">
                  <c:v>14</c:v>
                </c:pt>
                <c:pt idx="7">
                  <c:v>347</c:v>
                </c:pt>
                <c:pt idx="8">
                  <c:v>415</c:v>
                </c:pt>
                <c:pt idx="9">
                  <c:v>446</c:v>
                </c:pt>
                <c:pt idx="10">
                  <c:v>613</c:v>
                </c:pt>
                <c:pt idx="11">
                  <c:v>676</c:v>
                </c:pt>
                <c:pt idx="12">
                  <c:v>687</c:v>
                </c:pt>
                <c:pt idx="13">
                  <c:v>735</c:v>
                </c:pt>
                <c:pt idx="14">
                  <c:v>1600</c:v>
                </c:pt>
                <c:pt idx="15">
                  <c:v>1630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5"/>
        <c:axId val="362419960"/>
        <c:axId val="362421136"/>
      </c:barChart>
      <c:catAx>
        <c:axId val="362419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421136"/>
        <c:crosses val="autoZero"/>
        <c:auto val="1"/>
        <c:lblAlgn val="ctr"/>
        <c:lblOffset val="100"/>
        <c:noMultiLvlLbl val="0"/>
      </c:catAx>
      <c:valAx>
        <c:axId val="362421136"/>
        <c:scaling>
          <c:orientation val="minMax"/>
          <c:max val="1700"/>
        </c:scaling>
        <c:delete val="0"/>
        <c:axPos val="b"/>
        <c:majorGridlines>
          <c:spPr>
            <a:ln w="9525" cap="flat" cmpd="sng" algn="ctr">
              <a:solidFill>
                <a:srgbClr val="E8D1BA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419960"/>
        <c:crosses val="autoZero"/>
        <c:crossBetween val="between"/>
        <c:majorUnit val="100"/>
        <c:minorUnit val="50"/>
      </c:valAx>
      <c:spPr>
        <a:noFill/>
        <a:ln>
          <a:solidFill>
            <a:srgbClr val="E8D1BA"/>
          </a:solidFill>
        </a:ln>
        <a:effectLst/>
      </c:spPr>
    </c:plotArea>
    <c:legend>
      <c:legendPos val="b"/>
      <c:layout>
        <c:manualLayout>
          <c:xMode val="edge"/>
          <c:yMode val="edge"/>
          <c:x val="0.59398911263141763"/>
          <c:y val="0.49397499506110121"/>
          <c:w val="0.16462207469213436"/>
          <c:h val="7.1615854109226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49</xdr:row>
      <xdr:rowOff>19049</xdr:rowOff>
    </xdr:from>
    <xdr:to>
      <xdr:col>11</xdr:col>
      <xdr:colOff>962024</xdr:colOff>
      <xdr:row>72</xdr:row>
      <xdr:rowOff>9524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67"/>
  <sheetViews>
    <sheetView tabSelected="1" zoomScale="98" zoomScaleNormal="98" workbookViewId="0">
      <selection activeCell="V14" sqref="V14"/>
    </sheetView>
  </sheetViews>
  <sheetFormatPr defaultRowHeight="15" x14ac:dyDescent="0.25"/>
  <cols>
    <col min="1" max="1" width="3.140625" style="1" customWidth="1"/>
    <col min="2" max="2" width="25.28515625" style="1" customWidth="1"/>
    <col min="3" max="7" width="11.28515625" style="1" customWidth="1"/>
    <col min="8" max="8" width="11.7109375" style="1" customWidth="1"/>
    <col min="9" max="9" width="10.140625" style="1" customWidth="1"/>
    <col min="10" max="10" width="9.140625" style="1"/>
    <col min="11" max="11" width="15" style="1" customWidth="1"/>
    <col min="12" max="12" width="23.140625" style="1" customWidth="1"/>
    <col min="13" max="13" width="2" style="1" customWidth="1"/>
    <col min="14" max="16384" width="9.140625" style="1"/>
  </cols>
  <sheetData>
    <row r="1" spans="1:37" ht="18" customHeight="1" x14ac:dyDescent="0.25"/>
    <row r="2" spans="1:37" ht="15.75" x14ac:dyDescent="0.25">
      <c r="B2" s="36" t="s">
        <v>51</v>
      </c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37" ht="21" x14ac:dyDescent="0.55000000000000004">
      <c r="B3" s="38" t="s">
        <v>52</v>
      </c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37" ht="15" customHeight="1" x14ac:dyDescent="0.25">
      <c r="B4" s="47" t="s">
        <v>8</v>
      </c>
      <c r="C4" s="40" t="s">
        <v>3</v>
      </c>
      <c r="D4" s="41"/>
      <c r="E4" s="42"/>
      <c r="F4" s="43" t="s">
        <v>1</v>
      </c>
      <c r="G4" s="41"/>
      <c r="H4" s="42"/>
      <c r="I4" s="41" t="s">
        <v>2</v>
      </c>
      <c r="J4" s="41"/>
      <c r="K4" s="41"/>
      <c r="L4" s="44" t="s">
        <v>10</v>
      </c>
    </row>
    <row r="5" spans="1:37" x14ac:dyDescent="0.25">
      <c r="B5" s="48"/>
      <c r="C5" s="3" t="s">
        <v>4</v>
      </c>
      <c r="D5" s="3" t="s">
        <v>5</v>
      </c>
      <c r="E5" s="14" t="s">
        <v>9</v>
      </c>
      <c r="F5" s="15" t="s">
        <v>4</v>
      </c>
      <c r="G5" s="3" t="s">
        <v>5</v>
      </c>
      <c r="H5" s="14" t="s">
        <v>9</v>
      </c>
      <c r="I5" s="16" t="s">
        <v>4</v>
      </c>
      <c r="J5" s="3" t="s">
        <v>5</v>
      </c>
      <c r="K5" s="3" t="s">
        <v>9</v>
      </c>
      <c r="L5" s="45"/>
      <c r="AI5" s="2"/>
      <c r="AJ5" s="15" t="s">
        <v>4</v>
      </c>
      <c r="AK5" s="3" t="s">
        <v>5</v>
      </c>
    </row>
    <row r="6" spans="1:37" ht="21" x14ac:dyDescent="0.25">
      <c r="A6" s="8"/>
      <c r="B6" s="49"/>
      <c r="C6" s="9" t="s">
        <v>6</v>
      </c>
      <c r="D6" s="9" t="s">
        <v>11</v>
      </c>
      <c r="E6" s="17" t="s">
        <v>12</v>
      </c>
      <c r="F6" s="18" t="s">
        <v>6</v>
      </c>
      <c r="G6" s="9" t="s">
        <v>11</v>
      </c>
      <c r="H6" s="17" t="s">
        <v>12</v>
      </c>
      <c r="I6" s="19" t="s">
        <v>6</v>
      </c>
      <c r="J6" s="9" t="s">
        <v>11</v>
      </c>
      <c r="K6" s="9" t="s">
        <v>12</v>
      </c>
      <c r="L6" s="46"/>
      <c r="AI6" s="6" t="s">
        <v>30</v>
      </c>
      <c r="AJ6" s="28">
        <v>3</v>
      </c>
      <c r="AK6" s="28">
        <v>2</v>
      </c>
    </row>
    <row r="7" spans="1:37" ht="21" x14ac:dyDescent="0.25">
      <c r="A7" s="8"/>
      <c r="B7" s="6" t="s">
        <v>27</v>
      </c>
      <c r="C7" s="21">
        <f>SUM(F7,I7)</f>
        <v>1600</v>
      </c>
      <c r="D7" s="21">
        <f>SUM(G7,J7)</f>
        <v>1264</v>
      </c>
      <c r="E7" s="22">
        <f>D7/C7*100</f>
        <v>79</v>
      </c>
      <c r="F7" s="1">
        <v>646</v>
      </c>
      <c r="G7" s="1">
        <v>453</v>
      </c>
      <c r="H7" s="27">
        <f>G7/F7*100</f>
        <v>70.12383900928792</v>
      </c>
      <c r="I7" s="1">
        <v>954</v>
      </c>
      <c r="J7" s="1">
        <v>811</v>
      </c>
      <c r="K7" s="32">
        <f>J7/I7*100</f>
        <v>85.010482180293508</v>
      </c>
      <c r="L7" s="33" t="s">
        <v>14</v>
      </c>
      <c r="AI7" s="20" t="s">
        <v>33</v>
      </c>
      <c r="AJ7" s="28">
        <v>3</v>
      </c>
      <c r="AK7" s="28">
        <v>3</v>
      </c>
    </row>
    <row r="8" spans="1:37" ht="21" x14ac:dyDescent="0.25">
      <c r="A8" s="8"/>
      <c r="B8" s="20" t="s">
        <v>28</v>
      </c>
      <c r="C8" s="21">
        <f t="shared" ref="C8:C22" si="0">SUM(F8,I8)</f>
        <v>1630</v>
      </c>
      <c r="D8" s="21">
        <f t="shared" ref="D8:D22" si="1">SUM(G8,J8)</f>
        <v>1292</v>
      </c>
      <c r="E8" s="22">
        <f t="shared" ref="E8:E22" si="2">D8/C8*100</f>
        <v>79.263803680981596</v>
      </c>
      <c r="F8" s="1">
        <v>662</v>
      </c>
      <c r="G8" s="1">
        <v>445</v>
      </c>
      <c r="H8" s="27">
        <f t="shared" ref="H8:H9" si="3">G8/F8*100</f>
        <v>67.220543806646532</v>
      </c>
      <c r="I8" s="1">
        <v>968</v>
      </c>
      <c r="J8" s="1">
        <v>847</v>
      </c>
      <c r="K8" s="32">
        <f t="shared" ref="K8:K22" si="4">J8/I8*100</f>
        <v>87.5</v>
      </c>
      <c r="L8" s="11" t="s">
        <v>16</v>
      </c>
      <c r="AI8" s="6" t="s">
        <v>31</v>
      </c>
      <c r="AJ8" s="21">
        <v>5</v>
      </c>
      <c r="AK8" s="21">
        <v>0</v>
      </c>
    </row>
    <row r="9" spans="1:37" ht="21" x14ac:dyDescent="0.25">
      <c r="A9" s="8"/>
      <c r="B9" s="6" t="s">
        <v>29</v>
      </c>
      <c r="C9" s="21">
        <f t="shared" si="0"/>
        <v>13</v>
      </c>
      <c r="D9" s="21">
        <f t="shared" si="1"/>
        <v>10</v>
      </c>
      <c r="E9" s="22">
        <f t="shared" si="2"/>
        <v>76.923076923076934</v>
      </c>
      <c r="F9" s="1">
        <v>5</v>
      </c>
      <c r="G9" s="1">
        <v>3</v>
      </c>
      <c r="H9" s="27">
        <f t="shared" si="3"/>
        <v>60</v>
      </c>
      <c r="I9" s="1">
        <v>8</v>
      </c>
      <c r="J9" s="1">
        <v>7</v>
      </c>
      <c r="K9" s="32">
        <f t="shared" si="4"/>
        <v>87.5</v>
      </c>
      <c r="L9" s="11" t="s">
        <v>17</v>
      </c>
      <c r="AI9" s="6" t="s">
        <v>45</v>
      </c>
      <c r="AJ9" s="28">
        <v>8</v>
      </c>
      <c r="AK9" s="28">
        <v>0</v>
      </c>
    </row>
    <row r="10" spans="1:37" ht="21" x14ac:dyDescent="0.25">
      <c r="A10" s="8"/>
      <c r="B10" s="6" t="s">
        <v>30</v>
      </c>
      <c r="C10" s="21">
        <f t="shared" si="0"/>
        <v>3</v>
      </c>
      <c r="D10" s="21">
        <f t="shared" si="1"/>
        <v>2</v>
      </c>
      <c r="E10" s="22">
        <f t="shared" si="2"/>
        <v>66.666666666666657</v>
      </c>
      <c r="F10" s="1">
        <v>0</v>
      </c>
      <c r="G10" s="1">
        <v>0</v>
      </c>
      <c r="H10" s="27">
        <v>0</v>
      </c>
      <c r="I10" s="1">
        <v>3</v>
      </c>
      <c r="J10" s="1">
        <v>2</v>
      </c>
      <c r="K10" s="32">
        <f t="shared" si="4"/>
        <v>66.666666666666657</v>
      </c>
      <c r="L10" s="11" t="s">
        <v>25</v>
      </c>
      <c r="AI10" s="6" t="s">
        <v>34</v>
      </c>
      <c r="AJ10" s="21">
        <v>10</v>
      </c>
      <c r="AK10" s="21">
        <v>9</v>
      </c>
    </row>
    <row r="11" spans="1:37" ht="21" x14ac:dyDescent="0.25">
      <c r="A11" s="8"/>
      <c r="B11" s="6" t="s">
        <v>31</v>
      </c>
      <c r="C11" s="21">
        <f t="shared" si="0"/>
        <v>5</v>
      </c>
      <c r="D11" s="21">
        <f t="shared" si="1"/>
        <v>0</v>
      </c>
      <c r="E11" s="22">
        <f t="shared" si="2"/>
        <v>0</v>
      </c>
      <c r="F11" s="1">
        <v>3</v>
      </c>
      <c r="G11" s="1">
        <v>0</v>
      </c>
      <c r="H11" s="27">
        <f t="shared" ref="H11:H21" si="5">G11/F11*100</f>
        <v>0</v>
      </c>
      <c r="I11" s="1">
        <v>2</v>
      </c>
      <c r="J11" s="1">
        <v>0</v>
      </c>
      <c r="K11" s="32">
        <f t="shared" si="4"/>
        <v>0</v>
      </c>
      <c r="L11" s="11" t="s">
        <v>32</v>
      </c>
      <c r="AI11" s="20" t="s">
        <v>29</v>
      </c>
      <c r="AJ11" s="21">
        <v>13</v>
      </c>
      <c r="AK11" s="21">
        <v>10</v>
      </c>
    </row>
    <row r="12" spans="1:37" ht="21" x14ac:dyDescent="0.25">
      <c r="A12" s="8"/>
      <c r="B12" s="20" t="s">
        <v>33</v>
      </c>
      <c r="C12" s="21">
        <f t="shared" si="0"/>
        <v>3</v>
      </c>
      <c r="D12" s="21">
        <f t="shared" si="1"/>
        <v>3</v>
      </c>
      <c r="E12" s="22">
        <f t="shared" si="2"/>
        <v>100</v>
      </c>
      <c r="F12" s="1">
        <v>1</v>
      </c>
      <c r="G12" s="1">
        <v>1</v>
      </c>
      <c r="H12" s="27">
        <f t="shared" si="5"/>
        <v>100</v>
      </c>
      <c r="I12" s="1">
        <v>2</v>
      </c>
      <c r="J12" s="1">
        <v>2</v>
      </c>
      <c r="K12" s="32">
        <f t="shared" si="4"/>
        <v>100</v>
      </c>
      <c r="L12" s="11" t="s">
        <v>19</v>
      </c>
      <c r="AI12" s="6" t="s">
        <v>42</v>
      </c>
      <c r="AJ12" s="21">
        <v>14</v>
      </c>
      <c r="AK12" s="21">
        <v>8</v>
      </c>
    </row>
    <row r="13" spans="1:37" ht="21" x14ac:dyDescent="0.25">
      <c r="A13" s="8"/>
      <c r="B13" s="6" t="s">
        <v>34</v>
      </c>
      <c r="C13" s="21">
        <f t="shared" si="0"/>
        <v>10</v>
      </c>
      <c r="D13" s="21">
        <f t="shared" si="1"/>
        <v>9</v>
      </c>
      <c r="E13" s="22">
        <f t="shared" si="2"/>
        <v>90</v>
      </c>
      <c r="F13" s="1">
        <v>2</v>
      </c>
      <c r="G13" s="1">
        <v>2</v>
      </c>
      <c r="H13" s="27">
        <f t="shared" si="5"/>
        <v>100</v>
      </c>
      <c r="I13" s="1">
        <v>8</v>
      </c>
      <c r="J13" s="1">
        <v>7</v>
      </c>
      <c r="K13" s="32">
        <f t="shared" si="4"/>
        <v>87.5</v>
      </c>
      <c r="L13" s="11" t="s">
        <v>35</v>
      </c>
      <c r="AI13" s="20" t="s">
        <v>41</v>
      </c>
      <c r="AJ13" s="21">
        <v>347</v>
      </c>
      <c r="AK13" s="21">
        <v>212</v>
      </c>
    </row>
    <row r="14" spans="1:37" ht="21" x14ac:dyDescent="0.25">
      <c r="A14" s="8"/>
      <c r="B14" s="20" t="s">
        <v>36</v>
      </c>
      <c r="C14" s="21">
        <f t="shared" si="0"/>
        <v>446</v>
      </c>
      <c r="D14" s="21">
        <f t="shared" si="1"/>
        <v>247</v>
      </c>
      <c r="E14" s="22">
        <f t="shared" si="2"/>
        <v>55.381165919282516</v>
      </c>
      <c r="F14" s="1">
        <v>185</v>
      </c>
      <c r="G14" s="1">
        <v>95</v>
      </c>
      <c r="H14" s="27">
        <f t="shared" si="5"/>
        <v>51.351351351351347</v>
      </c>
      <c r="I14" s="1">
        <v>261</v>
      </c>
      <c r="J14" s="1">
        <v>152</v>
      </c>
      <c r="K14" s="32">
        <f t="shared" si="4"/>
        <v>58.237547892720308</v>
      </c>
      <c r="L14" s="11" t="s">
        <v>37</v>
      </c>
      <c r="AI14" s="6" t="s">
        <v>39</v>
      </c>
      <c r="AJ14" s="21">
        <v>415</v>
      </c>
      <c r="AK14" s="21">
        <v>321</v>
      </c>
    </row>
    <row r="15" spans="1:37" ht="21" x14ac:dyDescent="0.25">
      <c r="A15" s="8"/>
      <c r="B15" s="6" t="s">
        <v>38</v>
      </c>
      <c r="C15" s="21">
        <f t="shared" si="0"/>
        <v>735</v>
      </c>
      <c r="D15" s="21">
        <f t="shared" si="1"/>
        <v>173</v>
      </c>
      <c r="E15" s="22">
        <f t="shared" si="2"/>
        <v>23.537414965986393</v>
      </c>
      <c r="F15" s="1">
        <v>242</v>
      </c>
      <c r="G15" s="1">
        <v>70</v>
      </c>
      <c r="H15" s="27">
        <f t="shared" si="5"/>
        <v>28.925619834710741</v>
      </c>
      <c r="I15" s="1">
        <v>493</v>
      </c>
      <c r="J15" s="1">
        <v>103</v>
      </c>
      <c r="K15" s="32">
        <f t="shared" si="4"/>
        <v>20.892494929006087</v>
      </c>
      <c r="L15" s="11" t="s">
        <v>24</v>
      </c>
      <c r="AI15" s="20" t="s">
        <v>36</v>
      </c>
      <c r="AJ15" s="21">
        <v>446</v>
      </c>
      <c r="AK15" s="21">
        <v>247</v>
      </c>
    </row>
    <row r="16" spans="1:37" ht="21" x14ac:dyDescent="0.25">
      <c r="A16" s="8"/>
      <c r="B16" s="20" t="s">
        <v>39</v>
      </c>
      <c r="C16" s="21">
        <f t="shared" si="0"/>
        <v>415</v>
      </c>
      <c r="D16" s="21">
        <f t="shared" si="1"/>
        <v>321</v>
      </c>
      <c r="E16" s="22">
        <f t="shared" si="2"/>
        <v>77.349397590361448</v>
      </c>
      <c r="F16" s="1">
        <v>181</v>
      </c>
      <c r="G16" s="1">
        <v>127</v>
      </c>
      <c r="H16" s="27">
        <f t="shared" si="5"/>
        <v>70.165745856353595</v>
      </c>
      <c r="I16" s="1">
        <v>234</v>
      </c>
      <c r="J16" s="1">
        <v>194</v>
      </c>
      <c r="K16" s="32">
        <f t="shared" si="4"/>
        <v>82.90598290598291</v>
      </c>
      <c r="L16" s="11" t="s">
        <v>26</v>
      </c>
      <c r="AI16" s="6" t="s">
        <v>44</v>
      </c>
      <c r="AJ16" s="21">
        <v>613</v>
      </c>
      <c r="AK16" s="21">
        <v>107</v>
      </c>
    </row>
    <row r="17" spans="2:37" ht="21" x14ac:dyDescent="0.25">
      <c r="B17" s="6" t="s">
        <v>40</v>
      </c>
      <c r="C17" s="21">
        <f t="shared" si="0"/>
        <v>687</v>
      </c>
      <c r="D17" s="21">
        <f t="shared" si="1"/>
        <v>173</v>
      </c>
      <c r="E17" s="22">
        <f t="shared" si="2"/>
        <v>25.181950509461426</v>
      </c>
      <c r="F17" s="1">
        <v>232</v>
      </c>
      <c r="G17" s="1">
        <v>72</v>
      </c>
      <c r="H17" s="27">
        <f t="shared" si="5"/>
        <v>31.03448275862069</v>
      </c>
      <c r="I17" s="1">
        <v>455</v>
      </c>
      <c r="J17" s="1">
        <v>101</v>
      </c>
      <c r="K17" s="32">
        <f t="shared" si="4"/>
        <v>22.197802197802197</v>
      </c>
      <c r="L17" s="11" t="s">
        <v>23</v>
      </c>
      <c r="AI17" s="20" t="s">
        <v>43</v>
      </c>
      <c r="AJ17" s="21">
        <v>676</v>
      </c>
      <c r="AK17" s="21">
        <v>184</v>
      </c>
    </row>
    <row r="18" spans="2:37" ht="21" x14ac:dyDescent="0.25">
      <c r="B18" s="20" t="s">
        <v>41</v>
      </c>
      <c r="C18" s="21">
        <f t="shared" si="0"/>
        <v>347</v>
      </c>
      <c r="D18" s="21">
        <f t="shared" si="1"/>
        <v>212</v>
      </c>
      <c r="E18" s="22">
        <f t="shared" si="2"/>
        <v>61.095100864553309</v>
      </c>
      <c r="F18" s="1">
        <v>136</v>
      </c>
      <c r="G18" s="1">
        <v>69</v>
      </c>
      <c r="H18" s="27">
        <f t="shared" si="5"/>
        <v>50.735294117647058</v>
      </c>
      <c r="I18" s="1">
        <v>211</v>
      </c>
      <c r="J18" s="1">
        <v>143</v>
      </c>
      <c r="K18" s="32">
        <f t="shared" si="4"/>
        <v>67.772511848341239</v>
      </c>
      <c r="L18" s="11" t="s">
        <v>21</v>
      </c>
      <c r="AI18" s="6" t="s">
        <v>40</v>
      </c>
      <c r="AJ18" s="21">
        <v>687</v>
      </c>
      <c r="AK18" s="21">
        <v>173</v>
      </c>
    </row>
    <row r="19" spans="2:37" ht="21" x14ac:dyDescent="0.25">
      <c r="B19" s="6" t="s">
        <v>42</v>
      </c>
      <c r="C19" s="21">
        <f t="shared" si="0"/>
        <v>14</v>
      </c>
      <c r="D19" s="21">
        <f t="shared" si="1"/>
        <v>8</v>
      </c>
      <c r="E19" s="22">
        <f t="shared" si="2"/>
        <v>57.142857142857139</v>
      </c>
      <c r="F19" s="1">
        <v>3</v>
      </c>
      <c r="G19" s="1">
        <v>2</v>
      </c>
      <c r="H19" s="27">
        <f t="shared" si="5"/>
        <v>66.666666666666657</v>
      </c>
      <c r="I19" s="1">
        <v>11</v>
      </c>
      <c r="J19" s="1">
        <v>6</v>
      </c>
      <c r="K19" s="32">
        <f t="shared" si="4"/>
        <v>54.54545454545454</v>
      </c>
      <c r="L19" s="11" t="s">
        <v>20</v>
      </c>
      <c r="AI19" s="20" t="s">
        <v>38</v>
      </c>
      <c r="AJ19" s="21">
        <v>735</v>
      </c>
      <c r="AK19" s="21">
        <v>173</v>
      </c>
    </row>
    <row r="20" spans="2:37" ht="21" x14ac:dyDescent="0.25">
      <c r="B20" s="20" t="s">
        <v>43</v>
      </c>
      <c r="C20" s="21">
        <f t="shared" si="0"/>
        <v>676</v>
      </c>
      <c r="D20" s="21">
        <f t="shared" si="1"/>
        <v>184</v>
      </c>
      <c r="E20" s="22">
        <f t="shared" si="2"/>
        <v>27.218934911242602</v>
      </c>
      <c r="F20" s="1">
        <v>320</v>
      </c>
      <c r="G20" s="1">
        <v>84</v>
      </c>
      <c r="H20" s="27">
        <f t="shared" si="5"/>
        <v>26.25</v>
      </c>
      <c r="I20" s="1">
        <v>356</v>
      </c>
      <c r="J20" s="1">
        <v>100</v>
      </c>
      <c r="K20" s="32">
        <f t="shared" si="4"/>
        <v>28.08988764044944</v>
      </c>
      <c r="L20" s="11" t="s">
        <v>18</v>
      </c>
      <c r="AI20" s="6" t="s">
        <v>27</v>
      </c>
      <c r="AJ20" s="21">
        <v>1600</v>
      </c>
      <c r="AK20" s="21">
        <v>1264</v>
      </c>
    </row>
    <row r="21" spans="2:37" ht="21" x14ac:dyDescent="0.25">
      <c r="B21" s="6" t="s">
        <v>44</v>
      </c>
      <c r="C21" s="21">
        <f t="shared" si="0"/>
        <v>613</v>
      </c>
      <c r="D21" s="21">
        <f t="shared" si="1"/>
        <v>107</v>
      </c>
      <c r="E21" s="22">
        <f t="shared" si="2"/>
        <v>17.455138662316479</v>
      </c>
      <c r="F21" s="1">
        <v>298</v>
      </c>
      <c r="G21" s="1">
        <v>52</v>
      </c>
      <c r="H21" s="27">
        <f t="shared" si="5"/>
        <v>17.449664429530202</v>
      </c>
      <c r="I21" s="1">
        <v>315</v>
      </c>
      <c r="J21" s="1">
        <v>55</v>
      </c>
      <c r="K21" s="32">
        <f t="shared" si="4"/>
        <v>17.460317460317459</v>
      </c>
      <c r="L21" s="11" t="s">
        <v>22</v>
      </c>
      <c r="AI21" s="7" t="s">
        <v>28</v>
      </c>
      <c r="AJ21" s="23">
        <v>1630</v>
      </c>
      <c r="AK21" s="34">
        <v>1292</v>
      </c>
    </row>
    <row r="22" spans="2:37" ht="21" x14ac:dyDescent="0.25">
      <c r="B22" s="7" t="s">
        <v>45</v>
      </c>
      <c r="C22" s="23">
        <f t="shared" si="0"/>
        <v>8</v>
      </c>
      <c r="D22" s="34">
        <f t="shared" si="1"/>
        <v>0</v>
      </c>
      <c r="E22" s="29">
        <f t="shared" si="2"/>
        <v>0</v>
      </c>
      <c r="F22" s="10">
        <v>0</v>
      </c>
      <c r="G22" s="10">
        <v>0</v>
      </c>
      <c r="H22" s="30">
        <v>0</v>
      </c>
      <c r="I22" s="10">
        <v>8</v>
      </c>
      <c r="J22" s="10">
        <v>0</v>
      </c>
      <c r="K22" s="13">
        <f t="shared" si="4"/>
        <v>0</v>
      </c>
      <c r="L22" s="12" t="s">
        <v>46</v>
      </c>
    </row>
    <row r="23" spans="2:37" x14ac:dyDescent="0.25">
      <c r="B23" s="4" t="s">
        <v>0</v>
      </c>
    </row>
    <row r="24" spans="2:37" ht="21" x14ac:dyDescent="0.25">
      <c r="B24" s="6" t="s">
        <v>7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2:37" ht="21" x14ac:dyDescent="0.25">
      <c r="C25" s="24"/>
      <c r="D25" s="31"/>
      <c r="E25" s="25"/>
      <c r="F25" s="2"/>
      <c r="G25" s="2"/>
      <c r="H25" s="2"/>
      <c r="I25" s="2"/>
      <c r="J25" s="2"/>
      <c r="K25" s="2"/>
      <c r="L25" s="26"/>
    </row>
    <row r="26" spans="2:37" ht="15.75" x14ac:dyDescent="0.25">
      <c r="B26" s="36" t="s">
        <v>53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spans="2:37" ht="21" x14ac:dyDescent="0.55000000000000004">
      <c r="B27" s="38" t="s">
        <v>54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2:37" x14ac:dyDescent="0.25">
      <c r="B28" s="47" t="s">
        <v>8</v>
      </c>
      <c r="C28" s="40" t="s">
        <v>3</v>
      </c>
      <c r="D28" s="41"/>
      <c r="E28" s="42"/>
      <c r="F28" s="43" t="s">
        <v>1</v>
      </c>
      <c r="G28" s="41"/>
      <c r="H28" s="42"/>
      <c r="I28" s="41" t="s">
        <v>2</v>
      </c>
      <c r="J28" s="41"/>
      <c r="K28" s="41"/>
      <c r="L28" s="44" t="s">
        <v>10</v>
      </c>
    </row>
    <row r="29" spans="2:37" x14ac:dyDescent="0.25">
      <c r="B29" s="48"/>
      <c r="C29" s="3" t="s">
        <v>4</v>
      </c>
      <c r="D29" s="3" t="s">
        <v>5</v>
      </c>
      <c r="E29" s="14" t="s">
        <v>9</v>
      </c>
      <c r="F29" s="15" t="s">
        <v>4</v>
      </c>
      <c r="G29" s="3" t="s">
        <v>5</v>
      </c>
      <c r="H29" s="14" t="s">
        <v>9</v>
      </c>
      <c r="I29" s="16" t="s">
        <v>4</v>
      </c>
      <c r="J29" s="3" t="s">
        <v>5</v>
      </c>
      <c r="K29" s="3" t="s">
        <v>9</v>
      </c>
      <c r="L29" s="45"/>
    </row>
    <row r="30" spans="2:37" ht="21" x14ac:dyDescent="0.25">
      <c r="B30" s="49"/>
      <c r="C30" s="9" t="s">
        <v>6</v>
      </c>
      <c r="D30" s="9" t="s">
        <v>11</v>
      </c>
      <c r="E30" s="17" t="s">
        <v>12</v>
      </c>
      <c r="F30" s="18" t="s">
        <v>6</v>
      </c>
      <c r="G30" s="9" t="s">
        <v>11</v>
      </c>
      <c r="H30" s="17" t="s">
        <v>12</v>
      </c>
      <c r="I30" s="19" t="s">
        <v>6</v>
      </c>
      <c r="J30" s="9" t="s">
        <v>11</v>
      </c>
      <c r="K30" s="9" t="s">
        <v>12</v>
      </c>
      <c r="L30" s="46"/>
    </row>
    <row r="31" spans="2:37" ht="21" x14ac:dyDescent="0.25">
      <c r="B31" s="20" t="s">
        <v>13</v>
      </c>
      <c r="C31" s="21">
        <f>SUM(F31,I31)</f>
        <v>1676</v>
      </c>
      <c r="D31" s="21">
        <f>SUM(G31,J31)</f>
        <v>1279</v>
      </c>
      <c r="E31" s="22">
        <f>D31/C31*100</f>
        <v>76.312649164677808</v>
      </c>
      <c r="F31" s="1">
        <v>733</v>
      </c>
      <c r="G31" s="1">
        <v>480</v>
      </c>
      <c r="H31" s="27">
        <f>G31/F31*100</f>
        <v>65.484311050477501</v>
      </c>
      <c r="I31" s="1">
        <v>943</v>
      </c>
      <c r="J31" s="1">
        <v>799</v>
      </c>
      <c r="K31" s="32">
        <f>J31/I31*100</f>
        <v>84.729586426299036</v>
      </c>
      <c r="L31" s="33" t="s">
        <v>14</v>
      </c>
    </row>
    <row r="32" spans="2:37" ht="21" x14ac:dyDescent="0.25">
      <c r="B32" s="6" t="s">
        <v>15</v>
      </c>
      <c r="C32" s="21">
        <f t="shared" ref="C32:C46" si="6">SUM(F32,I32)</f>
        <v>1676</v>
      </c>
      <c r="D32" s="21">
        <f t="shared" ref="D32:D46" si="7">SUM(G32,J32)</f>
        <v>1427</v>
      </c>
      <c r="E32" s="22">
        <f t="shared" ref="E32:E46" si="8">D32/C32*100</f>
        <v>85.143198090692124</v>
      </c>
      <c r="F32" s="1">
        <v>733</v>
      </c>
      <c r="G32" s="1">
        <v>547</v>
      </c>
      <c r="H32" s="27">
        <f t="shared" ref="H32:H37" si="9">G32/F32*100</f>
        <v>74.624829467939975</v>
      </c>
      <c r="I32" s="1">
        <v>943</v>
      </c>
      <c r="J32" s="1">
        <v>880</v>
      </c>
      <c r="K32" s="32">
        <f t="shared" ref="K32:K43" si="10">J32/I32*100</f>
        <v>93.319194061505826</v>
      </c>
      <c r="L32" s="35" t="s">
        <v>16</v>
      </c>
    </row>
    <row r="33" spans="2:12" ht="21" x14ac:dyDescent="0.25">
      <c r="B33" s="20" t="s">
        <v>36</v>
      </c>
      <c r="C33" s="21">
        <f t="shared" si="6"/>
        <v>648</v>
      </c>
      <c r="D33" s="21">
        <f t="shared" si="7"/>
        <v>373</v>
      </c>
      <c r="E33" s="22">
        <f t="shared" si="8"/>
        <v>57.561728395061728</v>
      </c>
      <c r="F33" s="1">
        <v>277</v>
      </c>
      <c r="G33" s="1">
        <v>151</v>
      </c>
      <c r="H33" s="27">
        <f t="shared" si="9"/>
        <v>54.512635379061372</v>
      </c>
      <c r="I33" s="1">
        <v>371</v>
      </c>
      <c r="J33" s="1">
        <v>222</v>
      </c>
      <c r="K33" s="32">
        <f t="shared" si="10"/>
        <v>59.838274932614553</v>
      </c>
      <c r="L33" s="35" t="s">
        <v>37</v>
      </c>
    </row>
    <row r="34" spans="2:12" ht="21" x14ac:dyDescent="0.25">
      <c r="B34" s="20" t="s">
        <v>38</v>
      </c>
      <c r="C34" s="21">
        <f t="shared" si="6"/>
        <v>750</v>
      </c>
      <c r="D34" s="21">
        <f t="shared" si="7"/>
        <v>247</v>
      </c>
      <c r="E34" s="22">
        <f t="shared" si="8"/>
        <v>32.93333333333333</v>
      </c>
      <c r="F34" s="1">
        <v>251</v>
      </c>
      <c r="G34" s="1">
        <v>79</v>
      </c>
      <c r="H34" s="27">
        <f t="shared" si="9"/>
        <v>31.474103585657371</v>
      </c>
      <c r="I34" s="1">
        <v>499</v>
      </c>
      <c r="J34" s="1">
        <v>168</v>
      </c>
      <c r="K34" s="32">
        <f t="shared" si="10"/>
        <v>33.667334669338679</v>
      </c>
      <c r="L34" s="35" t="s">
        <v>24</v>
      </c>
    </row>
    <row r="35" spans="2:12" ht="21" x14ac:dyDescent="0.25">
      <c r="B35" s="6" t="s">
        <v>39</v>
      </c>
      <c r="C35" s="21">
        <f t="shared" si="6"/>
        <v>424</v>
      </c>
      <c r="D35" s="21">
        <f t="shared" si="7"/>
        <v>304</v>
      </c>
      <c r="E35" s="22">
        <f t="shared" si="8"/>
        <v>71.698113207547166</v>
      </c>
      <c r="F35" s="1">
        <v>179</v>
      </c>
      <c r="G35" s="1">
        <v>111</v>
      </c>
      <c r="H35" s="27">
        <f t="shared" si="9"/>
        <v>62.011173184357538</v>
      </c>
      <c r="I35" s="1">
        <v>245</v>
      </c>
      <c r="J35" s="1">
        <v>193</v>
      </c>
      <c r="K35" s="32">
        <f t="shared" si="10"/>
        <v>78.775510204081627</v>
      </c>
      <c r="L35" s="35" t="s">
        <v>26</v>
      </c>
    </row>
    <row r="36" spans="2:12" ht="21" x14ac:dyDescent="0.25">
      <c r="B36" s="20" t="s">
        <v>40</v>
      </c>
      <c r="C36" s="21">
        <f t="shared" si="6"/>
        <v>801</v>
      </c>
      <c r="D36" s="21">
        <f t="shared" si="7"/>
        <v>213</v>
      </c>
      <c r="E36" s="22">
        <f t="shared" si="8"/>
        <v>26.591760299625467</v>
      </c>
      <c r="F36" s="1">
        <v>298</v>
      </c>
      <c r="G36" s="1">
        <v>86</v>
      </c>
      <c r="H36" s="27">
        <f t="shared" si="9"/>
        <v>28.859060402684566</v>
      </c>
      <c r="I36" s="1">
        <v>503</v>
      </c>
      <c r="J36" s="1">
        <v>127</v>
      </c>
      <c r="K36" s="32">
        <f t="shared" si="10"/>
        <v>25.248508946322069</v>
      </c>
      <c r="L36" s="35" t="s">
        <v>23</v>
      </c>
    </row>
    <row r="37" spans="2:12" ht="21" x14ac:dyDescent="0.25">
      <c r="B37" s="20" t="s">
        <v>41</v>
      </c>
      <c r="C37" s="21">
        <f t="shared" si="6"/>
        <v>382</v>
      </c>
      <c r="D37" s="21">
        <f t="shared" si="7"/>
        <v>202</v>
      </c>
      <c r="E37" s="22">
        <f t="shared" si="8"/>
        <v>52.879581151832454</v>
      </c>
      <c r="F37" s="1">
        <v>169</v>
      </c>
      <c r="G37" s="1">
        <v>73</v>
      </c>
      <c r="H37" s="27">
        <f t="shared" si="9"/>
        <v>43.19526627218935</v>
      </c>
      <c r="I37" s="1">
        <v>213</v>
      </c>
      <c r="J37" s="1">
        <v>129</v>
      </c>
      <c r="K37" s="32">
        <f t="shared" si="10"/>
        <v>60.563380281690137</v>
      </c>
      <c r="L37" s="35" t="s">
        <v>21</v>
      </c>
    </row>
    <row r="38" spans="2:12" ht="21" x14ac:dyDescent="0.25">
      <c r="B38" s="6" t="s">
        <v>42</v>
      </c>
      <c r="C38" s="21">
        <f t="shared" si="6"/>
        <v>12</v>
      </c>
      <c r="D38" s="21">
        <f t="shared" si="7"/>
        <v>12</v>
      </c>
      <c r="E38" s="22">
        <f t="shared" si="8"/>
        <v>100</v>
      </c>
      <c r="F38" s="1">
        <v>0</v>
      </c>
      <c r="G38" s="1">
        <v>0</v>
      </c>
      <c r="H38" s="27">
        <v>0</v>
      </c>
      <c r="I38" s="1">
        <v>12</v>
      </c>
      <c r="J38" s="1">
        <v>12</v>
      </c>
      <c r="K38" s="32">
        <f t="shared" si="10"/>
        <v>100</v>
      </c>
      <c r="L38" s="11" t="s">
        <v>20</v>
      </c>
    </row>
    <row r="39" spans="2:12" ht="21" x14ac:dyDescent="0.25">
      <c r="B39" s="20" t="s">
        <v>47</v>
      </c>
      <c r="C39" s="21">
        <f t="shared" si="6"/>
        <v>3</v>
      </c>
      <c r="D39" s="21">
        <f t="shared" si="7"/>
        <v>0</v>
      </c>
      <c r="E39" s="22">
        <f t="shared" si="8"/>
        <v>0</v>
      </c>
      <c r="F39" s="1">
        <v>0</v>
      </c>
      <c r="G39" s="1">
        <v>0</v>
      </c>
      <c r="H39" s="27">
        <v>0</v>
      </c>
      <c r="I39" s="1">
        <v>3</v>
      </c>
      <c r="J39" s="1">
        <v>0</v>
      </c>
      <c r="K39" s="32">
        <f t="shared" si="10"/>
        <v>0</v>
      </c>
      <c r="L39" s="11" t="s">
        <v>48</v>
      </c>
    </row>
    <row r="40" spans="2:12" ht="21" x14ac:dyDescent="0.25">
      <c r="B40" s="20" t="s">
        <v>43</v>
      </c>
      <c r="C40" s="21">
        <f t="shared" si="6"/>
        <v>686</v>
      </c>
      <c r="D40" s="21">
        <f t="shared" si="7"/>
        <v>209</v>
      </c>
      <c r="E40" s="22">
        <f t="shared" si="8"/>
        <v>30.466472303206999</v>
      </c>
      <c r="F40" s="1">
        <v>367</v>
      </c>
      <c r="G40" s="1">
        <v>103</v>
      </c>
      <c r="H40" s="27">
        <f t="shared" ref="H40:H41" si="11">G40/F40*100</f>
        <v>28.065395095367844</v>
      </c>
      <c r="I40" s="1">
        <v>319</v>
      </c>
      <c r="J40" s="1">
        <v>106</v>
      </c>
      <c r="K40" s="32">
        <f t="shared" si="10"/>
        <v>33.228840125391848</v>
      </c>
      <c r="L40" s="11" t="s">
        <v>18</v>
      </c>
    </row>
    <row r="41" spans="2:12" ht="21" x14ac:dyDescent="0.25">
      <c r="B41" s="6" t="s">
        <v>44</v>
      </c>
      <c r="C41" s="21">
        <f t="shared" si="6"/>
        <v>705</v>
      </c>
      <c r="D41" s="21">
        <f t="shared" si="7"/>
        <v>144</v>
      </c>
      <c r="E41" s="22">
        <f t="shared" si="8"/>
        <v>20.425531914893615</v>
      </c>
      <c r="F41" s="1">
        <v>360</v>
      </c>
      <c r="G41" s="1">
        <v>68</v>
      </c>
      <c r="H41" s="27">
        <f t="shared" si="11"/>
        <v>18.888888888888889</v>
      </c>
      <c r="I41" s="1">
        <v>345</v>
      </c>
      <c r="J41" s="1">
        <v>76</v>
      </c>
      <c r="K41" s="32">
        <f t="shared" si="10"/>
        <v>22.028985507246375</v>
      </c>
      <c r="L41" s="11" t="s">
        <v>22</v>
      </c>
    </row>
    <row r="42" spans="2:12" ht="21" x14ac:dyDescent="0.25">
      <c r="B42" s="20" t="s">
        <v>45</v>
      </c>
      <c r="C42" s="21">
        <f t="shared" si="6"/>
        <v>3</v>
      </c>
      <c r="D42" s="21">
        <f t="shared" si="7"/>
        <v>1</v>
      </c>
      <c r="E42" s="22">
        <f t="shared" si="8"/>
        <v>33.333333333333329</v>
      </c>
      <c r="F42" s="1">
        <v>0</v>
      </c>
      <c r="G42" s="1">
        <v>0</v>
      </c>
      <c r="H42" s="27">
        <v>0</v>
      </c>
      <c r="I42" s="1">
        <v>3</v>
      </c>
      <c r="J42" s="1">
        <v>1</v>
      </c>
      <c r="K42" s="32">
        <f t="shared" si="10"/>
        <v>33.333333333333329</v>
      </c>
      <c r="L42" s="11" t="s">
        <v>46</v>
      </c>
    </row>
    <row r="43" spans="2:12" ht="21" x14ac:dyDescent="0.25">
      <c r="B43" s="6" t="s">
        <v>34</v>
      </c>
      <c r="C43" s="21">
        <f t="shared" si="6"/>
        <v>7</v>
      </c>
      <c r="D43" s="21">
        <f t="shared" si="7"/>
        <v>6</v>
      </c>
      <c r="E43" s="22">
        <f t="shared" si="8"/>
        <v>85.714285714285708</v>
      </c>
      <c r="F43" s="1">
        <v>1</v>
      </c>
      <c r="G43" s="1">
        <v>1</v>
      </c>
      <c r="H43" s="27">
        <f t="shared" ref="H43:H44" si="12">G43/F43*100</f>
        <v>100</v>
      </c>
      <c r="I43" s="1">
        <v>6</v>
      </c>
      <c r="J43" s="1">
        <v>5</v>
      </c>
      <c r="K43" s="32">
        <f t="shared" si="10"/>
        <v>83.333333333333343</v>
      </c>
      <c r="L43" s="11" t="s">
        <v>35</v>
      </c>
    </row>
    <row r="44" spans="2:12" ht="21" x14ac:dyDescent="0.25">
      <c r="B44" s="6" t="s">
        <v>31</v>
      </c>
      <c r="C44" s="21">
        <f t="shared" si="6"/>
        <v>1</v>
      </c>
      <c r="D44" s="21">
        <f t="shared" si="7"/>
        <v>0</v>
      </c>
      <c r="E44" s="22">
        <f t="shared" si="8"/>
        <v>0</v>
      </c>
      <c r="F44" s="1">
        <v>1</v>
      </c>
      <c r="G44" s="1">
        <v>0</v>
      </c>
      <c r="H44" s="27">
        <f t="shared" si="12"/>
        <v>0</v>
      </c>
      <c r="I44" s="1">
        <v>0</v>
      </c>
      <c r="J44" s="1">
        <v>0</v>
      </c>
      <c r="K44" s="32">
        <v>0</v>
      </c>
      <c r="L44" s="11" t="s">
        <v>32</v>
      </c>
    </row>
    <row r="45" spans="2:12" ht="21" x14ac:dyDescent="0.25">
      <c r="B45" s="6" t="s">
        <v>30</v>
      </c>
      <c r="C45" s="21">
        <f t="shared" si="6"/>
        <v>6</v>
      </c>
      <c r="D45" s="21">
        <f t="shared" si="7"/>
        <v>2</v>
      </c>
      <c r="E45" s="22">
        <f t="shared" si="8"/>
        <v>33.333333333333329</v>
      </c>
      <c r="F45" s="1">
        <v>0</v>
      </c>
      <c r="G45" s="1">
        <v>0</v>
      </c>
      <c r="H45" s="27">
        <v>0</v>
      </c>
      <c r="I45" s="1">
        <v>6</v>
      </c>
      <c r="J45" s="1">
        <v>2</v>
      </c>
      <c r="K45" s="32">
        <f t="shared" ref="K45:K46" si="13">J45/I45*100</f>
        <v>33.333333333333329</v>
      </c>
      <c r="L45" s="11" t="s">
        <v>25</v>
      </c>
    </row>
    <row r="46" spans="2:12" ht="21" x14ac:dyDescent="0.25">
      <c r="B46" s="7" t="s">
        <v>50</v>
      </c>
      <c r="C46" s="34">
        <f t="shared" si="6"/>
        <v>11</v>
      </c>
      <c r="D46" s="34">
        <f t="shared" si="7"/>
        <v>3</v>
      </c>
      <c r="E46" s="29">
        <f t="shared" si="8"/>
        <v>27.27272727272727</v>
      </c>
      <c r="F46" s="10">
        <v>3</v>
      </c>
      <c r="G46" s="10">
        <v>1</v>
      </c>
      <c r="H46" s="30">
        <f t="shared" ref="H46" si="14">G46/F46*100</f>
        <v>33.333333333333329</v>
      </c>
      <c r="I46" s="10">
        <v>8</v>
      </c>
      <c r="J46" s="10">
        <v>2</v>
      </c>
      <c r="K46" s="13">
        <f t="shared" si="13"/>
        <v>25</v>
      </c>
      <c r="L46" s="12" t="s">
        <v>49</v>
      </c>
    </row>
    <row r="47" spans="2:12" x14ac:dyDescent="0.25">
      <c r="B47" s="4" t="s">
        <v>0</v>
      </c>
    </row>
    <row r="48" spans="2:12" x14ac:dyDescent="0.25">
      <c r="B48" s="6" t="s">
        <v>7</v>
      </c>
    </row>
    <row r="50" spans="1:39" ht="19.5" customHeight="1" x14ac:dyDescent="0.25"/>
    <row r="51" spans="1:39" x14ac:dyDescent="0.25">
      <c r="A51" s="5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5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5"/>
      <c r="E54" s="2"/>
      <c r="F54" s="2"/>
      <c r="G54" s="2"/>
      <c r="H54" s="2"/>
      <c r="I54" s="2"/>
      <c r="J54" s="2"/>
      <c r="K54" s="2"/>
      <c r="L54" s="2"/>
    </row>
    <row r="55" spans="1:39" x14ac:dyDescent="0.25">
      <c r="A55" s="5"/>
    </row>
    <row r="56" spans="1:39" x14ac:dyDescent="0.25">
      <c r="A56" s="5"/>
    </row>
    <row r="57" spans="1:39" x14ac:dyDescent="0.25">
      <c r="A57" s="5"/>
    </row>
    <row r="58" spans="1:39" x14ac:dyDescent="0.25">
      <c r="A58" s="5"/>
    </row>
    <row r="59" spans="1:39" x14ac:dyDescent="0.25">
      <c r="A59" s="5"/>
    </row>
    <row r="60" spans="1:39" x14ac:dyDescent="0.25">
      <c r="A60" s="5"/>
    </row>
    <row r="61" spans="1:39" x14ac:dyDescent="0.25">
      <c r="A61" s="5"/>
    </row>
    <row r="62" spans="1:39" x14ac:dyDescent="0.25">
      <c r="A62" s="5"/>
    </row>
    <row r="63" spans="1:39" x14ac:dyDescent="0.25">
      <c r="A63" s="5"/>
    </row>
    <row r="64" spans="1:39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</sheetData>
  <sortState ref="AI6:AK21">
    <sortCondition ref="AJ6:AJ21"/>
  </sortState>
  <mergeCells count="14">
    <mergeCell ref="B26:L26"/>
    <mergeCell ref="B27:L27"/>
    <mergeCell ref="C28:E28"/>
    <mergeCell ref="F28:H28"/>
    <mergeCell ref="I28:K28"/>
    <mergeCell ref="L28:L30"/>
    <mergeCell ref="B28:B30"/>
    <mergeCell ref="B2:L2"/>
    <mergeCell ref="B3:L3"/>
    <mergeCell ref="C4:E4"/>
    <mergeCell ref="F4:H4"/>
    <mergeCell ref="I4:K4"/>
    <mergeCell ref="L4:L6"/>
    <mergeCell ref="B4:B6"/>
  </mergeCells>
  <pageMargins left="0.7" right="0.7" top="0.75" bottom="0.75" header="0.3" footer="0.3"/>
  <pageSetup scale="57" orientation="portrait" horizontalDpi="0" verticalDpi="0" r:id="rId1"/>
  <rowBreaks count="1" manualBreakCount="1">
    <brk id="48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7.22</vt:lpstr>
      <vt:lpstr>'7.22'!Print_Area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2020-08-12T08:48:56Z</cp:lastPrinted>
  <dcterms:created xsi:type="dcterms:W3CDTF">2019-02-28T08:20:57Z</dcterms:created>
  <dcterms:modified xsi:type="dcterms:W3CDTF">2020-08-12T08:49:14Z</dcterms:modified>
</cp:coreProperties>
</file>