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2330" tabRatio="878"/>
  </bookViews>
  <sheets>
    <sheet name="7.28" sheetId="33" r:id="rId1"/>
  </sheets>
  <definedNames>
    <definedName name="_xlnm.Print_Area" localSheetId="0">'7.28'!$A$1:$I$11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33" l="1"/>
  <c r="D9" i="33"/>
  <c r="E8" i="33"/>
  <c r="D8" i="33"/>
  <c r="E7" i="33"/>
  <c r="D7" i="33"/>
  <c r="E6" i="33"/>
  <c r="E10" i="33" s="1"/>
  <c r="D6" i="33"/>
  <c r="D10" i="33" l="1"/>
</calcChain>
</file>

<file path=xl/sharedStrings.xml><?xml version="1.0" encoding="utf-8"?>
<sst xmlns="http://schemas.openxmlformats.org/spreadsheetml/2006/main" count="12" uniqueCount="10">
  <si>
    <t>Total</t>
  </si>
  <si>
    <t>Male</t>
  </si>
  <si>
    <t>Female</t>
  </si>
  <si>
    <t>Locality</t>
  </si>
  <si>
    <t xml:space="preserve">Source: Ministry of Higher Education </t>
  </si>
  <si>
    <t>Local staff</t>
  </si>
  <si>
    <t>Full-time staff</t>
  </si>
  <si>
    <t>Part-time Staff</t>
  </si>
  <si>
    <t>Foreign staff</t>
  </si>
  <si>
    <t>Table 7.28: Number of staff by gender, nationality and type of employment,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</si>
</sst>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 applyAlignment="1">
      <alignment vertical="center"/>
    </xf>
    <xf numFmtId="0" fontId="5" fillId="2" borderId="0" xfId="12" applyNumberFormat="1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976431"/>
      <color rgb="FFFFEFEF"/>
      <color rgb="FFDFBE9D"/>
      <color rgb="FFCC6600"/>
      <color rgb="FF964B00"/>
      <color rgb="FFFFF2E5"/>
      <color rgb="FFC48648"/>
      <color rgb="FFFFF9F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1"/>
  <sheetViews>
    <sheetView tabSelected="1" zoomScaleNormal="100" workbookViewId="0">
      <selection activeCell="L9" sqref="L9"/>
    </sheetView>
  </sheetViews>
  <sheetFormatPr defaultRowHeight="15" x14ac:dyDescent="0.25"/>
  <cols>
    <col min="1" max="1" width="2.28515625" style="1" customWidth="1"/>
    <col min="2" max="2" width="19.85546875" style="1" customWidth="1"/>
    <col min="3" max="3" width="24" style="1" customWidth="1"/>
    <col min="4" max="16384" width="9.140625" style="1"/>
  </cols>
  <sheetData>
    <row r="3" spans="2:5" x14ac:dyDescent="0.25">
      <c r="B3" s="3" t="s">
        <v>9</v>
      </c>
    </row>
    <row r="5" spans="2:5" x14ac:dyDescent="0.25">
      <c r="B5" s="4" t="s">
        <v>3</v>
      </c>
      <c r="C5" s="4"/>
      <c r="D5" s="4" t="s">
        <v>2</v>
      </c>
      <c r="E5" s="4" t="s">
        <v>1</v>
      </c>
    </row>
    <row r="6" spans="2:5" x14ac:dyDescent="0.25">
      <c r="B6" s="7" t="s">
        <v>5</v>
      </c>
      <c r="C6" s="2" t="s">
        <v>6</v>
      </c>
      <c r="D6" s="2">
        <f>136-36+15</f>
        <v>115</v>
      </c>
      <c r="E6" s="2">
        <f>233-87+34</f>
        <v>180</v>
      </c>
    </row>
    <row r="7" spans="2:5" x14ac:dyDescent="0.25">
      <c r="B7" s="7"/>
      <c r="C7" s="2" t="s">
        <v>7</v>
      </c>
      <c r="D7" s="2">
        <f>15+9</f>
        <v>24</v>
      </c>
      <c r="E7" s="2">
        <f>29+13</f>
        <v>42</v>
      </c>
    </row>
    <row r="8" spans="2:5" x14ac:dyDescent="0.25">
      <c r="B8" s="7" t="s">
        <v>8</v>
      </c>
      <c r="C8" s="2" t="s">
        <v>6</v>
      </c>
      <c r="D8" s="2">
        <f>42+12</f>
        <v>54</v>
      </c>
      <c r="E8" s="2">
        <f>75+27</f>
        <v>102</v>
      </c>
    </row>
    <row r="9" spans="2:5" x14ac:dyDescent="0.25">
      <c r="B9" s="7"/>
      <c r="C9" s="2" t="s">
        <v>7</v>
      </c>
      <c r="D9" s="2">
        <f>4+1</f>
        <v>5</v>
      </c>
      <c r="E9" s="2">
        <f>9+9</f>
        <v>18</v>
      </c>
    </row>
    <row r="10" spans="2:5" x14ac:dyDescent="0.25">
      <c r="B10" s="5" t="s">
        <v>0</v>
      </c>
      <c r="C10" s="5"/>
      <c r="D10" s="5">
        <f>SUM(D6:D9)</f>
        <v>198</v>
      </c>
      <c r="E10" s="5">
        <f>SUM(E6:E9)</f>
        <v>342</v>
      </c>
    </row>
    <row r="11" spans="2:5" x14ac:dyDescent="0.25">
      <c r="B11" s="6" t="s">
        <v>4</v>
      </c>
      <c r="C11" s="6"/>
      <c r="D11" s="6"/>
      <c r="E11" s="6"/>
    </row>
  </sheetData>
  <mergeCells count="3">
    <mergeCell ref="B6:B7"/>
    <mergeCell ref="B8:B9"/>
    <mergeCell ref="B11:E11"/>
  </mergeCells>
  <pageMargins left="0.7" right="0.7" top="0.75" bottom="0.75" header="0.3" footer="0.3"/>
  <pageSetup scale="8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7.28</vt:lpstr>
      <vt:lpstr>'7.28'!Print_Area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2020-12-13T04:13:53Z</cp:lastPrinted>
  <dcterms:created xsi:type="dcterms:W3CDTF">2019-02-28T08:20:57Z</dcterms:created>
  <dcterms:modified xsi:type="dcterms:W3CDTF">2020-12-13T04:14:46Z</dcterms:modified>
</cp:coreProperties>
</file>