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New folder\"/>
    </mc:Choice>
  </mc:AlternateContent>
  <bookViews>
    <workbookView xWindow="0" yWindow="0" windowWidth="28800" windowHeight="12330" tabRatio="878"/>
  </bookViews>
  <sheets>
    <sheet name="7.30" sheetId="31" r:id="rId1"/>
  </sheets>
  <definedNames>
    <definedName name="_xlnm.Print_Area" localSheetId="0">'7.30'!$A$1:$Q$52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31" l="1"/>
  <c r="N7" i="31"/>
  <c r="M7" i="31"/>
  <c r="E7" i="31"/>
  <c r="O51" i="31"/>
  <c r="O7" i="31" s="1"/>
  <c r="Q51" i="31"/>
  <c r="Q7" i="31" s="1"/>
  <c r="P51" i="31"/>
  <c r="P7" i="31" s="1"/>
  <c r="I51" i="31"/>
  <c r="I7" i="31" s="1"/>
  <c r="K51" i="31"/>
  <c r="K7" i="31" s="1"/>
  <c r="J51" i="31"/>
  <c r="J7" i="31" s="1"/>
  <c r="F51" i="31"/>
  <c r="F7" i="31" s="1"/>
  <c r="H51" i="31"/>
  <c r="H7" i="31" s="1"/>
  <c r="G51" i="31"/>
  <c r="G7" i="31" s="1"/>
  <c r="C51" i="31"/>
  <c r="C7" i="31" s="1"/>
  <c r="D51" i="31"/>
  <c r="D7" i="31" s="1"/>
</calcChain>
</file>

<file path=xl/sharedStrings.xml><?xml version="1.0" encoding="utf-8"?>
<sst xmlns="http://schemas.openxmlformats.org/spreadsheetml/2006/main" count="80" uniqueCount="67">
  <si>
    <t>Total</t>
  </si>
  <si>
    <t>Male</t>
  </si>
  <si>
    <t>Female</t>
  </si>
  <si>
    <t>Both sexes</t>
  </si>
  <si>
    <t>Biology</t>
  </si>
  <si>
    <t>MAIN FIELD</t>
  </si>
  <si>
    <t>FIELD OF EDUCATION AND TRAINING</t>
  </si>
  <si>
    <t>2019 Enrollment</t>
  </si>
  <si>
    <t>Total Enrollment</t>
  </si>
  <si>
    <t>Graduate Output</t>
  </si>
  <si>
    <t>Repeaters</t>
  </si>
  <si>
    <t xml:space="preserve">Dropout </t>
  </si>
  <si>
    <t>Basic programmes and qualifications</t>
  </si>
  <si>
    <t>Personel skills</t>
  </si>
  <si>
    <t>Personal skills</t>
  </si>
  <si>
    <t>Education</t>
  </si>
  <si>
    <t>Teacher training for children with special needs</t>
  </si>
  <si>
    <t>Teacher training without subject specialization</t>
  </si>
  <si>
    <t>Training for pre-school teachers</t>
  </si>
  <si>
    <t>Teacher training with subject specialization</t>
  </si>
  <si>
    <t>Arts and Humanities</t>
  </si>
  <si>
    <t>Audio-visual techniques and media production</t>
  </si>
  <si>
    <t>Fashion, interior and industrial design</t>
  </si>
  <si>
    <t>Religion and theology</t>
  </si>
  <si>
    <t>Philosophy and ethics</t>
  </si>
  <si>
    <t>Language acquisition</t>
  </si>
  <si>
    <t>Literature and linguistics</t>
  </si>
  <si>
    <t>Social Sciences, Journalism and Information</t>
  </si>
  <si>
    <t>Political science and civics</t>
  </si>
  <si>
    <t>Psychology</t>
  </si>
  <si>
    <t>Journalism and reporting</t>
  </si>
  <si>
    <t>Business, Administration and Law</t>
  </si>
  <si>
    <t>Accounting and taxation</t>
  </si>
  <si>
    <t>Finance, banking and insurance</t>
  </si>
  <si>
    <t>Management and administration</t>
  </si>
  <si>
    <t>Marketing and advertising</t>
  </si>
  <si>
    <t>Law</t>
  </si>
  <si>
    <t>Natural Sciences, Mathematics and Statistics</t>
  </si>
  <si>
    <t>Earth science</t>
  </si>
  <si>
    <t>Information and Communication Technologies</t>
  </si>
  <si>
    <t>Database and network design and administration</t>
  </si>
  <si>
    <t>Software and applications development and analysis</t>
  </si>
  <si>
    <t>Engineering, Manufacturing and Construction</t>
  </si>
  <si>
    <t>Chemical engineering and processes</t>
  </si>
  <si>
    <t>Electricity and energy</t>
  </si>
  <si>
    <t>Mechanics and metal trades</t>
  </si>
  <si>
    <t>Motor vehicles, ships and aircrafts</t>
  </si>
  <si>
    <t>Food processing</t>
  </si>
  <si>
    <t>Materials (glass, paper, plastic and wood)</t>
  </si>
  <si>
    <t>Building and civil engineering</t>
  </si>
  <si>
    <t>Health and Welfare</t>
  </si>
  <si>
    <t>Medicine</t>
  </si>
  <si>
    <t>Nursing and midwifery</t>
  </si>
  <si>
    <t>Medical diagnostic and treatment technology</t>
  </si>
  <si>
    <t>Therapy and rehabilitation</t>
  </si>
  <si>
    <t>Pharmacy</t>
  </si>
  <si>
    <t>Social work and counselling</t>
  </si>
  <si>
    <t>Services</t>
  </si>
  <si>
    <t>Domestic services</t>
  </si>
  <si>
    <t>Hotels, restaurants and catering</t>
  </si>
  <si>
    <t>Sports</t>
  </si>
  <si>
    <t>Travel, tourism and leisure</t>
  </si>
  <si>
    <t>Community sanitation</t>
  </si>
  <si>
    <t>Protection of persons and property</t>
  </si>
  <si>
    <t>Unspecified</t>
  </si>
  <si>
    <t xml:space="preserve">Source: Ministry of Higher Education </t>
  </si>
  <si>
    <t>TABLE 7.30: STUDENT ENROLMENT AND GRADUATE OUTPUT IN HIGHER EDUCATION INSTITUTIONS IN MALDIVES BY SEX,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</si>
</sst>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#,##0;[Red]#,##0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3">
    <xf numFmtId="0" fontId="0" fillId="0" borderId="0"/>
    <xf numFmtId="0" fontId="3" fillId="0" borderId="0"/>
    <xf numFmtId="166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4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</cellStyleXfs>
  <cellXfs count="42">
    <xf numFmtId="0" fontId="0" fillId="0" borderId="0" xfId="0"/>
    <xf numFmtId="0" fontId="0" fillId="2" borderId="0" xfId="0" applyFill="1"/>
    <xf numFmtId="0" fontId="0" fillId="2" borderId="0" xfId="0" applyFill="1" applyBorder="1"/>
    <xf numFmtId="3" fontId="0" fillId="2" borderId="1" xfId="0" applyNumberFormat="1" applyFill="1" applyBorder="1" applyAlignment="1">
      <alignment horizontal="right" vertical="center"/>
    </xf>
    <xf numFmtId="3" fontId="0" fillId="2" borderId="5" xfId="0" applyNumberFormat="1" applyFill="1" applyBorder="1" applyAlignment="1">
      <alignment horizontal="right" vertical="center"/>
    </xf>
    <xf numFmtId="3" fontId="0" fillId="2" borderId="0" xfId="0" applyNumberForma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3" fontId="0" fillId="2" borderId="9" xfId="0" applyNumberFormat="1" applyFill="1" applyBorder="1" applyAlignment="1">
      <alignment horizontal="right" vertical="center"/>
    </xf>
    <xf numFmtId="0" fontId="1" fillId="2" borderId="19" xfId="0" applyFont="1" applyFill="1" applyBorder="1" applyAlignment="1">
      <alignment horizontal="right" vertical="center"/>
    </xf>
    <xf numFmtId="0" fontId="1" fillId="2" borderId="18" xfId="0" applyFont="1" applyFill="1" applyBorder="1" applyAlignment="1">
      <alignment horizontal="right" vertical="center"/>
    </xf>
    <xf numFmtId="3" fontId="0" fillId="2" borderId="6" xfId="0" applyNumberFormat="1" applyFill="1" applyBorder="1" applyAlignment="1">
      <alignment horizontal="right" vertical="center"/>
    </xf>
    <xf numFmtId="3" fontId="0" fillId="2" borderId="4" xfId="0" applyNumberFormat="1" applyFill="1" applyBorder="1" applyAlignment="1">
      <alignment horizontal="right" vertical="center"/>
    </xf>
    <xf numFmtId="3" fontId="0" fillId="2" borderId="10" xfId="0" applyNumberFormat="1" applyFill="1" applyBorder="1" applyAlignment="1">
      <alignment horizontal="right" vertical="center"/>
    </xf>
    <xf numFmtId="3" fontId="0" fillId="2" borderId="11" xfId="0" applyNumberFormat="1" applyFill="1" applyBorder="1" applyAlignment="1">
      <alignment horizontal="right" vertical="center"/>
    </xf>
    <xf numFmtId="3" fontId="0" fillId="2" borderId="7" xfId="0" applyNumberFormat="1" applyFill="1" applyBorder="1" applyAlignment="1">
      <alignment horizontal="right" vertical="center"/>
    </xf>
    <xf numFmtId="0" fontId="0" fillId="2" borderId="4" xfId="0" applyFill="1" applyBorder="1" applyAlignment="1">
      <alignment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0" fillId="2" borderId="11" xfId="0" applyFill="1" applyBorder="1" applyAlignment="1">
      <alignment vertical="center" wrapText="1"/>
    </xf>
    <xf numFmtId="0" fontId="0" fillId="2" borderId="5" xfId="0" applyFill="1" applyBorder="1" applyAlignment="1">
      <alignment vertical="center"/>
    </xf>
    <xf numFmtId="0" fontId="0" fillId="2" borderId="8" xfId="0" applyFill="1" applyBorder="1" applyAlignment="1">
      <alignment vertical="center" wrapText="1"/>
    </xf>
    <xf numFmtId="0" fontId="0" fillId="2" borderId="11" xfId="0" applyFill="1" applyBorder="1" applyAlignment="1">
      <alignment horizontal="left" vertical="center" wrapText="1"/>
    </xf>
    <xf numFmtId="0" fontId="6" fillId="2" borderId="20" xfId="0" applyFont="1" applyFill="1" applyBorder="1" applyAlignment="1">
      <alignment horizontal="left" vertical="center" wrapText="1"/>
    </xf>
    <xf numFmtId="3" fontId="0" fillId="2" borderId="3" xfId="0" applyNumberFormat="1" applyFill="1" applyBorder="1" applyAlignment="1">
      <alignment horizontal="right" vertical="center"/>
    </xf>
    <xf numFmtId="3" fontId="0" fillId="2" borderId="15" xfId="0" applyNumberFormat="1" applyFill="1" applyBorder="1" applyAlignment="1">
      <alignment horizontal="right" vertical="center"/>
    </xf>
    <xf numFmtId="3" fontId="0" fillId="2" borderId="20" xfId="0" applyNumberFormat="1" applyFill="1" applyBorder="1" applyAlignment="1">
      <alignment horizontal="right" vertical="center"/>
    </xf>
    <xf numFmtId="3" fontId="1" fillId="3" borderId="12" xfId="0" applyNumberFormat="1" applyFont="1" applyFill="1" applyBorder="1" applyAlignment="1">
      <alignment horizontal="right" vertical="center"/>
    </xf>
    <xf numFmtId="3" fontId="1" fillId="3" borderId="16" xfId="0" applyNumberFormat="1" applyFont="1" applyFill="1" applyBorder="1" applyAlignment="1">
      <alignment horizontal="right" vertical="center"/>
    </xf>
    <xf numFmtId="3" fontId="1" fillId="3" borderId="17" xfId="0" applyNumberFormat="1" applyFont="1" applyFill="1" applyBorder="1" applyAlignment="1">
      <alignment horizontal="right" vertical="center"/>
    </xf>
    <xf numFmtId="164" fontId="1" fillId="2" borderId="0" xfId="11" applyNumberFormat="1" applyFont="1" applyFill="1" applyBorder="1" applyAlignment="1">
      <alignment vertical="center"/>
    </xf>
    <xf numFmtId="0" fontId="5" fillId="2" borderId="0" xfId="12" applyNumberFormat="1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164" fontId="1" fillId="2" borderId="0" xfId="1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8D1BA"/>
      <color rgb="FF976431"/>
      <color rgb="FFFFEFEF"/>
      <color rgb="FFDFBE9D"/>
      <color rgb="FFCC6600"/>
      <color rgb="FF964B00"/>
      <color rgb="FFFFF2E5"/>
      <color rgb="FFC48648"/>
      <color rgb="FFFFF9F3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52"/>
  <sheetViews>
    <sheetView tabSelected="1" zoomScaleNormal="100" workbookViewId="0">
      <selection activeCell="C20" sqref="C20"/>
    </sheetView>
  </sheetViews>
  <sheetFormatPr defaultColWidth="9.140625" defaultRowHeight="15" x14ac:dyDescent="0.25"/>
  <cols>
    <col min="1" max="1" width="28.42578125" style="1" customWidth="1"/>
    <col min="2" max="2" width="45.7109375" style="1" customWidth="1"/>
    <col min="3" max="17" width="10.28515625" style="1" customWidth="1"/>
    <col min="18" max="16384" width="9.140625" style="1"/>
  </cols>
  <sheetData>
    <row r="2" spans="1:23" x14ac:dyDescent="0.25">
      <c r="A2" s="35" t="s">
        <v>66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29"/>
      <c r="S2" s="29"/>
      <c r="T2" s="29"/>
      <c r="U2" s="29"/>
      <c r="V2" s="29"/>
      <c r="W2" s="29"/>
    </row>
    <row r="5" spans="1:23" x14ac:dyDescent="0.25">
      <c r="A5" s="38" t="s">
        <v>5</v>
      </c>
      <c r="B5" s="38" t="s">
        <v>6</v>
      </c>
      <c r="C5" s="36" t="s">
        <v>7</v>
      </c>
      <c r="D5" s="36"/>
      <c r="E5" s="36"/>
      <c r="F5" s="40" t="s">
        <v>8</v>
      </c>
      <c r="G5" s="36"/>
      <c r="H5" s="41"/>
      <c r="I5" s="36" t="s">
        <v>9</v>
      </c>
      <c r="J5" s="36"/>
      <c r="K5" s="36"/>
      <c r="L5" s="40" t="s">
        <v>10</v>
      </c>
      <c r="M5" s="36"/>
      <c r="N5" s="41"/>
      <c r="O5" s="36" t="s">
        <v>11</v>
      </c>
      <c r="P5" s="36"/>
      <c r="Q5" s="36"/>
    </row>
    <row r="6" spans="1:23" x14ac:dyDescent="0.25">
      <c r="A6" s="39"/>
      <c r="B6" s="39"/>
      <c r="C6" s="8" t="s">
        <v>3</v>
      </c>
      <c r="D6" s="8" t="s">
        <v>1</v>
      </c>
      <c r="E6" s="9" t="s">
        <v>2</v>
      </c>
      <c r="F6" s="8" t="s">
        <v>3</v>
      </c>
      <c r="G6" s="8" t="s">
        <v>1</v>
      </c>
      <c r="H6" s="9" t="s">
        <v>2</v>
      </c>
      <c r="I6" s="8" t="s">
        <v>3</v>
      </c>
      <c r="J6" s="8" t="s">
        <v>1</v>
      </c>
      <c r="K6" s="9" t="s">
        <v>2</v>
      </c>
      <c r="L6" s="8" t="s">
        <v>3</v>
      </c>
      <c r="M6" s="8" t="s">
        <v>1</v>
      </c>
      <c r="N6" s="9" t="s">
        <v>2</v>
      </c>
      <c r="O6" s="8" t="s">
        <v>3</v>
      </c>
      <c r="P6" s="8" t="s">
        <v>1</v>
      </c>
      <c r="Q6" s="8" t="s">
        <v>2</v>
      </c>
    </row>
    <row r="7" spans="1:23" s="6" customFormat="1" x14ac:dyDescent="0.25">
      <c r="A7" s="31" t="s">
        <v>0</v>
      </c>
      <c r="B7" s="32"/>
      <c r="C7" s="26">
        <f t="shared" ref="C7:Q7" si="0">SUM(C8:C51)</f>
        <v>13999</v>
      </c>
      <c r="D7" s="26">
        <f t="shared" si="0"/>
        <v>5803</v>
      </c>
      <c r="E7" s="26">
        <f t="shared" si="0"/>
        <v>8196</v>
      </c>
      <c r="F7" s="27">
        <f t="shared" si="0"/>
        <v>19969</v>
      </c>
      <c r="G7" s="26">
        <f t="shared" si="0"/>
        <v>7257</v>
      </c>
      <c r="H7" s="28">
        <f t="shared" si="0"/>
        <v>12712</v>
      </c>
      <c r="I7" s="26">
        <f t="shared" si="0"/>
        <v>5340</v>
      </c>
      <c r="J7" s="26">
        <f t="shared" si="0"/>
        <v>1990</v>
      </c>
      <c r="K7" s="26">
        <f t="shared" si="0"/>
        <v>3350</v>
      </c>
      <c r="L7" s="27">
        <f t="shared" si="0"/>
        <v>3039</v>
      </c>
      <c r="M7" s="26">
        <f t="shared" si="0"/>
        <v>1112</v>
      </c>
      <c r="N7" s="28">
        <f t="shared" si="0"/>
        <v>1927</v>
      </c>
      <c r="O7" s="26">
        <f t="shared" si="0"/>
        <v>1433</v>
      </c>
      <c r="P7" s="26">
        <f t="shared" si="0"/>
        <v>624</v>
      </c>
      <c r="Q7" s="26">
        <f t="shared" si="0"/>
        <v>809</v>
      </c>
    </row>
    <row r="8" spans="1:23" s="6" customFormat="1" ht="24" customHeight="1" x14ac:dyDescent="0.25">
      <c r="A8" s="20" t="s">
        <v>12</v>
      </c>
      <c r="B8" s="15" t="s">
        <v>12</v>
      </c>
      <c r="C8" s="5">
        <v>1037</v>
      </c>
      <c r="D8" s="5">
        <v>443</v>
      </c>
      <c r="E8" s="5">
        <v>594</v>
      </c>
      <c r="F8" s="10">
        <v>1229</v>
      </c>
      <c r="G8" s="5">
        <v>505</v>
      </c>
      <c r="H8" s="11">
        <v>724</v>
      </c>
      <c r="I8" s="5">
        <v>126</v>
      </c>
      <c r="J8" s="5">
        <v>36</v>
      </c>
      <c r="K8" s="5">
        <v>90</v>
      </c>
      <c r="L8" s="10">
        <v>7</v>
      </c>
      <c r="M8" s="5">
        <v>1</v>
      </c>
      <c r="N8" s="11">
        <v>6</v>
      </c>
      <c r="O8" s="5">
        <v>84</v>
      </c>
      <c r="P8" s="5">
        <v>38</v>
      </c>
      <c r="Q8" s="5">
        <v>46</v>
      </c>
    </row>
    <row r="9" spans="1:23" s="6" customFormat="1" ht="17.25" customHeight="1" x14ac:dyDescent="0.25">
      <c r="A9" s="21" t="s">
        <v>13</v>
      </c>
      <c r="B9" s="16" t="s">
        <v>14</v>
      </c>
      <c r="C9" s="7">
        <v>0</v>
      </c>
      <c r="D9" s="7">
        <v>0</v>
      </c>
      <c r="E9" s="7">
        <v>0</v>
      </c>
      <c r="F9" s="12">
        <v>0</v>
      </c>
      <c r="G9" s="7">
        <v>0</v>
      </c>
      <c r="H9" s="13">
        <v>0</v>
      </c>
      <c r="I9" s="7">
        <v>3</v>
      </c>
      <c r="J9" s="7">
        <v>2</v>
      </c>
      <c r="K9" s="7">
        <v>1</v>
      </c>
      <c r="L9" s="12">
        <v>0</v>
      </c>
      <c r="M9" s="7">
        <v>0</v>
      </c>
      <c r="N9" s="13">
        <v>0</v>
      </c>
      <c r="O9" s="7">
        <v>0</v>
      </c>
      <c r="P9" s="7">
        <v>0</v>
      </c>
      <c r="Q9" s="7">
        <v>0</v>
      </c>
    </row>
    <row r="10" spans="1:23" s="6" customFormat="1" ht="17.25" customHeight="1" x14ac:dyDescent="0.25">
      <c r="A10" s="33" t="s">
        <v>15</v>
      </c>
      <c r="B10" s="17" t="s">
        <v>16</v>
      </c>
      <c r="C10" s="5">
        <v>197</v>
      </c>
      <c r="D10" s="5">
        <v>140</v>
      </c>
      <c r="E10" s="5">
        <v>57</v>
      </c>
      <c r="F10" s="10">
        <v>61</v>
      </c>
      <c r="G10" s="5">
        <v>1</v>
      </c>
      <c r="H10" s="11">
        <v>60</v>
      </c>
      <c r="I10" s="5">
        <v>18</v>
      </c>
      <c r="J10" s="5">
        <v>0</v>
      </c>
      <c r="K10" s="5">
        <v>18</v>
      </c>
      <c r="L10" s="10">
        <v>5</v>
      </c>
      <c r="M10" s="5">
        <v>0</v>
      </c>
      <c r="N10" s="11">
        <v>5</v>
      </c>
      <c r="O10" s="5">
        <v>8</v>
      </c>
      <c r="P10" s="5">
        <v>0</v>
      </c>
      <c r="Q10" s="5">
        <v>8</v>
      </c>
    </row>
    <row r="11" spans="1:23" s="6" customFormat="1" ht="17.25" customHeight="1" x14ac:dyDescent="0.25">
      <c r="A11" s="33"/>
      <c r="B11" s="17" t="s">
        <v>17</v>
      </c>
      <c r="C11" s="5">
        <v>1178</v>
      </c>
      <c r="D11" s="5">
        <v>291</v>
      </c>
      <c r="E11" s="5">
        <v>887</v>
      </c>
      <c r="F11" s="10">
        <v>1893</v>
      </c>
      <c r="G11" s="5">
        <v>290</v>
      </c>
      <c r="H11" s="11">
        <v>1603</v>
      </c>
      <c r="I11" s="5">
        <v>608</v>
      </c>
      <c r="J11" s="5">
        <v>148</v>
      </c>
      <c r="K11" s="5">
        <v>460</v>
      </c>
      <c r="L11" s="10">
        <v>392</v>
      </c>
      <c r="M11" s="5">
        <v>69</v>
      </c>
      <c r="N11" s="11">
        <v>323</v>
      </c>
      <c r="O11" s="5">
        <v>116</v>
      </c>
      <c r="P11" s="5">
        <v>20</v>
      </c>
      <c r="Q11" s="5">
        <v>96</v>
      </c>
    </row>
    <row r="12" spans="1:23" s="6" customFormat="1" ht="17.25" customHeight="1" x14ac:dyDescent="0.25">
      <c r="A12" s="33"/>
      <c r="B12" s="17" t="s">
        <v>18</v>
      </c>
      <c r="C12" s="5">
        <v>666</v>
      </c>
      <c r="D12" s="5">
        <v>529</v>
      </c>
      <c r="E12" s="5">
        <v>137</v>
      </c>
      <c r="F12" s="10">
        <v>272</v>
      </c>
      <c r="G12" s="5">
        <v>5</v>
      </c>
      <c r="H12" s="11">
        <v>267</v>
      </c>
      <c r="I12" s="5">
        <v>416</v>
      </c>
      <c r="J12" s="5">
        <v>9</v>
      </c>
      <c r="K12" s="5">
        <v>407</v>
      </c>
      <c r="L12" s="10">
        <v>29</v>
      </c>
      <c r="M12" s="5">
        <v>1</v>
      </c>
      <c r="N12" s="11">
        <v>28</v>
      </c>
      <c r="O12" s="5">
        <v>53</v>
      </c>
      <c r="P12" s="5">
        <v>2</v>
      </c>
      <c r="Q12" s="5">
        <v>51</v>
      </c>
    </row>
    <row r="13" spans="1:23" s="6" customFormat="1" ht="17.25" customHeight="1" x14ac:dyDescent="0.25">
      <c r="A13" s="34"/>
      <c r="B13" s="16" t="s">
        <v>19</v>
      </c>
      <c r="C13" s="7">
        <v>939</v>
      </c>
      <c r="D13" s="7">
        <v>208</v>
      </c>
      <c r="E13" s="7">
        <v>731</v>
      </c>
      <c r="F13" s="12">
        <v>1563</v>
      </c>
      <c r="G13" s="7">
        <v>369</v>
      </c>
      <c r="H13" s="13">
        <v>1194</v>
      </c>
      <c r="I13" s="7">
        <v>267</v>
      </c>
      <c r="J13" s="7">
        <v>52</v>
      </c>
      <c r="K13" s="7">
        <v>215</v>
      </c>
      <c r="L13" s="12">
        <v>76</v>
      </c>
      <c r="M13" s="7">
        <v>26</v>
      </c>
      <c r="N13" s="13">
        <v>50</v>
      </c>
      <c r="O13" s="7">
        <v>56</v>
      </c>
      <c r="P13" s="7">
        <v>17</v>
      </c>
      <c r="Q13" s="7">
        <v>39</v>
      </c>
    </row>
    <row r="14" spans="1:23" s="6" customFormat="1" ht="17.25" customHeight="1" x14ac:dyDescent="0.25">
      <c r="A14" s="33" t="s">
        <v>20</v>
      </c>
      <c r="B14" s="17" t="s">
        <v>21</v>
      </c>
      <c r="C14" s="5">
        <v>164</v>
      </c>
      <c r="D14" s="5">
        <v>78</v>
      </c>
      <c r="E14" s="5">
        <v>86</v>
      </c>
      <c r="F14" s="10">
        <v>30</v>
      </c>
      <c r="G14" s="5">
        <v>13</v>
      </c>
      <c r="H14" s="11">
        <v>17</v>
      </c>
      <c r="I14" s="5">
        <v>29</v>
      </c>
      <c r="J14" s="5">
        <v>22</v>
      </c>
      <c r="K14" s="5">
        <v>7</v>
      </c>
      <c r="L14" s="10">
        <v>2</v>
      </c>
      <c r="M14" s="5">
        <v>2</v>
      </c>
      <c r="N14" s="11">
        <v>0</v>
      </c>
      <c r="O14" s="5">
        <v>3</v>
      </c>
      <c r="P14" s="5">
        <v>3</v>
      </c>
      <c r="Q14" s="5">
        <v>0</v>
      </c>
    </row>
    <row r="15" spans="1:23" s="6" customFormat="1" ht="17.25" customHeight="1" x14ac:dyDescent="0.25">
      <c r="A15" s="33"/>
      <c r="B15" s="17" t="s">
        <v>22</v>
      </c>
      <c r="C15" s="5">
        <v>39</v>
      </c>
      <c r="D15" s="5">
        <v>14</v>
      </c>
      <c r="E15" s="5">
        <v>25</v>
      </c>
      <c r="F15" s="10">
        <v>200</v>
      </c>
      <c r="G15" s="5">
        <v>120</v>
      </c>
      <c r="H15" s="11">
        <v>80</v>
      </c>
      <c r="I15" s="5">
        <v>15</v>
      </c>
      <c r="J15" s="5">
        <v>14</v>
      </c>
      <c r="K15" s="5">
        <v>1</v>
      </c>
      <c r="L15" s="10">
        <v>61</v>
      </c>
      <c r="M15" s="5">
        <v>31</v>
      </c>
      <c r="N15" s="11">
        <v>30</v>
      </c>
      <c r="O15" s="5">
        <v>52</v>
      </c>
      <c r="P15" s="5">
        <v>30</v>
      </c>
      <c r="Q15" s="5">
        <v>22</v>
      </c>
    </row>
    <row r="16" spans="1:23" s="6" customFormat="1" ht="17.25" customHeight="1" x14ac:dyDescent="0.25">
      <c r="A16" s="33"/>
      <c r="B16" s="17" t="s">
        <v>23</v>
      </c>
      <c r="C16" s="5">
        <v>520</v>
      </c>
      <c r="D16" s="5">
        <v>246</v>
      </c>
      <c r="E16" s="5">
        <v>274</v>
      </c>
      <c r="F16" s="10">
        <v>793</v>
      </c>
      <c r="G16" s="5">
        <v>385</v>
      </c>
      <c r="H16" s="11">
        <v>408</v>
      </c>
      <c r="I16" s="5">
        <v>161</v>
      </c>
      <c r="J16" s="5">
        <v>91</v>
      </c>
      <c r="K16" s="5">
        <v>70</v>
      </c>
      <c r="L16" s="10">
        <v>55</v>
      </c>
      <c r="M16" s="5">
        <v>35</v>
      </c>
      <c r="N16" s="11">
        <v>20</v>
      </c>
      <c r="O16" s="5">
        <v>23</v>
      </c>
      <c r="P16" s="5">
        <v>13</v>
      </c>
      <c r="Q16" s="5">
        <v>10</v>
      </c>
    </row>
    <row r="17" spans="1:17" s="6" customFormat="1" ht="17.25" customHeight="1" x14ac:dyDescent="0.25">
      <c r="A17" s="33"/>
      <c r="B17" s="17" t="s">
        <v>24</v>
      </c>
      <c r="C17" s="5">
        <v>3</v>
      </c>
      <c r="D17" s="5">
        <v>1</v>
      </c>
      <c r="E17" s="5">
        <v>2</v>
      </c>
      <c r="F17" s="10">
        <v>4</v>
      </c>
      <c r="G17" s="5">
        <v>2</v>
      </c>
      <c r="H17" s="11">
        <v>2</v>
      </c>
      <c r="I17" s="5">
        <v>0</v>
      </c>
      <c r="J17" s="5">
        <v>0</v>
      </c>
      <c r="K17" s="5">
        <v>0</v>
      </c>
      <c r="L17" s="10">
        <v>0</v>
      </c>
      <c r="M17" s="5">
        <v>0</v>
      </c>
      <c r="N17" s="11">
        <v>0</v>
      </c>
      <c r="O17" s="5">
        <v>0</v>
      </c>
      <c r="P17" s="5">
        <v>0</v>
      </c>
      <c r="Q17" s="5">
        <v>0</v>
      </c>
    </row>
    <row r="18" spans="1:17" s="6" customFormat="1" ht="17.25" customHeight="1" x14ac:dyDescent="0.25">
      <c r="A18" s="33"/>
      <c r="B18" s="17" t="s">
        <v>25</v>
      </c>
      <c r="C18" s="5">
        <v>608</v>
      </c>
      <c r="D18" s="5">
        <v>152</v>
      </c>
      <c r="E18" s="5">
        <v>456</v>
      </c>
      <c r="F18" s="10">
        <v>679</v>
      </c>
      <c r="G18" s="5">
        <v>168</v>
      </c>
      <c r="H18" s="11">
        <v>511</v>
      </c>
      <c r="I18" s="5">
        <v>201</v>
      </c>
      <c r="J18" s="5">
        <v>43</v>
      </c>
      <c r="K18" s="5">
        <v>158</v>
      </c>
      <c r="L18" s="10">
        <v>235</v>
      </c>
      <c r="M18" s="5">
        <v>82</v>
      </c>
      <c r="N18" s="11">
        <v>153</v>
      </c>
      <c r="O18" s="5">
        <v>23</v>
      </c>
      <c r="P18" s="5">
        <v>4</v>
      </c>
      <c r="Q18" s="5">
        <v>19</v>
      </c>
    </row>
    <row r="19" spans="1:17" s="6" customFormat="1" ht="17.25" customHeight="1" x14ac:dyDescent="0.25">
      <c r="A19" s="34"/>
      <c r="B19" s="16" t="s">
        <v>26</v>
      </c>
      <c r="C19" s="7">
        <v>13</v>
      </c>
      <c r="D19" s="7">
        <v>4</v>
      </c>
      <c r="E19" s="7">
        <v>9</v>
      </c>
      <c r="F19" s="12">
        <v>50</v>
      </c>
      <c r="G19" s="7">
        <v>21</v>
      </c>
      <c r="H19" s="13">
        <v>29</v>
      </c>
      <c r="I19" s="7">
        <v>7</v>
      </c>
      <c r="J19" s="7">
        <v>3</v>
      </c>
      <c r="K19" s="7">
        <v>4</v>
      </c>
      <c r="L19" s="12">
        <v>20</v>
      </c>
      <c r="M19" s="7">
        <v>9</v>
      </c>
      <c r="N19" s="13">
        <v>11</v>
      </c>
      <c r="O19" s="7">
        <v>2</v>
      </c>
      <c r="P19" s="7">
        <v>2</v>
      </c>
      <c r="Q19" s="7">
        <v>0</v>
      </c>
    </row>
    <row r="20" spans="1:17" s="6" customFormat="1" ht="17.25" customHeight="1" x14ac:dyDescent="0.25">
      <c r="A20" s="37" t="s">
        <v>27</v>
      </c>
      <c r="B20" s="22" t="s">
        <v>28</v>
      </c>
      <c r="C20" s="23">
        <v>47</v>
      </c>
      <c r="D20" s="23">
        <v>14</v>
      </c>
      <c r="E20" s="23">
        <v>33</v>
      </c>
      <c r="F20" s="24">
        <v>87</v>
      </c>
      <c r="G20" s="23">
        <v>30</v>
      </c>
      <c r="H20" s="25">
        <v>57</v>
      </c>
      <c r="I20" s="23">
        <v>1</v>
      </c>
      <c r="J20" s="23">
        <v>0</v>
      </c>
      <c r="K20" s="23">
        <v>1</v>
      </c>
      <c r="L20" s="24">
        <v>14</v>
      </c>
      <c r="M20" s="23">
        <v>9</v>
      </c>
      <c r="N20" s="25">
        <v>5</v>
      </c>
      <c r="O20" s="23">
        <v>1</v>
      </c>
      <c r="P20" s="23">
        <v>0</v>
      </c>
      <c r="Q20" s="23">
        <v>1</v>
      </c>
    </row>
    <row r="21" spans="1:17" s="6" customFormat="1" ht="17.25" customHeight="1" x14ac:dyDescent="0.25">
      <c r="A21" s="33"/>
      <c r="B21" s="17" t="s">
        <v>29</v>
      </c>
      <c r="C21" s="5">
        <v>211</v>
      </c>
      <c r="D21" s="5">
        <v>29</v>
      </c>
      <c r="E21" s="5">
        <v>182</v>
      </c>
      <c r="F21" s="10">
        <v>228</v>
      </c>
      <c r="G21" s="5">
        <v>24</v>
      </c>
      <c r="H21" s="11">
        <v>204</v>
      </c>
      <c r="I21" s="5">
        <v>39</v>
      </c>
      <c r="J21" s="5">
        <v>5</v>
      </c>
      <c r="K21" s="5">
        <v>34</v>
      </c>
      <c r="L21" s="10">
        <v>57</v>
      </c>
      <c r="M21" s="5">
        <v>8</v>
      </c>
      <c r="N21" s="11">
        <v>49</v>
      </c>
      <c r="O21" s="5">
        <v>5</v>
      </c>
      <c r="P21" s="5">
        <v>1</v>
      </c>
      <c r="Q21" s="5">
        <v>4</v>
      </c>
    </row>
    <row r="22" spans="1:17" s="6" customFormat="1" ht="17.25" customHeight="1" x14ac:dyDescent="0.25">
      <c r="A22" s="34"/>
      <c r="B22" s="16" t="s">
        <v>30</v>
      </c>
      <c r="C22" s="7">
        <v>18</v>
      </c>
      <c r="D22" s="7">
        <v>8</v>
      </c>
      <c r="E22" s="7">
        <v>10</v>
      </c>
      <c r="F22" s="12">
        <v>45</v>
      </c>
      <c r="G22" s="7">
        <v>24</v>
      </c>
      <c r="H22" s="13">
        <v>21</v>
      </c>
      <c r="I22" s="7">
        <v>0</v>
      </c>
      <c r="J22" s="7">
        <v>0</v>
      </c>
      <c r="K22" s="7">
        <v>0</v>
      </c>
      <c r="L22" s="12">
        <v>3</v>
      </c>
      <c r="M22" s="7">
        <v>1</v>
      </c>
      <c r="N22" s="13">
        <v>2</v>
      </c>
      <c r="O22" s="7">
        <v>1</v>
      </c>
      <c r="P22" s="7">
        <v>1</v>
      </c>
      <c r="Q22" s="7">
        <v>0</v>
      </c>
    </row>
    <row r="23" spans="1:17" s="6" customFormat="1" ht="17.25" customHeight="1" x14ac:dyDescent="0.25">
      <c r="A23" s="33" t="s">
        <v>31</v>
      </c>
      <c r="B23" s="17" t="s">
        <v>32</v>
      </c>
      <c r="C23" s="5">
        <v>839</v>
      </c>
      <c r="D23" s="5">
        <v>393</v>
      </c>
      <c r="E23" s="5">
        <v>446</v>
      </c>
      <c r="F23" s="10">
        <v>1424</v>
      </c>
      <c r="G23" s="5">
        <v>586</v>
      </c>
      <c r="H23" s="11">
        <v>838</v>
      </c>
      <c r="I23" s="5">
        <v>274</v>
      </c>
      <c r="J23" s="5">
        <v>114</v>
      </c>
      <c r="K23" s="5">
        <v>160</v>
      </c>
      <c r="L23" s="10">
        <v>426</v>
      </c>
      <c r="M23" s="5">
        <v>162</v>
      </c>
      <c r="N23" s="11">
        <v>264</v>
      </c>
      <c r="O23" s="5">
        <v>71</v>
      </c>
      <c r="P23" s="5">
        <v>24</v>
      </c>
      <c r="Q23" s="5">
        <v>47</v>
      </c>
    </row>
    <row r="24" spans="1:17" s="6" customFormat="1" ht="17.25" customHeight="1" x14ac:dyDescent="0.25">
      <c r="A24" s="33"/>
      <c r="B24" s="17" t="s">
        <v>33</v>
      </c>
      <c r="C24" s="5">
        <v>86</v>
      </c>
      <c r="D24" s="5">
        <v>31</v>
      </c>
      <c r="E24" s="5">
        <v>55</v>
      </c>
      <c r="F24" s="10">
        <v>157</v>
      </c>
      <c r="G24" s="5">
        <v>50</v>
      </c>
      <c r="H24" s="11">
        <v>107</v>
      </c>
      <c r="I24" s="5">
        <v>8</v>
      </c>
      <c r="J24" s="5">
        <v>4</v>
      </c>
      <c r="K24" s="5">
        <v>4</v>
      </c>
      <c r="L24" s="10">
        <v>0</v>
      </c>
      <c r="M24" s="5">
        <v>0</v>
      </c>
      <c r="N24" s="11">
        <v>0</v>
      </c>
      <c r="O24" s="5">
        <v>8</v>
      </c>
      <c r="P24" s="5">
        <v>2</v>
      </c>
      <c r="Q24" s="5">
        <v>6</v>
      </c>
    </row>
    <row r="25" spans="1:17" s="6" customFormat="1" ht="17.25" customHeight="1" x14ac:dyDescent="0.25">
      <c r="A25" s="33"/>
      <c r="B25" s="15" t="s">
        <v>34</v>
      </c>
      <c r="C25" s="5">
        <v>3657</v>
      </c>
      <c r="D25" s="5">
        <v>1646</v>
      </c>
      <c r="E25" s="5">
        <v>2011</v>
      </c>
      <c r="F25" s="10">
        <v>4158</v>
      </c>
      <c r="G25" s="5">
        <v>1704</v>
      </c>
      <c r="H25" s="11">
        <v>2454</v>
      </c>
      <c r="I25" s="5">
        <v>1634</v>
      </c>
      <c r="J25" s="5">
        <v>614</v>
      </c>
      <c r="K25" s="5">
        <v>1020</v>
      </c>
      <c r="L25" s="10">
        <v>588</v>
      </c>
      <c r="M25" s="5">
        <v>250</v>
      </c>
      <c r="N25" s="11">
        <v>338</v>
      </c>
      <c r="O25" s="5">
        <v>494</v>
      </c>
      <c r="P25" s="5">
        <v>228</v>
      </c>
      <c r="Q25" s="5">
        <v>266</v>
      </c>
    </row>
    <row r="26" spans="1:17" s="6" customFormat="1" ht="17.25" customHeight="1" x14ac:dyDescent="0.25">
      <c r="A26" s="33"/>
      <c r="B26" s="15" t="s">
        <v>35</v>
      </c>
      <c r="C26" s="5">
        <v>24</v>
      </c>
      <c r="D26" s="5">
        <v>9</v>
      </c>
      <c r="E26" s="5">
        <v>15</v>
      </c>
      <c r="F26" s="10">
        <v>69</v>
      </c>
      <c r="G26" s="5">
        <v>29</v>
      </c>
      <c r="H26" s="11">
        <v>40</v>
      </c>
      <c r="I26" s="5">
        <v>10</v>
      </c>
      <c r="J26" s="5">
        <v>6</v>
      </c>
      <c r="K26" s="5">
        <v>4</v>
      </c>
      <c r="L26" s="10">
        <v>32</v>
      </c>
      <c r="M26" s="5">
        <v>14</v>
      </c>
      <c r="N26" s="11">
        <v>18</v>
      </c>
      <c r="O26" s="5">
        <v>2</v>
      </c>
      <c r="P26" s="5">
        <v>0</v>
      </c>
      <c r="Q26" s="5">
        <v>2</v>
      </c>
    </row>
    <row r="27" spans="1:17" s="6" customFormat="1" ht="17.25" customHeight="1" x14ac:dyDescent="0.25">
      <c r="A27" s="34"/>
      <c r="B27" s="18" t="s">
        <v>36</v>
      </c>
      <c r="C27" s="7">
        <v>587</v>
      </c>
      <c r="D27" s="7">
        <v>296</v>
      </c>
      <c r="E27" s="7">
        <v>291</v>
      </c>
      <c r="F27" s="12">
        <v>1480</v>
      </c>
      <c r="G27" s="7">
        <v>764</v>
      </c>
      <c r="H27" s="13">
        <v>716</v>
      </c>
      <c r="I27" s="7">
        <v>479</v>
      </c>
      <c r="J27" s="7">
        <v>261</v>
      </c>
      <c r="K27" s="7">
        <v>218</v>
      </c>
      <c r="L27" s="12">
        <v>122</v>
      </c>
      <c r="M27" s="7">
        <v>52</v>
      </c>
      <c r="N27" s="13">
        <v>70</v>
      </c>
      <c r="O27" s="7">
        <v>45</v>
      </c>
      <c r="P27" s="7">
        <v>33</v>
      </c>
      <c r="Q27" s="7">
        <v>12</v>
      </c>
    </row>
    <row r="28" spans="1:17" s="6" customFormat="1" ht="17.25" customHeight="1" x14ac:dyDescent="0.25">
      <c r="A28" s="33" t="s">
        <v>37</v>
      </c>
      <c r="B28" s="17" t="s">
        <v>4</v>
      </c>
      <c r="C28" s="5">
        <v>15</v>
      </c>
      <c r="D28" s="5">
        <v>2</v>
      </c>
      <c r="E28" s="5">
        <v>13</v>
      </c>
      <c r="F28" s="10">
        <v>58</v>
      </c>
      <c r="G28" s="5">
        <v>13</v>
      </c>
      <c r="H28" s="11">
        <v>45</v>
      </c>
      <c r="I28" s="5">
        <v>0</v>
      </c>
      <c r="J28" s="5">
        <v>0</v>
      </c>
      <c r="K28" s="5">
        <v>0</v>
      </c>
      <c r="L28" s="10">
        <v>26</v>
      </c>
      <c r="M28" s="5">
        <v>8</v>
      </c>
      <c r="N28" s="11">
        <v>18</v>
      </c>
      <c r="O28" s="5">
        <v>0</v>
      </c>
      <c r="P28" s="5">
        <v>0</v>
      </c>
      <c r="Q28" s="5">
        <v>0</v>
      </c>
    </row>
    <row r="29" spans="1:17" s="6" customFormat="1" ht="17.25" customHeight="1" x14ac:dyDescent="0.25">
      <c r="A29" s="34"/>
      <c r="B29" s="16" t="s">
        <v>38</v>
      </c>
      <c r="C29" s="7">
        <v>12</v>
      </c>
      <c r="D29" s="7">
        <v>8</v>
      </c>
      <c r="E29" s="7">
        <v>4</v>
      </c>
      <c r="F29" s="12">
        <v>12</v>
      </c>
      <c r="G29" s="7">
        <v>8</v>
      </c>
      <c r="H29" s="13">
        <v>4</v>
      </c>
      <c r="I29" s="7">
        <v>1</v>
      </c>
      <c r="J29" s="7">
        <v>0</v>
      </c>
      <c r="K29" s="7">
        <v>1</v>
      </c>
      <c r="L29" s="12">
        <v>0</v>
      </c>
      <c r="M29" s="7">
        <v>0</v>
      </c>
      <c r="N29" s="13">
        <v>0</v>
      </c>
      <c r="O29" s="7">
        <v>1</v>
      </c>
      <c r="P29" s="7">
        <v>0</v>
      </c>
      <c r="Q29" s="7">
        <v>1</v>
      </c>
    </row>
    <row r="30" spans="1:17" s="6" customFormat="1" ht="17.25" customHeight="1" x14ac:dyDescent="0.25">
      <c r="A30" s="33" t="s">
        <v>39</v>
      </c>
      <c r="B30" s="17" t="s">
        <v>40</v>
      </c>
      <c r="C30" s="5">
        <v>985</v>
      </c>
      <c r="D30" s="5">
        <v>650</v>
      </c>
      <c r="E30" s="5">
        <v>335</v>
      </c>
      <c r="F30" s="10">
        <v>824</v>
      </c>
      <c r="G30" s="5">
        <v>639</v>
      </c>
      <c r="H30" s="11">
        <v>185</v>
      </c>
      <c r="I30" s="5">
        <v>300</v>
      </c>
      <c r="J30" s="5">
        <v>195</v>
      </c>
      <c r="K30" s="5">
        <v>105</v>
      </c>
      <c r="L30" s="10">
        <v>197</v>
      </c>
      <c r="M30" s="5">
        <v>146</v>
      </c>
      <c r="N30" s="11">
        <v>51</v>
      </c>
      <c r="O30" s="5">
        <v>99</v>
      </c>
      <c r="P30" s="5">
        <v>67</v>
      </c>
      <c r="Q30" s="5">
        <v>32</v>
      </c>
    </row>
    <row r="31" spans="1:17" s="6" customFormat="1" ht="31.5" customHeight="1" x14ac:dyDescent="0.25">
      <c r="A31" s="34"/>
      <c r="B31" s="16" t="s">
        <v>41</v>
      </c>
      <c r="C31" s="7">
        <v>89</v>
      </c>
      <c r="D31" s="7">
        <v>59</v>
      </c>
      <c r="E31" s="7">
        <v>30</v>
      </c>
      <c r="F31" s="12">
        <v>128</v>
      </c>
      <c r="G31" s="7">
        <v>116</v>
      </c>
      <c r="H31" s="13">
        <v>12</v>
      </c>
      <c r="I31" s="7">
        <v>58</v>
      </c>
      <c r="J31" s="7">
        <v>32</v>
      </c>
      <c r="K31" s="7">
        <v>26</v>
      </c>
      <c r="L31" s="12">
        <v>1</v>
      </c>
      <c r="M31" s="7">
        <v>1</v>
      </c>
      <c r="N31" s="13">
        <v>0</v>
      </c>
      <c r="O31" s="7">
        <v>7</v>
      </c>
      <c r="P31" s="7">
        <v>0</v>
      </c>
      <c r="Q31" s="7">
        <v>7</v>
      </c>
    </row>
    <row r="32" spans="1:17" s="6" customFormat="1" ht="17.25" customHeight="1" x14ac:dyDescent="0.25">
      <c r="A32" s="33" t="s">
        <v>42</v>
      </c>
      <c r="B32" s="17" t="s">
        <v>43</v>
      </c>
      <c r="C32" s="5">
        <v>34</v>
      </c>
      <c r="D32" s="5">
        <v>34</v>
      </c>
      <c r="E32" s="5">
        <v>0</v>
      </c>
      <c r="F32" s="10">
        <v>35</v>
      </c>
      <c r="G32" s="5">
        <v>35</v>
      </c>
      <c r="H32" s="11">
        <v>0</v>
      </c>
      <c r="I32" s="5">
        <v>7</v>
      </c>
      <c r="J32" s="5">
        <v>7</v>
      </c>
      <c r="K32" s="5">
        <v>0</v>
      </c>
      <c r="L32" s="10">
        <v>0</v>
      </c>
      <c r="M32" s="5">
        <v>0</v>
      </c>
      <c r="N32" s="11">
        <v>0</v>
      </c>
      <c r="O32" s="5">
        <v>2</v>
      </c>
      <c r="P32" s="5">
        <v>2</v>
      </c>
      <c r="Q32" s="5">
        <v>0</v>
      </c>
    </row>
    <row r="33" spans="1:17" s="6" customFormat="1" ht="17.25" customHeight="1" x14ac:dyDescent="0.25">
      <c r="A33" s="33"/>
      <c r="B33" s="17" t="s">
        <v>44</v>
      </c>
      <c r="C33" s="5">
        <v>30</v>
      </c>
      <c r="D33" s="5">
        <v>30</v>
      </c>
      <c r="E33" s="5">
        <v>0</v>
      </c>
      <c r="F33" s="10">
        <v>608</v>
      </c>
      <c r="G33" s="5">
        <v>603</v>
      </c>
      <c r="H33" s="11">
        <v>5</v>
      </c>
      <c r="I33" s="5">
        <v>195</v>
      </c>
      <c r="J33" s="5">
        <v>195</v>
      </c>
      <c r="K33" s="5">
        <v>0</v>
      </c>
      <c r="L33" s="10">
        <v>71</v>
      </c>
      <c r="M33" s="5">
        <v>71</v>
      </c>
      <c r="N33" s="11">
        <v>0</v>
      </c>
      <c r="O33" s="5">
        <v>97</v>
      </c>
      <c r="P33" s="5">
        <v>97</v>
      </c>
      <c r="Q33" s="5">
        <v>0</v>
      </c>
    </row>
    <row r="34" spans="1:17" s="6" customFormat="1" ht="17.25" customHeight="1" x14ac:dyDescent="0.25">
      <c r="A34" s="33"/>
      <c r="B34" s="17" t="s">
        <v>45</v>
      </c>
      <c r="C34" s="5">
        <v>0</v>
      </c>
      <c r="D34" s="5">
        <v>0</v>
      </c>
      <c r="E34" s="5">
        <v>0</v>
      </c>
      <c r="F34" s="10">
        <v>22</v>
      </c>
      <c r="G34" s="5">
        <v>22</v>
      </c>
      <c r="H34" s="11">
        <v>0</v>
      </c>
      <c r="I34" s="5">
        <v>2</v>
      </c>
      <c r="J34" s="5">
        <v>2</v>
      </c>
      <c r="K34" s="5">
        <v>0</v>
      </c>
      <c r="L34" s="10">
        <v>0</v>
      </c>
      <c r="M34" s="5">
        <v>0</v>
      </c>
      <c r="N34" s="11">
        <v>0</v>
      </c>
      <c r="O34" s="5">
        <v>0</v>
      </c>
      <c r="P34" s="5">
        <v>1</v>
      </c>
      <c r="Q34" s="5">
        <v>0</v>
      </c>
    </row>
    <row r="35" spans="1:17" s="6" customFormat="1" ht="17.25" customHeight="1" x14ac:dyDescent="0.25">
      <c r="A35" s="33"/>
      <c r="B35" s="17" t="s">
        <v>46</v>
      </c>
      <c r="C35" s="5">
        <v>3</v>
      </c>
      <c r="D35" s="5">
        <v>3</v>
      </c>
      <c r="E35" s="5">
        <v>0</v>
      </c>
      <c r="F35" s="10">
        <v>3</v>
      </c>
      <c r="G35" s="5">
        <v>3</v>
      </c>
      <c r="H35" s="11">
        <v>0</v>
      </c>
      <c r="I35" s="5">
        <v>0</v>
      </c>
      <c r="J35" s="5">
        <v>0</v>
      </c>
      <c r="K35" s="5">
        <v>0</v>
      </c>
      <c r="L35" s="10">
        <v>0</v>
      </c>
      <c r="M35" s="5">
        <v>0</v>
      </c>
      <c r="N35" s="11">
        <v>0</v>
      </c>
      <c r="O35" s="5">
        <v>0</v>
      </c>
      <c r="P35" s="5">
        <v>0</v>
      </c>
      <c r="Q35" s="5">
        <v>0</v>
      </c>
    </row>
    <row r="36" spans="1:17" s="6" customFormat="1" ht="17.25" customHeight="1" x14ac:dyDescent="0.25">
      <c r="A36" s="33"/>
      <c r="B36" s="17" t="s">
        <v>47</v>
      </c>
      <c r="C36" s="5">
        <v>72</v>
      </c>
      <c r="D36" s="5">
        <v>15</v>
      </c>
      <c r="E36" s="5">
        <v>57</v>
      </c>
      <c r="F36" s="10">
        <v>73</v>
      </c>
      <c r="G36" s="5">
        <v>16</v>
      </c>
      <c r="H36" s="11">
        <v>57</v>
      </c>
      <c r="I36" s="5">
        <v>7</v>
      </c>
      <c r="J36" s="5">
        <v>2</v>
      </c>
      <c r="K36" s="5">
        <v>5</v>
      </c>
      <c r="L36" s="10">
        <v>3</v>
      </c>
      <c r="M36" s="5">
        <v>1</v>
      </c>
      <c r="N36" s="11">
        <v>2</v>
      </c>
      <c r="O36" s="5">
        <v>0</v>
      </c>
      <c r="P36" s="5">
        <v>0</v>
      </c>
      <c r="Q36" s="5">
        <v>0</v>
      </c>
    </row>
    <row r="37" spans="1:17" s="6" customFormat="1" ht="17.25" customHeight="1" x14ac:dyDescent="0.25">
      <c r="A37" s="33"/>
      <c r="B37" s="17" t="s">
        <v>48</v>
      </c>
      <c r="C37" s="5">
        <v>0</v>
      </c>
      <c r="D37" s="5">
        <v>0</v>
      </c>
      <c r="E37" s="5">
        <v>0</v>
      </c>
      <c r="F37" s="10">
        <v>26</v>
      </c>
      <c r="G37" s="5">
        <v>21</v>
      </c>
      <c r="H37" s="11">
        <v>5</v>
      </c>
      <c r="I37" s="5">
        <v>11</v>
      </c>
      <c r="J37" s="5">
        <v>7</v>
      </c>
      <c r="K37" s="5">
        <v>4</v>
      </c>
      <c r="L37" s="10">
        <v>0</v>
      </c>
      <c r="M37" s="5">
        <v>0</v>
      </c>
      <c r="N37" s="11">
        <v>0</v>
      </c>
      <c r="O37" s="5">
        <v>0</v>
      </c>
      <c r="P37" s="5">
        <v>0</v>
      </c>
      <c r="Q37" s="5">
        <v>0</v>
      </c>
    </row>
    <row r="38" spans="1:17" s="6" customFormat="1" ht="17.25" customHeight="1" x14ac:dyDescent="0.25">
      <c r="A38" s="34"/>
      <c r="B38" s="16" t="s">
        <v>49</v>
      </c>
      <c r="C38" s="7">
        <v>13</v>
      </c>
      <c r="D38" s="7">
        <v>12</v>
      </c>
      <c r="E38" s="7">
        <v>1</v>
      </c>
      <c r="F38" s="12">
        <v>57</v>
      </c>
      <c r="G38" s="7">
        <v>53</v>
      </c>
      <c r="H38" s="13">
        <v>4</v>
      </c>
      <c r="I38" s="7">
        <v>4</v>
      </c>
      <c r="J38" s="7">
        <v>4</v>
      </c>
      <c r="K38" s="7">
        <v>0</v>
      </c>
      <c r="L38" s="12">
        <v>20</v>
      </c>
      <c r="M38" s="7">
        <v>17</v>
      </c>
      <c r="N38" s="13">
        <v>3</v>
      </c>
      <c r="O38" s="7">
        <v>8</v>
      </c>
      <c r="P38" s="7">
        <v>8</v>
      </c>
      <c r="Q38" s="7">
        <v>0</v>
      </c>
    </row>
    <row r="39" spans="1:17" s="6" customFormat="1" ht="17.25" customHeight="1" x14ac:dyDescent="0.25">
      <c r="A39" s="33" t="s">
        <v>50</v>
      </c>
      <c r="B39" s="17" t="s">
        <v>51</v>
      </c>
      <c r="C39" s="5">
        <v>58</v>
      </c>
      <c r="D39" s="5">
        <v>26</v>
      </c>
      <c r="E39" s="5">
        <v>32</v>
      </c>
      <c r="F39" s="10">
        <v>48</v>
      </c>
      <c r="G39" s="5">
        <v>6</v>
      </c>
      <c r="H39" s="11">
        <v>42</v>
      </c>
      <c r="I39" s="5">
        <v>8</v>
      </c>
      <c r="J39" s="5">
        <v>4</v>
      </c>
      <c r="K39" s="5">
        <v>4</v>
      </c>
      <c r="L39" s="10">
        <v>0</v>
      </c>
      <c r="M39" s="5">
        <v>0</v>
      </c>
      <c r="N39" s="11">
        <v>0</v>
      </c>
      <c r="O39" s="5">
        <v>2</v>
      </c>
      <c r="P39" s="5">
        <v>1</v>
      </c>
      <c r="Q39" s="5">
        <v>1</v>
      </c>
    </row>
    <row r="40" spans="1:17" s="6" customFormat="1" ht="17.25" customHeight="1" x14ac:dyDescent="0.25">
      <c r="A40" s="33"/>
      <c r="B40" s="17" t="s">
        <v>52</v>
      </c>
      <c r="C40" s="5">
        <v>927</v>
      </c>
      <c r="D40" s="5">
        <v>35</v>
      </c>
      <c r="E40" s="5">
        <v>892</v>
      </c>
      <c r="F40" s="10">
        <v>2066</v>
      </c>
      <c r="G40" s="5">
        <v>67</v>
      </c>
      <c r="H40" s="11">
        <v>1999</v>
      </c>
      <c r="I40" s="5">
        <v>214</v>
      </c>
      <c r="J40" s="5">
        <v>5</v>
      </c>
      <c r="K40" s="5">
        <v>209</v>
      </c>
      <c r="L40" s="10">
        <v>330</v>
      </c>
      <c r="M40" s="5">
        <v>15</v>
      </c>
      <c r="N40" s="11">
        <v>315</v>
      </c>
      <c r="O40" s="5">
        <v>45</v>
      </c>
      <c r="P40" s="5">
        <v>5</v>
      </c>
      <c r="Q40" s="5">
        <v>40</v>
      </c>
    </row>
    <row r="41" spans="1:17" s="6" customFormat="1" ht="17.25" customHeight="1" x14ac:dyDescent="0.25">
      <c r="A41" s="33"/>
      <c r="B41" s="17" t="s">
        <v>53</v>
      </c>
      <c r="C41" s="5">
        <v>55</v>
      </c>
      <c r="D41" s="5">
        <v>9</v>
      </c>
      <c r="E41" s="5">
        <v>46</v>
      </c>
      <c r="F41" s="10">
        <v>195</v>
      </c>
      <c r="G41" s="5">
        <v>31</v>
      </c>
      <c r="H41" s="11">
        <v>164</v>
      </c>
      <c r="I41" s="5">
        <v>18</v>
      </c>
      <c r="J41" s="5">
        <v>2</v>
      </c>
      <c r="K41" s="5">
        <v>16</v>
      </c>
      <c r="L41" s="10">
        <v>35</v>
      </c>
      <c r="M41" s="5">
        <v>4</v>
      </c>
      <c r="N41" s="11">
        <v>31</v>
      </c>
      <c r="O41" s="5">
        <v>2</v>
      </c>
      <c r="P41" s="5">
        <v>1</v>
      </c>
      <c r="Q41" s="5">
        <v>1</v>
      </c>
    </row>
    <row r="42" spans="1:17" s="6" customFormat="1" ht="17.25" customHeight="1" x14ac:dyDescent="0.25">
      <c r="A42" s="33"/>
      <c r="B42" s="17" t="s">
        <v>54</v>
      </c>
      <c r="C42" s="5">
        <v>21</v>
      </c>
      <c r="D42" s="5">
        <v>4</v>
      </c>
      <c r="E42" s="5">
        <v>17</v>
      </c>
      <c r="F42" s="10">
        <v>21</v>
      </c>
      <c r="G42" s="5">
        <v>4</v>
      </c>
      <c r="H42" s="11">
        <v>17</v>
      </c>
      <c r="I42" s="5">
        <v>0</v>
      </c>
      <c r="J42" s="5">
        <v>0</v>
      </c>
      <c r="K42" s="5">
        <v>0</v>
      </c>
      <c r="L42" s="10">
        <v>3</v>
      </c>
      <c r="M42" s="5">
        <v>1</v>
      </c>
      <c r="N42" s="11">
        <v>2</v>
      </c>
      <c r="O42" s="5">
        <v>0</v>
      </c>
      <c r="P42" s="5">
        <v>0</v>
      </c>
      <c r="Q42" s="5">
        <v>0</v>
      </c>
    </row>
    <row r="43" spans="1:17" s="6" customFormat="1" ht="17.25" customHeight="1" x14ac:dyDescent="0.25">
      <c r="A43" s="33"/>
      <c r="B43" s="17" t="s">
        <v>55</v>
      </c>
      <c r="C43" s="5">
        <v>136</v>
      </c>
      <c r="D43" s="5">
        <v>8</v>
      </c>
      <c r="E43" s="5">
        <v>128</v>
      </c>
      <c r="F43" s="10">
        <v>303</v>
      </c>
      <c r="G43" s="5">
        <v>24</v>
      </c>
      <c r="H43" s="11">
        <v>279</v>
      </c>
      <c r="I43" s="5">
        <v>11</v>
      </c>
      <c r="J43" s="5">
        <v>0</v>
      </c>
      <c r="K43" s="5">
        <v>11</v>
      </c>
      <c r="L43" s="10">
        <v>43</v>
      </c>
      <c r="M43" s="5">
        <v>4</v>
      </c>
      <c r="N43" s="11">
        <v>39</v>
      </c>
      <c r="O43" s="5">
        <v>68</v>
      </c>
      <c r="P43" s="5">
        <v>0</v>
      </c>
      <c r="Q43" s="5">
        <v>68</v>
      </c>
    </row>
    <row r="44" spans="1:17" s="6" customFormat="1" ht="17.25" customHeight="1" x14ac:dyDescent="0.25">
      <c r="A44" s="34"/>
      <c r="B44" s="16" t="s">
        <v>56</v>
      </c>
      <c r="C44" s="7">
        <v>151</v>
      </c>
      <c r="D44" s="7">
        <v>13</v>
      </c>
      <c r="E44" s="7">
        <v>138</v>
      </c>
      <c r="F44" s="12">
        <v>265</v>
      </c>
      <c r="G44" s="7">
        <v>25</v>
      </c>
      <c r="H44" s="13">
        <v>240</v>
      </c>
      <c r="I44" s="7">
        <v>39</v>
      </c>
      <c r="J44" s="7">
        <v>9</v>
      </c>
      <c r="K44" s="7">
        <v>30</v>
      </c>
      <c r="L44" s="12">
        <v>43</v>
      </c>
      <c r="M44" s="7">
        <v>8</v>
      </c>
      <c r="N44" s="13">
        <v>35</v>
      </c>
      <c r="O44" s="7">
        <v>15</v>
      </c>
      <c r="P44" s="7">
        <v>0</v>
      </c>
      <c r="Q44" s="7">
        <v>15</v>
      </c>
    </row>
    <row r="45" spans="1:17" s="6" customFormat="1" ht="17.25" customHeight="1" x14ac:dyDescent="0.25">
      <c r="A45" s="33" t="s">
        <v>57</v>
      </c>
      <c r="B45" s="17" t="s">
        <v>58</v>
      </c>
      <c r="C45" s="5">
        <v>0</v>
      </c>
      <c r="D45" s="5">
        <v>0</v>
      </c>
      <c r="E45" s="5">
        <v>0</v>
      </c>
      <c r="F45" s="10">
        <v>1</v>
      </c>
      <c r="G45" s="5">
        <v>1</v>
      </c>
      <c r="H45" s="11">
        <v>0</v>
      </c>
      <c r="I45" s="5">
        <v>0</v>
      </c>
      <c r="J45" s="5">
        <v>0</v>
      </c>
      <c r="K45" s="5">
        <v>0</v>
      </c>
      <c r="L45" s="10">
        <v>0</v>
      </c>
      <c r="M45" s="5">
        <v>0</v>
      </c>
      <c r="N45" s="11">
        <v>0</v>
      </c>
      <c r="O45" s="5">
        <v>0</v>
      </c>
      <c r="P45" s="5">
        <v>0</v>
      </c>
      <c r="Q45" s="5">
        <v>0</v>
      </c>
    </row>
    <row r="46" spans="1:17" s="6" customFormat="1" ht="17.25" customHeight="1" x14ac:dyDescent="0.25">
      <c r="A46" s="33"/>
      <c r="B46" s="17" t="s">
        <v>59</v>
      </c>
      <c r="C46" s="5">
        <v>131</v>
      </c>
      <c r="D46" s="5">
        <v>77</v>
      </c>
      <c r="E46" s="5">
        <v>54</v>
      </c>
      <c r="F46" s="10">
        <v>210</v>
      </c>
      <c r="G46" s="5">
        <v>116</v>
      </c>
      <c r="H46" s="11">
        <v>94</v>
      </c>
      <c r="I46" s="5">
        <v>80</v>
      </c>
      <c r="J46" s="5">
        <v>56</v>
      </c>
      <c r="K46" s="5">
        <v>24</v>
      </c>
      <c r="L46" s="10">
        <v>44</v>
      </c>
      <c r="M46" s="5">
        <v>24</v>
      </c>
      <c r="N46" s="11">
        <v>20</v>
      </c>
      <c r="O46" s="5">
        <v>5</v>
      </c>
      <c r="P46" s="5">
        <v>4</v>
      </c>
      <c r="Q46" s="5">
        <v>1</v>
      </c>
    </row>
    <row r="47" spans="1:17" s="6" customFormat="1" ht="17.25" customHeight="1" x14ac:dyDescent="0.25">
      <c r="A47" s="33"/>
      <c r="B47" s="17" t="s">
        <v>60</v>
      </c>
      <c r="C47" s="5">
        <v>70</v>
      </c>
      <c r="D47" s="5">
        <v>51</v>
      </c>
      <c r="E47" s="5">
        <v>19</v>
      </c>
      <c r="F47" s="10">
        <v>70</v>
      </c>
      <c r="G47" s="5">
        <v>51</v>
      </c>
      <c r="H47" s="11">
        <v>19</v>
      </c>
      <c r="I47" s="5">
        <v>14</v>
      </c>
      <c r="J47" s="5">
        <v>8</v>
      </c>
      <c r="K47" s="5">
        <v>6</v>
      </c>
      <c r="L47" s="10">
        <v>1</v>
      </c>
      <c r="M47" s="5">
        <v>1</v>
      </c>
      <c r="N47" s="11">
        <v>0</v>
      </c>
      <c r="O47" s="5">
        <v>3</v>
      </c>
      <c r="P47" s="5">
        <v>2</v>
      </c>
      <c r="Q47" s="5">
        <v>1</v>
      </c>
    </row>
    <row r="48" spans="1:17" s="6" customFormat="1" ht="17.25" customHeight="1" x14ac:dyDescent="0.25">
      <c r="A48" s="33"/>
      <c r="B48" s="17" t="s">
        <v>61</v>
      </c>
      <c r="C48" s="5">
        <v>322</v>
      </c>
      <c r="D48" s="5">
        <v>212</v>
      </c>
      <c r="E48" s="5">
        <v>110</v>
      </c>
      <c r="F48" s="10">
        <v>458</v>
      </c>
      <c r="G48" s="5">
        <v>281</v>
      </c>
      <c r="H48" s="11">
        <v>177</v>
      </c>
      <c r="I48" s="5">
        <v>42</v>
      </c>
      <c r="J48" s="5">
        <v>19</v>
      </c>
      <c r="K48" s="5">
        <v>23</v>
      </c>
      <c r="L48" s="10">
        <v>93</v>
      </c>
      <c r="M48" s="5">
        <v>58</v>
      </c>
      <c r="N48" s="11">
        <v>35</v>
      </c>
      <c r="O48" s="5">
        <v>14</v>
      </c>
      <c r="P48" s="5">
        <v>8</v>
      </c>
      <c r="Q48" s="5">
        <v>6</v>
      </c>
    </row>
    <row r="49" spans="1:17" s="6" customFormat="1" ht="17.25" customHeight="1" x14ac:dyDescent="0.25">
      <c r="A49" s="33"/>
      <c r="B49" s="17" t="s">
        <v>62</v>
      </c>
      <c r="C49" s="5">
        <v>31</v>
      </c>
      <c r="D49" s="5">
        <v>12</v>
      </c>
      <c r="E49" s="5">
        <v>19</v>
      </c>
      <c r="F49" s="10">
        <v>36</v>
      </c>
      <c r="G49" s="5">
        <v>13</v>
      </c>
      <c r="H49" s="11">
        <v>23</v>
      </c>
      <c r="I49" s="5">
        <v>18</v>
      </c>
      <c r="J49" s="5">
        <v>8</v>
      </c>
      <c r="K49" s="5">
        <v>10</v>
      </c>
      <c r="L49" s="10">
        <v>5</v>
      </c>
      <c r="M49" s="5">
        <v>1</v>
      </c>
      <c r="N49" s="11">
        <v>4</v>
      </c>
      <c r="O49" s="5">
        <v>1</v>
      </c>
      <c r="P49" s="5">
        <v>0</v>
      </c>
      <c r="Q49" s="5">
        <v>1</v>
      </c>
    </row>
    <row r="50" spans="1:17" s="6" customFormat="1" ht="17.25" customHeight="1" x14ac:dyDescent="0.25">
      <c r="A50" s="34"/>
      <c r="B50" s="16" t="s">
        <v>63</v>
      </c>
      <c r="C50" s="7">
        <v>0</v>
      </c>
      <c r="D50" s="7">
        <v>0</v>
      </c>
      <c r="E50" s="7">
        <v>0</v>
      </c>
      <c r="F50" s="12">
        <v>13</v>
      </c>
      <c r="G50" s="7">
        <v>7</v>
      </c>
      <c r="H50" s="13">
        <v>6</v>
      </c>
      <c r="I50" s="7">
        <v>0</v>
      </c>
      <c r="J50" s="7">
        <v>0</v>
      </c>
      <c r="K50" s="7">
        <v>0</v>
      </c>
      <c r="L50" s="12">
        <v>0</v>
      </c>
      <c r="M50" s="7">
        <v>0</v>
      </c>
      <c r="N50" s="13">
        <v>0</v>
      </c>
      <c r="O50" s="7">
        <v>0</v>
      </c>
      <c r="P50" s="7">
        <v>9</v>
      </c>
      <c r="Q50" s="7">
        <v>0</v>
      </c>
    </row>
    <row r="51" spans="1:17" s="6" customFormat="1" ht="17.25" customHeight="1" x14ac:dyDescent="0.25">
      <c r="A51" s="19"/>
      <c r="B51" s="19" t="s">
        <v>64</v>
      </c>
      <c r="C51" s="3">
        <f>13999-13988</f>
        <v>11</v>
      </c>
      <c r="D51" s="3">
        <f>5803-5792</f>
        <v>11</v>
      </c>
      <c r="E51" s="3">
        <v>0</v>
      </c>
      <c r="F51" s="14">
        <f>19969-19954</f>
        <v>15</v>
      </c>
      <c r="G51" s="3">
        <f>7257-7245</f>
        <v>12</v>
      </c>
      <c r="H51" s="4">
        <f>12712-12709</f>
        <v>3</v>
      </c>
      <c r="I51" s="3">
        <f>5340-5325</f>
        <v>15</v>
      </c>
      <c r="J51" s="3">
        <f>1990-1979</f>
        <v>11</v>
      </c>
      <c r="K51" s="3">
        <f>3350-3346</f>
        <v>4</v>
      </c>
      <c r="L51" s="14">
        <v>0</v>
      </c>
      <c r="M51" s="3">
        <v>0</v>
      </c>
      <c r="N51" s="4">
        <v>0</v>
      </c>
      <c r="O51" s="3">
        <f>1433-1416</f>
        <v>17</v>
      </c>
      <c r="P51" s="3">
        <f>624-623</f>
        <v>1</v>
      </c>
      <c r="Q51" s="3">
        <f>809-803</f>
        <v>6</v>
      </c>
    </row>
    <row r="52" spans="1:17" x14ac:dyDescent="0.25">
      <c r="A52" s="30" t="s">
        <v>65</v>
      </c>
      <c r="B52" s="30"/>
      <c r="C52" s="30"/>
      <c r="D52" s="30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</sheetData>
  <mergeCells count="19">
    <mergeCell ref="A32:A38"/>
    <mergeCell ref="A39:A44"/>
    <mergeCell ref="A45:A50"/>
    <mergeCell ref="A7:B7"/>
    <mergeCell ref="A23:A27"/>
    <mergeCell ref="A28:A29"/>
    <mergeCell ref="A52:D52"/>
    <mergeCell ref="A2:Q2"/>
    <mergeCell ref="O5:Q5"/>
    <mergeCell ref="A10:A13"/>
    <mergeCell ref="A14:A19"/>
    <mergeCell ref="A20:A22"/>
    <mergeCell ref="A5:A6"/>
    <mergeCell ref="B5:B6"/>
    <mergeCell ref="C5:E5"/>
    <mergeCell ref="F5:H5"/>
    <mergeCell ref="I5:K5"/>
    <mergeCell ref="L5:N5"/>
    <mergeCell ref="A30:A31"/>
  </mergeCells>
  <conditionalFormatting sqref="A8:A9">
    <cfRule type="duplicateValues" dxfId="4" priority="5"/>
  </conditionalFormatting>
  <conditionalFormatting sqref="B8">
    <cfRule type="duplicateValues" dxfId="3" priority="6"/>
  </conditionalFormatting>
  <conditionalFormatting sqref="B27">
    <cfRule type="duplicateValues" dxfId="2" priority="7"/>
  </conditionalFormatting>
  <conditionalFormatting sqref="B25">
    <cfRule type="duplicateValues" dxfId="1" priority="8"/>
  </conditionalFormatting>
  <conditionalFormatting sqref="B26">
    <cfRule type="duplicateValues" dxfId="0" priority="9"/>
  </conditionalFormatting>
  <pageMargins left="0.7" right="0.7" top="0.75" bottom="0.75" header="0.3" footer="0.3"/>
  <pageSetup scale="3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7.30</vt:lpstr>
      <vt:lpstr>'7.30'!Print_Area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2020-12-13T04:16:27Z</cp:lastPrinted>
  <dcterms:created xsi:type="dcterms:W3CDTF">2019-02-28T08:20:57Z</dcterms:created>
  <dcterms:modified xsi:type="dcterms:W3CDTF">2020-12-13T04:16:51Z</dcterms:modified>
</cp:coreProperties>
</file>