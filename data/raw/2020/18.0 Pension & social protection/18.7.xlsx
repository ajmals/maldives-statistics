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7" sheetId="7" r:id="rId1"/>
  </sheets>
  <definedNames>
    <definedName name="_xlnm.Print_Area" localSheetId="0">'18.7'!$A$1:$K$23</definedName>
  </definedNames>
  <calcPr calcId="152511"/>
</workbook>
</file>

<file path=xl/calcChain.xml><?xml version="1.0" encoding="utf-8"?>
<calcChain xmlns="http://schemas.openxmlformats.org/spreadsheetml/2006/main">
  <c r="F19" i="7" l="1"/>
  <c r="F18" i="7"/>
  <c r="F17" i="7"/>
  <c r="F16" i="7"/>
  <c r="F15" i="7"/>
  <c r="F14" i="7"/>
  <c r="F13" i="7"/>
  <c r="F12" i="7"/>
  <c r="F11" i="7"/>
  <c r="F10" i="7"/>
  <c r="F9" i="7"/>
  <c r="F8" i="7"/>
  <c r="B19" i="7" l="1"/>
  <c r="B18" i="7"/>
  <c r="B17" i="7"/>
  <c r="B16" i="7"/>
  <c r="B15" i="7"/>
  <c r="B14" i="7"/>
  <c r="B13" i="7"/>
  <c r="B12" i="7"/>
  <c r="B11" i="7"/>
  <c r="B10" i="7"/>
  <c r="B9" i="7"/>
  <c r="B8" i="7"/>
</calcChain>
</file>

<file path=xl/sharedStrings.xml><?xml version="1.0" encoding="utf-8"?>
<sst xmlns="http://schemas.openxmlformats.org/spreadsheetml/2006/main" count="44" uniqueCount="40">
  <si>
    <t>Month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</si>
  <si>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</si>
  <si>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</si>
  <si>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</si>
  <si>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</si>
  <si>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</si>
  <si>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</si>
  <si>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</si>
  <si>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</si>
  <si>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</si>
  <si>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</si>
  <si>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</si>
  <si>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</si>
  <si>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</si>
  <si>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</si>
  <si>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</si>
  <si>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</si>
  <si>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</si>
  <si>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</si>
  <si>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</si>
  <si>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</si>
  <si>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</si>
  <si>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</si>
  <si>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</si>
  <si>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</si>
  <si>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</si>
  <si>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</si>
  <si>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</si>
  <si>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</si>
  <si>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</si>
  <si>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</si>
  <si>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t>70-74 yrs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</si>
  <si>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</si>
  <si>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75 +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</si>
  <si>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</si>
  <si>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 xml:space="preserve">75 + yrs </t>
  </si>
  <si>
    <t>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</si>
  <si>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</si>
  <si>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TABLE 18.7: NUMBER OF BENEFICIARIES OF SENIOR CITIZEN ALLOWANCE BY AGE, 2018- 2019</t>
  </si>
  <si>
    <t>ތާވަލު  18.7: ސީނިއަރ ސިޓިޒަން އެލަވަންސް ލިބޭ މީހުންގެ އަދަދު އަދި ޢުމުރުފުރާތައް،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</si>
</sst>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64" fontId="11" fillId="0" borderId="25"/>
    <xf numFmtId="0" fontId="1" fillId="0" borderId="25"/>
    <xf numFmtId="0" fontId="1" fillId="0" borderId="25"/>
    <xf numFmtId="43" fontId="9" fillId="0" borderId="25" applyFont="0" applyFill="0" applyBorder="0" applyAlignment="0" applyProtection="0"/>
    <xf numFmtId="43" fontId="9" fillId="0" borderId="25" applyFont="0" applyFill="0" applyBorder="0" applyAlignment="0" applyProtection="0"/>
    <xf numFmtId="0" fontId="9" fillId="0" borderId="25"/>
  </cellStyleXfs>
  <cellXfs count="47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2" fillId="2" borderId="2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2" fillId="2" borderId="2" xfId="0" applyFont="1" applyFill="1" applyBorder="1"/>
    <xf numFmtId="0" fontId="0" fillId="2" borderId="12" xfId="0" applyFont="1" applyFill="1" applyBorder="1"/>
    <xf numFmtId="0" fontId="6" fillId="2" borderId="2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 applyAlignment="1"/>
    <xf numFmtId="0" fontId="4" fillId="2" borderId="17" xfId="0" applyFont="1" applyFill="1" applyBorder="1" applyAlignment="1">
      <alignment horizontal="right" vertical="center"/>
    </xf>
    <xf numFmtId="164" fontId="0" fillId="2" borderId="18" xfId="0" applyNumberFormat="1" applyFont="1" applyFill="1" applyBorder="1" applyAlignment="1">
      <alignment horizontal="right" vertical="center"/>
    </xf>
    <xf numFmtId="164" fontId="0" fillId="2" borderId="13" xfId="0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4" fontId="0" fillId="2" borderId="25" xfId="0" applyNumberFormat="1" applyFont="1" applyFill="1" applyBorder="1" applyAlignment="1">
      <alignment horizontal="right" vertical="center"/>
    </xf>
    <xf numFmtId="164" fontId="0" fillId="2" borderId="26" xfId="0" applyNumberFormat="1" applyFont="1" applyFill="1" applyBorder="1" applyAlignment="1">
      <alignment horizontal="right" vertical="center"/>
    </xf>
    <xf numFmtId="0" fontId="7" fillId="6" borderId="25" xfId="0" applyFont="1" applyFill="1" applyBorder="1" applyAlignment="1">
      <alignment vertical="center"/>
    </xf>
    <xf numFmtId="0" fontId="0" fillId="6" borderId="25" xfId="0" applyFont="1" applyFill="1" applyBorder="1" applyAlignment="1">
      <alignment vertical="center"/>
    </xf>
    <xf numFmtId="0" fontId="12" fillId="6" borderId="25" xfId="0" applyFont="1" applyFill="1" applyBorder="1" applyAlignment="1">
      <alignment vertical="center"/>
    </xf>
    <xf numFmtId="164" fontId="0" fillId="5" borderId="25" xfId="0" applyNumberFormat="1" applyFont="1" applyFill="1" applyBorder="1" applyAlignment="1">
      <alignment horizontal="right" vertical="center"/>
    </xf>
    <xf numFmtId="164" fontId="0" fillId="5" borderId="26" xfId="0" applyNumberFormat="1" applyFont="1" applyFill="1" applyBorder="1" applyAlignment="1">
      <alignment horizontal="right" vertical="center"/>
    </xf>
    <xf numFmtId="0" fontId="3" fillId="3" borderId="9" xfId="0" applyFont="1" applyFill="1" applyBorder="1"/>
    <xf numFmtId="0" fontId="3" fillId="3" borderId="10" xfId="0" applyFont="1" applyFill="1" applyBorder="1"/>
    <xf numFmtId="0" fontId="3" fillId="3" borderId="8" xfId="0" applyFont="1" applyFill="1" applyBorder="1"/>
    <xf numFmtId="0" fontId="3" fillId="3" borderId="1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25" xfId="0" applyFont="1" applyFill="1" applyBorder="1"/>
    <xf numFmtId="0" fontId="3" fillId="3" borderId="4" xfId="0" applyFont="1" applyFill="1" applyBorder="1"/>
    <xf numFmtId="0" fontId="3" fillId="3" borderId="7" xfId="0" applyFont="1" applyFill="1" applyBorder="1"/>
    <xf numFmtId="0" fontId="3" fillId="3" borderId="19" xfId="0" applyFont="1" applyFill="1" applyBorder="1"/>
    <xf numFmtId="0" fontId="3" fillId="3" borderId="20" xfId="0" applyFont="1" applyFill="1" applyBorder="1"/>
    <xf numFmtId="0" fontId="3" fillId="3" borderId="23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164" fontId="0" fillId="4" borderId="25" xfId="0" applyNumberFormat="1" applyFont="1" applyFill="1" applyBorder="1" applyAlignment="1">
      <alignment horizontal="right" vertical="center"/>
    </xf>
    <xf numFmtId="164" fontId="0" fillId="4" borderId="22" xfId="0" applyNumberFormat="1" applyFont="1" applyFill="1" applyBorder="1" applyAlignment="1">
      <alignment horizontal="right" vertical="center"/>
    </xf>
    <xf numFmtId="164" fontId="0" fillId="4" borderId="26" xfId="0" applyNumberFormat="1" applyFont="1" applyFill="1" applyBorder="1" applyAlignment="1">
      <alignment horizontal="right" vertical="center"/>
    </xf>
    <xf numFmtId="164" fontId="0" fillId="4" borderId="16" xfId="0" applyNumberFormat="1" applyFont="1" applyFill="1" applyBorder="1" applyAlignment="1">
      <alignment horizontal="right" vertical="center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40"/>
  <sheetViews>
    <sheetView tabSelected="1" zoomScaleNormal="100" zoomScaleSheetLayoutView="98" workbookViewId="0">
      <selection activeCell="I17" sqref="I17"/>
    </sheetView>
  </sheetViews>
  <sheetFormatPr defaultColWidth="14.42578125" defaultRowHeight="15" customHeight="1" x14ac:dyDescent="0.25"/>
  <cols>
    <col min="1" max="1" width="9" style="2" customWidth="1"/>
    <col min="2" max="9" width="13.85546875" style="2" customWidth="1"/>
    <col min="10" max="10" width="13.7109375" style="2" customWidth="1"/>
    <col min="11" max="11" width="1.140625" style="2" customWidth="1"/>
    <col min="12" max="12" width="7.42578125" style="2" customWidth="1"/>
    <col min="13" max="13" width="9" style="2" customWidth="1"/>
    <col min="14" max="14" width="8.42578125" style="2" customWidth="1"/>
    <col min="15" max="15" width="8.140625" style="2" customWidth="1"/>
    <col min="16" max="16" width="9" style="2" customWidth="1"/>
    <col min="17" max="17" width="9.28515625" style="2" customWidth="1"/>
    <col min="18" max="18" width="7.42578125" style="2" customWidth="1"/>
    <col min="19" max="19" width="9" style="2" customWidth="1"/>
    <col min="20" max="20" width="8.42578125" style="2" customWidth="1"/>
    <col min="21" max="21" width="8.140625" style="2" customWidth="1"/>
    <col min="22" max="22" width="9" style="2" customWidth="1"/>
    <col min="23" max="23" width="12.7109375" style="2" customWidth="1"/>
    <col min="24" max="24" width="1.7109375" style="2" customWidth="1"/>
    <col min="25" max="30" width="8" style="2" customWidth="1"/>
    <col min="31" max="16384" width="14.42578125" style="2"/>
  </cols>
  <sheetData>
    <row r="1" spans="1:30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" customHeight="1" x14ac:dyDescent="0.55000000000000004">
      <c r="A2" s="29" t="s">
        <v>39</v>
      </c>
      <c r="B2" s="30"/>
      <c r="C2" s="30"/>
      <c r="D2" s="30"/>
      <c r="E2" s="30"/>
      <c r="F2" s="31"/>
      <c r="G2" s="31"/>
      <c r="H2" s="31"/>
      <c r="I2" s="31"/>
      <c r="J2" s="32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1"/>
    </row>
    <row r="3" spans="1:30" x14ac:dyDescent="0.25">
      <c r="A3" s="37" t="s">
        <v>38</v>
      </c>
      <c r="B3" s="30"/>
      <c r="C3" s="30"/>
      <c r="D3" s="30"/>
      <c r="E3" s="30"/>
      <c r="F3" s="31"/>
      <c r="G3" s="31"/>
      <c r="H3" s="31"/>
      <c r="I3" s="31"/>
      <c r="J3" s="3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6"/>
      <c r="C4" s="16"/>
      <c r="D4" s="16"/>
      <c r="E4" s="16"/>
      <c r="F4" s="16"/>
      <c r="G4" s="16"/>
      <c r="H4" s="16"/>
      <c r="I4" s="16"/>
      <c r="J4" s="16"/>
      <c r="K4" s="1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"/>
      <c r="Y4" s="1"/>
      <c r="Z4" s="1"/>
      <c r="AA4" s="1"/>
      <c r="AB4" s="1"/>
      <c r="AC4" s="1"/>
      <c r="AD4" s="1"/>
    </row>
    <row r="5" spans="1:30" x14ac:dyDescent="0.25">
      <c r="A5" s="38" t="s">
        <v>0</v>
      </c>
      <c r="B5" s="41">
        <v>2018</v>
      </c>
      <c r="C5" s="33"/>
      <c r="D5" s="33"/>
      <c r="E5" s="34"/>
      <c r="F5" s="41">
        <v>2019</v>
      </c>
      <c r="G5" s="33"/>
      <c r="H5" s="33"/>
      <c r="I5" s="34"/>
      <c r="J5" s="17"/>
      <c r="K5" s="1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"/>
      <c r="Y5" s="1"/>
      <c r="Z5" s="1"/>
      <c r="AA5" s="1"/>
      <c r="AB5" s="1"/>
      <c r="AC5" s="1"/>
      <c r="AD5" s="1"/>
    </row>
    <row r="6" spans="1:30" ht="21" customHeight="1" x14ac:dyDescent="0.55000000000000004">
      <c r="A6" s="27"/>
      <c r="B6" s="39" t="s">
        <v>34</v>
      </c>
      <c r="C6" s="35"/>
      <c r="D6" s="35"/>
      <c r="E6" s="36"/>
      <c r="F6" s="40" t="s">
        <v>32</v>
      </c>
      <c r="G6" s="25"/>
      <c r="H6" s="25"/>
      <c r="I6" s="26"/>
      <c r="J6" s="42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" customHeight="1" x14ac:dyDescent="0.25">
      <c r="A7" s="28"/>
      <c r="B7" s="13" t="s">
        <v>1</v>
      </c>
      <c r="C7" s="13" t="s">
        <v>28</v>
      </c>
      <c r="D7" s="13" t="s">
        <v>29</v>
      </c>
      <c r="E7" s="5" t="s">
        <v>33</v>
      </c>
      <c r="F7" s="4" t="s">
        <v>1</v>
      </c>
      <c r="G7" s="13" t="s">
        <v>28</v>
      </c>
      <c r="H7" s="13" t="s">
        <v>29</v>
      </c>
      <c r="I7" s="13" t="s">
        <v>33</v>
      </c>
      <c r="J7" s="2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1" customHeight="1" x14ac:dyDescent="0.25">
      <c r="A8" s="1" t="s">
        <v>2</v>
      </c>
      <c r="B8" s="18">
        <f t="shared" ref="B8:B19" si="0">SUM(C8:E8)</f>
        <v>17250</v>
      </c>
      <c r="C8" s="43">
        <v>4826</v>
      </c>
      <c r="D8" s="43">
        <v>4264</v>
      </c>
      <c r="E8" s="44">
        <v>8160</v>
      </c>
      <c r="F8" s="14">
        <f t="shared" ref="F8:F19" si="1">SUM(G8:I8)</f>
        <v>17580</v>
      </c>
      <c r="G8" s="23">
        <v>5077</v>
      </c>
      <c r="H8" s="23">
        <v>4296</v>
      </c>
      <c r="I8" s="23">
        <v>8207</v>
      </c>
      <c r="J8" s="8" t="s">
        <v>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1" customHeight="1" x14ac:dyDescent="0.25">
      <c r="A9" s="1" t="s">
        <v>4</v>
      </c>
      <c r="B9" s="18">
        <f t="shared" si="0"/>
        <v>17336</v>
      </c>
      <c r="C9" s="43">
        <v>4935</v>
      </c>
      <c r="D9" s="43">
        <v>4268</v>
      </c>
      <c r="E9" s="44">
        <v>8133</v>
      </c>
      <c r="F9" s="14">
        <f t="shared" si="1"/>
        <v>17676</v>
      </c>
      <c r="G9" s="23">
        <v>5191</v>
      </c>
      <c r="H9" s="23">
        <v>4291</v>
      </c>
      <c r="I9" s="23">
        <v>8194</v>
      </c>
      <c r="J9" s="8" t="s">
        <v>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1" customHeight="1" x14ac:dyDescent="0.25">
      <c r="A10" s="1" t="s">
        <v>6</v>
      </c>
      <c r="B10" s="18">
        <f t="shared" si="0"/>
        <v>17347</v>
      </c>
      <c r="C10" s="43">
        <v>5019</v>
      </c>
      <c r="D10" s="43">
        <v>4254</v>
      </c>
      <c r="E10" s="44">
        <v>8074</v>
      </c>
      <c r="F10" s="14">
        <f t="shared" si="1"/>
        <v>0</v>
      </c>
      <c r="G10" s="23">
        <v>0</v>
      </c>
      <c r="H10" s="23">
        <v>0</v>
      </c>
      <c r="I10" s="23">
        <v>0</v>
      </c>
      <c r="J10" s="8" t="s">
        <v>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" customHeight="1" x14ac:dyDescent="0.25">
      <c r="A11" s="1" t="s">
        <v>8</v>
      </c>
      <c r="B11" s="18">
        <f t="shared" si="0"/>
        <v>17367</v>
      </c>
      <c r="C11" s="43">
        <v>5031</v>
      </c>
      <c r="D11" s="43">
        <v>4238</v>
      </c>
      <c r="E11" s="44">
        <v>8098</v>
      </c>
      <c r="F11" s="14">
        <f t="shared" si="1"/>
        <v>0</v>
      </c>
      <c r="G11" s="23">
        <v>0</v>
      </c>
      <c r="H11" s="23">
        <v>0</v>
      </c>
      <c r="I11" s="23">
        <v>0</v>
      </c>
      <c r="J11" s="8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1" customHeight="1" x14ac:dyDescent="0.25">
      <c r="A12" s="1" t="s">
        <v>10</v>
      </c>
      <c r="B12" s="18">
        <f t="shared" si="0"/>
        <v>17336</v>
      </c>
      <c r="C12" s="43">
        <v>5095</v>
      </c>
      <c r="D12" s="43">
        <v>4229</v>
      </c>
      <c r="E12" s="44">
        <v>8012</v>
      </c>
      <c r="F12" s="14">
        <f t="shared" si="1"/>
        <v>0</v>
      </c>
      <c r="G12" s="23">
        <v>0</v>
      </c>
      <c r="H12" s="23">
        <v>0</v>
      </c>
      <c r="I12" s="23">
        <v>0</v>
      </c>
      <c r="J12" s="8" t="s">
        <v>11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1" customHeight="1" x14ac:dyDescent="0.25">
      <c r="A13" s="1" t="s">
        <v>12</v>
      </c>
      <c r="B13" s="18">
        <f t="shared" si="0"/>
        <v>17330</v>
      </c>
      <c r="C13" s="43">
        <v>5097</v>
      </c>
      <c r="D13" s="43">
        <v>4246</v>
      </c>
      <c r="E13" s="44">
        <v>7987</v>
      </c>
      <c r="F13" s="14">
        <f t="shared" si="1"/>
        <v>0</v>
      </c>
      <c r="G13" s="23">
        <v>0</v>
      </c>
      <c r="H13" s="23">
        <v>0</v>
      </c>
      <c r="I13" s="23">
        <v>0</v>
      </c>
      <c r="J13" s="8" t="s">
        <v>13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1" customHeight="1" x14ac:dyDescent="0.25">
      <c r="A14" s="1" t="s">
        <v>14</v>
      </c>
      <c r="B14" s="18">
        <f t="shared" si="0"/>
        <v>17352</v>
      </c>
      <c r="C14" s="43">
        <v>5188</v>
      </c>
      <c r="D14" s="43">
        <v>4236</v>
      </c>
      <c r="E14" s="44">
        <v>7928</v>
      </c>
      <c r="F14" s="14">
        <f t="shared" si="1"/>
        <v>0</v>
      </c>
      <c r="G14" s="23">
        <v>0</v>
      </c>
      <c r="H14" s="23">
        <v>0</v>
      </c>
      <c r="I14" s="23">
        <v>0</v>
      </c>
      <c r="J14" s="8" t="s">
        <v>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" customHeight="1" x14ac:dyDescent="0.25">
      <c r="A15" s="1" t="s">
        <v>16</v>
      </c>
      <c r="B15" s="18">
        <f t="shared" si="0"/>
        <v>17371</v>
      </c>
      <c r="C15" s="43">
        <v>5220</v>
      </c>
      <c r="D15" s="43">
        <v>4245</v>
      </c>
      <c r="E15" s="44">
        <v>7906</v>
      </c>
      <c r="F15" s="14">
        <f t="shared" si="1"/>
        <v>0</v>
      </c>
      <c r="G15" s="23">
        <v>0</v>
      </c>
      <c r="H15" s="23">
        <v>0</v>
      </c>
      <c r="I15" s="23">
        <v>0</v>
      </c>
      <c r="J15" s="8" t="s">
        <v>17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1" customHeight="1" x14ac:dyDescent="0.25">
      <c r="A16" s="1" t="s">
        <v>18</v>
      </c>
      <c r="B16" s="18">
        <f t="shared" si="0"/>
        <v>17364</v>
      </c>
      <c r="C16" s="43">
        <v>4797</v>
      </c>
      <c r="D16" s="43">
        <v>4290</v>
      </c>
      <c r="E16" s="44">
        <v>8277</v>
      </c>
      <c r="F16" s="14">
        <f t="shared" si="1"/>
        <v>0</v>
      </c>
      <c r="G16" s="23">
        <v>0</v>
      </c>
      <c r="H16" s="23">
        <v>0</v>
      </c>
      <c r="I16" s="23">
        <v>0</v>
      </c>
      <c r="J16" s="8" t="s">
        <v>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1" customHeight="1" x14ac:dyDescent="0.25">
      <c r="A17" s="1" t="s">
        <v>20</v>
      </c>
      <c r="B17" s="18">
        <f t="shared" si="0"/>
        <v>17337</v>
      </c>
      <c r="C17" s="43">
        <v>4793</v>
      </c>
      <c r="D17" s="43">
        <v>4297</v>
      </c>
      <c r="E17" s="44">
        <v>8247</v>
      </c>
      <c r="F17" s="14">
        <f t="shared" si="1"/>
        <v>0</v>
      </c>
      <c r="G17" s="23">
        <v>0</v>
      </c>
      <c r="H17" s="23">
        <v>0</v>
      </c>
      <c r="I17" s="23">
        <v>0</v>
      </c>
      <c r="J17" s="8" t="s">
        <v>21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1" customHeight="1" x14ac:dyDescent="0.25">
      <c r="A18" s="1" t="s">
        <v>22</v>
      </c>
      <c r="B18" s="18">
        <f t="shared" si="0"/>
        <v>17315</v>
      </c>
      <c r="C18" s="43">
        <v>4788</v>
      </c>
      <c r="D18" s="43">
        <v>4302</v>
      </c>
      <c r="E18" s="44">
        <v>8225</v>
      </c>
      <c r="F18" s="14">
        <f t="shared" si="1"/>
        <v>0</v>
      </c>
      <c r="G18" s="23">
        <v>0</v>
      </c>
      <c r="H18" s="23">
        <v>0</v>
      </c>
      <c r="I18" s="23">
        <v>0</v>
      </c>
      <c r="J18" s="8" t="s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1" customHeight="1" x14ac:dyDescent="0.25">
      <c r="A19" s="7" t="s">
        <v>24</v>
      </c>
      <c r="B19" s="19">
        <f t="shared" si="0"/>
        <v>17310</v>
      </c>
      <c r="C19" s="45">
        <v>4797</v>
      </c>
      <c r="D19" s="45">
        <v>4298</v>
      </c>
      <c r="E19" s="46">
        <v>8215</v>
      </c>
      <c r="F19" s="15">
        <f t="shared" si="1"/>
        <v>0</v>
      </c>
      <c r="G19" s="24">
        <v>0</v>
      </c>
      <c r="H19" s="24">
        <v>0</v>
      </c>
      <c r="I19" s="24">
        <v>0</v>
      </c>
      <c r="J19" s="9" t="s">
        <v>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6.5" customHeight="1" x14ac:dyDescent="0.25">
      <c r="A20" s="20" t="s">
        <v>36</v>
      </c>
      <c r="B20" s="21"/>
      <c r="C20" s="21"/>
      <c r="D20" s="21"/>
      <c r="E20" s="21"/>
      <c r="F20" s="21"/>
      <c r="G20" s="21"/>
      <c r="H20" s="21"/>
      <c r="I20" s="21"/>
      <c r="J20" s="22" t="s">
        <v>37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17.25" customHeight="1" x14ac:dyDescent="0.45">
      <c r="A21" s="11" t="s">
        <v>26</v>
      </c>
      <c r="B21" s="10"/>
      <c r="C21" s="10"/>
      <c r="D21" s="10"/>
      <c r="E21" s="10"/>
      <c r="F21" s="10"/>
      <c r="G21" s="10"/>
      <c r="H21" s="10"/>
      <c r="I21" s="10"/>
      <c r="J21" s="12" t="s">
        <v>27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5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3" t="s">
        <v>30</v>
      </c>
      <c r="AC27" s="13" t="s">
        <v>31</v>
      </c>
      <c r="AD27" s="13" t="s">
        <v>35</v>
      </c>
    </row>
    <row r="28" spans="1:3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</sheetData>
  <mergeCells count="8">
    <mergeCell ref="A2:J2"/>
    <mergeCell ref="A3:J3"/>
    <mergeCell ref="B5:E5"/>
    <mergeCell ref="J6:J7"/>
    <mergeCell ref="B6:E6"/>
    <mergeCell ref="A5:A7"/>
    <mergeCell ref="F5:I5"/>
    <mergeCell ref="F6:I6"/>
  </mergeCells>
  <pageMargins left="0.7" right="0.7" top="0.75" bottom="0.75" header="0" footer="0"/>
  <pageSetup paperSize="9" scale="7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2020-06-28T08:09:03Z</cp:lastPrinted>
  <dcterms:created xsi:type="dcterms:W3CDTF">2019-02-21T04:10:17Z</dcterms:created>
  <dcterms:modified xsi:type="dcterms:W3CDTF">2020-06-28T08:09:19Z</dcterms:modified>
</cp:coreProperties>
</file>