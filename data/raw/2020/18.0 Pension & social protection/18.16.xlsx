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20\SYB 2020 _latest\YEARBOOK 2020_Final\web\18. PENSION AND SOCIAL PROTECTION\"/>
    </mc:Choice>
  </mc:AlternateContent>
  <bookViews>
    <workbookView xWindow="0" yWindow="0" windowWidth="28800" windowHeight="12435" tabRatio="841"/>
  </bookViews>
  <sheets>
    <sheet name="18.16" sheetId="16" r:id="rId1"/>
  </sheets>
  <externalReferences>
    <externalReference r:id="rId2"/>
  </externalReferences>
  <definedNames>
    <definedName name="_xlnm.Print_Area" localSheetId="0">'18.16'!$A$1:$K$51</definedName>
  </definedNames>
  <calcPr calcId="162913"/>
</workbook>
</file>

<file path=xl/calcChain.xml><?xml version="1.0" encoding="utf-8"?>
<calcChain xmlns="http://schemas.openxmlformats.org/spreadsheetml/2006/main">
  <c r="AC61" i="16" l="1"/>
  <c r="AC60" i="16"/>
  <c r="AC59" i="16"/>
  <c r="AC58" i="16"/>
  <c r="AC57" i="16"/>
  <c r="AC56" i="16"/>
  <c r="AC55" i="16"/>
  <c r="AC54" i="16"/>
  <c r="AC53" i="16"/>
  <c r="AC52" i="16"/>
  <c r="AC51" i="16"/>
  <c r="AC50" i="16"/>
  <c r="AC49" i="16"/>
  <c r="AC48" i="16"/>
  <c r="AC47" i="16"/>
  <c r="AC46" i="16"/>
  <c r="AC45" i="16"/>
  <c r="AC44" i="16"/>
  <c r="AC43" i="16"/>
  <c r="AC42" i="16"/>
  <c r="AC41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J11" i="16"/>
  <c r="J9" i="16" s="1"/>
  <c r="I11" i="16"/>
  <c r="I9" i="16" s="1"/>
  <c r="H11" i="16"/>
  <c r="G11" i="16"/>
  <c r="G9" i="16" s="1"/>
  <c r="F11" i="16"/>
  <c r="F9" i="16" s="1"/>
  <c r="E11" i="16"/>
  <c r="D11" i="16"/>
  <c r="B11" i="16" s="1"/>
  <c r="C11" i="16"/>
  <c r="B10" i="16"/>
  <c r="H9" i="16"/>
  <c r="E9" i="16"/>
  <c r="C9" i="16"/>
  <c r="D9" i="16" l="1"/>
  <c r="B9" i="16" s="1"/>
</calcChain>
</file>

<file path=xl/sharedStrings.xml><?xml version="1.0" encoding="utf-8"?>
<sst xmlns="http://schemas.openxmlformats.org/spreadsheetml/2006/main" count="98" uniqueCount="95">
  <si>
    <t>Locality</t>
  </si>
  <si>
    <t>ހެލްތް އިންޝުއަރަންސް</t>
  </si>
  <si>
    <t xml:space="preserve">އެކަނިވެރި މައިންނާއި ކުދިންނަށް ދެވޭ އެހީ </t>
  </si>
  <si>
    <t xml:space="preserve">އަޅާލާނެ މީހަކުނެތިފައިވާ ކުދިން ބަލަމުންދާ މީހުންނަށް ދެވޭ އެހީ </t>
  </si>
  <si>
    <t>ވެލްފެއާ އެހީ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</si>
  <si>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</si>
  <si>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</si>
  <si>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cnwt</t>
  </si>
  <si>
    <t>HEALTH INSURANCE SCHEMES</t>
  </si>
  <si>
    <t>SINGLE PARENT ALLOWANCE</t>
  </si>
  <si>
    <t>EMERGENCY MEDICAL WELFARE</t>
  </si>
  <si>
    <t>Aasandha</t>
  </si>
  <si>
    <t xml:space="preserve">Parent </t>
  </si>
  <si>
    <t>Children</t>
  </si>
  <si>
    <t xml:space="preserve">Children </t>
  </si>
  <si>
    <t xml:space="preserve">އާސަންދަ </t>
  </si>
  <si>
    <t>މައިން</t>
  </si>
  <si>
    <t xml:space="preserve">ކުދިން </t>
  </si>
  <si>
    <t>ބެލެނިވެރިން</t>
  </si>
  <si>
    <t>Republic</t>
  </si>
  <si>
    <t>މުޅި ރާއްޖެ</t>
  </si>
  <si>
    <t xml:space="preserve">Male' 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</si>
  <si>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</si>
  <si>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</si>
  <si>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</si>
  <si>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</si>
  <si>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</si>
  <si>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</si>
  <si>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</si>
  <si>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</si>
  <si>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</si>
  <si>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</si>
  <si>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</si>
  <si>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</si>
  <si>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</si>
  <si>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</si>
  <si>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</si>
  <si>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</si>
  <si>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</si>
  <si>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</si>
  <si>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</si>
  <si>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</si>
  <si>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</si>
  <si>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</si>
  <si>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</si>
  <si>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</si>
  <si>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</si>
  <si>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</si>
  <si>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</si>
  <si>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</si>
  <si>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</si>
  <si>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</si>
  <si>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</si>
  <si>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</si>
  <si>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</si>
  <si>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</si>
  <si>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</si>
  <si>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</si>
  <si>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</si>
  <si>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</si>
  <si>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</si>
  <si>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</si>
  <si>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</si>
  <si>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</si>
  <si>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</si>
  <si>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Note: Universal Health Insuarance Scheme named "Aasandha" was introduced in January 2012 and replaced the existing schemes "Madhana" and "Madhana Plus".</t>
  </si>
  <si>
    <t>Source: National Social Protection Agency</t>
  </si>
  <si>
    <t xml:space="preserve"> </t>
  </si>
  <si>
    <t xml:space="preserve">މަޢުލޫމާތު ދެއްވީ: ނެޝަނަލް ސޯޝަލް ޕްރޮޓެކްޝަން އޭޖެންސީ </t>
  </si>
  <si>
    <t>DISABILITY ALLOWANCE</t>
  </si>
  <si>
    <t>FOOD SUBSIDY</t>
  </si>
  <si>
    <t xml:space="preserve">FOSTER PARENT ALLOWANCE </t>
  </si>
  <si>
    <t xml:space="preserve"> HA</t>
  </si>
  <si>
    <t>HDh</t>
  </si>
  <si>
    <t>Sh</t>
  </si>
  <si>
    <t>N</t>
  </si>
  <si>
    <t>R</t>
  </si>
  <si>
    <t>B</t>
  </si>
  <si>
    <t xml:space="preserve"> 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</si>
  <si>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</si>
  <si>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</si>
  <si>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</si>
  <si>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</si>
  <si>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</si>
  <si>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</si>
  <si>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</si>
  <si>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</si>
  <si>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</si>
  <si>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</si>
  <si>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</si>
  <si>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</si>
  <si>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</si>
  <si>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>ތާވަލް 18.16: އިޖްތިމާއީ ރައްކާތެރިކަމުގެ ދަށުން އަތޮޅުތަކުން ޚިދުމަތްދެވިފައިވާ މީހުންގެ އަދަދު، 2019</t>
  </si>
  <si>
    <t>Table 18.16 :  NUMBER OF PERSONS COVERED UNDER DIFFERENT SOCIAL PROTECTION SCHEMES BY LOCALITY,  2019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</si>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</sst>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General_)"/>
  </numFmts>
  <fonts count="3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 tint="0.14999847407452621"/>
      <name val="Faruma"/>
    </font>
    <font>
      <sz val="10"/>
      <color theme="1" tint="0.14999847407452621"/>
      <name val="Arial"/>
      <family val="2"/>
    </font>
    <font>
      <b/>
      <sz val="11"/>
      <color theme="1" tint="0.14999847407452621"/>
      <name val="Calibri"/>
      <family val="2"/>
      <scheme val="minor"/>
    </font>
    <font>
      <b/>
      <sz val="9"/>
      <color theme="1" tint="0.14999847407452621"/>
      <name val="Arial"/>
      <family val="2"/>
    </font>
    <font>
      <b/>
      <sz val="10"/>
      <color theme="1"/>
      <name val="Faruma"/>
    </font>
    <font>
      <b/>
      <sz val="9"/>
      <color theme="1"/>
      <name val="Faruma"/>
    </font>
    <font>
      <b/>
      <sz val="9"/>
      <color theme="1" tint="0.14999847407452621"/>
      <name val="A_Randhoo"/>
    </font>
    <font>
      <sz val="9"/>
      <color theme="1"/>
      <name val="Faruma"/>
    </font>
    <font>
      <sz val="10"/>
      <name val="Courier"/>
      <family val="3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9"/>
      <name val="Courier"/>
      <family val="3"/>
    </font>
    <font>
      <b/>
      <sz val="10"/>
      <name val="Calibri"/>
      <family val="2"/>
      <scheme val="minor"/>
    </font>
    <font>
      <b/>
      <sz val="10"/>
      <name val="Faruma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Faruma"/>
    </font>
    <font>
      <sz val="11"/>
      <color theme="1"/>
      <name val="Calibri"/>
      <family val="2"/>
      <charset val="1"/>
      <scheme val="minor"/>
    </font>
    <font>
      <b/>
      <sz val="10"/>
      <color theme="1" tint="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10"/>
      <name val="Calibri"/>
      <family val="2"/>
      <scheme val="minor"/>
    </font>
    <font>
      <sz val="10"/>
      <color theme="1" tint="0.14999847407452621"/>
      <name val="A_Randhoo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2"/>
      <color theme="1" tint="0.14999847407452621"/>
      <name val="Arial"/>
      <family val="2"/>
    </font>
    <font>
      <b/>
      <sz val="13.5"/>
      <color rgb="FF000000"/>
      <name val="Calibri"/>
      <family val="2"/>
    </font>
    <font>
      <sz val="10"/>
      <color theme="1" tint="0.14999847407452621"/>
      <name val="A_Faseyha"/>
    </font>
    <font>
      <b/>
      <sz val="9"/>
      <color theme="1" tint="0.1499984740745262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</borders>
  <cellStyleXfs count="9">
    <xf numFmtId="0" fontId="0" fillId="0" borderId="0"/>
    <xf numFmtId="0" fontId="4" fillId="0" borderId="1"/>
    <xf numFmtId="164" fontId="13" fillId="0" borderId="1"/>
    <xf numFmtId="0" fontId="1" fillId="0" borderId="1"/>
    <xf numFmtId="0" fontId="13" fillId="0" borderId="1"/>
    <xf numFmtId="0" fontId="1" fillId="0" borderId="1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  <xf numFmtId="0" fontId="2" fillId="0" borderId="1"/>
  </cellStyleXfs>
  <cellXfs count="135">
    <xf numFmtId="0" fontId="0" fillId="0" borderId="0" xfId="0" applyFont="1" applyAlignment="1"/>
    <xf numFmtId="0" fontId="0" fillId="2" borderId="0" xfId="0" applyFont="1" applyFill="1" applyAlignment="1"/>
    <xf numFmtId="3" fontId="6" fillId="2" borderId="1" xfId="1" applyNumberFormat="1" applyFont="1" applyFill="1"/>
    <xf numFmtId="3" fontId="6" fillId="2" borderId="1" xfId="1" applyNumberFormat="1" applyFont="1" applyFill="1" applyBorder="1"/>
    <xf numFmtId="0" fontId="12" fillId="2" borderId="0" xfId="0" applyFont="1" applyFill="1"/>
    <xf numFmtId="165" fontId="16" fillId="2" borderId="0" xfId="0" applyNumberFormat="1" applyFont="1" applyFill="1" applyAlignment="1">
      <alignment vertical="center"/>
    </xf>
    <xf numFmtId="165" fontId="17" fillId="2" borderId="14" xfId="2" applyNumberFormat="1" applyFont="1" applyFill="1" applyBorder="1" applyAlignment="1">
      <alignment horizontal="right" vertical="center" wrapText="1"/>
    </xf>
    <xf numFmtId="165" fontId="17" fillId="2" borderId="15" xfId="2" applyNumberFormat="1" applyFont="1" applyFill="1" applyBorder="1" applyAlignment="1">
      <alignment horizontal="right" vertical="center" wrapText="1"/>
    </xf>
    <xf numFmtId="165" fontId="16" fillId="2" borderId="1" xfId="0" applyNumberFormat="1" applyFont="1" applyFill="1" applyBorder="1"/>
    <xf numFmtId="165" fontId="18" fillId="2" borderId="11" xfId="2" applyNumberFormat="1" applyFont="1" applyFill="1" applyBorder="1" applyAlignment="1">
      <alignment horizontal="right" vertical="center" wrapText="1"/>
    </xf>
    <xf numFmtId="165" fontId="18" fillId="2" borderId="12" xfId="2" applyNumberFormat="1" applyFont="1" applyFill="1" applyBorder="1" applyAlignment="1">
      <alignment horizontal="right" vertical="center" wrapText="1"/>
    </xf>
    <xf numFmtId="165" fontId="3" fillId="2" borderId="16" xfId="0" applyNumberFormat="1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165" fontId="0" fillId="2" borderId="0" xfId="0" applyNumberFormat="1" applyFill="1"/>
    <xf numFmtId="165" fontId="17" fillId="2" borderId="1" xfId="2" applyNumberFormat="1" applyFont="1" applyFill="1" applyBorder="1" applyAlignment="1" applyProtection="1">
      <alignment horizontal="left" vertical="center"/>
    </xf>
    <xf numFmtId="3" fontId="21" fillId="2" borderId="1" xfId="1" applyNumberFormat="1" applyFont="1" applyFill="1" applyBorder="1" applyAlignment="1" applyProtection="1">
      <alignment horizontal="right" vertical="center"/>
    </xf>
    <xf numFmtId="165" fontId="22" fillId="2" borderId="0" xfId="0" applyNumberFormat="1" applyFont="1" applyFill="1"/>
    <xf numFmtId="3" fontId="23" fillId="2" borderId="1" xfId="1" applyNumberFormat="1" applyFont="1" applyFill="1"/>
    <xf numFmtId="165" fontId="19" fillId="2" borderId="0" xfId="0" applyNumberFormat="1" applyFont="1" applyFill="1"/>
    <xf numFmtId="3" fontId="25" fillId="2" borderId="1" xfId="1" applyNumberFormat="1" applyFont="1" applyFill="1"/>
    <xf numFmtId="3" fontId="27" fillId="2" borderId="1" xfId="1" applyNumberFormat="1" applyFont="1" applyFill="1" applyBorder="1" applyAlignment="1" applyProtection="1">
      <alignment horizontal="right" vertical="center"/>
    </xf>
    <xf numFmtId="0" fontId="0" fillId="2" borderId="0" xfId="0" applyFill="1"/>
    <xf numFmtId="3" fontId="7" fillId="2" borderId="1" xfId="1" applyNumberFormat="1" applyFont="1" applyFill="1"/>
    <xf numFmtId="3" fontId="25" fillId="2" borderId="1" xfId="1" applyNumberFormat="1" applyFont="1" applyFill="1" applyBorder="1"/>
    <xf numFmtId="165" fontId="22" fillId="2" borderId="1" xfId="0" applyNumberFormat="1" applyFont="1" applyFill="1" applyBorder="1"/>
    <xf numFmtId="0" fontId="22" fillId="2" borderId="0" xfId="0" applyFont="1" applyFill="1"/>
    <xf numFmtId="0" fontId="22" fillId="2" borderId="1" xfId="0" applyFont="1" applyFill="1" applyBorder="1"/>
    <xf numFmtId="3" fontId="25" fillId="2" borderId="2" xfId="1" applyNumberFormat="1" applyFont="1" applyFill="1" applyBorder="1"/>
    <xf numFmtId="0" fontId="29" fillId="2" borderId="0" xfId="0" applyFont="1" applyFill="1"/>
    <xf numFmtId="0" fontId="24" fillId="2" borderId="0" xfId="0" applyFont="1" applyFill="1"/>
    <xf numFmtId="0" fontId="20" fillId="2" borderId="0" xfId="0" applyFont="1" applyFill="1" applyAlignment="1">
      <alignment horizontal="center" vertical="center"/>
    </xf>
    <xf numFmtId="165" fontId="30" fillId="2" borderId="1" xfId="2" applyNumberFormat="1" applyFont="1" applyFill="1" applyBorder="1" applyAlignment="1" applyProtection="1">
      <alignment horizontal="left" vertical="center"/>
    </xf>
    <xf numFmtId="165" fontId="31" fillId="2" borderId="1" xfId="4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165" fontId="31" fillId="2" borderId="1" xfId="4" applyNumberFormat="1" applyFont="1" applyFill="1" applyBorder="1" applyAlignment="1">
      <alignment horizontal="right" vertical="center"/>
    </xf>
    <xf numFmtId="3" fontId="32" fillId="2" borderId="1" xfId="1" applyNumberFormat="1" applyFont="1" applyFill="1"/>
    <xf numFmtId="3" fontId="32" fillId="2" borderId="1" xfId="1" applyNumberFormat="1" applyFont="1" applyFill="1" applyBorder="1"/>
    <xf numFmtId="165" fontId="18" fillId="2" borderId="1" xfId="2" applyNumberFormat="1" applyFont="1" applyFill="1" applyBorder="1" applyAlignment="1">
      <alignment horizontal="right" vertical="center" wrapText="1"/>
    </xf>
    <xf numFmtId="165" fontId="19" fillId="2" borderId="1" xfId="0" applyNumberFormat="1" applyFont="1" applyFill="1" applyBorder="1"/>
    <xf numFmtId="165" fontId="3" fillId="2" borderId="1" xfId="0" applyNumberFormat="1" applyFont="1" applyFill="1" applyBorder="1" applyAlignment="1">
      <alignment horizontal="center" vertical="center"/>
    </xf>
    <xf numFmtId="3" fontId="23" fillId="2" borderId="1" xfId="1" applyNumberFormat="1" applyFont="1" applyFill="1" applyBorder="1"/>
    <xf numFmtId="165" fontId="14" fillId="2" borderId="2" xfId="2" applyNumberFormat="1" applyFont="1" applyFill="1" applyBorder="1" applyAlignment="1">
      <alignment horizontal="right" vertical="center" wrapText="1" indent="1"/>
    </xf>
    <xf numFmtId="165" fontId="17" fillId="2" borderId="1" xfId="2" applyNumberFormat="1" applyFont="1" applyFill="1" applyBorder="1" applyAlignment="1">
      <alignment horizontal="right" vertical="center" wrapText="1" indent="1"/>
    </xf>
    <xf numFmtId="165" fontId="18" fillId="2" borderId="2" xfId="2" applyNumberFormat="1" applyFont="1" applyFill="1" applyBorder="1" applyAlignment="1">
      <alignment horizontal="right" vertical="center" wrapText="1" indent="1"/>
    </xf>
    <xf numFmtId="37" fontId="12" fillId="2" borderId="0" xfId="0" applyNumberFormat="1" applyFont="1" applyFill="1"/>
    <xf numFmtId="37" fontId="20" fillId="2" borderId="15" xfId="6" applyNumberFormat="1" applyFont="1" applyFill="1" applyBorder="1" applyAlignment="1">
      <alignment vertical="center"/>
    </xf>
    <xf numFmtId="37" fontId="26" fillId="2" borderId="15" xfId="6" applyNumberFormat="1" applyFont="1" applyFill="1" applyBorder="1" applyAlignment="1">
      <alignment vertical="center"/>
    </xf>
    <xf numFmtId="165" fontId="17" fillId="2" borderId="1" xfId="2" applyNumberFormat="1" applyFont="1" applyFill="1" applyBorder="1" applyAlignment="1">
      <alignment horizontal="right" vertical="center" wrapText="1"/>
    </xf>
    <xf numFmtId="0" fontId="33" fillId="2" borderId="0" xfId="0" applyFont="1" applyFill="1" applyAlignment="1">
      <alignment vertical="center"/>
    </xf>
    <xf numFmtId="37" fontId="20" fillId="2" borderId="13" xfId="7" applyNumberFormat="1" applyFont="1" applyFill="1" applyBorder="1" applyAlignment="1">
      <alignment horizontal="right" vertical="center"/>
    </xf>
    <xf numFmtId="37" fontId="20" fillId="2" borderId="15" xfId="7" applyNumberFormat="1" applyFont="1" applyFill="1" applyBorder="1" applyAlignment="1">
      <alignment horizontal="right" vertical="center"/>
    </xf>
    <xf numFmtId="37" fontId="20" fillId="2" borderId="1" xfId="7" applyNumberFormat="1" applyFont="1" applyFill="1" applyBorder="1" applyAlignment="1">
      <alignment horizontal="right" vertical="center"/>
    </xf>
    <xf numFmtId="37" fontId="20" fillId="2" borderId="1" xfId="7" applyNumberFormat="1" applyFont="1" applyFill="1" applyBorder="1" applyAlignment="1">
      <alignment horizontal="right" vertical="center" indent="5"/>
    </xf>
    <xf numFmtId="0" fontId="0" fillId="2" borderId="0" xfId="0" applyFont="1" applyFill="1" applyAlignment="1">
      <alignment horizontal="left" vertical="center" indent="1"/>
    </xf>
    <xf numFmtId="37" fontId="24" fillId="2" borderId="13" xfId="7" applyNumberFormat="1" applyFont="1" applyFill="1" applyBorder="1" applyAlignment="1">
      <alignment vertical="center"/>
    </xf>
    <xf numFmtId="37" fontId="26" fillId="2" borderId="15" xfId="7" applyNumberFormat="1" applyFont="1" applyFill="1" applyBorder="1" applyAlignment="1" applyProtection="1">
      <alignment vertical="center"/>
    </xf>
    <xf numFmtId="37" fontId="26" fillId="2" borderId="15" xfId="7" applyNumberFormat="1" applyFont="1" applyFill="1" applyBorder="1" applyAlignment="1" applyProtection="1">
      <alignment horizontal="center" vertical="center"/>
    </xf>
    <xf numFmtId="37" fontId="26" fillId="2" borderId="1" xfId="7" applyNumberFormat="1" applyFont="1" applyFill="1" applyBorder="1" applyAlignment="1" applyProtection="1">
      <alignment horizontal="right" vertical="center" indent="5"/>
    </xf>
    <xf numFmtId="37" fontId="24" fillId="2" borderId="1" xfId="7" applyNumberFormat="1" applyFont="1" applyFill="1" applyBorder="1" applyAlignment="1">
      <alignment horizontal="right" vertical="center" indent="5"/>
    </xf>
    <xf numFmtId="37" fontId="24" fillId="2" borderId="1" xfId="7" applyNumberFormat="1" applyFont="1" applyFill="1" applyAlignment="1">
      <alignment horizontal="right" vertical="center" indent="5"/>
    </xf>
    <xf numFmtId="37" fontId="24" fillId="2" borderId="14" xfId="7" applyNumberFormat="1" applyFont="1" applyFill="1" applyBorder="1" applyAlignment="1">
      <alignment horizontal="right" vertical="center" indent="5"/>
    </xf>
    <xf numFmtId="37" fontId="26" fillId="2" borderId="1" xfId="7" applyNumberFormat="1" applyFont="1" applyFill="1" applyBorder="1" applyAlignment="1" applyProtection="1">
      <alignment vertical="center"/>
    </xf>
    <xf numFmtId="37" fontId="24" fillId="2" borderId="1" xfId="7" applyNumberFormat="1" applyFont="1" applyFill="1" applyBorder="1" applyAlignment="1">
      <alignment vertical="center"/>
    </xf>
    <xf numFmtId="37" fontId="24" fillId="2" borderId="16" xfId="7" applyNumberFormat="1" applyFont="1" applyFill="1" applyBorder="1" applyAlignment="1">
      <alignment vertical="center"/>
    </xf>
    <xf numFmtId="37" fontId="26" fillId="2" borderId="2" xfId="7" applyNumberFormat="1" applyFont="1" applyFill="1" applyBorder="1" applyAlignment="1" applyProtection="1">
      <alignment vertical="center"/>
    </xf>
    <xf numFmtId="37" fontId="26" fillId="2" borderId="16" xfId="7" applyNumberFormat="1" applyFont="1" applyFill="1" applyBorder="1" applyAlignment="1" applyProtection="1">
      <alignment horizontal="center" vertical="center"/>
    </xf>
    <xf numFmtId="37" fontId="24" fillId="2" borderId="11" xfId="7" applyNumberFormat="1" applyFont="1" applyFill="1" applyBorder="1" applyAlignment="1">
      <alignment horizontal="right" vertical="center" indent="5"/>
    </xf>
    <xf numFmtId="1" fontId="28" fillId="2" borderId="1" xfId="7" applyNumberFormat="1" applyFont="1" applyFill="1" applyBorder="1" applyAlignment="1" applyProtection="1">
      <alignment horizontal="right" vertical="center"/>
    </xf>
    <xf numFmtId="37" fontId="17" fillId="2" borderId="1" xfId="7" applyNumberFormat="1" applyFont="1" applyFill="1" applyBorder="1" applyAlignment="1" applyProtection="1">
      <alignment vertical="center"/>
    </xf>
    <xf numFmtId="3" fontId="34" fillId="2" borderId="1" xfId="1" applyNumberFormat="1" applyFont="1" applyFill="1" applyBorder="1" applyAlignment="1" applyProtection="1">
      <alignment horizontal="right" vertical="center"/>
    </xf>
    <xf numFmtId="3" fontId="34" fillId="2" borderId="2" xfId="1" applyNumberFormat="1" applyFont="1" applyFill="1" applyBorder="1" applyAlignment="1" applyProtection="1">
      <alignment horizontal="right" vertical="center"/>
    </xf>
    <xf numFmtId="37" fontId="20" fillId="2" borderId="13" xfId="7" applyNumberFormat="1" applyFont="1" applyFill="1" applyBorder="1" applyAlignment="1">
      <alignment horizontal="center" vertical="center"/>
    </xf>
    <xf numFmtId="165" fontId="14" fillId="2" borderId="1" xfId="2" applyNumberFormat="1" applyFont="1" applyFill="1" applyBorder="1" applyAlignment="1">
      <alignment horizontal="center" vertical="center" wrapText="1"/>
    </xf>
    <xf numFmtId="3" fontId="7" fillId="2" borderId="1" xfId="1" applyNumberFormat="1" applyFont="1" applyFill="1" applyBorder="1" applyAlignment="1" applyProtection="1">
      <alignment horizontal="center" vertical="center"/>
    </xf>
    <xf numFmtId="3" fontId="8" fillId="2" borderId="1" xfId="1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3" fontId="5" fillId="2" borderId="1" xfId="1" applyNumberFormat="1" applyFont="1" applyFill="1" applyAlignment="1">
      <alignment horizontal="center" vertical="center" readingOrder="2"/>
    </xf>
    <xf numFmtId="3" fontId="7" fillId="2" borderId="1" xfId="1" applyNumberFormat="1" applyFont="1" applyFill="1" applyBorder="1" applyAlignment="1" applyProtection="1">
      <alignment horizontal="center" vertical="center"/>
    </xf>
    <xf numFmtId="3" fontId="8" fillId="2" borderId="3" xfId="1" applyNumberFormat="1" applyFont="1" applyFill="1" applyBorder="1" applyAlignment="1">
      <alignment horizontal="left" vertical="center"/>
    </xf>
    <xf numFmtId="3" fontId="8" fillId="2" borderId="1" xfId="1" applyNumberFormat="1" applyFont="1" applyFill="1" applyBorder="1" applyAlignment="1">
      <alignment horizontal="left" vertical="center"/>
    </xf>
    <xf numFmtId="3" fontId="8" fillId="2" borderId="2" xfId="1" applyNumberFormat="1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right" vertical="center" wrapText="1" indent="1"/>
    </xf>
    <xf numFmtId="0" fontId="9" fillId="2" borderId="7" xfId="0" applyFont="1" applyFill="1" applyBorder="1" applyAlignment="1">
      <alignment horizontal="right" vertical="center" wrapText="1" inden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wrapText="1"/>
    </xf>
    <xf numFmtId="0" fontId="9" fillId="2" borderId="8" xfId="0" applyFont="1" applyFill="1" applyBorder="1" applyAlignment="1">
      <alignment horizontal="center" wrapText="1"/>
    </xf>
    <xf numFmtId="0" fontId="9" fillId="2" borderId="9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right" vertical="center" wrapText="1"/>
    </xf>
    <xf numFmtId="0" fontId="10" fillId="2" borderId="8" xfId="0" applyFont="1" applyFill="1" applyBorder="1" applyAlignment="1">
      <alignment horizontal="right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3" fontId="35" fillId="2" borderId="3" xfId="1" applyNumberFormat="1" applyFont="1" applyFill="1" applyBorder="1" applyAlignment="1">
      <alignment horizontal="right" vertical="center" wrapText="1"/>
    </xf>
    <xf numFmtId="3" fontId="35" fillId="2" borderId="1" xfId="1" applyNumberFormat="1" applyFont="1" applyFill="1" applyBorder="1" applyAlignment="1">
      <alignment horizontal="right" vertical="center" wrapText="1"/>
    </xf>
    <xf numFmtId="3" fontId="35" fillId="2" borderId="2" xfId="1" applyNumberFormat="1" applyFont="1" applyFill="1" applyBorder="1" applyAlignment="1">
      <alignment horizontal="right" vertical="center" wrapText="1"/>
    </xf>
    <xf numFmtId="165" fontId="14" fillId="2" borderId="11" xfId="2" applyNumberFormat="1" applyFont="1" applyFill="1" applyBorder="1" applyAlignment="1">
      <alignment horizontal="center" vertical="center" wrapText="1"/>
    </xf>
    <xf numFmtId="165" fontId="14" fillId="2" borderId="12" xfId="2" applyNumberFormat="1" applyFont="1" applyFill="1" applyBorder="1" applyAlignment="1">
      <alignment horizontal="center" vertical="center" wrapText="1"/>
    </xf>
    <xf numFmtId="165" fontId="14" fillId="2" borderId="13" xfId="2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center" vertical="center" wrapText="1"/>
    </xf>
    <xf numFmtId="165" fontId="14" fillId="2" borderId="17" xfId="2" applyNumberFormat="1" applyFont="1" applyFill="1" applyBorder="1" applyAlignment="1">
      <alignment horizontal="right" vertical="center" wrapText="1"/>
    </xf>
    <xf numFmtId="165" fontId="14" fillId="2" borderId="13" xfId="2" applyNumberFormat="1" applyFont="1" applyFill="1" applyBorder="1" applyAlignment="1">
      <alignment horizontal="right" vertical="center" wrapText="1"/>
    </xf>
    <xf numFmtId="165" fontId="14" fillId="2" borderId="16" xfId="2" applyNumberFormat="1" applyFont="1" applyFill="1" applyBorder="1" applyAlignment="1">
      <alignment horizontal="right" vertical="center" wrapText="1"/>
    </xf>
    <xf numFmtId="165" fontId="15" fillId="2" borderId="1" xfId="2" applyNumberFormat="1" applyFont="1" applyFill="1" applyBorder="1" applyAlignment="1">
      <alignment horizontal="right" vertical="center" wrapText="1"/>
    </xf>
    <xf numFmtId="3" fontId="5" fillId="2" borderId="1" xfId="1" applyNumberFormat="1" applyFont="1" applyFill="1" applyBorder="1" applyAlignment="1">
      <alignment horizontal="center" vertical="center" readingOrder="2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center" vertical="center" wrapText="1"/>
    </xf>
    <xf numFmtId="3" fontId="11" fillId="2" borderId="1" xfId="1" applyNumberFormat="1" applyFont="1" applyFill="1" applyBorder="1" applyAlignment="1">
      <alignment horizontal="right" vertical="center" wrapText="1"/>
    </xf>
    <xf numFmtId="165" fontId="14" fillId="2" borderId="3" xfId="2" applyNumberFormat="1" applyFont="1" applyFill="1" applyBorder="1" applyAlignment="1">
      <alignment horizontal="right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5" fontId="14" fillId="2" borderId="2" xfId="2" applyNumberFormat="1" applyFont="1" applyFill="1" applyBorder="1" applyAlignment="1">
      <alignment horizontal="right" vertical="center" wrapText="1"/>
    </xf>
    <xf numFmtId="37" fontId="17" fillId="2" borderId="3" xfId="7" applyNumberFormat="1" applyFont="1" applyFill="1" applyBorder="1" applyAlignment="1" applyProtection="1">
      <alignment horizontal="right" vertical="center"/>
    </xf>
    <xf numFmtId="37" fontId="17" fillId="2" borderId="14" xfId="7" applyNumberFormat="1" applyFont="1" applyFill="1" applyBorder="1" applyAlignment="1" applyProtection="1">
      <alignment horizontal="right" vertical="center"/>
    </xf>
    <xf numFmtId="37" fontId="17" fillId="2" borderId="4" xfId="7" applyNumberFormat="1" applyFont="1" applyFill="1" applyBorder="1" applyAlignment="1" applyProtection="1">
      <alignment horizontal="right" vertical="center"/>
    </xf>
    <xf numFmtId="37" fontId="17" fillId="2" borderId="6" xfId="7" applyNumberFormat="1" applyFont="1" applyFill="1" applyBorder="1" applyAlignment="1" applyProtection="1">
      <alignment horizontal="right" vertical="center"/>
    </xf>
    <xf numFmtId="37" fontId="17" fillId="2" borderId="1" xfId="7" applyNumberFormat="1" applyFont="1" applyFill="1" applyBorder="1" applyAlignment="1" applyProtection="1">
      <alignment horizontal="right" vertical="center"/>
    </xf>
    <xf numFmtId="37" fontId="17" fillId="2" borderId="14" xfId="7" applyNumberFormat="1" applyFont="1" applyFill="1" applyBorder="1" applyAlignment="1" applyProtection="1">
      <alignment horizontal="center" vertical="center"/>
    </xf>
    <xf numFmtId="37" fontId="20" fillId="2" borderId="15" xfId="7" applyNumberFormat="1" applyFont="1" applyFill="1" applyBorder="1" applyAlignment="1">
      <alignment vertical="center"/>
    </xf>
    <xf numFmtId="37" fontId="17" fillId="2" borderId="13" xfId="7" applyNumberFormat="1" applyFont="1" applyFill="1" applyBorder="1" applyAlignment="1" applyProtection="1">
      <alignment horizontal="right" vertical="center"/>
    </xf>
    <xf numFmtId="37" fontId="20" fillId="2" borderId="13" xfId="7" applyNumberFormat="1" applyFont="1" applyFill="1" applyBorder="1" applyAlignment="1">
      <alignment vertical="center"/>
    </xf>
    <xf numFmtId="3" fontId="28" fillId="2" borderId="1" xfId="7" applyNumberFormat="1" applyFont="1" applyFill="1" applyBorder="1" applyAlignment="1" applyProtection="1">
      <alignment horizontal="right" vertical="center"/>
    </xf>
    <xf numFmtId="37" fontId="17" fillId="2" borderId="2" xfId="7" applyNumberFormat="1" applyFont="1" applyFill="1" applyBorder="1" applyAlignment="1" applyProtection="1">
      <alignment horizontal="right" vertical="center"/>
    </xf>
    <xf numFmtId="37" fontId="26" fillId="2" borderId="12" xfId="6" applyNumberFormat="1" applyFont="1" applyFill="1" applyBorder="1" applyAlignment="1">
      <alignment vertical="center"/>
    </xf>
    <xf numFmtId="37" fontId="20" fillId="2" borderId="1" xfId="7" applyNumberFormat="1" applyFont="1" applyFill="1" applyBorder="1" applyAlignment="1">
      <alignment horizontal="right" vertical="center" indent="3"/>
    </xf>
    <xf numFmtId="37" fontId="26" fillId="2" borderId="1" xfId="7" applyNumberFormat="1" applyFont="1" applyFill="1" applyBorder="1" applyAlignment="1" applyProtection="1">
      <alignment horizontal="right" vertical="center"/>
    </xf>
    <xf numFmtId="37" fontId="24" fillId="2" borderId="1" xfId="7" applyNumberFormat="1" applyFont="1" applyFill="1" applyBorder="1" applyAlignment="1">
      <alignment horizontal="right" vertical="center"/>
    </xf>
    <xf numFmtId="37" fontId="24" fillId="2" borderId="1" xfId="7" applyNumberFormat="1" applyFont="1" applyFill="1" applyBorder="1" applyAlignment="1">
      <alignment horizontal="right" vertical="center" indent="3"/>
    </xf>
  </cellXfs>
  <cellStyles count="9">
    <cellStyle name="Comma 23" xfId="7"/>
    <cellStyle name="Comma 3" xfId="6"/>
    <cellStyle name="Normal" xfId="0" builtinId="0"/>
    <cellStyle name="Normal 12" xfId="5"/>
    <cellStyle name="Normal 2" xfId="2"/>
    <cellStyle name="Normal 3 2" xfId="3"/>
    <cellStyle name="Normal 8" xfId="8"/>
    <cellStyle name="Normal_3 Population." xfId="4"/>
    <cellStyle name="Normal_II-15(Population) 2" xfId="1"/>
  </cellStyles>
  <dxfs count="0"/>
  <tableStyles count="0" defaultTableStyle="TableStyleMedium2" defaultPivotStyle="PivotStyleLight16"/>
  <colors>
    <mruColors>
      <color rgb="FFE5C9AD"/>
      <color rgb="FF996633"/>
      <color rgb="FFDAB48E"/>
      <color rgb="FFFAF5F0"/>
      <color rgb="FFF2E4D6"/>
      <color rgb="FF964B00"/>
      <color rgb="FFF4E8DC"/>
      <color rgb="FF976431"/>
      <color rgb="FFFFF2E5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200" b="1" i="0" u="none" strike="noStrike" baseline="0">
                <a:effectLst/>
                <a:latin typeface="+mn-lt"/>
              </a:rPr>
              <a:t>Figure 18.20:  NUMBER OF PERSON SERVICED UNDER HEALTH INSURANCE SCHEMES BY ATOLL, 2017 -  2018</a:t>
            </a:r>
            <a:endParaRPr lang="en-US" sz="1200">
              <a:latin typeface="+mn-lt"/>
            </a:endParaRPr>
          </a:p>
        </c:rich>
      </c:tx>
      <c:layout>
        <c:manualLayout>
          <c:xMode val="edge"/>
          <c:yMode val="edge"/>
          <c:x val="0.14425665742323826"/>
          <c:y val="6.049166612242550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7045954897955141E-2"/>
          <c:y val="0.20294790493901321"/>
          <c:w val="0.90863920347488047"/>
          <c:h val="0.6911985941149064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'18.16'!$Z$40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</c:spPr>
          <c:invertIfNegative val="0"/>
          <c:cat>
            <c:numRef>
              <c:f>'18.16'!$V$41:$V$61</c:f>
              <c:numCache>
                <c:formatCode>General_)</c:formatCode>
                <c:ptCount val="21"/>
              </c:numCache>
            </c:numRef>
          </c:cat>
          <c:val>
            <c:numRef>
              <c:f>'18.16'!$Z$41:$Z$61</c:f>
              <c:numCache>
                <c:formatCode>General_)</c:formatCode>
                <c:ptCount val="21"/>
                <c:pt idx="0">
                  <c:v>54165</c:v>
                </c:pt>
                <c:pt idx="1">
                  <c:v>19947</c:v>
                </c:pt>
                <c:pt idx="2">
                  <c:v>23604</c:v>
                </c:pt>
                <c:pt idx="3">
                  <c:v>15761</c:v>
                </c:pt>
                <c:pt idx="4">
                  <c:v>14498</c:v>
                </c:pt>
                <c:pt idx="5">
                  <c:v>20619</c:v>
                </c:pt>
                <c:pt idx="6">
                  <c:v>12845</c:v>
                </c:pt>
                <c:pt idx="7">
                  <c:v>11665</c:v>
                </c:pt>
                <c:pt idx="8">
                  <c:v>11711</c:v>
                </c:pt>
                <c:pt idx="9">
                  <c:v>7282</c:v>
                </c:pt>
                <c:pt idx="10">
                  <c:v>10228</c:v>
                </c:pt>
                <c:pt idx="11">
                  <c:v>2200</c:v>
                </c:pt>
                <c:pt idx="12">
                  <c:v>6580</c:v>
                </c:pt>
                <c:pt idx="13">
                  <c:v>5556</c:v>
                </c:pt>
                <c:pt idx="14">
                  <c:v>6940</c:v>
                </c:pt>
                <c:pt idx="15">
                  <c:v>14312</c:v>
                </c:pt>
                <c:pt idx="16">
                  <c:v>16091</c:v>
                </c:pt>
                <c:pt idx="17">
                  <c:v>12885</c:v>
                </c:pt>
                <c:pt idx="18">
                  <c:v>18775</c:v>
                </c:pt>
                <c:pt idx="19">
                  <c:v>10892</c:v>
                </c:pt>
                <c:pt idx="20">
                  <c:v>28831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7-4050-872F-7D3CC4AC9683}"/>
            </c:ext>
          </c:extLst>
        </c:ser>
        <c:ser>
          <c:idx val="3"/>
          <c:order val="1"/>
          <c:tx>
            <c:strRef>
              <c:f>'18.16'!$AA$40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rgbClr val="E5C9AD"/>
            </a:solidFill>
          </c:spPr>
          <c:invertIfNegative val="0"/>
          <c:cat>
            <c:numRef>
              <c:f>'18.16'!$V$41:$V$61</c:f>
              <c:numCache>
                <c:formatCode>General_)</c:formatCode>
                <c:ptCount val="21"/>
              </c:numCache>
            </c:numRef>
          </c:cat>
          <c:val>
            <c:numRef>
              <c:f>'18.16'!$AA$41:$AA$61</c:f>
              <c:numCache>
                <c:formatCode>General_)</c:formatCode>
                <c:ptCount val="21"/>
                <c:pt idx="0">
                  <c:v>55899</c:v>
                </c:pt>
                <c:pt idx="1">
                  <c:v>20287</c:v>
                </c:pt>
                <c:pt idx="2">
                  <c:v>24162</c:v>
                </c:pt>
                <c:pt idx="3">
                  <c:v>16192</c:v>
                </c:pt>
                <c:pt idx="4">
                  <c:v>14727</c:v>
                </c:pt>
                <c:pt idx="5">
                  <c:v>21032</c:v>
                </c:pt>
                <c:pt idx="6">
                  <c:v>13091</c:v>
                </c:pt>
                <c:pt idx="7">
                  <c:v>11895</c:v>
                </c:pt>
                <c:pt idx="8">
                  <c:v>12010</c:v>
                </c:pt>
                <c:pt idx="9">
                  <c:v>7248</c:v>
                </c:pt>
                <c:pt idx="10">
                  <c:v>9714</c:v>
                </c:pt>
                <c:pt idx="11">
                  <c:v>2241</c:v>
                </c:pt>
                <c:pt idx="12">
                  <c:v>6504</c:v>
                </c:pt>
                <c:pt idx="13">
                  <c:v>5477</c:v>
                </c:pt>
                <c:pt idx="14">
                  <c:v>7084</c:v>
                </c:pt>
                <c:pt idx="15">
                  <c:v>14715</c:v>
                </c:pt>
                <c:pt idx="16">
                  <c:v>16392</c:v>
                </c:pt>
                <c:pt idx="17">
                  <c:v>13119</c:v>
                </c:pt>
                <c:pt idx="18">
                  <c:v>19003</c:v>
                </c:pt>
                <c:pt idx="19">
                  <c:v>10481</c:v>
                </c:pt>
                <c:pt idx="20">
                  <c:v>29131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7-4050-872F-7D3CC4AC9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15060192"/>
        <c:axId val="415057840"/>
      </c:barChart>
      <c:catAx>
        <c:axId val="4150601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15057840"/>
        <c:crosses val="autoZero"/>
        <c:auto val="1"/>
        <c:lblAlgn val="ctr"/>
        <c:lblOffset val="100"/>
        <c:noMultiLvlLbl val="0"/>
      </c:catAx>
      <c:valAx>
        <c:axId val="415057840"/>
        <c:scaling>
          <c:orientation val="minMax"/>
          <c:max val="60000"/>
        </c:scaling>
        <c:delete val="0"/>
        <c:axPos val="l"/>
        <c:majorGridlines>
          <c:spPr>
            <a:ln>
              <a:solidFill>
                <a:srgbClr val="DAB48E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41506019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8369560922212571"/>
          <c:y val="0.33544867771830139"/>
          <c:w val="0.20148038729209716"/>
          <c:h val="7.0243619270913826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200" b="1" i="0" u="none" strike="noStrike" baseline="0">
                <a:effectLst/>
                <a:latin typeface="+mn-lt"/>
              </a:rPr>
              <a:t>Figure 18.20:  NUMBER OF PERSON SERVICED UNDER HEALTH INSURANCE SCHEMES BY ATOLL, 2018 -  2019</a:t>
            </a:r>
            <a:endParaRPr lang="en-US" sz="1200">
              <a:latin typeface="+mn-lt"/>
            </a:endParaRPr>
          </a:p>
        </c:rich>
      </c:tx>
      <c:layout>
        <c:manualLayout>
          <c:xMode val="edge"/>
          <c:yMode val="edge"/>
          <c:x val="0.22068352110073966"/>
          <c:y val="6.04916149175833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7045954897955141E-2"/>
          <c:y val="0.20294790493901321"/>
          <c:w val="0.90863920347488047"/>
          <c:h val="0.6911985941149064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'[1]18.16'!$AB$40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</c:spPr>
          <c:invertIfNegative val="0"/>
          <c:cat>
            <c:strRef>
              <c:f>'[1]18.16'!$W$41:$W$61</c:f>
              <c:strCache>
                <c:ptCount val="21"/>
                <c:pt idx="0">
                  <c:v>Male' </c:v>
                </c:pt>
                <c:pt idx="1">
                  <c:v> 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 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'[1]18.16'!$AB$41:$AB$61</c:f>
              <c:numCache>
                <c:formatCode>General_)</c:formatCode>
                <c:ptCount val="21"/>
                <c:pt idx="0" formatCode="General">
                  <c:v>57975</c:v>
                </c:pt>
                <c:pt idx="1">
                  <c:v>20756</c:v>
                </c:pt>
                <c:pt idx="2">
                  <c:v>24686</c:v>
                </c:pt>
                <c:pt idx="3">
                  <c:v>16439</c:v>
                </c:pt>
                <c:pt idx="4">
                  <c:v>15103</c:v>
                </c:pt>
                <c:pt idx="5">
                  <c:v>21478</c:v>
                </c:pt>
                <c:pt idx="6">
                  <c:v>13407</c:v>
                </c:pt>
                <c:pt idx="7">
                  <c:v>12008</c:v>
                </c:pt>
                <c:pt idx="8">
                  <c:v>12411</c:v>
                </c:pt>
                <c:pt idx="9">
                  <c:v>7651</c:v>
                </c:pt>
                <c:pt idx="10">
                  <c:v>10660</c:v>
                </c:pt>
                <c:pt idx="11">
                  <c:v>2282</c:v>
                </c:pt>
                <c:pt idx="12">
                  <c:v>6836</c:v>
                </c:pt>
                <c:pt idx="13">
                  <c:v>5776</c:v>
                </c:pt>
                <c:pt idx="14" formatCode="General">
                  <c:v>7231</c:v>
                </c:pt>
                <c:pt idx="15" formatCode="General">
                  <c:v>14896</c:v>
                </c:pt>
                <c:pt idx="16" formatCode="General">
                  <c:v>16872</c:v>
                </c:pt>
                <c:pt idx="17" formatCode="General">
                  <c:v>13407</c:v>
                </c:pt>
                <c:pt idx="18" formatCode="General">
                  <c:v>19336</c:v>
                </c:pt>
                <c:pt idx="19" formatCode="General">
                  <c:v>11150</c:v>
                </c:pt>
                <c:pt idx="20" formatCode="General">
                  <c:v>29637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3-4960-B055-5AFEC9A97409}"/>
            </c:ext>
          </c:extLst>
        </c:ser>
        <c:ser>
          <c:idx val="3"/>
          <c:order val="1"/>
          <c:tx>
            <c:strRef>
              <c:f>'[1]18.16'!$AC$40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E5C9AD"/>
            </a:solidFill>
          </c:spPr>
          <c:invertIfNegative val="0"/>
          <c:cat>
            <c:strRef>
              <c:f>'[1]18.16'!$W$41:$W$61</c:f>
              <c:strCache>
                <c:ptCount val="21"/>
                <c:pt idx="0">
                  <c:v>Male' </c:v>
                </c:pt>
                <c:pt idx="1">
                  <c:v> 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 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'[1]18.16'!$AC$41:$AC$61</c:f>
              <c:numCache>
                <c:formatCode>#,##0_);\(#,##0\)</c:formatCode>
                <c:ptCount val="21"/>
                <c:pt idx="0">
                  <c:v>61192</c:v>
                </c:pt>
                <c:pt idx="1">
                  <c:v>21255</c:v>
                </c:pt>
                <c:pt idx="2">
                  <c:v>25100</c:v>
                </c:pt>
                <c:pt idx="3">
                  <c:v>16879</c:v>
                </c:pt>
                <c:pt idx="4">
                  <c:v>15363</c:v>
                </c:pt>
                <c:pt idx="5">
                  <c:v>22095</c:v>
                </c:pt>
                <c:pt idx="6">
                  <c:v>13749</c:v>
                </c:pt>
                <c:pt idx="7">
                  <c:v>12292</c:v>
                </c:pt>
                <c:pt idx="8">
                  <c:v>12789</c:v>
                </c:pt>
                <c:pt idx="9">
                  <c:v>7881</c:v>
                </c:pt>
                <c:pt idx="10">
                  <c:v>10975</c:v>
                </c:pt>
                <c:pt idx="11">
                  <c:v>2337</c:v>
                </c:pt>
                <c:pt idx="12">
                  <c:v>6998</c:v>
                </c:pt>
                <c:pt idx="13">
                  <c:v>5981</c:v>
                </c:pt>
                <c:pt idx="14">
                  <c:v>7445</c:v>
                </c:pt>
                <c:pt idx="15">
                  <c:v>15185</c:v>
                </c:pt>
                <c:pt idx="16">
                  <c:v>17079</c:v>
                </c:pt>
                <c:pt idx="17">
                  <c:v>13784</c:v>
                </c:pt>
                <c:pt idx="18">
                  <c:v>19660</c:v>
                </c:pt>
                <c:pt idx="19">
                  <c:v>11506</c:v>
                </c:pt>
                <c:pt idx="20">
                  <c:v>30198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63-4960-B055-5AFEC9A97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77684016"/>
        <c:axId val="477685584"/>
      </c:barChart>
      <c:catAx>
        <c:axId val="4776840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77685584"/>
        <c:crosses val="autoZero"/>
        <c:auto val="1"/>
        <c:lblAlgn val="ctr"/>
        <c:lblOffset val="100"/>
        <c:noMultiLvlLbl val="0"/>
      </c:catAx>
      <c:valAx>
        <c:axId val="477685584"/>
        <c:scaling>
          <c:orientation val="minMax"/>
          <c:max val="70000"/>
        </c:scaling>
        <c:delete val="0"/>
        <c:axPos val="l"/>
        <c:majorGridlines>
          <c:spPr>
            <a:ln>
              <a:solidFill>
                <a:srgbClr val="DAB48E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47768401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8369560922212571"/>
          <c:y val="0.33544867771830139"/>
          <c:w val="0.20148038729209716"/>
          <c:h val="7.0243619270913826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942781</xdr:colOff>
      <xdr:row>33</xdr:row>
      <xdr:rowOff>27991</xdr:rowOff>
    </xdr:from>
    <xdr:to>
      <xdr:col>8</xdr:col>
      <xdr:colOff>660918</xdr:colOff>
      <xdr:row>49</xdr:row>
      <xdr:rowOff>113717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942781</xdr:colOff>
      <xdr:row>33</xdr:row>
      <xdr:rowOff>27991</xdr:rowOff>
    </xdr:from>
    <xdr:to>
      <xdr:col>9</xdr:col>
      <xdr:colOff>660918</xdr:colOff>
      <xdr:row>49</xdr:row>
      <xdr:rowOff>113717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0.00756</cdr:x>
      <cdr:y>0.11247</cdr:y>
    </cdr:from>
    <cdr:to>
      <cdr:x>0.17128</cdr:x>
      <cdr:y>0.17514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7149" y="379220"/>
          <a:ext cx="1238251" cy="2113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/>
            <a:t>Number of persons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0.00756</cdr:x>
      <cdr:y>0.11247</cdr:y>
    </cdr:from>
    <cdr:to>
      <cdr:x>0.17128</cdr:x>
      <cdr:y>0.17514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7149" y="379220"/>
          <a:ext cx="1238251" cy="2113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/>
            <a:t>Number of persons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20/SYB%202020%20_latest/YEARBOOK%202020_Final/FINAL/18.%20PENSION%20AND%20SOCIAL%20PROTECTION_%20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"/>
      <sheetName val="18.2"/>
      <sheetName val="18.3"/>
      <sheetName val="18.4"/>
      <sheetName val="18.5"/>
      <sheetName val="18.6"/>
      <sheetName val="18.7"/>
      <sheetName val="18.8"/>
      <sheetName val="18.9"/>
      <sheetName val="18.10"/>
      <sheetName val="18.11"/>
      <sheetName val="18.12"/>
      <sheetName val="18.13"/>
      <sheetName val="18.14"/>
      <sheetName val="18.15"/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0">
          <cell r="AB40">
            <v>2018</v>
          </cell>
          <cell r="AC40">
            <v>2019</v>
          </cell>
        </row>
        <row r="41">
          <cell r="W41" t="str">
            <v xml:space="preserve">Male' </v>
          </cell>
          <cell r="AB41">
            <v>57975</v>
          </cell>
          <cell r="AC41">
            <v>61192</v>
          </cell>
        </row>
        <row r="42">
          <cell r="W42" t="str">
            <v xml:space="preserve"> HA</v>
          </cell>
          <cell r="AB42">
            <v>20756</v>
          </cell>
          <cell r="AC42">
            <v>21255</v>
          </cell>
        </row>
        <row r="43">
          <cell r="W43" t="str">
            <v>HDh</v>
          </cell>
          <cell r="AB43">
            <v>24686</v>
          </cell>
          <cell r="AC43">
            <v>25100</v>
          </cell>
        </row>
        <row r="44">
          <cell r="W44" t="str">
            <v>Sh</v>
          </cell>
          <cell r="AB44">
            <v>16439</v>
          </cell>
          <cell r="AC44">
            <v>16879</v>
          </cell>
        </row>
        <row r="45">
          <cell r="W45" t="str">
            <v>N</v>
          </cell>
          <cell r="AB45">
            <v>15103</v>
          </cell>
          <cell r="AC45">
            <v>15363</v>
          </cell>
        </row>
        <row r="46">
          <cell r="W46" t="str">
            <v>R</v>
          </cell>
          <cell r="AB46">
            <v>21478</v>
          </cell>
          <cell r="AC46">
            <v>22095</v>
          </cell>
        </row>
        <row r="47">
          <cell r="W47" t="str">
            <v>B</v>
          </cell>
          <cell r="AB47">
            <v>13407</v>
          </cell>
          <cell r="AC47">
            <v>13749</v>
          </cell>
        </row>
        <row r="48">
          <cell r="W48" t="str">
            <v xml:space="preserve"> Lh</v>
          </cell>
          <cell r="AB48">
            <v>12008</v>
          </cell>
          <cell r="AC48">
            <v>12292</v>
          </cell>
        </row>
        <row r="49">
          <cell r="W49" t="str">
            <v>K</v>
          </cell>
          <cell r="AB49">
            <v>12411</v>
          </cell>
          <cell r="AC49">
            <v>12789</v>
          </cell>
        </row>
        <row r="50">
          <cell r="W50" t="str">
            <v>AA</v>
          </cell>
          <cell r="AB50">
            <v>7651</v>
          </cell>
          <cell r="AC50">
            <v>7881</v>
          </cell>
        </row>
        <row r="51">
          <cell r="W51" t="str">
            <v>ADh</v>
          </cell>
          <cell r="AB51">
            <v>10660</v>
          </cell>
          <cell r="AC51">
            <v>10975</v>
          </cell>
        </row>
        <row r="52">
          <cell r="W52" t="str">
            <v>V</v>
          </cell>
          <cell r="AB52">
            <v>2282</v>
          </cell>
          <cell r="AC52">
            <v>2337</v>
          </cell>
        </row>
        <row r="53">
          <cell r="W53" t="str">
            <v>M</v>
          </cell>
          <cell r="AB53">
            <v>6836</v>
          </cell>
          <cell r="AC53">
            <v>6998</v>
          </cell>
        </row>
        <row r="54">
          <cell r="W54" t="str">
            <v>F</v>
          </cell>
          <cell r="AB54">
            <v>5776</v>
          </cell>
          <cell r="AC54">
            <v>5981</v>
          </cell>
        </row>
        <row r="55">
          <cell r="W55" t="str">
            <v>Dh</v>
          </cell>
          <cell r="AB55">
            <v>7231</v>
          </cell>
          <cell r="AC55">
            <v>7445</v>
          </cell>
        </row>
        <row r="56">
          <cell r="W56" t="str">
            <v>Th</v>
          </cell>
          <cell r="AB56">
            <v>14896</v>
          </cell>
          <cell r="AC56">
            <v>15185</v>
          </cell>
        </row>
        <row r="57">
          <cell r="W57" t="str">
            <v>L</v>
          </cell>
          <cell r="AB57">
            <v>16872</v>
          </cell>
          <cell r="AC57">
            <v>17079</v>
          </cell>
        </row>
        <row r="58">
          <cell r="W58" t="str">
            <v>GA</v>
          </cell>
          <cell r="AB58">
            <v>13407</v>
          </cell>
          <cell r="AC58">
            <v>13784</v>
          </cell>
        </row>
        <row r="59">
          <cell r="W59" t="str">
            <v>GDh</v>
          </cell>
          <cell r="AB59">
            <v>19336</v>
          </cell>
          <cell r="AC59">
            <v>19660</v>
          </cell>
        </row>
        <row r="60">
          <cell r="W60" t="str">
            <v>Gn</v>
          </cell>
          <cell r="AB60">
            <v>11150</v>
          </cell>
          <cell r="AC60">
            <v>11506</v>
          </cell>
        </row>
        <row r="61">
          <cell r="W61" t="str">
            <v>S</v>
          </cell>
          <cell r="AB61">
            <v>29637</v>
          </cell>
          <cell r="AC61">
            <v>30198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V70"/>
  <sheetViews>
    <sheetView tabSelected="1" zoomScale="98" zoomScaleNormal="98" workbookViewId="0">
      <selection activeCell="O24" sqref="O24"/>
    </sheetView>
  </sheetViews>
  <sheetFormatPr defaultColWidth="12.140625" defaultRowHeight="15" x14ac:dyDescent="0.25"/>
  <cols>
    <col min="1" max="1" width="30.85546875" style="21" customWidth="1"/>
    <col min="2" max="8" width="12.140625" style="21"/>
    <col min="9" max="9" width="16.140625" style="33" customWidth="1"/>
    <col min="10" max="10" width="21.42578125" style="33" customWidth="1"/>
    <col min="11" max="11" width="26.5703125" style="21" customWidth="1"/>
    <col min="12" max="16384" width="12.140625" style="21"/>
  </cols>
  <sheetData>
    <row r="1" spans="1:15" s="2" customFormat="1" ht="21" x14ac:dyDescent="0.2">
      <c r="A1" s="78" t="s">
        <v>92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15" s="2" customFormat="1" x14ac:dyDescent="0.2">
      <c r="A2" s="79" t="s">
        <v>93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5" s="3" customFormat="1" x14ac:dyDescent="0.2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</row>
    <row r="4" spans="1:15" s="4" customFormat="1" ht="25.5" customHeight="1" x14ac:dyDescent="0.45">
      <c r="A4" s="80" t="s">
        <v>0</v>
      </c>
      <c r="B4" s="116" t="s">
        <v>94</v>
      </c>
      <c r="C4" s="83" t="s">
        <v>1</v>
      </c>
      <c r="D4" s="85" t="s">
        <v>2</v>
      </c>
      <c r="E4" s="86"/>
      <c r="F4" s="89" t="s">
        <v>3</v>
      </c>
      <c r="G4" s="90"/>
      <c r="H4" s="93" t="s">
        <v>4</v>
      </c>
      <c r="I4" s="95" t="s">
        <v>5</v>
      </c>
      <c r="J4" s="97" t="s">
        <v>6</v>
      </c>
      <c r="K4" s="99" t="s">
        <v>7</v>
      </c>
    </row>
    <row r="5" spans="1:15" s="4" customFormat="1" ht="31.5" customHeight="1" x14ac:dyDescent="0.45">
      <c r="A5" s="81"/>
      <c r="B5" s="117"/>
      <c r="C5" s="84"/>
      <c r="D5" s="87"/>
      <c r="E5" s="88"/>
      <c r="F5" s="91"/>
      <c r="G5" s="92"/>
      <c r="H5" s="94"/>
      <c r="I5" s="96"/>
      <c r="J5" s="98"/>
      <c r="K5" s="100"/>
    </row>
    <row r="6" spans="1:15" s="5" customFormat="1" ht="36" x14ac:dyDescent="0.25">
      <c r="A6" s="81"/>
      <c r="B6" s="117"/>
      <c r="C6" s="43" t="s">
        <v>8</v>
      </c>
      <c r="D6" s="102" t="s">
        <v>9</v>
      </c>
      <c r="E6" s="103"/>
      <c r="F6" s="102" t="s">
        <v>71</v>
      </c>
      <c r="G6" s="103"/>
      <c r="H6" s="106" t="s">
        <v>10</v>
      </c>
      <c r="I6" s="104" t="s">
        <v>69</v>
      </c>
      <c r="J6" s="105" t="s">
        <v>70</v>
      </c>
      <c r="K6" s="100"/>
      <c r="M6" s="50"/>
      <c r="N6" s="1"/>
      <c r="O6" s="105"/>
    </row>
    <row r="7" spans="1:15" s="8" customFormat="1" ht="18" x14ac:dyDescent="0.25">
      <c r="A7" s="81"/>
      <c r="B7" s="117"/>
      <c r="C7" s="44" t="s">
        <v>11</v>
      </c>
      <c r="D7" s="6" t="s">
        <v>12</v>
      </c>
      <c r="E7" s="7" t="s">
        <v>13</v>
      </c>
      <c r="F7" s="6" t="s">
        <v>12</v>
      </c>
      <c r="G7" s="7" t="s">
        <v>14</v>
      </c>
      <c r="H7" s="107"/>
      <c r="I7" s="104"/>
      <c r="J7" s="105"/>
      <c r="K7" s="100"/>
      <c r="M7" s="50"/>
      <c r="N7" s="1"/>
      <c r="O7" s="105"/>
    </row>
    <row r="8" spans="1:15" s="13" customFormat="1" ht="18.75" x14ac:dyDescent="0.25">
      <c r="A8" s="82"/>
      <c r="B8" s="118"/>
      <c r="C8" s="45" t="s">
        <v>15</v>
      </c>
      <c r="D8" s="9" t="s">
        <v>16</v>
      </c>
      <c r="E8" s="10" t="s">
        <v>17</v>
      </c>
      <c r="F8" s="9" t="s">
        <v>18</v>
      </c>
      <c r="G8" s="10" t="s">
        <v>17</v>
      </c>
      <c r="H8" s="108"/>
      <c r="I8" s="11"/>
      <c r="J8" s="12"/>
      <c r="K8" s="101"/>
      <c r="M8" s="50"/>
    </row>
    <row r="9" spans="1:15" s="16" customFormat="1" ht="18.75" x14ac:dyDescent="0.25">
      <c r="A9" s="14" t="s">
        <v>19</v>
      </c>
      <c r="B9" s="119">
        <f>SUM(C9:J9)</f>
        <v>369638</v>
      </c>
      <c r="C9" s="70">
        <f>SUM(C10:C11)</f>
        <v>349743</v>
      </c>
      <c r="D9" s="120">
        <f>SUM(D10:D11)</f>
        <v>2501</v>
      </c>
      <c r="E9" s="121">
        <f t="shared" ref="E9:J9" si="0">SUM(E10:E11)</f>
        <v>4233</v>
      </c>
      <c r="F9" s="122">
        <f t="shared" si="0"/>
        <v>105</v>
      </c>
      <c r="G9" s="123">
        <f t="shared" si="0"/>
        <v>142</v>
      </c>
      <c r="H9" s="120">
        <f t="shared" si="0"/>
        <v>3943</v>
      </c>
      <c r="I9" s="73">
        <f>SUM(I10:I11)</f>
        <v>8476</v>
      </c>
      <c r="J9" s="124">
        <f t="shared" si="0"/>
        <v>495</v>
      </c>
      <c r="K9" s="15" t="s">
        <v>20</v>
      </c>
      <c r="M9" s="123"/>
    </row>
    <row r="10" spans="1:15" s="18" customFormat="1" ht="18.75" x14ac:dyDescent="0.25">
      <c r="A10" s="17" t="s">
        <v>21</v>
      </c>
      <c r="B10" s="123">
        <f t="shared" ref="B10:B31" si="1">SUM(C10:J10)</f>
        <v>66295</v>
      </c>
      <c r="C10" s="47">
        <v>61192</v>
      </c>
      <c r="D10" s="51">
        <v>700</v>
      </c>
      <c r="E10" s="51">
        <v>1068</v>
      </c>
      <c r="F10" s="51">
        <v>21</v>
      </c>
      <c r="G10" s="52">
        <v>25</v>
      </c>
      <c r="H10" s="53">
        <v>542</v>
      </c>
      <c r="I10" s="73">
        <v>2568</v>
      </c>
      <c r="J10" s="54">
        <v>179</v>
      </c>
      <c r="K10" s="15" t="s">
        <v>22</v>
      </c>
    </row>
    <row r="11" spans="1:15" s="16" customFormat="1" ht="18.75" x14ac:dyDescent="0.25">
      <c r="A11" s="14" t="s">
        <v>23</v>
      </c>
      <c r="B11" s="123">
        <f t="shared" si="1"/>
        <v>303343</v>
      </c>
      <c r="C11" s="125">
        <f>SUM(C12:C31)</f>
        <v>288551</v>
      </c>
      <c r="D11" s="120">
        <f t="shared" ref="D11:J11" si="2">SUM(D12:D31)</f>
        <v>1801</v>
      </c>
      <c r="E11" s="126">
        <f t="shared" si="2"/>
        <v>3165</v>
      </c>
      <c r="F11" s="127">
        <f t="shared" si="2"/>
        <v>84</v>
      </c>
      <c r="G11" s="125">
        <f t="shared" si="2"/>
        <v>117</v>
      </c>
      <c r="H11" s="53">
        <f t="shared" si="2"/>
        <v>3401</v>
      </c>
      <c r="I11" s="73">
        <f t="shared" si="2"/>
        <v>5908</v>
      </c>
      <c r="J11" s="54">
        <f t="shared" si="2"/>
        <v>316</v>
      </c>
      <c r="K11" s="15" t="s">
        <v>24</v>
      </c>
      <c r="N11" s="55"/>
    </row>
    <row r="12" spans="1:15" s="16" customFormat="1" ht="15.75" x14ac:dyDescent="0.25">
      <c r="A12" s="19" t="s">
        <v>25</v>
      </c>
      <c r="B12" s="123">
        <f t="shared" si="1"/>
        <v>22423</v>
      </c>
      <c r="C12" s="48">
        <v>21255</v>
      </c>
      <c r="D12" s="56">
        <v>91</v>
      </c>
      <c r="E12" s="57">
        <v>148</v>
      </c>
      <c r="F12" s="56">
        <v>2</v>
      </c>
      <c r="G12" s="57">
        <v>2</v>
      </c>
      <c r="H12" s="56">
        <v>466</v>
      </c>
      <c r="I12" s="58">
        <v>435</v>
      </c>
      <c r="J12" s="59">
        <v>24</v>
      </c>
      <c r="K12" s="71" t="s">
        <v>26</v>
      </c>
      <c r="N12" s="55"/>
    </row>
    <row r="13" spans="1:15" s="16" customFormat="1" ht="15.75" x14ac:dyDescent="0.25">
      <c r="A13" s="19" t="s">
        <v>27</v>
      </c>
      <c r="B13" s="123">
        <f t="shared" si="1"/>
        <v>26533</v>
      </c>
      <c r="C13" s="48">
        <v>25100</v>
      </c>
      <c r="D13" s="56">
        <v>201</v>
      </c>
      <c r="E13" s="57">
        <v>367</v>
      </c>
      <c r="F13" s="56">
        <v>6</v>
      </c>
      <c r="G13" s="57">
        <v>7</v>
      </c>
      <c r="H13" s="56">
        <v>215</v>
      </c>
      <c r="I13" s="58">
        <v>591</v>
      </c>
      <c r="J13" s="60">
        <v>46</v>
      </c>
      <c r="K13" s="71" t="s">
        <v>28</v>
      </c>
      <c r="N13" s="55"/>
    </row>
    <row r="14" spans="1:15" s="16" customFormat="1" ht="15.75" x14ac:dyDescent="0.25">
      <c r="A14" s="19" t="s">
        <v>29</v>
      </c>
      <c r="B14" s="123">
        <f t="shared" si="1"/>
        <v>17660</v>
      </c>
      <c r="C14" s="48">
        <v>16879</v>
      </c>
      <c r="D14" s="56">
        <v>64</v>
      </c>
      <c r="E14" s="57">
        <v>102</v>
      </c>
      <c r="F14" s="56">
        <v>0</v>
      </c>
      <c r="G14" s="57">
        <v>0</v>
      </c>
      <c r="H14" s="56">
        <v>207</v>
      </c>
      <c r="I14" s="58">
        <v>402</v>
      </c>
      <c r="J14" s="60">
        <v>6</v>
      </c>
      <c r="K14" s="71" t="s">
        <v>30</v>
      </c>
      <c r="N14" s="55"/>
    </row>
    <row r="15" spans="1:15" s="16" customFormat="1" ht="15.75" x14ac:dyDescent="0.25">
      <c r="A15" s="19" t="s">
        <v>31</v>
      </c>
      <c r="B15" s="123">
        <f t="shared" si="1"/>
        <v>16057</v>
      </c>
      <c r="C15" s="48">
        <v>15363</v>
      </c>
      <c r="D15" s="56">
        <v>111</v>
      </c>
      <c r="E15" s="57">
        <v>193</v>
      </c>
      <c r="F15" s="56">
        <v>5</v>
      </c>
      <c r="G15" s="57">
        <v>7</v>
      </c>
      <c r="H15" s="56">
        <v>151</v>
      </c>
      <c r="I15" s="58">
        <v>220</v>
      </c>
      <c r="J15" s="59">
        <v>7</v>
      </c>
      <c r="K15" s="71" t="s">
        <v>32</v>
      </c>
      <c r="N15" s="55"/>
    </row>
    <row r="16" spans="1:15" s="16" customFormat="1" ht="15.75" x14ac:dyDescent="0.25">
      <c r="A16" s="19" t="s">
        <v>33</v>
      </c>
      <c r="B16" s="123">
        <f t="shared" si="1"/>
        <v>23122</v>
      </c>
      <c r="C16" s="48">
        <v>22095</v>
      </c>
      <c r="D16" s="56">
        <v>118</v>
      </c>
      <c r="E16" s="57">
        <v>217</v>
      </c>
      <c r="F16" s="56">
        <v>4</v>
      </c>
      <c r="G16" s="57">
        <v>7</v>
      </c>
      <c r="H16" s="56">
        <v>285</v>
      </c>
      <c r="I16" s="58">
        <v>386</v>
      </c>
      <c r="J16" s="60">
        <v>10</v>
      </c>
      <c r="K16" s="71" t="s">
        <v>34</v>
      </c>
      <c r="N16" s="55"/>
    </row>
    <row r="17" spans="1:256" s="16" customFormat="1" ht="15.75" x14ac:dyDescent="0.25">
      <c r="A17" s="19" t="s">
        <v>35</v>
      </c>
      <c r="B17" s="123">
        <f t="shared" si="1"/>
        <v>14261</v>
      </c>
      <c r="C17" s="48">
        <v>13749</v>
      </c>
      <c r="D17" s="56">
        <v>64</v>
      </c>
      <c r="E17" s="57">
        <v>104</v>
      </c>
      <c r="F17" s="56">
        <v>3</v>
      </c>
      <c r="G17" s="57">
        <v>3</v>
      </c>
      <c r="H17" s="56">
        <v>90</v>
      </c>
      <c r="I17" s="58">
        <v>236</v>
      </c>
      <c r="J17" s="60">
        <v>12</v>
      </c>
      <c r="K17" s="71" t="s">
        <v>36</v>
      </c>
      <c r="N17" s="55"/>
    </row>
    <row r="18" spans="1:256" s="16" customFormat="1" ht="18.75" customHeight="1" x14ac:dyDescent="0.25">
      <c r="A18" s="19" t="s">
        <v>37</v>
      </c>
      <c r="B18" s="123">
        <f t="shared" si="1"/>
        <v>13039</v>
      </c>
      <c r="C18" s="48">
        <v>12292</v>
      </c>
      <c r="D18" s="56">
        <v>105</v>
      </c>
      <c r="E18" s="57">
        <v>154</v>
      </c>
      <c r="F18" s="56">
        <v>4</v>
      </c>
      <c r="G18" s="57">
        <v>4</v>
      </c>
      <c r="H18" s="56">
        <v>197</v>
      </c>
      <c r="I18" s="58">
        <v>271</v>
      </c>
      <c r="J18" s="59">
        <v>12</v>
      </c>
      <c r="K18" s="71" t="s">
        <v>38</v>
      </c>
    </row>
    <row r="19" spans="1:256" s="16" customFormat="1" ht="18.75" customHeight="1" x14ac:dyDescent="0.25">
      <c r="A19" s="19" t="s">
        <v>39</v>
      </c>
      <c r="B19" s="123">
        <f t="shared" si="1"/>
        <v>13431</v>
      </c>
      <c r="C19" s="48">
        <v>12789</v>
      </c>
      <c r="D19" s="56">
        <v>86</v>
      </c>
      <c r="E19" s="57">
        <v>147</v>
      </c>
      <c r="F19" s="56">
        <v>3</v>
      </c>
      <c r="G19" s="57">
        <v>3</v>
      </c>
      <c r="H19" s="56">
        <v>127</v>
      </c>
      <c r="I19" s="58">
        <v>276</v>
      </c>
      <c r="J19" s="60">
        <v>0</v>
      </c>
      <c r="K19" s="71" t="s">
        <v>40</v>
      </c>
    </row>
    <row r="20" spans="1:256" s="16" customFormat="1" ht="18.75" customHeight="1" x14ac:dyDescent="0.25">
      <c r="A20" s="19" t="s">
        <v>41</v>
      </c>
      <c r="B20" s="123">
        <f t="shared" si="1"/>
        <v>8288</v>
      </c>
      <c r="C20" s="48">
        <v>7881</v>
      </c>
      <c r="D20" s="56">
        <v>42</v>
      </c>
      <c r="E20" s="57">
        <v>70</v>
      </c>
      <c r="F20" s="56">
        <v>0</v>
      </c>
      <c r="G20" s="57">
        <v>0</v>
      </c>
      <c r="H20" s="56">
        <v>139</v>
      </c>
      <c r="I20" s="58">
        <v>150</v>
      </c>
      <c r="J20" s="61">
        <v>6</v>
      </c>
      <c r="K20" s="71" t="s">
        <v>42</v>
      </c>
      <c r="Z20" s="21"/>
      <c r="AA20" s="128"/>
    </row>
    <row r="21" spans="1:256" s="16" customFormat="1" ht="15.75" x14ac:dyDescent="0.25">
      <c r="A21" s="19" t="s">
        <v>43</v>
      </c>
      <c r="B21" s="123">
        <f t="shared" si="1"/>
        <v>11401</v>
      </c>
      <c r="C21" s="48">
        <v>10975</v>
      </c>
      <c r="D21" s="56">
        <v>29</v>
      </c>
      <c r="E21" s="57">
        <v>53</v>
      </c>
      <c r="F21" s="56">
        <v>5</v>
      </c>
      <c r="G21" s="57">
        <v>5</v>
      </c>
      <c r="H21" s="56">
        <v>81</v>
      </c>
      <c r="I21" s="58">
        <v>253</v>
      </c>
      <c r="J21" s="59">
        <v>0</v>
      </c>
      <c r="K21" s="71" t="s">
        <v>44</v>
      </c>
      <c r="Z21" s="21"/>
      <c r="AA21" s="128"/>
    </row>
    <row r="22" spans="1:256" s="16" customFormat="1" ht="18.75" customHeight="1" x14ac:dyDescent="0.25">
      <c r="A22" s="19" t="s">
        <v>45</v>
      </c>
      <c r="B22" s="123">
        <f t="shared" si="1"/>
        <v>2424</v>
      </c>
      <c r="C22" s="48">
        <v>2337</v>
      </c>
      <c r="D22" s="56">
        <v>7</v>
      </c>
      <c r="E22" s="57">
        <v>15</v>
      </c>
      <c r="F22" s="56">
        <v>2</v>
      </c>
      <c r="G22" s="57">
        <v>4</v>
      </c>
      <c r="H22" s="56">
        <v>26</v>
      </c>
      <c r="I22" s="58">
        <v>33</v>
      </c>
      <c r="J22" s="62">
        <v>0</v>
      </c>
      <c r="K22" s="71" t="s">
        <v>46</v>
      </c>
      <c r="Z22" s="22"/>
      <c r="AA22" s="70"/>
    </row>
    <row r="23" spans="1:256" s="16" customFormat="1" ht="13.15" customHeight="1" x14ac:dyDescent="0.25">
      <c r="A23" s="19" t="s">
        <v>47</v>
      </c>
      <c r="B23" s="123">
        <f t="shared" si="1"/>
        <v>7268</v>
      </c>
      <c r="C23" s="48">
        <v>6998</v>
      </c>
      <c r="D23" s="56">
        <v>28</v>
      </c>
      <c r="E23" s="57">
        <v>49</v>
      </c>
      <c r="F23" s="56">
        <v>4</v>
      </c>
      <c r="G23" s="57">
        <v>3</v>
      </c>
      <c r="H23" s="56">
        <v>69</v>
      </c>
      <c r="I23" s="58">
        <v>112</v>
      </c>
      <c r="J23" s="61">
        <v>5</v>
      </c>
      <c r="K23" s="71" t="s">
        <v>48</v>
      </c>
      <c r="Z23" s="19"/>
      <c r="AA23" s="63"/>
    </row>
    <row r="24" spans="1:256" s="16" customFormat="1" ht="18.75" customHeight="1" x14ac:dyDescent="0.25">
      <c r="A24" s="19" t="s">
        <v>49</v>
      </c>
      <c r="B24" s="123">
        <f t="shared" si="1"/>
        <v>6244</v>
      </c>
      <c r="C24" s="48">
        <v>5981</v>
      </c>
      <c r="D24" s="56">
        <v>21</v>
      </c>
      <c r="E24" s="57">
        <v>37</v>
      </c>
      <c r="F24" s="56">
        <v>2</v>
      </c>
      <c r="G24" s="57">
        <v>3</v>
      </c>
      <c r="H24" s="56">
        <v>74</v>
      </c>
      <c r="I24" s="58">
        <v>120</v>
      </c>
      <c r="J24" s="59">
        <v>6</v>
      </c>
      <c r="K24" s="71" t="s">
        <v>50</v>
      </c>
      <c r="Z24" s="19"/>
      <c r="AA24" s="63"/>
    </row>
    <row r="25" spans="1:256" s="16" customFormat="1" ht="18.75" customHeight="1" x14ac:dyDescent="0.25">
      <c r="A25" s="19" t="s">
        <v>51</v>
      </c>
      <c r="B25" s="123">
        <f t="shared" si="1"/>
        <v>7779</v>
      </c>
      <c r="C25" s="48">
        <v>7445</v>
      </c>
      <c r="D25" s="56">
        <v>39</v>
      </c>
      <c r="E25" s="57">
        <v>62</v>
      </c>
      <c r="F25" s="56">
        <v>1</v>
      </c>
      <c r="G25" s="57">
        <v>1</v>
      </c>
      <c r="H25" s="56">
        <v>97</v>
      </c>
      <c r="I25" s="58">
        <v>127</v>
      </c>
      <c r="J25" s="62">
        <v>7</v>
      </c>
      <c r="K25" s="71" t="s">
        <v>52</v>
      </c>
      <c r="Z25" s="19"/>
      <c r="AA25" s="63"/>
    </row>
    <row r="26" spans="1:256" s="16" customFormat="1" ht="18.75" customHeight="1" x14ac:dyDescent="0.25">
      <c r="A26" s="19" t="s">
        <v>53</v>
      </c>
      <c r="B26" s="123">
        <f t="shared" si="1"/>
        <v>15828</v>
      </c>
      <c r="C26" s="48">
        <v>15185</v>
      </c>
      <c r="D26" s="56">
        <v>82</v>
      </c>
      <c r="E26" s="57">
        <v>158</v>
      </c>
      <c r="F26" s="56">
        <v>4</v>
      </c>
      <c r="G26" s="57">
        <v>3</v>
      </c>
      <c r="H26" s="56">
        <v>148</v>
      </c>
      <c r="I26" s="58">
        <v>231</v>
      </c>
      <c r="J26" s="61">
        <v>17</v>
      </c>
      <c r="K26" s="71" t="s">
        <v>54</v>
      </c>
      <c r="Z26" s="19"/>
      <c r="AA26" s="63"/>
    </row>
    <row r="27" spans="1:256" s="24" customFormat="1" ht="18.75" customHeight="1" x14ac:dyDescent="0.25">
      <c r="A27" s="23" t="s">
        <v>55</v>
      </c>
      <c r="B27" s="123">
        <f t="shared" si="1"/>
        <v>18080</v>
      </c>
      <c r="C27" s="48">
        <v>17079</v>
      </c>
      <c r="D27" s="56">
        <v>166</v>
      </c>
      <c r="E27" s="57">
        <v>279</v>
      </c>
      <c r="F27" s="56">
        <v>6</v>
      </c>
      <c r="G27" s="57">
        <v>12</v>
      </c>
      <c r="H27" s="56">
        <v>197</v>
      </c>
      <c r="I27" s="58">
        <v>338</v>
      </c>
      <c r="J27" s="59">
        <v>3</v>
      </c>
      <c r="K27" s="71" t="s">
        <v>56</v>
      </c>
      <c r="Z27" s="19"/>
      <c r="AA27" s="63"/>
    </row>
    <row r="28" spans="1:256" s="25" customFormat="1" ht="18.75" customHeight="1" x14ac:dyDescent="0.25">
      <c r="A28" s="19" t="s">
        <v>57</v>
      </c>
      <c r="B28" s="123">
        <f t="shared" si="1"/>
        <v>14742</v>
      </c>
      <c r="C28" s="48">
        <v>13784</v>
      </c>
      <c r="D28" s="56">
        <v>74</v>
      </c>
      <c r="E28" s="57">
        <v>150</v>
      </c>
      <c r="F28" s="56">
        <v>6</v>
      </c>
      <c r="G28" s="57">
        <v>6</v>
      </c>
      <c r="H28" s="56">
        <v>281</v>
      </c>
      <c r="I28" s="58">
        <v>341</v>
      </c>
      <c r="J28" s="62">
        <v>100</v>
      </c>
      <c r="K28" s="71" t="s">
        <v>58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9"/>
      <c r="AA28" s="63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</row>
    <row r="29" spans="1:256" s="26" customFormat="1" ht="18.75" customHeight="1" x14ac:dyDescent="0.25">
      <c r="A29" s="23" t="s">
        <v>59</v>
      </c>
      <c r="B29" s="123">
        <f t="shared" si="1"/>
        <v>20795</v>
      </c>
      <c r="C29" s="48">
        <v>19660</v>
      </c>
      <c r="D29" s="56">
        <v>138</v>
      </c>
      <c r="E29" s="57">
        <v>268</v>
      </c>
      <c r="F29" s="56">
        <v>11</v>
      </c>
      <c r="G29" s="63">
        <v>24</v>
      </c>
      <c r="H29" s="56">
        <v>237</v>
      </c>
      <c r="I29" s="58">
        <v>434</v>
      </c>
      <c r="J29" s="61">
        <v>23</v>
      </c>
      <c r="K29" s="71" t="s">
        <v>60</v>
      </c>
      <c r="Z29" s="19"/>
      <c r="AA29" s="63"/>
    </row>
    <row r="30" spans="1:256" s="25" customFormat="1" ht="18.75" customHeight="1" x14ac:dyDescent="0.25">
      <c r="A30" s="23" t="s">
        <v>61</v>
      </c>
      <c r="B30" s="123">
        <f t="shared" si="1"/>
        <v>12302</v>
      </c>
      <c r="C30" s="48">
        <v>11506</v>
      </c>
      <c r="D30" s="56">
        <v>114</v>
      </c>
      <c r="E30" s="57">
        <v>205</v>
      </c>
      <c r="F30" s="56">
        <v>10</v>
      </c>
      <c r="G30" s="64">
        <v>16</v>
      </c>
      <c r="H30" s="56">
        <v>103</v>
      </c>
      <c r="I30" s="58">
        <v>319</v>
      </c>
      <c r="J30" s="59">
        <v>29</v>
      </c>
      <c r="K30" s="71" t="s">
        <v>62</v>
      </c>
      <c r="Z30" s="19"/>
      <c r="AA30" s="63"/>
    </row>
    <row r="31" spans="1:256" s="25" customFormat="1" ht="18.75" customHeight="1" x14ac:dyDescent="0.25">
      <c r="A31" s="27" t="s">
        <v>63</v>
      </c>
      <c r="B31" s="129">
        <f t="shared" si="1"/>
        <v>31666</v>
      </c>
      <c r="C31" s="130">
        <v>30198</v>
      </c>
      <c r="D31" s="65">
        <v>221</v>
      </c>
      <c r="E31" s="65">
        <v>387</v>
      </c>
      <c r="F31" s="65">
        <v>6</v>
      </c>
      <c r="G31" s="66">
        <v>7</v>
      </c>
      <c r="H31" s="65">
        <v>211</v>
      </c>
      <c r="I31" s="67">
        <v>633</v>
      </c>
      <c r="J31" s="68">
        <v>3</v>
      </c>
      <c r="K31" s="72" t="s">
        <v>64</v>
      </c>
      <c r="Z31" s="19"/>
      <c r="AA31" s="63"/>
    </row>
    <row r="32" spans="1:256" s="29" customFormat="1" ht="17.25" customHeight="1" x14ac:dyDescent="0.2">
      <c r="A32" s="28" t="s">
        <v>65</v>
      </c>
      <c r="B32" s="28"/>
      <c r="I32" s="30"/>
      <c r="J32" s="30"/>
      <c r="Z32" s="19"/>
      <c r="AA32" s="63"/>
    </row>
    <row r="33" spans="1:29" s="29" customFormat="1" ht="17.25" x14ac:dyDescent="0.2">
      <c r="A33" s="31" t="s">
        <v>66</v>
      </c>
      <c r="B33" s="31"/>
      <c r="G33" s="29" t="s">
        <v>67</v>
      </c>
      <c r="I33" s="30"/>
      <c r="J33" s="30"/>
      <c r="K33" s="32" t="s">
        <v>68</v>
      </c>
      <c r="Z33" s="19"/>
      <c r="AA33" s="63"/>
    </row>
    <row r="34" spans="1:29" x14ac:dyDescent="0.25">
      <c r="Z34" s="19"/>
      <c r="AA34" s="63"/>
    </row>
    <row r="35" spans="1:29" x14ac:dyDescent="0.25">
      <c r="A35" s="34"/>
      <c r="B35" s="34"/>
      <c r="C35" s="34"/>
      <c r="D35" s="34"/>
      <c r="E35" s="34"/>
      <c r="F35" s="34"/>
      <c r="G35" s="34"/>
      <c r="H35" s="34"/>
      <c r="I35" s="35"/>
      <c r="J35" s="35"/>
      <c r="K35" s="34"/>
      <c r="Z35" s="19"/>
      <c r="AA35" s="63"/>
    </row>
    <row r="36" spans="1:29" ht="17.25" x14ac:dyDescent="0.25">
      <c r="A36" s="31"/>
      <c r="B36" s="31"/>
      <c r="C36" s="34"/>
      <c r="D36" s="34"/>
      <c r="E36" s="34"/>
      <c r="F36" s="34"/>
      <c r="G36" s="34"/>
      <c r="H36" s="34"/>
      <c r="I36" s="35"/>
      <c r="J36" s="35"/>
      <c r="K36" s="36"/>
      <c r="Z36" s="19"/>
      <c r="AA36" s="63"/>
    </row>
    <row r="37" spans="1:29" s="37" customFormat="1" ht="21" x14ac:dyDescent="0.2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</row>
    <row r="38" spans="1:29" s="38" customFormat="1" x14ac:dyDescent="0.2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</row>
    <row r="39" spans="1:29" s="2" customFormat="1" x14ac:dyDescent="0.2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W39" s="38"/>
      <c r="X39" s="38"/>
      <c r="Y39" s="38"/>
      <c r="Z39" s="38"/>
      <c r="AA39" s="38"/>
      <c r="AB39" s="38"/>
      <c r="AC39" s="38"/>
    </row>
    <row r="40" spans="1:29" s="4" customFormat="1" ht="18" x14ac:dyDescent="0.45">
      <c r="A40" s="81"/>
      <c r="B40" s="76"/>
      <c r="C40" s="111"/>
      <c r="D40" s="111"/>
      <c r="E40" s="111"/>
      <c r="F40" s="112"/>
      <c r="G40" s="112"/>
      <c r="H40" s="113"/>
      <c r="I40" s="114"/>
      <c r="J40" s="77"/>
      <c r="K40" s="115"/>
      <c r="W40" s="21"/>
      <c r="X40" s="69">
        <v>2014</v>
      </c>
      <c r="Y40" s="16">
        <v>2015</v>
      </c>
      <c r="Z40" s="69">
        <v>2016</v>
      </c>
      <c r="AA40" s="16">
        <v>2017</v>
      </c>
      <c r="AB40" s="69">
        <v>2018</v>
      </c>
      <c r="AC40" s="16">
        <v>2019</v>
      </c>
    </row>
    <row r="41" spans="1:29" s="4" customFormat="1" ht="18" x14ac:dyDescent="0.45">
      <c r="A41" s="81"/>
      <c r="B41" s="76"/>
      <c r="C41" s="111"/>
      <c r="D41" s="111"/>
      <c r="E41" s="111"/>
      <c r="F41" s="112"/>
      <c r="G41" s="112"/>
      <c r="H41" s="113"/>
      <c r="I41" s="114"/>
      <c r="J41" s="77"/>
      <c r="K41" s="115"/>
      <c r="W41" s="22" t="s">
        <v>21</v>
      </c>
      <c r="X41" s="70">
        <v>49489</v>
      </c>
      <c r="Y41" s="16">
        <v>52253</v>
      </c>
      <c r="Z41" s="16">
        <v>54165</v>
      </c>
      <c r="AA41" s="16">
        <v>55899</v>
      </c>
      <c r="AB41" s="4">
        <v>57975</v>
      </c>
      <c r="AC41" s="46">
        <f>C10</f>
        <v>61192</v>
      </c>
    </row>
    <row r="42" spans="1:29" s="5" customFormat="1" ht="18" x14ac:dyDescent="0.45">
      <c r="A42" s="81"/>
      <c r="B42" s="76"/>
      <c r="C42" s="74"/>
      <c r="D42" s="105"/>
      <c r="E42" s="105"/>
      <c r="F42" s="105"/>
      <c r="G42" s="105"/>
      <c r="H42" s="109"/>
      <c r="I42" s="105"/>
      <c r="J42" s="74"/>
      <c r="K42" s="115"/>
      <c r="W42" s="19" t="s">
        <v>72</v>
      </c>
      <c r="X42" s="63">
        <v>18659</v>
      </c>
      <c r="Y42" s="16">
        <v>19492</v>
      </c>
      <c r="Z42" s="16">
        <v>19947</v>
      </c>
      <c r="AA42" s="16">
        <v>20287</v>
      </c>
      <c r="AB42" s="5">
        <v>20756</v>
      </c>
      <c r="AC42" s="46">
        <f>C12</f>
        <v>21255</v>
      </c>
    </row>
    <row r="43" spans="1:29" s="8" customFormat="1" ht="18" x14ac:dyDescent="0.45">
      <c r="A43" s="81"/>
      <c r="B43" s="76"/>
      <c r="C43" s="49"/>
      <c r="D43" s="49"/>
      <c r="E43" s="49"/>
      <c r="F43" s="49"/>
      <c r="G43" s="49"/>
      <c r="H43" s="109"/>
      <c r="I43" s="105"/>
      <c r="J43" s="74"/>
      <c r="K43" s="115"/>
      <c r="W43" s="19" t="s">
        <v>73</v>
      </c>
      <c r="X43" s="63">
        <v>22166</v>
      </c>
      <c r="Y43" s="16">
        <v>23057</v>
      </c>
      <c r="Z43" s="16">
        <v>23604</v>
      </c>
      <c r="AA43" s="16">
        <v>24162</v>
      </c>
      <c r="AB43" s="8">
        <v>24686</v>
      </c>
      <c r="AC43" s="46">
        <f t="shared" ref="AC43:AC61" si="3">C13</f>
        <v>25100</v>
      </c>
    </row>
    <row r="44" spans="1:29" s="13" customFormat="1" ht="18.75" x14ac:dyDescent="0.45">
      <c r="A44" s="81"/>
      <c r="B44" s="76"/>
      <c r="C44" s="39"/>
      <c r="D44" s="39"/>
      <c r="E44" s="39"/>
      <c r="F44" s="39"/>
      <c r="G44" s="39"/>
      <c r="H44" s="40"/>
      <c r="I44" s="41"/>
      <c r="J44" s="41"/>
      <c r="K44" s="115"/>
      <c r="W44" s="19" t="s">
        <v>74</v>
      </c>
      <c r="X44" s="63">
        <v>14630</v>
      </c>
      <c r="Y44" s="16">
        <v>15572</v>
      </c>
      <c r="Z44" s="16">
        <v>15761</v>
      </c>
      <c r="AA44" s="16">
        <v>16192</v>
      </c>
      <c r="AB44" s="13">
        <v>16439</v>
      </c>
      <c r="AC44" s="46">
        <f t="shared" si="3"/>
        <v>16879</v>
      </c>
    </row>
    <row r="45" spans="1:29" s="16" customFormat="1" ht="18.75" x14ac:dyDescent="0.45">
      <c r="A45" s="14"/>
      <c r="B45" s="14"/>
      <c r="C45" s="70"/>
      <c r="D45" s="123"/>
      <c r="E45" s="123"/>
      <c r="F45" s="123"/>
      <c r="G45" s="123"/>
      <c r="H45" s="123"/>
      <c r="I45" s="131"/>
      <c r="J45" s="131"/>
      <c r="K45" s="15"/>
      <c r="W45" s="19" t="s">
        <v>75</v>
      </c>
      <c r="X45" s="63">
        <v>13115</v>
      </c>
      <c r="Y45" s="16">
        <v>14154</v>
      </c>
      <c r="Z45" s="16">
        <v>14498</v>
      </c>
      <c r="AA45" s="16">
        <v>14727</v>
      </c>
      <c r="AB45" s="16">
        <v>15103</v>
      </c>
      <c r="AC45" s="46">
        <f t="shared" si="3"/>
        <v>15363</v>
      </c>
    </row>
    <row r="46" spans="1:29" s="18" customFormat="1" ht="18.75" x14ac:dyDescent="0.45">
      <c r="A46" s="42"/>
      <c r="B46" s="42"/>
      <c r="C46" s="70"/>
      <c r="D46" s="53"/>
      <c r="E46" s="53"/>
      <c r="F46" s="53"/>
      <c r="G46" s="53"/>
      <c r="H46" s="53"/>
      <c r="I46" s="131"/>
      <c r="J46" s="131"/>
      <c r="K46" s="15"/>
      <c r="W46" s="19" t="s">
        <v>76</v>
      </c>
      <c r="X46" s="63">
        <v>19277</v>
      </c>
      <c r="Y46" s="24">
        <v>20204</v>
      </c>
      <c r="Z46" s="16">
        <v>20619</v>
      </c>
      <c r="AA46" s="16">
        <v>21032</v>
      </c>
      <c r="AB46" s="18">
        <v>21478</v>
      </c>
      <c r="AC46" s="46">
        <f t="shared" si="3"/>
        <v>22095</v>
      </c>
    </row>
    <row r="47" spans="1:29" s="16" customFormat="1" ht="18.75" x14ac:dyDescent="0.45">
      <c r="A47" s="14"/>
      <c r="B47" s="14"/>
      <c r="C47" s="123"/>
      <c r="D47" s="123"/>
      <c r="E47" s="123"/>
      <c r="F47" s="123"/>
      <c r="G47" s="123"/>
      <c r="H47" s="53"/>
      <c r="I47" s="131"/>
      <c r="J47" s="131"/>
      <c r="K47" s="15"/>
      <c r="W47" s="19" t="s">
        <v>77</v>
      </c>
      <c r="X47" s="63">
        <v>11950</v>
      </c>
      <c r="Y47" s="16">
        <v>12455</v>
      </c>
      <c r="Z47" s="16">
        <v>12845</v>
      </c>
      <c r="AA47" s="16">
        <v>13091</v>
      </c>
      <c r="AB47" s="16">
        <v>13407</v>
      </c>
      <c r="AC47" s="46">
        <f t="shared" si="3"/>
        <v>13749</v>
      </c>
    </row>
    <row r="48" spans="1:29" s="16" customFormat="1" ht="18" x14ac:dyDescent="0.45">
      <c r="A48" s="23"/>
      <c r="B48" s="23"/>
      <c r="C48" s="63"/>
      <c r="D48" s="132"/>
      <c r="E48" s="132"/>
      <c r="F48" s="132"/>
      <c r="G48" s="132"/>
      <c r="H48" s="133"/>
      <c r="I48" s="134"/>
      <c r="J48" s="134"/>
      <c r="K48" s="20"/>
      <c r="W48" s="19" t="s">
        <v>78</v>
      </c>
      <c r="X48" s="63">
        <v>11097</v>
      </c>
      <c r="Y48" s="26">
        <v>11405</v>
      </c>
      <c r="Z48" s="16">
        <v>11665</v>
      </c>
      <c r="AA48" s="16">
        <v>11895</v>
      </c>
      <c r="AB48" s="16">
        <v>12008</v>
      </c>
      <c r="AC48" s="46">
        <f t="shared" si="3"/>
        <v>12292</v>
      </c>
    </row>
    <row r="49" spans="1:29" s="16" customFormat="1" ht="18" x14ac:dyDescent="0.45">
      <c r="A49" s="23"/>
      <c r="B49" s="23"/>
      <c r="C49" s="63"/>
      <c r="D49" s="133"/>
      <c r="E49" s="133"/>
      <c r="F49" s="133"/>
      <c r="G49" s="133"/>
      <c r="H49" s="133"/>
      <c r="I49" s="134"/>
      <c r="J49" s="134"/>
      <c r="K49" s="20"/>
      <c r="W49" s="19" t="s">
        <v>79</v>
      </c>
      <c r="X49" s="63">
        <v>10660</v>
      </c>
      <c r="Y49" s="25">
        <v>11458</v>
      </c>
      <c r="Z49" s="16">
        <v>11711</v>
      </c>
      <c r="AA49" s="16">
        <v>12010</v>
      </c>
      <c r="AB49" s="16">
        <v>12411</v>
      </c>
      <c r="AC49" s="46">
        <f t="shared" si="3"/>
        <v>12789</v>
      </c>
    </row>
    <row r="50" spans="1:29" s="16" customFormat="1" ht="18" x14ac:dyDescent="0.45">
      <c r="A50" s="23"/>
      <c r="B50" s="23"/>
      <c r="C50" s="63"/>
      <c r="D50" s="133"/>
      <c r="E50" s="133"/>
      <c r="F50" s="133"/>
      <c r="G50" s="133"/>
      <c r="H50" s="133"/>
      <c r="I50" s="134"/>
      <c r="J50" s="134"/>
      <c r="K50" s="20"/>
      <c r="W50" s="19" t="s">
        <v>80</v>
      </c>
      <c r="X50" s="63">
        <v>6537</v>
      </c>
      <c r="Y50" s="25">
        <v>6994</v>
      </c>
      <c r="Z50" s="16">
        <v>7282</v>
      </c>
      <c r="AA50" s="16">
        <v>7248</v>
      </c>
      <c r="AB50" s="16">
        <v>7651</v>
      </c>
      <c r="AC50" s="46">
        <f t="shared" si="3"/>
        <v>7881</v>
      </c>
    </row>
    <row r="51" spans="1:29" s="16" customFormat="1" ht="18" x14ac:dyDescent="0.45">
      <c r="A51" s="23"/>
      <c r="B51" s="23"/>
      <c r="C51" s="63"/>
      <c r="D51" s="133"/>
      <c r="E51" s="133"/>
      <c r="F51" s="133"/>
      <c r="G51" s="133"/>
      <c r="H51" s="133"/>
      <c r="I51" s="134"/>
      <c r="J51" s="134"/>
      <c r="K51" s="20"/>
      <c r="W51" s="19" t="s">
        <v>81</v>
      </c>
      <c r="X51" s="63">
        <v>9570</v>
      </c>
      <c r="Y51" s="29">
        <v>9969</v>
      </c>
      <c r="Z51" s="16">
        <v>10228</v>
      </c>
      <c r="AA51" s="16">
        <v>9714</v>
      </c>
      <c r="AB51" s="16">
        <v>10660</v>
      </c>
      <c r="AC51" s="46">
        <f t="shared" si="3"/>
        <v>10975</v>
      </c>
    </row>
    <row r="52" spans="1:29" s="16" customFormat="1" ht="18" x14ac:dyDescent="0.45">
      <c r="A52" s="23"/>
      <c r="B52" s="23"/>
      <c r="C52" s="63"/>
      <c r="D52" s="133"/>
      <c r="E52" s="133"/>
      <c r="F52" s="133"/>
      <c r="G52" s="133"/>
      <c r="H52" s="133"/>
      <c r="I52" s="134"/>
      <c r="J52" s="134"/>
      <c r="K52" s="20"/>
      <c r="W52" s="19" t="s">
        <v>82</v>
      </c>
      <c r="X52" s="63">
        <v>1770</v>
      </c>
      <c r="Y52" s="29">
        <v>2099</v>
      </c>
      <c r="Z52" s="16">
        <v>2200</v>
      </c>
      <c r="AA52" s="16">
        <v>2241</v>
      </c>
      <c r="AB52" s="16">
        <v>2282</v>
      </c>
      <c r="AC52" s="46">
        <f t="shared" si="3"/>
        <v>2337</v>
      </c>
    </row>
    <row r="53" spans="1:29" s="16" customFormat="1" ht="18" x14ac:dyDescent="0.45">
      <c r="A53" s="23"/>
      <c r="B53" s="23"/>
      <c r="C53" s="63"/>
      <c r="D53" s="133"/>
      <c r="E53" s="133"/>
      <c r="F53" s="133"/>
      <c r="G53" s="133"/>
      <c r="H53" s="133"/>
      <c r="I53" s="134"/>
      <c r="J53" s="134"/>
      <c r="K53" s="20"/>
      <c r="W53" s="19" t="s">
        <v>83</v>
      </c>
      <c r="X53" s="63">
        <v>6247</v>
      </c>
      <c r="Y53" s="21">
        <v>6489</v>
      </c>
      <c r="Z53" s="16">
        <v>6580</v>
      </c>
      <c r="AA53" s="16">
        <v>6504</v>
      </c>
      <c r="AB53" s="16">
        <v>6836</v>
      </c>
      <c r="AC53" s="46">
        <f t="shared" si="3"/>
        <v>6998</v>
      </c>
    </row>
    <row r="54" spans="1:29" s="16" customFormat="1" ht="18" x14ac:dyDescent="0.45">
      <c r="A54" s="23"/>
      <c r="B54" s="23"/>
      <c r="C54" s="63"/>
      <c r="D54" s="133"/>
      <c r="E54" s="133"/>
      <c r="F54" s="133"/>
      <c r="G54" s="133"/>
      <c r="H54" s="133"/>
      <c r="I54" s="134"/>
      <c r="J54" s="134"/>
      <c r="K54" s="20"/>
      <c r="W54" s="19" t="s">
        <v>84</v>
      </c>
      <c r="X54" s="63">
        <v>5176</v>
      </c>
      <c r="Y54" s="21">
        <v>5469</v>
      </c>
      <c r="Z54" s="16">
        <v>5556</v>
      </c>
      <c r="AA54" s="16">
        <v>5477</v>
      </c>
      <c r="AB54" s="16">
        <v>5776</v>
      </c>
      <c r="AC54" s="46">
        <f t="shared" si="3"/>
        <v>5981</v>
      </c>
    </row>
    <row r="55" spans="1:29" ht="18" x14ac:dyDescent="0.45">
      <c r="W55" s="19" t="s">
        <v>85</v>
      </c>
      <c r="X55" s="63">
        <v>6497</v>
      </c>
      <c r="Y55" s="21">
        <v>6822</v>
      </c>
      <c r="Z55" s="16">
        <v>6940</v>
      </c>
      <c r="AA55" s="16">
        <v>7084</v>
      </c>
      <c r="AB55" s="21">
        <v>7231</v>
      </c>
      <c r="AC55" s="46">
        <f t="shared" si="3"/>
        <v>7445</v>
      </c>
    </row>
    <row r="56" spans="1:29" ht="18" x14ac:dyDescent="0.45">
      <c r="W56" s="19" t="s">
        <v>86</v>
      </c>
      <c r="X56" s="63">
        <v>13508</v>
      </c>
      <c r="Y56" s="21">
        <v>14052</v>
      </c>
      <c r="Z56" s="16">
        <v>14312</v>
      </c>
      <c r="AA56" s="16">
        <v>14715</v>
      </c>
      <c r="AB56" s="21">
        <v>14896</v>
      </c>
      <c r="AC56" s="46">
        <f t="shared" si="3"/>
        <v>15185</v>
      </c>
    </row>
    <row r="57" spans="1:29" ht="18" x14ac:dyDescent="0.45">
      <c r="W57" s="23" t="s">
        <v>87</v>
      </c>
      <c r="X57" s="63">
        <v>14567</v>
      </c>
      <c r="Y57" s="21">
        <v>15563</v>
      </c>
      <c r="Z57" s="16">
        <v>16091</v>
      </c>
      <c r="AA57" s="16">
        <v>16392</v>
      </c>
      <c r="AB57" s="21">
        <v>16872</v>
      </c>
      <c r="AC57" s="46">
        <f t="shared" si="3"/>
        <v>17079</v>
      </c>
    </row>
    <row r="58" spans="1:29" ht="18" x14ac:dyDescent="0.45">
      <c r="W58" s="19" t="s">
        <v>88</v>
      </c>
      <c r="X58" s="63">
        <v>12163</v>
      </c>
      <c r="Y58" s="21">
        <v>12673</v>
      </c>
      <c r="Z58" s="16">
        <v>12885</v>
      </c>
      <c r="AA58" s="16">
        <v>13119</v>
      </c>
      <c r="AB58" s="21">
        <v>13407</v>
      </c>
      <c r="AC58" s="46">
        <f t="shared" si="3"/>
        <v>13784</v>
      </c>
    </row>
    <row r="59" spans="1:29" ht="18" x14ac:dyDescent="0.45">
      <c r="W59" s="19" t="s">
        <v>89</v>
      </c>
      <c r="X59" s="63">
        <v>17520</v>
      </c>
      <c r="Y59" s="21">
        <v>18440</v>
      </c>
      <c r="Z59" s="16">
        <v>18775</v>
      </c>
      <c r="AA59" s="16">
        <v>19003</v>
      </c>
      <c r="AB59" s="21">
        <v>19336</v>
      </c>
      <c r="AC59" s="46">
        <f t="shared" si="3"/>
        <v>19660</v>
      </c>
    </row>
    <row r="60" spans="1:29" ht="18" x14ac:dyDescent="0.45">
      <c r="W60" s="19" t="s">
        <v>90</v>
      </c>
      <c r="X60" s="63">
        <v>10203</v>
      </c>
      <c r="Y60" s="21">
        <v>10673</v>
      </c>
      <c r="Z60" s="16">
        <v>10892</v>
      </c>
      <c r="AA60" s="16">
        <v>10481</v>
      </c>
      <c r="AB60" s="21">
        <v>11150</v>
      </c>
      <c r="AC60" s="46">
        <f t="shared" si="3"/>
        <v>11506</v>
      </c>
    </row>
    <row r="61" spans="1:29" ht="18" x14ac:dyDescent="0.45">
      <c r="W61" s="27" t="s">
        <v>91</v>
      </c>
      <c r="X61" s="63">
        <v>27303</v>
      </c>
      <c r="Y61" s="21">
        <v>28252</v>
      </c>
      <c r="Z61" s="16">
        <v>28831</v>
      </c>
      <c r="AA61" s="16">
        <v>29131</v>
      </c>
      <c r="AB61" s="21">
        <v>29637</v>
      </c>
      <c r="AC61" s="46">
        <f t="shared" si="3"/>
        <v>30198</v>
      </c>
    </row>
    <row r="70" spans="9:10" x14ac:dyDescent="0.25">
      <c r="I70" s="21"/>
      <c r="J70" s="21"/>
    </row>
  </sheetData>
  <mergeCells count="30">
    <mergeCell ref="O6:O7"/>
    <mergeCell ref="A37:K37"/>
    <mergeCell ref="A38:K38"/>
    <mergeCell ref="C40:C41"/>
    <mergeCell ref="D40:E41"/>
    <mergeCell ref="F40:G41"/>
    <mergeCell ref="I40:I41"/>
    <mergeCell ref="K40:K44"/>
    <mergeCell ref="D42:E42"/>
    <mergeCell ref="F42:G42"/>
    <mergeCell ref="I42:I43"/>
    <mergeCell ref="C4:C5"/>
    <mergeCell ref="D4:E5"/>
    <mergeCell ref="F4:G5"/>
    <mergeCell ref="J4:J5"/>
    <mergeCell ref="K4:K8"/>
    <mergeCell ref="D6:E6"/>
    <mergeCell ref="F6:G6"/>
    <mergeCell ref="H6:H8"/>
    <mergeCell ref="J6:J7"/>
    <mergeCell ref="H42:H43"/>
    <mergeCell ref="A40:A44"/>
    <mergeCell ref="H40:H41"/>
    <mergeCell ref="B4:B8"/>
    <mergeCell ref="A4:A8"/>
    <mergeCell ref="H4:H5"/>
    <mergeCell ref="I4:I5"/>
    <mergeCell ref="I6:I7"/>
    <mergeCell ref="A1:K1"/>
    <mergeCell ref="A2:K2"/>
  </mergeCells>
  <pageMargins left="0.7" right="0.7" top="0.75" bottom="0.75" header="0.3" footer="0.3"/>
  <pageSetup paperSize="9" scale="48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18.16</vt:lpstr>
      <vt:lpstr>'18.16'!Print_Area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2021-03-31T07:16:58Z</cp:lastPrinted>
  <dcterms:created xsi:type="dcterms:W3CDTF">2019-02-21T04:10:17Z</dcterms:created>
  <dcterms:modified xsi:type="dcterms:W3CDTF">2021-03-31T07:17:07Z</dcterms:modified>
</cp:coreProperties>
</file>