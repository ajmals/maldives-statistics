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969"/>
  </bookViews>
  <sheets>
    <sheet name="18.20" sheetId="21" r:id="rId1"/>
  </sheets>
  <definedNames>
    <definedName name="_xlnm.Print_Area" localSheetId="0">'18.20'!$A$1:$I$49</definedName>
  </definedNames>
  <calcPr calcId="162913"/>
</workbook>
</file>

<file path=xl/calcChain.xml><?xml version="1.0" encoding="utf-8"?>
<calcChain xmlns="http://schemas.openxmlformats.org/spreadsheetml/2006/main">
  <c r="T39" i="21" l="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H8" i="21"/>
  <c r="G8" i="21"/>
  <c r="F8" i="21"/>
  <c r="E8" i="21"/>
  <c r="E6" i="21" s="1"/>
  <c r="D8" i="21"/>
  <c r="B8" i="21" s="1"/>
  <c r="C8" i="21"/>
  <c r="B7" i="21"/>
  <c r="H6" i="21"/>
  <c r="G6" i="21"/>
  <c r="F6" i="21"/>
  <c r="D6" i="21"/>
  <c r="C6" i="21"/>
  <c r="B6" i="21" l="1"/>
  <c r="S39" i="21" l="1"/>
  <c r="R39" i="21"/>
  <c r="Q39" i="21"/>
  <c r="P39" i="21"/>
  <c r="O39" i="21"/>
</calcChain>
</file>

<file path=xl/sharedStrings.xml><?xml version="1.0" encoding="utf-8"?>
<sst xmlns="http://schemas.openxmlformats.org/spreadsheetml/2006/main" count="74" uniqueCount="70">
  <si>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</si>
  <si>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</si>
  <si>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</si>
  <si>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</si>
  <si>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</si>
  <si>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</si>
  <si>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</si>
  <si>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</si>
  <si>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</si>
  <si>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</si>
  <si>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</si>
  <si>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</si>
  <si>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</si>
  <si>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</si>
  <si>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</si>
  <si>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</si>
  <si>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</si>
  <si>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</si>
  <si>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</si>
  <si>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</si>
  <si>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</si>
  <si>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</si>
  <si>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</si>
  <si>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</si>
  <si>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</si>
  <si>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</si>
  <si>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</si>
  <si>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</si>
  <si>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</si>
  <si>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</si>
  <si>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</si>
  <si>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</si>
  <si>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</si>
  <si>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</si>
  <si>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</si>
  <si>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</si>
  <si>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</si>
  <si>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</si>
  <si>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</si>
  <si>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</si>
  <si>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</si>
  <si>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</si>
  <si>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</si>
  <si>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</si>
  <si>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</si>
  <si>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</si>
  <si>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</si>
  <si>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</si>
  <si>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</si>
  <si>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</si>
  <si>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</si>
  <si>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</si>
  <si>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</si>
  <si>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</si>
  <si>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</si>
  <si>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</si>
  <si>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</si>
  <si>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</si>
  <si>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</si>
  <si>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</si>
  <si>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</si>
  <si>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</si>
  <si>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</si>
  <si>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</si>
  <si>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</si>
  <si>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</si>
  <si>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/>
    </r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</si>
  <si>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</si>
  <si>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ތާވަލް 18.20: އިޖްތިމާއީ ރައްކާތެރިކަމުގެ ދަށުން އަތޮޅުތަކުން ދެވޭ ޙިދުމަތްތައް ފޯރުކޮށްދޭ ތަންތަނަށް ކުރެވިފައިވާ ޚަރަދު، 2019</t>
  </si>
  <si>
    <t>Table 18.20 :  EXPENDITURE ON AASANDHA SERVICES BY TYPE OF INSTITUTION AND ATOLL ,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</si>
</sst>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_-* #,##0.00_-;\-* #,##0.00_-;_-* &quot;-&quot;??_-;_-@_-"/>
    <numFmt numFmtId="167" formatCode="_-* #,##0_-;\-* #,##0_-;_-* &quot;-&quot;??_-;_-@_-"/>
  </numFmts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 tint="0.14999847407452621"/>
      <name val="Faruma"/>
    </font>
    <font>
      <b/>
      <sz val="10"/>
      <name val="A_Randhoo"/>
    </font>
    <font>
      <b/>
      <vertAlign val="superscript"/>
      <sz val="11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0" fontId="4" fillId="0" borderId="1"/>
    <xf numFmtId="164" fontId="9" fillId="0" borderId="1"/>
    <xf numFmtId="0" fontId="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</cellStyleXfs>
  <cellXfs count="57">
    <xf numFmtId="0" fontId="0" fillId="0" borderId="0" xfId="0" applyFont="1" applyAlignment="1"/>
    <xf numFmtId="0" fontId="0" fillId="2" borderId="0" xfId="0" applyFill="1"/>
    <xf numFmtId="0" fontId="0" fillId="2" borderId="1" xfId="0" applyFill="1" applyBorder="1"/>
    <xf numFmtId="0" fontId="12" fillId="2" borderId="0" xfId="0" applyFont="1" applyFill="1"/>
    <xf numFmtId="166" fontId="3" fillId="2" borderId="4" xfId="5" applyNumberFormat="1" applyFont="1" applyFill="1" applyBorder="1" applyAlignment="1">
      <alignment horizontal="right" vertical="center" wrapText="1"/>
    </xf>
    <xf numFmtId="165" fontId="17" fillId="2" borderId="4" xfId="2" applyNumberFormat="1" applyFont="1" applyFill="1" applyBorder="1" applyAlignment="1">
      <alignment horizontal="right" vertical="center" wrapText="1"/>
    </xf>
    <xf numFmtId="166" fontId="3" fillId="2" borderId="4" xfId="5" applyNumberFormat="1" applyFont="1" applyFill="1" applyBorder="1" applyAlignment="1">
      <alignment horizontal="right" vertical="center"/>
    </xf>
    <xf numFmtId="166" fontId="13" fillId="2" borderId="4" xfId="5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5" fontId="11" fillId="2" borderId="2" xfId="2" applyNumberFormat="1" applyFont="1" applyFill="1" applyBorder="1" applyAlignment="1">
      <alignment horizontal="right" vertical="center" wrapText="1"/>
    </xf>
    <xf numFmtId="165" fontId="24" fillId="2" borderId="2" xfId="2" applyNumberFormat="1" applyFont="1" applyFill="1" applyBorder="1" applyAlignment="1">
      <alignment horizontal="right" vertical="center" wrapText="1"/>
    </xf>
    <xf numFmtId="167" fontId="2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9" fillId="2" borderId="1" xfId="5" applyNumberFormat="1" applyFont="1" applyFill="1" applyAlignment="1">
      <alignment horizontal="right" vertical="center"/>
    </xf>
    <xf numFmtId="167" fontId="13" fillId="2" borderId="1" xfId="5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67" fontId="12" fillId="2" borderId="0" xfId="0" applyNumberFormat="1" applyFont="1" applyFill="1" applyAlignment="1">
      <alignment horizontal="center" vertical="center"/>
    </xf>
    <xf numFmtId="167" fontId="14" fillId="2" borderId="1" xfId="5" applyNumberFormat="1" applyFont="1" applyFill="1" applyBorder="1" applyAlignment="1"/>
    <xf numFmtId="167" fontId="20" fillId="2" borderId="1" xfId="5" applyNumberFormat="1" applyFont="1" applyFill="1"/>
    <xf numFmtId="167" fontId="16" fillId="2" borderId="1" xfId="5" applyNumberFormat="1" applyFont="1" applyFill="1" applyBorder="1" applyAlignment="1"/>
    <xf numFmtId="167" fontId="15" fillId="2" borderId="1" xfId="5" applyNumberFormat="1" applyFont="1" applyFill="1"/>
    <xf numFmtId="3" fontId="26" fillId="2" borderId="1" xfId="1" applyNumberFormat="1" applyFont="1" applyFill="1" applyBorder="1" applyAlignment="1" applyProtection="1">
      <alignment horizontal="right" vertical="center" indent="3"/>
    </xf>
    <xf numFmtId="166" fontId="3" fillId="2" borderId="1" xfId="0" applyNumberFormat="1" applyFont="1" applyFill="1" applyBorder="1" applyAlignment="1">
      <alignment horizontal="right"/>
    </xf>
    <xf numFmtId="0" fontId="27" fillId="2" borderId="1" xfId="0" applyFont="1" applyFill="1" applyBorder="1"/>
    <xf numFmtId="167" fontId="19" fillId="2" borderId="1" xfId="5" applyNumberFormat="1" applyFont="1" applyFill="1" applyBorder="1" applyAlignment="1"/>
    <xf numFmtId="166" fontId="28" fillId="2" borderId="1" xfId="5" applyNumberFormat="1" applyFont="1" applyFill="1" applyBorder="1" applyAlignment="1">
      <alignment horizontal="right" vertical="center" wrapText="1"/>
    </xf>
    <xf numFmtId="166" fontId="28" fillId="2" borderId="1" xfId="5" applyNumberFormat="1" applyFont="1" applyFill="1" applyBorder="1" applyAlignment="1">
      <alignment horizontal="right" vertical="center"/>
    </xf>
    <xf numFmtId="167" fontId="28" fillId="2" borderId="1" xfId="5" applyNumberFormat="1" applyFont="1" applyFill="1" applyBorder="1" applyAlignment="1">
      <alignment horizontal="center" vertical="center"/>
    </xf>
    <xf numFmtId="167" fontId="28" fillId="2" borderId="1" xfId="5" applyNumberFormat="1" applyFont="1" applyFill="1" applyBorder="1" applyAlignment="1">
      <alignment horizontal="right" vertical="center"/>
    </xf>
    <xf numFmtId="167" fontId="27" fillId="2" borderId="1" xfId="5" applyNumberFormat="1" applyFont="1" applyFill="1" applyBorder="1"/>
    <xf numFmtId="167" fontId="0" fillId="2" borderId="1" xfId="0" applyNumberFormat="1" applyFill="1" applyBorder="1"/>
    <xf numFmtId="167" fontId="16" fillId="2" borderId="2" xfId="5" applyNumberFormat="1" applyFont="1" applyFill="1" applyBorder="1" applyAlignment="1">
      <alignment vertical="center"/>
    </xf>
    <xf numFmtId="3" fontId="23" fillId="2" borderId="2" xfId="1" applyNumberFormat="1" applyFont="1" applyFill="1" applyBorder="1" applyAlignment="1" applyProtection="1">
      <alignment horizontal="right" vertical="center"/>
    </xf>
    <xf numFmtId="0" fontId="18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1" fillId="2" borderId="1" xfId="0" applyFont="1" applyFill="1" applyBorder="1" applyAlignment="1">
      <alignment vertical="center"/>
    </xf>
    <xf numFmtId="0" fontId="30" fillId="2" borderId="0" xfId="0" applyNumberFormat="1" applyFont="1" applyFill="1" applyAlignment="1">
      <alignment vertical="center"/>
    </xf>
    <xf numFmtId="166" fontId="0" fillId="2" borderId="1" xfId="5" applyNumberFormat="1" applyFont="1" applyFill="1"/>
    <xf numFmtId="166" fontId="0" fillId="2" borderId="1" xfId="5" applyNumberFormat="1" applyFont="1" applyFill="1" applyAlignment="1">
      <alignment horizontal="right"/>
    </xf>
    <xf numFmtId="166" fontId="3" fillId="2" borderId="1" xfId="5" applyNumberFormat="1" applyFont="1" applyFill="1"/>
    <xf numFmtId="167" fontId="19" fillId="2" borderId="1" xfId="5" applyNumberFormat="1" applyFont="1" applyFill="1"/>
    <xf numFmtId="167" fontId="19" fillId="2" borderId="1" xfId="5" applyNumberFormat="1" applyFont="1" applyFill="1" applyAlignment="1">
      <alignment horizontal="right"/>
    </xf>
    <xf numFmtId="167" fontId="15" fillId="2" borderId="2" xfId="5" applyNumberFormat="1" applyFont="1" applyFill="1" applyBorder="1" applyAlignment="1">
      <alignment vertical="center"/>
    </xf>
    <xf numFmtId="164" fontId="15" fillId="2" borderId="1" xfId="5" applyNumberFormat="1" applyFont="1" applyFill="1" applyAlignment="1">
      <alignment horizontal="right" vertical="center"/>
    </xf>
    <xf numFmtId="165" fontId="10" fillId="2" borderId="1" xfId="2" applyNumberFormat="1" applyFont="1" applyFill="1" applyBorder="1" applyAlignment="1">
      <alignment horizontal="right" vertical="center" wrapText="1"/>
    </xf>
    <xf numFmtId="164" fontId="15" fillId="2" borderId="2" xfId="5" applyNumberFormat="1" applyFont="1" applyFill="1" applyBorder="1" applyAlignment="1">
      <alignment horizontal="right" vertical="center"/>
    </xf>
    <xf numFmtId="167" fontId="15" fillId="2" borderId="2" xfId="5" applyNumberFormat="1" applyFont="1" applyFill="1" applyBorder="1"/>
    <xf numFmtId="167" fontId="0" fillId="2" borderId="0" xfId="0" applyNumberFormat="1" applyFill="1"/>
    <xf numFmtId="3" fontId="6" fillId="2" borderId="1" xfId="1" applyNumberFormat="1" applyFont="1" applyFill="1" applyBorder="1" applyAlignment="1" applyProtection="1">
      <alignment horizontal="center" vertical="top" wrapText="1"/>
    </xf>
    <xf numFmtId="165" fontId="17" fillId="2" borderId="3" xfId="2" applyNumberFormat="1" applyFont="1" applyFill="1" applyBorder="1" applyAlignment="1">
      <alignment horizontal="left" vertical="center" wrapText="1"/>
    </xf>
    <xf numFmtId="165" fontId="17" fillId="2" borderId="2" xfId="2" applyNumberFormat="1" applyFont="1" applyFill="1" applyBorder="1" applyAlignment="1">
      <alignment horizontal="left" vertical="center" wrapText="1"/>
    </xf>
    <xf numFmtId="3" fontId="5" fillId="2" borderId="1" xfId="1" applyNumberFormat="1" applyFont="1" applyFill="1" applyAlignment="1">
      <alignment horizontal="center" wrapText="1" readingOrder="2"/>
    </xf>
    <xf numFmtId="3" fontId="6" fillId="2" borderId="1" xfId="1" applyNumberFormat="1" applyFont="1" applyFill="1" applyBorder="1" applyAlignment="1" applyProtection="1">
      <alignment horizontal="center" vertical="top" wrapText="1"/>
    </xf>
    <xf numFmtId="0" fontId="22" fillId="2" borderId="3" xfId="0" applyFont="1" applyFill="1" applyBorder="1" applyAlignment="1">
      <alignment horizontal="right" vertical="center" indent="2"/>
    </xf>
    <xf numFmtId="0" fontId="22" fillId="2" borderId="2" xfId="0" applyFont="1" applyFill="1" applyBorder="1" applyAlignment="1">
      <alignment horizontal="right" vertical="center" indent="2"/>
    </xf>
  </cellXfs>
  <cellStyles count="8">
    <cellStyle name="Comma 23" xfId="6"/>
    <cellStyle name="Comma 3" xfId="5"/>
    <cellStyle name="Normal" xfId="0" builtinId="0"/>
    <cellStyle name="Normal 12" xfId="4"/>
    <cellStyle name="Normal 2" xfId="2"/>
    <cellStyle name="Normal 3 2" xfId="3"/>
    <cellStyle name="Normal 8" xfId="7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18.24: Percentage share of expenditure on Aasandha by Institution, 2019</a:t>
            </a:r>
          </a:p>
        </c:rich>
      </c:tx>
      <c:layout>
        <c:manualLayout>
          <c:xMode val="edge"/>
          <c:yMode val="edge"/>
          <c:x val="0.14542869524459898"/>
          <c:y val="4.49368628231495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4-4271-9521-E0F555BDF7E2}"/>
              </c:ext>
            </c:extLst>
          </c:dPt>
          <c:dPt>
            <c:idx val="1"/>
            <c:bubble3D val="0"/>
            <c:explosion val="3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4-4271-9521-E0F555BDF7E2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44-4271-9521-E0F555BDF7E2}"/>
              </c:ext>
            </c:extLst>
          </c:dPt>
          <c:dPt>
            <c:idx val="3"/>
            <c:bubble3D val="0"/>
            <c:explosion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44-4271-9521-E0F555BDF7E2}"/>
              </c:ext>
            </c:extLst>
          </c:dPt>
          <c:dPt>
            <c:idx val="4"/>
            <c:bubble3D val="0"/>
            <c:explosion val="5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44-4271-9521-E0F555BDF7E2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44-4271-9521-E0F555BDF7E2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A44-4271-9521-E0F555BDF7E2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A44-4271-9521-E0F555BDF7E2}"/>
                </c:ext>
              </c:extLst>
            </c:dLbl>
            <c:dLbl>
              <c:idx val="2"/>
              <c:layout>
                <c:manualLayout>
                  <c:x val="7.1261441286276914E-2"/>
                  <c:y val="-4.94659314892707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A44-4271-9521-E0F555BDF7E2}"/>
                </c:ext>
              </c:extLst>
            </c:dLbl>
            <c:dLbl>
              <c:idx val="3"/>
              <c:layout>
                <c:manualLayout>
                  <c:x val="7.2692058466852907E-2"/>
                  <c:y val="-4.3003228669295931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A44-4271-9521-E0F555BDF7E2}"/>
                </c:ext>
              </c:extLst>
            </c:dLbl>
            <c:dLbl>
              <c:idx val="4"/>
              <c:layout>
                <c:manualLayout>
                  <c:x val="8.7825187727669521E-2"/>
                  <c:y val="4.55697138065099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A44-4271-9521-E0F555BDF7E2}"/>
                </c:ext>
              </c:extLst>
            </c:dLbl>
            <c:dLbl>
              <c:idx val="5"/>
              <c:layout>
                <c:manualLayout>
                  <c:x val="0.12646885416539969"/>
                  <c:y val="7.8669082513706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A44-4271-9521-E0F555BDF7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'18.20'!$O$38:$T$38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'18.20'!$O$39:$T$39</c:f>
              <c:numCache>
                <c:formatCode>_-* #,##0_-;\-* #,##0_-;_-* "-"??_-;_-@_-</c:formatCode>
                <c:ptCount val="6"/>
                <c:pt idx="0">
                  <c:v>1452583663.4849</c:v>
                </c:pt>
                <c:pt idx="1">
                  <c:v>766640751.80359995</c:v>
                </c:pt>
                <c:pt idx="2">
                  <c:v>36543788</c:v>
                </c:pt>
                <c:pt idx="3">
                  <c:v>83762939.700000003</c:v>
                </c:pt>
                <c:pt idx="4">
                  <c:v>74532496.810000002</c:v>
                </c:pt>
                <c:pt idx="5">
                  <c:v>19653312.350000001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44-4271-9521-E0F555BDF7E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1712613</xdr:colOff>
      <xdr:row>31</xdr:row>
      <xdr:rowOff>173883</xdr:rowOff>
    </xdr:from>
    <xdr:to>
      <xdr:col>7</xdr:col>
      <xdr:colOff>912608</xdr:colOff>
      <xdr:row>47</xdr:row>
      <xdr:rowOff>118165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zoomScale="89" zoomScaleNormal="89" workbookViewId="0">
      <selection activeCell="Q13" sqref="Q13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85546875" style="1" bestFit="1" customWidth="1"/>
    <col min="4" max="6" width="15.7109375" style="1" customWidth="1"/>
    <col min="7" max="8" width="18.28515625" style="1" customWidth="1"/>
    <col min="9" max="9" width="22" style="1" bestFit="1" customWidth="1"/>
    <col min="10" max="10" width="9.140625" style="1"/>
    <col min="11" max="11" width="14.28515625" style="1" bestFit="1" customWidth="1"/>
    <col min="12" max="12" width="9.140625" style="1"/>
    <col min="13" max="13" width="10.7109375" style="1" customWidth="1"/>
    <col min="14" max="14" width="9.85546875" style="1" customWidth="1"/>
    <col min="15" max="15" width="15.28515625" style="1" customWidth="1"/>
    <col min="16" max="17" width="9.7109375" style="1" customWidth="1"/>
    <col min="18" max="18" width="8.85546875" style="1" customWidth="1"/>
    <col min="19" max="20" width="12.28515625" style="1" bestFit="1" customWidth="1"/>
    <col min="21" max="16384" width="9.140625" style="1"/>
  </cols>
  <sheetData>
    <row r="1" spans="1:19" ht="21" customHeight="1" x14ac:dyDescent="0.55000000000000004">
      <c r="A1" s="53" t="s">
        <v>68</v>
      </c>
      <c r="B1" s="53"/>
      <c r="C1" s="53"/>
      <c r="D1" s="53"/>
      <c r="E1" s="53"/>
      <c r="F1" s="53"/>
      <c r="G1" s="53"/>
      <c r="H1" s="53"/>
      <c r="I1" s="53"/>
    </row>
    <row r="2" spans="1:19" s="13" customFormat="1" ht="15" customHeight="1" x14ac:dyDescent="0.25">
      <c r="A2" s="54" t="s">
        <v>69</v>
      </c>
      <c r="B2" s="54"/>
      <c r="C2" s="54"/>
      <c r="D2" s="54"/>
      <c r="E2" s="54"/>
      <c r="F2" s="54"/>
      <c r="G2" s="54"/>
      <c r="H2" s="54"/>
      <c r="I2" s="54"/>
    </row>
    <row r="3" spans="1:19" s="8" customFormat="1" x14ac:dyDescent="0.25">
      <c r="A3" s="50"/>
      <c r="B3" s="50"/>
      <c r="C3" s="50"/>
      <c r="D3" s="50"/>
      <c r="E3" s="50"/>
      <c r="F3" s="50"/>
      <c r="G3" s="50"/>
      <c r="H3" s="50"/>
      <c r="I3" s="50"/>
    </row>
    <row r="4" spans="1:19" s="8" customFormat="1" ht="30" x14ac:dyDescent="0.25">
      <c r="A4" s="51" t="s">
        <v>2</v>
      </c>
      <c r="B4" s="4" t="s">
        <v>30</v>
      </c>
      <c r="C4" s="5" t="s">
        <v>31</v>
      </c>
      <c r="D4" s="5" t="s">
        <v>0</v>
      </c>
      <c r="E4" s="5" t="s">
        <v>32</v>
      </c>
      <c r="F4" s="5" t="s">
        <v>33</v>
      </c>
      <c r="G4" s="6" t="s">
        <v>67</v>
      </c>
      <c r="H4" s="7" t="s">
        <v>43</v>
      </c>
      <c r="I4" s="55" t="s">
        <v>1</v>
      </c>
    </row>
    <row r="5" spans="1:19" s="8" customFormat="1" ht="18.75" customHeight="1" x14ac:dyDescent="0.25">
      <c r="A5" s="52"/>
      <c r="B5" s="9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9" t="s">
        <v>40</v>
      </c>
      <c r="H5" s="9" t="s">
        <v>41</v>
      </c>
      <c r="I5" s="56"/>
    </row>
    <row r="6" spans="1:19" s="12" customFormat="1" ht="18.75" x14ac:dyDescent="0.25">
      <c r="A6" s="11" t="s">
        <v>3</v>
      </c>
      <c r="B6" s="15">
        <f>B7+B8+B29</f>
        <v>2433716952.1484995</v>
      </c>
      <c r="C6" s="15">
        <f>SUM(C7:C8)+C29</f>
        <v>1452583663.4849</v>
      </c>
      <c r="D6" s="15">
        <f>SUM(D7:D8)+D29</f>
        <v>766640751.80359995</v>
      </c>
      <c r="E6" s="15">
        <f>SUM(E7:E8)</f>
        <v>36543788</v>
      </c>
      <c r="F6" s="15">
        <f>SUM(F7:F8)</f>
        <v>83762939.700000003</v>
      </c>
      <c r="G6" s="15">
        <f>SUM(G7:G8)</f>
        <v>74532496.810000002</v>
      </c>
      <c r="H6" s="15">
        <f>SUM(H7:H8)</f>
        <v>19653312.350000001</v>
      </c>
      <c r="I6" s="16" t="s">
        <v>42</v>
      </c>
      <c r="K6" s="17"/>
    </row>
    <row r="7" spans="1:19" s="3" customFormat="1" ht="18.75" x14ac:dyDescent="0.25">
      <c r="A7" s="18" t="s">
        <v>4</v>
      </c>
      <c r="B7" s="19">
        <f>SUM(C7:H7)</f>
        <v>1488868041.2019994</v>
      </c>
      <c r="C7" s="19">
        <v>842518397.10829997</v>
      </c>
      <c r="D7" s="19">
        <v>453817709.72369993</v>
      </c>
      <c r="E7" s="19">
        <v>34538029.109999999</v>
      </c>
      <c r="F7" s="19">
        <v>63808096.100000001</v>
      </c>
      <c r="G7" s="14">
        <v>74532496.810000002</v>
      </c>
      <c r="H7" s="14">
        <v>19653312.350000001</v>
      </c>
      <c r="I7" s="16" t="s">
        <v>5</v>
      </c>
    </row>
    <row r="8" spans="1:19" s="3" customFormat="1" ht="18.75" x14ac:dyDescent="0.25">
      <c r="A8" s="18" t="s">
        <v>6</v>
      </c>
      <c r="B8" s="19">
        <f>SUM(C8:H8)</f>
        <v>665276794.77770007</v>
      </c>
      <c r="C8" s="19">
        <f>SUM(C9:C28)</f>
        <v>330493150.20780003</v>
      </c>
      <c r="D8" s="19">
        <f t="shared" ref="D8:H8" si="0">SUM(D9:D28)</f>
        <v>312823042.07990003</v>
      </c>
      <c r="E8" s="19">
        <f t="shared" si="0"/>
        <v>2005758.8900000001</v>
      </c>
      <c r="F8" s="19">
        <f t="shared" si="0"/>
        <v>19954843.600000001</v>
      </c>
      <c r="G8" s="19">
        <f t="shared" si="0"/>
        <v>0</v>
      </c>
      <c r="H8" s="19">
        <f t="shared" si="0"/>
        <v>0</v>
      </c>
      <c r="I8" s="16" t="s">
        <v>7</v>
      </c>
    </row>
    <row r="9" spans="1:19" ht="16.5" x14ac:dyDescent="0.25">
      <c r="A9" s="20" t="s">
        <v>8</v>
      </c>
      <c r="B9" s="21">
        <f t="shared" ref="B9:B28" si="1">SUM(C9:H9)</f>
        <v>40162672.444399998</v>
      </c>
      <c r="C9" s="14">
        <v>20540420.949999999</v>
      </c>
      <c r="D9" s="42">
        <v>19622251.494399998</v>
      </c>
      <c r="E9" s="45">
        <v>0</v>
      </c>
      <c r="F9" s="45">
        <v>0</v>
      </c>
      <c r="G9" s="45">
        <v>0</v>
      </c>
      <c r="H9" s="45">
        <v>0</v>
      </c>
      <c r="I9" s="22" t="s">
        <v>44</v>
      </c>
    </row>
    <row r="10" spans="1:19" ht="16.5" x14ac:dyDescent="0.25">
      <c r="A10" s="20" t="s">
        <v>9</v>
      </c>
      <c r="B10" s="21">
        <f t="shared" si="1"/>
        <v>78431436.104199991</v>
      </c>
      <c r="C10" s="14">
        <v>45976426.219999999</v>
      </c>
      <c r="D10" s="42">
        <v>31931660.084199995</v>
      </c>
      <c r="E10" s="42">
        <v>31879.8</v>
      </c>
      <c r="F10" s="45">
        <v>491470</v>
      </c>
      <c r="G10" s="45">
        <v>0</v>
      </c>
      <c r="H10" s="45">
        <v>0</v>
      </c>
      <c r="I10" s="22" t="s">
        <v>45</v>
      </c>
    </row>
    <row r="11" spans="1:19" ht="16.5" x14ac:dyDescent="0.25">
      <c r="A11" s="20" t="s">
        <v>10</v>
      </c>
      <c r="B11" s="21">
        <f t="shared" si="1"/>
        <v>24728732.935400002</v>
      </c>
      <c r="C11" s="14">
        <v>12620189.360000001</v>
      </c>
      <c r="D11" s="42">
        <v>12108543.5754</v>
      </c>
      <c r="E11" s="45">
        <v>0</v>
      </c>
      <c r="F11" s="45">
        <v>0</v>
      </c>
      <c r="G11" s="45">
        <v>0</v>
      </c>
      <c r="H11" s="45">
        <v>0</v>
      </c>
      <c r="I11" s="22" t="s">
        <v>29</v>
      </c>
      <c r="J11" s="23"/>
    </row>
    <row r="12" spans="1:19" ht="16.5" x14ac:dyDescent="0.25">
      <c r="A12" s="20" t="s">
        <v>11</v>
      </c>
      <c r="B12" s="21">
        <f t="shared" si="1"/>
        <v>20538053.8116</v>
      </c>
      <c r="C12" s="14">
        <v>10361761.27</v>
      </c>
      <c r="D12" s="42">
        <v>10176292.5416</v>
      </c>
      <c r="E12" s="45">
        <v>0</v>
      </c>
      <c r="F12" s="45">
        <v>0</v>
      </c>
      <c r="G12" s="45">
        <v>0</v>
      </c>
      <c r="H12" s="45">
        <v>0</v>
      </c>
      <c r="I12" s="22" t="s">
        <v>46</v>
      </c>
    </row>
    <row r="13" spans="1:19" ht="16.5" x14ac:dyDescent="0.25">
      <c r="A13" s="20" t="s">
        <v>12</v>
      </c>
      <c r="B13" s="21">
        <f t="shared" si="1"/>
        <v>51342210.737800002</v>
      </c>
      <c r="C13" s="14">
        <v>26161428.620000001</v>
      </c>
      <c r="D13" s="42">
        <v>25180782.117800001</v>
      </c>
      <c r="E13" s="45">
        <v>0</v>
      </c>
      <c r="F13" s="45">
        <v>0</v>
      </c>
      <c r="G13" s="45">
        <v>0</v>
      </c>
      <c r="H13" s="45">
        <v>0</v>
      </c>
      <c r="I13" s="22" t="s">
        <v>47</v>
      </c>
    </row>
    <row r="14" spans="1:19" ht="16.5" x14ac:dyDescent="0.25">
      <c r="A14" s="20" t="s">
        <v>13</v>
      </c>
      <c r="B14" s="21">
        <f t="shared" si="1"/>
        <v>25976817.5506</v>
      </c>
      <c r="C14" s="14">
        <v>13065674.059999999</v>
      </c>
      <c r="D14" s="42">
        <v>12911143.490599999</v>
      </c>
      <c r="E14" s="45">
        <v>0</v>
      </c>
      <c r="F14" s="45">
        <v>0</v>
      </c>
      <c r="G14" s="45">
        <v>0</v>
      </c>
      <c r="H14" s="45">
        <v>0</v>
      </c>
      <c r="I14" s="22" t="s">
        <v>48</v>
      </c>
      <c r="L14" s="2"/>
      <c r="M14" s="2"/>
      <c r="N14" s="2"/>
      <c r="O14" s="2"/>
      <c r="P14" s="2"/>
      <c r="Q14" s="2"/>
      <c r="R14" s="2"/>
      <c r="S14" s="2"/>
    </row>
    <row r="15" spans="1:19" ht="16.5" x14ac:dyDescent="0.25">
      <c r="A15" s="20" t="s">
        <v>14</v>
      </c>
      <c r="B15" s="21">
        <f t="shared" si="1"/>
        <v>32263945.948899999</v>
      </c>
      <c r="C15" s="14">
        <v>13917025.290000001</v>
      </c>
      <c r="D15" s="42">
        <v>18346920.6589</v>
      </c>
      <c r="E15" s="45">
        <v>0</v>
      </c>
      <c r="F15" s="45">
        <v>0</v>
      </c>
      <c r="G15" s="45">
        <v>0</v>
      </c>
      <c r="H15" s="45">
        <v>0</v>
      </c>
      <c r="I15" s="22" t="s">
        <v>28</v>
      </c>
      <c r="L15" s="2"/>
      <c r="M15" s="2"/>
      <c r="N15" s="2"/>
      <c r="O15" s="2"/>
      <c r="P15" s="2"/>
      <c r="Q15" s="2"/>
      <c r="R15" s="2"/>
      <c r="S15" s="2"/>
    </row>
    <row r="16" spans="1:19" ht="16.5" x14ac:dyDescent="0.25">
      <c r="A16" s="20" t="s">
        <v>49</v>
      </c>
      <c r="B16" s="21">
        <f t="shared" si="1"/>
        <v>17052691.893399999</v>
      </c>
      <c r="C16" s="14">
        <v>8669585.5600000005</v>
      </c>
      <c r="D16" s="42">
        <v>8383106.3333999999</v>
      </c>
      <c r="E16" s="45">
        <v>0</v>
      </c>
      <c r="F16" s="45">
        <v>0</v>
      </c>
      <c r="G16" s="45">
        <v>0</v>
      </c>
      <c r="H16" s="45">
        <v>0</v>
      </c>
      <c r="I16" s="22" t="s">
        <v>50</v>
      </c>
      <c r="L16" s="2"/>
      <c r="M16" s="24"/>
      <c r="N16" s="24"/>
      <c r="O16" s="24"/>
      <c r="P16" s="24"/>
      <c r="Q16" s="24"/>
      <c r="R16" s="24"/>
      <c r="S16" s="2"/>
    </row>
    <row r="17" spans="1:19" ht="16.5" x14ac:dyDescent="0.25">
      <c r="A17" s="25" t="s">
        <v>15</v>
      </c>
      <c r="B17" s="21">
        <f t="shared" si="1"/>
        <v>11783452.460999999</v>
      </c>
      <c r="C17" s="14">
        <v>6503831</v>
      </c>
      <c r="D17" s="42">
        <v>5279621.4610000001</v>
      </c>
      <c r="E17" s="45">
        <v>0</v>
      </c>
      <c r="F17" s="45">
        <v>0</v>
      </c>
      <c r="G17" s="45">
        <v>0</v>
      </c>
      <c r="H17" s="45">
        <v>0</v>
      </c>
      <c r="I17" s="22" t="s">
        <v>51</v>
      </c>
      <c r="L17" s="2"/>
      <c r="M17" s="26"/>
      <c r="N17" s="46"/>
      <c r="O17" s="46"/>
      <c r="P17" s="46"/>
      <c r="Q17" s="46"/>
      <c r="R17" s="27"/>
      <c r="S17" s="27"/>
    </row>
    <row r="18" spans="1:19" ht="16.5" x14ac:dyDescent="0.25">
      <c r="A18" s="20" t="s">
        <v>16</v>
      </c>
      <c r="B18" s="21">
        <f t="shared" si="1"/>
        <v>26673960.336999997</v>
      </c>
      <c r="C18" s="14">
        <v>11916170</v>
      </c>
      <c r="D18" s="42">
        <v>13371032.336999997</v>
      </c>
      <c r="E18" s="45">
        <v>0</v>
      </c>
      <c r="F18" s="43">
        <v>1386758</v>
      </c>
      <c r="G18" s="45">
        <v>0</v>
      </c>
      <c r="H18" s="45">
        <v>0</v>
      </c>
      <c r="I18" s="22" t="s">
        <v>52</v>
      </c>
      <c r="L18" s="2"/>
      <c r="M18" s="28"/>
      <c r="N18" s="28"/>
      <c r="O18" s="28"/>
      <c r="P18" s="28"/>
      <c r="Q18" s="29"/>
      <c r="R18" s="30"/>
      <c r="S18" s="31"/>
    </row>
    <row r="19" spans="1:19" ht="16.5" x14ac:dyDescent="0.25">
      <c r="A19" s="20" t="s">
        <v>17</v>
      </c>
      <c r="B19" s="21">
        <f t="shared" si="1"/>
        <v>2757929.4720000001</v>
      </c>
      <c r="C19" s="14">
        <v>1405614.56</v>
      </c>
      <c r="D19" s="43">
        <v>1352314.912</v>
      </c>
      <c r="E19" s="45">
        <v>0</v>
      </c>
      <c r="F19" s="45">
        <v>0</v>
      </c>
      <c r="G19" s="45">
        <v>0</v>
      </c>
      <c r="H19" s="45">
        <v>0</v>
      </c>
      <c r="I19" s="22" t="s">
        <v>53</v>
      </c>
      <c r="L19" s="2"/>
      <c r="M19" s="24"/>
      <c r="N19" s="24"/>
      <c r="O19" s="24"/>
      <c r="P19" s="24"/>
      <c r="Q19" s="24"/>
      <c r="R19" s="24"/>
      <c r="S19" s="2"/>
    </row>
    <row r="20" spans="1:19" ht="16.5" x14ac:dyDescent="0.25">
      <c r="A20" s="20" t="s">
        <v>18</v>
      </c>
      <c r="B20" s="21">
        <f t="shared" si="1"/>
        <v>10031071.428399999</v>
      </c>
      <c r="C20" s="14">
        <v>5430755</v>
      </c>
      <c r="D20" s="42">
        <v>4600316.4283999996</v>
      </c>
      <c r="E20" s="45">
        <v>0</v>
      </c>
      <c r="F20" s="45">
        <v>0</v>
      </c>
      <c r="G20" s="45">
        <v>0</v>
      </c>
      <c r="H20" s="45">
        <v>0</v>
      </c>
      <c r="I20" s="22" t="s">
        <v>54</v>
      </c>
      <c r="L20" s="2"/>
      <c r="M20" s="2"/>
      <c r="N20" s="2"/>
      <c r="O20" s="2"/>
      <c r="P20" s="2"/>
      <c r="Q20" s="2"/>
      <c r="R20" s="2"/>
      <c r="S20" s="2"/>
    </row>
    <row r="21" spans="1:19" ht="16.5" x14ac:dyDescent="0.25">
      <c r="A21" s="20" t="s">
        <v>19</v>
      </c>
      <c r="B21" s="21">
        <f t="shared" si="1"/>
        <v>13924532.6666</v>
      </c>
      <c r="C21" s="14">
        <v>7037160</v>
      </c>
      <c r="D21" s="42">
        <v>6887372.6665999992</v>
      </c>
      <c r="E21" s="45">
        <v>0</v>
      </c>
      <c r="F21" s="45">
        <v>0</v>
      </c>
      <c r="G21" s="45">
        <v>0</v>
      </c>
      <c r="H21" s="45">
        <v>0</v>
      </c>
      <c r="I21" s="22" t="s">
        <v>55</v>
      </c>
      <c r="L21" s="2"/>
      <c r="M21" s="2"/>
      <c r="N21" s="2"/>
      <c r="O21" s="2"/>
      <c r="P21" s="2"/>
      <c r="Q21" s="2"/>
      <c r="R21" s="2"/>
      <c r="S21" s="2"/>
    </row>
    <row r="22" spans="1:19" ht="16.5" x14ac:dyDescent="0.25">
      <c r="A22" s="20" t="s">
        <v>20</v>
      </c>
      <c r="B22" s="21">
        <f t="shared" si="1"/>
        <v>17050476.708999999</v>
      </c>
      <c r="C22" s="14">
        <v>9212098.0099999998</v>
      </c>
      <c r="D22" s="42">
        <v>7838378.6989999991</v>
      </c>
      <c r="E22" s="45">
        <v>0</v>
      </c>
      <c r="F22" s="45">
        <v>0</v>
      </c>
      <c r="G22" s="45">
        <v>0</v>
      </c>
      <c r="H22" s="45">
        <v>0</v>
      </c>
      <c r="I22" s="22" t="s">
        <v>56</v>
      </c>
      <c r="L22" s="2"/>
      <c r="M22" s="2"/>
      <c r="N22" s="2"/>
      <c r="O22" s="2"/>
      <c r="P22" s="2"/>
      <c r="Q22" s="2"/>
      <c r="R22" s="2"/>
      <c r="S22" s="2"/>
    </row>
    <row r="23" spans="1:19" ht="16.5" x14ac:dyDescent="0.25">
      <c r="A23" s="20" t="s">
        <v>21</v>
      </c>
      <c r="B23" s="21">
        <f t="shared" si="1"/>
        <v>23106758.300000004</v>
      </c>
      <c r="C23" s="14">
        <v>13886471.470000003</v>
      </c>
      <c r="D23" s="42">
        <v>9220286.8300000019</v>
      </c>
      <c r="E23" s="45">
        <v>0</v>
      </c>
      <c r="F23" s="45">
        <v>0</v>
      </c>
      <c r="G23" s="45">
        <v>0</v>
      </c>
      <c r="H23" s="45">
        <v>0</v>
      </c>
      <c r="I23" s="22" t="s">
        <v>57</v>
      </c>
      <c r="L23" s="2"/>
      <c r="M23" s="2"/>
      <c r="N23" s="2"/>
      <c r="O23" s="2"/>
      <c r="P23" s="2"/>
      <c r="Q23" s="2"/>
      <c r="R23" s="2"/>
      <c r="S23" s="2"/>
    </row>
    <row r="24" spans="1:19" ht="16.5" x14ac:dyDescent="0.25">
      <c r="A24" s="20" t="s">
        <v>22</v>
      </c>
      <c r="B24" s="21">
        <f t="shared" si="1"/>
        <v>42812104.030000001</v>
      </c>
      <c r="C24" s="14">
        <v>25527630.300000001</v>
      </c>
      <c r="D24" s="42">
        <v>17284473.730000004</v>
      </c>
      <c r="E24" s="45">
        <v>0</v>
      </c>
      <c r="F24" s="45">
        <v>0</v>
      </c>
      <c r="G24" s="45">
        <v>0</v>
      </c>
      <c r="H24" s="45">
        <v>0</v>
      </c>
      <c r="I24" s="22" t="s">
        <v>58</v>
      </c>
      <c r="L24" s="2"/>
      <c r="M24" s="2"/>
      <c r="N24" s="2"/>
      <c r="O24" s="2"/>
      <c r="P24" s="2"/>
      <c r="Q24" s="2"/>
      <c r="R24" s="2"/>
      <c r="S24" s="2"/>
    </row>
    <row r="25" spans="1:19" ht="16.5" x14ac:dyDescent="0.25">
      <c r="A25" s="20" t="s">
        <v>23</v>
      </c>
      <c r="B25" s="21">
        <f t="shared" si="1"/>
        <v>30803778.870000001</v>
      </c>
      <c r="C25" s="14">
        <v>14747080.41</v>
      </c>
      <c r="D25" s="42">
        <v>16015538.460000001</v>
      </c>
      <c r="E25" s="45">
        <v>0</v>
      </c>
      <c r="F25" s="45">
        <v>41160</v>
      </c>
      <c r="G25" s="45">
        <v>0</v>
      </c>
      <c r="H25" s="45">
        <v>0</v>
      </c>
      <c r="I25" s="22" t="s">
        <v>59</v>
      </c>
      <c r="L25" s="2"/>
      <c r="M25" s="2"/>
      <c r="N25" s="2"/>
      <c r="O25" s="2"/>
      <c r="P25" s="2"/>
      <c r="Q25" s="2"/>
      <c r="R25" s="2"/>
      <c r="S25" s="2"/>
    </row>
    <row r="26" spans="1:19" ht="16.5" x14ac:dyDescent="0.25">
      <c r="A26" s="20" t="s">
        <v>24</v>
      </c>
      <c r="B26" s="21">
        <f t="shared" si="1"/>
        <v>51801938.460000001</v>
      </c>
      <c r="C26" s="14">
        <v>27985114.280000005</v>
      </c>
      <c r="D26" s="42">
        <v>23549320.179999996</v>
      </c>
      <c r="E26" s="14">
        <v>267504</v>
      </c>
      <c r="F26" s="45">
        <v>0</v>
      </c>
      <c r="G26" s="45">
        <v>0</v>
      </c>
      <c r="H26" s="45">
        <v>0</v>
      </c>
      <c r="I26" s="22" t="s">
        <v>60</v>
      </c>
      <c r="L26" s="2"/>
      <c r="M26" s="2"/>
      <c r="N26" s="2"/>
      <c r="O26" s="2"/>
      <c r="P26" s="2"/>
      <c r="Q26" s="2"/>
      <c r="R26" s="2"/>
      <c r="S26" s="2"/>
    </row>
    <row r="27" spans="1:19" ht="16.5" x14ac:dyDescent="0.25">
      <c r="A27" s="20" t="s">
        <v>25</v>
      </c>
      <c r="B27" s="21">
        <f t="shared" si="1"/>
        <v>26813330.047799997</v>
      </c>
      <c r="C27" s="14">
        <v>12220884</v>
      </c>
      <c r="D27" s="42">
        <v>11975412.717799999</v>
      </c>
      <c r="E27" s="43">
        <v>464478.33</v>
      </c>
      <c r="F27" s="45">
        <v>2152555</v>
      </c>
      <c r="G27" s="45">
        <v>0</v>
      </c>
      <c r="H27" s="45">
        <v>0</v>
      </c>
      <c r="I27" s="22" t="s">
        <v>27</v>
      </c>
      <c r="L27" s="2"/>
      <c r="M27" s="2"/>
      <c r="N27" s="2"/>
      <c r="O27" s="2"/>
      <c r="P27" s="2"/>
      <c r="Q27" s="2"/>
      <c r="R27" s="2"/>
      <c r="S27" s="2"/>
    </row>
    <row r="28" spans="1:19" ht="16.5" x14ac:dyDescent="0.25">
      <c r="A28" s="20" t="s">
        <v>26</v>
      </c>
      <c r="B28" s="21">
        <f t="shared" si="1"/>
        <v>117220900.5696</v>
      </c>
      <c r="C28" s="14">
        <v>43307829.847800002</v>
      </c>
      <c r="D28" s="42">
        <v>56788273.3618</v>
      </c>
      <c r="E28" s="42">
        <v>1241896.76</v>
      </c>
      <c r="F28" s="43">
        <v>15882900.6</v>
      </c>
      <c r="G28" s="45">
        <v>0</v>
      </c>
      <c r="H28" s="45">
        <v>0</v>
      </c>
      <c r="I28" s="22" t="s">
        <v>61</v>
      </c>
      <c r="L28" s="2"/>
      <c r="M28" s="2"/>
      <c r="N28" s="2"/>
      <c r="O28" s="2"/>
      <c r="P28" s="2"/>
      <c r="Q28" s="2"/>
      <c r="R28" s="2"/>
      <c r="S28" s="2"/>
    </row>
    <row r="29" spans="1:19" ht="18.75" x14ac:dyDescent="0.25">
      <c r="A29" s="32" t="s">
        <v>62</v>
      </c>
      <c r="B29" s="48">
        <f>SUM(C29:H29)</f>
        <v>279572116.1688</v>
      </c>
      <c r="C29" s="44">
        <v>279572116.1688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33" t="s">
        <v>63</v>
      </c>
      <c r="L29" s="2"/>
      <c r="M29" s="2"/>
      <c r="N29" s="2"/>
      <c r="O29" s="2"/>
      <c r="P29" s="2"/>
      <c r="Q29" s="2"/>
      <c r="R29" s="2"/>
      <c r="S29" s="2"/>
    </row>
    <row r="30" spans="1:19" s="35" customFormat="1" ht="17.25" x14ac:dyDescent="0.25">
      <c r="A30" s="34" t="s">
        <v>64</v>
      </c>
      <c r="I30" s="36"/>
      <c r="L30" s="37"/>
      <c r="M30" s="37"/>
      <c r="N30" s="37"/>
      <c r="O30" s="37"/>
      <c r="P30" s="37"/>
      <c r="Q30" s="37"/>
      <c r="R30" s="37"/>
      <c r="S30" s="37"/>
    </row>
    <row r="31" spans="1:19" s="35" customFormat="1" ht="17.25" x14ac:dyDescent="0.25">
      <c r="A31" s="38" t="s">
        <v>65</v>
      </c>
      <c r="I31" s="36"/>
      <c r="L31" s="37"/>
      <c r="M31" s="37"/>
      <c r="N31" s="37"/>
      <c r="O31" s="37"/>
      <c r="P31" s="37"/>
      <c r="Q31" s="37"/>
      <c r="R31" s="37"/>
      <c r="S31" s="37"/>
    </row>
    <row r="32" spans="1:19" s="35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L32" s="37"/>
      <c r="M32" s="37"/>
      <c r="N32" s="37"/>
      <c r="O32" s="37"/>
      <c r="P32" s="37"/>
      <c r="Q32" s="37"/>
      <c r="R32" s="37"/>
      <c r="S32" s="37"/>
    </row>
    <row r="33" spans="1:20" s="35" customFormat="1" ht="17.25" x14ac:dyDescent="0.25">
      <c r="A33" s="34"/>
      <c r="I33" s="36"/>
      <c r="L33" s="37"/>
      <c r="M33" s="37"/>
      <c r="N33" s="37"/>
      <c r="O33" s="37"/>
      <c r="P33" s="37"/>
      <c r="Q33" s="37"/>
      <c r="R33" s="37"/>
      <c r="S33" s="37"/>
    </row>
    <row r="34" spans="1:20" ht="17.25" x14ac:dyDescent="0.25">
      <c r="A34" s="34"/>
      <c r="B34" s="35"/>
      <c r="C34" s="35"/>
      <c r="D34" s="35"/>
      <c r="E34" s="35"/>
      <c r="F34" s="35"/>
      <c r="G34" s="35"/>
      <c r="H34" s="35"/>
      <c r="I34" s="36"/>
    </row>
    <row r="38" spans="1:20" ht="38.25" x14ac:dyDescent="0.25">
      <c r="O38" s="5" t="s">
        <v>31</v>
      </c>
      <c r="P38" s="5" t="s">
        <v>0</v>
      </c>
      <c r="Q38" s="5" t="s">
        <v>32</v>
      </c>
      <c r="R38" s="5" t="s">
        <v>33</v>
      </c>
      <c r="S38" s="6" t="s">
        <v>66</v>
      </c>
      <c r="T38" s="7" t="s">
        <v>34</v>
      </c>
    </row>
    <row r="39" spans="1:20" x14ac:dyDescent="0.25">
      <c r="O39" s="49">
        <f>C6</f>
        <v>1452583663.4849</v>
      </c>
      <c r="P39" s="49">
        <f t="shared" ref="P39:T39" si="2">D6</f>
        <v>766640751.80359995</v>
      </c>
      <c r="Q39" s="49">
        <f t="shared" si="2"/>
        <v>36543788</v>
      </c>
      <c r="R39" s="49">
        <f t="shared" si="2"/>
        <v>83762939.700000003</v>
      </c>
      <c r="S39" s="49">
        <f t="shared" si="2"/>
        <v>74532496.810000002</v>
      </c>
      <c r="T39" s="49">
        <f t="shared" si="2"/>
        <v>19653312.350000001</v>
      </c>
    </row>
    <row r="42" spans="1:20" x14ac:dyDescent="0.25">
      <c r="A42" s="39"/>
      <c r="C42" s="40"/>
      <c r="D42" s="40"/>
      <c r="E42" s="40"/>
      <c r="F42" s="40"/>
      <c r="G42" s="40"/>
      <c r="H42" s="40"/>
    </row>
    <row r="43" spans="1:20" x14ac:dyDescent="0.25">
      <c r="A43" s="39"/>
      <c r="B43" s="41"/>
      <c r="C43" s="40"/>
      <c r="D43" s="40"/>
      <c r="E43" s="40"/>
      <c r="F43" s="40"/>
      <c r="G43" s="40"/>
      <c r="H43" s="40"/>
    </row>
    <row r="45" spans="1:20" x14ac:dyDescent="0.25">
      <c r="A45" s="39"/>
      <c r="B45" s="41"/>
      <c r="C45" s="40"/>
      <c r="D45" s="40"/>
      <c r="E45" s="40"/>
      <c r="F45" s="40"/>
      <c r="G45" s="40"/>
      <c r="H45" s="40"/>
    </row>
    <row r="46" spans="1:20" x14ac:dyDescent="0.25">
      <c r="G46" s="40"/>
      <c r="H46" s="40"/>
    </row>
    <row r="47" spans="1:20" x14ac:dyDescent="0.25">
      <c r="G47" s="40"/>
      <c r="H47" s="40"/>
    </row>
    <row r="48" spans="1:20" x14ac:dyDescent="0.25">
      <c r="G48" s="40"/>
      <c r="H48" s="40"/>
    </row>
    <row r="49" spans="7:8" x14ac:dyDescent="0.25">
      <c r="G49" s="40"/>
      <c r="H49" s="40"/>
    </row>
    <row r="50" spans="7:8" x14ac:dyDescent="0.25">
      <c r="G50" s="40"/>
      <c r="H50" s="40"/>
    </row>
    <row r="51" spans="7:8" x14ac:dyDescent="0.25">
      <c r="G51" s="40"/>
      <c r="H51" s="40"/>
    </row>
    <row r="52" spans="7:8" x14ac:dyDescent="0.25">
      <c r="G52" s="40"/>
      <c r="H52" s="40"/>
    </row>
  </sheetData>
  <mergeCells count="4">
    <mergeCell ref="A1:I1"/>
    <mergeCell ref="A2:I2"/>
    <mergeCell ref="A4:A5"/>
    <mergeCell ref="I4:I5"/>
  </mergeCells>
  <pageMargins left="0.7" right="0.7" top="0.75" bottom="0.75" header="0.3" footer="0.3"/>
  <pageSetup paperSize="9" scale="5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2021-03-31T07:25:05Z</cp:lastPrinted>
  <dcterms:created xsi:type="dcterms:W3CDTF">2019-02-21T04:10:17Z</dcterms:created>
  <dcterms:modified xsi:type="dcterms:W3CDTF">2021-03-31T07:25:13Z</dcterms:modified>
</cp:coreProperties>
</file>