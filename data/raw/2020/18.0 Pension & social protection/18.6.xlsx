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6" sheetId="6" r:id="rId1"/>
  </sheets>
  <definedNames>
    <definedName name="_xlnm.Print_Area" localSheetId="0">'18.6'!$A$1:$O$33</definedName>
  </definedNames>
  <calcPr calcId="152511"/>
</workbook>
</file>

<file path=xl/calcChain.xml><?xml version="1.0" encoding="utf-8"?>
<calcChain xmlns="http://schemas.openxmlformats.org/spreadsheetml/2006/main">
  <c r="H18" i="6" l="1"/>
  <c r="AH27" i="6" s="1"/>
  <c r="AD27" i="6"/>
  <c r="H13" i="6"/>
  <c r="H7" i="6"/>
  <c r="AE27" i="6" l="1"/>
  <c r="AF27" i="6"/>
  <c r="AG27" i="6"/>
  <c r="H17" i="6"/>
  <c r="H16" i="6"/>
  <c r="H15" i="6"/>
  <c r="H14" i="6"/>
  <c r="H12" i="6"/>
  <c r="H11" i="6"/>
  <c r="H10" i="6"/>
  <c r="H9" i="6"/>
  <c r="H8" i="6"/>
  <c r="B18" i="6" l="1"/>
  <c r="B17" i="6"/>
  <c r="B16" i="6"/>
  <c r="B15" i="6"/>
  <c r="B14" i="6"/>
  <c r="B13" i="6"/>
  <c r="B12" i="6"/>
  <c r="B11" i="6"/>
  <c r="B10" i="6"/>
  <c r="B9" i="6"/>
  <c r="B8" i="6"/>
  <c r="B7" i="6"/>
</calcChain>
</file>

<file path=xl/sharedStrings.xml><?xml version="1.0" encoding="utf-8"?>
<sst xmlns="http://schemas.openxmlformats.org/spreadsheetml/2006/main" count="49" uniqueCount="43">
  <si>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</si>
  <si>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</si>
  <si>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</si>
  <si>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</si>
  <si>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</si>
  <si>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</si>
  <si>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</si>
  <si>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</si>
  <si>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</si>
  <si>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</si>
  <si>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</si>
  <si>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</si>
  <si>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</si>
  <si>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</si>
  <si>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</si>
  <si>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</si>
  <si>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</si>
  <si>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</si>
  <si>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</si>
  <si>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</si>
  <si>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</si>
  <si>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</si>
  <si>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</si>
  <si>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</si>
  <si>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</si>
  <si>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</si>
  <si>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</si>
  <si>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</si>
  <si>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</si>
  <si>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</si>
  <si>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</si>
  <si>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</si>
  <si>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</si>
  <si>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</si>
  <si>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</si>
  <si>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</t>
  </si>
  <si>
    <t>55-64</t>
  </si>
  <si>
    <t>75 +</t>
  </si>
  <si>
    <t>&lt; 55 yrs</t>
  </si>
  <si>
    <t>55-64 yrs</t>
  </si>
  <si>
    <t>75 yrs and over</t>
  </si>
  <si>
    <t>ތާވަލު  18.6 :އެހެނިހެން ޕެންޝަން ލިބޭ މީހުންގެ އަދަދު އަދި ޢުމުރުފުރާތައް، 2018 - 2019</t>
  </si>
  <si>
    <t>TABLE   18.6: NUMBER OF BENEFICIARIES OF OTHER PENSION SCHEMES BY AGE,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</si>
</sst>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4" fontId="9" fillId="0" borderId="19"/>
    <xf numFmtId="0" fontId="1" fillId="0" borderId="19"/>
    <xf numFmtId="0" fontId="1" fillId="0" borderId="19"/>
    <xf numFmtId="43" fontId="8" fillId="0" borderId="19" applyFont="0" applyFill="0" applyBorder="0" applyAlignment="0" applyProtection="0"/>
    <xf numFmtId="43" fontId="8" fillId="0" borderId="19" applyFont="0" applyFill="0" applyBorder="0" applyAlignment="0" applyProtection="0"/>
    <xf numFmtId="0" fontId="8" fillId="0" borderId="19"/>
  </cellStyleXfs>
  <cellXfs count="41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0" fillId="2" borderId="2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right" vertical="center"/>
    </xf>
    <xf numFmtId="0" fontId="0" fillId="2" borderId="19" xfId="0" applyFont="1" applyFill="1" applyBorder="1"/>
    <xf numFmtId="0" fontId="5" fillId="2" borderId="2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6" fillId="2" borderId="2" xfId="0" applyFont="1" applyFill="1" applyBorder="1"/>
    <xf numFmtId="0" fontId="7" fillId="2" borderId="2" xfId="0" applyFont="1" applyFill="1" applyBorder="1" applyAlignment="1"/>
    <xf numFmtId="14" fontId="0" fillId="2" borderId="2" xfId="0" applyNumberFormat="1" applyFont="1" applyFill="1" applyBorder="1"/>
    <xf numFmtId="0" fontId="4" fillId="2" borderId="14" xfId="0" applyFont="1" applyFill="1" applyBorder="1" applyAlignment="1">
      <alignment horizontal="right" vertical="center"/>
    </xf>
    <xf numFmtId="1" fontId="0" fillId="2" borderId="2" xfId="0" applyNumberFormat="1" applyFont="1" applyFill="1" applyBorder="1"/>
    <xf numFmtId="165" fontId="0" fillId="2" borderId="2" xfId="0" applyNumberFormat="1" applyFont="1" applyFill="1" applyBorder="1"/>
    <xf numFmtId="0" fontId="0" fillId="2" borderId="2" xfId="0" applyFont="1" applyFill="1" applyBorder="1" applyAlignment="1">
      <alignment wrapText="1"/>
    </xf>
    <xf numFmtId="164" fontId="0" fillId="2" borderId="15" xfId="0" applyNumberFormat="1" applyFont="1" applyFill="1" applyBorder="1" applyAlignment="1">
      <alignment horizontal="right" vertical="center"/>
    </xf>
    <xf numFmtId="164" fontId="0" fillId="4" borderId="2" xfId="0" applyNumberFormat="1" applyFont="1" applyFill="1" applyBorder="1" applyAlignment="1">
      <alignment horizontal="right" vertical="center" wrapText="1"/>
    </xf>
    <xf numFmtId="164" fontId="0" fillId="2" borderId="12" xfId="0" applyNumberFormat="1" applyFont="1" applyFill="1" applyBorder="1" applyAlignment="1">
      <alignment horizontal="right" vertical="center"/>
    </xf>
    <xf numFmtId="164" fontId="0" fillId="4" borderId="11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/>
    </xf>
    <xf numFmtId="0" fontId="0" fillId="2" borderId="2" xfId="0" applyFont="1" applyFill="1" applyBorder="1" applyAlignment="1">
      <alignment horizontal="left" vertical="center" indent="1"/>
    </xf>
    <xf numFmtId="0" fontId="0" fillId="2" borderId="11" xfId="0" applyFont="1" applyFill="1" applyBorder="1" applyAlignment="1">
      <alignment horizontal="left" vertical="center" indent="1"/>
    </xf>
    <xf numFmtId="14" fontId="0" fillId="2" borderId="19" xfId="0" applyNumberFormat="1" applyFont="1" applyFill="1" applyBorder="1"/>
    <xf numFmtId="164" fontId="0" fillId="5" borderId="19" xfId="0" applyNumberFormat="1" applyFont="1" applyFill="1" applyBorder="1" applyAlignment="1">
      <alignment horizontal="right" vertical="center" wrapText="1"/>
    </xf>
    <xf numFmtId="164" fontId="0" fillId="5" borderId="20" xfId="0" applyNumberFormat="1" applyFont="1" applyFill="1" applyBorder="1" applyAlignment="1">
      <alignment horizontal="right" vertical="center" wrapText="1"/>
    </xf>
    <xf numFmtId="0" fontId="0" fillId="2" borderId="19" xfId="0" applyFont="1" applyFill="1" applyBorder="1" applyAlignment="1">
      <alignment vertical="center"/>
    </xf>
    <xf numFmtId="0" fontId="3" fillId="3" borderId="8" xfId="0" applyFont="1" applyFill="1" applyBorder="1"/>
    <xf numFmtId="0" fontId="3" fillId="3" borderId="9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3" fillId="3" borderId="7" xfId="0" applyFont="1" applyFill="1" applyBorder="1"/>
    <xf numFmtId="0" fontId="3" fillId="3" borderId="10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19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3" borderId="16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336-4C5E-8AFF-C8580DABCCD5}"/>
              </c:ext>
            </c:extLst>
          </c:dPt>
          <c:dPt>
            <c:idx val="1"/>
            <c:bubble3D val="0"/>
            <c:spPr>
              <a:solidFill>
                <a:srgbClr val="964B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EB5B-4947-8C67-D4A50D85B2AA}"/>
              </c:ext>
            </c:extLst>
          </c:dPt>
          <c:dPt>
            <c:idx val="2"/>
            <c:bubble3D val="0"/>
            <c:spPr>
              <a:solidFill>
                <a:srgbClr val="F2E4D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B5B-4947-8C67-D4A50D85B2AA}"/>
              </c:ext>
            </c:extLst>
          </c:dPt>
          <c:dPt>
            <c:idx val="3"/>
            <c:bubble3D val="0"/>
            <c:spPr>
              <a:solidFill>
                <a:srgbClr val="E5C9AD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EB5B-4947-8C67-D4A50D85B2AA}"/>
              </c:ext>
            </c:extLst>
          </c:dPt>
          <c:dPt>
            <c:idx val="4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EB5B-4947-8C67-D4A50D85B2AA}"/>
              </c:ext>
            </c:extLst>
          </c:dPt>
          <c:dLbls>
            <c:dLbl>
              <c:idx val="4"/>
              <c:layout>
                <c:manualLayout>
                  <c:x val="1.405357732704279E-2"/>
                  <c:y val="1.2539184952978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EB5B-4947-8C67-D4A50D85B2A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'18.6'!$AD$26:$AH$26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'18.6'!$AD$27:$AH$27</c:f>
              <c:numCache>
                <c:formatCode>0</c:formatCode>
                <c:ptCount val="5"/>
                <c:pt idx="0">
                  <c:v>24.640312892862131</c:v>
                </c:pt>
                <c:pt idx="1">
                  <c:v>27.489872887274757</c:v>
                </c:pt>
                <c:pt idx="2">
                  <c:v>13.6331889928761</c:v>
                </c:pt>
                <c:pt idx="3">
                  <c:v>12.641430367369743</c:v>
                </c:pt>
                <c:pt idx="4">
                  <c:v>21.595194859617266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336-4C5E-8AFF-C8580DAB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66675</xdr:rowOff>
    </xdr:from>
    <xdr:ext cx="7229476" cy="3038475"/>
    <xdr:graphicFrame macro=""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0.01939</cdr:y>
    </cdr:from>
    <cdr:to>
      <cdr:x>1</cdr:x>
      <cdr:y>0.17241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8928"/>
          <a:ext cx="7229476" cy="464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18.8: Percentage share of beneficiaries of other pension scheme by </a:t>
          </a: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age group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34"/>
  <sheetViews>
    <sheetView tabSelected="1" zoomScaleNormal="100" workbookViewId="0">
      <selection activeCell="T12" sqref="T12"/>
    </sheetView>
  </sheetViews>
  <sheetFormatPr defaultColWidth="14.42578125" defaultRowHeight="15" customHeight="1" x14ac:dyDescent="0.25"/>
  <cols>
    <col min="1" max="1" width="9" style="2" customWidth="1"/>
    <col min="2" max="13" width="9.42578125" style="2" customWidth="1"/>
    <col min="14" max="14" width="12.7109375" style="2" customWidth="1"/>
    <col min="15" max="15" width="1.7109375" style="2" customWidth="1"/>
    <col min="16" max="22" width="8" style="2" customWidth="1"/>
    <col min="23" max="23" width="26.140625" style="2" customWidth="1"/>
    <col min="24" max="34" width="8" style="2" customWidth="1"/>
    <col min="35" max="16384" width="14.42578125" style="2"/>
  </cols>
  <sheetData>
    <row r="1" spans="1:34" ht="21" customHeight="1" x14ac:dyDescent="0.55000000000000004">
      <c r="A1" s="31" t="s">
        <v>41</v>
      </c>
      <c r="B1" s="32"/>
      <c r="C1" s="32"/>
      <c r="D1" s="32"/>
      <c r="E1" s="32"/>
      <c r="F1" s="32"/>
      <c r="G1" s="32"/>
      <c r="H1" s="33"/>
      <c r="I1" s="33"/>
      <c r="J1" s="33"/>
      <c r="K1" s="33"/>
      <c r="L1" s="33"/>
      <c r="M1" s="33"/>
      <c r="N1" s="34"/>
      <c r="O1" s="1"/>
      <c r="P1" s="1"/>
      <c r="Q1" s="1"/>
      <c r="R1" s="1"/>
      <c r="S1" s="5"/>
      <c r="T1" s="5"/>
      <c r="U1" s="5"/>
      <c r="V1" s="5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38" t="s">
        <v>42</v>
      </c>
      <c r="B2" s="32"/>
      <c r="C2" s="32"/>
      <c r="D2" s="32"/>
      <c r="E2" s="32"/>
      <c r="F2" s="32"/>
      <c r="G2" s="32"/>
      <c r="H2" s="33"/>
      <c r="I2" s="33"/>
      <c r="J2" s="33"/>
      <c r="K2" s="33"/>
      <c r="L2" s="33"/>
      <c r="M2" s="33"/>
      <c r="N2" s="34"/>
      <c r="O2" s="1"/>
      <c r="P2" s="1"/>
      <c r="Q2" s="1"/>
      <c r="R2" s="1"/>
      <c r="S2" s="5"/>
      <c r="T2" s="5"/>
      <c r="U2" s="5"/>
      <c r="V2" s="5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5"/>
      <c r="T3" s="5"/>
      <c r="U3" s="5"/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28" t="s">
        <v>0</v>
      </c>
      <c r="B4" s="40">
        <v>2018</v>
      </c>
      <c r="C4" s="35"/>
      <c r="D4" s="35"/>
      <c r="E4" s="35"/>
      <c r="F4" s="35"/>
      <c r="G4" s="36"/>
      <c r="H4" s="40">
        <v>2019</v>
      </c>
      <c r="I4" s="35"/>
      <c r="J4" s="35"/>
      <c r="K4" s="35"/>
      <c r="L4" s="35"/>
      <c r="M4" s="36"/>
      <c r="N4" s="37" t="s">
        <v>1</v>
      </c>
      <c r="O4" s="1"/>
      <c r="P4" s="1"/>
      <c r="Q4" s="1"/>
      <c r="R4" s="1"/>
      <c r="S4" s="5"/>
      <c r="T4" s="5"/>
      <c r="U4" s="5"/>
      <c r="V4" s="5"/>
      <c r="W4" s="1"/>
      <c r="X4" s="1"/>
      <c r="Y4" s="1"/>
      <c r="Z4" s="1"/>
      <c r="AA4" s="1"/>
      <c r="AB4" s="10"/>
      <c r="AC4" s="1"/>
      <c r="AD4" s="1"/>
      <c r="AE4" s="1"/>
      <c r="AF4" s="1"/>
      <c r="AG4" s="1"/>
      <c r="AH4" s="1"/>
    </row>
    <row r="5" spans="1:34" ht="21" customHeight="1" x14ac:dyDescent="0.55000000000000004">
      <c r="A5" s="29"/>
      <c r="B5" s="39" t="s">
        <v>34</v>
      </c>
      <c r="C5" s="26"/>
      <c r="D5" s="26"/>
      <c r="E5" s="26"/>
      <c r="F5" s="26"/>
      <c r="G5" s="27"/>
      <c r="H5" s="39" t="s">
        <v>33</v>
      </c>
      <c r="I5" s="26"/>
      <c r="J5" s="26"/>
      <c r="K5" s="26"/>
      <c r="L5" s="26"/>
      <c r="M5" s="27"/>
      <c r="N5" s="29"/>
      <c r="O5" s="1"/>
      <c r="P5" s="10"/>
      <c r="Q5" s="10"/>
      <c r="R5" s="10"/>
      <c r="S5" s="22"/>
      <c r="T5" s="22"/>
      <c r="U5" s="22"/>
      <c r="V5" s="22"/>
      <c r="W5" s="10"/>
      <c r="X5" s="10"/>
      <c r="Y5" s="10"/>
      <c r="Z5" s="10"/>
      <c r="AA5" s="1"/>
      <c r="AB5" s="10"/>
      <c r="AC5" s="1"/>
      <c r="AD5" s="1"/>
      <c r="AE5" s="1"/>
      <c r="AF5" s="1"/>
      <c r="AG5" s="1"/>
      <c r="AH5" s="1"/>
    </row>
    <row r="6" spans="1:34" ht="14.25" customHeight="1" x14ac:dyDescent="0.25">
      <c r="A6" s="30"/>
      <c r="B6" s="4" t="s">
        <v>2</v>
      </c>
      <c r="C6" s="11" t="s">
        <v>35</v>
      </c>
      <c r="D6" s="11" t="s">
        <v>36</v>
      </c>
      <c r="E6" s="11" t="s">
        <v>29</v>
      </c>
      <c r="F6" s="11" t="s">
        <v>30</v>
      </c>
      <c r="G6" s="11" t="s">
        <v>37</v>
      </c>
      <c r="H6" s="4" t="s">
        <v>2</v>
      </c>
      <c r="I6" s="11" t="s">
        <v>35</v>
      </c>
      <c r="J6" s="11" t="s">
        <v>36</v>
      </c>
      <c r="K6" s="11" t="s">
        <v>29</v>
      </c>
      <c r="L6" s="11" t="s">
        <v>30</v>
      </c>
      <c r="M6" s="11" t="s">
        <v>37</v>
      </c>
      <c r="N6" s="30"/>
      <c r="O6" s="1"/>
      <c r="P6" s="10"/>
      <c r="Q6" s="10"/>
      <c r="R6" s="10"/>
      <c r="S6" s="22"/>
      <c r="T6" s="22"/>
      <c r="U6" s="22"/>
      <c r="V6" s="22"/>
      <c r="W6" s="10"/>
      <c r="X6" s="10"/>
      <c r="Y6" s="10"/>
      <c r="Z6" s="10"/>
      <c r="AA6" s="1"/>
      <c r="AB6" s="10"/>
      <c r="AC6" s="1"/>
      <c r="AD6" s="1"/>
      <c r="AE6" s="1"/>
      <c r="AF6" s="1"/>
      <c r="AG6" s="1"/>
      <c r="AH6" s="1"/>
    </row>
    <row r="7" spans="1:34" ht="15" customHeight="1" x14ac:dyDescent="0.25">
      <c r="A7" s="20" t="s">
        <v>3</v>
      </c>
      <c r="B7" s="15">
        <f t="shared" ref="B7:B18" si="0">SUM(C7:G7)</f>
        <v>7255</v>
      </c>
      <c r="C7" s="16">
        <v>2130</v>
      </c>
      <c r="D7" s="16">
        <v>1773</v>
      </c>
      <c r="E7" s="16">
        <v>986</v>
      </c>
      <c r="F7" s="16">
        <v>877</v>
      </c>
      <c r="G7" s="16">
        <v>1489</v>
      </c>
      <c r="H7" s="15">
        <f>SUM(I7:M7)</f>
        <v>7218</v>
      </c>
      <c r="I7" s="23">
        <v>1941</v>
      </c>
      <c r="J7" s="23">
        <v>1878</v>
      </c>
      <c r="K7" s="23">
        <v>962</v>
      </c>
      <c r="L7" s="23">
        <v>914</v>
      </c>
      <c r="M7" s="23">
        <v>1523</v>
      </c>
      <c r="N7" s="6" t="s">
        <v>4</v>
      </c>
      <c r="O7" s="1"/>
      <c r="P7" s="10"/>
      <c r="Q7" s="10"/>
      <c r="R7" s="10"/>
      <c r="S7" s="22"/>
      <c r="T7" s="22"/>
      <c r="U7" s="22"/>
      <c r="V7" s="22"/>
      <c r="W7" s="10"/>
      <c r="X7" s="10"/>
      <c r="Y7" s="10"/>
      <c r="Z7" s="10"/>
      <c r="AA7" s="1"/>
      <c r="AB7" s="10"/>
      <c r="AC7" s="1"/>
      <c r="AD7" s="1"/>
      <c r="AE7" s="1"/>
      <c r="AF7" s="1"/>
      <c r="AG7" s="1"/>
      <c r="AH7" s="1"/>
    </row>
    <row r="8" spans="1:34" ht="21" customHeight="1" x14ac:dyDescent="0.25">
      <c r="A8" s="20" t="s">
        <v>5</v>
      </c>
      <c r="B8" s="15">
        <f t="shared" si="0"/>
        <v>7216</v>
      </c>
      <c r="C8" s="16">
        <v>2122</v>
      </c>
      <c r="D8" s="16">
        <v>1769</v>
      </c>
      <c r="E8" s="16">
        <v>974</v>
      </c>
      <c r="F8" s="16">
        <v>878</v>
      </c>
      <c r="G8" s="16">
        <v>1473</v>
      </c>
      <c r="H8" s="15">
        <f t="shared" ref="H8:H17" si="1">SUM(I8:M8)</f>
        <v>7199</v>
      </c>
      <c r="I8" s="23">
        <v>1931</v>
      </c>
      <c r="J8" s="23">
        <v>1881</v>
      </c>
      <c r="K8" s="23">
        <v>959</v>
      </c>
      <c r="L8" s="23">
        <v>916</v>
      </c>
      <c r="M8" s="23">
        <v>1512</v>
      </c>
      <c r="N8" s="6" t="s">
        <v>6</v>
      </c>
      <c r="O8" s="1"/>
      <c r="P8" s="10"/>
      <c r="Q8" s="10"/>
      <c r="R8" s="10"/>
      <c r="S8" s="22"/>
      <c r="T8" s="22"/>
      <c r="U8" s="22"/>
      <c r="V8" s="22"/>
      <c r="W8" s="10"/>
      <c r="X8" s="10"/>
      <c r="Y8" s="10"/>
      <c r="Z8" s="10"/>
      <c r="AA8" s="1"/>
      <c r="AB8" s="10"/>
      <c r="AC8" s="1"/>
      <c r="AD8" s="1"/>
      <c r="AE8" s="1"/>
      <c r="AF8" s="1"/>
      <c r="AG8" s="1"/>
      <c r="AH8" s="1"/>
    </row>
    <row r="9" spans="1:34" ht="21" customHeight="1" x14ac:dyDescent="0.25">
      <c r="A9" s="20" t="s">
        <v>7</v>
      </c>
      <c r="B9" s="15">
        <f t="shared" si="0"/>
        <v>7218</v>
      </c>
      <c r="C9" s="16">
        <v>2125</v>
      </c>
      <c r="D9" s="16">
        <v>1776</v>
      </c>
      <c r="E9" s="16">
        <v>976</v>
      </c>
      <c r="F9" s="16">
        <v>873</v>
      </c>
      <c r="G9" s="16">
        <v>1468</v>
      </c>
      <c r="H9" s="15">
        <f t="shared" si="1"/>
        <v>7180</v>
      </c>
      <c r="I9" s="23">
        <v>1933</v>
      </c>
      <c r="J9" s="23">
        <v>1881</v>
      </c>
      <c r="K9" s="23">
        <v>950</v>
      </c>
      <c r="L9" s="23">
        <v>914</v>
      </c>
      <c r="M9" s="23">
        <v>1502</v>
      </c>
      <c r="N9" s="6" t="s">
        <v>8</v>
      </c>
      <c r="O9" s="1"/>
      <c r="P9" s="10"/>
      <c r="Q9" s="10"/>
      <c r="R9" s="10"/>
      <c r="S9" s="22"/>
      <c r="T9" s="22"/>
      <c r="U9" s="22"/>
      <c r="V9" s="22"/>
      <c r="W9" s="10"/>
      <c r="X9" s="10"/>
      <c r="Y9" s="10"/>
      <c r="Z9" s="10"/>
      <c r="AA9" s="1"/>
      <c r="AB9" s="10"/>
      <c r="AC9" s="1"/>
      <c r="AD9" s="1"/>
      <c r="AE9" s="1"/>
      <c r="AF9" s="1"/>
      <c r="AG9" s="1"/>
      <c r="AH9" s="1"/>
    </row>
    <row r="10" spans="1:34" ht="21" customHeight="1" x14ac:dyDescent="0.25">
      <c r="A10" s="20" t="s">
        <v>9</v>
      </c>
      <c r="B10" s="15">
        <f t="shared" si="0"/>
        <v>7258</v>
      </c>
      <c r="C10" s="16">
        <v>2096</v>
      </c>
      <c r="D10" s="16">
        <v>1814</v>
      </c>
      <c r="E10" s="16">
        <v>984</v>
      </c>
      <c r="F10" s="16">
        <v>881</v>
      </c>
      <c r="G10" s="16">
        <v>1483</v>
      </c>
      <c r="H10" s="15">
        <f t="shared" si="1"/>
        <v>7213</v>
      </c>
      <c r="I10" s="23">
        <v>1926</v>
      </c>
      <c r="J10" s="23">
        <v>1885</v>
      </c>
      <c r="K10" s="23">
        <v>966</v>
      </c>
      <c r="L10" s="23">
        <v>934</v>
      </c>
      <c r="M10" s="23">
        <v>1502</v>
      </c>
      <c r="N10" s="6" t="s">
        <v>10</v>
      </c>
      <c r="O10" s="1"/>
      <c r="P10" s="10"/>
      <c r="Q10" s="10"/>
      <c r="R10" s="10"/>
      <c r="S10" s="22"/>
      <c r="T10" s="22"/>
      <c r="U10" s="22"/>
      <c r="V10" s="22"/>
      <c r="W10" s="10"/>
      <c r="X10" s="10"/>
      <c r="Y10" s="10"/>
      <c r="Z10" s="10"/>
      <c r="AA10" s="1"/>
      <c r="AB10" s="10"/>
      <c r="AC10" s="1"/>
      <c r="AD10" s="1"/>
      <c r="AE10" s="1"/>
      <c r="AF10" s="1"/>
      <c r="AG10" s="1"/>
      <c r="AH10" s="1"/>
    </row>
    <row r="11" spans="1:34" ht="21" customHeight="1" x14ac:dyDescent="0.25">
      <c r="A11" s="20" t="s">
        <v>11</v>
      </c>
      <c r="B11" s="15">
        <f t="shared" si="0"/>
        <v>7235</v>
      </c>
      <c r="C11" s="16">
        <v>2098</v>
      </c>
      <c r="D11" s="16">
        <v>1827</v>
      </c>
      <c r="E11" s="16">
        <v>965</v>
      </c>
      <c r="F11" s="16">
        <v>879</v>
      </c>
      <c r="G11" s="16">
        <v>1466</v>
      </c>
      <c r="H11" s="15">
        <f t="shared" si="1"/>
        <v>7188</v>
      </c>
      <c r="I11" s="23">
        <v>1916</v>
      </c>
      <c r="J11" s="23">
        <v>1894</v>
      </c>
      <c r="K11" s="23">
        <v>965</v>
      </c>
      <c r="L11" s="23">
        <v>923</v>
      </c>
      <c r="M11" s="23">
        <v>1490</v>
      </c>
      <c r="N11" s="6" t="s">
        <v>12</v>
      </c>
      <c r="O11" s="1"/>
      <c r="P11" s="10"/>
      <c r="Q11" s="10"/>
      <c r="R11" s="10"/>
      <c r="S11" s="22"/>
      <c r="T11" s="22"/>
      <c r="U11" s="22"/>
      <c r="V11" s="22"/>
      <c r="W11" s="10"/>
      <c r="X11" s="10"/>
      <c r="Y11" s="10"/>
      <c r="Z11" s="10"/>
      <c r="AA11" s="1"/>
      <c r="AB11" s="10"/>
      <c r="AC11" s="1"/>
      <c r="AD11" s="1"/>
      <c r="AE11" s="1"/>
      <c r="AF11" s="1"/>
      <c r="AG11" s="1"/>
      <c r="AH11" s="1"/>
    </row>
    <row r="12" spans="1:34" ht="21" customHeight="1" x14ac:dyDescent="0.25">
      <c r="A12" s="20" t="s">
        <v>13</v>
      </c>
      <c r="B12" s="15">
        <f t="shared" si="0"/>
        <v>7231</v>
      </c>
      <c r="C12" s="16">
        <v>2068</v>
      </c>
      <c r="D12" s="16">
        <v>1846</v>
      </c>
      <c r="E12" s="16">
        <v>965</v>
      </c>
      <c r="F12" s="16">
        <v>889</v>
      </c>
      <c r="G12" s="16">
        <v>1463</v>
      </c>
      <c r="H12" s="15">
        <f t="shared" si="1"/>
        <v>7184</v>
      </c>
      <c r="I12" s="23">
        <v>1918</v>
      </c>
      <c r="J12" s="23">
        <v>1891</v>
      </c>
      <c r="K12" s="23">
        <v>966</v>
      </c>
      <c r="L12" s="23">
        <v>929</v>
      </c>
      <c r="M12" s="23">
        <v>1480</v>
      </c>
      <c r="N12" s="6" t="s">
        <v>14</v>
      </c>
      <c r="O12" s="1"/>
      <c r="P12" s="10"/>
      <c r="Q12" s="10"/>
      <c r="R12" s="10"/>
      <c r="S12" s="22"/>
      <c r="T12" s="22"/>
      <c r="U12" s="22"/>
      <c r="V12" s="22"/>
      <c r="W12" s="10"/>
      <c r="X12" s="10"/>
      <c r="Y12" s="10"/>
      <c r="Z12" s="10"/>
      <c r="AA12" s="1"/>
      <c r="AB12" s="10"/>
      <c r="AC12" s="1"/>
      <c r="AD12" s="1"/>
      <c r="AE12" s="1"/>
      <c r="AF12" s="1"/>
      <c r="AG12" s="1"/>
      <c r="AH12" s="1"/>
    </row>
    <row r="13" spans="1:34" ht="21" customHeight="1" x14ac:dyDescent="0.25">
      <c r="A13" s="20" t="s">
        <v>15</v>
      </c>
      <c r="B13" s="15">
        <f t="shared" si="0"/>
        <v>7253</v>
      </c>
      <c r="C13" s="16">
        <v>2068</v>
      </c>
      <c r="D13" s="16">
        <v>1846</v>
      </c>
      <c r="E13" s="16">
        <v>987</v>
      </c>
      <c r="F13" s="16">
        <v>892</v>
      </c>
      <c r="G13" s="16">
        <v>1460</v>
      </c>
      <c r="H13" s="15">
        <f>SUM(I13:M13)</f>
        <v>7214</v>
      </c>
      <c r="I13" s="23">
        <v>1899</v>
      </c>
      <c r="J13" s="23">
        <v>1922</v>
      </c>
      <c r="K13" s="23">
        <v>983</v>
      </c>
      <c r="L13" s="23">
        <v>916</v>
      </c>
      <c r="M13" s="23">
        <v>1494</v>
      </c>
      <c r="N13" s="6" t="s">
        <v>16</v>
      </c>
      <c r="O13" s="1"/>
      <c r="P13" s="10"/>
      <c r="Q13" s="10"/>
      <c r="R13" s="10"/>
      <c r="S13" s="22"/>
      <c r="T13" s="22"/>
      <c r="U13" s="22"/>
      <c r="V13" s="22"/>
      <c r="W13" s="10"/>
      <c r="X13" s="10"/>
      <c r="Y13" s="10"/>
      <c r="Z13" s="10"/>
      <c r="AA13" s="1"/>
      <c r="AB13" s="10"/>
      <c r="AC13" s="1"/>
      <c r="AD13" s="1"/>
      <c r="AE13" s="1"/>
      <c r="AF13" s="1"/>
      <c r="AG13" s="1"/>
      <c r="AH13" s="1"/>
    </row>
    <row r="14" spans="1:34" ht="21" customHeight="1" x14ac:dyDescent="0.25">
      <c r="A14" s="20" t="s">
        <v>17</v>
      </c>
      <c r="B14" s="15">
        <f t="shared" si="0"/>
        <v>7235</v>
      </c>
      <c r="C14" s="16">
        <v>2057</v>
      </c>
      <c r="D14" s="16">
        <v>1859</v>
      </c>
      <c r="E14" s="16">
        <v>974</v>
      </c>
      <c r="F14" s="16">
        <v>895</v>
      </c>
      <c r="G14" s="16">
        <v>1450</v>
      </c>
      <c r="H14" s="15">
        <f t="shared" si="1"/>
        <v>7180</v>
      </c>
      <c r="I14" s="23">
        <v>1878</v>
      </c>
      <c r="J14" s="23">
        <v>1943</v>
      </c>
      <c r="K14" s="23">
        <v>973</v>
      </c>
      <c r="L14" s="23">
        <v>907</v>
      </c>
      <c r="M14" s="23">
        <v>1479</v>
      </c>
      <c r="N14" s="6" t="s">
        <v>18</v>
      </c>
      <c r="O14" s="1"/>
      <c r="P14" s="10"/>
      <c r="Q14" s="10"/>
      <c r="R14" s="10"/>
      <c r="S14" s="22"/>
      <c r="T14" s="22"/>
      <c r="U14" s="22"/>
      <c r="V14" s="22"/>
      <c r="W14" s="10"/>
      <c r="X14" s="10"/>
      <c r="Y14" s="10"/>
      <c r="Z14" s="10"/>
      <c r="AA14" s="1"/>
      <c r="AB14" s="10"/>
      <c r="AC14" s="1"/>
      <c r="AD14" s="1"/>
      <c r="AE14" s="1"/>
      <c r="AF14" s="1"/>
      <c r="AG14" s="1"/>
      <c r="AH14" s="1"/>
    </row>
    <row r="15" spans="1:34" ht="21" customHeight="1" x14ac:dyDescent="0.25">
      <c r="A15" s="20" t="s">
        <v>19</v>
      </c>
      <c r="B15" s="15">
        <f t="shared" si="0"/>
        <v>7221</v>
      </c>
      <c r="C15" s="16">
        <v>2016</v>
      </c>
      <c r="D15" s="16">
        <v>1838</v>
      </c>
      <c r="E15" s="16">
        <v>947</v>
      </c>
      <c r="F15" s="16">
        <v>896</v>
      </c>
      <c r="G15" s="16">
        <v>1524</v>
      </c>
      <c r="H15" s="15">
        <f t="shared" si="1"/>
        <v>7184</v>
      </c>
      <c r="I15" s="23">
        <v>1827</v>
      </c>
      <c r="J15" s="23">
        <v>1932</v>
      </c>
      <c r="K15" s="23">
        <v>957</v>
      </c>
      <c r="L15" s="23">
        <v>922</v>
      </c>
      <c r="M15" s="23">
        <v>1546</v>
      </c>
      <c r="N15" s="6" t="s">
        <v>20</v>
      </c>
      <c r="O15" s="1"/>
      <c r="P15" s="10"/>
      <c r="Q15" s="10"/>
      <c r="R15" s="10"/>
      <c r="S15" s="22"/>
      <c r="T15" s="22"/>
      <c r="U15" s="22"/>
      <c r="V15" s="22"/>
      <c r="W15" s="10"/>
      <c r="X15" s="10"/>
      <c r="Y15" s="10"/>
      <c r="Z15" s="10"/>
      <c r="AA15" s="1"/>
      <c r="AB15" s="10"/>
      <c r="AC15" s="1"/>
      <c r="AD15" s="1"/>
      <c r="AE15" s="1"/>
      <c r="AF15" s="1"/>
      <c r="AG15" s="1"/>
      <c r="AH15" s="1"/>
    </row>
    <row r="16" spans="1:34" ht="21" customHeight="1" x14ac:dyDescent="0.25">
      <c r="A16" s="20" t="s">
        <v>21</v>
      </c>
      <c r="B16" s="15">
        <f t="shared" si="0"/>
        <v>7238</v>
      </c>
      <c r="C16" s="16">
        <v>1994</v>
      </c>
      <c r="D16" s="16">
        <v>1850</v>
      </c>
      <c r="E16" s="16">
        <v>967</v>
      </c>
      <c r="F16" s="16">
        <v>903</v>
      </c>
      <c r="G16" s="16">
        <v>1524</v>
      </c>
      <c r="H16" s="15">
        <f t="shared" si="1"/>
        <v>7212</v>
      </c>
      <c r="I16" s="23">
        <v>1794</v>
      </c>
      <c r="J16" s="23">
        <v>1958</v>
      </c>
      <c r="K16" s="23">
        <v>967</v>
      </c>
      <c r="L16" s="23">
        <v>934</v>
      </c>
      <c r="M16" s="23">
        <v>1559</v>
      </c>
      <c r="N16" s="6" t="s">
        <v>22</v>
      </c>
      <c r="O16" s="1"/>
      <c r="P16" s="10"/>
      <c r="Q16" s="10"/>
      <c r="R16" s="10"/>
      <c r="S16" s="22"/>
      <c r="T16" s="22"/>
      <c r="U16" s="22"/>
      <c r="V16" s="22"/>
      <c r="W16" s="10"/>
      <c r="X16" s="10"/>
      <c r="Y16" s="10"/>
      <c r="Z16" s="10"/>
      <c r="AA16" s="1"/>
      <c r="AB16" s="10"/>
      <c r="AC16" s="1"/>
      <c r="AD16" s="1"/>
      <c r="AE16" s="1"/>
      <c r="AF16" s="1"/>
      <c r="AG16" s="1"/>
      <c r="AH16" s="1"/>
    </row>
    <row r="17" spans="1:34" ht="21" customHeight="1" x14ac:dyDescent="0.25">
      <c r="A17" s="20" t="s">
        <v>23</v>
      </c>
      <c r="B17" s="15">
        <f t="shared" si="0"/>
        <v>7202</v>
      </c>
      <c r="C17" s="16">
        <v>1984</v>
      </c>
      <c r="D17" s="16">
        <v>1850</v>
      </c>
      <c r="E17" s="16">
        <v>949</v>
      </c>
      <c r="F17" s="16">
        <v>904</v>
      </c>
      <c r="G17" s="16">
        <v>1515</v>
      </c>
      <c r="H17" s="15">
        <f t="shared" si="1"/>
        <v>7172</v>
      </c>
      <c r="I17" s="23">
        <v>1778</v>
      </c>
      <c r="J17" s="23">
        <v>1966</v>
      </c>
      <c r="K17" s="23">
        <v>973</v>
      </c>
      <c r="L17" s="23">
        <v>907</v>
      </c>
      <c r="M17" s="23">
        <v>1548</v>
      </c>
      <c r="N17" s="6" t="s">
        <v>24</v>
      </c>
      <c r="O17" s="1"/>
      <c r="P17" s="10"/>
      <c r="Q17" s="10"/>
      <c r="R17" s="10"/>
      <c r="S17" s="22"/>
      <c r="T17" s="22"/>
      <c r="U17" s="22"/>
      <c r="V17" s="22"/>
      <c r="W17" s="10"/>
      <c r="X17" s="10"/>
      <c r="Y17" s="10"/>
      <c r="Z17" s="10"/>
      <c r="AA17" s="1"/>
      <c r="AB17" s="10"/>
      <c r="AC17" s="1"/>
      <c r="AD17" s="1"/>
      <c r="AE17" s="1"/>
      <c r="AF17" s="1"/>
      <c r="AG17" s="1"/>
      <c r="AH17" s="1"/>
    </row>
    <row r="18" spans="1:34" ht="21" customHeight="1" x14ac:dyDescent="0.25">
      <c r="A18" s="21" t="s">
        <v>25</v>
      </c>
      <c r="B18" s="17">
        <f t="shared" si="0"/>
        <v>7200</v>
      </c>
      <c r="C18" s="18">
        <v>1958</v>
      </c>
      <c r="D18" s="18">
        <v>1871</v>
      </c>
      <c r="E18" s="18">
        <v>949</v>
      </c>
      <c r="F18" s="18">
        <v>903</v>
      </c>
      <c r="G18" s="18">
        <v>1519</v>
      </c>
      <c r="H18" s="17">
        <f>SUM(I18:M18)</f>
        <v>7159</v>
      </c>
      <c r="I18" s="24">
        <v>1764</v>
      </c>
      <c r="J18" s="24">
        <v>1968</v>
      </c>
      <c r="K18" s="24">
        <v>976</v>
      </c>
      <c r="L18" s="24">
        <v>905</v>
      </c>
      <c r="M18" s="24">
        <v>1546</v>
      </c>
      <c r="N18" s="7" t="s">
        <v>26</v>
      </c>
      <c r="O18" s="1"/>
      <c r="P18" s="10"/>
      <c r="Q18" s="10"/>
      <c r="R18" s="10"/>
      <c r="S18" s="22"/>
      <c r="T18" s="22"/>
      <c r="U18" s="22"/>
      <c r="V18" s="22"/>
      <c r="W18" s="10"/>
      <c r="X18" s="10"/>
      <c r="Y18" s="10"/>
      <c r="Z18" s="10"/>
      <c r="AA18" s="1"/>
      <c r="AB18" s="10"/>
      <c r="AC18" s="1"/>
      <c r="AD18" s="1"/>
      <c r="AE18" s="1"/>
      <c r="AF18" s="1"/>
      <c r="AG18" s="1"/>
      <c r="AH18" s="1"/>
    </row>
    <row r="19" spans="1:34" ht="19.5" customHeight="1" x14ac:dyDescent="0.45">
      <c r="A19" s="8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9" t="s">
        <v>28</v>
      </c>
      <c r="O19" s="1"/>
      <c r="P19" s="10"/>
      <c r="Q19" s="10"/>
      <c r="R19" s="10"/>
      <c r="S19" s="22"/>
      <c r="T19" s="22"/>
      <c r="U19" s="22"/>
      <c r="V19" s="22"/>
      <c r="W19" s="10"/>
      <c r="X19" s="10"/>
      <c r="Y19" s="10"/>
      <c r="Z19" s="10"/>
      <c r="AA19" s="1"/>
      <c r="AB19" s="10"/>
      <c r="AC19" s="1"/>
      <c r="AD19" s="1"/>
      <c r="AE19" s="1"/>
      <c r="AF19" s="1"/>
      <c r="AG19" s="1"/>
      <c r="AH19" s="1"/>
    </row>
    <row r="20" spans="1:3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  <c r="Q20" s="10"/>
      <c r="R20" s="10"/>
      <c r="S20" s="22"/>
      <c r="T20" s="22"/>
      <c r="U20" s="22"/>
      <c r="V20" s="22"/>
      <c r="W20" s="10"/>
      <c r="X20" s="10"/>
      <c r="Y20" s="10"/>
      <c r="Z20" s="10"/>
      <c r="AA20" s="1"/>
      <c r="AB20" s="10"/>
      <c r="AC20" s="1"/>
      <c r="AD20" s="1"/>
      <c r="AE20" s="1"/>
      <c r="AF20" s="1"/>
      <c r="AG20" s="1"/>
      <c r="AH20" s="1"/>
    </row>
    <row r="21" spans="1:34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5"/>
      <c r="T21" s="5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5"/>
      <c r="T22" s="5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25">
      <c r="A23" s="1"/>
      <c r="B23" s="1"/>
      <c r="C23" s="13"/>
      <c r="D23" s="13"/>
      <c r="E23" s="13"/>
      <c r="F23" s="13"/>
      <c r="G23" s="13"/>
      <c r="H23" s="1"/>
      <c r="I23" s="13"/>
      <c r="J23" s="13"/>
      <c r="K23" s="13"/>
      <c r="L23" s="13"/>
      <c r="M23" s="13"/>
      <c r="N23" s="1"/>
      <c r="O23" s="1"/>
      <c r="P23" s="1"/>
      <c r="Q23" s="1"/>
      <c r="R23" s="1"/>
      <c r="S23" s="5"/>
      <c r="T23" s="5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5"/>
      <c r="T24" s="5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5"/>
      <c r="T25" s="5"/>
      <c r="U25" s="5"/>
      <c r="V25" s="5"/>
      <c r="W25" s="1"/>
      <c r="X25" s="1"/>
      <c r="Y25" s="1"/>
      <c r="Z25" s="1"/>
      <c r="AA25" s="1"/>
      <c r="AB25" s="1"/>
      <c r="AC25" s="1"/>
      <c r="AD25" s="14"/>
      <c r="AE25" s="14"/>
      <c r="AF25" s="14"/>
      <c r="AG25" s="14"/>
      <c r="AH25" s="14"/>
    </row>
    <row r="26" spans="1:34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5"/>
      <c r="T26" s="5"/>
      <c r="U26" s="5"/>
      <c r="V26" s="5"/>
      <c r="W26" s="1"/>
      <c r="X26" s="1"/>
      <c r="Y26" s="1"/>
      <c r="Z26" s="1"/>
      <c r="AA26" s="1"/>
      <c r="AB26" s="1"/>
      <c r="AC26" s="1"/>
      <c r="AD26" s="14" t="s">
        <v>38</v>
      </c>
      <c r="AE26" s="14" t="s">
        <v>39</v>
      </c>
      <c r="AF26" s="14" t="s">
        <v>31</v>
      </c>
      <c r="AG26" s="14" t="s">
        <v>32</v>
      </c>
      <c r="AH26" s="14" t="s">
        <v>40</v>
      </c>
    </row>
    <row r="27" spans="1:34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5"/>
      <c r="T27" s="5"/>
      <c r="U27" s="5"/>
      <c r="V27" s="5"/>
      <c r="W27" s="1"/>
      <c r="X27" s="1"/>
      <c r="Y27" s="1"/>
      <c r="Z27" s="1"/>
      <c r="AA27" s="1"/>
      <c r="AB27" s="1"/>
      <c r="AC27" s="1"/>
      <c r="AD27" s="12">
        <f>I18/H18*100</f>
        <v>24.640312892862131</v>
      </c>
      <c r="AE27" s="12">
        <f>J18/H18*100</f>
        <v>27.489872887274757</v>
      </c>
      <c r="AF27" s="12">
        <f>K18/H18*100</f>
        <v>13.6331889928761</v>
      </c>
      <c r="AG27" s="12">
        <f>L18/H18*100</f>
        <v>12.641430367369743</v>
      </c>
      <c r="AH27" s="12">
        <f>M18/H18*100</f>
        <v>21.595194859617266</v>
      </c>
    </row>
    <row r="28" spans="1:34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5"/>
      <c r="T28" s="5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5"/>
      <c r="T29" s="5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5"/>
      <c r="T30" s="5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25">
      <c r="A31" s="1"/>
      <c r="B31" s="1"/>
      <c r="C31" s="19"/>
      <c r="D31" s="1"/>
      <c r="E31" s="1"/>
      <c r="F31" s="1"/>
      <c r="G31" s="1"/>
      <c r="H31" s="1"/>
      <c r="I31" s="19"/>
      <c r="J31" s="1"/>
      <c r="K31" s="1"/>
      <c r="L31" s="1"/>
      <c r="M31" s="1"/>
      <c r="N31" s="1"/>
      <c r="O31" s="1"/>
      <c r="P31" s="1"/>
      <c r="Q31" s="1"/>
      <c r="R31" s="1"/>
      <c r="S31" s="5"/>
      <c r="T31" s="5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25.5" customHeight="1" x14ac:dyDescent="0.25">
      <c r="A32" s="3"/>
      <c r="B32" s="3"/>
      <c r="C32" s="3"/>
      <c r="D32" s="3"/>
      <c r="E32" s="3"/>
      <c r="F32" s="1"/>
      <c r="G32" s="1"/>
      <c r="H32" s="3"/>
      <c r="I32" s="3"/>
      <c r="J32" s="3"/>
      <c r="K32" s="3"/>
      <c r="L32" s="1"/>
      <c r="M32" s="1"/>
      <c r="N32" s="3"/>
      <c r="O32" s="3"/>
      <c r="P32" s="3"/>
      <c r="Q32" s="3"/>
      <c r="R32" s="3"/>
      <c r="S32" s="25"/>
      <c r="T32" s="25"/>
      <c r="U32" s="25"/>
      <c r="V32" s="25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25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25"/>
      <c r="T33" s="25"/>
      <c r="U33" s="25"/>
      <c r="V33" s="25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25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25"/>
      <c r="T34" s="25"/>
      <c r="U34" s="25"/>
      <c r="V34" s="25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</sheetData>
  <mergeCells count="8">
    <mergeCell ref="B4:G4"/>
    <mergeCell ref="A1:N1"/>
    <mergeCell ref="A2:N2"/>
    <mergeCell ref="N4:N6"/>
    <mergeCell ref="B5:G5"/>
    <mergeCell ref="A4:A6"/>
    <mergeCell ref="H4:M4"/>
    <mergeCell ref="H5:M5"/>
  </mergeCells>
  <pageMargins left="0.7" right="0.7" top="0.75" bottom="0.75" header="0" footer="0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2020-06-28T08:05:24Z</cp:lastPrinted>
  <dcterms:created xsi:type="dcterms:W3CDTF">2019-02-21T04:10:17Z</dcterms:created>
  <dcterms:modified xsi:type="dcterms:W3CDTF">2020-06-28T08:06:10Z</dcterms:modified>
</cp:coreProperties>
</file>