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Desktop\yearbook 2020 =update\web\18. PENSION AND SOCIAL PROTECTION\"/>
    </mc:Choice>
  </mc:AlternateContent>
  <bookViews>
    <workbookView xWindow="0" yWindow="0" windowWidth="28800" windowHeight="12435" tabRatio="841"/>
  </bookViews>
  <sheets>
    <sheet name="18.1" sheetId="1" r:id="rId1"/>
  </sheets>
  <definedNames>
    <definedName name="_xlnm.Print_Area" localSheetId="0">'18.1'!$A$1:$Y$53</definedName>
  </definedNames>
  <calcPr calcId="152511"/>
</workbook>
</file>

<file path=xl/calcChain.xml><?xml version="1.0" encoding="utf-8"?>
<calcChain xmlns="http://schemas.openxmlformats.org/spreadsheetml/2006/main">
  <c r="AI24" i="1" l="1"/>
  <c r="AG24" i="1" s="1"/>
  <c r="AI25" i="1" l="1"/>
  <c r="AJ25" i="1"/>
  <c r="AI26" i="1"/>
  <c r="AJ26" i="1"/>
  <c r="AI27" i="1"/>
  <c r="AJ27" i="1"/>
  <c r="AJ24" i="1"/>
  <c r="E12" i="1"/>
  <c r="E11" i="1"/>
  <c r="M11" i="1" s="1"/>
  <c r="E10" i="1"/>
  <c r="E9" i="1"/>
  <c r="M9" i="1" s="1"/>
  <c r="G8" i="1"/>
  <c r="F8" i="1"/>
  <c r="J12" i="1" l="1"/>
  <c r="M10" i="1"/>
  <c r="M12" i="1"/>
  <c r="J11" i="1"/>
  <c r="J10" i="1"/>
  <c r="E8" i="1"/>
  <c r="J8" i="1" l="1"/>
  <c r="J9" i="1"/>
  <c r="M8" i="1"/>
  <c r="AH25" i="1"/>
  <c r="AH26" i="1"/>
  <c r="AH24" i="1"/>
  <c r="AH27" i="1"/>
  <c r="AG27" i="1"/>
  <c r="AG26" i="1"/>
  <c r="AG25" i="1"/>
  <c r="B12" i="1"/>
  <c r="N12" i="1" s="1"/>
  <c r="K12" i="1"/>
  <c r="B11" i="1"/>
  <c r="N11" i="1" s="1"/>
  <c r="B10" i="1"/>
  <c r="N10" i="1" s="1"/>
  <c r="K10" i="1"/>
  <c r="B9" i="1"/>
  <c r="D8" i="1"/>
  <c r="C8" i="1"/>
  <c r="L9" i="1" l="1"/>
  <c r="AL24" i="1" s="1"/>
  <c r="N9" i="1"/>
  <c r="L10" i="1"/>
  <c r="AL25" i="1" s="1"/>
  <c r="L11" i="1"/>
  <c r="AL26" i="1" s="1"/>
  <c r="L12" i="1"/>
  <c r="AL27" i="1" s="1"/>
  <c r="B8" i="1"/>
  <c r="L8" i="1" s="1"/>
  <c r="K9" i="1"/>
  <c r="K11" i="1"/>
  <c r="H9" i="1"/>
  <c r="I8" i="1" l="1"/>
  <c r="N8" i="1"/>
  <c r="I10" i="1"/>
  <c r="AK25" i="1" s="1"/>
  <c r="I12" i="1"/>
  <c r="AK27" i="1" s="1"/>
  <c r="I9" i="1"/>
  <c r="AK24" i="1" s="1"/>
  <c r="I11" i="1"/>
  <c r="AK26" i="1" s="1"/>
  <c r="H11" i="1"/>
  <c r="H12" i="1"/>
  <c r="H8" i="1"/>
  <c r="K8" i="1"/>
  <c r="H10" i="1"/>
</calcChain>
</file>

<file path=xl/sharedStrings.xml><?xml version="1.0" encoding="utf-8"?>
<sst xmlns="http://schemas.openxmlformats.org/spreadsheetml/2006/main" count="50" uniqueCount="34">
  <si>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</si>
  <si>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</si>
  <si>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</si>
  <si>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</si>
  <si>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</si>
  <si>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</si>
  <si>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</si>
  <si>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</si>
  <si>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</si>
  <si>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</si>
  <si>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</si>
  <si>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</si>
  <si>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</si>
  <si>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</si>
  <si>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</si>
  <si>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</si>
  <si>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</si>
  <si>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Basic Pension</t>
  </si>
  <si>
    <t>Retirement Pension</t>
  </si>
  <si>
    <t>Other Pension</t>
  </si>
  <si>
    <t>Source: Maldives Pension Administration</t>
  </si>
  <si>
    <t>މަޢުލޫމާތު ދެއްވި ފަރާތް: މޯލްޑިވްސް ޕެންޝަން އެޑްމިނިސްޓްރޭޝަން</t>
  </si>
  <si>
    <t>1_/</t>
  </si>
  <si>
    <t>Senior Citizen Allowance</t>
  </si>
  <si>
    <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</si>
  <si>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</si>
  <si>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</si>
  <si>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Payout Rf (million Rf)</t>
  </si>
  <si>
    <t xml:space="preserve">Payout Rf </t>
  </si>
  <si>
    <t xml:space="preserve">% share </t>
  </si>
  <si>
    <t>2018-2019</t>
  </si>
  <si>
    <t>1_/ Those pensioners receiving less than 5,000 mvr is given the balance amount to reach 5,000 mvr under this scheme. Senior Citizen Allowance was introduced in February 2014 and discontinued in March 2019.</t>
  </si>
  <si>
    <t>ތާވަލު 18.1:  ޕެންޝަންގެ ގޮތުގައި އެކި ސްކީމްތަކުން ދެވުނު މިންވަރު، 2018 - 2019</t>
  </si>
  <si>
    <t>TABLE:    18.1   AMOUNT OF PENSION PAID OUT UNDER DIFFERENT SCHEMES, 2018- 2019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</si>
</sst>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18" x14ac:knownFonts="1">
    <font>
      <sz val="11"/>
      <color rgb="FF000000"/>
      <name val="Calibri"/>
    </font>
    <font>
      <sz val="11"/>
      <color theme="1"/>
      <name val="Calibri"/>
      <family val="2"/>
      <scheme val="minor"/>
    </font>
    <font>
      <b/>
      <sz val="11"/>
      <color rgb="FF000000"/>
      <name val="Faruma"/>
    </font>
    <font>
      <sz val="11"/>
      <name val="Calibri"/>
      <family val="2"/>
    </font>
    <font>
      <b/>
      <sz val="11"/>
      <color rgb="FF000000"/>
      <name val="Calibri"/>
      <family val="2"/>
    </font>
    <font>
      <b/>
      <sz val="10"/>
      <color rgb="FF000000"/>
      <name val="Faruma"/>
    </font>
    <font>
      <sz val="11"/>
      <color rgb="FF000000"/>
      <name val="Faruma"/>
    </font>
    <font>
      <i/>
      <sz val="10"/>
      <color rgb="FF000000"/>
      <name val="Calibri"/>
      <family val="2"/>
    </font>
    <font>
      <sz val="10"/>
      <color rgb="FF000000"/>
      <name val="Faruma"/>
    </font>
    <font>
      <vertAlign val="superscript"/>
      <sz val="10"/>
      <color rgb="FF000000"/>
      <name val="Faruma"/>
    </font>
    <font>
      <b/>
      <i/>
      <sz val="12"/>
      <color rgb="FFFF0000"/>
      <name val="Calibri"/>
      <family val="2"/>
    </font>
    <font>
      <u/>
      <sz val="9"/>
      <color rgb="FF0000FF"/>
      <name val="Calibri"/>
      <family val="2"/>
    </font>
    <font>
      <vertAlign val="superscript"/>
      <sz val="11"/>
      <color rgb="FF000000"/>
      <name val="Calibri"/>
      <family val="2"/>
    </font>
    <font>
      <b/>
      <sz val="11"/>
      <color rgb="FF000000"/>
      <name val="Calibri"/>
      <family val="2"/>
    </font>
    <font>
      <sz val="11"/>
      <color rgb="FF000000"/>
      <name val="Calibri"/>
      <family val="2"/>
    </font>
    <font>
      <sz val="10"/>
      <name val="Arial"/>
      <family val="2"/>
    </font>
    <font>
      <sz val="10"/>
      <name val="Courier"/>
      <family val="3"/>
    </font>
    <font>
      <sz val="11"/>
      <name val="Faruma"/>
    </font>
  </fonts>
  <fills count="6">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0"/>
        <bgColor rgb="FFE2EFD9"/>
      </patternFill>
    </fill>
  </fills>
  <borders count="39">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style="hair">
        <color rgb="FF000000"/>
      </right>
      <top style="thin">
        <color rgb="FF000000"/>
      </top>
      <bottom style="thin">
        <color rgb="FF000000"/>
      </bottom>
      <diagonal/>
    </border>
    <border>
      <left/>
      <right/>
      <top style="thin">
        <color rgb="FF000000"/>
      </top>
      <bottom/>
      <diagonal/>
    </border>
    <border>
      <left/>
      <right/>
      <top/>
      <bottom/>
      <diagonal/>
    </border>
    <border>
      <left/>
      <right/>
      <top style="thin">
        <color rgb="FF000000"/>
      </top>
      <bottom style="hair">
        <color rgb="FF000000"/>
      </bottom>
      <diagonal/>
    </border>
    <border>
      <left/>
      <right/>
      <top style="thin">
        <color rgb="FF000000"/>
      </top>
      <bottom/>
      <diagonal/>
    </border>
    <border>
      <left/>
      <right style="hair">
        <color rgb="FF000000"/>
      </right>
      <top style="thin">
        <color rgb="FF000000"/>
      </top>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bottom/>
      <diagonal/>
    </border>
    <border>
      <left/>
      <right style="hair">
        <color rgb="FF000000"/>
      </right>
      <top/>
      <bottom/>
      <diagonal/>
    </border>
    <border>
      <left style="hair">
        <color rgb="FF000000"/>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s>
  <cellStyleXfs count="7">
    <xf numFmtId="0" fontId="0" fillId="0" borderId="0"/>
    <xf numFmtId="164" fontId="16" fillId="0" borderId="33"/>
    <xf numFmtId="0" fontId="1" fillId="0" borderId="33"/>
    <xf numFmtId="0" fontId="1" fillId="0" borderId="33"/>
    <xf numFmtId="43" fontId="14" fillId="0" borderId="33" applyFont="0" applyFill="0" applyBorder="0" applyAlignment="0" applyProtection="0"/>
    <xf numFmtId="43" fontId="14" fillId="0" borderId="33" applyFont="0" applyFill="0" applyBorder="0" applyAlignment="0" applyProtection="0"/>
    <xf numFmtId="0" fontId="14" fillId="0" borderId="33"/>
  </cellStyleXfs>
  <cellXfs count="118">
    <xf numFmtId="0" fontId="0" fillId="0" borderId="0" xfId="0" applyFont="1" applyAlignment="1"/>
    <xf numFmtId="0" fontId="2" fillId="2" borderId="2" xfId="0" applyFont="1" applyFill="1" applyBorder="1" applyAlignment="1">
      <alignment horizontal="center"/>
    </xf>
    <xf numFmtId="0" fontId="0" fillId="2" borderId="2" xfId="0" applyFont="1" applyFill="1" applyBorder="1"/>
    <xf numFmtId="0" fontId="0" fillId="3" borderId="0" xfId="0" applyFont="1" applyFill="1" applyAlignment="1"/>
    <xf numFmtId="0" fontId="4" fillId="2" borderId="2" xfId="0" applyFont="1" applyFill="1" applyBorder="1" applyAlignment="1">
      <alignment horizontal="center"/>
    </xf>
    <xf numFmtId="0" fontId="2" fillId="2" borderId="7" xfId="0" applyFont="1" applyFill="1" applyBorder="1" applyAlignment="1">
      <alignment horizontal="center" vertical="center"/>
    </xf>
    <xf numFmtId="0" fontId="2" fillId="2" borderId="7" xfId="0" applyFont="1" applyFill="1" applyBorder="1" applyAlignment="1">
      <alignment horizontal="right" vertical="center"/>
    </xf>
    <xf numFmtId="0" fontId="4" fillId="2" borderId="2" xfId="0" applyFont="1" applyFill="1" applyBorder="1"/>
    <xf numFmtId="0" fontId="4"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0" fillId="2" borderId="2" xfId="0" applyFont="1" applyFill="1" applyBorder="1" applyAlignment="1">
      <alignment vertical="center"/>
    </xf>
    <xf numFmtId="0" fontId="5" fillId="2" borderId="2" xfId="0" applyFont="1" applyFill="1" applyBorder="1" applyAlignment="1">
      <alignment horizontal="right" vertical="center"/>
    </xf>
    <xf numFmtId="0" fontId="5" fillId="2" borderId="30" xfId="0" applyFont="1" applyFill="1" applyBorder="1" applyAlignment="1">
      <alignment horizontal="right" vertical="center"/>
    </xf>
    <xf numFmtId="0" fontId="5" fillId="2" borderId="36" xfId="0" applyFont="1" applyFill="1" applyBorder="1" applyAlignment="1">
      <alignment horizontal="right" vertical="center"/>
    </xf>
    <xf numFmtId="0" fontId="5" fillId="2" borderId="33" xfId="0" applyFont="1" applyFill="1" applyBorder="1" applyAlignment="1">
      <alignment horizontal="right" vertical="center"/>
    </xf>
    <xf numFmtId="0" fontId="5" fillId="2" borderId="31" xfId="0" applyFont="1" applyFill="1" applyBorder="1" applyAlignment="1">
      <alignment horizontal="right" vertical="center"/>
    </xf>
    <xf numFmtId="0" fontId="4" fillId="2" borderId="34" xfId="0" applyFont="1" applyFill="1" applyBorder="1" applyAlignment="1">
      <alignment vertical="center"/>
    </xf>
    <xf numFmtId="0" fontId="4" fillId="2" borderId="15" xfId="0" applyFont="1" applyFill="1" applyBorder="1" applyAlignment="1">
      <alignment horizontal="right" vertical="center"/>
    </xf>
    <xf numFmtId="0" fontId="4" fillId="2" borderId="19" xfId="0" applyFont="1" applyFill="1" applyBorder="1" applyAlignment="1">
      <alignment horizontal="right" vertical="center"/>
    </xf>
    <xf numFmtId="0" fontId="4" fillId="2" borderId="35" xfId="0" applyFont="1" applyFill="1" applyBorder="1" applyAlignment="1">
      <alignment horizontal="right" vertical="center"/>
    </xf>
    <xf numFmtId="0" fontId="4" fillId="2" borderId="16" xfId="0" applyFont="1" applyFill="1" applyBorder="1" applyAlignment="1">
      <alignment horizontal="right" vertical="center"/>
    </xf>
    <xf numFmtId="0" fontId="4" fillId="2" borderId="18" xfId="0" applyFont="1" applyFill="1" applyBorder="1" applyAlignment="1">
      <alignment horizontal="right" vertical="center"/>
    </xf>
    <xf numFmtId="0" fontId="4" fillId="2" borderId="17" xfId="0" applyFont="1" applyFill="1" applyBorder="1" applyAlignment="1">
      <alignment horizontal="right" vertical="center"/>
    </xf>
    <xf numFmtId="0" fontId="4" fillId="2" borderId="35" xfId="0" applyFont="1" applyFill="1" applyBorder="1" applyAlignment="1">
      <alignment horizontal="center" vertical="center"/>
    </xf>
    <xf numFmtId="0" fontId="4" fillId="2" borderId="15" xfId="0" applyFont="1" applyFill="1" applyBorder="1" applyAlignment="1">
      <alignment horizontal="center" vertical="center"/>
    </xf>
    <xf numFmtId="0" fontId="2" fillId="2" borderId="15" xfId="0" applyFont="1" applyFill="1" applyBorder="1" applyAlignment="1">
      <alignment horizontal="right" vertical="center"/>
    </xf>
    <xf numFmtId="164" fontId="4" fillId="2" borderId="2" xfId="0" applyNumberFormat="1" applyFont="1" applyFill="1" applyBorder="1" applyAlignment="1">
      <alignment horizontal="center" vertical="center"/>
    </xf>
    <xf numFmtId="164" fontId="4" fillId="2" borderId="22" xfId="0" applyNumberFormat="1" applyFont="1" applyFill="1" applyBorder="1" applyAlignment="1">
      <alignment horizontal="center" vertical="center"/>
    </xf>
    <xf numFmtId="164" fontId="4" fillId="2" borderId="33" xfId="0" applyNumberFormat="1" applyFont="1" applyFill="1" applyBorder="1" applyAlignment="1">
      <alignment horizontal="center" vertical="center"/>
    </xf>
    <xf numFmtId="164" fontId="4" fillId="2" borderId="28" xfId="0" applyNumberFormat="1" applyFont="1" applyFill="1" applyBorder="1" applyAlignment="1">
      <alignment horizontal="center" vertical="center"/>
    </xf>
    <xf numFmtId="164" fontId="4" fillId="2" borderId="21" xfId="0" applyNumberFormat="1" applyFont="1" applyFill="1" applyBorder="1" applyAlignment="1">
      <alignment horizontal="center" vertical="center"/>
    </xf>
    <xf numFmtId="164" fontId="4" fillId="4" borderId="33" xfId="0" applyNumberFormat="1" applyFont="1" applyFill="1" applyBorder="1" applyAlignment="1">
      <alignment horizontal="center" vertical="center"/>
    </xf>
    <xf numFmtId="164" fontId="4" fillId="2" borderId="23" xfId="0" applyNumberFormat="1" applyFont="1" applyFill="1" applyBorder="1" applyAlignment="1">
      <alignment horizontal="center" vertical="center"/>
    </xf>
    <xf numFmtId="164" fontId="4" fillId="4" borderId="28" xfId="0" applyNumberFormat="1" applyFont="1" applyFill="1" applyBorder="1" applyAlignment="1">
      <alignment horizontal="center" vertical="center"/>
    </xf>
    <xf numFmtId="1" fontId="0" fillId="4" borderId="10"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0" fontId="2" fillId="2" borderId="2" xfId="0" applyFont="1" applyFill="1" applyBorder="1" applyAlignment="1"/>
    <xf numFmtId="0" fontId="2" fillId="2" borderId="2" xfId="0" applyFont="1" applyFill="1" applyBorder="1"/>
    <xf numFmtId="164" fontId="0" fillId="2" borderId="2" xfId="0" applyNumberFormat="1" applyFont="1" applyFill="1" applyBorder="1" applyAlignment="1">
      <alignment horizontal="center" vertical="center"/>
    </xf>
    <xf numFmtId="164" fontId="0" fillId="2" borderId="33" xfId="0" applyNumberFormat="1" applyFont="1" applyFill="1" applyBorder="1" applyAlignment="1">
      <alignment horizontal="center" vertical="center"/>
    </xf>
    <xf numFmtId="164" fontId="0" fillId="2" borderId="21" xfId="0" applyNumberFormat="1" applyFont="1" applyFill="1" applyBorder="1" applyAlignment="1">
      <alignment horizontal="center" vertical="center"/>
    </xf>
    <xf numFmtId="164" fontId="0" fillId="2" borderId="29" xfId="0" applyNumberFormat="1" applyFont="1" applyFill="1" applyBorder="1" applyAlignment="1">
      <alignment horizontal="center" vertical="center"/>
    </xf>
    <xf numFmtId="1" fontId="0" fillId="2" borderId="2" xfId="0" applyNumberFormat="1" applyFont="1" applyFill="1" applyBorder="1" applyAlignment="1">
      <alignment horizontal="center" vertical="center"/>
    </xf>
    <xf numFmtId="0" fontId="6" fillId="2" borderId="2" xfId="0" applyFont="1" applyFill="1" applyBorder="1" applyAlignment="1"/>
    <xf numFmtId="0" fontId="6" fillId="2" borderId="2" xfId="0" applyFont="1" applyFill="1" applyBorder="1"/>
    <xf numFmtId="0" fontId="0" fillId="2" borderId="15" xfId="0" applyFont="1" applyFill="1" applyBorder="1"/>
    <xf numFmtId="164" fontId="0" fillId="2" borderId="35" xfId="0" applyNumberFormat="1" applyFont="1" applyFill="1" applyBorder="1" applyAlignment="1">
      <alignment horizontal="center" vertical="center"/>
    </xf>
    <xf numFmtId="164" fontId="0" fillId="2" borderId="16" xfId="0" applyNumberFormat="1" applyFont="1" applyFill="1" applyBorder="1" applyAlignment="1">
      <alignment horizontal="center" vertical="center"/>
    </xf>
    <xf numFmtId="164" fontId="0" fillId="4" borderId="19" xfId="0" applyNumberFormat="1" applyFont="1" applyFill="1" applyBorder="1" applyAlignment="1">
      <alignment horizontal="center" vertical="center"/>
    </xf>
    <xf numFmtId="1" fontId="0" fillId="2" borderId="15" xfId="0" applyNumberFormat="1" applyFont="1" applyFill="1" applyBorder="1" applyAlignment="1">
      <alignment horizontal="center" vertical="center"/>
    </xf>
    <xf numFmtId="0" fontId="6" fillId="2" borderId="15" xfId="0" applyFont="1" applyFill="1" applyBorder="1" applyAlignment="1"/>
    <xf numFmtId="0" fontId="6" fillId="2" borderId="15" xfId="0" applyFont="1" applyFill="1" applyBorder="1"/>
    <xf numFmtId="0" fontId="7" fillId="2" borderId="2" xfId="0" applyFont="1" applyFill="1" applyBorder="1" applyAlignment="1">
      <alignment vertical="center"/>
    </xf>
    <xf numFmtId="164" fontId="7" fillId="2" borderId="2" xfId="0" applyNumberFormat="1" applyFont="1" applyFill="1" applyBorder="1" applyAlignment="1">
      <alignment horizontal="right" vertical="center"/>
    </xf>
    <xf numFmtId="164" fontId="7" fillId="2" borderId="2" xfId="0" applyNumberFormat="1" applyFont="1" applyFill="1" applyBorder="1" applyAlignment="1">
      <alignment vertical="center"/>
    </xf>
    <xf numFmtId="0" fontId="10" fillId="2" borderId="2" xfId="0" applyFont="1" applyFill="1" applyBorder="1" applyAlignment="1">
      <alignment vertical="center"/>
    </xf>
    <xf numFmtId="0" fontId="8" fillId="2" borderId="2" xfId="0" applyFont="1" applyFill="1" applyBorder="1" applyAlignment="1">
      <alignment vertical="center"/>
    </xf>
    <xf numFmtId="0" fontId="9" fillId="2" borderId="2" xfId="0" applyFont="1" applyFill="1" applyBorder="1" applyAlignment="1">
      <alignment horizontal="left" vertical="center"/>
    </xf>
    <xf numFmtId="0" fontId="13" fillId="2" borderId="7" xfId="0" applyFont="1" applyFill="1" applyBorder="1" applyAlignment="1">
      <alignment wrapText="1"/>
    </xf>
    <xf numFmtId="0" fontId="4" fillId="2" borderId="7" xfId="0" applyFont="1" applyFill="1" applyBorder="1" applyAlignment="1">
      <alignment wrapText="1"/>
    </xf>
    <xf numFmtId="0" fontId="11" fillId="2" borderId="2" xfId="0" applyFont="1" applyFill="1" applyBorder="1" applyAlignment="1">
      <alignment vertical="top"/>
    </xf>
    <xf numFmtId="43" fontId="0" fillId="2" borderId="2" xfId="0" applyNumberFormat="1" applyFont="1" applyFill="1" applyBorder="1"/>
    <xf numFmtId="164" fontId="0" fillId="2" borderId="2" xfId="0" applyNumberFormat="1" applyFont="1" applyFill="1" applyBorder="1"/>
    <xf numFmtId="164" fontId="0" fillId="3" borderId="0" xfId="0" applyNumberFormat="1" applyFont="1" applyFill="1" applyAlignment="1"/>
    <xf numFmtId="0" fontId="4" fillId="2" borderId="20" xfId="0" applyFont="1" applyFill="1" applyBorder="1" applyAlignment="1">
      <alignment horizontal="right" vertical="center"/>
    </xf>
    <xf numFmtId="164" fontId="14" fillId="4" borderId="33" xfId="0" applyNumberFormat="1" applyFont="1" applyFill="1" applyBorder="1" applyAlignment="1">
      <alignment horizontal="center" vertical="center"/>
    </xf>
    <xf numFmtId="164" fontId="14" fillId="4" borderId="38" xfId="0" applyNumberFormat="1" applyFont="1" applyFill="1" applyBorder="1" applyAlignment="1">
      <alignment horizontal="center" vertical="center"/>
    </xf>
    <xf numFmtId="164" fontId="14" fillId="4" borderId="37" xfId="0" applyNumberFormat="1" applyFont="1" applyFill="1" applyBorder="1" applyAlignment="1">
      <alignment horizontal="center" vertical="center"/>
    </xf>
    <xf numFmtId="164" fontId="14" fillId="4" borderId="28" xfId="0" applyNumberFormat="1" applyFont="1" applyFill="1" applyBorder="1" applyAlignment="1">
      <alignment horizontal="center" vertical="center"/>
    </xf>
    <xf numFmtId="1" fontId="14" fillId="4" borderId="33" xfId="0" applyNumberFormat="1" applyFont="1" applyFill="1" applyBorder="1" applyAlignment="1">
      <alignment horizontal="center" vertical="center"/>
    </xf>
    <xf numFmtId="1" fontId="14" fillId="4" borderId="38" xfId="0" applyNumberFormat="1" applyFont="1" applyFill="1" applyBorder="1" applyAlignment="1">
      <alignment horizontal="center" vertical="center"/>
    </xf>
    <xf numFmtId="0" fontId="4" fillId="2" borderId="33" xfId="0" applyFont="1" applyFill="1" applyBorder="1" applyAlignment="1">
      <alignment horizontal="center" vertical="center"/>
    </xf>
    <xf numFmtId="0" fontId="2" fillId="2" borderId="10" xfId="0" applyFont="1" applyFill="1" applyBorder="1" applyAlignment="1">
      <alignment horizontal="center" vertical="center"/>
    </xf>
    <xf numFmtId="0" fontId="4" fillId="2" borderId="34" xfId="0" applyFont="1" applyFill="1" applyBorder="1" applyAlignment="1">
      <alignment horizontal="center" vertical="center"/>
    </xf>
    <xf numFmtId="164" fontId="0" fillId="5" borderId="33" xfId="0" applyNumberFormat="1" applyFont="1" applyFill="1" applyBorder="1" applyAlignment="1">
      <alignment horizontal="center" vertical="center"/>
    </xf>
    <xf numFmtId="164" fontId="0" fillId="5" borderId="28" xfId="0" applyNumberFormat="1" applyFont="1" applyFill="1" applyBorder="1" applyAlignment="1">
      <alignment horizontal="center" vertical="center"/>
    </xf>
    <xf numFmtId="164" fontId="0" fillId="5" borderId="35" xfId="0" applyNumberFormat="1" applyFont="1" applyFill="1" applyBorder="1" applyAlignment="1">
      <alignment horizontal="center" vertical="center"/>
    </xf>
    <xf numFmtId="164" fontId="0" fillId="5" borderId="19" xfId="0" applyNumberFormat="1" applyFont="1" applyFill="1" applyBorder="1" applyAlignment="1">
      <alignment horizontal="center" vertical="center"/>
    </xf>
    <xf numFmtId="164" fontId="0" fillId="4" borderId="33" xfId="0" applyNumberFormat="1" applyFont="1" applyFill="1" applyBorder="1" applyAlignment="1">
      <alignment horizontal="center" vertical="center"/>
    </xf>
    <xf numFmtId="164" fontId="0" fillId="4" borderId="28" xfId="0" applyNumberFormat="1" applyFont="1" applyFill="1" applyBorder="1" applyAlignment="1">
      <alignment horizontal="center" vertical="center"/>
    </xf>
    <xf numFmtId="164" fontId="0" fillId="4" borderId="35" xfId="0" applyNumberFormat="1" applyFont="1" applyFill="1" applyBorder="1" applyAlignment="1">
      <alignment horizontal="center" vertical="center"/>
    </xf>
    <xf numFmtId="0" fontId="4" fillId="2" borderId="13" xfId="0" applyFont="1" applyFill="1" applyBorder="1" applyAlignment="1">
      <alignment vertical="center"/>
    </xf>
    <xf numFmtId="0" fontId="4" fillId="2" borderId="12" xfId="0" applyFont="1" applyFill="1" applyBorder="1" applyAlignment="1">
      <alignment vertical="center"/>
    </xf>
    <xf numFmtId="164" fontId="4" fillId="2" borderId="29" xfId="0" applyNumberFormat="1" applyFont="1" applyFill="1" applyBorder="1" applyAlignment="1">
      <alignment horizontal="center" vertical="center"/>
    </xf>
    <xf numFmtId="164" fontId="14" fillId="2" borderId="29" xfId="0" applyNumberFormat="1" applyFont="1" applyFill="1" applyBorder="1" applyAlignment="1">
      <alignment horizontal="center" vertical="center"/>
    </xf>
    <xf numFmtId="164" fontId="14" fillId="2" borderId="16" xfId="0" applyNumberFormat="1" applyFont="1" applyFill="1" applyBorder="1" applyAlignment="1">
      <alignment horizontal="center" vertical="center"/>
    </xf>
    <xf numFmtId="0" fontId="3" fillId="3" borderId="9" xfId="0" applyFont="1" applyFill="1" applyBorder="1"/>
    <xf numFmtId="0" fontId="4" fillId="2" borderId="5" xfId="0" applyFont="1" applyFill="1" applyBorder="1" applyAlignment="1">
      <alignment horizontal="left" vertical="center"/>
    </xf>
    <xf numFmtId="0" fontId="3" fillId="3" borderId="8" xfId="0" applyFont="1" applyFill="1" applyBorder="1"/>
    <xf numFmtId="0" fontId="3" fillId="3" borderId="14" xfId="0" applyFont="1" applyFill="1" applyBorder="1"/>
    <xf numFmtId="0" fontId="3" fillId="3" borderId="25" xfId="0" applyFont="1" applyFill="1" applyBorder="1"/>
    <xf numFmtId="0" fontId="2" fillId="2" borderId="1" xfId="0" applyFont="1" applyFill="1" applyBorder="1" applyAlignment="1">
      <alignment horizontal="center"/>
    </xf>
    <xf numFmtId="0" fontId="3" fillId="3" borderId="3" xfId="0" applyFont="1" applyFill="1" applyBorder="1"/>
    <xf numFmtId="0" fontId="3" fillId="3" borderId="33" xfId="0" applyFont="1" applyFill="1" applyBorder="1"/>
    <xf numFmtId="0" fontId="3" fillId="3" borderId="4" xfId="0" applyFont="1" applyFill="1" applyBorder="1"/>
    <xf numFmtId="0" fontId="4" fillId="2" borderId="1" xfId="0" applyFont="1" applyFill="1" applyBorder="1" applyAlignment="1">
      <alignment horizontal="center"/>
    </xf>
    <xf numFmtId="0" fontId="17" fillId="3" borderId="3" xfId="0" applyFont="1" applyFill="1" applyBorder="1"/>
    <xf numFmtId="0" fontId="17" fillId="3" borderId="33" xfId="0" applyFont="1" applyFill="1" applyBorder="1"/>
    <xf numFmtId="0" fontId="17" fillId="3" borderId="4" xfId="0" applyFont="1" applyFill="1" applyBorder="1"/>
    <xf numFmtId="0" fontId="4" fillId="2" borderId="26" xfId="0" applyFont="1" applyFill="1" applyBorder="1" applyAlignment="1">
      <alignment horizontal="center" vertical="center"/>
    </xf>
    <xf numFmtId="0" fontId="3" fillId="3" borderId="26" xfId="0" applyFont="1" applyFill="1" applyBorder="1"/>
    <xf numFmtId="0" fontId="3" fillId="3" borderId="32" xfId="0" applyFont="1" applyFill="1" applyBorder="1"/>
    <xf numFmtId="0" fontId="2" fillId="2" borderId="5" xfId="0" applyFont="1" applyFill="1" applyBorder="1" applyAlignment="1">
      <alignment horizontal="right" vertical="center"/>
    </xf>
    <xf numFmtId="0" fontId="4" fillId="2" borderId="27"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2" borderId="29"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9"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12" xfId="0" applyFont="1" applyFill="1" applyBorder="1" applyAlignment="1">
      <alignment horizontal="center" vertical="center" wrapText="1"/>
    </xf>
  </cellXfs>
  <cellStyles count="7">
    <cellStyle name="Comma 23" xfId="5"/>
    <cellStyle name="Comma 3" xfId="4"/>
    <cellStyle name="Normal" xfId="0" builtinId="0"/>
    <cellStyle name="Normal 12" xfId="3"/>
    <cellStyle name="Normal 2" xfId="1"/>
    <cellStyle name="Normal 3 2" xfId="2"/>
    <cellStyle name="Normal 8" xfId="6"/>
  </cellStyles>
  <dxfs count="0"/>
  <tableStyles count="0" defaultTableStyle="TableStyleMedium2" defaultPivotStyle="PivotStyleLight16"/>
  <colors>
    <mruColors>
      <color rgb="FFE5C9AD"/>
      <color rgb="FF996633"/>
      <color rgb="FFDAB48E"/>
      <color rgb="FFFAF5F0"/>
      <color rgb="FFF2E4D6"/>
      <color rgb="FF964B00"/>
      <color rgb="FFF4E8DC"/>
      <color rgb="FF976431"/>
      <color rgb="FFFFF2E5"/>
      <color rgb="FFFF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400" b="1" i="0">
                <a:latin typeface="Consolas"/>
              </a:defRPr>
            </a:pPr>
            <a:r>
              <a:rPr lang="en-US" sz="1100">
                <a:latin typeface="+mn-lt"/>
              </a:rPr>
              <a:t>Figure 18.3: Percentage shares of different pension schemes in the payments, 2019</a:t>
            </a:r>
          </a:p>
        </c:rich>
      </c:tx>
      <c:layout/>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chemeClr val="accent4">
                <a:lumMod val="60000"/>
                <a:lumOff val="40000"/>
              </a:schemeClr>
            </a:solidFill>
          </c:spPr>
          <c:dPt>
            <c:idx val="0"/>
            <c:bubble3D val="0"/>
            <c:spPr>
              <a:solidFill>
                <a:srgbClr val="E5C9AD"/>
              </a:solidFill>
            </c:spPr>
            <c:extLst xmlns:c16r2="http://schemas.microsoft.com/office/drawing/2015/06/chart">
              <c:ext xmlns:c16="http://schemas.microsoft.com/office/drawing/2014/chart" uri="{C3380CC4-5D6E-409C-BE32-E72D297353CC}">
                <c16:uniqueId val="{00000001-ABF5-47FE-BED5-A56071BEB72E}"/>
              </c:ext>
            </c:extLst>
          </c:dPt>
          <c:dPt>
            <c:idx val="1"/>
            <c:bubble3D val="0"/>
            <c:spPr>
              <a:solidFill>
                <a:srgbClr val="F4E8DC"/>
              </a:solidFill>
            </c:spPr>
            <c:extLst xmlns:c16r2="http://schemas.microsoft.com/office/drawing/2015/06/chart">
              <c:ext xmlns:c16="http://schemas.microsoft.com/office/drawing/2014/chart" uri="{C3380CC4-5D6E-409C-BE32-E72D297353CC}">
                <c16:uniqueId val="{00000003-ABF5-47FE-BED5-A56071BEB72E}"/>
              </c:ext>
            </c:extLst>
          </c:dPt>
          <c:dPt>
            <c:idx val="2"/>
            <c:bubble3D val="0"/>
            <c:spPr>
              <a:solidFill>
                <a:srgbClr val="964B00"/>
              </a:solidFill>
            </c:spPr>
            <c:extLst xmlns:c16r2="http://schemas.microsoft.com/office/drawing/2015/06/chart">
              <c:ext xmlns:c16="http://schemas.microsoft.com/office/drawing/2014/chart" uri="{C3380CC4-5D6E-409C-BE32-E72D297353CC}">
                <c16:uniqueId val="{00000005-ABF5-47FE-BED5-A56071BEB72E}"/>
              </c:ext>
            </c:extLst>
          </c:dPt>
          <c:dPt>
            <c:idx val="3"/>
            <c:bubble3D val="0"/>
            <c:spPr>
              <a:solidFill>
                <a:srgbClr val="996633"/>
              </a:solidFill>
            </c:spPr>
            <c:extLst xmlns:c16r2="http://schemas.microsoft.com/office/drawing/2015/06/chart">
              <c:ext xmlns:c16="http://schemas.microsoft.com/office/drawing/2014/chart" uri="{C3380CC4-5D6E-409C-BE32-E72D297353CC}">
                <c16:uniqueId val="{00000007-ABF5-47FE-BED5-A56071BEB72E}"/>
              </c:ext>
            </c:extLst>
          </c:dPt>
          <c:dLbls>
            <c:dLbl>
              <c:idx val="0"/>
              <c:layout>
                <c:manualLayout>
                  <c:x val="-1.7293560504449138E-2"/>
                  <c:y val="-1.5327742127031982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ABF5-47FE-BED5-A56071BEB72E}"/>
                </c:ext>
                <c:ext xmlns:c15="http://schemas.microsoft.com/office/drawing/2012/chart" uri="{CE6537A1-D6FC-4f65-9D91-7224C49458BB}">
                  <c15:layout/>
                </c:ext>
              </c:extLst>
            </c:dLbl>
            <c:dLbl>
              <c:idx val="1"/>
              <c:layout>
                <c:manualLayout>
                  <c:x val="0.11067878722847407"/>
                  <c:y val="7.9704259060566301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ABF5-47FE-BED5-A56071BEB72E}"/>
                </c:ext>
                <c:ext xmlns:c15="http://schemas.microsoft.com/office/drawing/2012/chart" uri="{CE6537A1-D6FC-4f65-9D91-7224C49458BB}">
                  <c15:layout/>
                </c:ext>
              </c:extLst>
            </c:dLbl>
            <c:dLbl>
              <c:idx val="3"/>
              <c:layout>
                <c:manualLayout>
                  <c:x val="-0.10894943117802917"/>
                  <c:y val="-0.13794967914328779"/>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ABF5-47FE-BED5-A56071BEB72E}"/>
                </c:ext>
                <c:ext xmlns:c15="http://schemas.microsoft.com/office/drawing/2012/chart" uri="{CE6537A1-D6FC-4f65-9D91-7224C49458BB}">
                  <c15:layout/>
                </c:ext>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layout/>
              </c:ext>
            </c:extLst>
          </c:dLbls>
          <c:cat>
            <c:strRef>
              <c:f>'18.1'!$AF$24:$AF$27</c:f>
              <c:strCache>
                <c:ptCount val="4"/>
                <c:pt idx="0">
                  <c:v>Basic Pension</c:v>
                </c:pt>
                <c:pt idx="1">
                  <c:v>Retirement Pension</c:v>
                </c:pt>
                <c:pt idx="2">
                  <c:v>Other Pension</c:v>
                </c:pt>
                <c:pt idx="3">
                  <c:v>Senior Citizen Allowance</c:v>
                </c:pt>
              </c:strCache>
            </c:strRef>
          </c:cat>
          <c:val>
            <c:numRef>
              <c:f>'18.1'!$AK$24:$AK$27</c:f>
              <c:numCache>
                <c:formatCode>_(* #,##0_);_(* \(#,##0\);_(* "-"??_);_(@_)</c:formatCode>
                <c:ptCount val="4"/>
                <c:pt idx="0">
                  <c:v>33.240844606995005</c:v>
                </c:pt>
                <c:pt idx="1">
                  <c:v>4.3970065590558001</c:v>
                </c:pt>
                <c:pt idx="2">
                  <c:v>21.044852111246044</c:v>
                </c:pt>
                <c:pt idx="3">
                  <c:v>41.317296722703141</c:v>
                </c:pt>
              </c:numCache>
            </c:numRef>
          </c:val>
          <c:extLst xmlns:c16r2="http://schemas.microsoft.com/office/drawing/2015/06/chart">
            <c:ext xmlns:c16="http://schemas.microsoft.com/office/drawing/2014/chart" uri="{C3380CC4-5D6E-409C-BE32-E72D297353CC}">
              <c16:uniqueId val="{00000008-ABF5-47FE-BED5-A56071BEB72E}"/>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100" b="1" i="0"/>
            </a:pPr>
            <a:r>
              <a:rPr lang="en-US" sz="1100"/>
              <a:t>Figure 18.2: Percentage share of pension payments going to females, 2019</a:t>
            </a:r>
          </a:p>
        </c:rich>
      </c:tx>
      <c:layout>
        <c:manualLayout>
          <c:xMode val="edge"/>
          <c:yMode val="edge"/>
          <c:x val="0.15703039362232188"/>
          <c:y val="6.9760812572116207E-2"/>
        </c:manualLayout>
      </c:layout>
      <c:overlay val="0"/>
    </c:title>
    <c:autoTitleDeleted val="0"/>
    <c:plotArea>
      <c:layout>
        <c:manualLayout>
          <c:layoutTarget val="inner"/>
          <c:xMode val="edge"/>
          <c:yMode val="edge"/>
          <c:x val="6.7508287921408922E-2"/>
          <c:y val="0.18114575678040246"/>
          <c:w val="0.88666313571790079"/>
          <c:h val="0.67987996500437442"/>
        </c:manualLayout>
      </c:layout>
      <c:barChart>
        <c:barDir val="col"/>
        <c:grouping val="clustered"/>
        <c:varyColors val="1"/>
        <c:ser>
          <c:idx val="0"/>
          <c:order val="0"/>
          <c:spPr>
            <a:solidFill>
              <a:srgbClr val="996633"/>
            </a:solidFill>
          </c:spPr>
          <c:invertIfNegative val="1"/>
          <c:cat>
            <c:strRef>
              <c:f>'18.1'!$AF$24:$AF$27</c:f>
              <c:strCache>
                <c:ptCount val="4"/>
                <c:pt idx="0">
                  <c:v>Basic Pension</c:v>
                </c:pt>
                <c:pt idx="1">
                  <c:v>Retirement Pension</c:v>
                </c:pt>
                <c:pt idx="2">
                  <c:v>Other Pension</c:v>
                </c:pt>
                <c:pt idx="3">
                  <c:v>Senior Citizen Allowance</c:v>
                </c:pt>
              </c:strCache>
            </c:strRef>
          </c:cat>
          <c:val>
            <c:numRef>
              <c:f>'18.1'!$AL$24:$AL$27</c:f>
              <c:numCache>
                <c:formatCode>_(* #,##0_);_(* \(#,##0\);_(* "-"??_);_(@_)</c:formatCode>
                <c:ptCount val="4"/>
                <c:pt idx="0">
                  <c:v>51.172492318768057</c:v>
                </c:pt>
                <c:pt idx="1">
                  <c:v>19.235068988452841</c:v>
                </c:pt>
                <c:pt idx="2">
                  <c:v>21.142387528605902</c:v>
                </c:pt>
                <c:pt idx="3">
                  <c:v>49.791724353466897</c:v>
                </c:pt>
              </c:numCache>
            </c:numRef>
          </c:val>
          <c:extLst xmlns:c16r2="http://schemas.microsoft.com/office/drawing/2015/06/chart">
            <c:ext xmlns:c16="http://schemas.microsoft.com/office/drawing/2014/chart" uri="{C3380CC4-5D6E-409C-BE32-E72D297353CC}">
              <c16:uniqueId val="{00000000-9AE2-498D-B33F-13D54364987F}"/>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22630368"/>
        <c:axId val="422630752"/>
      </c:barChart>
      <c:catAx>
        <c:axId val="422630368"/>
        <c:scaling>
          <c:orientation val="minMax"/>
        </c:scaling>
        <c:delete val="0"/>
        <c:axPos val="b"/>
        <c:numFmt formatCode="General" sourceLinked="1"/>
        <c:majorTickMark val="cross"/>
        <c:minorTickMark val="cross"/>
        <c:tickLblPos val="nextTo"/>
        <c:txPr>
          <a:bodyPr/>
          <a:lstStyle/>
          <a:p>
            <a:pPr lvl="0">
              <a:defRPr b="0" i="0"/>
            </a:pPr>
            <a:endParaRPr lang="en-US"/>
          </a:p>
        </c:txPr>
        <c:crossAx val="422630752"/>
        <c:crosses val="autoZero"/>
        <c:auto val="1"/>
        <c:lblAlgn val="ctr"/>
        <c:lblOffset val="100"/>
        <c:noMultiLvlLbl val="1"/>
      </c:catAx>
      <c:valAx>
        <c:axId val="422630752"/>
        <c:scaling>
          <c:orientation val="minMax"/>
        </c:scaling>
        <c:delete val="0"/>
        <c:axPos val="l"/>
        <c:majorGridlines>
          <c:spPr>
            <a:ln>
              <a:solidFill>
                <a:srgbClr val="DAB48E"/>
              </a:solidFill>
            </a:ln>
          </c:spPr>
        </c:majorGridlines>
        <c:numFmt formatCode="_(* #,##0_);_(* \(#,##0\);_(* &quot;-&quot;??_);_(@_)" sourceLinked="1"/>
        <c:majorTickMark val="cross"/>
        <c:minorTickMark val="cross"/>
        <c:tickLblPos val="nextTo"/>
        <c:spPr>
          <a:ln w="47625">
            <a:noFill/>
          </a:ln>
        </c:spPr>
        <c:txPr>
          <a:bodyPr/>
          <a:lstStyle/>
          <a:p>
            <a:pPr lvl="0">
              <a:defRPr b="1" i="0"/>
            </a:pPr>
            <a:endParaRPr lang="en-US"/>
          </a:p>
        </c:txPr>
        <c:crossAx val="422630368"/>
        <c:crosses val="autoZero"/>
        <c:crossBetween val="between"/>
      </c:valAx>
      <c:spPr>
        <a:solidFill>
          <a:srgbClr val="F4E8DC"/>
        </a:solidFill>
        <a:ln>
          <a:solidFill>
            <a:schemeClr val="bg1">
              <a:lumMod val="7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0.10615321968834027"/>
          <c:y val="0.20914578106758738"/>
          <c:w val="0.85965052587441015"/>
          <c:h val="0.64420046863227265"/>
        </c:manualLayout>
      </c:layout>
      <c:barChart>
        <c:barDir val="col"/>
        <c:grouping val="clustered"/>
        <c:varyColors val="1"/>
        <c:ser>
          <c:idx val="0"/>
          <c:order val="0"/>
          <c:tx>
            <c:strRef>
              <c:f>'18.1'!$AG$23</c:f>
              <c:strCache>
                <c:ptCount val="1"/>
                <c:pt idx="0">
                  <c:v>Male</c:v>
                </c:pt>
              </c:strCache>
            </c:strRef>
          </c:tx>
          <c:spPr>
            <a:solidFill>
              <a:srgbClr val="996633"/>
            </a:solidFill>
          </c:spPr>
          <c:invertIfNegative val="1"/>
          <c:cat>
            <c:strRef>
              <c:f>'18.1'!$AF$24:$AF$27</c:f>
              <c:strCache>
                <c:ptCount val="4"/>
                <c:pt idx="0">
                  <c:v>Basic Pension</c:v>
                </c:pt>
                <c:pt idx="1">
                  <c:v>Retirement Pension</c:v>
                </c:pt>
                <c:pt idx="2">
                  <c:v>Other Pension</c:v>
                </c:pt>
                <c:pt idx="3">
                  <c:v>Senior Citizen Allowance</c:v>
                </c:pt>
              </c:strCache>
            </c:strRef>
          </c:cat>
          <c:val>
            <c:numRef>
              <c:f>'18.1'!$AG$24:$AG$27</c:f>
              <c:numCache>
                <c:formatCode>_(* #,##0.00_);_(* \(#,##0.00\);_(* "-"??_);_(@_)</c:formatCode>
                <c:ptCount val="4"/>
                <c:pt idx="0">
                  <c:v>441.36460124000001</c:v>
                </c:pt>
                <c:pt idx="1">
                  <c:v>74.482934409999999</c:v>
                </c:pt>
                <c:pt idx="2" formatCode="_(* #,##0_);_(* \(#,##0\);_(* &quot;-&quot;??_);_(@_)">
                  <c:v>235.43710659999999</c:v>
                </c:pt>
                <c:pt idx="3" formatCode="_(* #,##0_);_(* \(#,##0\);_(* &quot;-&quot;??_);_(@_)">
                  <c:v>46.992108049999999</c:v>
                </c:pt>
              </c:numCache>
            </c:numRef>
          </c:val>
          <c:extLst xmlns:c16r2="http://schemas.microsoft.com/office/drawing/2015/06/chart">
            <c:ext xmlns:c16="http://schemas.microsoft.com/office/drawing/2014/chart" uri="{C3380CC4-5D6E-409C-BE32-E72D297353CC}">
              <c16:uniqueId val="{00000000-C2C6-4DD7-91EC-E06480112E91}"/>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'18.1'!$AH$23</c:f>
              <c:strCache>
                <c:ptCount val="1"/>
                <c:pt idx="0">
                  <c:v>Female</c:v>
                </c:pt>
              </c:strCache>
            </c:strRef>
          </c:tx>
          <c:spPr>
            <a:solidFill>
              <a:srgbClr val="DAB48E"/>
            </a:solidFill>
          </c:spPr>
          <c:invertIfNegative val="1"/>
          <c:cat>
            <c:strRef>
              <c:f>'18.1'!$AF$24:$AF$27</c:f>
              <c:strCache>
                <c:ptCount val="4"/>
                <c:pt idx="0">
                  <c:v>Basic Pension</c:v>
                </c:pt>
                <c:pt idx="1">
                  <c:v>Retirement Pension</c:v>
                </c:pt>
                <c:pt idx="2">
                  <c:v>Other Pension</c:v>
                </c:pt>
                <c:pt idx="3">
                  <c:v>Senior Citizen Allowance</c:v>
                </c:pt>
              </c:strCache>
            </c:strRef>
          </c:cat>
          <c:val>
            <c:numRef>
              <c:f>'18.1'!$AH$24:$AH$27</c:f>
              <c:numCache>
                <c:formatCode>_(* #,##0_);_(* \(#,##0\);_(* "-"??_);_(@_)</c:formatCode>
                <c:ptCount val="4"/>
                <c:pt idx="0" formatCode="_(* #,##0.00_);_(* \(#,##0.00\);_(* &quot;-&quot;??_);_(@_)">
                  <c:v>462.61968481999997</c:v>
                </c:pt>
                <c:pt idx="1">
                  <c:v>16.46626672</c:v>
                </c:pt>
                <c:pt idx="2">
                  <c:v>62.065762249999999</c:v>
                </c:pt>
                <c:pt idx="3">
                  <c:v>46.677235090000003</c:v>
                </c:pt>
              </c:numCache>
            </c:numRef>
          </c:val>
          <c:extLst xmlns:c16r2="http://schemas.microsoft.com/office/drawing/2015/06/chart">
            <c:ext xmlns:c16="http://schemas.microsoft.com/office/drawing/2014/chart" uri="{C3380CC4-5D6E-409C-BE32-E72D297353CC}">
              <c16:uniqueId val="{00000001-C2C6-4DD7-91EC-E06480112E91}"/>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22748256"/>
        <c:axId val="422748648"/>
      </c:barChart>
      <c:catAx>
        <c:axId val="422748256"/>
        <c:scaling>
          <c:orientation val="minMax"/>
        </c:scaling>
        <c:delete val="0"/>
        <c:axPos val="b"/>
        <c:numFmt formatCode="General" sourceLinked="1"/>
        <c:majorTickMark val="cross"/>
        <c:minorTickMark val="cross"/>
        <c:tickLblPos val="nextTo"/>
        <c:txPr>
          <a:bodyPr/>
          <a:lstStyle/>
          <a:p>
            <a:pPr lvl="0">
              <a:defRPr b="0" i="0"/>
            </a:pPr>
            <a:endParaRPr lang="en-US"/>
          </a:p>
        </c:txPr>
        <c:crossAx val="422748648"/>
        <c:crosses val="autoZero"/>
        <c:auto val="1"/>
        <c:lblAlgn val="ctr"/>
        <c:lblOffset val="100"/>
        <c:noMultiLvlLbl val="1"/>
      </c:catAx>
      <c:valAx>
        <c:axId val="422748648"/>
        <c:scaling>
          <c:orientation val="minMax"/>
        </c:scaling>
        <c:delete val="0"/>
        <c:axPos val="l"/>
        <c:majorGridlines>
          <c:spPr>
            <a:ln>
              <a:solidFill>
                <a:srgbClr val="E5C9AD"/>
              </a:solidFill>
            </a:ln>
          </c:spPr>
        </c:majorGridlines>
        <c:title>
          <c:tx>
            <c:rich>
              <a:bodyPr/>
              <a:lstStyle/>
              <a:p>
                <a:pPr lvl="0">
                  <a:defRPr b="1" i="0"/>
                </a:pPr>
                <a:r>
                  <a:rPr lang="en-US"/>
                  <a:t>Value (In million MVR)</a:t>
                </a:r>
              </a:p>
            </c:rich>
          </c:tx>
          <c:layout>
            <c:manualLayout>
              <c:xMode val="edge"/>
              <c:yMode val="edge"/>
              <c:x val="1.8098848266696659E-2"/>
              <c:y val="0.25842801195591875"/>
            </c:manualLayout>
          </c:layout>
          <c:overlay val="0"/>
        </c:title>
        <c:numFmt formatCode="#,##0" sourceLinked="0"/>
        <c:majorTickMark val="cross"/>
        <c:minorTickMark val="cross"/>
        <c:tickLblPos val="nextTo"/>
        <c:spPr>
          <a:ln w="47625">
            <a:noFill/>
          </a:ln>
        </c:spPr>
        <c:txPr>
          <a:bodyPr/>
          <a:lstStyle/>
          <a:p>
            <a:pPr lvl="0">
              <a:defRPr b="1" i="0"/>
            </a:pPr>
            <a:endParaRPr lang="en-US"/>
          </a:p>
        </c:txPr>
        <c:crossAx val="422748256"/>
        <c:crosses val="autoZero"/>
        <c:crossBetween val="between"/>
      </c:valAx>
      <c:spPr>
        <a:solidFill>
          <a:srgbClr val="F4E8DC"/>
        </a:solidFill>
        <a:ln>
          <a:solidFill>
            <a:schemeClr val="bg1">
              <a:lumMod val="75000"/>
            </a:schemeClr>
          </a:solidFill>
        </a:ln>
      </c:spPr>
    </c:plotArea>
    <c:legend>
      <c:legendPos val="r"/>
      <c:layout>
        <c:manualLayout>
          <c:xMode val="edge"/>
          <c:yMode val="edge"/>
          <c:x val="0.3553774477957054"/>
          <c:y val="0.33140713877642269"/>
          <c:w val="0.21366648961744944"/>
          <c:h val="7.2201164128931836E-2"/>
        </c:manualLayout>
      </c:layout>
      <c:overlay val="0"/>
      <c:txPr>
        <a:bodyPr/>
        <a:lstStyle/>
        <a:p>
          <a:pPr lvl="0">
            <a:defRPr sz="10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1428752</xdr:colOff>
      <xdr:row>35</xdr:row>
      <xdr:rowOff>87406</xdr:rowOff>
    </xdr:from>
    <xdr:ext cx="6924673" cy="340827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838199</xdr:colOff>
      <xdr:row>18</xdr:row>
      <xdr:rowOff>95250</xdr:rowOff>
    </xdr:from>
    <xdr:ext cx="6372225" cy="3009899"/>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57151</xdr:colOff>
      <xdr:row>18</xdr:row>
      <xdr:rowOff>28575</xdr:rowOff>
    </xdr:from>
    <xdr:ext cx="6276974" cy="3019425"/>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811861</xdr:colOff>
      <xdr:row>19</xdr:row>
      <xdr:rowOff>14338</xdr:rowOff>
    </xdr:from>
    <xdr:ext cx="5219700" cy="266700"/>
    <xdr:sp macro="" textlink="">
      <xdr:nvSpPr>
        <xdr:cNvPr id="6" name="Shape 6"/>
        <xdr:cNvSpPr txBox="1"/>
      </xdr:nvSpPr>
      <xdr:spPr>
        <a:xfrm>
          <a:off x="811861" y="4912909"/>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mn-lt"/>
              <a:ea typeface="Consolas"/>
              <a:cs typeface="Consolas"/>
              <a:sym typeface="Consolas"/>
            </a:rPr>
            <a:t>Figure 18.1: Pension payments made under different schemes, 2019</a:t>
          </a:r>
          <a:endParaRPr sz="1100" b="1" i="0">
            <a:solidFill>
              <a:schemeClr val="dk1"/>
            </a:solidFill>
            <a:latin typeface="+mn-lt"/>
            <a:ea typeface="Consolas"/>
            <a:cs typeface="Consolas"/>
            <a:sym typeface="Consolas"/>
          </a:endParaRPr>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P1000"/>
  <sheetViews>
    <sheetView tabSelected="1" zoomScaleNormal="100" workbookViewId="0">
      <selection activeCell="Z10" sqref="Z10"/>
    </sheetView>
  </sheetViews>
  <sheetFormatPr defaultColWidth="14.42578125" defaultRowHeight="15" customHeight="1" x14ac:dyDescent="0.25"/>
  <cols>
    <col min="1" max="1" width="25.42578125" style="3" customWidth="1"/>
    <col min="2" max="2" width="15" style="3" customWidth="1"/>
    <col min="3" max="3" width="13.42578125" style="3" customWidth="1"/>
    <col min="4" max="4" width="14.42578125" style="3" customWidth="1"/>
    <col min="5" max="5" width="14.85546875" style="3" customWidth="1"/>
    <col min="6" max="6" width="13.42578125" style="3" customWidth="1"/>
    <col min="7" max="7" width="14.42578125" style="3" customWidth="1"/>
    <col min="8" max="8" width="8.140625" style="3" hidden="1" customWidth="1"/>
    <col min="9" max="10" width="8.140625" style="3" customWidth="1"/>
    <col min="11" max="11" width="4.5703125" style="3" hidden="1" customWidth="1"/>
    <col min="12" max="13" width="8.42578125" style="3" customWidth="1"/>
    <col min="14" max="15" width="13.140625" style="3" customWidth="1"/>
    <col min="16" max="16" width="14.5703125" style="3" customWidth="1"/>
    <col min="17" max="17" width="1.28515625" style="3" customWidth="1"/>
    <col min="18" max="18" width="3.7109375" style="3" customWidth="1"/>
    <col min="19" max="24" width="11.28515625" style="3" hidden="1" customWidth="1"/>
    <col min="25" max="30" width="11.28515625" style="3" customWidth="1"/>
    <col min="31" max="31" width="36" style="3" customWidth="1"/>
    <col min="32" max="32" width="30.140625" style="3" customWidth="1"/>
    <col min="33" max="34" width="8" style="3" customWidth="1"/>
    <col min="35" max="36" width="15" style="3" customWidth="1"/>
    <col min="37" max="37" width="17.28515625" style="3" customWidth="1"/>
    <col min="38" max="16384" width="14.42578125" style="3"/>
  </cols>
  <sheetData>
    <row r="1" spans="1:37" ht="21.75" customHeight="1" x14ac:dyDescent="0.55000000000000004">
      <c r="A1" s="91" t="s">
        <v>32</v>
      </c>
      <c r="B1" s="92"/>
      <c r="C1" s="92"/>
      <c r="D1" s="92"/>
      <c r="E1" s="93"/>
      <c r="F1" s="93"/>
      <c r="G1" s="93"/>
      <c r="H1" s="92"/>
      <c r="I1" s="92"/>
      <c r="J1" s="93"/>
      <c r="K1" s="92"/>
      <c r="L1" s="92"/>
      <c r="M1" s="93"/>
      <c r="N1" s="92"/>
      <c r="O1" s="92"/>
      <c r="P1" s="94"/>
      <c r="Q1" s="1"/>
      <c r="R1" s="2"/>
      <c r="S1" s="2"/>
      <c r="T1" s="2"/>
      <c r="U1" s="2"/>
      <c r="V1" s="2"/>
      <c r="W1" s="2"/>
      <c r="X1" s="2"/>
      <c r="Y1" s="2"/>
      <c r="Z1" s="2"/>
      <c r="AA1" s="2"/>
      <c r="AB1" s="2"/>
      <c r="AC1" s="2"/>
      <c r="AD1" s="2"/>
      <c r="AE1" s="2"/>
      <c r="AF1" s="2"/>
      <c r="AG1" s="2"/>
      <c r="AH1" s="2"/>
      <c r="AI1" s="2"/>
      <c r="AJ1" s="2"/>
      <c r="AK1" s="2"/>
    </row>
    <row r="2" spans="1:37" x14ac:dyDescent="0.25">
      <c r="A2" s="95" t="s">
        <v>33</v>
      </c>
      <c r="B2" s="92"/>
      <c r="C2" s="92"/>
      <c r="D2" s="92"/>
      <c r="E2" s="93"/>
      <c r="F2" s="93"/>
      <c r="G2" s="93"/>
      <c r="H2" s="92"/>
      <c r="I2" s="92"/>
      <c r="J2" s="93"/>
      <c r="K2" s="92"/>
      <c r="L2" s="92"/>
      <c r="M2" s="93"/>
      <c r="N2" s="92"/>
      <c r="O2" s="92"/>
      <c r="P2" s="94"/>
      <c r="Q2" s="4"/>
      <c r="R2" s="2"/>
      <c r="S2" s="2"/>
      <c r="T2" s="2"/>
      <c r="U2" s="2"/>
      <c r="V2" s="2"/>
      <c r="W2" s="2"/>
      <c r="X2" s="2"/>
      <c r="Y2" s="2"/>
      <c r="Z2" s="2"/>
      <c r="AA2" s="2"/>
      <c r="AB2" s="2"/>
      <c r="AC2" s="2"/>
      <c r="AD2" s="2"/>
      <c r="AE2" s="2"/>
      <c r="AF2" s="2"/>
      <c r="AG2" s="2"/>
      <c r="AH2" s="2"/>
      <c r="AI2" s="2"/>
      <c r="AJ2" s="2"/>
      <c r="AK2" s="2"/>
    </row>
    <row r="3" spans="1:37" ht="8.2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37" ht="36" customHeight="1" x14ac:dyDescent="0.25">
      <c r="A4" s="87" t="s">
        <v>0</v>
      </c>
      <c r="B4" s="104"/>
      <c r="C4" s="104"/>
      <c r="D4" s="104"/>
      <c r="E4" s="104"/>
      <c r="F4" s="104"/>
      <c r="G4" s="105"/>
      <c r="H4" s="106" t="s">
        <v>1</v>
      </c>
      <c r="I4" s="107"/>
      <c r="J4" s="108"/>
      <c r="K4" s="106" t="s">
        <v>2</v>
      </c>
      <c r="L4" s="107"/>
      <c r="M4" s="108"/>
      <c r="N4" s="72" t="s">
        <v>3</v>
      </c>
      <c r="O4" s="5"/>
      <c r="P4" s="102" t="s">
        <v>4</v>
      </c>
      <c r="Q4" s="6"/>
      <c r="R4" s="7"/>
      <c r="S4" s="2"/>
      <c r="T4" s="2"/>
      <c r="U4" s="2"/>
      <c r="V4" s="2"/>
      <c r="W4" s="2"/>
      <c r="X4" s="2"/>
      <c r="Y4" s="2"/>
      <c r="Z4" s="2"/>
      <c r="AA4" s="2"/>
      <c r="AB4" s="2"/>
      <c r="AC4" s="2"/>
      <c r="AD4" s="2"/>
      <c r="AE4" s="2"/>
      <c r="AF4" s="2"/>
      <c r="AG4" s="2"/>
      <c r="AH4" s="2"/>
      <c r="AI4" s="2"/>
      <c r="AJ4" s="2"/>
      <c r="AK4" s="2"/>
    </row>
    <row r="5" spans="1:37" ht="15" customHeight="1" x14ac:dyDescent="0.25">
      <c r="A5" s="88"/>
      <c r="B5" s="99">
        <v>2018</v>
      </c>
      <c r="C5" s="100"/>
      <c r="D5" s="101"/>
      <c r="E5" s="103">
        <v>2019</v>
      </c>
      <c r="F5" s="86"/>
      <c r="G5" s="90"/>
      <c r="H5" s="109" t="s">
        <v>11</v>
      </c>
      <c r="I5" s="110"/>
      <c r="J5" s="111"/>
      <c r="K5" s="112" t="s">
        <v>12</v>
      </c>
      <c r="L5" s="113"/>
      <c r="M5" s="114"/>
      <c r="N5" s="71" t="s">
        <v>13</v>
      </c>
      <c r="O5" s="8"/>
      <c r="P5" s="88"/>
      <c r="Q5" s="9"/>
      <c r="R5" s="10"/>
      <c r="S5" s="10"/>
      <c r="T5" s="10"/>
      <c r="U5" s="10"/>
      <c r="V5" s="10"/>
      <c r="W5" s="10"/>
      <c r="X5" s="10"/>
      <c r="Y5" s="10"/>
      <c r="Z5" s="10"/>
      <c r="AA5" s="10"/>
      <c r="AB5" s="10"/>
      <c r="AC5" s="10"/>
      <c r="AD5" s="10"/>
      <c r="AE5" s="10"/>
      <c r="AF5" s="10"/>
      <c r="AG5" s="10"/>
      <c r="AH5" s="10"/>
      <c r="AI5" s="10"/>
      <c r="AJ5" s="10"/>
      <c r="AK5" s="10"/>
    </row>
    <row r="6" spans="1:37" ht="16.5" customHeight="1" x14ac:dyDescent="0.25">
      <c r="A6" s="88"/>
      <c r="B6" s="13" t="s">
        <v>8</v>
      </c>
      <c r="C6" s="14" t="s">
        <v>9</v>
      </c>
      <c r="D6" s="12" t="s">
        <v>10</v>
      </c>
      <c r="E6" s="15" t="s">
        <v>8</v>
      </c>
      <c r="F6" s="11" t="s">
        <v>9</v>
      </c>
      <c r="G6" s="12" t="s">
        <v>10</v>
      </c>
      <c r="H6" s="81"/>
      <c r="I6" s="16"/>
      <c r="J6" s="82"/>
      <c r="K6" s="115"/>
      <c r="L6" s="116"/>
      <c r="M6" s="117"/>
      <c r="N6" s="73"/>
      <c r="O6" s="8"/>
      <c r="P6" s="88"/>
      <c r="Q6" s="9"/>
      <c r="R6" s="10"/>
      <c r="S6" s="10"/>
      <c r="T6" s="10"/>
      <c r="U6" s="10"/>
      <c r="V6" s="10"/>
      <c r="W6" s="10"/>
      <c r="X6" s="10"/>
      <c r="Y6" s="10"/>
      <c r="Z6" s="10"/>
      <c r="AA6" s="10"/>
      <c r="AB6" s="10"/>
      <c r="AC6" s="10"/>
      <c r="AD6" s="10"/>
      <c r="AE6" s="10"/>
      <c r="AF6" s="10"/>
      <c r="AG6" s="10"/>
      <c r="AH6" s="10"/>
      <c r="AI6" s="10"/>
      <c r="AJ6" s="10"/>
      <c r="AK6" s="10"/>
    </row>
    <row r="7" spans="1:37" ht="21" customHeight="1" x14ac:dyDescent="0.25">
      <c r="A7" s="89"/>
      <c r="B7" s="19" t="s">
        <v>14</v>
      </c>
      <c r="C7" s="19" t="s">
        <v>15</v>
      </c>
      <c r="D7" s="18" t="s">
        <v>16</v>
      </c>
      <c r="E7" s="20" t="s">
        <v>14</v>
      </c>
      <c r="F7" s="17" t="s">
        <v>15</v>
      </c>
      <c r="G7" s="18" t="s">
        <v>16</v>
      </c>
      <c r="H7" s="20">
        <v>2017</v>
      </c>
      <c r="I7" s="19">
        <v>2018</v>
      </c>
      <c r="J7" s="18">
        <v>2019</v>
      </c>
      <c r="K7" s="21">
        <v>2017</v>
      </c>
      <c r="L7" s="64">
        <v>2018</v>
      </c>
      <c r="M7" s="22">
        <v>2019</v>
      </c>
      <c r="N7" s="23" t="s">
        <v>30</v>
      </c>
      <c r="O7" s="24"/>
      <c r="P7" s="89"/>
      <c r="Q7" s="25"/>
      <c r="R7" s="2"/>
      <c r="S7" s="10"/>
      <c r="T7" s="2"/>
      <c r="U7" s="2"/>
      <c r="V7" s="2"/>
      <c r="W7" s="2"/>
      <c r="X7" s="2"/>
      <c r="Y7" s="2"/>
      <c r="Z7" s="2"/>
      <c r="AA7" s="2"/>
      <c r="AB7" s="2"/>
      <c r="AC7" s="2"/>
      <c r="AD7" s="2"/>
      <c r="AE7" s="2"/>
      <c r="AF7" s="2"/>
      <c r="AG7" s="2"/>
      <c r="AH7" s="2"/>
      <c r="AI7" s="2"/>
      <c r="AJ7" s="2"/>
      <c r="AK7" s="2"/>
    </row>
    <row r="8" spans="1:37" ht="26.25" customHeight="1" x14ac:dyDescent="0.55000000000000004">
      <c r="A8" s="7" t="s">
        <v>14</v>
      </c>
      <c r="B8" s="28">
        <f t="shared" ref="B8:D8" si="0">SUM(B9:B12)</f>
        <v>1333155378.8400002</v>
      </c>
      <c r="C8" s="28">
        <f t="shared" si="0"/>
        <v>761526154.26999998</v>
      </c>
      <c r="D8" s="29">
        <f t="shared" si="0"/>
        <v>571629224.56999993</v>
      </c>
      <c r="E8" s="30">
        <f t="shared" ref="E8:G8" si="1">SUM(E9:E12)</f>
        <v>1386105699.1800001</v>
      </c>
      <c r="F8" s="26">
        <f t="shared" si="1"/>
        <v>798276750.29999995</v>
      </c>
      <c r="G8" s="27">
        <f t="shared" si="1"/>
        <v>587828948.88</v>
      </c>
      <c r="H8" s="83" t="e">
        <f>#REF!/#REF!*100</f>
        <v>#REF!</v>
      </c>
      <c r="I8" s="31">
        <f>B8/B8*100</f>
        <v>100</v>
      </c>
      <c r="J8" s="33">
        <f>E8/E8*100</f>
        <v>100</v>
      </c>
      <c r="K8" s="32" t="e">
        <f>#REF!/#REF!*100</f>
        <v>#REF!</v>
      </c>
      <c r="L8" s="31">
        <f>D8/B8*100</f>
        <v>42.877914580923324</v>
      </c>
      <c r="M8" s="33">
        <f>G8/E8*100</f>
        <v>42.408666902369063</v>
      </c>
      <c r="N8" s="34">
        <f>((E8-B8)/B8)*100</f>
        <v>3.9718041257931116</v>
      </c>
      <c r="O8" s="35"/>
      <c r="P8" s="36" t="s">
        <v>8</v>
      </c>
      <c r="Q8" s="37"/>
      <c r="R8" s="7"/>
      <c r="S8" s="10"/>
      <c r="T8" s="7"/>
      <c r="U8" s="7"/>
      <c r="V8" s="7"/>
      <c r="W8" s="7"/>
      <c r="X8" s="7"/>
      <c r="Y8" s="7"/>
      <c r="Z8" s="7"/>
      <c r="AA8" s="7"/>
      <c r="AB8" s="7"/>
      <c r="AC8" s="7"/>
      <c r="AD8" s="7"/>
      <c r="AE8" s="7"/>
      <c r="AF8" s="7"/>
      <c r="AG8" s="7"/>
      <c r="AH8" s="7"/>
      <c r="AI8" s="7"/>
      <c r="AJ8" s="7"/>
      <c r="AK8" s="7"/>
    </row>
    <row r="9" spans="1:37" ht="26.25" customHeight="1" x14ac:dyDescent="0.55000000000000004">
      <c r="A9" s="2" t="s">
        <v>17</v>
      </c>
      <c r="B9" s="39">
        <f t="shared" ref="B9:B12" si="2">SUM(C9:D9)</f>
        <v>443152107.85000002</v>
      </c>
      <c r="C9" s="78">
        <v>216380129.5</v>
      </c>
      <c r="D9" s="79">
        <v>226771978.34999999</v>
      </c>
      <c r="E9" s="40">
        <f t="shared" ref="E9:E12" si="3">SUM(F9:G9)</f>
        <v>903984286.05999994</v>
      </c>
      <c r="F9" s="74">
        <v>441364601.24000001</v>
      </c>
      <c r="G9" s="75">
        <v>462619684.81999999</v>
      </c>
      <c r="H9" s="84" t="e">
        <f>#REF!/#REF!*100</f>
        <v>#REF!</v>
      </c>
      <c r="I9" s="65">
        <f>B9/B8*100</f>
        <v>33.240844606995005</v>
      </c>
      <c r="J9" s="68">
        <f>E9/E8*100</f>
        <v>65.217557838105989</v>
      </c>
      <c r="K9" s="41" t="e">
        <f>#REF!/#REF!*100</f>
        <v>#REF!</v>
      </c>
      <c r="L9" s="65">
        <f>D9/B9*100</f>
        <v>51.172492318768057</v>
      </c>
      <c r="M9" s="68">
        <f t="shared" ref="M9:M12" si="4">G9/E9*100</f>
        <v>51.175633465524051</v>
      </c>
      <c r="N9" s="69">
        <f>((E9-B9)/B9)*100</f>
        <v>103.98961666814057</v>
      </c>
      <c r="O9" s="42"/>
      <c r="P9" s="43" t="s">
        <v>5</v>
      </c>
      <c r="Q9" s="44"/>
      <c r="R9" s="7"/>
      <c r="S9" s="10"/>
      <c r="T9" s="2"/>
      <c r="U9" s="2"/>
      <c r="V9" s="2"/>
      <c r="W9" s="2"/>
      <c r="X9" s="2"/>
      <c r="Y9" s="2"/>
      <c r="Z9" s="2"/>
      <c r="AA9" s="2"/>
      <c r="AB9" s="2"/>
      <c r="AC9" s="2"/>
      <c r="AD9" s="2"/>
      <c r="AE9" s="2"/>
      <c r="AF9" s="2"/>
      <c r="AG9" s="2"/>
      <c r="AH9" s="2"/>
      <c r="AI9" s="2"/>
      <c r="AJ9" s="2"/>
      <c r="AK9" s="2"/>
    </row>
    <row r="10" spans="1:37" ht="26.25" customHeight="1" x14ac:dyDescent="0.55000000000000004">
      <c r="A10" s="2" t="s">
        <v>18</v>
      </c>
      <c r="B10" s="39">
        <f t="shared" si="2"/>
        <v>58618929.450000003</v>
      </c>
      <c r="C10" s="78">
        <v>47343537.93</v>
      </c>
      <c r="D10" s="79">
        <v>11275391.52</v>
      </c>
      <c r="E10" s="40">
        <f t="shared" si="3"/>
        <v>90949201.129999995</v>
      </c>
      <c r="F10" s="74">
        <v>74482934.409999996</v>
      </c>
      <c r="G10" s="75">
        <v>16466266.720000001</v>
      </c>
      <c r="H10" s="84" t="e">
        <f>#REF!/#REF!*100</f>
        <v>#REF!</v>
      </c>
      <c r="I10" s="65">
        <f>B10/B8*100</f>
        <v>4.3970065590558001</v>
      </c>
      <c r="J10" s="68">
        <f t="shared" ref="J10:J11" si="5">E10/E9*100</f>
        <v>10.060927223237535</v>
      </c>
      <c r="K10" s="41" t="e">
        <f>#REF!/#REF!*100</f>
        <v>#REF!</v>
      </c>
      <c r="L10" s="65">
        <f>D10/B10*100</f>
        <v>19.235068988452841</v>
      </c>
      <c r="M10" s="68">
        <f t="shared" si="4"/>
        <v>18.104905282745282</v>
      </c>
      <c r="N10" s="69">
        <f>((E10-B10)/B10)*100</f>
        <v>55.15329601434744</v>
      </c>
      <c r="O10" s="42"/>
      <c r="P10" s="43" t="s">
        <v>6</v>
      </c>
      <c r="Q10" s="44"/>
      <c r="R10" s="7"/>
      <c r="S10" s="10"/>
      <c r="T10" s="2"/>
      <c r="U10" s="2"/>
      <c r="V10" s="2"/>
      <c r="W10" s="2"/>
      <c r="X10" s="2"/>
      <c r="Y10" s="2"/>
      <c r="Z10" s="2"/>
      <c r="AA10" s="2"/>
      <c r="AB10" s="2"/>
      <c r="AC10" s="2"/>
      <c r="AD10" s="2"/>
      <c r="AE10" s="2"/>
      <c r="AF10" s="2"/>
      <c r="AG10" s="2"/>
      <c r="AH10" s="2"/>
      <c r="AI10" s="2"/>
      <c r="AJ10" s="2"/>
      <c r="AK10" s="2"/>
    </row>
    <row r="11" spans="1:37" ht="26.25" customHeight="1" x14ac:dyDescent="0.55000000000000004">
      <c r="A11" s="2" t="s">
        <v>19</v>
      </c>
      <c r="B11" s="39">
        <f t="shared" si="2"/>
        <v>280560577.88999999</v>
      </c>
      <c r="C11" s="78">
        <v>221243373.25999999</v>
      </c>
      <c r="D11" s="79">
        <v>59317204.630000003</v>
      </c>
      <c r="E11" s="40">
        <f t="shared" si="3"/>
        <v>297502868.85000002</v>
      </c>
      <c r="F11" s="74">
        <v>235437106.59999999</v>
      </c>
      <c r="G11" s="75">
        <v>62065762.25</v>
      </c>
      <c r="H11" s="84" t="e">
        <f>#REF!/#REF!*100</f>
        <v>#REF!</v>
      </c>
      <c r="I11" s="65">
        <f>B11/B8*100</f>
        <v>21.044852111246044</v>
      </c>
      <c r="J11" s="68">
        <f t="shared" si="5"/>
        <v>327.10883125268862</v>
      </c>
      <c r="K11" s="41" t="e">
        <f>#REF!/#REF!*100</f>
        <v>#REF!</v>
      </c>
      <c r="L11" s="65">
        <f>D11/B11*100</f>
        <v>21.142387528605902</v>
      </c>
      <c r="M11" s="68">
        <f t="shared" si="4"/>
        <v>20.862239913825288</v>
      </c>
      <c r="N11" s="69">
        <f t="shared" ref="N11" si="6">((E11-B11)/B11)*100</f>
        <v>6.0387282801515472</v>
      </c>
      <c r="O11" s="42"/>
      <c r="P11" s="43" t="s">
        <v>7</v>
      </c>
      <c r="Q11" s="44"/>
      <c r="R11" s="7"/>
      <c r="S11" s="10"/>
      <c r="T11" s="2"/>
      <c r="U11" s="2"/>
      <c r="V11" s="2"/>
      <c r="W11" s="2"/>
      <c r="X11" s="2"/>
      <c r="Y11" s="2"/>
      <c r="Z11" s="2"/>
      <c r="AA11" s="2"/>
      <c r="AB11" s="2"/>
      <c r="AC11" s="2"/>
      <c r="AD11" s="2"/>
      <c r="AE11" s="2"/>
      <c r="AF11" s="2"/>
      <c r="AG11" s="2"/>
      <c r="AH11" s="2"/>
      <c r="AI11" s="2"/>
      <c r="AJ11" s="2"/>
      <c r="AK11" s="2"/>
    </row>
    <row r="12" spans="1:37" ht="26.25" customHeight="1" x14ac:dyDescent="0.55000000000000004">
      <c r="A12" s="45" t="s">
        <v>24</v>
      </c>
      <c r="B12" s="46">
        <f t="shared" si="2"/>
        <v>550823763.64999998</v>
      </c>
      <c r="C12" s="80">
        <v>276559113.57999998</v>
      </c>
      <c r="D12" s="48">
        <v>274264650.06999999</v>
      </c>
      <c r="E12" s="47">
        <f t="shared" si="3"/>
        <v>93669343.140000001</v>
      </c>
      <c r="F12" s="76">
        <v>46992108.049999997</v>
      </c>
      <c r="G12" s="77">
        <v>46677235.090000004</v>
      </c>
      <c r="H12" s="85" t="e">
        <f>#REF!/#REF!*100</f>
        <v>#REF!</v>
      </c>
      <c r="I12" s="66">
        <f>B12/B8*100</f>
        <v>41.317296722703141</v>
      </c>
      <c r="J12" s="67">
        <f>E12/E11*100</f>
        <v>31.485189874665636</v>
      </c>
      <c r="K12" s="47" t="e">
        <f>#REF!/#REF!*100</f>
        <v>#REF!</v>
      </c>
      <c r="L12" s="66">
        <f>D12/B12*100</f>
        <v>49.791724353466897</v>
      </c>
      <c r="M12" s="67">
        <f t="shared" si="4"/>
        <v>49.831923151457687</v>
      </c>
      <c r="N12" s="70">
        <f>((E12-B12)/B12)*100</f>
        <v>-82.994680091631153</v>
      </c>
      <c r="O12" s="49"/>
      <c r="P12" s="50" t="s">
        <v>25</v>
      </c>
      <c r="Q12" s="51"/>
      <c r="R12" s="7"/>
      <c r="S12" s="10"/>
      <c r="T12" s="2"/>
      <c r="U12" s="2"/>
      <c r="V12" s="2"/>
      <c r="W12" s="2"/>
      <c r="X12" s="2"/>
      <c r="Y12" s="2"/>
      <c r="Z12" s="2"/>
      <c r="AA12" s="2"/>
      <c r="AB12" s="2"/>
      <c r="AC12" s="2"/>
      <c r="AD12" s="2"/>
      <c r="AE12" s="2"/>
      <c r="AF12" s="2"/>
      <c r="AG12" s="2"/>
      <c r="AH12" s="2"/>
      <c r="AI12" s="2"/>
      <c r="AJ12" s="2"/>
      <c r="AK12" s="2"/>
    </row>
    <row r="13" spans="1:37" ht="18.75" customHeight="1" x14ac:dyDescent="0.25">
      <c r="A13" s="52" t="s">
        <v>26</v>
      </c>
      <c r="B13" s="52"/>
      <c r="C13" s="52"/>
      <c r="D13" s="52"/>
      <c r="E13" s="52"/>
      <c r="F13" s="52"/>
      <c r="G13" s="52"/>
      <c r="H13" s="52"/>
      <c r="I13" s="52"/>
      <c r="J13" s="52"/>
      <c r="K13" s="52"/>
      <c r="L13" s="52"/>
      <c r="M13" s="52"/>
      <c r="N13" s="53"/>
      <c r="O13" s="53"/>
      <c r="P13" s="52"/>
      <c r="Q13" s="52"/>
      <c r="R13" s="52"/>
      <c r="S13" s="10"/>
      <c r="T13" s="52"/>
      <c r="U13" s="52"/>
      <c r="V13" s="52"/>
      <c r="W13" s="52"/>
      <c r="X13" s="52"/>
      <c r="Y13" s="52"/>
      <c r="Z13" s="52"/>
      <c r="AA13" s="52"/>
      <c r="AB13" s="52"/>
      <c r="AC13" s="52"/>
      <c r="AD13" s="52"/>
      <c r="AE13" s="52"/>
      <c r="AF13" s="52"/>
      <c r="AG13" s="52"/>
      <c r="AH13" s="52"/>
      <c r="AI13" s="52"/>
      <c r="AJ13" s="52"/>
      <c r="AK13" s="52"/>
    </row>
    <row r="14" spans="1:37" ht="15" customHeight="1" x14ac:dyDescent="0.25">
      <c r="A14" s="52" t="s">
        <v>31</v>
      </c>
      <c r="B14" s="52"/>
      <c r="C14" s="52"/>
      <c r="D14" s="52"/>
      <c r="E14" s="52"/>
      <c r="F14" s="52"/>
      <c r="G14" s="52"/>
      <c r="H14" s="52"/>
      <c r="I14" s="52"/>
      <c r="J14" s="52"/>
      <c r="K14" s="52"/>
      <c r="L14" s="52"/>
      <c r="M14" s="52"/>
      <c r="N14" s="53"/>
      <c r="O14" s="53"/>
      <c r="P14" s="52"/>
      <c r="Q14" s="52"/>
      <c r="R14" s="52"/>
      <c r="S14" s="10"/>
      <c r="T14" s="52"/>
      <c r="U14" s="52"/>
      <c r="V14" s="52"/>
      <c r="W14" s="52"/>
      <c r="X14" s="52"/>
      <c r="Y14" s="52"/>
      <c r="Z14" s="52"/>
      <c r="AA14" s="52"/>
      <c r="AB14" s="52"/>
      <c r="AC14" s="52"/>
      <c r="AD14" s="52"/>
      <c r="AE14" s="52"/>
      <c r="AF14" s="52"/>
      <c r="AG14" s="52"/>
      <c r="AH14" s="52"/>
      <c r="AI14" s="52"/>
      <c r="AJ14" s="52"/>
      <c r="AK14" s="52"/>
    </row>
    <row r="15" spans="1:37" ht="15" customHeight="1" x14ac:dyDescent="0.25">
      <c r="A15" s="52" t="s">
        <v>20</v>
      </c>
      <c r="B15" s="54"/>
      <c r="C15" s="52"/>
      <c r="D15" s="52"/>
      <c r="E15" s="54"/>
      <c r="F15" s="52"/>
      <c r="G15" s="52"/>
      <c r="H15" s="52"/>
      <c r="I15" s="52"/>
      <c r="J15" s="52"/>
      <c r="K15" s="52"/>
      <c r="L15" s="52"/>
      <c r="M15" s="52"/>
      <c r="N15" s="52"/>
      <c r="O15" s="52"/>
      <c r="P15" s="52"/>
      <c r="Q15" s="52"/>
      <c r="R15" s="52"/>
      <c r="S15" s="10"/>
      <c r="T15" s="55"/>
      <c r="U15" s="55"/>
      <c r="V15" s="55"/>
      <c r="W15" s="55"/>
      <c r="X15" s="55"/>
      <c r="Y15" s="55"/>
      <c r="Z15" s="55"/>
      <c r="AA15" s="55"/>
      <c r="AB15" s="55"/>
      <c r="AC15" s="55"/>
      <c r="AD15" s="55"/>
      <c r="AE15" s="55"/>
      <c r="AF15" s="52"/>
      <c r="AG15" s="52"/>
      <c r="AH15" s="52"/>
      <c r="AI15" s="52"/>
      <c r="AJ15" s="52"/>
      <c r="AK15" s="52"/>
    </row>
    <row r="16" spans="1:37" ht="15" customHeight="1" x14ac:dyDescent="0.25">
      <c r="A16" s="52"/>
      <c r="B16" s="92"/>
      <c r="C16" s="92"/>
      <c r="D16" s="92"/>
      <c r="E16" s="93"/>
      <c r="F16" s="93"/>
      <c r="G16" s="93"/>
      <c r="H16" s="92"/>
      <c r="I16" s="92"/>
      <c r="J16" s="93"/>
      <c r="K16" s="92"/>
      <c r="L16" s="92"/>
      <c r="M16" s="93"/>
      <c r="N16" s="92"/>
      <c r="O16" s="92"/>
      <c r="P16" s="94"/>
      <c r="Q16" s="56"/>
      <c r="R16" s="52"/>
      <c r="S16" s="10"/>
      <c r="T16" s="52"/>
      <c r="U16" s="52"/>
      <c r="V16" s="52"/>
      <c r="W16" s="52"/>
      <c r="X16" s="52"/>
      <c r="Y16" s="52"/>
      <c r="Z16" s="52"/>
      <c r="AA16" s="52"/>
      <c r="AB16" s="52"/>
      <c r="AC16" s="52"/>
      <c r="AD16" s="52"/>
      <c r="AE16" s="52"/>
      <c r="AF16" s="52"/>
      <c r="AG16" s="52"/>
      <c r="AH16" s="52"/>
      <c r="AI16" s="52"/>
      <c r="AJ16" s="52"/>
      <c r="AK16" s="52"/>
    </row>
    <row r="17" spans="1:38" ht="26.25" customHeight="1" x14ac:dyDescent="0.55000000000000004">
      <c r="A17" s="52"/>
      <c r="B17" s="96"/>
      <c r="C17" s="96"/>
      <c r="D17" s="96"/>
      <c r="E17" s="97"/>
      <c r="F17" s="97"/>
      <c r="G17" s="97"/>
      <c r="H17" s="96"/>
      <c r="I17" s="96"/>
      <c r="J17" s="97"/>
      <c r="K17" s="96"/>
      <c r="L17" s="96"/>
      <c r="M17" s="97"/>
      <c r="N17" s="96"/>
      <c r="O17" s="96"/>
      <c r="P17" s="98"/>
      <c r="Q17" s="57" t="s">
        <v>22</v>
      </c>
      <c r="R17" s="52"/>
      <c r="S17" s="52"/>
      <c r="T17" s="52"/>
      <c r="U17" s="52"/>
      <c r="V17" s="52"/>
      <c r="W17" s="52"/>
      <c r="X17" s="52"/>
      <c r="Y17" s="52"/>
      <c r="Z17" s="52"/>
      <c r="AA17" s="52"/>
      <c r="AB17" s="52"/>
      <c r="AC17" s="52"/>
      <c r="AD17" s="52"/>
      <c r="AE17" s="52"/>
      <c r="AF17" s="52"/>
      <c r="AG17" s="52"/>
      <c r="AH17" s="52"/>
      <c r="AI17" s="52"/>
      <c r="AJ17" s="52"/>
      <c r="AK17" s="52"/>
    </row>
    <row r="18" spans="1:38" ht="15" customHeight="1" x14ac:dyDescent="0.25">
      <c r="A18" s="10"/>
      <c r="B18" s="10"/>
      <c r="C18" s="10"/>
      <c r="D18" s="10"/>
      <c r="E18" s="10"/>
      <c r="F18" s="10"/>
      <c r="G18" s="10"/>
      <c r="H18" s="10"/>
      <c r="I18" s="10"/>
      <c r="J18" s="10"/>
      <c r="K18" s="10"/>
      <c r="L18" s="10"/>
      <c r="M18" s="10"/>
      <c r="N18" s="10"/>
      <c r="O18" s="10"/>
      <c r="P18" s="56" t="s">
        <v>21</v>
      </c>
      <c r="Q18" s="56"/>
      <c r="R18" s="10"/>
      <c r="S18" s="10"/>
      <c r="T18" s="10"/>
      <c r="U18" s="10"/>
      <c r="V18" s="10"/>
      <c r="W18" s="10"/>
      <c r="X18" s="10"/>
      <c r="Y18" s="10"/>
      <c r="Z18" s="10"/>
      <c r="AA18" s="10"/>
      <c r="AB18" s="10"/>
      <c r="AC18" s="10"/>
      <c r="AD18" s="10"/>
      <c r="AE18" s="10"/>
      <c r="AF18" s="10"/>
      <c r="AG18" s="10"/>
      <c r="AH18" s="10"/>
      <c r="AI18" s="10"/>
      <c r="AJ18" s="10"/>
      <c r="AK18" s="10"/>
    </row>
    <row r="19" spans="1:38" ht="15" customHeight="1" x14ac:dyDescent="0.25">
      <c r="A19" s="10"/>
      <c r="B19" s="10"/>
      <c r="C19" s="10"/>
      <c r="D19" s="10"/>
      <c r="E19" s="10"/>
      <c r="F19" s="10"/>
      <c r="G19" s="10"/>
      <c r="H19" s="10"/>
      <c r="I19" s="10"/>
      <c r="J19" s="10"/>
      <c r="K19" s="10"/>
      <c r="L19" s="10"/>
      <c r="M19" s="10"/>
      <c r="N19" s="10"/>
      <c r="O19" s="10"/>
      <c r="P19" s="56"/>
      <c r="Q19" s="56"/>
      <c r="R19" s="10"/>
      <c r="S19" s="10"/>
      <c r="T19" s="10"/>
      <c r="U19" s="10"/>
      <c r="V19" s="10"/>
      <c r="W19" s="10"/>
      <c r="X19" s="10"/>
      <c r="Y19" s="10"/>
      <c r="Z19" s="10"/>
      <c r="AA19" s="10"/>
      <c r="AB19" s="10"/>
      <c r="AC19" s="10"/>
      <c r="AD19" s="10"/>
      <c r="AE19" s="10"/>
      <c r="AF19" s="10"/>
      <c r="AG19" s="10"/>
      <c r="AH19" s="10"/>
      <c r="AI19" s="10"/>
      <c r="AJ19" s="10"/>
      <c r="AK19" s="10"/>
    </row>
    <row r="20" spans="1:38" ht="15" customHeight="1" x14ac:dyDescent="0.25">
      <c r="A20" s="10"/>
      <c r="B20" s="10"/>
      <c r="C20" s="10"/>
      <c r="D20" s="10"/>
      <c r="E20" s="10"/>
      <c r="F20" s="10"/>
      <c r="G20" s="10"/>
      <c r="H20" s="10"/>
      <c r="I20" s="10"/>
      <c r="J20" s="10"/>
      <c r="K20" s="10"/>
      <c r="L20" s="10"/>
      <c r="M20" s="10"/>
      <c r="N20" s="10"/>
      <c r="O20" s="10"/>
      <c r="P20" s="56"/>
      <c r="Q20" s="56"/>
      <c r="R20" s="10"/>
      <c r="S20" s="10"/>
      <c r="T20" s="10"/>
      <c r="U20" s="10"/>
      <c r="V20" s="10"/>
      <c r="W20" s="10"/>
      <c r="X20" s="10"/>
      <c r="Y20" s="10"/>
      <c r="Z20" s="10"/>
      <c r="AA20" s="10"/>
      <c r="AB20" s="10"/>
      <c r="AC20" s="10"/>
      <c r="AD20" s="10"/>
      <c r="AE20" s="10"/>
      <c r="AF20" s="10"/>
      <c r="AG20" s="10"/>
      <c r="AH20" s="10"/>
      <c r="AI20" s="10"/>
      <c r="AJ20" s="10"/>
      <c r="AK20" s="10"/>
    </row>
    <row r="21" spans="1:38" ht="15.75" customHeight="1" x14ac:dyDescent="0.25">
      <c r="A21" s="2"/>
      <c r="B21" s="2"/>
      <c r="C21" s="2"/>
      <c r="D21" s="2"/>
      <c r="E21" s="2"/>
      <c r="F21" s="2"/>
      <c r="G21" s="2"/>
      <c r="H21" s="2"/>
      <c r="I21" s="2"/>
      <c r="J21" s="2"/>
      <c r="K21" s="2"/>
      <c r="L21" s="2"/>
      <c r="M21" s="2"/>
      <c r="N21" s="2"/>
      <c r="O21" s="2"/>
      <c r="P21" s="2"/>
      <c r="Q21" s="2"/>
      <c r="R21" s="52"/>
      <c r="S21" s="2"/>
      <c r="T21" s="2"/>
      <c r="U21" s="2"/>
      <c r="V21" s="2"/>
      <c r="W21" s="2"/>
      <c r="X21" s="2"/>
      <c r="Y21" s="2"/>
      <c r="Z21" s="2"/>
      <c r="AA21" s="2"/>
      <c r="AB21" s="2"/>
      <c r="AC21" s="2"/>
      <c r="AD21" s="2"/>
      <c r="AE21" s="2"/>
      <c r="AF21" s="2"/>
      <c r="AG21" s="2"/>
      <c r="AH21" s="2"/>
      <c r="AI21" s="2"/>
      <c r="AJ21" s="2"/>
      <c r="AK21" s="2"/>
    </row>
    <row r="22" spans="1:38" ht="21.75" customHeight="1" x14ac:dyDescent="0.25">
      <c r="A22" s="2"/>
      <c r="B22" s="2"/>
      <c r="C22" s="2"/>
      <c r="D22" s="2"/>
      <c r="E22" s="2"/>
      <c r="F22" s="2"/>
      <c r="G22" s="2"/>
      <c r="H22" s="2"/>
      <c r="I22" s="2"/>
      <c r="J22" s="2"/>
      <c r="K22" s="2"/>
      <c r="L22" s="2"/>
      <c r="M22" s="2"/>
      <c r="N22" s="2"/>
      <c r="O22" s="2"/>
      <c r="P22" s="2"/>
      <c r="Q22" s="2"/>
      <c r="R22" s="10"/>
      <c r="S22" s="2"/>
      <c r="T22" s="2"/>
      <c r="U22" s="2"/>
      <c r="V22" s="2"/>
      <c r="W22" s="2"/>
      <c r="X22" s="2"/>
      <c r="Y22" s="2"/>
      <c r="Z22" s="2"/>
      <c r="AA22" s="2"/>
      <c r="AB22" s="2"/>
      <c r="AC22" s="2"/>
      <c r="AD22" s="2"/>
      <c r="AE22" s="2"/>
      <c r="AF22" s="2">
        <v>2019</v>
      </c>
      <c r="AG22" s="2" t="s">
        <v>27</v>
      </c>
      <c r="AH22" s="2"/>
      <c r="AI22" s="2" t="s">
        <v>28</v>
      </c>
      <c r="AJ22" s="2"/>
      <c r="AK22" s="58" t="s">
        <v>29</v>
      </c>
      <c r="AL22" s="59" t="s">
        <v>12</v>
      </c>
    </row>
    <row r="23" spans="1:38" ht="15.75" customHeight="1" x14ac:dyDescent="0.25">
      <c r="A23" s="2"/>
      <c r="B23" s="2"/>
      <c r="C23" s="2"/>
      <c r="D23" s="2"/>
      <c r="E23" s="2"/>
      <c r="F23" s="2"/>
      <c r="G23" s="2"/>
      <c r="H23" s="2"/>
      <c r="I23" s="2"/>
      <c r="J23" s="2"/>
      <c r="K23" s="2"/>
      <c r="L23" s="2"/>
      <c r="M23" s="2"/>
      <c r="N23" s="2"/>
      <c r="O23" s="2"/>
      <c r="P23" s="2"/>
      <c r="Q23" s="2"/>
      <c r="R23" s="60"/>
      <c r="S23" s="2"/>
      <c r="T23" s="2"/>
      <c r="U23" s="2"/>
      <c r="V23" s="2"/>
      <c r="W23" s="2"/>
      <c r="X23" s="2"/>
      <c r="Y23" s="2"/>
      <c r="Z23" s="2"/>
      <c r="AA23" s="2"/>
      <c r="AB23" s="2"/>
      <c r="AC23" s="2"/>
      <c r="AD23" s="2"/>
      <c r="AE23" s="2"/>
      <c r="AF23" s="2"/>
      <c r="AG23" s="2" t="s">
        <v>15</v>
      </c>
      <c r="AH23" s="2" t="s">
        <v>16</v>
      </c>
      <c r="AI23" s="2" t="s">
        <v>15</v>
      </c>
      <c r="AJ23" s="2" t="s">
        <v>16</v>
      </c>
      <c r="AK23" s="4">
        <v>2019</v>
      </c>
      <c r="AL23" s="4">
        <v>2019</v>
      </c>
    </row>
    <row r="24" spans="1:38"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t="s">
        <v>17</v>
      </c>
      <c r="AG24" s="61">
        <f>AI24/1000000</f>
        <v>441.36460124000001</v>
      </c>
      <c r="AH24" s="61">
        <f>AJ24/1000000</f>
        <v>462.61968481999997</v>
      </c>
      <c r="AI24" s="62">
        <f>F9</f>
        <v>441364601.24000001</v>
      </c>
      <c r="AJ24" s="62">
        <f>G9</f>
        <v>462619684.81999999</v>
      </c>
      <c r="AK24" s="38">
        <f>I9</f>
        <v>33.240844606995005</v>
      </c>
      <c r="AL24" s="63">
        <f>L9</f>
        <v>51.172492318768057</v>
      </c>
    </row>
    <row r="25" spans="1:38"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t="s">
        <v>18</v>
      </c>
      <c r="AG25" s="61">
        <f t="shared" ref="AG25:AH25" si="7">AI25/1000000</f>
        <v>74.482934409999999</v>
      </c>
      <c r="AH25" s="62">
        <f t="shared" si="7"/>
        <v>16.46626672</v>
      </c>
      <c r="AI25" s="62">
        <f t="shared" ref="AI25:AJ25" si="8">F10</f>
        <v>74482934.409999996</v>
      </c>
      <c r="AJ25" s="62">
        <f t="shared" si="8"/>
        <v>16466266.720000001</v>
      </c>
      <c r="AK25" s="38">
        <f>I10</f>
        <v>4.3970065590558001</v>
      </c>
      <c r="AL25" s="63">
        <f t="shared" ref="AL25:AL27" si="9">L10</f>
        <v>19.235068988452841</v>
      </c>
    </row>
    <row r="26" spans="1:38"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45" t="s">
        <v>19</v>
      </c>
      <c r="AG26" s="62">
        <f t="shared" ref="AG26:AH26" si="10">AI26/1000000</f>
        <v>235.43710659999999</v>
      </c>
      <c r="AH26" s="62">
        <f t="shared" si="10"/>
        <v>62.065762249999999</v>
      </c>
      <c r="AI26" s="62">
        <f t="shared" ref="AI26:AJ26" si="11">F11</f>
        <v>235437106.59999999</v>
      </c>
      <c r="AJ26" s="62">
        <f t="shared" si="11"/>
        <v>62065762.25</v>
      </c>
      <c r="AK26" s="38">
        <f>I11</f>
        <v>21.044852111246044</v>
      </c>
      <c r="AL26" s="63">
        <f t="shared" si="9"/>
        <v>21.142387528605902</v>
      </c>
    </row>
    <row r="27" spans="1:38"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t="s">
        <v>23</v>
      </c>
      <c r="AG27" s="62">
        <f t="shared" ref="AG27:AH27" si="12">AI27/1000000</f>
        <v>46.992108049999999</v>
      </c>
      <c r="AH27" s="62">
        <f t="shared" si="12"/>
        <v>46.677235090000003</v>
      </c>
      <c r="AI27" s="62">
        <f t="shared" ref="AI27:AJ27" si="13">F12</f>
        <v>46992108.049999997</v>
      </c>
      <c r="AJ27" s="62">
        <f t="shared" si="13"/>
        <v>46677235.090000004</v>
      </c>
      <c r="AK27" s="38">
        <f>I12</f>
        <v>41.317296722703141</v>
      </c>
      <c r="AL27" s="63">
        <f t="shared" si="9"/>
        <v>49.791724353466897</v>
      </c>
    </row>
    <row r="28" spans="1:38"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row>
    <row r="29" spans="1:38"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row>
    <row r="30" spans="1:38"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row>
    <row r="31" spans="1:38"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row>
    <row r="32" spans="1:38"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row>
    <row r="33" spans="1:37"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spans="1:37"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row>
    <row r="35" spans="1:37" ht="8.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row>
    <row r="36" spans="1:37"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row>
    <row r="37" spans="1:37"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spans="1:37"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spans="1:37"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spans="1:37"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spans="1:37"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spans="1:37"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spans="1:37"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spans="1:37"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spans="1:37"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spans="1:37"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spans="1:37"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spans="1:37"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spans="1:37"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spans="1:37"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spans="1:37"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spans="1:37"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spans="1:37"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spans="1:37"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spans="1:37"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spans="1:37"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spans="1:37"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spans="1:37"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spans="1:37"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spans="1:37"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spans="1:37"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spans="1:37"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spans="1:37"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spans="1:37"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spans="1:37"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spans="1:37"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spans="1:37"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spans="1:37"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spans="1:37"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spans="1:37"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spans="1:37"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spans="1:37"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spans="1:37"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spans="1:37"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spans="1:37"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spans="1:37"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spans="1:37"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spans="1:37"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spans="1:37"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spans="1:37"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spans="1:37"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spans="1:37"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spans="1:37"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spans="1:37"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spans="1:37"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spans="1:37"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spans="1:37"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spans="1:37"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spans="1:37"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spans="1:37"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spans="1:37"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spans="1:37"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spans="1:37"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spans="1:37"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spans="1:37"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spans="1:37"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spans="1:37"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spans="1:37"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spans="1:37"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spans="1:37"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spans="1:37"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spans="1:37"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spans="1:37"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spans="1:37"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spans="1:37"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spans="1:37"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spans="1:37"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spans="1:37"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spans="1:37"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spans="1:37"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spans="1:37"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spans="1:37"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spans="1:37"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spans="1:37"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spans="1:37"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spans="1:37"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spans="1:37"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spans="1:37"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spans="1:37"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spans="1:37"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spans="1:37"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spans="1:37"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spans="1:37"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spans="1:37"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spans="1:37"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spans="1:37"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spans="1:37"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spans="1:37"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spans="1:37"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spans="1:37"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spans="1:37"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spans="1:37"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spans="1:37"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spans="1:37"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spans="1:37"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spans="1:37"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spans="1:37"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spans="1:37"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spans="1:37"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spans="1:37"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spans="1:37"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spans="1:37"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spans="1:37"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spans="1:37"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spans="1:37"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spans="1:37"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spans="1:37"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spans="1:37"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spans="1:37"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spans="1:37"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spans="1:37"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spans="1:37"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spans="1:37"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spans="1:37"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spans="1:37"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spans="1:37"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spans="1:37"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spans="1:37"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spans="1:37"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spans="1:37"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spans="1:37"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spans="1:37"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spans="1:37"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spans="1:37"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spans="1:37"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spans="1:37"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spans="1:37"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spans="1:37"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spans="1:37"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spans="1:37"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spans="1:37"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spans="1:37"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spans="1:37"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spans="1:37"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spans="1:37"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spans="1:37"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spans="1:37"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spans="1:37"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spans="1:37"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spans="1:37"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spans="1:37"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spans="1:37"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spans="1:37"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spans="1:37"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spans="1:37"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spans="1:37"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spans="1:37"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spans="1:37"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spans="1:37"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spans="1:37"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spans="1:37"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spans="1:37"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spans="1:37"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spans="1:37"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spans="1:37"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spans="1:37"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spans="1:37"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spans="1:37"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spans="1:37"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spans="1:37"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spans="1:37"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spans="1:37"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spans="1:37"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spans="1:37"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spans="1:37"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spans="1:37"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spans="1:37"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spans="1:37"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spans="1:37"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spans="1:37"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spans="1:37"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spans="1:37"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spans="1:37"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spans="1:37"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spans="1:37"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spans="1:37"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spans="1:37"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row>
    <row r="224" spans="1:37"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row>
    <row r="225" spans="1:37"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row>
    <row r="226" spans="1:37"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row>
    <row r="227" spans="1:37"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row>
    <row r="228" spans="1:37"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row>
    <row r="229" spans="1:37"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row>
    <row r="230" spans="1:37"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row>
    <row r="231" spans="1:37"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row>
    <row r="232" spans="1:37"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row>
    <row r="233" spans="1:37"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row>
    <row r="234" spans="1:37"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row>
    <row r="235" spans="1:37"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row>
    <row r="236" spans="1:37"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row>
    <row r="237" spans="1:37"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row>
    <row r="238" spans="1:37"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row>
    <row r="239" spans="1:37"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row>
    <row r="240" spans="1:37"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row>
    <row r="241" spans="1:37"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row>
    <row r="242" spans="1:37"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row>
    <row r="243" spans="1:37"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row>
    <row r="244" spans="1:37"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row>
    <row r="245" spans="1:37"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row>
    <row r="246" spans="1:37"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row>
    <row r="247" spans="1:37"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row>
    <row r="248" spans="1:37"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row>
    <row r="249" spans="1:37"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row>
    <row r="250" spans="1:37"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row>
    <row r="251" spans="1:37"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row>
    <row r="252" spans="1:37"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row>
    <row r="253" spans="1:37"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row>
    <row r="254" spans="1:37"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row>
    <row r="255" spans="1:37"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row>
    <row r="256" spans="1:37"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row>
    <row r="257" spans="1:37"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row>
    <row r="258" spans="1:37"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row>
    <row r="259" spans="1:37"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row>
    <row r="260" spans="1:37"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row>
    <row r="261" spans="1:37"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row>
    <row r="262" spans="1:37"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row>
    <row r="263" spans="1:37"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row>
    <row r="264" spans="1:37"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row>
    <row r="265" spans="1:37"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row>
    <row r="266" spans="1:37"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row>
    <row r="267" spans="1:37"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row>
    <row r="268" spans="1:37"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row>
    <row r="269" spans="1:37"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row>
    <row r="270" spans="1:37"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row>
    <row r="271" spans="1:37"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row>
    <row r="272" spans="1:37"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row>
    <row r="273" spans="1:37"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row>
    <row r="274" spans="1:37"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row>
    <row r="275" spans="1:37"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row>
    <row r="276" spans="1:37"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row>
    <row r="277" spans="1:37"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row>
    <row r="278" spans="1:37"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row>
    <row r="279" spans="1:37"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row>
    <row r="280" spans="1:37"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row>
    <row r="281" spans="1:37"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row>
    <row r="282" spans="1:37"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row>
    <row r="283" spans="1:37"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row>
    <row r="284" spans="1:37"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row>
    <row r="285" spans="1:37"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row>
    <row r="286" spans="1:37"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row>
    <row r="287" spans="1:37"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row>
    <row r="288" spans="1:37"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row>
    <row r="289" spans="1:37"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row>
    <row r="290" spans="1:37"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row>
    <row r="291" spans="1:37"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row>
    <row r="292" spans="1:37"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row>
    <row r="293" spans="1:37"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row>
    <row r="294" spans="1:37"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row>
    <row r="295" spans="1:37"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row>
    <row r="296" spans="1:37"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row>
    <row r="297" spans="1:37"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row>
    <row r="298" spans="1:37"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row>
    <row r="299" spans="1:37"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row>
    <row r="300" spans="1:37"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row>
    <row r="301" spans="1:37"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row>
    <row r="302" spans="1:37"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row>
    <row r="303" spans="1:37"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row>
    <row r="304" spans="1:37"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row>
    <row r="305" spans="1:37"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row>
    <row r="306" spans="1:37"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row>
    <row r="307" spans="1:37"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row>
    <row r="308" spans="1:37"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row>
    <row r="309" spans="1:37"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row>
    <row r="310" spans="1:37"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row>
    <row r="311" spans="1:37"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row>
    <row r="312" spans="1:37"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row>
    <row r="313" spans="1:37"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row>
    <row r="314" spans="1:37"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row>
    <row r="315" spans="1:37"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row>
    <row r="316" spans="1:37"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row>
    <row r="317" spans="1:37"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row>
    <row r="318" spans="1:37"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row>
    <row r="319" spans="1:37"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row>
    <row r="320" spans="1:37"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row>
    <row r="321" spans="1:37"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row>
    <row r="322" spans="1:37"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row>
    <row r="323" spans="1:37"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row>
    <row r="324" spans="1:37"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row>
    <row r="325" spans="1:37"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row>
    <row r="326" spans="1:37"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row>
    <row r="327" spans="1:37"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row>
    <row r="328" spans="1:37"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row>
    <row r="329" spans="1:37"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row>
    <row r="330" spans="1:37"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row>
    <row r="331" spans="1:37"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row>
    <row r="332" spans="1:37"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row>
    <row r="333" spans="1:37"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row>
    <row r="334" spans="1:37"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row>
    <row r="335" spans="1:37"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row>
    <row r="336" spans="1:37"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spans="1:37"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spans="1:37"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spans="1:37"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spans="1:37"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spans="1:37"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spans="1:37"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spans="1:37"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spans="1:37"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spans="1:37"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spans="1:37"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spans="1:37"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spans="1:37"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spans="1:37"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spans="1:37"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spans="1:37"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spans="1:37"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spans="1:37"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spans="1:37"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spans="1:37"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spans="1:37"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spans="1:37"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spans="1:37"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spans="1:37"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spans="1:37"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spans="1:37"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spans="1:37"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spans="1:37"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spans="1:37"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spans="1:37"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spans="1:37"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spans="1:37"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spans="1:37"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spans="1:37"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spans="1:37"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spans="1:37"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spans="1:37"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spans="1:37"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spans="1:37"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spans="1:37"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spans="1:37"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spans="1:37"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spans="1:37"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spans="1:37"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spans="1:37"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spans="1:37"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spans="1:37"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spans="1:37"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spans="1:37"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spans="1:37"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spans="1:37"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spans="1:37"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spans="1:37"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spans="1:37"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spans="1:37"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spans="1:37"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spans="1:37"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spans="1:37"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spans="1:37"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spans="1:37"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spans="1:37"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spans="1:37"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spans="1:37"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spans="1:37"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spans="1:37"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spans="1:37"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spans="1:37"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spans="1:37"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spans="1:37"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spans="1:37"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spans="1:37"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spans="1:37"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spans="1:37"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spans="1:37"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spans="1:37"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spans="1:37"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spans="1:37"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spans="1:37"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spans="1:37"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spans="1:37"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spans="1:37"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spans="1:37"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spans="1:37"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spans="1:37"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spans="1:37"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spans="1:37"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spans="1:37"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spans="1:37"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spans="1:37"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spans="1:37"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spans="1:37"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spans="1:37"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spans="1:37"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spans="1:37"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spans="1:37"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spans="1:37"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spans="1:37"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spans="1:37"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spans="1:37"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spans="1:37"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spans="1:37"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spans="1:37"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spans="1:37"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spans="1:37"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spans="1:37"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spans="1:37"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spans="1:37"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spans="1:37"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spans="1:37"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spans="1:37"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spans="1:37"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spans="1:37"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spans="1:37"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spans="1:37"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spans="1:37"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spans="1:37"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spans="1:37"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spans="1:37"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spans="1:37"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spans="1:37"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spans="1:37"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spans="1:37"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spans="1:37"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spans="1:37"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spans="1:37"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spans="1:37"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spans="1:37"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spans="1:37"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spans="1:37"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spans="1:37"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spans="1:37"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spans="1:37"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spans="1:37"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spans="1:37"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spans="1:37"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spans="1:37"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spans="1:37"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spans="1:37"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spans="1:37"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spans="1:37"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spans="1:37"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spans="1:37"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spans="1:37"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spans="1:37"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spans="1:37"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spans="1:37"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spans="1:37"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spans="1:37"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spans="1:37"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spans="1:37"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spans="1:37"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spans="1:37"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spans="1:37"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spans="1:37"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spans="1:37"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spans="1:37"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spans="1:37"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spans="1:37"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spans="1:37"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spans="1:37"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spans="1:37"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spans="1:37"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spans="1:37"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spans="1:37"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spans="1:37"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spans="1:37"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spans="1:37"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spans="1:37"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spans="1:37"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spans="1:37"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spans="1:37"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spans="1:37"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spans="1:37"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spans="1:37"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spans="1:37"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spans="1:37"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spans="1:37"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spans="1:37"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spans="1:37"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spans="1:37"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spans="1:37"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spans="1:37"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spans="1:37"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spans="1:37"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spans="1:37"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spans="1:37"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spans="1:37"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spans="1:37"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spans="1:37"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spans="1:37"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spans="1:37"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spans="1:37"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spans="1:37"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spans="1:37"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spans="1:37"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spans="1:37"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spans="1:37"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spans="1:37"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spans="1:37"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spans="1:37"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spans="1:37"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spans="1:37"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spans="1:37"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spans="1:37"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spans="1:37"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spans="1:37"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spans="1:37"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spans="1:37"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spans="1:37"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spans="1:37"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spans="1:37"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spans="1:37"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spans="1:37"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spans="1:37"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spans="1:37"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spans="1:37"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spans="1:37"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spans="1:37"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spans="1:37"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spans="1:37"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spans="1:37"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spans="1:37"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spans="1:37"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spans="1:37"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spans="1:37"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spans="1:37"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spans="1:37"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spans="1:37"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spans="1:37"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spans="1:37"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spans="1:37"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spans="1:37"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spans="1:37"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spans="1:37"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spans="1:37"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spans="1:37"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spans="1:37"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spans="1:37"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spans="1:37"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spans="1:37"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spans="1:37"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spans="1:37"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spans="1:37"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spans="1:37"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spans="1:37"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spans="1:37"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spans="1:37"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spans="1:37"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spans="1:37"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spans="1:37"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spans="1:37"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spans="1:37"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spans="1:37"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spans="1:37"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spans="1:37"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spans="1:37"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spans="1:37"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spans="1:37"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spans="1:37"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spans="1:37"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spans="1:37"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spans="1:37"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spans="1:37"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spans="1:37"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spans="1:37"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spans="1:37"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spans="1:37"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spans="1:37"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spans="1:37"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spans="1:37"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spans="1:37"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spans="1:37"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spans="1:37"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spans="1:37"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spans="1:37"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spans="1:37"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spans="1:37"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spans="1:37"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spans="1:37"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spans="1:37"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spans="1:37"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spans="1:37"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spans="1:37"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spans="1:37"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spans="1:37"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spans="1:37"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spans="1:37"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spans="1:37"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spans="1:37"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spans="1:37"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spans="1:37"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spans="1:37"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spans="1:37"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spans="1:37"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spans="1:37"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spans="1:37"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spans="1:37"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spans="1:37"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spans="1:37"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spans="1:37"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spans="1:37"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spans="1:37"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spans="1:37"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spans="1:37"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spans="1:37"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spans="1:37"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spans="1:37"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spans="1:37"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spans="1:37"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spans="1:37"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spans="1:37"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spans="1:37"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spans="1:37"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spans="1:37"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spans="1:37"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spans="1:37"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spans="1:37"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spans="1:37"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spans="1:37"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spans="1:37"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spans="1:37"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spans="1:37"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spans="1:37"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spans="1:37"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spans="1:37"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spans="1:37"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spans="1:37"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spans="1:37"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spans="1:37"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spans="1:37"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spans="1:37"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spans="1:37"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spans="1:37"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spans="1:37"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spans="1:37"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spans="1:37"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spans="1:37"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spans="1:37"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spans="1:37"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spans="1:37"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spans="1:37"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spans="1:37"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spans="1:37"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spans="1:37"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spans="1:37"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spans="1:37"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spans="1:37"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spans="1:37"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spans="1:37"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spans="1:37"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spans="1:37"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spans="1:37"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spans="1:37"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spans="1:37"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spans="1:37"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spans="1:37"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spans="1:37"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spans="1:37"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spans="1:37"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spans="1:37"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spans="1:37"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spans="1:37"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spans="1:37"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spans="1:37"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spans="1:37"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spans="1:37"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spans="1:37"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spans="1:37"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spans="1:37"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spans="1:37"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spans="1:37"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spans="1:37"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spans="1:37"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spans="1:37"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spans="1:37"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spans="1:37"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spans="1:37"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spans="1:37"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spans="1:37"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spans="1:37"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spans="1:37"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spans="1:37"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spans="1:37"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spans="1:37"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spans="1:37"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spans="1:37"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spans="1:37"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spans="1:37"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spans="1:37"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spans="1:37"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spans="1:37"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spans="1:37"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spans="1:37"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spans="1:37"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spans="1:37"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spans="1:37"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spans="1:37"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spans="1:37"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spans="1:37"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spans="1:37"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spans="1:37"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spans="1:37"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spans="1:37"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spans="1:37"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spans="1:37"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spans="1:37"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spans="1:37"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spans="1:37"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spans="1:37"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spans="1:37"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spans="1:37"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spans="1:37"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spans="1:37"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spans="1:37"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spans="1:37"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spans="1:37"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spans="1:37"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spans="1:37"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spans="1:37"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spans="1:37"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spans="1:37"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spans="1:37"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spans="1:37"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spans="1:37"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spans="1:37"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spans="1:37"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spans="1:37"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spans="1:37"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spans="1:37"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spans="1:37"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spans="1:37"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spans="1:37"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spans="1:37"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spans="1:37"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spans="1:37"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spans="1:37"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spans="1:37"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spans="1:37"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spans="1:37"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spans="1:37"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spans="1:37"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spans="1:37"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spans="1:37"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spans="1:37"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spans="1:37"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spans="1:37"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spans="1:37"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spans="1:37"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spans="1:37"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spans="1:37"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spans="1:37"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spans="1:37"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spans="1:37"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spans="1:37"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spans="1:37"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spans="1:37"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spans="1:37"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spans="1:37"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spans="1:37"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spans="1:37"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spans="1:37"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spans="1:37"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spans="1:37"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spans="1:37"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spans="1:37"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spans="1:37"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spans="1:37"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spans="1:37"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spans="1:37"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spans="1:37"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spans="1:37"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spans="1:37"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spans="1:37"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spans="1:37"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spans="1:37"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spans="1:37"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spans="1:37"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spans="1:37"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spans="1:37"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spans="1:37"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spans="1:37"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spans="1:37"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spans="1:37"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spans="1:37"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spans="1:37"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spans="1:37"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spans="1:37"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spans="1:37"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spans="1:37"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spans="1:37"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spans="1:37"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spans="1:37"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spans="1:37"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spans="1:37"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spans="1:37"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spans="1:37"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spans="1:37"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spans="1:37"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spans="1:37"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spans="1:37"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spans="1:37"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spans="1:37"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spans="1:37"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spans="1:37"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spans="1:37"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spans="1:37"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spans="1:37"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spans="1:37"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spans="1:37"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spans="1:37"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spans="1:37"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spans="1:37"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spans="1:37"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spans="1:37"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spans="1:37"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spans="1:37"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spans="1:37"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spans="1:37"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spans="1:37"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spans="1:37"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spans="1:37"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spans="1:37"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spans="1:37"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spans="1:37"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spans="1:37"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spans="1:37"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spans="1:37"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spans="1:37"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spans="1:37"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spans="1:37"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spans="1:37"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spans="1:37"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spans="1:37"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spans="1:37"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spans="1:37"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spans="1:37"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spans="1:37"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spans="1:37"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spans="1:37"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spans="1:37"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spans="1:37"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spans="1:37"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spans="1:37"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spans="1:37"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spans="1:37"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spans="1:37"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spans="1:37"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spans="1:37"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spans="1:37"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spans="1:37"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spans="1:37"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spans="1:37"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spans="1:37"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spans="1:37"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spans="1:37"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spans="1:37"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spans="1:37"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spans="1:37"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spans="1:37"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spans="1:37"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spans="1:37"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spans="1:37"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spans="1:37"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spans="1:37"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spans="1:37"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spans="1:37"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spans="1:37"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spans="1:37"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spans="1:37"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spans="1:37"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spans="1:37"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spans="1:37"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spans="1:37"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spans="1:37"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spans="1:37"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spans="1:37"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spans="1:37"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spans="1:37"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spans="1:37"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spans="1:37"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spans="1:37"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spans="1:37"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spans="1:37"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spans="1:37"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spans="1:37"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spans="1:37"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spans="1:37"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spans="1:37"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spans="1:37"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spans="1:37"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spans="1:37"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spans="1:37"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spans="1:37"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spans="1:37"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spans="1:37"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spans="1:37"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spans="1:37"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spans="1:37"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spans="1:37"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spans="1:37"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spans="1:37"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spans="1:37"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spans="1:37"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spans="1:37"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spans="1:37"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spans="1:37"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spans="1:37"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spans="1:37"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spans="1:37"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spans="1:37"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spans="1:37"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spans="1:37"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spans="1:37"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spans="1:37"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spans="1:37"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spans="1:37"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spans="1:37"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spans="1:37"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spans="1:37"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spans="1:37"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spans="1:37"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spans="1:37"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spans="1:37"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spans="1:37"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spans="1:37"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spans="1:37"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spans="1:37"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spans="1:37"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spans="1:37"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spans="1:37"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spans="1:37"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spans="1:37"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spans="1:37"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spans="1:37"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spans="1:37"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spans="1:37"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spans="1:37"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spans="1:37"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spans="1:37"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spans="1:37"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spans="1:37"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spans="1:37"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spans="1:37"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spans="1:37"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spans="1:37"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spans="1:37"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spans="1:37"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spans="1:37"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spans="1:37"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spans="1:37"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spans="1:37"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spans="1:37"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spans="1:37"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spans="1:37"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spans="1:37"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spans="1:37"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spans="1:37"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spans="1:37"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spans="1:37"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spans="1:37"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spans="1:37"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spans="1:37"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spans="1:37"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spans="1:37"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spans="1:37"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sheetData>
  <mergeCells count="13">
    <mergeCell ref="B16:P16"/>
    <mergeCell ref="B17:P17"/>
    <mergeCell ref="B5:D5"/>
    <mergeCell ref="P4:P7"/>
    <mergeCell ref="E5:G5"/>
    <mergeCell ref="B4:G4"/>
    <mergeCell ref="H4:J4"/>
    <mergeCell ref="H5:J5"/>
    <mergeCell ref="K4:M4"/>
    <mergeCell ref="K5:M6"/>
    <mergeCell ref="A4:A7"/>
    <mergeCell ref="A1:P1"/>
    <mergeCell ref="A2:P2"/>
  </mergeCells>
  <pageMargins left="0.7" right="0.7" top="0.75" bottom="0.75" header="0" footer="0"/>
  <pageSetup paperSize="9" scale="65" orientation="landscape" horizontalDpi="4294967295" verticalDpi="4294967295" r:id="rId1"/>
  <rowBreaks count="1" manualBreakCount="1">
    <brk id="35" max="42" man="1"/>
  </rowBreaks>
  <colBreaks count="1" manualBreakCount="1">
    <brk id="2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2020-06-28T07:49:41Z</cp:lastPrinted>
  <dcterms:created xsi:type="dcterms:W3CDTF">2019-02-21T04:10:17Z</dcterms:created>
  <dcterms:modified xsi:type="dcterms:W3CDTF">2020-06-28T07:50:56Z</dcterms:modified>
</cp:coreProperties>
</file>