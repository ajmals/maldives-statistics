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8. PENSION AND SOCIAL PROTECTION\"/>
    </mc:Choice>
  </mc:AlternateContent>
  <bookViews>
    <workbookView xWindow="0" yWindow="0" windowWidth="28800" windowHeight="12435" tabRatio="841"/>
  </bookViews>
  <sheets>
    <sheet name="18.13" sheetId="13" r:id="rId1"/>
  </sheets>
  <definedNames>
    <definedName name="_xlnm.Print_Area" localSheetId="0">'18.13'!$A$1:$J$54</definedName>
  </definedNames>
  <calcPr calcId="152511"/>
</workbook>
</file>

<file path=xl/calcChain.xml><?xml version="1.0" encoding="utf-8"?>
<calcChain xmlns="http://schemas.openxmlformats.org/spreadsheetml/2006/main">
  <c r="B6" i="13" l="1"/>
  <c r="C6" i="13"/>
  <c r="D6" i="13"/>
  <c r="E6" i="13"/>
  <c r="F6" i="13"/>
  <c r="G7" i="13"/>
  <c r="G32" i="13"/>
  <c r="G31" i="13" l="1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6" i="13" l="1"/>
  <c r="H25" i="13" s="1"/>
  <c r="H32" i="13"/>
  <c r="H9" i="13"/>
  <c r="H17" i="13"/>
  <c r="H13" i="13"/>
  <c r="H21" i="13"/>
  <c r="H29" i="13"/>
  <c r="H31" i="13"/>
  <c r="H27" i="13"/>
  <c r="H23" i="13"/>
  <c r="H19" i="13"/>
  <c r="H15" i="13"/>
  <c r="H11" i="13"/>
  <c r="H7" i="13"/>
  <c r="H24" i="13"/>
  <c r="H16" i="13"/>
  <c r="H30" i="13"/>
  <c r="H26" i="13"/>
  <c r="H22" i="13"/>
  <c r="H18" i="13"/>
  <c r="H14" i="13"/>
  <c r="H10" i="13"/>
  <c r="H6" i="13"/>
  <c r="H28" i="13"/>
  <c r="H8" i="13"/>
  <c r="H20" i="13"/>
  <c r="H12" i="13"/>
</calcChain>
</file>

<file path=xl/sharedStrings.xml><?xml version="1.0" encoding="utf-8"?>
<sst xmlns="http://schemas.openxmlformats.org/spreadsheetml/2006/main" count="69" uniqueCount="68">
  <si>
    <t>ޖުމްލަ</t>
  </si>
  <si>
    <t>% share</t>
  </si>
  <si>
    <t>Total</t>
  </si>
  <si>
    <t>Source: Maldives Pension Administration</t>
  </si>
  <si>
    <t>މަޢުލޫމާތު ދެއްވި ފަރާތް: މޯލްޑިވްސް ޕެންޝަން އެޑްމިނިސްޓްރޭޝަން</t>
  </si>
  <si>
    <t>Sector</t>
  </si>
  <si>
    <t xml:space="preserve">މަސައްކަތްކުރާ ތަނުގެ ދާއިރާ </t>
  </si>
  <si>
    <t>0-9</t>
  </si>
  <si>
    <t>10-49</t>
  </si>
  <si>
    <t>50-99</t>
  </si>
  <si>
    <t>100-299</t>
  </si>
  <si>
    <t>&gt;300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</si>
  <si>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</si>
  <si>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</si>
  <si>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</si>
  <si>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</si>
  <si>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</si>
  <si>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</si>
  <si>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</si>
  <si>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</si>
  <si>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</si>
  <si>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</si>
  <si>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</si>
  <si>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</si>
  <si>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Financial sector, Banks, Investment Funds, Insurance companies Investment</t>
  </si>
  <si>
    <t>ފައިސާގެ ޚިދުމަތް، ބެންކް، އިންވެސްޓްމަންޓް ފަންޑް، އިންޝުއަރެންސް ކުންފުނިތަކުގެ އިންވެސްޓްމަންޓް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</si>
  <si>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</si>
  <si>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</si>
  <si>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</si>
  <si>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</si>
  <si>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>Government agencies, public institutions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</si>
  <si>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</si>
  <si>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</si>
  <si>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</si>
  <si>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</si>
  <si>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</si>
  <si>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 xml:space="preserve">Housing Development 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</si>
  <si>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</si>
  <si>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</si>
  <si>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</si>
  <si>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</si>
  <si>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</si>
  <si>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</si>
  <si>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</si>
  <si>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</si>
  <si>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</si>
  <si>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</si>
  <si>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</si>
  <si>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</si>
  <si>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</si>
  <si>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</si>
  <si>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</si>
  <si>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</si>
  <si>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</si>
  <si>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</si>
  <si>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</si>
  <si>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</si>
  <si>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</si>
  <si>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</si>
  <si>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</si>
  <si>
    <t>Others</t>
  </si>
  <si>
    <t>އެހެނިހެން</t>
  </si>
  <si>
    <t>Employment size</t>
  </si>
  <si>
    <t xml:space="preserve">Note: The Difference between values in this table  is due to  some members having multiple contracts with more than one employer </t>
  </si>
  <si>
    <t>Passenger Ferries</t>
  </si>
  <si>
    <t>ފެރީގެ ޙިދުމަތް</t>
  </si>
  <si>
    <t>TABLE   18.13: EMPLOYEES  REGISTERED IN THE RETIREMENT PENSION SCHEME, BY EMPLOYMENT SIZE, END  2019</t>
  </si>
  <si>
    <t>ތާވަލު  18.13 : އެކި ދާއިރާތަކުން ރިޓާޔަމަންޓް ޕެންޝަން ސްކީމްގައި ރެޖިސްޓަރކޮށްފައިވާ މުވައްޒަފުންގެ ޢަދަދު، ތަނުގެމުވައްޒަފުންގެ ގިންތިން،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</si>
</sst>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sz val="9"/>
      <color rgb="FF000000"/>
      <name val="Faruma"/>
    </font>
    <font>
      <i/>
      <sz val="10"/>
      <color rgb="FF000000"/>
      <name val="Calibri"/>
      <family val="2"/>
    </font>
    <font>
      <sz val="10"/>
      <color rgb="FF000000"/>
      <name val="Faruma"/>
    </font>
    <font>
      <b/>
      <sz val="12"/>
      <color rgb="FF000000"/>
      <name val="Consolas"/>
      <family val="3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164" fontId="12" fillId="0" borderId="13"/>
    <xf numFmtId="0" fontId="1" fillId="0" borderId="13"/>
    <xf numFmtId="0" fontId="1" fillId="0" borderId="13"/>
    <xf numFmtId="43" fontId="10" fillId="0" borderId="13" applyFont="0" applyFill="0" applyBorder="0" applyAlignment="0" applyProtection="0"/>
    <xf numFmtId="43" fontId="10" fillId="0" borderId="13" applyFont="0" applyFill="0" applyBorder="0" applyAlignment="0" applyProtection="0"/>
    <xf numFmtId="0" fontId="10" fillId="0" borderId="13"/>
  </cellStyleXfs>
  <cellXfs count="44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/>
    <xf numFmtId="3" fontId="0" fillId="2" borderId="2" xfId="0" applyNumberFormat="1" applyFont="1" applyFill="1" applyBorder="1" applyAlignment="1">
      <alignment horizontal="right" vertical="center"/>
    </xf>
    <xf numFmtId="3" fontId="0" fillId="2" borderId="11" xfId="0" applyNumberFormat="1" applyFont="1" applyFill="1" applyBorder="1" applyAlignment="1">
      <alignment horizontal="right" vertical="center"/>
    </xf>
    <xf numFmtId="0" fontId="6" fillId="2" borderId="2" xfId="0" applyFont="1" applyFill="1" applyBorder="1" applyAlignment="1"/>
    <xf numFmtId="0" fontId="8" fillId="2" borderId="2" xfId="0" applyFont="1" applyFill="1" applyBorder="1"/>
    <xf numFmtId="49" fontId="4" fillId="2" borderId="11" xfId="0" applyNumberFormat="1" applyFont="1" applyFill="1" applyBorder="1" applyAlignment="1">
      <alignment horizontal="right" vertical="center"/>
    </xf>
    <xf numFmtId="49" fontId="4" fillId="2" borderId="12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left" vertical="center"/>
    </xf>
    <xf numFmtId="3" fontId="4" fillId="2" borderId="6" xfId="0" applyNumberFormat="1" applyFont="1" applyFill="1" applyBorder="1" applyAlignment="1">
      <alignment horizontal="right" vertical="center"/>
    </xf>
    <xf numFmtId="165" fontId="0" fillId="2" borderId="2" xfId="0" applyNumberFormat="1" applyFont="1" applyFill="1" applyBorder="1" applyAlignment="1">
      <alignment horizontal="right" vertical="center"/>
    </xf>
    <xf numFmtId="165" fontId="0" fillId="2" borderId="11" xfId="0" applyNumberFormat="1" applyFont="1" applyFill="1" applyBorder="1" applyAlignment="1">
      <alignment horizontal="right" vertical="center"/>
    </xf>
    <xf numFmtId="165" fontId="4" fillId="2" borderId="6" xfId="0" applyNumberFormat="1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center" vertical="center" readingOrder="1"/>
    </xf>
    <xf numFmtId="3" fontId="0" fillId="4" borderId="13" xfId="0" applyNumberFormat="1" applyFont="1" applyFill="1" applyBorder="1" applyAlignment="1">
      <alignment horizontal="right" vertical="center"/>
    </xf>
    <xf numFmtId="3" fontId="0" fillId="4" borderId="14" xfId="0" applyNumberFormat="1" applyFont="1" applyFill="1" applyBorder="1" applyAlignment="1">
      <alignment horizontal="right" vertical="center"/>
    </xf>
    <xf numFmtId="0" fontId="0" fillId="5" borderId="13" xfId="0" applyFont="1" applyFill="1" applyBorder="1"/>
    <xf numFmtId="0" fontId="0" fillId="5" borderId="13" xfId="0" applyFont="1" applyFill="1" applyBorder="1" applyAlignment="1">
      <alignment horizontal="left" vertical="center"/>
    </xf>
    <xf numFmtId="0" fontId="0" fillId="5" borderId="13" xfId="0" applyFont="1" applyFill="1" applyBorder="1" applyAlignment="1">
      <alignment horizontal="left" vertical="center" wrapText="1"/>
    </xf>
    <xf numFmtId="0" fontId="0" fillId="5" borderId="14" xfId="0" applyFont="1" applyFill="1" applyBorder="1" applyAlignment="1">
      <alignment horizontal="left" vertical="center"/>
    </xf>
    <xf numFmtId="0" fontId="5" fillId="5" borderId="13" xfId="0" applyFont="1" applyFill="1" applyBorder="1" applyAlignment="1"/>
    <xf numFmtId="0" fontId="5" fillId="5" borderId="13" xfId="0" applyFont="1" applyFill="1" applyBorder="1" applyAlignment="1">
      <alignment horizontal="right" vertical="center" wrapText="1"/>
    </xf>
    <xf numFmtId="0" fontId="13" fillId="5" borderId="13" xfId="0" applyFont="1" applyFill="1" applyBorder="1" applyAlignment="1"/>
    <xf numFmtId="0" fontId="5" fillId="5" borderId="14" xfId="0" applyFont="1" applyFill="1" applyBorder="1" applyAlignment="1"/>
    <xf numFmtId="0" fontId="7" fillId="5" borderId="13" xfId="0" applyFont="1" applyFill="1" applyBorder="1" applyAlignment="1">
      <alignment horizontal="left" vertical="center"/>
    </xf>
    <xf numFmtId="3" fontId="0" fillId="5" borderId="13" xfId="0" applyNumberFormat="1" applyFont="1" applyFill="1" applyBorder="1" applyAlignment="1">
      <alignment horizontal="right" vertical="center"/>
    </xf>
    <xf numFmtId="0" fontId="7" fillId="5" borderId="13" xfId="0" applyFont="1" applyFill="1" applyBorder="1"/>
    <xf numFmtId="3" fontId="0" fillId="4" borderId="13" xfId="0" applyNumberFormat="1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horizontal="center" vertical="center"/>
    </xf>
    <xf numFmtId="0" fontId="3" fillId="3" borderId="8" xfId="0" applyFont="1" applyFill="1" applyBorder="1"/>
    <xf numFmtId="0" fontId="3" fillId="3" borderId="9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3" fillId="3" borderId="10" xfId="0" applyFont="1" applyFill="1" applyBorder="1"/>
    <xf numFmtId="0" fontId="2" fillId="2" borderId="1" xfId="0" applyFont="1" applyFill="1" applyBorder="1" applyAlignment="1">
      <alignment horizontal="center"/>
    </xf>
    <xf numFmtId="0" fontId="3" fillId="3" borderId="3" xfId="0" applyFont="1" applyFill="1" applyBorder="1"/>
    <xf numFmtId="0" fontId="3" fillId="3" borderId="13" xfId="0" applyFont="1" applyFill="1" applyBorder="1"/>
    <xf numFmtId="0" fontId="3" fillId="3" borderId="4" xfId="0" applyFont="1" applyFill="1" applyBorder="1"/>
    <xf numFmtId="0" fontId="2" fillId="2" borderId="5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right" vertical="center"/>
    </xf>
  </cellXfs>
  <cellStyles count="7">
    <cellStyle name="Comma 23" xfId="5"/>
    <cellStyle name="Comma 3" xfId="4"/>
    <cellStyle name="Normal" xfId="0" builtinId="0"/>
    <cellStyle name="Normal 12" xfId="3"/>
    <cellStyle name="Normal 2" xfId="1"/>
    <cellStyle name="Normal 3 2" xfId="2"/>
    <cellStyle name="Normal 8" xfId="6"/>
  </cellStyles>
  <dxfs count="0"/>
  <tableStyles count="0" defaultTableStyle="TableStyleMedium2" defaultPivotStyle="PivotStyleLight16"/>
  <colors>
    <mruColors>
      <color rgb="FFE5C9AD"/>
      <color rgb="FF996633"/>
      <color rgb="FFDAB48E"/>
      <color rgb="FFFAF5F0"/>
      <color rgb="FFF2E4D6"/>
      <color rgb="FF964B00"/>
      <color rgb="FFF4E8DC"/>
      <color rgb="FF976431"/>
      <color rgb="FFFFF2E5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9.8811244979919693E-2"/>
          <c:y val="0.23497104184291018"/>
          <c:w val="0.8790337412642697"/>
          <c:h val="0.62027779585403064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7F6000"/>
            </a:solidFill>
          </c:spPr>
          <c:invertIfNegative val="1"/>
          <c:cat>
            <c:strRef>
              <c:f>'18.13'!$B$5:$F$5</c:f>
              <c:strCache>
                <c:ptCount val="5"/>
                <c:pt idx="0">
                  <c:v>0-9</c:v>
                </c:pt>
                <c:pt idx="1">
                  <c:v>10-49</c:v>
                </c:pt>
                <c:pt idx="2">
                  <c:v>50-99</c:v>
                </c:pt>
                <c:pt idx="3">
                  <c:v>100-299</c:v>
                </c:pt>
                <c:pt idx="4">
                  <c:v>&gt;300</c:v>
                </c:pt>
              </c:strCache>
            </c:strRef>
          </c:cat>
          <c:val>
            <c:numRef>
              <c:f>'18.13'!$B$6:$F$6</c:f>
              <c:numCache>
                <c:formatCode>#,##0</c:formatCode>
                <c:ptCount val="5"/>
                <c:pt idx="0">
                  <c:v>3921</c:v>
                </c:pt>
                <c:pt idx="1">
                  <c:v>13494</c:v>
                </c:pt>
                <c:pt idx="2">
                  <c:v>11106</c:v>
                </c:pt>
                <c:pt idx="3">
                  <c:v>27918</c:v>
                </c:pt>
                <c:pt idx="4">
                  <c:v>45057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57C-4967-932F-95DBDEC05590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7431712"/>
        <c:axId val="447428576"/>
      </c:barChart>
      <c:catAx>
        <c:axId val="447431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/>
                </a:pPr>
                <a:r>
                  <a:rPr lang="en-US"/>
                  <a:t>employment size</a:t>
                </a:r>
              </a:p>
            </c:rich>
          </c:tx>
          <c:layout/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1" i="0"/>
            </a:pPr>
            <a:endParaRPr lang="en-US"/>
          </a:p>
        </c:txPr>
        <c:crossAx val="447428576"/>
        <c:crosses val="autoZero"/>
        <c:auto val="1"/>
        <c:lblAlgn val="ctr"/>
        <c:lblOffset val="100"/>
        <c:noMultiLvlLbl val="1"/>
      </c:catAx>
      <c:valAx>
        <c:axId val="447428576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/>
                </a:pPr>
                <a:r>
                  <a:rPr lang="en-US"/>
                  <a:t>In Numbers</a:t>
                </a:r>
              </a:p>
            </c:rich>
          </c:tx>
          <c:layout/>
          <c:overlay val="0"/>
        </c:title>
        <c:numFmt formatCode="#,##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1" i="0"/>
            </a:pPr>
            <a:endParaRPr lang="en-US"/>
          </a:p>
        </c:txPr>
        <c:crossAx val="447431712"/>
        <c:crosses val="autoZero"/>
        <c:crossBetween val="between"/>
      </c:valAx>
      <c:spPr>
        <a:solidFill>
          <a:srgbClr val="FFFFFF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976057</xdr:colOff>
      <xdr:row>34</xdr:row>
      <xdr:rowOff>167660</xdr:rowOff>
    </xdr:from>
    <xdr:ext cx="7905750" cy="3457575"/>
    <xdr:graphicFrame macro=""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0.0253</cdr:x>
      <cdr:y>0.06703</cdr:y>
    </cdr:from>
    <cdr:to>
      <cdr:x>0.9494</cdr:x>
      <cdr:y>0.23322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0025" y="231775"/>
          <a:ext cx="7305675" cy="5746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18.17: Employees registered in the retirement pension scheme, </a:t>
          </a:r>
        </a:p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by employment size, 2019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54"/>
  <sheetViews>
    <sheetView tabSelected="1" zoomScaleNormal="100" zoomScaleSheetLayoutView="93" workbookViewId="0">
      <selection activeCell="N10" sqref="N10"/>
    </sheetView>
  </sheetViews>
  <sheetFormatPr defaultColWidth="14.42578125" defaultRowHeight="15" customHeight="1" x14ac:dyDescent="0.25"/>
  <cols>
    <col min="1" max="1" width="35.42578125" style="2" customWidth="1"/>
    <col min="2" max="7" width="10.5703125" style="2" customWidth="1"/>
    <col min="8" max="8" width="9" style="2" customWidth="1"/>
    <col min="9" max="9" width="35.28515625" style="2" customWidth="1"/>
    <col min="10" max="10" width="2.5703125" style="2" customWidth="1"/>
    <col min="11" max="26" width="8" style="2" customWidth="1"/>
    <col min="27" max="29" width="15.140625" style="2" customWidth="1"/>
    <col min="30" max="16384" width="14.42578125" style="2"/>
  </cols>
  <sheetData>
    <row r="1" spans="1:29" ht="21" customHeight="1" x14ac:dyDescent="0.55000000000000004">
      <c r="A1" s="37" t="s">
        <v>67</v>
      </c>
      <c r="B1" s="38"/>
      <c r="C1" s="38"/>
      <c r="D1" s="38"/>
      <c r="E1" s="38"/>
      <c r="F1" s="38"/>
      <c r="G1" s="38"/>
      <c r="H1" s="38"/>
      <c r="I1" s="40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42" t="s">
        <v>66</v>
      </c>
      <c r="B2" s="38"/>
      <c r="C2" s="38"/>
      <c r="D2" s="38"/>
      <c r="E2" s="38"/>
      <c r="F2" s="38"/>
      <c r="G2" s="38"/>
      <c r="H2" s="38"/>
      <c r="I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" customHeight="1" x14ac:dyDescent="0.25">
      <c r="A4" s="35" t="s">
        <v>5</v>
      </c>
      <c r="B4" s="32" t="s">
        <v>62</v>
      </c>
      <c r="C4" s="33"/>
      <c r="D4" s="33"/>
      <c r="E4" s="33"/>
      <c r="F4" s="33"/>
      <c r="G4" s="34"/>
      <c r="H4" s="43" t="s">
        <v>1</v>
      </c>
      <c r="I4" s="41" t="s">
        <v>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/>
      <c r="AB4" s="1"/>
      <c r="AC4" s="1"/>
    </row>
    <row r="5" spans="1:29" ht="15" customHeight="1" x14ac:dyDescent="0.25">
      <c r="A5" s="39"/>
      <c r="B5" s="10" t="s">
        <v>7</v>
      </c>
      <c r="C5" s="10" t="s">
        <v>8</v>
      </c>
      <c r="D5" s="10" t="s">
        <v>9</v>
      </c>
      <c r="E5" s="10" t="s">
        <v>10</v>
      </c>
      <c r="F5" s="11" t="s">
        <v>11</v>
      </c>
      <c r="G5" s="11" t="s">
        <v>2</v>
      </c>
      <c r="H5" s="36"/>
      <c r="I5" s="3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1"/>
      <c r="AB5" s="1"/>
      <c r="AC5" s="1"/>
    </row>
    <row r="6" spans="1:29" ht="21" customHeight="1" x14ac:dyDescent="0.55000000000000004">
      <c r="A6" s="12" t="s">
        <v>2</v>
      </c>
      <c r="B6" s="13">
        <f>SUM(B7:B32)</f>
        <v>3921</v>
      </c>
      <c r="C6" s="13">
        <f t="shared" ref="C6:F6" si="0">SUM(C7:C32)</f>
        <v>13494</v>
      </c>
      <c r="D6" s="13">
        <f t="shared" si="0"/>
        <v>11106</v>
      </c>
      <c r="E6" s="13">
        <f t="shared" si="0"/>
        <v>27918</v>
      </c>
      <c r="F6" s="13">
        <f t="shared" si="0"/>
        <v>45057</v>
      </c>
      <c r="G6" s="13">
        <f>SUM(G7:G32)</f>
        <v>101496</v>
      </c>
      <c r="H6" s="16">
        <f>G6/G6*100</f>
        <v>100</v>
      </c>
      <c r="I6" s="5" t="s"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1"/>
      <c r="AB6" s="1"/>
      <c r="AC6" s="1"/>
    </row>
    <row r="7" spans="1:29" ht="21" customHeight="1" x14ac:dyDescent="0.55000000000000004">
      <c r="A7" s="21" t="s">
        <v>12</v>
      </c>
      <c r="B7" s="18">
        <v>33</v>
      </c>
      <c r="C7" s="18">
        <v>25</v>
      </c>
      <c r="D7" s="18">
        <v>77</v>
      </c>
      <c r="E7" s="18">
        <v>0</v>
      </c>
      <c r="F7" s="18">
        <v>0</v>
      </c>
      <c r="G7" s="6">
        <f>SUM(B7:F7)</f>
        <v>135</v>
      </c>
      <c r="H7" s="14">
        <f t="shared" ref="H7:H31" si="1">G7/$G$6*100</f>
        <v>0.13301016788838971</v>
      </c>
      <c r="I7" s="24" t="s">
        <v>13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21" customHeight="1" x14ac:dyDescent="0.55000000000000004">
      <c r="A8" s="21" t="s">
        <v>14</v>
      </c>
      <c r="B8" s="18">
        <v>23</v>
      </c>
      <c r="C8" s="18">
        <v>44</v>
      </c>
      <c r="D8" s="18">
        <v>114</v>
      </c>
      <c r="E8" s="18">
        <v>463</v>
      </c>
      <c r="F8" s="18">
        <v>4136</v>
      </c>
      <c r="G8" s="6">
        <f t="shared" ref="G8:G20" si="2">SUM(B8:F8)</f>
        <v>4780</v>
      </c>
      <c r="H8" s="14">
        <f t="shared" si="1"/>
        <v>4.7095452037518717</v>
      </c>
      <c r="I8" s="24" t="s">
        <v>15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21" customHeight="1" x14ac:dyDescent="0.55000000000000004">
      <c r="A9" s="21" t="s">
        <v>16</v>
      </c>
      <c r="B9" s="18">
        <v>9</v>
      </c>
      <c r="C9" s="18">
        <v>11</v>
      </c>
      <c r="D9" s="18">
        <v>0</v>
      </c>
      <c r="E9" s="18">
        <v>0</v>
      </c>
      <c r="F9" s="18">
        <v>0</v>
      </c>
      <c r="G9" s="6">
        <f t="shared" si="2"/>
        <v>20</v>
      </c>
      <c r="H9" s="14">
        <f t="shared" si="1"/>
        <v>1.9705210057539214E-2</v>
      </c>
      <c r="I9" s="24" t="s">
        <v>17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21" customHeight="1" x14ac:dyDescent="0.55000000000000004">
      <c r="A10" s="21" t="s">
        <v>18</v>
      </c>
      <c r="B10" s="18">
        <v>38</v>
      </c>
      <c r="C10" s="18">
        <v>0</v>
      </c>
      <c r="D10" s="18">
        <v>0</v>
      </c>
      <c r="E10" s="18">
        <v>0</v>
      </c>
      <c r="F10" s="18">
        <v>0</v>
      </c>
      <c r="G10" s="6">
        <f t="shared" si="2"/>
        <v>38</v>
      </c>
      <c r="H10" s="14">
        <f t="shared" si="1"/>
        <v>3.7439899109324506E-2</v>
      </c>
      <c r="I10" s="24" t="s">
        <v>19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21" customHeight="1" x14ac:dyDescent="0.55000000000000004">
      <c r="A11" s="21" t="s">
        <v>20</v>
      </c>
      <c r="B11" s="18">
        <v>343</v>
      </c>
      <c r="C11" s="18">
        <v>616</v>
      </c>
      <c r="D11" s="18">
        <v>377</v>
      </c>
      <c r="E11" s="18">
        <v>518</v>
      </c>
      <c r="F11" s="18">
        <v>492</v>
      </c>
      <c r="G11" s="6">
        <f t="shared" si="2"/>
        <v>2346</v>
      </c>
      <c r="H11" s="14">
        <f t="shared" si="1"/>
        <v>2.31142113974935</v>
      </c>
      <c r="I11" s="24" t="s">
        <v>21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21" customHeight="1" x14ac:dyDescent="0.55000000000000004">
      <c r="A12" s="21" t="s">
        <v>22</v>
      </c>
      <c r="B12" s="18">
        <v>77</v>
      </c>
      <c r="C12" s="18">
        <v>65</v>
      </c>
      <c r="D12" s="18">
        <v>0</v>
      </c>
      <c r="E12" s="18">
        <v>133</v>
      </c>
      <c r="F12" s="18">
        <v>0</v>
      </c>
      <c r="G12" s="6">
        <f t="shared" si="2"/>
        <v>275</v>
      </c>
      <c r="H12" s="14">
        <f t="shared" si="1"/>
        <v>0.27094663829116417</v>
      </c>
      <c r="I12" s="24" t="s">
        <v>23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39.75" customHeight="1" x14ac:dyDescent="0.25">
      <c r="A13" s="22" t="s">
        <v>24</v>
      </c>
      <c r="B13" s="31">
        <v>104</v>
      </c>
      <c r="C13" s="31">
        <v>739</v>
      </c>
      <c r="D13" s="31">
        <v>354</v>
      </c>
      <c r="E13" s="31">
        <v>934</v>
      </c>
      <c r="F13" s="31">
        <v>2799</v>
      </c>
      <c r="G13" s="6">
        <f t="shared" si="2"/>
        <v>4930</v>
      </c>
      <c r="H13" s="14">
        <f t="shared" si="1"/>
        <v>4.8573342791834158</v>
      </c>
      <c r="I13" s="25" t="s">
        <v>25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23.25" customHeight="1" x14ac:dyDescent="0.55000000000000004">
      <c r="A14" s="21" t="s">
        <v>26</v>
      </c>
      <c r="B14" s="18">
        <v>27</v>
      </c>
      <c r="C14" s="18">
        <v>65</v>
      </c>
      <c r="D14" s="18">
        <v>76</v>
      </c>
      <c r="E14" s="18">
        <v>209</v>
      </c>
      <c r="F14" s="18">
        <v>894</v>
      </c>
      <c r="G14" s="6">
        <f t="shared" si="2"/>
        <v>1271</v>
      </c>
      <c r="H14" s="14">
        <f t="shared" si="1"/>
        <v>1.252266099156617</v>
      </c>
      <c r="I14" s="24" t="s">
        <v>27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21" customHeight="1" x14ac:dyDescent="0.55000000000000004">
      <c r="A15" s="21" t="s">
        <v>28</v>
      </c>
      <c r="B15" s="18">
        <v>5</v>
      </c>
      <c r="C15" s="18">
        <v>85</v>
      </c>
      <c r="D15" s="18">
        <v>75</v>
      </c>
      <c r="E15" s="18">
        <v>0</v>
      </c>
      <c r="F15" s="18">
        <v>0</v>
      </c>
      <c r="G15" s="6">
        <f t="shared" si="2"/>
        <v>165</v>
      </c>
      <c r="H15" s="14">
        <f t="shared" si="1"/>
        <v>0.16256798297469852</v>
      </c>
      <c r="I15" s="24" t="s">
        <v>29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21" customHeight="1" x14ac:dyDescent="0.55000000000000004">
      <c r="A16" s="21" t="s">
        <v>30</v>
      </c>
      <c r="B16" s="18">
        <v>142</v>
      </c>
      <c r="C16" s="18">
        <v>5381</v>
      </c>
      <c r="D16" s="18">
        <v>4260</v>
      </c>
      <c r="E16" s="18">
        <v>10850</v>
      </c>
      <c r="F16" s="18">
        <v>22169</v>
      </c>
      <c r="G16" s="6">
        <f t="shared" si="2"/>
        <v>42802</v>
      </c>
      <c r="H16" s="14">
        <f t="shared" si="1"/>
        <v>42.17112004413967</v>
      </c>
      <c r="I16" s="24" t="s">
        <v>31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21" customHeight="1" x14ac:dyDescent="0.55000000000000004">
      <c r="A17" s="21" t="s">
        <v>32</v>
      </c>
      <c r="B17" s="18">
        <v>91</v>
      </c>
      <c r="C17" s="18">
        <v>367</v>
      </c>
      <c r="D17" s="18">
        <v>91</v>
      </c>
      <c r="E17" s="18">
        <v>691</v>
      </c>
      <c r="F17" s="18">
        <v>0</v>
      </c>
      <c r="G17" s="6">
        <f t="shared" si="2"/>
        <v>1240</v>
      </c>
      <c r="H17" s="14">
        <f t="shared" si="1"/>
        <v>1.2217230235674312</v>
      </c>
      <c r="I17" s="24" t="s">
        <v>33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21" customHeight="1" x14ac:dyDescent="0.55000000000000004">
      <c r="A18" s="21" t="s">
        <v>34</v>
      </c>
      <c r="B18" s="18">
        <v>568</v>
      </c>
      <c r="C18" s="18">
        <v>1779</v>
      </c>
      <c r="D18" s="18">
        <v>3057</v>
      </c>
      <c r="E18" s="18">
        <v>10792</v>
      </c>
      <c r="F18" s="18">
        <v>4351</v>
      </c>
      <c r="G18" s="6">
        <f t="shared" si="2"/>
        <v>20547</v>
      </c>
      <c r="H18" s="14">
        <f t="shared" si="1"/>
        <v>20.244147552612912</v>
      </c>
      <c r="I18" s="24" t="s">
        <v>35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21" customHeight="1" x14ac:dyDescent="0.55000000000000004">
      <c r="A19" s="21" t="s">
        <v>36</v>
      </c>
      <c r="B19" s="18">
        <v>13</v>
      </c>
      <c r="C19" s="18">
        <v>48</v>
      </c>
      <c r="D19" s="18">
        <v>0</v>
      </c>
      <c r="E19" s="18">
        <v>0</v>
      </c>
      <c r="F19" s="18">
        <v>0</v>
      </c>
      <c r="G19" s="6">
        <f t="shared" si="2"/>
        <v>61</v>
      </c>
      <c r="H19" s="14">
        <f t="shared" si="1"/>
        <v>6.0100890675494595E-2</v>
      </c>
      <c r="I19" s="24" t="s">
        <v>37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21" customHeight="1" x14ac:dyDescent="0.55000000000000004">
      <c r="A20" s="21" t="s">
        <v>38</v>
      </c>
      <c r="B20" s="18">
        <v>24</v>
      </c>
      <c r="C20" s="18">
        <v>0</v>
      </c>
      <c r="D20" s="18">
        <v>0</v>
      </c>
      <c r="E20" s="18">
        <v>0</v>
      </c>
      <c r="F20" s="18">
        <v>549</v>
      </c>
      <c r="G20" s="6">
        <f t="shared" si="2"/>
        <v>573</v>
      </c>
      <c r="H20" s="14">
        <f t="shared" si="1"/>
        <v>0.56455426814849852</v>
      </c>
      <c r="I20" s="24" t="s">
        <v>39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21" customHeight="1" x14ac:dyDescent="0.55000000000000004">
      <c r="A21" s="21" t="s">
        <v>40</v>
      </c>
      <c r="B21" s="18">
        <v>1</v>
      </c>
      <c r="C21" s="18">
        <v>0</v>
      </c>
      <c r="D21" s="18">
        <v>0</v>
      </c>
      <c r="E21" s="18">
        <v>0</v>
      </c>
      <c r="F21" s="18">
        <v>0</v>
      </c>
      <c r="G21" s="6">
        <f>B21+C21+D21+E21+F21</f>
        <v>1</v>
      </c>
      <c r="H21" s="14">
        <f t="shared" si="1"/>
        <v>9.8526050287696051E-4</v>
      </c>
      <c r="I21" s="24" t="s">
        <v>41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21" customHeight="1" x14ac:dyDescent="0.25">
      <c r="A22" s="21" t="s">
        <v>64</v>
      </c>
      <c r="B22" s="18">
        <v>1</v>
      </c>
      <c r="C22" s="18">
        <v>0</v>
      </c>
      <c r="D22" s="18">
        <v>0</v>
      </c>
      <c r="E22" s="18">
        <v>0</v>
      </c>
      <c r="F22" s="18">
        <v>0</v>
      </c>
      <c r="G22" s="6">
        <f t="shared" ref="G22:G31" si="3">SUM(B22:F22)</f>
        <v>1</v>
      </c>
      <c r="H22" s="14">
        <f t="shared" si="1"/>
        <v>9.8526050287696051E-4</v>
      </c>
      <c r="I22" s="26" t="s">
        <v>65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21" customHeight="1" x14ac:dyDescent="0.55000000000000004">
      <c r="A23" s="21" t="s">
        <v>42</v>
      </c>
      <c r="B23" s="18">
        <v>24</v>
      </c>
      <c r="C23" s="18">
        <v>27</v>
      </c>
      <c r="D23" s="18">
        <v>0</v>
      </c>
      <c r="E23" s="18">
        <v>0</v>
      </c>
      <c r="F23" s="18">
        <v>0</v>
      </c>
      <c r="G23" s="6">
        <f t="shared" si="3"/>
        <v>51</v>
      </c>
      <c r="H23" s="14">
        <f t="shared" si="1"/>
        <v>5.0248285646724997E-2</v>
      </c>
      <c r="I23" s="24" t="s">
        <v>43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21" customHeight="1" x14ac:dyDescent="0.55000000000000004">
      <c r="A24" s="21" t="s">
        <v>44</v>
      </c>
      <c r="B24" s="18">
        <v>70</v>
      </c>
      <c r="C24" s="18">
        <v>123</v>
      </c>
      <c r="D24" s="18">
        <v>0</v>
      </c>
      <c r="E24" s="18">
        <v>0</v>
      </c>
      <c r="F24" s="18">
        <v>0</v>
      </c>
      <c r="G24" s="6">
        <f t="shared" si="3"/>
        <v>193</v>
      </c>
      <c r="H24" s="14">
        <f t="shared" si="1"/>
        <v>0.1901552770552534</v>
      </c>
      <c r="I24" s="24" t="s">
        <v>45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21" customHeight="1" x14ac:dyDescent="0.55000000000000004">
      <c r="A25" s="21" t="s">
        <v>46</v>
      </c>
      <c r="B25" s="18">
        <v>0</v>
      </c>
      <c r="C25" s="18">
        <v>23</v>
      </c>
      <c r="D25" s="18">
        <v>62</v>
      </c>
      <c r="E25" s="18">
        <v>0</v>
      </c>
      <c r="F25" s="18">
        <v>0</v>
      </c>
      <c r="G25" s="6">
        <f t="shared" si="3"/>
        <v>85</v>
      </c>
      <c r="H25" s="14">
        <f t="shared" si="1"/>
        <v>8.3747142744541647E-2</v>
      </c>
      <c r="I25" s="24" t="s">
        <v>47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21" customHeight="1" x14ac:dyDescent="0.55000000000000004">
      <c r="A26" s="21" t="s">
        <v>48</v>
      </c>
      <c r="B26" s="18">
        <v>117</v>
      </c>
      <c r="C26" s="18">
        <v>493</v>
      </c>
      <c r="D26" s="18">
        <v>579</v>
      </c>
      <c r="E26" s="18">
        <v>844</v>
      </c>
      <c r="F26" s="18">
        <v>0</v>
      </c>
      <c r="G26" s="6">
        <f t="shared" si="3"/>
        <v>2033</v>
      </c>
      <c r="H26" s="14">
        <f t="shared" si="1"/>
        <v>2.003034602348861</v>
      </c>
      <c r="I26" s="24" t="s">
        <v>49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21" customHeight="1" x14ac:dyDescent="0.55000000000000004">
      <c r="A27" s="21" t="s">
        <v>50</v>
      </c>
      <c r="B27" s="18">
        <v>124</v>
      </c>
      <c r="C27" s="18">
        <v>150</v>
      </c>
      <c r="D27" s="18">
        <v>270</v>
      </c>
      <c r="E27" s="18">
        <v>375</v>
      </c>
      <c r="F27" s="18">
        <v>1932</v>
      </c>
      <c r="G27" s="6">
        <f t="shared" si="3"/>
        <v>2851</v>
      </c>
      <c r="H27" s="14">
        <f t="shared" si="1"/>
        <v>2.8089776937022148</v>
      </c>
      <c r="I27" s="24" t="s">
        <v>51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21" customHeight="1" x14ac:dyDescent="0.55000000000000004">
      <c r="A28" s="21" t="s">
        <v>52</v>
      </c>
      <c r="B28" s="18">
        <v>685</v>
      </c>
      <c r="C28" s="18">
        <v>1316</v>
      </c>
      <c r="D28" s="18">
        <v>710</v>
      </c>
      <c r="E28" s="18">
        <v>926</v>
      </c>
      <c r="F28" s="18">
        <v>0</v>
      </c>
      <c r="G28" s="6">
        <f t="shared" si="3"/>
        <v>3637</v>
      </c>
      <c r="H28" s="14">
        <f t="shared" si="1"/>
        <v>3.5833924489635058</v>
      </c>
      <c r="I28" s="24" t="s">
        <v>53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21" customHeight="1" x14ac:dyDescent="0.55000000000000004">
      <c r="A29" s="21" t="s">
        <v>54</v>
      </c>
      <c r="B29" s="18">
        <v>41</v>
      </c>
      <c r="C29" s="18">
        <v>140</v>
      </c>
      <c r="D29" s="18">
        <v>182</v>
      </c>
      <c r="E29" s="18">
        <v>295</v>
      </c>
      <c r="F29" s="18">
        <v>1148</v>
      </c>
      <c r="G29" s="6">
        <f t="shared" si="3"/>
        <v>1806</v>
      </c>
      <c r="H29" s="14">
        <f t="shared" si="1"/>
        <v>1.779380468195791</v>
      </c>
      <c r="I29" s="24" t="s">
        <v>55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21" customHeight="1" x14ac:dyDescent="0.55000000000000004">
      <c r="A30" s="21" t="s">
        <v>56</v>
      </c>
      <c r="B30" s="18">
        <v>18</v>
      </c>
      <c r="C30" s="18">
        <v>12</v>
      </c>
      <c r="D30" s="18">
        <v>0</v>
      </c>
      <c r="E30" s="18">
        <v>0</v>
      </c>
      <c r="F30" s="18">
        <v>0</v>
      </c>
      <c r="G30" s="6">
        <f t="shared" si="3"/>
        <v>30</v>
      </c>
      <c r="H30" s="14">
        <f t="shared" si="1"/>
        <v>2.9557815086308819E-2</v>
      </c>
      <c r="I30" s="24" t="s">
        <v>57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21" customHeight="1" x14ac:dyDescent="0.55000000000000004">
      <c r="A31" s="21" t="s">
        <v>58</v>
      </c>
      <c r="B31" s="18">
        <v>416</v>
      </c>
      <c r="C31" s="18">
        <v>475</v>
      </c>
      <c r="D31" s="18">
        <v>361</v>
      </c>
      <c r="E31" s="18">
        <v>264</v>
      </c>
      <c r="F31" s="18">
        <v>2108</v>
      </c>
      <c r="G31" s="6">
        <f t="shared" si="3"/>
        <v>3624</v>
      </c>
      <c r="H31" s="14">
        <f t="shared" si="1"/>
        <v>3.5705840624261054</v>
      </c>
      <c r="I31" s="24" t="s">
        <v>59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21" customHeight="1" x14ac:dyDescent="0.55000000000000004">
      <c r="A32" s="23" t="s">
        <v>60</v>
      </c>
      <c r="B32" s="19">
        <v>927</v>
      </c>
      <c r="C32" s="19">
        <v>1510</v>
      </c>
      <c r="D32" s="19">
        <v>461</v>
      </c>
      <c r="E32" s="19">
        <v>624</v>
      </c>
      <c r="F32" s="19">
        <v>4479</v>
      </c>
      <c r="G32" s="7">
        <f t="shared" ref="G32" si="4">SUM(B32:F32)</f>
        <v>8001</v>
      </c>
      <c r="H32" s="15">
        <f t="shared" ref="H32" si="5">G32/$G$6*100</f>
        <v>7.8830692835185623</v>
      </c>
      <c r="I32" s="27" t="s">
        <v>61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8.75" customHeight="1" x14ac:dyDescent="0.5">
      <c r="A33" s="28" t="s">
        <v>63</v>
      </c>
      <c r="B33" s="29"/>
      <c r="C33" s="29"/>
      <c r="D33" s="29"/>
      <c r="E33" s="29"/>
      <c r="F33" s="29"/>
      <c r="G33" s="1"/>
      <c r="H33" s="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 x14ac:dyDescent="0.45">
      <c r="A34" s="30" t="s">
        <v>3</v>
      </c>
      <c r="B34" s="20"/>
      <c r="C34" s="20"/>
      <c r="D34" s="20"/>
      <c r="E34" s="20"/>
      <c r="F34" s="20"/>
      <c r="G34" s="1"/>
      <c r="H34" s="1"/>
      <c r="I34" s="8" t="s">
        <v>4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" customHeight="1" x14ac:dyDescent="0.25">
      <c r="A53" s="1"/>
      <c r="B53" s="1"/>
      <c r="C53" s="1"/>
      <c r="D53" s="1"/>
      <c r="E53" s="1"/>
      <c r="F53" s="1"/>
      <c r="G53" s="1"/>
      <c r="H53" s="1"/>
      <c r="I53" s="17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</sheetData>
  <mergeCells count="6">
    <mergeCell ref="A1:I1"/>
    <mergeCell ref="H4:H5"/>
    <mergeCell ref="I4:I5"/>
    <mergeCell ref="B4:G4"/>
    <mergeCell ref="A4:A5"/>
    <mergeCell ref="A2:I2"/>
  </mergeCells>
  <pageMargins left="0.7" right="0.7" top="0.75" bottom="0.75" header="0" footer="0"/>
  <pageSetup paperSize="9" scale="73" orientation="landscape" horizontalDpi="4294967295" verticalDpi="4294967295" r:id="rId1"/>
  <rowBreaks count="1" manualBreakCount="1">
    <brk id="33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18.13</vt:lpstr>
      <vt:lpstr>'18.13'!Print_Area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2020-06-28T08:18:29Z</cp:lastPrinted>
  <dcterms:created xsi:type="dcterms:W3CDTF">2019-02-21T04:10:17Z</dcterms:created>
  <dcterms:modified xsi:type="dcterms:W3CDTF">2020-06-28T08:19:07Z</dcterms:modified>
</cp:coreProperties>
</file>