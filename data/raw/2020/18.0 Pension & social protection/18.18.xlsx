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18. PENSION AND SOCIAL PROTECTION\"/>
    </mc:Choice>
  </mc:AlternateContent>
  <bookViews>
    <workbookView xWindow="0" yWindow="0" windowWidth="28800" windowHeight="12435" tabRatio="841"/>
  </bookViews>
  <sheets>
    <sheet name="18.18" sheetId="18" r:id="rId1"/>
  </sheets>
  <externalReferences>
    <externalReference r:id="rId2"/>
  </externalReferences>
  <definedNames>
    <definedName name="_xlnm.Print_Area" localSheetId="0">'18.18'!$A$1:$J$36</definedName>
  </definedNames>
  <calcPr calcId="162913"/>
</workbook>
</file>

<file path=xl/calcChain.xml><?xml version="1.0" encoding="utf-8"?>
<calcChain xmlns="http://schemas.openxmlformats.org/spreadsheetml/2006/main">
  <c r="AC39" i="18" l="1"/>
  <c r="AB39" i="18"/>
  <c r="AA39" i="18"/>
  <c r="Z39" i="18"/>
  <c r="Y39" i="18"/>
  <c r="X39" i="18"/>
  <c r="AC38" i="18"/>
  <c r="AB38" i="18"/>
  <c r="AA38" i="18"/>
  <c r="Z38" i="18"/>
  <c r="Y38" i="18"/>
  <c r="X38" i="18"/>
  <c r="AC37" i="18"/>
  <c r="AB37" i="18"/>
  <c r="AA37" i="18"/>
  <c r="Z37" i="18"/>
  <c r="Y37" i="18"/>
  <c r="X37" i="18"/>
  <c r="AB36" i="18"/>
  <c r="AA36" i="18"/>
  <c r="Z36" i="18"/>
  <c r="Y36" i="18"/>
  <c r="X36" i="18"/>
  <c r="AB35" i="18"/>
  <c r="AA35" i="18"/>
  <c r="Z35" i="18"/>
  <c r="Y35" i="18"/>
  <c r="X35" i="18"/>
  <c r="B18" i="18"/>
  <c r="B17" i="18"/>
  <c r="B16" i="18"/>
  <c r="B15" i="18"/>
  <c r="B14" i="18"/>
  <c r="B13" i="18"/>
  <c r="B12" i="18"/>
  <c r="B11" i="18"/>
  <c r="B10" i="18"/>
  <c r="B9" i="18"/>
  <c r="B6" i="18" s="1"/>
  <c r="B8" i="18"/>
  <c r="B7" i="18"/>
  <c r="H6" i="18"/>
  <c r="AC31" i="18" s="1"/>
  <c r="AC40" i="18" s="1"/>
  <c r="G6" i="18"/>
  <c r="AB31" i="18" s="1"/>
  <c r="AB40" i="18" s="1"/>
  <c r="F6" i="18"/>
  <c r="AA31" i="18" s="1"/>
  <c r="AA40" i="18" s="1"/>
  <c r="E6" i="18"/>
  <c r="Z31" i="18" s="1"/>
  <c r="Z40" i="18" s="1"/>
  <c r="D6" i="18"/>
  <c r="Y31" i="18" s="1"/>
  <c r="Y40" i="18" s="1"/>
  <c r="C6" i="18"/>
  <c r="X31" i="18" s="1"/>
  <c r="X40" i="18" s="1"/>
</calcChain>
</file>

<file path=xl/sharedStrings.xml><?xml version="1.0" encoding="utf-8"?>
<sst xmlns="http://schemas.openxmlformats.org/spreadsheetml/2006/main" count="57" uniqueCount="45">
  <si>
    <t>Month</t>
  </si>
  <si>
    <t>މަސް</t>
  </si>
  <si>
    <t>ޖުމްލަ</t>
  </si>
  <si>
    <t>Total</t>
  </si>
  <si>
    <t>ޖެނުއަރީ</t>
  </si>
  <si>
    <t>ފެބްރުއަރީ</t>
  </si>
  <si>
    <t>May</t>
  </si>
  <si>
    <t>މެއި</t>
  </si>
  <si>
    <t>ޖޫން</t>
  </si>
  <si>
    <t>ޖުލައި</t>
  </si>
  <si>
    <t>އޮގަސްޓް</t>
  </si>
  <si>
    <t>ސެޕްޓެމްބަރ</t>
  </si>
  <si>
    <t>އޮކްޓޫބަރ</t>
  </si>
  <si>
    <t>ނޮވެމްބަރ</t>
  </si>
  <si>
    <t>ޑިސެމްބަރ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</si>
  <si>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</si>
  <si>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</si>
  <si>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</si>
  <si>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</si>
  <si>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Source: National Social Protection Agency</t>
  </si>
  <si>
    <t xml:space="preserve">މަޢުލޫމާތު ދެއްވީ: ނެޝަނަލް ސޯޝަލް ޕްރޮޓެކްޝަން އޭޖެންސީ </t>
  </si>
  <si>
    <t>DISABILITY ALLOWANCE</t>
  </si>
  <si>
    <t>އާސަންދަ</t>
  </si>
  <si>
    <t>TOTAL</t>
  </si>
  <si>
    <t>AASANDHA</t>
  </si>
  <si>
    <t xml:space="preserve"> SINGLE PARENT ALLOWANCE</t>
  </si>
  <si>
    <t>FOSTER PARENT ALLOWANCE</t>
  </si>
  <si>
    <t xml:space="preserve">EMERGENCY MEDICAL WELFARE </t>
  </si>
  <si>
    <t>FOOD SUBSIDY</t>
  </si>
  <si>
    <t>އެކަނިވެރި މައިނަށް ދެވޭ އެހީ</t>
  </si>
  <si>
    <t>January</t>
  </si>
  <si>
    <t>February</t>
  </si>
  <si>
    <t>March</t>
  </si>
  <si>
    <t>މާރޗް</t>
  </si>
  <si>
    <t>April</t>
  </si>
  <si>
    <t>އޭޕްރިލް</t>
  </si>
  <si>
    <t>June</t>
  </si>
  <si>
    <t>July</t>
  </si>
  <si>
    <t>August</t>
  </si>
  <si>
    <t>September</t>
  </si>
  <si>
    <t>October</t>
  </si>
  <si>
    <t>November</t>
  </si>
  <si>
    <t>December</t>
  </si>
  <si>
    <t>Table 18.18 :  GOVERNMENT EXPENDITURE ON  DIFFERENT SOCIAL PROTECTION SCHEMES BY TYPE (in MVR),  2019</t>
  </si>
  <si>
    <t>ތާވަލް 18.18: އިޖްތިމާއީ ރައްކާތެރިކަމުގެ ދަށުންދެވޭ ޚިދުމަތްތަކަށް ދައުލަތުންކުރެވުނު ޚަރަދު (ރުފިޔާއިން)،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</si>
</sst>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General_)"/>
  </numFmts>
  <fonts count="2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1"/>
      <color theme="1"/>
      <name val="Faruma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 tint="0.14999847407452621"/>
      <name val="Calibri"/>
      <family val="2"/>
    </font>
    <font>
      <sz val="10"/>
      <color theme="1"/>
      <name val="Faruma"/>
    </font>
    <font>
      <sz val="10"/>
      <color theme="1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1"/>
    <xf numFmtId="164" fontId="7" fillId="0" borderId="1"/>
    <xf numFmtId="0" fontId="1" fillId="0" borderId="1"/>
    <xf numFmtId="0" fontId="7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</cellStyleXfs>
  <cellXfs count="69">
    <xf numFmtId="0" fontId="0" fillId="0" borderId="0" xfId="0" applyFont="1" applyAlignment="1"/>
    <xf numFmtId="166" fontId="13" fillId="2" borderId="1" xfId="2" applyNumberFormat="1" applyFont="1" applyFill="1" applyBorder="1" applyAlignment="1" applyProtection="1">
      <alignment horizontal="left" vertical="center"/>
    </xf>
    <xf numFmtId="166" fontId="14" fillId="2" borderId="1" xfId="4" applyNumberFormat="1" applyFont="1" applyFill="1" applyAlignment="1">
      <alignment horizontal="right" vertical="center"/>
    </xf>
    <xf numFmtId="166" fontId="14" fillId="2" borderId="1" xfId="4" applyNumberFormat="1" applyFont="1" applyFill="1" applyBorder="1" applyAlignment="1">
      <alignment horizontal="right" vertical="center"/>
    </xf>
    <xf numFmtId="166" fontId="3" fillId="2" borderId="0" xfId="0" applyNumberFormat="1" applyFont="1" applyFill="1"/>
    <xf numFmtId="166" fontId="18" fillId="2" borderId="1" xfId="0" applyNumberFormat="1" applyFont="1" applyFill="1" applyBorder="1"/>
    <xf numFmtId="3" fontId="20" fillId="2" borderId="1" xfId="1" applyNumberFormat="1" applyFont="1" applyFill="1" applyBorder="1"/>
    <xf numFmtId="3" fontId="10" fillId="2" borderId="1" xfId="1" applyNumberFormat="1" applyFont="1" applyFill="1" applyBorder="1" applyAlignment="1">
      <alignment horizontal="right" vertical="center" wrapText="1"/>
    </xf>
    <xf numFmtId="166" fontId="19" fillId="2" borderId="1" xfId="2" applyNumberFormat="1" applyFont="1" applyFill="1" applyBorder="1" applyAlignment="1" applyProtection="1">
      <alignment horizontal="left" vertical="center"/>
    </xf>
    <xf numFmtId="0" fontId="5" fillId="2" borderId="2" xfId="0" applyFont="1" applyFill="1" applyBorder="1" applyAlignment="1">
      <alignment horizontal="right" vertical="center" wrapText="1"/>
    </xf>
    <xf numFmtId="166" fontId="5" fillId="2" borderId="2" xfId="0" applyNumberFormat="1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vertical="center" wrapText="1"/>
    </xf>
    <xf numFmtId="3" fontId="20" fillId="2" borderId="1" xfId="1" applyNumberFormat="1" applyFont="1" applyFill="1" applyBorder="1" applyAlignment="1">
      <alignment horizontal="right" vertical="center" wrapText="1"/>
    </xf>
    <xf numFmtId="166" fontId="19" fillId="2" borderId="3" xfId="2" applyNumberFormat="1" applyFont="1" applyFill="1" applyBorder="1" applyAlignment="1" applyProtection="1">
      <alignment horizontal="left" vertical="center"/>
    </xf>
    <xf numFmtId="164" fontId="9" fillId="2" borderId="1" xfId="0" applyNumberFormat="1" applyFont="1" applyFill="1" applyBorder="1" applyAlignment="1">
      <alignment horizontal="right" vertical="center"/>
    </xf>
    <xf numFmtId="166" fontId="21" fillId="2" borderId="3" xfId="0" applyNumberFormat="1" applyFont="1" applyFill="1" applyBorder="1" applyAlignment="1">
      <alignment horizontal="right" vertical="center" wrapText="1"/>
    </xf>
    <xf numFmtId="166" fontId="18" fillId="2" borderId="1" xfId="2" applyNumberFormat="1" applyFont="1" applyFill="1" applyBorder="1" applyAlignment="1" applyProtection="1">
      <alignment horizontal="left" vertical="center"/>
    </xf>
    <xf numFmtId="166" fontId="21" fillId="2" borderId="1" xfId="0" applyNumberFormat="1" applyFont="1" applyFill="1" applyBorder="1" applyAlignment="1">
      <alignment horizontal="right" vertical="center" wrapText="1"/>
    </xf>
    <xf numFmtId="166" fontId="18" fillId="2" borderId="2" xfId="2" applyNumberFormat="1" applyFont="1" applyFill="1" applyBorder="1" applyAlignment="1" applyProtection="1">
      <alignment horizontal="left" vertical="center"/>
    </xf>
    <xf numFmtId="166" fontId="21" fillId="2" borderId="2" xfId="0" applyNumberFormat="1" applyFont="1" applyFill="1" applyBorder="1" applyAlignment="1">
      <alignment horizontal="right" vertical="center" wrapText="1"/>
    </xf>
    <xf numFmtId="166" fontId="3" fillId="2" borderId="0" xfId="0" applyNumberFormat="1" applyFont="1" applyFill="1" applyAlignment="1">
      <alignment horizontal="center" vertical="center"/>
    </xf>
    <xf numFmtId="166" fontId="22" fillId="2" borderId="0" xfId="0" applyNumberFormat="1" applyFont="1" applyFill="1"/>
    <xf numFmtId="166" fontId="3" fillId="2" borderId="1" xfId="0" applyNumberFormat="1" applyFont="1" applyFill="1" applyBorder="1"/>
    <xf numFmtId="166" fontId="3" fillId="2" borderId="1" xfId="0" applyNumberFormat="1" applyFont="1" applyFill="1" applyBorder="1" applyAlignment="1">
      <alignment horizontal="center" vertical="center"/>
    </xf>
    <xf numFmtId="3" fontId="22" fillId="2" borderId="1" xfId="1" applyNumberFormat="1" applyFont="1" applyFill="1" applyBorder="1"/>
    <xf numFmtId="3" fontId="22" fillId="2" borderId="1" xfId="1" applyNumberFormat="1" applyFont="1" applyFill="1"/>
    <xf numFmtId="166" fontId="19" fillId="2" borderId="3" xfId="2" applyNumberFormat="1" applyFont="1" applyFill="1" applyBorder="1" applyAlignment="1">
      <alignment vertical="center"/>
    </xf>
    <xf numFmtId="166" fontId="19" fillId="2" borderId="3" xfId="2" applyNumberFormat="1" applyFont="1" applyFill="1" applyBorder="1" applyAlignment="1">
      <alignment vertical="center" wrapText="1"/>
    </xf>
    <xf numFmtId="166" fontId="23" fillId="2" borderId="1" xfId="0" applyNumberFormat="1" applyFont="1" applyFill="1" applyBorder="1"/>
    <xf numFmtId="166" fontId="23" fillId="2" borderId="0" xfId="0" applyNumberFormat="1" applyFont="1" applyFill="1"/>
    <xf numFmtId="0" fontId="15" fillId="2" borderId="4" xfId="0" applyFont="1" applyFill="1" applyBorder="1" applyAlignment="1">
      <alignment wrapText="1"/>
    </xf>
    <xf numFmtId="0" fontId="5" fillId="2" borderId="1" xfId="0" applyFont="1" applyFill="1" applyBorder="1" applyAlignment="1">
      <alignment horizontal="right" vertical="center" wrapText="1"/>
    </xf>
    <xf numFmtId="166" fontId="5" fillId="2" borderId="1" xfId="0" applyNumberFormat="1" applyFont="1" applyFill="1" applyBorder="1" applyAlignment="1">
      <alignment horizontal="right" vertical="center" wrapText="1"/>
    </xf>
    <xf numFmtId="166" fontId="22" fillId="2" borderId="1" xfId="0" applyNumberFormat="1" applyFont="1" applyFill="1" applyBorder="1"/>
    <xf numFmtId="164" fontId="11" fillId="2" borderId="1" xfId="0" applyNumberFormat="1" applyFont="1" applyFill="1" applyBorder="1" applyAlignment="1">
      <alignment horizontal="right" vertical="center"/>
    </xf>
    <xf numFmtId="166" fontId="19" fillId="2" borderId="1" xfId="2" applyNumberFormat="1" applyFont="1" applyFill="1" applyBorder="1" applyAlignment="1">
      <alignment vertical="center" wrapText="1"/>
    </xf>
    <xf numFmtId="165" fontId="22" fillId="2" borderId="0" xfId="0" applyNumberFormat="1" applyFont="1" applyFill="1"/>
    <xf numFmtId="164" fontId="11" fillId="2" borderId="2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Alignment="1">
      <alignment horizontal="right"/>
    </xf>
    <xf numFmtId="166" fontId="24" fillId="2" borderId="1" xfId="2" applyNumberFormat="1" applyFont="1" applyFill="1" applyBorder="1" applyAlignment="1">
      <alignment vertical="center"/>
    </xf>
    <xf numFmtId="164" fontId="0" fillId="2" borderId="0" xfId="0" applyNumberFormat="1" applyFill="1"/>
    <xf numFmtId="166" fontId="3" fillId="2" borderId="0" xfId="0" applyNumberFormat="1" applyFont="1" applyFill="1" applyAlignment="1">
      <alignment vertical="top"/>
    </xf>
    <xf numFmtId="166" fontId="19" fillId="2" borderId="1" xfId="2" applyNumberFormat="1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 wrapText="1"/>
    </xf>
    <xf numFmtId="3" fontId="16" fillId="2" borderId="1" xfId="1" applyNumberFormat="1" applyFont="1" applyFill="1" applyAlignment="1">
      <alignment horizontal="center" vertical="center" readingOrder="2"/>
    </xf>
    <xf numFmtId="3" fontId="17" fillId="2" borderId="2" xfId="1" applyNumberFormat="1" applyFont="1" applyFill="1" applyBorder="1" applyAlignment="1" applyProtection="1">
      <alignment horizontal="center" vertical="center"/>
    </xf>
    <xf numFmtId="166" fontId="19" fillId="2" borderId="1" xfId="2" applyNumberFormat="1" applyFont="1" applyFill="1" applyBorder="1" applyAlignment="1">
      <alignment horizontal="center" vertical="center" wrapText="1"/>
    </xf>
    <xf numFmtId="166" fontId="19" fillId="2" borderId="3" xfId="2" applyNumberFormat="1" applyFont="1" applyFill="1" applyBorder="1" applyAlignment="1">
      <alignment horizontal="right" vertical="center" wrapText="1"/>
    </xf>
    <xf numFmtId="166" fontId="19" fillId="2" borderId="4" xfId="2" applyNumberFormat="1" applyFont="1" applyFill="1" applyBorder="1" applyAlignment="1">
      <alignment horizontal="right" vertical="center" wrapText="1"/>
    </xf>
    <xf numFmtId="0" fontId="15" fillId="2" borderId="4" xfId="0" applyFont="1" applyFill="1" applyBorder="1" applyAlignment="1">
      <alignment horizontal="right"/>
    </xf>
    <xf numFmtId="0" fontId="15" fillId="2" borderId="4" xfId="0" applyFont="1" applyFill="1" applyBorder="1" applyAlignment="1">
      <alignment horizontal="right" wrapText="1"/>
    </xf>
    <xf numFmtId="3" fontId="16" fillId="2" borderId="1" xfId="1" applyNumberFormat="1" applyFont="1" applyFill="1" applyBorder="1" applyAlignment="1">
      <alignment horizontal="center" vertical="center" readingOrder="2"/>
    </xf>
    <xf numFmtId="3" fontId="17" fillId="2" borderId="1" xfId="1" applyNumberFormat="1" applyFont="1" applyFill="1" applyBorder="1" applyAlignment="1" applyProtection="1">
      <alignment horizontal="center" vertical="center"/>
    </xf>
    <xf numFmtId="166" fontId="19" fillId="2" borderId="1" xfId="2" applyNumberFormat="1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 wrapText="1"/>
    </xf>
    <xf numFmtId="164" fontId="19" fillId="2" borderId="3" xfId="7" applyNumberFormat="1" applyFont="1" applyFill="1" applyBorder="1" applyAlignment="1">
      <alignment horizontal="right" vertical="center" wrapText="1"/>
    </xf>
    <xf numFmtId="164" fontId="9" fillId="2" borderId="1" xfId="7" applyNumberFormat="1" applyFont="1" applyFill="1" applyBorder="1" applyAlignment="1">
      <alignment horizontal="right" vertical="center"/>
    </xf>
    <xf numFmtId="164" fontId="18" fillId="2" borderId="1" xfId="7" applyNumberFormat="1" applyFont="1" applyFill="1" applyBorder="1" applyAlignment="1">
      <alignment horizontal="right"/>
    </xf>
    <xf numFmtId="164" fontId="12" fillId="2" borderId="1" xfId="6" applyNumberFormat="1" applyFont="1" applyFill="1" applyAlignment="1">
      <alignment horizontal="right" vertical="center"/>
    </xf>
    <xf numFmtId="164" fontId="18" fillId="2" borderId="2" xfId="7" applyNumberFormat="1" applyFont="1" applyFill="1" applyBorder="1" applyAlignment="1">
      <alignment horizontal="right"/>
    </xf>
    <xf numFmtId="164" fontId="11" fillId="2" borderId="2" xfId="6" applyNumberFormat="1" applyFont="1" applyFill="1" applyBorder="1" applyAlignment="1">
      <alignment horizontal="right" vertical="center"/>
    </xf>
    <xf numFmtId="43" fontId="19" fillId="2" borderId="1" xfId="7" applyFont="1" applyFill="1" applyBorder="1" applyAlignment="1">
      <alignment horizontal="center" vertical="center" wrapText="1"/>
    </xf>
    <xf numFmtId="164" fontId="8" fillId="2" borderId="1" xfId="7" applyNumberFormat="1" applyFont="1" applyFill="1" applyBorder="1" applyAlignment="1" applyProtection="1">
      <alignment horizontal="right" vertical="center"/>
    </xf>
    <xf numFmtId="43" fontId="18" fillId="2" borderId="1" xfId="7" applyFont="1" applyFill="1" applyBorder="1"/>
    <xf numFmtId="164" fontId="11" fillId="2" borderId="1" xfId="7" applyNumberFormat="1" applyFont="1" applyFill="1" applyBorder="1" applyAlignment="1">
      <alignment horizontal="right" vertical="center"/>
    </xf>
    <xf numFmtId="164" fontId="12" fillId="2" borderId="1" xfId="7" applyNumberFormat="1" applyFont="1" applyFill="1" applyBorder="1" applyAlignment="1" applyProtection="1">
      <alignment horizontal="right" vertical="center"/>
    </xf>
    <xf numFmtId="164" fontId="12" fillId="2" borderId="1" xfId="7" applyNumberFormat="1" applyFont="1" applyFill="1" applyBorder="1" applyAlignment="1">
      <alignment horizontal="right" vertical="center"/>
    </xf>
    <xf numFmtId="164" fontId="11" fillId="2" borderId="1" xfId="7" applyNumberFormat="1" applyFont="1" applyFill="1" applyBorder="1" applyAlignment="1">
      <alignment vertical="center"/>
    </xf>
  </cellXfs>
  <cellStyles count="9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 8" xfId="8"/>
    <cellStyle name="Normal_3 Population." xfId="4"/>
    <cellStyle name="Normal_II-15(Population) 2" xfId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244929236964078E-2"/>
          <c:y val="0.1657713576619172"/>
          <c:w val="0.89996923540295171"/>
          <c:h val="0.69750277298831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'18.18'!$W$38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'18.18'!$X$34:$AB$34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'18.18'!$X$38:$AB$38</c:f>
              <c:numCache>
                <c:formatCode>#,##0.0</c:formatCode>
                <c:ptCount val="5"/>
                <c:pt idx="0">
                  <c:v>1797.2906854338</c:v>
                </c:pt>
                <c:pt idx="1">
                  <c:v>55.411000000000001</c:v>
                </c:pt>
                <c:pt idx="2">
                  <c:v>2.33</c:v>
                </c:pt>
                <c:pt idx="3">
                  <c:v>55.406665420000003</c:v>
                </c:pt>
                <c:pt idx="4">
                  <c:v>161.68799999999999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6-4BEC-BEBF-B4EAB5ED1465}"/>
            </c:ext>
          </c:extLst>
        </c:ser>
        <c:ser>
          <c:idx val="1"/>
          <c:order val="1"/>
          <c:tx>
            <c:strRef>
              <c:f>'18.18'!$W$39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E5C9AD"/>
            </a:solidFill>
          </c:spPr>
          <c:invertIfNegative val="0"/>
          <c:cat>
            <c:strRef>
              <c:f>'18.18'!$X$34:$AB$34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'18.18'!$X$39:$AB$39</c:f>
              <c:numCache>
                <c:formatCode>#,##0.0</c:formatCode>
                <c:ptCount val="5"/>
                <c:pt idx="0">
                  <c:v>2164.6724409019994</c:v>
                </c:pt>
                <c:pt idx="1">
                  <c:v>51.465000000000003</c:v>
                </c:pt>
                <c:pt idx="2">
                  <c:v>2.3860000000000001</c:v>
                </c:pt>
                <c:pt idx="3">
                  <c:v>70.17912204000001</c:v>
                </c:pt>
                <c:pt idx="4">
                  <c:v>176.68799999999999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6-4BEC-BEBF-B4EAB5ED1465}"/>
            </c:ext>
          </c:extLst>
        </c:ser>
        <c:ser>
          <c:idx val="2"/>
          <c:order val="2"/>
          <c:tx>
            <c:strRef>
              <c:f>'18.18'!$W$40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'18.18'!$X$34:$AB$34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'18.18'!$X$40:$AB$40</c:f>
              <c:numCache>
                <c:formatCode>#,##0.0</c:formatCode>
                <c:ptCount val="5"/>
                <c:pt idx="0">
                  <c:v>2433.7169521483997</c:v>
                </c:pt>
                <c:pt idx="1">
                  <c:v>48.906999999999996</c:v>
                </c:pt>
                <c:pt idx="2">
                  <c:v>2.3624999999999998</c:v>
                </c:pt>
                <c:pt idx="3">
                  <c:v>102.49780555999997</c:v>
                </c:pt>
                <c:pt idx="4">
                  <c:v>195.91200000000001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6-4BEC-BEBF-B4EAB5ED1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502872"/>
        <c:axId val="432503264"/>
      </c:barChart>
      <c:catAx>
        <c:axId val="432502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32503264"/>
        <c:crosses val="autoZero"/>
        <c:auto val="1"/>
        <c:lblAlgn val="ctr"/>
        <c:lblOffset val="100"/>
        <c:noMultiLvlLbl val="0"/>
      </c:catAx>
      <c:valAx>
        <c:axId val="432503264"/>
        <c:scaling>
          <c:orientation val="minMax"/>
          <c:max val="22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4325028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020016626035622"/>
          <c:y val="0.2616147908447744"/>
          <c:w val="0.26078869765361773"/>
          <c:h val="0.1557257465260548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244929236964078E-2"/>
          <c:y val="0.1657713576619172"/>
          <c:w val="0.89996923540295171"/>
          <c:h val="0.69750277298831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'[1]18.18'!$Q$38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'[1]18.18'!$R$34:$V$34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'[1]18.18'!$R$38:$V$38</c:f>
              <c:numCache>
                <c:formatCode>#,##0.0</c:formatCode>
                <c:ptCount val="5"/>
                <c:pt idx="0">
                  <c:v>1797.2906854338</c:v>
                </c:pt>
                <c:pt idx="1">
                  <c:v>55.411000000000001</c:v>
                </c:pt>
                <c:pt idx="2">
                  <c:v>2.33</c:v>
                </c:pt>
                <c:pt idx="3">
                  <c:v>55.406665420000003</c:v>
                </c:pt>
                <c:pt idx="4">
                  <c:v>161.68799999999999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9-4ADD-BE5C-C2D9D32D9319}"/>
            </c:ext>
          </c:extLst>
        </c:ser>
        <c:ser>
          <c:idx val="1"/>
          <c:order val="1"/>
          <c:tx>
            <c:strRef>
              <c:f>'[1]18.18'!$Q$39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E5C9AD"/>
            </a:solidFill>
          </c:spPr>
          <c:invertIfNegative val="0"/>
          <c:cat>
            <c:strRef>
              <c:f>'[1]18.18'!$R$34:$V$34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'[1]18.18'!$R$39:$V$39</c:f>
              <c:numCache>
                <c:formatCode>#,##0.0</c:formatCode>
                <c:ptCount val="5"/>
                <c:pt idx="0">
                  <c:v>2164.6724409019994</c:v>
                </c:pt>
                <c:pt idx="1">
                  <c:v>51.465000000000003</c:v>
                </c:pt>
                <c:pt idx="2">
                  <c:v>2.3860000000000001</c:v>
                </c:pt>
                <c:pt idx="3">
                  <c:v>70.17912204000001</c:v>
                </c:pt>
                <c:pt idx="4">
                  <c:v>176.68799999999999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B9-4ADD-BE5C-C2D9D32D9319}"/>
            </c:ext>
          </c:extLst>
        </c:ser>
        <c:ser>
          <c:idx val="2"/>
          <c:order val="2"/>
          <c:tx>
            <c:strRef>
              <c:f>'[1]18.18'!$Q$40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'[1]18.18'!$R$34:$V$34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'[1]18.18'!$R$40:$V$40</c:f>
              <c:numCache>
                <c:formatCode>#,##0.0</c:formatCode>
                <c:ptCount val="5"/>
                <c:pt idx="0">
                  <c:v>2433.7169521483997</c:v>
                </c:pt>
                <c:pt idx="1">
                  <c:v>48.906999999999996</c:v>
                </c:pt>
                <c:pt idx="2">
                  <c:v>2.3624999999999998</c:v>
                </c:pt>
                <c:pt idx="3">
                  <c:v>102.49780555999997</c:v>
                </c:pt>
                <c:pt idx="4">
                  <c:v>195.91200000000001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B9-4ADD-BE5C-C2D9D32D9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687936"/>
        <c:axId val="477688328"/>
      </c:barChart>
      <c:catAx>
        <c:axId val="477687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77688328"/>
        <c:crosses val="autoZero"/>
        <c:auto val="1"/>
        <c:lblAlgn val="ctr"/>
        <c:lblOffset val="100"/>
        <c:noMultiLvlLbl val="0"/>
      </c:catAx>
      <c:valAx>
        <c:axId val="477688328"/>
        <c:scaling>
          <c:orientation val="minMax"/>
          <c:max val="25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47768793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020016626035622"/>
          <c:y val="0.2616147908447744"/>
          <c:w val="0.26078869765361773"/>
          <c:h val="0.1557257465260548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20</xdr:row>
      <xdr:rowOff>66674</xdr:rowOff>
    </xdr:from>
    <xdr:to>
      <xdr:col>8</xdr:col>
      <xdr:colOff>419100</xdr:colOff>
      <xdr:row>34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595312</xdr:colOff>
      <xdr:row>21</xdr:row>
      <xdr:rowOff>32145</xdr:rowOff>
    </xdr:from>
    <xdr:to>
      <xdr:col>8</xdr:col>
      <xdr:colOff>496093</xdr:colOff>
      <xdr:row>22</xdr:row>
      <xdr:rowOff>138905</xdr:rowOff>
    </xdr:to>
    <xdr:sp macro="" textlink="">
      <xdr:nvSpPr>
        <xdr:cNvPr id="4" name="TextBox 3"/>
        <xdr:cNvSpPr txBox="1"/>
      </xdr:nvSpPr>
      <xdr:spPr>
        <a:xfrm>
          <a:off x="595312" y="5380036"/>
          <a:ext cx="6746875" cy="325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2017 -  2019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371475</xdr:colOff>
      <xdr:row>20</xdr:row>
      <xdr:rowOff>66674</xdr:rowOff>
    </xdr:from>
    <xdr:to>
      <xdr:col>8</xdr:col>
      <xdr:colOff>419100</xdr:colOff>
      <xdr:row>34</xdr:row>
      <xdr:rowOff>104775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89297</xdr:colOff>
      <xdr:row>20</xdr:row>
      <xdr:rowOff>210740</xdr:rowOff>
    </xdr:from>
    <xdr:to>
      <xdr:col>7</xdr:col>
      <xdr:colOff>1180703</xdr:colOff>
      <xdr:row>22</xdr:row>
      <xdr:rowOff>99218</xdr:rowOff>
    </xdr:to>
    <xdr:sp macro="" textlink="">
      <xdr:nvSpPr>
        <xdr:cNvPr id="6" name="TextBox 5"/>
        <xdr:cNvSpPr txBox="1"/>
      </xdr:nvSpPr>
      <xdr:spPr>
        <a:xfrm>
          <a:off x="1803797" y="5344715"/>
          <a:ext cx="6930231" cy="32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2017 -  2019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0/SYB%202020%20_latest/YEARBOOK%202020_Final/FINAL/18.%20PENSION%20AND%20SOCIAL%20PROTECTION_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"/>
      <sheetName val="18.2"/>
      <sheetName val="18.3"/>
      <sheetName val="18.4"/>
      <sheetName val="18.5"/>
      <sheetName val="18.6"/>
      <sheetName val="18.7"/>
      <sheetName val="18.8"/>
      <sheetName val="18.9"/>
      <sheetName val="18.10"/>
      <sheetName val="18.11"/>
      <sheetName val="18.12"/>
      <sheetName val="18.13"/>
      <sheetName val="18.14"/>
      <sheetName val="18.15"/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4">
          <cell r="R34" t="str">
            <v>AASANDHA</v>
          </cell>
          <cell r="S34" t="str">
            <v xml:space="preserve"> SINGLE PARENT ALLOWANCE</v>
          </cell>
          <cell r="T34" t="str">
            <v>FOSTER PARENT ALLOWANCE</v>
          </cell>
          <cell r="U34" t="str">
            <v xml:space="preserve">EMERGENCY MEDICAL WELFARE </v>
          </cell>
          <cell r="V34" t="str">
            <v>DISABILITY ALLOWANCE</v>
          </cell>
        </row>
        <row r="38">
          <cell r="Q38">
            <v>2017</v>
          </cell>
          <cell r="R38">
            <v>1797.2906854338</v>
          </cell>
          <cell r="S38">
            <v>55.411000000000001</v>
          </cell>
          <cell r="T38">
            <v>2.33</v>
          </cell>
          <cell r="U38">
            <v>55.406665420000003</v>
          </cell>
          <cell r="V38">
            <v>161.68799999999999</v>
          </cell>
        </row>
        <row r="39">
          <cell r="Q39">
            <v>2018</v>
          </cell>
          <cell r="R39">
            <v>2164.6724409019994</v>
          </cell>
          <cell r="S39">
            <v>51.465000000000003</v>
          </cell>
          <cell r="T39">
            <v>2.3860000000000001</v>
          </cell>
          <cell r="U39">
            <v>70.17912204000001</v>
          </cell>
          <cell r="V39">
            <v>176.68799999999999</v>
          </cell>
        </row>
        <row r="40">
          <cell r="Q40">
            <v>2019</v>
          </cell>
          <cell r="R40">
            <v>2433.7169521483997</v>
          </cell>
          <cell r="S40">
            <v>48.906999999999996</v>
          </cell>
          <cell r="T40">
            <v>2.3624999999999998</v>
          </cell>
          <cell r="U40">
            <v>102.49780555999997</v>
          </cell>
          <cell r="V40">
            <v>195.91200000000001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2"/>
  <sheetViews>
    <sheetView tabSelected="1" zoomScale="96" zoomScaleNormal="96" workbookViewId="0">
      <selection activeCell="L9" sqref="L9"/>
    </sheetView>
  </sheetViews>
  <sheetFormatPr defaultColWidth="9.140625" defaultRowHeight="15" x14ac:dyDescent="0.25"/>
  <cols>
    <col min="1" max="1" width="10.85546875" style="4" customWidth="1"/>
    <col min="2" max="2" width="14.85546875" style="4" customWidth="1"/>
    <col min="3" max="3" width="14.85546875" style="20" customWidth="1"/>
    <col min="4" max="4" width="16.85546875" style="4" customWidth="1"/>
    <col min="5" max="5" width="17.85546875" style="4" customWidth="1"/>
    <col min="6" max="8" width="19" style="4" customWidth="1"/>
    <col min="9" max="9" width="14.5703125" style="38" customWidth="1"/>
    <col min="10" max="10" width="5.7109375" style="4" customWidth="1"/>
    <col min="11" max="11" width="26.28515625" style="4" bestFit="1" customWidth="1"/>
    <col min="12" max="12" width="13.5703125" style="4" bestFit="1" customWidth="1"/>
    <col min="13" max="19" width="9.42578125" style="4" customWidth="1"/>
    <col min="20" max="23" width="15.28515625" style="4" customWidth="1"/>
    <col min="24" max="28" width="12" style="4" customWidth="1"/>
    <col min="29" max="29" width="10.140625" style="4" customWidth="1"/>
    <col min="30" max="16384" width="9.140625" style="4"/>
  </cols>
  <sheetData>
    <row r="1" spans="1:9" ht="21" x14ac:dyDescent="0.25">
      <c r="A1" s="44" t="s">
        <v>44</v>
      </c>
      <c r="B1" s="44"/>
      <c r="C1" s="44"/>
      <c r="D1" s="44"/>
      <c r="E1" s="44"/>
      <c r="F1" s="44"/>
      <c r="G1" s="44"/>
      <c r="H1" s="44"/>
      <c r="I1" s="44"/>
    </row>
    <row r="2" spans="1:9" x14ac:dyDescent="0.25">
      <c r="A2" s="45" t="s">
        <v>43</v>
      </c>
      <c r="B2" s="45"/>
      <c r="C2" s="45"/>
      <c r="D2" s="45"/>
      <c r="E2" s="45"/>
      <c r="F2" s="45"/>
      <c r="G2" s="45"/>
      <c r="H2" s="45"/>
      <c r="I2" s="45"/>
    </row>
    <row r="3" spans="1:9" ht="15" customHeight="1" x14ac:dyDescent="0.25">
      <c r="A3" s="5"/>
      <c r="B3" s="46" t="s">
        <v>23</v>
      </c>
      <c r="C3" s="47" t="s">
        <v>24</v>
      </c>
      <c r="D3" s="47" t="s">
        <v>25</v>
      </c>
      <c r="E3" s="47" t="s">
        <v>26</v>
      </c>
      <c r="F3" s="47" t="s">
        <v>27</v>
      </c>
      <c r="G3" s="47" t="s">
        <v>21</v>
      </c>
      <c r="H3" s="47" t="s">
        <v>28</v>
      </c>
      <c r="I3" s="42"/>
    </row>
    <row r="4" spans="1:9" ht="18.75" x14ac:dyDescent="0.25">
      <c r="A4" s="6" t="s">
        <v>0</v>
      </c>
      <c r="B4" s="46"/>
      <c r="C4" s="48"/>
      <c r="D4" s="48"/>
      <c r="E4" s="48"/>
      <c r="F4" s="49"/>
      <c r="G4" s="50"/>
      <c r="H4" s="50"/>
      <c r="I4" s="7" t="s">
        <v>1</v>
      </c>
    </row>
    <row r="5" spans="1:9" ht="56.25" x14ac:dyDescent="0.25">
      <c r="A5" s="8"/>
      <c r="B5" s="46"/>
      <c r="C5" s="9" t="s">
        <v>22</v>
      </c>
      <c r="D5" s="9" t="s">
        <v>29</v>
      </c>
      <c r="E5" s="9" t="s">
        <v>15</v>
      </c>
      <c r="F5" s="10" t="s">
        <v>16</v>
      </c>
      <c r="G5" s="9" t="s">
        <v>17</v>
      </c>
      <c r="H5" s="11" t="s">
        <v>18</v>
      </c>
      <c r="I5" s="12"/>
    </row>
    <row r="6" spans="1:9" ht="18.75" x14ac:dyDescent="0.25">
      <c r="A6" s="13" t="s">
        <v>3</v>
      </c>
      <c r="B6" s="56">
        <f>SUM(B7:B18)</f>
        <v>2783630737.7084002</v>
      </c>
      <c r="C6" s="57">
        <f>SUM(C7:C18)</f>
        <v>2433716952.1483998</v>
      </c>
      <c r="D6" s="57">
        <f t="shared" ref="D6:H6" si="0">SUM(D7:D18)</f>
        <v>48907000</v>
      </c>
      <c r="E6" s="57">
        <f t="shared" si="0"/>
        <v>2362500</v>
      </c>
      <c r="F6" s="57">
        <f t="shared" si="0"/>
        <v>102497805.55999997</v>
      </c>
      <c r="G6" s="57">
        <f t="shared" si="0"/>
        <v>195912000</v>
      </c>
      <c r="H6" s="57">
        <f t="shared" si="0"/>
        <v>234480</v>
      </c>
      <c r="I6" s="15" t="s">
        <v>2</v>
      </c>
    </row>
    <row r="7" spans="1:9" ht="18.75" x14ac:dyDescent="0.25">
      <c r="A7" s="16" t="s">
        <v>30</v>
      </c>
      <c r="B7" s="58">
        <f>SUM(C7:H7)</f>
        <v>233486066.81359997</v>
      </c>
      <c r="C7" s="59">
        <v>208757983.34359998</v>
      </c>
      <c r="D7" s="34">
        <v>4245000</v>
      </c>
      <c r="E7" s="34">
        <v>200500</v>
      </c>
      <c r="F7" s="34">
        <v>4529143.4700000007</v>
      </c>
      <c r="G7" s="34">
        <v>15734000</v>
      </c>
      <c r="H7" s="34">
        <v>19440</v>
      </c>
      <c r="I7" s="17" t="s">
        <v>4</v>
      </c>
    </row>
    <row r="8" spans="1:9" ht="18.75" x14ac:dyDescent="0.25">
      <c r="A8" s="16" t="s">
        <v>31</v>
      </c>
      <c r="B8" s="58">
        <f t="shared" ref="B8:B18" si="1">SUM(C8:H8)</f>
        <v>219583984.89369997</v>
      </c>
      <c r="C8" s="59">
        <v>192277837.44369999</v>
      </c>
      <c r="D8" s="34">
        <v>4171000</v>
      </c>
      <c r="E8" s="34">
        <v>202000</v>
      </c>
      <c r="F8" s="34">
        <v>7091627.4500000002</v>
      </c>
      <c r="G8" s="34">
        <v>15822000</v>
      </c>
      <c r="H8" s="34">
        <v>19520</v>
      </c>
      <c r="I8" s="17" t="s">
        <v>5</v>
      </c>
    </row>
    <row r="9" spans="1:9" ht="18.75" x14ac:dyDescent="0.25">
      <c r="A9" s="16" t="s">
        <v>32</v>
      </c>
      <c r="B9" s="58">
        <f t="shared" si="1"/>
        <v>239186934.1444</v>
      </c>
      <c r="C9" s="59">
        <v>210293005.28439999</v>
      </c>
      <c r="D9" s="34">
        <v>4115000</v>
      </c>
      <c r="E9" s="34">
        <v>199500</v>
      </c>
      <c r="F9" s="34">
        <v>8622108.8599999994</v>
      </c>
      <c r="G9" s="34">
        <v>15938000</v>
      </c>
      <c r="H9" s="34">
        <v>19320</v>
      </c>
      <c r="I9" s="17" t="s">
        <v>33</v>
      </c>
    </row>
    <row r="10" spans="1:9" ht="18.75" x14ac:dyDescent="0.25">
      <c r="A10" s="16" t="s">
        <v>34</v>
      </c>
      <c r="B10" s="58">
        <f t="shared" si="1"/>
        <v>234644981.3811</v>
      </c>
      <c r="C10" s="59">
        <v>203497563.61109999</v>
      </c>
      <c r="D10" s="34">
        <v>4066000</v>
      </c>
      <c r="E10" s="34">
        <v>198000</v>
      </c>
      <c r="F10" s="34">
        <v>10754097.77</v>
      </c>
      <c r="G10" s="34">
        <v>16110000</v>
      </c>
      <c r="H10" s="34">
        <v>19320</v>
      </c>
      <c r="I10" s="17" t="s">
        <v>35</v>
      </c>
    </row>
    <row r="11" spans="1:9" ht="18.75" x14ac:dyDescent="0.25">
      <c r="A11" s="16" t="s">
        <v>6</v>
      </c>
      <c r="B11" s="58">
        <f t="shared" si="1"/>
        <v>175388874.45090002</v>
      </c>
      <c r="C11" s="59">
        <v>147675008.46090001</v>
      </c>
      <c r="D11" s="34">
        <v>4022000</v>
      </c>
      <c r="E11" s="34">
        <v>198000</v>
      </c>
      <c r="F11" s="34">
        <v>7328545.9900000002</v>
      </c>
      <c r="G11" s="34">
        <v>16146000</v>
      </c>
      <c r="H11" s="34">
        <v>19320</v>
      </c>
      <c r="I11" s="17" t="s">
        <v>7</v>
      </c>
    </row>
    <row r="12" spans="1:9" ht="18.75" x14ac:dyDescent="0.25">
      <c r="A12" s="16" t="s">
        <v>36</v>
      </c>
      <c r="B12" s="58">
        <f t="shared" si="1"/>
        <v>208163029.36300001</v>
      </c>
      <c r="C12" s="59">
        <v>181119499.773</v>
      </c>
      <c r="D12" s="34">
        <v>3996000</v>
      </c>
      <c r="E12" s="34">
        <v>197000</v>
      </c>
      <c r="F12" s="34">
        <v>6585169.5899999999</v>
      </c>
      <c r="G12" s="34">
        <v>16246000</v>
      </c>
      <c r="H12" s="34">
        <v>19360</v>
      </c>
      <c r="I12" s="17" t="s">
        <v>8</v>
      </c>
    </row>
    <row r="13" spans="1:9" ht="18.75" x14ac:dyDescent="0.25">
      <c r="A13" s="16" t="s">
        <v>37</v>
      </c>
      <c r="B13" s="58">
        <f t="shared" si="1"/>
        <v>250063777.44669998</v>
      </c>
      <c r="C13" s="59">
        <v>222466161.58669999</v>
      </c>
      <c r="D13" s="34">
        <v>3971000</v>
      </c>
      <c r="E13" s="34">
        <v>193000</v>
      </c>
      <c r="F13" s="34">
        <v>7074255.8599999994</v>
      </c>
      <c r="G13" s="34">
        <v>16340000</v>
      </c>
      <c r="H13" s="34">
        <v>19360</v>
      </c>
      <c r="I13" s="17" t="s">
        <v>9</v>
      </c>
    </row>
    <row r="14" spans="1:9" ht="18.75" x14ac:dyDescent="0.25">
      <c r="A14" s="16" t="s">
        <v>38</v>
      </c>
      <c r="B14" s="58">
        <f t="shared" si="1"/>
        <v>217761098.838</v>
      </c>
      <c r="C14" s="59">
        <v>189452131.84799999</v>
      </c>
      <c r="D14" s="34">
        <v>4003000</v>
      </c>
      <c r="E14" s="34">
        <v>191500</v>
      </c>
      <c r="F14" s="34">
        <v>7665106.9900000002</v>
      </c>
      <c r="G14" s="34">
        <v>16430000</v>
      </c>
      <c r="H14" s="34">
        <v>19360</v>
      </c>
      <c r="I14" s="17" t="s">
        <v>10</v>
      </c>
    </row>
    <row r="15" spans="1:9" ht="18.75" x14ac:dyDescent="0.25">
      <c r="A15" s="16" t="s">
        <v>39</v>
      </c>
      <c r="B15" s="58">
        <f t="shared" si="1"/>
        <v>237415934.52989998</v>
      </c>
      <c r="C15" s="59">
        <v>205914875.0799</v>
      </c>
      <c r="D15" s="34">
        <v>4000000</v>
      </c>
      <c r="E15" s="34">
        <v>191500</v>
      </c>
      <c r="F15" s="34">
        <v>10681639.449999999</v>
      </c>
      <c r="G15" s="34">
        <v>16608000</v>
      </c>
      <c r="H15" s="34">
        <v>19920</v>
      </c>
      <c r="I15" s="17" t="s">
        <v>11</v>
      </c>
    </row>
    <row r="16" spans="1:9" ht="18.75" x14ac:dyDescent="0.25">
      <c r="A16" s="16" t="s">
        <v>40</v>
      </c>
      <c r="B16" s="58">
        <f t="shared" si="1"/>
        <v>250649038.9307</v>
      </c>
      <c r="C16" s="59">
        <v>217155063.44069999</v>
      </c>
      <c r="D16" s="34">
        <v>4023000</v>
      </c>
      <c r="E16" s="34">
        <v>202000</v>
      </c>
      <c r="F16" s="34">
        <v>12417095.49</v>
      </c>
      <c r="G16" s="34">
        <v>16832000</v>
      </c>
      <c r="H16" s="34">
        <v>19880</v>
      </c>
      <c r="I16" s="17" t="s">
        <v>12</v>
      </c>
    </row>
    <row r="17" spans="1:32" ht="18.75" x14ac:dyDescent="0.25">
      <c r="A17" s="16" t="s">
        <v>41</v>
      </c>
      <c r="B17" s="58">
        <f t="shared" si="1"/>
        <v>238985121.94510001</v>
      </c>
      <c r="C17" s="59">
        <v>209475957.56510001</v>
      </c>
      <c r="D17" s="34">
        <v>4062000</v>
      </c>
      <c r="E17" s="34">
        <v>195000</v>
      </c>
      <c r="F17" s="34">
        <v>8466284.379999999</v>
      </c>
      <c r="G17" s="34">
        <v>16766000</v>
      </c>
      <c r="H17" s="34">
        <v>19880</v>
      </c>
      <c r="I17" s="17" t="s">
        <v>13</v>
      </c>
    </row>
    <row r="18" spans="1:32" ht="18.75" x14ac:dyDescent="0.25">
      <c r="A18" s="18" t="s">
        <v>42</v>
      </c>
      <c r="B18" s="60">
        <f t="shared" si="1"/>
        <v>278301894.97130001</v>
      </c>
      <c r="C18" s="61">
        <v>245631864.71130002</v>
      </c>
      <c r="D18" s="37">
        <v>4233000</v>
      </c>
      <c r="E18" s="37">
        <v>194500</v>
      </c>
      <c r="F18" s="37">
        <v>11282730.259999996</v>
      </c>
      <c r="G18" s="37">
        <v>16940000</v>
      </c>
      <c r="H18" s="37">
        <v>19800</v>
      </c>
      <c r="I18" s="19" t="s">
        <v>14</v>
      </c>
    </row>
    <row r="19" spans="1:32" ht="17.25" x14ac:dyDescent="0.25">
      <c r="A19" s="1" t="s">
        <v>19</v>
      </c>
      <c r="G19" s="2"/>
      <c r="H19" s="2"/>
      <c r="I19" s="2" t="s">
        <v>20</v>
      </c>
    </row>
    <row r="20" spans="1:32" ht="17.25" x14ac:dyDescent="0.25">
      <c r="A20" s="1"/>
      <c r="G20" s="2"/>
      <c r="H20" s="2"/>
      <c r="I20" s="2"/>
    </row>
    <row r="21" spans="1:32" ht="17.25" x14ac:dyDescent="0.25">
      <c r="A21" s="1"/>
      <c r="G21" s="2"/>
      <c r="H21" s="2"/>
      <c r="I21" s="2"/>
    </row>
    <row r="22" spans="1:32" ht="17.25" x14ac:dyDescent="0.25">
      <c r="A22" s="1"/>
      <c r="G22" s="2"/>
      <c r="H22" s="2"/>
      <c r="I22" s="2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spans="1:32" ht="17.25" x14ac:dyDescent="0.25">
      <c r="A23" s="1"/>
      <c r="B23" s="22"/>
      <c r="C23" s="23"/>
      <c r="D23" s="22"/>
      <c r="E23" s="22"/>
      <c r="F23" s="22"/>
      <c r="G23" s="3"/>
      <c r="H23" s="3"/>
      <c r="I23" s="3"/>
      <c r="J23" s="22"/>
      <c r="W23" s="21"/>
      <c r="X23" s="21"/>
      <c r="Y23" s="21"/>
      <c r="Z23" s="21"/>
      <c r="AA23" s="21"/>
      <c r="AB23" s="21"/>
      <c r="AC23" s="21"/>
      <c r="AD23" s="21"/>
      <c r="AE23" s="21"/>
      <c r="AF23" s="21"/>
    </row>
    <row r="24" spans="1:32" s="25" customFormat="1" ht="21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24"/>
      <c r="K24" s="4"/>
      <c r="W24" s="21"/>
      <c r="X24" s="21"/>
      <c r="Y24" s="21"/>
      <c r="Z24" s="21"/>
      <c r="AA24" s="21"/>
      <c r="AB24" s="21"/>
      <c r="AC24" s="21"/>
      <c r="AD24" s="21"/>
      <c r="AE24" s="21"/>
      <c r="AF24" s="21"/>
    </row>
    <row r="25" spans="1:32" s="25" customFormat="1" ht="1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24"/>
      <c r="K25" s="4"/>
      <c r="W25" s="21"/>
      <c r="X25" s="26" t="s">
        <v>24</v>
      </c>
      <c r="Y25" s="26" t="s">
        <v>25</v>
      </c>
      <c r="Z25" s="26" t="s">
        <v>26</v>
      </c>
      <c r="AA25" s="26" t="s">
        <v>27</v>
      </c>
      <c r="AB25" s="26" t="s">
        <v>21</v>
      </c>
      <c r="AC25" s="27" t="s">
        <v>28</v>
      </c>
      <c r="AD25" s="21"/>
      <c r="AE25" s="21"/>
      <c r="AF25" s="21"/>
    </row>
    <row r="26" spans="1:32" s="29" customFormat="1" ht="12.75" x14ac:dyDescent="0.2">
      <c r="A26" s="5"/>
      <c r="B26" s="46"/>
      <c r="C26" s="53"/>
      <c r="D26" s="53"/>
      <c r="E26" s="53"/>
      <c r="F26" s="53"/>
      <c r="G26" s="53"/>
      <c r="H26" s="42"/>
      <c r="I26" s="42"/>
      <c r="J26" s="28"/>
      <c r="K26" s="28"/>
      <c r="W26" s="21">
        <v>2014</v>
      </c>
      <c r="X26" s="21">
        <v>1400609841.9112999</v>
      </c>
      <c r="Y26" s="21">
        <v>62871000</v>
      </c>
      <c r="Z26" s="21">
        <v>2464500</v>
      </c>
      <c r="AA26" s="21">
        <v>51002563.189999998</v>
      </c>
      <c r="AB26" s="21">
        <v>154048000</v>
      </c>
      <c r="AC26" s="30"/>
      <c r="AD26" s="21"/>
      <c r="AE26" s="21"/>
      <c r="AF26" s="21"/>
    </row>
    <row r="27" spans="1:32" s="28" customFormat="1" ht="18.75" x14ac:dyDescent="0.2">
      <c r="A27" s="6"/>
      <c r="B27" s="46"/>
      <c r="C27" s="53"/>
      <c r="D27" s="53"/>
      <c r="E27" s="53"/>
      <c r="F27" s="54"/>
      <c r="G27" s="55"/>
      <c r="H27" s="43"/>
      <c r="I27" s="7"/>
      <c r="W27" s="21">
        <v>2015</v>
      </c>
      <c r="X27" s="21">
        <v>1063054680.1289001</v>
      </c>
      <c r="Y27" s="21">
        <v>70378000</v>
      </c>
      <c r="Z27" s="21">
        <v>1807000</v>
      </c>
      <c r="AA27" s="21">
        <v>35665347.009999998</v>
      </c>
      <c r="AB27" s="21">
        <v>127918000</v>
      </c>
      <c r="AC27" s="21"/>
      <c r="AD27" s="21"/>
      <c r="AE27" s="21"/>
      <c r="AF27" s="21"/>
    </row>
    <row r="28" spans="1:32" ht="18.75" x14ac:dyDescent="0.25">
      <c r="A28" s="8"/>
      <c r="B28" s="46"/>
      <c r="C28" s="31"/>
      <c r="D28" s="31"/>
      <c r="E28" s="31"/>
      <c r="F28" s="32"/>
      <c r="G28" s="31"/>
      <c r="H28" s="31"/>
      <c r="I28" s="12"/>
      <c r="J28" s="22"/>
      <c r="K28" s="22"/>
      <c r="W28" s="21">
        <v>2016</v>
      </c>
      <c r="X28" s="4">
        <v>1675199186.7771001</v>
      </c>
      <c r="Y28" s="4">
        <v>58122000</v>
      </c>
      <c r="Z28" s="4">
        <v>2416000</v>
      </c>
      <c r="AA28" s="4">
        <v>75254785.549999997</v>
      </c>
      <c r="AB28" s="4">
        <v>155797000</v>
      </c>
      <c r="AC28" s="21">
        <v>34800</v>
      </c>
      <c r="AD28" s="21"/>
      <c r="AE28" s="21"/>
      <c r="AF28" s="21"/>
    </row>
    <row r="29" spans="1:32" s="21" customFormat="1" ht="18.75" x14ac:dyDescent="0.2">
      <c r="A29" s="8"/>
      <c r="B29" s="62"/>
      <c r="C29" s="57"/>
      <c r="D29" s="57"/>
      <c r="E29" s="14"/>
      <c r="F29" s="14"/>
      <c r="G29" s="63"/>
      <c r="H29" s="63"/>
      <c r="I29" s="17"/>
      <c r="J29" s="33"/>
      <c r="K29" s="33"/>
      <c r="W29" s="21">
        <v>2017</v>
      </c>
      <c r="X29" s="21">
        <v>1797290685.4338</v>
      </c>
      <c r="Y29" s="21">
        <v>55411000</v>
      </c>
      <c r="Z29" s="21">
        <v>2330000</v>
      </c>
      <c r="AA29" s="21">
        <v>55406665.420000002</v>
      </c>
      <c r="AB29" s="21">
        <v>161688000</v>
      </c>
      <c r="AC29" s="21">
        <v>225080</v>
      </c>
    </row>
    <row r="30" spans="1:32" s="21" customFormat="1" ht="18.75" x14ac:dyDescent="0.25">
      <c r="A30" s="16"/>
      <c r="B30" s="64"/>
      <c r="C30" s="65"/>
      <c r="D30" s="65"/>
      <c r="E30" s="34"/>
      <c r="F30" s="34"/>
      <c r="G30" s="66"/>
      <c r="H30" s="66"/>
      <c r="I30" s="17"/>
      <c r="J30" s="33"/>
      <c r="K30" s="33"/>
      <c r="W30" s="21">
        <v>2018</v>
      </c>
      <c r="X30" s="4">
        <v>2164672440.9019995</v>
      </c>
      <c r="Y30" s="4">
        <v>51465000</v>
      </c>
      <c r="Z30" s="4">
        <v>2386000</v>
      </c>
      <c r="AA30" s="4">
        <v>70179122.040000007</v>
      </c>
      <c r="AB30" s="4">
        <v>176688000</v>
      </c>
      <c r="AC30" s="4">
        <v>229000</v>
      </c>
    </row>
    <row r="31" spans="1:32" s="21" customFormat="1" ht="18.75" x14ac:dyDescent="0.2">
      <c r="A31" s="16"/>
      <c r="B31" s="64"/>
      <c r="C31" s="65"/>
      <c r="D31" s="65"/>
      <c r="E31" s="66"/>
      <c r="F31" s="34"/>
      <c r="G31" s="65"/>
      <c r="H31" s="65"/>
      <c r="I31" s="17"/>
      <c r="J31" s="33"/>
      <c r="K31" s="35"/>
      <c r="L31" s="57"/>
      <c r="W31" s="21">
        <v>2019</v>
      </c>
      <c r="X31" s="21">
        <f>C6</f>
        <v>2433716952.1483998</v>
      </c>
      <c r="Y31" s="21">
        <f>D6</f>
        <v>48907000</v>
      </c>
      <c r="Z31" s="21">
        <f>E6</f>
        <v>2362500</v>
      </c>
      <c r="AA31" s="21">
        <f>F6</f>
        <v>102497805.55999997</v>
      </c>
      <c r="AB31" s="21">
        <f>G6</f>
        <v>195912000</v>
      </c>
      <c r="AC31" s="21">
        <f>H6</f>
        <v>234480</v>
      </c>
    </row>
    <row r="32" spans="1:32" s="21" customFormat="1" ht="18.75" x14ac:dyDescent="0.2">
      <c r="A32" s="16"/>
      <c r="B32" s="64"/>
      <c r="C32" s="65"/>
      <c r="D32" s="65"/>
      <c r="E32" s="66"/>
      <c r="F32" s="34"/>
      <c r="G32" s="65"/>
      <c r="H32" s="65"/>
      <c r="I32" s="17"/>
      <c r="J32" s="33"/>
      <c r="K32" s="35"/>
      <c r="L32" s="57"/>
    </row>
    <row r="33" spans="1:29" s="21" customFormat="1" ht="18.75" x14ac:dyDescent="0.2">
      <c r="A33" s="16"/>
      <c r="B33" s="64"/>
      <c r="C33" s="65"/>
      <c r="D33" s="65"/>
      <c r="E33" s="66"/>
      <c r="F33" s="34"/>
      <c r="G33" s="65"/>
      <c r="H33" s="65"/>
      <c r="I33" s="17"/>
      <c r="J33" s="33"/>
      <c r="K33" s="35"/>
      <c r="L33" s="14"/>
    </row>
    <row r="34" spans="1:29" s="21" customFormat="1" ht="25.5" x14ac:dyDescent="0.2">
      <c r="A34" s="16"/>
      <c r="B34" s="64"/>
      <c r="C34" s="65"/>
      <c r="D34" s="65"/>
      <c r="E34" s="66"/>
      <c r="F34" s="34"/>
      <c r="G34" s="65"/>
      <c r="H34" s="65"/>
      <c r="I34" s="17"/>
      <c r="J34" s="33"/>
      <c r="K34" s="35"/>
      <c r="L34" s="14"/>
      <c r="X34" s="26" t="s">
        <v>24</v>
      </c>
      <c r="Y34" s="26" t="s">
        <v>25</v>
      </c>
      <c r="Z34" s="26" t="s">
        <v>26</v>
      </c>
      <c r="AA34" s="26" t="s">
        <v>27</v>
      </c>
      <c r="AB34" s="26" t="s">
        <v>21</v>
      </c>
      <c r="AC34" s="27" t="s">
        <v>28</v>
      </c>
    </row>
    <row r="35" spans="1:29" s="21" customFormat="1" ht="18.75" x14ac:dyDescent="0.2">
      <c r="A35" s="16"/>
      <c r="B35" s="64"/>
      <c r="C35" s="65"/>
      <c r="D35" s="67"/>
      <c r="E35" s="66"/>
      <c r="F35" s="34"/>
      <c r="G35" s="65"/>
      <c r="H35" s="65"/>
      <c r="I35" s="17"/>
      <c r="J35" s="33"/>
      <c r="K35" s="35"/>
      <c r="L35" s="63"/>
      <c r="W35" s="21">
        <v>2014</v>
      </c>
      <c r="X35" s="36">
        <f t="shared" ref="X35:AC40" si="2">X26/1000000</f>
        <v>1400.6098419113</v>
      </c>
      <c r="Y35" s="36">
        <f t="shared" si="2"/>
        <v>62.871000000000002</v>
      </c>
      <c r="Z35" s="36">
        <f t="shared" si="2"/>
        <v>2.4645000000000001</v>
      </c>
      <c r="AA35" s="36">
        <f t="shared" si="2"/>
        <v>51.002563189999996</v>
      </c>
      <c r="AB35" s="36">
        <f t="shared" si="2"/>
        <v>154.048</v>
      </c>
    </row>
    <row r="36" spans="1:29" s="21" customFormat="1" ht="18.75" x14ac:dyDescent="0.2">
      <c r="A36" s="16"/>
      <c r="B36" s="64"/>
      <c r="C36" s="65"/>
      <c r="D36" s="65"/>
      <c r="E36" s="66"/>
      <c r="F36" s="34"/>
      <c r="G36" s="65"/>
      <c r="H36" s="65"/>
      <c r="I36" s="17"/>
      <c r="J36" s="33"/>
      <c r="K36" s="33"/>
      <c r="W36" s="21">
        <v>2015</v>
      </c>
      <c r="X36" s="36">
        <f t="shared" si="2"/>
        <v>1063.0546801289001</v>
      </c>
      <c r="Y36" s="36">
        <f t="shared" si="2"/>
        <v>70.378</v>
      </c>
      <c r="Z36" s="36">
        <f t="shared" si="2"/>
        <v>1.8069999999999999</v>
      </c>
      <c r="AA36" s="36">
        <f t="shared" si="2"/>
        <v>35.665347009999998</v>
      </c>
      <c r="AB36" s="36">
        <f t="shared" si="2"/>
        <v>127.91800000000001</v>
      </c>
    </row>
    <row r="37" spans="1:29" s="21" customFormat="1" ht="18.75" x14ac:dyDescent="0.2">
      <c r="A37" s="16"/>
      <c r="B37" s="64"/>
      <c r="C37" s="65"/>
      <c r="D37" s="65"/>
      <c r="E37" s="66"/>
      <c r="F37" s="34"/>
      <c r="G37" s="68"/>
      <c r="H37" s="68"/>
      <c r="I37" s="17"/>
      <c r="J37" s="33"/>
      <c r="K37" s="33"/>
      <c r="W37" s="21">
        <v>2016</v>
      </c>
      <c r="X37" s="36">
        <f t="shared" si="2"/>
        <v>1675.1991867771001</v>
      </c>
      <c r="Y37" s="36">
        <f t="shared" si="2"/>
        <v>58.122</v>
      </c>
      <c r="Z37" s="36">
        <f t="shared" si="2"/>
        <v>2.4159999999999999</v>
      </c>
      <c r="AA37" s="36">
        <f t="shared" si="2"/>
        <v>75.254785549999994</v>
      </c>
      <c r="AB37" s="36">
        <f t="shared" si="2"/>
        <v>155.797</v>
      </c>
      <c r="AC37" s="36">
        <f>AC28/1000000</f>
        <v>3.4799999999999998E-2</v>
      </c>
    </row>
    <row r="38" spans="1:29" s="21" customFormat="1" ht="18.75" x14ac:dyDescent="0.2">
      <c r="A38" s="16"/>
      <c r="B38" s="64"/>
      <c r="C38" s="65"/>
      <c r="D38" s="65"/>
      <c r="E38" s="66"/>
      <c r="F38" s="34"/>
      <c r="G38" s="65"/>
      <c r="H38" s="65"/>
      <c r="I38" s="17"/>
      <c r="J38" s="33"/>
      <c r="K38" s="33"/>
      <c r="W38" s="21">
        <v>2017</v>
      </c>
      <c r="X38" s="36">
        <f t="shared" si="2"/>
        <v>1797.2906854338</v>
      </c>
      <c r="Y38" s="36">
        <f t="shared" si="2"/>
        <v>55.411000000000001</v>
      </c>
      <c r="Z38" s="36">
        <f t="shared" si="2"/>
        <v>2.33</v>
      </c>
      <c r="AA38" s="36">
        <f t="shared" si="2"/>
        <v>55.406665420000003</v>
      </c>
      <c r="AB38" s="36">
        <f t="shared" si="2"/>
        <v>161.68799999999999</v>
      </c>
      <c r="AC38" s="36">
        <f>AC29/1000000</f>
        <v>0.22508</v>
      </c>
    </row>
    <row r="39" spans="1:29" s="21" customFormat="1" ht="18.75" x14ac:dyDescent="0.2">
      <c r="A39" s="16"/>
      <c r="B39" s="64"/>
      <c r="C39" s="65"/>
      <c r="D39" s="65"/>
      <c r="E39" s="66"/>
      <c r="F39" s="34"/>
      <c r="G39" s="65"/>
      <c r="H39" s="65"/>
      <c r="I39" s="17"/>
      <c r="J39" s="33"/>
      <c r="K39" s="33"/>
      <c r="W39" s="21">
        <v>2018</v>
      </c>
      <c r="X39" s="36">
        <f>X30/1000000</f>
        <v>2164.6724409019994</v>
      </c>
      <c r="Y39" s="36">
        <f t="shared" si="2"/>
        <v>51.465000000000003</v>
      </c>
      <c r="Z39" s="36">
        <f t="shared" si="2"/>
        <v>2.3860000000000001</v>
      </c>
      <c r="AA39" s="36">
        <f t="shared" si="2"/>
        <v>70.17912204000001</v>
      </c>
      <c r="AB39" s="36">
        <f t="shared" si="2"/>
        <v>176.68799999999999</v>
      </c>
      <c r="AC39" s="36">
        <f t="shared" si="2"/>
        <v>0.22900000000000001</v>
      </c>
    </row>
    <row r="40" spans="1:29" s="21" customFormat="1" ht="18.75" x14ac:dyDescent="0.2">
      <c r="A40" s="16"/>
      <c r="B40" s="64"/>
      <c r="C40" s="65"/>
      <c r="D40" s="65"/>
      <c r="E40" s="66"/>
      <c r="F40" s="34"/>
      <c r="G40" s="65"/>
      <c r="H40" s="65"/>
      <c r="I40" s="17"/>
      <c r="J40" s="33"/>
      <c r="K40" s="33"/>
      <c r="W40" s="21">
        <v>2019</v>
      </c>
      <c r="X40" s="36">
        <f>X31/1000000</f>
        <v>2433.7169521483997</v>
      </c>
      <c r="Y40" s="36">
        <f>Y31/1000000</f>
        <v>48.906999999999996</v>
      </c>
      <c r="Z40" s="36">
        <f t="shared" si="2"/>
        <v>2.3624999999999998</v>
      </c>
      <c r="AA40" s="36">
        <f t="shared" si="2"/>
        <v>102.49780555999997</v>
      </c>
      <c r="AB40" s="36">
        <f t="shared" si="2"/>
        <v>195.91200000000001</v>
      </c>
      <c r="AC40" s="36">
        <f t="shared" si="2"/>
        <v>0.23447999999999999</v>
      </c>
    </row>
    <row r="41" spans="1:29" s="21" customFormat="1" ht="18.75" x14ac:dyDescent="0.2">
      <c r="A41" s="16"/>
      <c r="B41" s="64"/>
      <c r="C41" s="65"/>
      <c r="D41" s="65"/>
      <c r="E41" s="67"/>
      <c r="F41" s="34"/>
      <c r="G41" s="67"/>
      <c r="H41" s="67"/>
      <c r="I41" s="17"/>
      <c r="J41" s="33"/>
      <c r="K41" s="33"/>
    </row>
    <row r="42" spans="1:29" ht="17.25" x14ac:dyDescent="0.25">
      <c r="A42" s="1"/>
      <c r="B42" s="22"/>
      <c r="C42" s="23"/>
      <c r="D42" s="22"/>
      <c r="E42" s="22"/>
      <c r="F42" s="22"/>
      <c r="G42" s="3"/>
      <c r="H42" s="3"/>
      <c r="I42" s="3"/>
      <c r="J42" s="22"/>
      <c r="K42" s="22"/>
    </row>
    <row r="43" spans="1:29" ht="17.25" x14ac:dyDescent="0.25">
      <c r="A43" s="1"/>
      <c r="B43" s="22"/>
      <c r="C43" s="23"/>
      <c r="D43" s="22"/>
      <c r="E43" s="22"/>
      <c r="F43" s="22"/>
      <c r="G43" s="3"/>
      <c r="H43" s="3"/>
      <c r="I43" s="3"/>
      <c r="J43" s="22"/>
      <c r="K43" s="22"/>
    </row>
    <row r="44" spans="1:29" ht="17.25" x14ac:dyDescent="0.25">
      <c r="A44" s="1"/>
      <c r="G44" s="2"/>
      <c r="H44" s="2"/>
      <c r="I44" s="2"/>
    </row>
    <row r="48" spans="1:29" x14ac:dyDescent="0.25">
      <c r="U48" s="39"/>
      <c r="V48" s="40"/>
    </row>
    <row r="49" spans="11:22" x14ac:dyDescent="0.25">
      <c r="U49" s="39"/>
      <c r="V49" s="40"/>
    </row>
    <row r="50" spans="11:22" x14ac:dyDescent="0.25">
      <c r="U50" s="39"/>
      <c r="V50" s="40"/>
    </row>
    <row r="51" spans="11:22" x14ac:dyDescent="0.25">
      <c r="U51" s="39"/>
      <c r="V51" s="40"/>
    </row>
    <row r="52" spans="11:22" x14ac:dyDescent="0.25">
      <c r="K52" s="41"/>
      <c r="U52" s="39"/>
      <c r="V52" s="40"/>
    </row>
  </sheetData>
  <mergeCells count="17">
    <mergeCell ref="A24:I24"/>
    <mergeCell ref="A25:I25"/>
    <mergeCell ref="B26:B28"/>
    <mergeCell ref="C26:C27"/>
    <mergeCell ref="D26:D27"/>
    <mergeCell ref="E26:E27"/>
    <mergeCell ref="F26:F27"/>
    <mergeCell ref="G26:G27"/>
    <mergeCell ref="A1:I1"/>
    <mergeCell ref="A2:I2"/>
    <mergeCell ref="B3:B5"/>
    <mergeCell ref="C3:C4"/>
    <mergeCell ref="D3:D4"/>
    <mergeCell ref="E3:E4"/>
    <mergeCell ref="F3:F4"/>
    <mergeCell ref="G3:G4"/>
    <mergeCell ref="H3:H4"/>
  </mergeCells>
  <conditionalFormatting sqref="C29">
    <cfRule type="duplicateValues" dxfId="7" priority="7"/>
    <cfRule type="duplicateValues" dxfId="6" priority="8"/>
  </conditionalFormatting>
  <conditionalFormatting sqref="C30:C41">
    <cfRule type="duplicateValues" dxfId="5" priority="5"/>
    <cfRule type="duplicateValues" dxfId="4" priority="6"/>
  </conditionalFormatting>
  <conditionalFormatting sqref="L31">
    <cfRule type="duplicateValues" dxfId="3" priority="3"/>
    <cfRule type="duplicateValues" dxfId="2" priority="4"/>
  </conditionalFormatting>
  <conditionalFormatting sqref="C6:H6">
    <cfRule type="duplicateValues" dxfId="1" priority="1"/>
    <cfRule type="duplicateValues" dxfId="0" priority="2"/>
  </conditionalFormatting>
  <pageMargins left="0.7" right="0.7" top="0.75" bottom="0.75" header="0.3" footer="0.3"/>
  <pageSetup scale="5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2021-03-31T07:20:34Z</cp:lastPrinted>
  <dcterms:created xsi:type="dcterms:W3CDTF">2019-02-21T04:10:17Z</dcterms:created>
  <dcterms:modified xsi:type="dcterms:W3CDTF">2021-03-31T07:20:45Z</dcterms:modified>
</cp:coreProperties>
</file>