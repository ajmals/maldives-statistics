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8. PENSION AND SOCIAL PROTECTION\"/>
    </mc:Choice>
  </mc:AlternateContent>
  <bookViews>
    <workbookView xWindow="0" yWindow="0" windowWidth="28800" windowHeight="12435" tabRatio="841"/>
  </bookViews>
  <sheets>
    <sheet name="18.2" sheetId="2" r:id="rId1"/>
  </sheets>
  <definedNames>
    <definedName name="_xlnm.Print_Area" localSheetId="0">'18.2'!$A$1:$AB$40</definedName>
  </definedNames>
  <calcPr calcId="152511"/>
</workbook>
</file>

<file path=xl/calcChain.xml><?xml version="1.0" encoding="utf-8"?>
<calcChain xmlns="http://schemas.openxmlformats.org/spreadsheetml/2006/main">
  <c r="AA8" i="2" l="1"/>
  <c r="AZ27" i="2" s="1"/>
  <c r="AR27" i="2" s="1"/>
  <c r="T8" i="2" l="1"/>
  <c r="AZ25" i="2" s="1"/>
  <c r="AR25" i="2" s="1"/>
  <c r="K8" i="2"/>
  <c r="AY26" i="2" s="1"/>
  <c r="AQ26" i="2" s="1"/>
  <c r="C8" i="2"/>
  <c r="AY24" i="2" s="1"/>
  <c r="AQ24" i="2" s="1"/>
  <c r="AL27" i="2" l="1"/>
  <c r="AK27" i="2"/>
  <c r="AJ27" i="2"/>
  <c r="AJ26" i="2"/>
  <c r="AJ25" i="2"/>
  <c r="AJ24" i="2"/>
  <c r="Z8" i="2"/>
  <c r="AY27" i="2" s="1"/>
  <c r="AQ27" i="2" s="1"/>
  <c r="Y8" i="2"/>
  <c r="AX27" i="2" s="1"/>
  <c r="X8" i="2"/>
  <c r="AW27" i="2" s="1"/>
  <c r="AO27" i="2" s="1"/>
  <c r="W8" i="2"/>
  <c r="AV27" i="2" s="1"/>
  <c r="AN27" i="2" s="1"/>
  <c r="U8" i="2"/>
  <c r="AU27" i="2" s="1"/>
  <c r="AM27" i="2" s="1"/>
  <c r="S8" i="2"/>
  <c r="AY25" i="2" s="1"/>
  <c r="AQ25" i="2" s="1"/>
  <c r="R8" i="2"/>
  <c r="AX25" i="2" s="1"/>
  <c r="Q8" i="2"/>
  <c r="AW25" i="2" s="1"/>
  <c r="AO25" i="2" s="1"/>
  <c r="P8" i="2"/>
  <c r="AV25" i="2" s="1"/>
  <c r="AN25" i="2" s="1"/>
  <c r="O8" i="2"/>
  <c r="AU25" i="2" s="1"/>
  <c r="AM25" i="2" s="1"/>
  <c r="N8" i="2"/>
  <c r="AT25" i="2" s="1"/>
  <c r="AL25" i="2" s="1"/>
  <c r="M8" i="2"/>
  <c r="AS25" i="2" s="1"/>
  <c r="AK25" i="2" s="1"/>
  <c r="L8" i="2"/>
  <c r="AZ26" i="2" s="1"/>
  <c r="AR26" i="2" s="1"/>
  <c r="J8" i="2"/>
  <c r="AX26" i="2" s="1"/>
  <c r="I8" i="2"/>
  <c r="AW26" i="2" s="1"/>
  <c r="AO26" i="2" s="1"/>
  <c r="H8" i="2"/>
  <c r="AV26" i="2" s="1"/>
  <c r="AN26" i="2" s="1"/>
  <c r="G8" i="2"/>
  <c r="AU26" i="2" s="1"/>
  <c r="AM26" i="2" s="1"/>
  <c r="F8" i="2"/>
  <c r="AT26" i="2" s="1"/>
  <c r="AL26" i="2" s="1"/>
  <c r="E8" i="2"/>
  <c r="AS26" i="2" s="1"/>
  <c r="AK26" i="2" s="1"/>
  <c r="D8" i="2"/>
  <c r="AZ24" i="2" s="1"/>
  <c r="B8" i="2"/>
  <c r="AX24" i="2" s="1"/>
  <c r="AP24" i="2" s="1"/>
  <c r="AW24" i="2"/>
  <c r="AO24" i="2" s="1"/>
  <c r="AV24" i="2"/>
  <c r="AN24" i="2" s="1"/>
  <c r="AU24" i="2"/>
  <c r="AM24" i="2" s="1"/>
  <c r="AT24" i="2"/>
  <c r="AL24" i="2" s="1"/>
  <c r="AS24" i="2"/>
  <c r="AK24" i="2" s="1"/>
  <c r="AR24" i="2" l="1"/>
  <c r="AZ28" i="2"/>
  <c r="AY28" i="2"/>
  <c r="AP27" i="2"/>
  <c r="AP26" i="2"/>
  <c r="AP25" i="2"/>
</calcChain>
</file>

<file path=xl/sharedStrings.xml><?xml version="1.0" encoding="utf-8"?>
<sst xmlns="http://schemas.openxmlformats.org/spreadsheetml/2006/main" count="45" uniqueCount="45">
  <si>
    <t>(In MVR)</t>
  </si>
  <si>
    <t>Month</t>
  </si>
  <si>
    <t>އަސާސީ ޕެންޝަން</t>
  </si>
  <si>
    <t>ރިޓަޔަރމަންޓް ޕެންޝަން</t>
  </si>
  <si>
    <t>އެހެނިހެން ޕެންޝަން</t>
  </si>
  <si>
    <t>ސީނިއަ ސިޓިޒަން އެލަވަންސް</t>
  </si>
  <si>
    <t>މަސް</t>
  </si>
  <si>
    <t>ޖުމްލަ</t>
  </si>
  <si>
    <t>Basic pension</t>
  </si>
  <si>
    <t>Retirement  pension</t>
  </si>
  <si>
    <t>Other  pension</t>
  </si>
  <si>
    <t xml:space="preserve"> Senior Citizen Allowance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</si>
  <si>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</si>
  <si>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</si>
  <si>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</si>
  <si>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</si>
  <si>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</si>
  <si>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</si>
  <si>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</si>
  <si>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</si>
  <si>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</si>
  <si>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</si>
  <si>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</si>
  <si>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</si>
  <si>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</si>
  <si>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</si>
  <si>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</si>
  <si>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</si>
  <si>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</si>
  <si>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</si>
  <si>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</si>
  <si>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</si>
  <si>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</si>
  <si>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</si>
  <si>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</si>
  <si>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</si>
  <si>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</si>
  <si>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</si>
  <si>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</si>
  <si>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t>In million Rf</t>
  </si>
  <si>
    <t>In Rf</t>
  </si>
  <si>
    <t xml:space="preserve">ސީނިއަރ ސިޓިޒަން އެލަވަންސް ސްކީމް ތަޢާރަފުކުރެވިފައިވާ ފެބްރުއަރީ 2014 ގައެވެ. އަދި މާރޗް 2019 ގައި ވަނީ ހުއްޓާލާފައެވެ.  </t>
  </si>
  <si>
    <t>Note: Senior Citizen Allowance was introduced in February 2014 and discontinued in March 2019.</t>
  </si>
  <si>
    <t>TABLE   18.2: MONTHLY PENSION PAYOUTS BY SCHEME, 2017- 2019</t>
  </si>
  <si>
    <t>ތާވަލު 18.2: އެކި މަސްމަހު ޕެންޝަންގެ ގޮތުގައި ސްކީމްތަކުން ދެވުނު މިންވަރު، 2017 - 2019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</si>
</sst>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262626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9"/>
      <color rgb="FFFF0000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/>
      <top style="thin">
        <color indexed="64"/>
      </top>
      <bottom/>
      <diagonal/>
    </border>
    <border>
      <left/>
      <right style="hair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164" fontId="15" fillId="0" borderId="29"/>
    <xf numFmtId="0" fontId="1" fillId="0" borderId="29"/>
    <xf numFmtId="0" fontId="1" fillId="0" borderId="29"/>
    <xf numFmtId="43" fontId="14" fillId="0" borderId="29" applyFont="0" applyFill="0" applyBorder="0" applyAlignment="0" applyProtection="0"/>
    <xf numFmtId="43" fontId="14" fillId="0" borderId="29" applyFont="0" applyFill="0" applyBorder="0" applyAlignment="0" applyProtection="0"/>
    <xf numFmtId="0" fontId="14" fillId="0" borderId="29"/>
  </cellStyleXfs>
  <cellXfs count="105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164" fontId="0" fillId="2" borderId="2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2" borderId="29" xfId="0" applyFont="1" applyFill="1" applyBorder="1"/>
    <xf numFmtId="0" fontId="6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2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5" fillId="2" borderId="6" xfId="0" applyFont="1" applyFill="1" applyBorder="1"/>
    <xf numFmtId="0" fontId="5" fillId="2" borderId="14" xfId="0" applyFont="1" applyFill="1" applyBorder="1"/>
    <xf numFmtId="0" fontId="0" fillId="2" borderId="14" xfId="0" applyFont="1" applyFill="1" applyBorder="1"/>
    <xf numFmtId="0" fontId="4" fillId="2" borderId="2" xfId="0" applyFont="1" applyFill="1" applyBorder="1" applyAlignment="1">
      <alignment horizontal="left" vertical="center"/>
    </xf>
    <xf numFmtId="3" fontId="4" fillId="2" borderId="2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vertical="center"/>
    </xf>
    <xf numFmtId="3" fontId="4" fillId="2" borderId="25" xfId="0" applyNumberFormat="1" applyFont="1" applyFill="1" applyBorder="1" applyAlignment="1">
      <alignment horizontal="right" vertical="center"/>
    </xf>
    <xf numFmtId="3" fontId="4" fillId="2" borderId="25" xfId="0" applyNumberFormat="1" applyFont="1" applyFill="1" applyBorder="1" applyAlignment="1">
      <alignment vertical="center"/>
    </xf>
    <xf numFmtId="3" fontId="4" fillId="2" borderId="26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3" fontId="0" fillId="2" borderId="2" xfId="0" applyNumberFormat="1" applyFont="1" applyFill="1" applyBorder="1" applyAlignment="1">
      <alignment vertical="center"/>
    </xf>
    <xf numFmtId="3" fontId="0" fillId="4" borderId="2" xfId="0" applyNumberFormat="1" applyFont="1" applyFill="1" applyBorder="1" applyAlignment="1">
      <alignment vertical="center"/>
    </xf>
    <xf numFmtId="3" fontId="0" fillId="2" borderId="25" xfId="0" applyNumberFormat="1" applyFont="1" applyFill="1" applyBorder="1" applyAlignment="1">
      <alignment vertical="center"/>
    </xf>
    <xf numFmtId="3" fontId="0" fillId="2" borderId="2" xfId="0" applyNumberFormat="1" applyFont="1" applyFill="1" applyBorder="1" applyAlignment="1">
      <alignment horizontal="right" vertical="center"/>
    </xf>
    <xf numFmtId="3" fontId="0" fillId="4" borderId="2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10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3" fontId="6" fillId="2" borderId="2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right"/>
    </xf>
    <xf numFmtId="3" fontId="0" fillId="2" borderId="20" xfId="0" applyNumberFormat="1" applyFont="1" applyFill="1" applyBorder="1" applyAlignment="1">
      <alignment vertical="center"/>
    </xf>
    <xf numFmtId="3" fontId="0" fillId="4" borderId="20" xfId="0" applyNumberFormat="1" applyFont="1" applyFill="1" applyBorder="1" applyAlignment="1">
      <alignment vertical="center"/>
    </xf>
    <xf numFmtId="3" fontId="0" fillId="2" borderId="21" xfId="0" applyNumberFormat="1" applyFont="1" applyFill="1" applyBorder="1" applyAlignment="1">
      <alignment vertical="center"/>
    </xf>
    <xf numFmtId="3" fontId="0" fillId="2" borderId="20" xfId="0" applyNumberFormat="1" applyFont="1" applyFill="1" applyBorder="1" applyAlignment="1">
      <alignment horizontal="right" vertical="center"/>
    </xf>
    <xf numFmtId="3" fontId="0" fillId="4" borderId="20" xfId="0" applyNumberFormat="1" applyFont="1" applyFill="1" applyBorder="1" applyAlignment="1">
      <alignment horizontal="right" vertical="center"/>
    </xf>
    <xf numFmtId="0" fontId="10" fillId="2" borderId="20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vertical="center"/>
    </xf>
    <xf numFmtId="0" fontId="6" fillId="2" borderId="2" xfId="0" applyFont="1" applyFill="1" applyBorder="1"/>
    <xf numFmtId="0" fontId="12" fillId="2" borderId="2" xfId="0" applyFont="1" applyFill="1" applyBorder="1" applyAlignment="1">
      <alignment vertical="center"/>
    </xf>
    <xf numFmtId="0" fontId="6" fillId="2" borderId="29" xfId="0" applyFont="1" applyFill="1" applyBorder="1" applyAlignment="1">
      <alignment horizontal="center"/>
    </xf>
    <xf numFmtId="0" fontId="11" fillId="2" borderId="2" xfId="0" applyFont="1" applyFill="1" applyBorder="1"/>
    <xf numFmtId="3" fontId="6" fillId="2" borderId="2" xfId="0" applyNumberFormat="1" applyFont="1" applyFill="1" applyBorder="1"/>
    <xf numFmtId="0" fontId="12" fillId="2" borderId="2" xfId="0" applyFont="1" applyFill="1" applyBorder="1" applyAlignment="1"/>
    <xf numFmtId="0" fontId="12" fillId="2" borderId="2" xfId="0" applyFont="1" applyFill="1" applyBorder="1"/>
    <xf numFmtId="0" fontId="6" fillId="2" borderId="29" xfId="0" applyFont="1" applyFill="1" applyBorder="1"/>
    <xf numFmtId="0" fontId="9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3" fontId="0" fillId="3" borderId="0" xfId="0" applyNumberFormat="1" applyFont="1" applyFill="1" applyAlignment="1"/>
    <xf numFmtId="0" fontId="7" fillId="2" borderId="29" xfId="0" applyFont="1" applyFill="1" applyBorder="1"/>
    <xf numFmtId="0" fontId="4" fillId="2" borderId="24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left" vertical="center" indent="1"/>
    </xf>
    <xf numFmtId="0" fontId="0" fillId="2" borderId="20" xfId="0" applyFont="1" applyFill="1" applyBorder="1" applyAlignment="1">
      <alignment horizontal="left" vertical="center" indent="1"/>
    </xf>
    <xf numFmtId="3" fontId="4" fillId="2" borderId="29" xfId="0" applyNumberFormat="1" applyFont="1" applyFill="1" applyBorder="1" applyAlignment="1">
      <alignment vertical="center"/>
    </xf>
    <xf numFmtId="3" fontId="0" fillId="4" borderId="29" xfId="0" applyNumberFormat="1" applyFont="1" applyFill="1" applyBorder="1" applyAlignment="1">
      <alignment vertical="center"/>
    </xf>
    <xf numFmtId="3" fontId="0" fillId="4" borderId="31" xfId="0" applyNumberFormat="1" applyFont="1" applyFill="1" applyBorder="1" applyAlignment="1">
      <alignment vertical="center"/>
    </xf>
    <xf numFmtId="3" fontId="4" fillId="2" borderId="28" xfId="0" applyNumberFormat="1" applyFont="1" applyFill="1" applyBorder="1" applyAlignment="1">
      <alignment vertical="center"/>
    </xf>
    <xf numFmtId="0" fontId="12" fillId="6" borderId="29" xfId="0" applyFont="1" applyFill="1" applyBorder="1" applyAlignment="1">
      <alignment vertical="center"/>
    </xf>
    <xf numFmtId="3" fontId="0" fillId="5" borderId="29" xfId="0" applyNumberFormat="1" applyFont="1" applyFill="1" applyBorder="1" applyAlignment="1">
      <alignment vertical="center"/>
    </xf>
    <xf numFmtId="3" fontId="0" fillId="5" borderId="28" xfId="0" applyNumberFormat="1" applyFont="1" applyFill="1" applyBorder="1" applyAlignment="1">
      <alignment vertical="center"/>
    </xf>
    <xf numFmtId="3" fontId="0" fillId="5" borderId="29" xfId="0" applyNumberFormat="1" applyFont="1" applyFill="1" applyBorder="1" applyAlignment="1">
      <alignment horizontal="right" vertical="center"/>
    </xf>
    <xf numFmtId="3" fontId="0" fillId="5" borderId="31" xfId="0" applyNumberFormat="1" applyFont="1" applyFill="1" applyBorder="1" applyAlignment="1">
      <alignment vertical="center"/>
    </xf>
    <xf numFmtId="3" fontId="0" fillId="5" borderId="23" xfId="0" applyNumberFormat="1" applyFont="1" applyFill="1" applyBorder="1" applyAlignment="1">
      <alignment vertical="center"/>
    </xf>
    <xf numFmtId="3" fontId="0" fillId="5" borderId="31" xfId="0" applyNumberFormat="1" applyFont="1" applyFill="1" applyBorder="1" applyAlignment="1">
      <alignment horizontal="right" vertical="center"/>
    </xf>
    <xf numFmtId="3" fontId="4" fillId="2" borderId="13" xfId="0" applyNumberFormat="1" applyFont="1" applyFill="1" applyBorder="1" applyAlignment="1">
      <alignment vertical="center"/>
    </xf>
    <xf numFmtId="0" fontId="3" fillId="3" borderId="7" xfId="0" applyFont="1" applyFill="1" applyBorder="1"/>
    <xf numFmtId="0" fontId="3" fillId="3" borderId="19" xfId="0" applyFont="1" applyFill="1" applyBorder="1"/>
    <xf numFmtId="0" fontId="3" fillId="3" borderId="3" xfId="0" applyFont="1" applyFill="1" applyBorder="1"/>
    <xf numFmtId="0" fontId="3" fillId="3" borderId="29" xfId="0" applyFont="1" applyFill="1" applyBorder="1"/>
    <xf numFmtId="0" fontId="3" fillId="3" borderId="4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3" fillId="3" borderId="9" xfId="0" applyFont="1" applyFill="1" applyBorder="1"/>
    <xf numFmtId="0" fontId="3" fillId="3" borderId="12" xfId="0" applyFont="1" applyFill="1" applyBorder="1"/>
    <xf numFmtId="0" fontId="3" fillId="3" borderId="10" xfId="0" applyFont="1" applyFill="1" applyBorder="1"/>
    <xf numFmtId="0" fontId="4" fillId="2" borderId="16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30" xfId="0" applyFont="1" applyFill="1" applyBorder="1"/>
    <xf numFmtId="0" fontId="3" fillId="3" borderId="15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</cellXfs>
  <cellStyles count="7">
    <cellStyle name="Comma 23" xfId="5"/>
    <cellStyle name="Comma 3" xfId="4"/>
    <cellStyle name="Normal" xfId="0" builtinId="0"/>
    <cellStyle name="Normal 12" xfId="3"/>
    <cellStyle name="Normal 2" xfId="1"/>
    <cellStyle name="Normal 3 2" xfId="2"/>
    <cellStyle name="Normal 8" xfId="6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6217672790901131E-2"/>
          <c:y val="0.15093206372459256"/>
          <c:w val="0.89619475065616794"/>
          <c:h val="0.73580235610083622"/>
        </c:manualLayout>
      </c:layout>
      <c:barChart>
        <c:barDir val="col"/>
        <c:grouping val="clustered"/>
        <c:varyColors val="1"/>
        <c:ser>
          <c:idx val="1"/>
          <c:order val="1"/>
          <c:tx>
            <c:strRef>
              <c:f>'18.2'!$AP$23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996633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'18.2'!$AJ$24:$AJ$27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'18.2'!$AP$24:$AP$27</c:f>
              <c:numCache>
                <c:formatCode>_(* #,##0_);_(* \(#,##0\);_(* "-"??_);_(@_)</c:formatCode>
                <c:ptCount val="4"/>
                <c:pt idx="0">
                  <c:v>435.25136824000003</c:v>
                </c:pt>
                <c:pt idx="1">
                  <c:v>270.65722773000005</c:v>
                </c:pt>
                <c:pt idx="2">
                  <c:v>54.585241880000005</c:v>
                </c:pt>
                <c:pt idx="3">
                  <c:v>539.03694702999996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ACB-4276-B2A7-EE61FC27565F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'18.2'!$AQ$23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DAB48E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'18.2'!$AJ$24:$AJ$27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'18.2'!$AQ$24:$AQ$27</c:f>
              <c:numCache>
                <c:formatCode>_(* #,##0_);_(* \(#,##0\);_(* "-"??_);_(@_)</c:formatCode>
                <c:ptCount val="4"/>
                <c:pt idx="0">
                  <c:v>443.15210785000011</c:v>
                </c:pt>
                <c:pt idx="1">
                  <c:v>280.56057788999999</c:v>
                </c:pt>
                <c:pt idx="2">
                  <c:v>58.618929450000003</c:v>
                </c:pt>
                <c:pt idx="3">
                  <c:v>550.82376364999993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ACB-4276-B2A7-EE61FC27565F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'18.2'!$AR$23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964B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'18.2'!$AJ$24:$AJ$27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'18.2'!$AR$24:$AR$27</c:f>
              <c:numCache>
                <c:formatCode>_(* #,##0_);_(* \(#,##0\);_(* "-"??_);_(@_)</c:formatCode>
                <c:ptCount val="4"/>
                <c:pt idx="0">
                  <c:v>903.98428605999993</c:v>
                </c:pt>
                <c:pt idx="1">
                  <c:v>297.50286885000003</c:v>
                </c:pt>
                <c:pt idx="2">
                  <c:v>90.949201129999992</c:v>
                </c:pt>
                <c:pt idx="3">
                  <c:v>93.669343139999981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8315256"/>
        <c:axId val="3483156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'18.2'!$AO$23</c15:sqref>
                        </c15:formulaRef>
                      </c:ext>
                    </c:extLst>
                    <c:strCache>
                      <c:ptCount val="1"/>
                      <c:pt idx="0">
                        <c:v>2016</c:v>
                      </c:pt>
                    </c:strCache>
                  </c:strRef>
                </c:tx>
                <c:spPr>
                  <a:solidFill>
                    <a:srgbClr val="BF9000"/>
                  </a:solidFill>
                </c:spPr>
                <c:invertIfNegative val="1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/>
                    <a:lstStyle/>
                    <a:p>
                      <a:pPr lvl="0">
                        <a:defRPr b="0" i="0"/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'18.2'!$AJ$24:$AJ$27</c15:sqref>
                        </c15:formulaRef>
                      </c:ext>
                    </c:extLst>
                    <c:strCache>
                      <c:ptCount val="4"/>
                      <c:pt idx="0">
                        <c:v>Basic pension</c:v>
                      </c:pt>
                      <c:pt idx="1">
                        <c:v>Other  pension</c:v>
                      </c:pt>
                      <c:pt idx="2">
                        <c:v>Retirement  pension</c:v>
                      </c:pt>
                      <c:pt idx="3">
                        <c:v> Senior Citizen Allowance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'18.2'!$AO$24:$AO$27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0</c:v>
                      </c:pt>
                      <c:pt idx="1">
                        <c:v>264.84195393999994</c:v>
                      </c:pt>
                      <c:pt idx="2">
                        <c:v>49.178627069999997</c:v>
                      </c:pt>
                      <c:pt idx="3">
                        <c:v>533.48253769000007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4ACB-4276-B2A7-EE61FC27565F}"/>
                  </c:ext>
                  <c:ext xmlns:c14="http://schemas.microsoft.com/office/drawing/2007/8/2/chart" uri="{6F2FDCE9-48DA-4B69-8628-5D25D57E5C99}">
                    <c14:invertSolidFillFmt>
                      <c14:spPr xmlns:c14="http://schemas.microsoft.com/office/drawing/2007/8/2/chart">
                        <a:solidFill>
                          <a:srgbClr val="FFFFFF"/>
                        </a:solidFill>
                      </c14:spPr>
                    </c14:invertSolidFillFmt>
                  </c:ext>
                </c:extLst>
              </c15:ser>
            </c15:filteredBarSeries>
          </c:ext>
        </c:extLst>
      </c:barChart>
      <c:catAx>
        <c:axId val="34831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/>
            </a:pPr>
            <a:endParaRPr lang="en-US"/>
          </a:p>
        </c:txPr>
        <c:crossAx val="348315648"/>
        <c:crosses val="autoZero"/>
        <c:auto val="1"/>
        <c:lblAlgn val="ctr"/>
        <c:lblOffset val="100"/>
        <c:noMultiLvlLbl val="1"/>
      </c:catAx>
      <c:valAx>
        <c:axId val="348315648"/>
        <c:scaling>
          <c:orientation val="minMax"/>
        </c:scaling>
        <c:delete val="0"/>
        <c:axPos val="l"/>
        <c:majorGridlines>
          <c:spPr>
            <a:ln>
              <a:solidFill>
                <a:srgbClr val="E5C9AD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/>
                </a:pPr>
                <a:r>
                  <a:rPr lang="en-US"/>
                  <a:t>In million MVR</a:t>
                </a:r>
              </a:p>
            </c:rich>
          </c:tx>
          <c:layout>
            <c:manualLayout>
              <c:xMode val="edge"/>
              <c:yMode val="edge"/>
              <c:x val="9.5238095238095247E-3"/>
              <c:y val="0.39679067966798098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/>
            </a:pPr>
            <a:endParaRPr lang="en-US"/>
          </a:p>
        </c:txPr>
        <c:crossAx val="348315256"/>
        <c:crossesAt val="1"/>
        <c:crossBetween val="between"/>
      </c:valAx>
      <c:spPr>
        <a:solidFill>
          <a:srgbClr val="FAF5F0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7198705161854768"/>
          <c:y val="0.2126960874076787"/>
          <c:w val="0.29567576552930885"/>
          <c:h val="9.7863333943722153E-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586808</xdr:colOff>
      <xdr:row>22</xdr:row>
      <xdr:rowOff>102053</xdr:rowOff>
    </xdr:from>
    <xdr:ext cx="6667500" cy="2978263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202407</xdr:colOff>
      <xdr:row>23</xdr:row>
      <xdr:rowOff>64294</xdr:rowOff>
    </xdr:from>
    <xdr:ext cx="4330473" cy="266700"/>
    <xdr:sp macro="" textlink="">
      <xdr:nvSpPr>
        <xdr:cNvPr id="3" name="Shape 3"/>
        <xdr:cNvSpPr txBox="1"/>
      </xdr:nvSpPr>
      <xdr:spPr>
        <a:xfrm>
          <a:off x="3264014" y="5566682"/>
          <a:ext cx="4330473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+mn-lt"/>
              <a:ea typeface="Consolas"/>
              <a:cs typeface="Consolas"/>
              <a:sym typeface="Consolas"/>
            </a:rPr>
            <a:t>Figure 18.4: Pension payments made under different schemes, 2017 - 2019</a:t>
          </a:r>
          <a:endParaRPr sz="1400">
            <a:latin typeface="+mn-l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latin typeface="+mn-lt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A285"/>
  <sheetViews>
    <sheetView tabSelected="1" view="pageBreakPreview" zoomScale="112" zoomScaleNormal="100" zoomScaleSheetLayoutView="112" workbookViewId="0">
      <selection activeCell="AC12" sqref="AC12"/>
    </sheetView>
  </sheetViews>
  <sheetFormatPr defaultColWidth="14.42578125" defaultRowHeight="15" customHeight="1" x14ac:dyDescent="0.25"/>
  <cols>
    <col min="1" max="1" width="9.7109375" style="2" customWidth="1"/>
    <col min="2" max="4" width="12" style="2" customWidth="1"/>
    <col min="5" max="5" width="12.5703125" style="2" hidden="1" customWidth="1"/>
    <col min="6" max="6" width="11.42578125" style="2" hidden="1" customWidth="1"/>
    <col min="7" max="7" width="0.28515625" style="2" customWidth="1"/>
    <col min="8" max="8" width="12.140625" style="2" hidden="1" customWidth="1"/>
    <col min="9" max="9" width="12" style="2" hidden="1" customWidth="1"/>
    <col min="10" max="12" width="12" style="2" customWidth="1"/>
    <col min="13" max="16" width="12.85546875" style="2" hidden="1" customWidth="1"/>
    <col min="17" max="17" width="12" style="2" hidden="1" customWidth="1"/>
    <col min="18" max="20" width="12" style="2" customWidth="1"/>
    <col min="21" max="21" width="12.85546875" style="2" hidden="1" customWidth="1"/>
    <col min="22" max="22" width="12" style="2" hidden="1" customWidth="1"/>
    <col min="23" max="23" width="8.140625" style="2" hidden="1" customWidth="1"/>
    <col min="24" max="24" width="12" style="2" hidden="1" customWidth="1"/>
    <col min="25" max="27" width="12" style="2" customWidth="1"/>
    <col min="28" max="28" width="14.42578125" style="2" customWidth="1"/>
    <col min="29" max="34" width="15.140625" style="2" customWidth="1"/>
    <col min="35" max="35" width="24.7109375" style="2" customWidth="1"/>
    <col min="36" max="36" width="17" style="2" customWidth="1"/>
    <col min="37" max="37" width="9.7109375" style="2" customWidth="1"/>
    <col min="38" max="39" width="9.85546875" style="2" customWidth="1"/>
    <col min="40" max="40" width="10.140625" style="2" customWidth="1"/>
    <col min="41" max="44" width="10" style="2" customWidth="1"/>
    <col min="45" max="49" width="11" style="2" customWidth="1"/>
    <col min="50" max="50" width="15.140625" style="2" customWidth="1"/>
    <col min="51" max="16384" width="14.42578125" style="2"/>
  </cols>
  <sheetData>
    <row r="1" spans="1:50" ht="20.25" customHeight="1" x14ac:dyDescent="0.25">
      <c r="A1" s="90" t="s">
        <v>44</v>
      </c>
      <c r="B1" s="77"/>
      <c r="C1" s="78"/>
      <c r="D1" s="77"/>
      <c r="E1" s="77"/>
      <c r="F1" s="77"/>
      <c r="G1" s="77"/>
      <c r="H1" s="77"/>
      <c r="I1" s="77"/>
      <c r="J1" s="77"/>
      <c r="K1" s="78"/>
      <c r="L1" s="77"/>
      <c r="M1" s="77"/>
      <c r="N1" s="77"/>
      <c r="O1" s="77"/>
      <c r="P1" s="77"/>
      <c r="Q1" s="77"/>
      <c r="R1" s="77"/>
      <c r="S1" s="77"/>
      <c r="T1" s="78"/>
      <c r="U1" s="77"/>
      <c r="V1" s="78"/>
      <c r="W1" s="77"/>
      <c r="X1" s="77"/>
      <c r="Y1" s="77"/>
      <c r="Z1" s="77"/>
      <c r="AA1" s="78"/>
      <c r="AB1" s="79"/>
      <c r="AC1" s="10"/>
      <c r="AD1" s="10"/>
      <c r="AE1" s="10"/>
      <c r="AF1" s="10"/>
      <c r="AG1" s="10"/>
      <c r="AH1" s="10"/>
      <c r="AI1" s="91"/>
      <c r="AJ1" s="77"/>
      <c r="AK1" s="79"/>
      <c r="AL1" s="1"/>
      <c r="AM1" s="1"/>
      <c r="AN1" s="1"/>
      <c r="AO1" s="1"/>
      <c r="AP1" s="1"/>
      <c r="AQ1" s="11"/>
      <c r="AR1" s="1"/>
      <c r="AS1" s="1"/>
      <c r="AT1" s="1"/>
      <c r="AU1" s="1"/>
      <c r="AV1" s="1"/>
      <c r="AW1" s="1"/>
      <c r="AX1" s="1"/>
    </row>
    <row r="2" spans="1:50" x14ac:dyDescent="0.25">
      <c r="A2" s="91" t="s">
        <v>43</v>
      </c>
      <c r="B2" s="77"/>
      <c r="C2" s="78"/>
      <c r="D2" s="77"/>
      <c r="E2" s="77"/>
      <c r="F2" s="77"/>
      <c r="G2" s="77"/>
      <c r="H2" s="77"/>
      <c r="I2" s="77"/>
      <c r="J2" s="77"/>
      <c r="K2" s="78"/>
      <c r="L2" s="77"/>
      <c r="M2" s="77"/>
      <c r="N2" s="77"/>
      <c r="O2" s="77"/>
      <c r="P2" s="77"/>
      <c r="Q2" s="77"/>
      <c r="R2" s="77"/>
      <c r="S2" s="77"/>
      <c r="T2" s="78"/>
      <c r="U2" s="77"/>
      <c r="V2" s="78"/>
      <c r="W2" s="77"/>
      <c r="X2" s="77"/>
      <c r="Y2" s="77"/>
      <c r="Z2" s="77"/>
      <c r="AA2" s="78"/>
      <c r="AB2" s="79"/>
      <c r="AC2" s="3"/>
      <c r="AD2" s="3"/>
      <c r="AE2" s="3"/>
      <c r="AF2" s="3"/>
      <c r="AG2" s="3"/>
      <c r="AH2" s="3"/>
      <c r="AI2" s="1"/>
      <c r="AJ2" s="12"/>
      <c r="AK2" s="12"/>
      <c r="AL2" s="12"/>
      <c r="AM2" s="12"/>
      <c r="AN2" s="12"/>
      <c r="AO2" s="13"/>
      <c r="AP2" s="13"/>
      <c r="AQ2" s="14"/>
      <c r="AR2" s="13"/>
      <c r="AS2" s="13"/>
      <c r="AT2" s="15"/>
      <c r="AU2" s="1"/>
      <c r="AV2" s="1"/>
      <c r="AW2" s="1"/>
      <c r="AX2" s="1"/>
    </row>
    <row r="3" spans="1:50" ht="17.25" customHeight="1" x14ac:dyDescent="0.25">
      <c r="A3" s="93" t="s">
        <v>0</v>
      </c>
      <c r="B3" s="77"/>
      <c r="C3" s="78"/>
      <c r="D3" s="77"/>
      <c r="E3" s="77"/>
      <c r="F3" s="77"/>
      <c r="G3" s="77"/>
      <c r="H3" s="77"/>
      <c r="I3" s="77"/>
      <c r="J3" s="77"/>
      <c r="K3" s="78"/>
      <c r="L3" s="77"/>
      <c r="M3" s="77"/>
      <c r="N3" s="77"/>
      <c r="O3" s="77"/>
      <c r="P3" s="77"/>
      <c r="Q3" s="77"/>
      <c r="R3" s="77"/>
      <c r="S3" s="77"/>
      <c r="T3" s="78"/>
      <c r="U3" s="77"/>
      <c r="V3" s="78"/>
      <c r="W3" s="77"/>
      <c r="X3" s="77"/>
      <c r="Y3" s="77"/>
      <c r="Z3" s="77"/>
      <c r="AA3" s="78"/>
      <c r="AB3" s="79"/>
      <c r="AC3" s="3"/>
      <c r="AD3" s="3"/>
      <c r="AE3" s="3"/>
      <c r="AF3" s="3"/>
      <c r="AG3" s="3"/>
      <c r="AH3" s="3"/>
      <c r="AI3" s="5"/>
      <c r="AJ3" s="16"/>
      <c r="AK3" s="16"/>
      <c r="AL3" s="16"/>
      <c r="AM3" s="16"/>
      <c r="AN3" s="16"/>
      <c r="AO3" s="17"/>
      <c r="AP3" s="17"/>
      <c r="AQ3" s="18"/>
      <c r="AR3" s="17"/>
      <c r="AS3" s="17"/>
      <c r="AT3" s="19"/>
      <c r="AU3" s="5"/>
      <c r="AV3" s="5"/>
      <c r="AW3" s="1"/>
      <c r="AX3" s="1"/>
    </row>
    <row r="4" spans="1:50" ht="1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2"/>
      <c r="AK4" s="12"/>
      <c r="AL4" s="12"/>
      <c r="AM4" s="12"/>
      <c r="AN4" s="12"/>
      <c r="AO4" s="13"/>
      <c r="AP4" s="13"/>
      <c r="AQ4" s="14"/>
      <c r="AR4" s="13"/>
      <c r="AS4" s="13"/>
      <c r="AT4" s="15"/>
      <c r="AU4" s="1"/>
      <c r="AV4" s="1"/>
      <c r="AW4" s="1"/>
      <c r="AX4" s="1"/>
    </row>
    <row r="5" spans="1:50" ht="17.25" customHeight="1" x14ac:dyDescent="0.25">
      <c r="A5" s="92" t="s">
        <v>1</v>
      </c>
      <c r="B5" s="95" t="s">
        <v>2</v>
      </c>
      <c r="C5" s="95"/>
      <c r="D5" s="103"/>
      <c r="E5" s="1"/>
      <c r="F5" s="20"/>
      <c r="G5" s="82" t="s">
        <v>3</v>
      </c>
      <c r="H5" s="83"/>
      <c r="I5" s="83"/>
      <c r="J5" s="83"/>
      <c r="K5" s="84"/>
      <c r="L5" s="85"/>
      <c r="M5" s="1"/>
      <c r="N5" s="20"/>
      <c r="O5" s="98" t="s">
        <v>4</v>
      </c>
      <c r="P5" s="99"/>
      <c r="Q5" s="99"/>
      <c r="R5" s="99"/>
      <c r="S5" s="99"/>
      <c r="T5" s="100"/>
      <c r="U5" s="94" t="s">
        <v>5</v>
      </c>
      <c r="V5" s="95"/>
      <c r="W5" s="95"/>
      <c r="X5" s="95"/>
      <c r="Y5" s="95"/>
      <c r="Z5" s="95"/>
      <c r="AA5" s="95"/>
      <c r="AB5" s="80" t="s">
        <v>6</v>
      </c>
      <c r="AC5" s="4"/>
      <c r="AD5" s="4"/>
      <c r="AE5" s="4"/>
      <c r="AF5" s="4"/>
      <c r="AG5" s="4"/>
      <c r="AH5" s="4"/>
      <c r="AI5" s="1"/>
      <c r="AJ5" s="12"/>
      <c r="AK5" s="12"/>
      <c r="AL5" s="12"/>
      <c r="AM5" s="12"/>
      <c r="AN5" s="12"/>
      <c r="AO5" s="13"/>
      <c r="AP5" s="13"/>
      <c r="AQ5" s="14"/>
      <c r="AR5" s="13"/>
      <c r="AS5" s="13"/>
      <c r="AT5" s="15"/>
      <c r="AU5" s="1"/>
      <c r="AV5" s="1"/>
      <c r="AW5" s="1"/>
      <c r="AX5" s="1"/>
    </row>
    <row r="6" spans="1:50" ht="15" customHeight="1" x14ac:dyDescent="0.25">
      <c r="A6" s="75"/>
      <c r="B6" s="102" t="s">
        <v>8</v>
      </c>
      <c r="C6" s="102"/>
      <c r="D6" s="104"/>
      <c r="E6" s="22"/>
      <c r="F6" s="21"/>
      <c r="G6" s="86" t="s">
        <v>9</v>
      </c>
      <c r="H6" s="87"/>
      <c r="I6" s="87"/>
      <c r="J6" s="87"/>
      <c r="K6" s="88"/>
      <c r="L6" s="89"/>
      <c r="M6" s="22"/>
      <c r="N6" s="21"/>
      <c r="O6" s="96" t="s">
        <v>10</v>
      </c>
      <c r="P6" s="97"/>
      <c r="Q6" s="97"/>
      <c r="R6" s="97"/>
      <c r="S6" s="97"/>
      <c r="T6" s="101"/>
      <c r="U6" s="96" t="s">
        <v>11</v>
      </c>
      <c r="V6" s="97"/>
      <c r="W6" s="97"/>
      <c r="X6" s="97"/>
      <c r="Y6" s="97"/>
      <c r="Z6" s="97"/>
      <c r="AA6" s="97"/>
      <c r="AB6" s="75"/>
      <c r="AC6" s="4"/>
      <c r="AD6" s="4"/>
      <c r="AE6" s="4"/>
      <c r="AF6" s="4"/>
      <c r="AG6" s="4"/>
      <c r="AH6" s="4"/>
      <c r="AI6" s="1"/>
      <c r="AJ6" s="12"/>
      <c r="AK6" s="12"/>
      <c r="AL6" s="12"/>
      <c r="AM6" s="12"/>
      <c r="AN6" s="12"/>
      <c r="AO6" s="13"/>
      <c r="AP6" s="13"/>
      <c r="AQ6" s="14"/>
      <c r="AR6" s="13"/>
      <c r="AS6" s="13"/>
      <c r="AT6" s="15"/>
      <c r="AU6" s="1"/>
      <c r="AV6" s="1"/>
      <c r="AW6" s="1"/>
      <c r="AX6" s="1"/>
    </row>
    <row r="7" spans="1:50" ht="18" customHeight="1" x14ac:dyDescent="0.25">
      <c r="A7" s="76"/>
      <c r="B7" s="6">
        <v>2017</v>
      </c>
      <c r="C7" s="6">
        <v>2018</v>
      </c>
      <c r="D7" s="6">
        <v>2019</v>
      </c>
      <c r="E7" s="7">
        <v>2012</v>
      </c>
      <c r="F7" s="6">
        <v>2013</v>
      </c>
      <c r="G7" s="7">
        <v>2014</v>
      </c>
      <c r="H7" s="6">
        <v>2015</v>
      </c>
      <c r="I7" s="6">
        <v>2016</v>
      </c>
      <c r="J7" s="6">
        <v>2017</v>
      </c>
      <c r="K7" s="60">
        <v>2018</v>
      </c>
      <c r="L7" s="8">
        <v>2019</v>
      </c>
      <c r="M7" s="6">
        <v>2012</v>
      </c>
      <c r="N7" s="6">
        <v>2013</v>
      </c>
      <c r="O7" s="6">
        <v>2014</v>
      </c>
      <c r="P7" s="6">
        <v>2015</v>
      </c>
      <c r="Q7" s="6">
        <v>2016</v>
      </c>
      <c r="R7" s="6">
        <v>2017</v>
      </c>
      <c r="S7" s="60">
        <v>2018</v>
      </c>
      <c r="T7" s="8">
        <v>2019</v>
      </c>
      <c r="U7" s="8">
        <v>2014</v>
      </c>
      <c r="W7" s="6">
        <v>2015</v>
      </c>
      <c r="X7" s="6">
        <v>2016</v>
      </c>
      <c r="Y7" s="6">
        <v>2017</v>
      </c>
      <c r="Z7" s="6">
        <v>2018</v>
      </c>
      <c r="AA7" s="60">
        <v>2019</v>
      </c>
      <c r="AB7" s="76"/>
      <c r="AC7" s="4"/>
      <c r="AD7" s="4"/>
      <c r="AE7" s="4"/>
      <c r="AF7" s="4"/>
      <c r="AG7" s="4"/>
      <c r="AH7" s="4"/>
      <c r="AI7" s="1"/>
      <c r="AJ7" s="12"/>
      <c r="AK7" s="12"/>
      <c r="AL7" s="12"/>
      <c r="AM7" s="12"/>
      <c r="AN7" s="12"/>
      <c r="AO7" s="13"/>
      <c r="AP7" s="13"/>
      <c r="AQ7" s="14"/>
      <c r="AR7" s="13"/>
      <c r="AS7" s="13"/>
      <c r="AT7" s="15"/>
      <c r="AU7" s="1"/>
      <c r="AV7" s="1"/>
      <c r="AW7" s="1"/>
      <c r="AX7" s="1"/>
    </row>
    <row r="8" spans="1:50" ht="21.75" customHeight="1" x14ac:dyDescent="0.25">
      <c r="A8" s="23" t="s">
        <v>12</v>
      </c>
      <c r="B8" s="25">
        <f t="shared" ref="B8:Z8" si="0">SUM(B9:B20)</f>
        <v>435251368.24000001</v>
      </c>
      <c r="C8" s="25">
        <f t="shared" ref="C8" si="1">SUM(C9:C20)</f>
        <v>443152107.85000008</v>
      </c>
      <c r="D8" s="25">
        <f t="shared" si="0"/>
        <v>903984286.05999994</v>
      </c>
      <c r="E8" s="26">
        <f t="shared" si="0"/>
        <v>21452251.599999998</v>
      </c>
      <c r="F8" s="25">
        <f t="shared" si="0"/>
        <v>25887906.539999999</v>
      </c>
      <c r="G8" s="27">
        <f t="shared" si="0"/>
        <v>35973669.200000003</v>
      </c>
      <c r="H8" s="25">
        <f t="shared" si="0"/>
        <v>48839669.629999995</v>
      </c>
      <c r="I8" s="25">
        <f t="shared" si="0"/>
        <v>49178627.07</v>
      </c>
      <c r="J8" s="25">
        <f t="shared" si="0"/>
        <v>54585241.880000003</v>
      </c>
      <c r="K8" s="63">
        <f t="shared" ref="K8" si="2">SUM(K9:K20)</f>
        <v>58618929.450000003</v>
      </c>
      <c r="L8" s="74">
        <f t="shared" si="0"/>
        <v>90949201.129999995</v>
      </c>
      <c r="M8" s="24">
        <f t="shared" si="0"/>
        <v>240701239.62</v>
      </c>
      <c r="N8" s="25">
        <f t="shared" si="0"/>
        <v>244384239.25999996</v>
      </c>
      <c r="O8" s="25">
        <f t="shared" si="0"/>
        <v>259554054.59000003</v>
      </c>
      <c r="P8" s="25">
        <f t="shared" si="0"/>
        <v>260118262.70999998</v>
      </c>
      <c r="Q8" s="25">
        <f t="shared" si="0"/>
        <v>264841953.93999997</v>
      </c>
      <c r="R8" s="25">
        <f t="shared" si="0"/>
        <v>270657227.73000002</v>
      </c>
      <c r="S8" s="63">
        <f t="shared" si="0"/>
        <v>280560577.88999999</v>
      </c>
      <c r="T8" s="28">
        <f t="shared" ref="T8" si="3">SUM(T9:T20)</f>
        <v>297502868.85000002</v>
      </c>
      <c r="U8" s="66">
        <f t="shared" si="0"/>
        <v>471311711.34999996</v>
      </c>
      <c r="W8" s="24">
        <f t="shared" si="0"/>
        <v>524547328.45999992</v>
      </c>
      <c r="X8" s="24">
        <f t="shared" si="0"/>
        <v>533482537.69000006</v>
      </c>
      <c r="Y8" s="24">
        <f t="shared" si="0"/>
        <v>539036947.02999997</v>
      </c>
      <c r="Z8" s="24">
        <f t="shared" si="0"/>
        <v>550823763.64999998</v>
      </c>
      <c r="AA8" s="24">
        <f>SUM(AA9:AA20)</f>
        <v>93669343.139999986</v>
      </c>
      <c r="AB8" s="29" t="s">
        <v>7</v>
      </c>
      <c r="AC8" s="29"/>
      <c r="AD8" s="29"/>
      <c r="AE8" s="29"/>
      <c r="AF8" s="29"/>
      <c r="AG8" s="29"/>
      <c r="AH8" s="29"/>
      <c r="AI8" s="1"/>
      <c r="AJ8" s="12"/>
      <c r="AK8" s="12"/>
      <c r="AL8" s="12"/>
      <c r="AM8" s="12"/>
      <c r="AN8" s="12"/>
      <c r="AO8" s="13"/>
      <c r="AP8" s="13"/>
      <c r="AQ8" s="14"/>
      <c r="AR8" s="13"/>
      <c r="AS8" s="13"/>
      <c r="AT8" s="15"/>
      <c r="AU8" s="1"/>
      <c r="AV8" s="1"/>
      <c r="AW8" s="1"/>
      <c r="AX8" s="1"/>
    </row>
    <row r="9" spans="1:50" ht="21.75" customHeight="1" x14ac:dyDescent="0.25">
      <c r="A9" s="61" t="s">
        <v>13</v>
      </c>
      <c r="B9" s="30">
        <v>35968949.509999998</v>
      </c>
      <c r="C9" s="31">
        <v>36747189</v>
      </c>
      <c r="D9" s="68">
        <v>37367611.450000003</v>
      </c>
      <c r="E9" s="32">
        <v>495363.58</v>
      </c>
      <c r="F9" s="30">
        <v>1151046.49</v>
      </c>
      <c r="G9" s="32">
        <v>3333784.74</v>
      </c>
      <c r="H9" s="30">
        <v>2869612.88</v>
      </c>
      <c r="I9" s="30">
        <v>5056147.95</v>
      </c>
      <c r="J9" s="30">
        <v>3393007.22</v>
      </c>
      <c r="K9" s="64">
        <v>4966924.1900000004</v>
      </c>
      <c r="L9" s="69">
        <v>4881882.46</v>
      </c>
      <c r="M9" s="30">
        <v>19009622.079999998</v>
      </c>
      <c r="N9" s="30">
        <v>27084863.539999999</v>
      </c>
      <c r="O9" s="30">
        <v>25311700.800000001</v>
      </c>
      <c r="P9" s="30">
        <v>26150112.129999999</v>
      </c>
      <c r="Q9" s="30">
        <v>23053097.239999998</v>
      </c>
      <c r="R9" s="30">
        <v>21353747.300000001</v>
      </c>
      <c r="S9" s="64">
        <v>22997843.920000002</v>
      </c>
      <c r="T9" s="69">
        <v>23408249.120000001</v>
      </c>
      <c r="U9" s="64">
        <v>0</v>
      </c>
      <c r="W9" s="33">
        <v>43131466.32</v>
      </c>
      <c r="X9" s="33">
        <v>44468675.030000001</v>
      </c>
      <c r="Y9" s="33">
        <v>44461770.149999999</v>
      </c>
      <c r="Z9" s="34">
        <v>45577506.369999997</v>
      </c>
      <c r="AA9" s="70">
        <v>46596972.479999997</v>
      </c>
      <c r="AB9" s="35" t="s">
        <v>14</v>
      </c>
      <c r="AC9" s="35"/>
      <c r="AD9" s="35"/>
      <c r="AE9" s="36"/>
      <c r="AF9" s="35"/>
      <c r="AG9" s="35"/>
      <c r="AH9" s="35"/>
      <c r="AI9" s="37"/>
      <c r="AJ9" s="38"/>
      <c r="AK9" s="12"/>
      <c r="AL9" s="12"/>
      <c r="AM9" s="12"/>
      <c r="AN9" s="1"/>
      <c r="AO9" s="13"/>
      <c r="AP9" s="13"/>
      <c r="AQ9" s="14"/>
      <c r="AR9" s="13"/>
      <c r="AS9" s="13"/>
      <c r="AT9" s="15"/>
      <c r="AU9" s="1"/>
      <c r="AV9" s="1"/>
      <c r="AW9" s="1"/>
      <c r="AX9" s="1"/>
    </row>
    <row r="10" spans="1:50" ht="21.75" customHeight="1" x14ac:dyDescent="0.25">
      <c r="A10" s="61" t="s">
        <v>15</v>
      </c>
      <c r="B10" s="30">
        <v>36236211.920000002</v>
      </c>
      <c r="C10" s="31">
        <v>37048460.609999999</v>
      </c>
      <c r="D10" s="68">
        <v>37717369.780000001</v>
      </c>
      <c r="E10" s="32">
        <v>2641610.33</v>
      </c>
      <c r="F10" s="30">
        <v>1295097.28</v>
      </c>
      <c r="G10" s="32">
        <v>2690826.28</v>
      </c>
      <c r="H10" s="30">
        <v>3359620.91</v>
      </c>
      <c r="I10" s="30">
        <v>3751901.32</v>
      </c>
      <c r="J10" s="30">
        <v>2997796.21</v>
      </c>
      <c r="K10" s="64">
        <v>4755147.32</v>
      </c>
      <c r="L10" s="69">
        <v>4799866.7699999996</v>
      </c>
      <c r="M10" s="30">
        <v>21786716.879999999</v>
      </c>
      <c r="N10" s="30">
        <v>19943936.890000001</v>
      </c>
      <c r="O10" s="30">
        <v>23169187.48</v>
      </c>
      <c r="P10" s="30">
        <v>22405366.890000001</v>
      </c>
      <c r="Q10" s="30">
        <v>21518501.73</v>
      </c>
      <c r="R10" s="30">
        <v>24529736.510000002</v>
      </c>
      <c r="S10" s="64">
        <v>25982204.170000002</v>
      </c>
      <c r="T10" s="69">
        <v>28786380.350000001</v>
      </c>
      <c r="U10" s="64">
        <v>42210402.700000003</v>
      </c>
      <c r="W10" s="33">
        <v>43254914.210000001</v>
      </c>
      <c r="X10" s="33">
        <v>44633060.780000001</v>
      </c>
      <c r="Y10" s="33">
        <v>44810914.170000002</v>
      </c>
      <c r="Z10" s="34">
        <v>46034387.5</v>
      </c>
      <c r="AA10" s="70">
        <v>47072370.659999996</v>
      </c>
      <c r="AB10" s="35" t="s">
        <v>16</v>
      </c>
      <c r="AC10" s="35"/>
      <c r="AD10" s="35"/>
      <c r="AE10" s="36"/>
      <c r="AF10" s="35"/>
      <c r="AG10" s="35"/>
      <c r="AH10" s="35"/>
      <c r="AI10" s="1"/>
      <c r="AJ10" s="38"/>
      <c r="AK10" s="12"/>
      <c r="AL10" s="12"/>
      <c r="AM10" s="12"/>
      <c r="AN10" s="1"/>
      <c r="AO10" s="13"/>
      <c r="AP10" s="13"/>
      <c r="AQ10" s="14"/>
      <c r="AR10" s="13"/>
      <c r="AS10" s="13"/>
      <c r="AT10" s="15"/>
      <c r="AU10" s="1"/>
      <c r="AV10" s="1"/>
      <c r="AW10" s="1"/>
      <c r="AX10" s="1"/>
    </row>
    <row r="11" spans="1:50" ht="21.75" customHeight="1" x14ac:dyDescent="0.25">
      <c r="A11" s="61" t="s">
        <v>17</v>
      </c>
      <c r="B11" s="30">
        <v>36116743.340000004</v>
      </c>
      <c r="C11" s="31">
        <v>36970764.030000001</v>
      </c>
      <c r="D11" s="68">
        <v>82659651.840000004</v>
      </c>
      <c r="E11" s="32">
        <v>1964141.55</v>
      </c>
      <c r="F11" s="30">
        <v>1035616.01</v>
      </c>
      <c r="G11" s="32">
        <v>3356711.13</v>
      </c>
      <c r="H11" s="30">
        <v>4080271.26</v>
      </c>
      <c r="I11" s="30">
        <v>3369545.15</v>
      </c>
      <c r="J11" s="30">
        <v>4636382.8099999996</v>
      </c>
      <c r="K11" s="64">
        <v>6350919.9199999999</v>
      </c>
      <c r="L11" s="69">
        <v>9185687.6699999999</v>
      </c>
      <c r="M11" s="30">
        <v>20394069.57</v>
      </c>
      <c r="N11" s="30">
        <v>18946228.300000001</v>
      </c>
      <c r="O11" s="30">
        <v>21310307.780000001</v>
      </c>
      <c r="P11" s="30">
        <v>22893114.670000002</v>
      </c>
      <c r="Q11" s="30">
        <v>21786624.140000001</v>
      </c>
      <c r="R11" s="30">
        <v>20762005.899999999</v>
      </c>
      <c r="S11" s="64">
        <v>23647457.32</v>
      </c>
      <c r="T11" s="69">
        <v>21772901.25</v>
      </c>
      <c r="U11" s="64">
        <v>42833238.119999997</v>
      </c>
      <c r="W11" s="33">
        <v>44149568.780000001</v>
      </c>
      <c r="X11" s="33">
        <v>44537862.530000001</v>
      </c>
      <c r="Y11" s="33">
        <v>44721757.189999998</v>
      </c>
      <c r="Z11" s="34">
        <v>45909139.420000002</v>
      </c>
      <c r="AA11" s="70">
        <v>0</v>
      </c>
      <c r="AB11" s="35" t="s">
        <v>18</v>
      </c>
      <c r="AC11" s="35"/>
      <c r="AD11" s="35"/>
      <c r="AE11" s="36"/>
      <c r="AF11" s="35"/>
      <c r="AG11" s="35"/>
      <c r="AH11" s="35"/>
      <c r="AI11" s="1"/>
      <c r="AJ11" s="38"/>
      <c r="AK11" s="12"/>
      <c r="AL11" s="12"/>
      <c r="AM11" s="12"/>
      <c r="AN11" s="12"/>
      <c r="AO11" s="13"/>
      <c r="AP11" s="13"/>
      <c r="AQ11" s="14"/>
      <c r="AR11" s="13"/>
      <c r="AS11" s="13"/>
      <c r="AT11" s="15"/>
      <c r="AU11" s="1"/>
      <c r="AV11" s="1"/>
      <c r="AW11" s="1"/>
      <c r="AX11" s="1"/>
    </row>
    <row r="12" spans="1:50" ht="21.75" customHeight="1" x14ac:dyDescent="0.25">
      <c r="A12" s="61" t="s">
        <v>19</v>
      </c>
      <c r="B12" s="30">
        <v>36230750.740000002</v>
      </c>
      <c r="C12" s="31">
        <v>37007732.969999999</v>
      </c>
      <c r="D12" s="68">
        <v>82729665.810000002</v>
      </c>
      <c r="E12" s="32">
        <v>1339288.5</v>
      </c>
      <c r="F12" s="30">
        <v>1307379.8500000001</v>
      </c>
      <c r="G12" s="32">
        <v>2347830.7599999998</v>
      </c>
      <c r="H12" s="30">
        <v>3657817.89</v>
      </c>
      <c r="I12" s="30">
        <v>4183948.61</v>
      </c>
      <c r="J12" s="30">
        <v>6677343.46</v>
      </c>
      <c r="K12" s="64">
        <v>3639247.26</v>
      </c>
      <c r="L12" s="69">
        <v>8156775.1699999999</v>
      </c>
      <c r="M12" s="30">
        <v>24106647.079999998</v>
      </c>
      <c r="N12" s="30">
        <v>20630305.239999998</v>
      </c>
      <c r="O12" s="30">
        <v>20403653.850000001</v>
      </c>
      <c r="P12" s="30">
        <v>20138268.329999998</v>
      </c>
      <c r="Q12" s="30">
        <v>22144329.760000002</v>
      </c>
      <c r="R12" s="30">
        <v>24685532.059999999</v>
      </c>
      <c r="S12" s="64">
        <v>23186276.129999999</v>
      </c>
      <c r="T12" s="69">
        <v>25267956.949999999</v>
      </c>
      <c r="U12" s="64">
        <v>43089362.960000001</v>
      </c>
      <c r="W12" s="33">
        <v>43619940.25</v>
      </c>
      <c r="X12" s="33">
        <v>44571685.759999998</v>
      </c>
      <c r="Y12" s="33">
        <v>44880317.399999999</v>
      </c>
      <c r="Z12" s="34">
        <v>45996533.189999998</v>
      </c>
      <c r="AA12" s="70">
        <v>0</v>
      </c>
      <c r="AB12" s="35" t="s">
        <v>20</v>
      </c>
      <c r="AC12" s="35"/>
      <c r="AD12" s="35"/>
      <c r="AE12" s="36"/>
      <c r="AF12" s="35"/>
      <c r="AG12" s="35"/>
      <c r="AH12" s="35"/>
      <c r="AI12" s="1"/>
      <c r="AJ12" s="38"/>
      <c r="AK12" s="12"/>
      <c r="AL12" s="12"/>
      <c r="AM12" s="12"/>
      <c r="AN12" s="12"/>
      <c r="AO12" s="13"/>
      <c r="AP12" s="13"/>
      <c r="AQ12" s="14"/>
      <c r="AR12" s="13"/>
      <c r="AS12" s="13"/>
      <c r="AT12" s="15"/>
      <c r="AU12" s="1"/>
      <c r="AV12" s="1"/>
      <c r="AW12" s="1"/>
      <c r="AX12" s="1"/>
    </row>
    <row r="13" spans="1:50" ht="21.75" customHeight="1" x14ac:dyDescent="0.25">
      <c r="A13" s="61" t="s">
        <v>21</v>
      </c>
      <c r="B13" s="30">
        <v>36355611.409999996</v>
      </c>
      <c r="C13" s="31">
        <v>36938771.509999998</v>
      </c>
      <c r="D13" s="68">
        <v>82872266.040000007</v>
      </c>
      <c r="E13" s="32">
        <v>1215734.1599999999</v>
      </c>
      <c r="F13" s="30">
        <v>2078811.7</v>
      </c>
      <c r="G13" s="32">
        <v>2585483.37</v>
      </c>
      <c r="H13" s="30">
        <v>3167794.24</v>
      </c>
      <c r="I13" s="30">
        <v>3487923.03</v>
      </c>
      <c r="J13" s="30">
        <v>5085268.92</v>
      </c>
      <c r="K13" s="64">
        <v>3884879.53</v>
      </c>
      <c r="L13" s="69">
        <v>7823514.8600000003</v>
      </c>
      <c r="M13" s="30">
        <v>20547997.280000001</v>
      </c>
      <c r="N13" s="30">
        <v>20270298.870000001</v>
      </c>
      <c r="O13" s="30">
        <v>25011795.809999999</v>
      </c>
      <c r="P13" s="30">
        <v>23579889.43</v>
      </c>
      <c r="Q13" s="30">
        <v>23541403.390000001</v>
      </c>
      <c r="R13" s="30">
        <v>22403673.059999999</v>
      </c>
      <c r="S13" s="64">
        <v>24211040.039999999</v>
      </c>
      <c r="T13" s="69">
        <v>22562985.719999999</v>
      </c>
      <c r="U13" s="64">
        <v>42951893.25</v>
      </c>
      <c r="W13" s="33">
        <v>43724982.609999999</v>
      </c>
      <c r="X13" s="33">
        <v>44559908.899999999</v>
      </c>
      <c r="Y13" s="33">
        <v>45031827.07</v>
      </c>
      <c r="Z13" s="34">
        <v>45905014</v>
      </c>
      <c r="AA13" s="70">
        <v>0</v>
      </c>
      <c r="AB13" s="35" t="s">
        <v>22</v>
      </c>
      <c r="AC13" s="35"/>
      <c r="AD13" s="35"/>
      <c r="AE13" s="35"/>
      <c r="AF13" s="35"/>
      <c r="AG13" s="35"/>
      <c r="AH13" s="35"/>
      <c r="AI13" s="1"/>
      <c r="AJ13" s="38"/>
      <c r="AK13" s="12"/>
      <c r="AL13" s="12"/>
      <c r="AM13" s="12"/>
      <c r="AN13" s="12"/>
      <c r="AO13" s="13"/>
      <c r="AP13" s="13"/>
      <c r="AQ13" s="14"/>
      <c r="AR13" s="13"/>
      <c r="AS13" s="13"/>
      <c r="AT13" s="15"/>
      <c r="AU13" s="1"/>
      <c r="AV13" s="1"/>
      <c r="AW13" s="1"/>
      <c r="AX13" s="1"/>
    </row>
    <row r="14" spans="1:50" ht="21.75" customHeight="1" x14ac:dyDescent="0.25">
      <c r="A14" s="61" t="s">
        <v>23</v>
      </c>
      <c r="B14" s="30">
        <v>36298219.840000004</v>
      </c>
      <c r="C14" s="31">
        <v>36925696.890000001</v>
      </c>
      <c r="D14" s="68">
        <v>82855364.069999993</v>
      </c>
      <c r="E14" s="32">
        <v>3534981.49</v>
      </c>
      <c r="F14" s="30">
        <v>3303174.44</v>
      </c>
      <c r="G14" s="32">
        <v>3069467.57</v>
      </c>
      <c r="H14" s="30">
        <v>2571052.06</v>
      </c>
      <c r="I14" s="30">
        <v>4518197.97</v>
      </c>
      <c r="J14" s="30">
        <v>3981105.07</v>
      </c>
      <c r="K14" s="64">
        <v>5207816.67</v>
      </c>
      <c r="L14" s="69">
        <v>8322492.2300000004</v>
      </c>
      <c r="M14" s="30">
        <v>18337900.530000001</v>
      </c>
      <c r="N14" s="30">
        <v>20376029.489999998</v>
      </c>
      <c r="O14" s="30">
        <v>19985113.239999998</v>
      </c>
      <c r="P14" s="30">
        <v>20098179.469999999</v>
      </c>
      <c r="Q14" s="30">
        <v>21892976.16</v>
      </c>
      <c r="R14" s="30">
        <v>20519433.440000001</v>
      </c>
      <c r="S14" s="64">
        <v>22605156.52</v>
      </c>
      <c r="T14" s="69">
        <v>24962914.370000001</v>
      </c>
      <c r="U14" s="64">
        <v>42755542.670000002</v>
      </c>
      <c r="W14" s="33">
        <v>43737662.259999998</v>
      </c>
      <c r="X14" s="33">
        <v>44460131.060000002</v>
      </c>
      <c r="Y14" s="33">
        <v>44946197.149999999</v>
      </c>
      <c r="Z14" s="34">
        <v>45901185.25</v>
      </c>
      <c r="AA14" s="70">
        <v>0</v>
      </c>
      <c r="AB14" s="35" t="s">
        <v>24</v>
      </c>
      <c r="AC14" s="35"/>
      <c r="AD14" s="35"/>
      <c r="AE14" s="35"/>
      <c r="AF14" s="35"/>
      <c r="AG14" s="35"/>
      <c r="AH14" s="35"/>
      <c r="AI14" s="1"/>
      <c r="AJ14" s="38"/>
      <c r="AK14" s="12"/>
      <c r="AL14" s="12"/>
      <c r="AM14" s="12"/>
      <c r="AN14" s="12"/>
      <c r="AO14" s="13"/>
      <c r="AP14" s="13"/>
      <c r="AQ14" s="14"/>
      <c r="AR14" s="13"/>
      <c r="AS14" s="13"/>
      <c r="AT14" s="15"/>
      <c r="AU14" s="1"/>
      <c r="AV14" s="1"/>
      <c r="AW14" s="1"/>
      <c r="AX14" s="1"/>
    </row>
    <row r="15" spans="1:50" ht="21.75" customHeight="1" x14ac:dyDescent="0.25">
      <c r="A15" s="61" t="s">
        <v>25</v>
      </c>
      <c r="B15" s="30">
        <v>36318836.100000001</v>
      </c>
      <c r="C15" s="31">
        <v>36963420.649999999</v>
      </c>
      <c r="D15" s="68">
        <v>82876358.700000003</v>
      </c>
      <c r="E15" s="32">
        <v>1519284.65</v>
      </c>
      <c r="F15" s="30">
        <v>1333414.57</v>
      </c>
      <c r="G15" s="32">
        <v>2042202.73</v>
      </c>
      <c r="H15" s="30">
        <v>2344401.7000000002</v>
      </c>
      <c r="I15" s="30">
        <v>2699440.83</v>
      </c>
      <c r="J15" s="30">
        <v>5261600.0999999996</v>
      </c>
      <c r="K15" s="64">
        <v>5418440.29</v>
      </c>
      <c r="L15" s="69">
        <v>7757548.4100000001</v>
      </c>
      <c r="M15" s="30">
        <v>19283504.379999999</v>
      </c>
      <c r="N15" s="30">
        <v>19964302.440000001</v>
      </c>
      <c r="O15" s="30">
        <v>21626914.359999999</v>
      </c>
      <c r="P15" s="30">
        <v>21660890.57</v>
      </c>
      <c r="Q15" s="30">
        <v>21128570.030000001</v>
      </c>
      <c r="R15" s="30">
        <v>24752976.48</v>
      </c>
      <c r="S15" s="64">
        <v>21475970.510000002</v>
      </c>
      <c r="T15" s="69">
        <v>23811099.420000002</v>
      </c>
      <c r="U15" s="64">
        <v>43020315.149999999</v>
      </c>
      <c r="W15" s="33">
        <v>43752500.329999998</v>
      </c>
      <c r="X15" s="33">
        <v>44393636.399999999</v>
      </c>
      <c r="Y15" s="33">
        <v>44989173.789999999</v>
      </c>
      <c r="Z15" s="34">
        <v>45986715.799999997</v>
      </c>
      <c r="AA15" s="70">
        <v>0</v>
      </c>
      <c r="AB15" s="35" t="s">
        <v>26</v>
      </c>
      <c r="AC15" s="35"/>
      <c r="AD15" s="35"/>
      <c r="AE15" s="35"/>
      <c r="AF15" s="35"/>
      <c r="AG15" s="35"/>
      <c r="AH15" s="35"/>
      <c r="AI15" s="1"/>
      <c r="AJ15" s="38"/>
      <c r="AK15" s="12"/>
      <c r="AL15" s="12"/>
      <c r="AM15" s="12"/>
      <c r="AN15" s="12"/>
      <c r="AO15" s="13"/>
      <c r="AP15" s="13"/>
      <c r="AQ15" s="14"/>
      <c r="AR15" s="13"/>
      <c r="AS15" s="13"/>
      <c r="AT15" s="15"/>
      <c r="AU15" s="1"/>
      <c r="AV15" s="1"/>
      <c r="AW15" s="1"/>
      <c r="AX15" s="1"/>
    </row>
    <row r="16" spans="1:50" ht="21.75" customHeight="1" x14ac:dyDescent="0.25">
      <c r="A16" s="61" t="s">
        <v>27</v>
      </c>
      <c r="B16" s="30">
        <v>36412397.18</v>
      </c>
      <c r="C16" s="31">
        <v>36987685.469999999</v>
      </c>
      <c r="D16" s="68">
        <v>82969241.530000001</v>
      </c>
      <c r="E16" s="32">
        <v>916177.57</v>
      </c>
      <c r="F16" s="30">
        <v>3627198.68</v>
      </c>
      <c r="G16" s="32">
        <v>2588532.9900000002</v>
      </c>
      <c r="H16" s="30">
        <v>5470143.8399999999</v>
      </c>
      <c r="I16" s="30">
        <v>2919856.3</v>
      </c>
      <c r="J16" s="30">
        <v>5162412.24</v>
      </c>
      <c r="K16" s="64">
        <v>4193156.14</v>
      </c>
      <c r="L16" s="69">
        <v>7957664.3899999997</v>
      </c>
      <c r="M16" s="30">
        <v>20570070.73</v>
      </c>
      <c r="N16" s="30">
        <v>18948103.859999999</v>
      </c>
      <c r="O16" s="30">
        <v>20233894.109999999</v>
      </c>
      <c r="P16" s="30">
        <v>22064482.57</v>
      </c>
      <c r="Q16" s="30">
        <v>21944891.600000001</v>
      </c>
      <c r="R16" s="30">
        <v>22454599.140000001</v>
      </c>
      <c r="S16" s="64">
        <v>23526425.82</v>
      </c>
      <c r="T16" s="69">
        <v>24308700.02</v>
      </c>
      <c r="U16" s="64">
        <v>42960311.329999998</v>
      </c>
      <c r="W16" s="33">
        <v>43870459</v>
      </c>
      <c r="X16" s="33">
        <v>44528204.109999999</v>
      </c>
      <c r="Y16" s="33">
        <v>45041925.409999996</v>
      </c>
      <c r="Z16" s="34">
        <v>46020459.649999999</v>
      </c>
      <c r="AA16" s="70">
        <v>0</v>
      </c>
      <c r="AB16" s="35" t="s">
        <v>28</v>
      </c>
      <c r="AC16" s="35"/>
      <c r="AD16" s="35"/>
      <c r="AE16" s="35"/>
      <c r="AF16" s="35"/>
      <c r="AG16" s="35"/>
      <c r="AH16" s="35"/>
      <c r="AI16" s="1"/>
      <c r="AJ16" s="38"/>
      <c r="AK16" s="12"/>
      <c r="AL16" s="12"/>
      <c r="AM16" s="12"/>
      <c r="AN16" s="12"/>
      <c r="AO16" s="13"/>
      <c r="AP16" s="13"/>
      <c r="AQ16" s="14"/>
      <c r="AR16" s="13"/>
      <c r="AS16" s="13"/>
      <c r="AT16" s="15"/>
      <c r="AU16" s="1"/>
      <c r="AV16" s="1"/>
      <c r="AW16" s="1"/>
      <c r="AX16" s="1"/>
    </row>
    <row r="17" spans="1:53" ht="21.75" customHeight="1" x14ac:dyDescent="0.25">
      <c r="A17" s="61" t="s">
        <v>29</v>
      </c>
      <c r="B17" s="30">
        <v>36446247.899999999</v>
      </c>
      <c r="C17" s="31">
        <v>36970532.670000002</v>
      </c>
      <c r="D17" s="68">
        <v>82971084.75</v>
      </c>
      <c r="E17" s="32">
        <v>2685645.5</v>
      </c>
      <c r="F17" s="30">
        <v>2986912.9</v>
      </c>
      <c r="G17" s="32">
        <v>2389738.73</v>
      </c>
      <c r="H17" s="30">
        <v>4094036.36</v>
      </c>
      <c r="I17" s="30">
        <v>5714928.9100000001</v>
      </c>
      <c r="J17" s="30">
        <v>4291130.3600000003</v>
      </c>
      <c r="K17" s="64">
        <v>4639134.76</v>
      </c>
      <c r="L17" s="69">
        <v>7482628.8099999996</v>
      </c>
      <c r="M17" s="30">
        <v>18016782.370000001</v>
      </c>
      <c r="N17" s="30">
        <v>18818491.969999999</v>
      </c>
      <c r="O17" s="30">
        <v>21343950.440000001</v>
      </c>
      <c r="P17" s="30">
        <v>21025502.440000001</v>
      </c>
      <c r="Q17" s="30">
        <v>21193752.359999999</v>
      </c>
      <c r="R17" s="30">
        <v>22721163.620000001</v>
      </c>
      <c r="S17" s="64">
        <v>23246985.52</v>
      </c>
      <c r="T17" s="69">
        <v>25061212</v>
      </c>
      <c r="U17" s="64">
        <v>42967536.020000003</v>
      </c>
      <c r="W17" s="33">
        <v>43935052.659999996</v>
      </c>
      <c r="X17" s="33">
        <v>44435147.43</v>
      </c>
      <c r="Y17" s="33">
        <v>45281804.299999997</v>
      </c>
      <c r="Z17" s="34">
        <v>45982647.130000003</v>
      </c>
      <c r="AA17" s="70">
        <v>0</v>
      </c>
      <c r="AB17" s="35" t="s">
        <v>30</v>
      </c>
      <c r="AC17" s="35"/>
      <c r="AD17" s="35"/>
      <c r="AE17" s="35"/>
      <c r="AF17" s="35"/>
      <c r="AG17" s="35"/>
      <c r="AH17" s="35"/>
      <c r="AI17" s="1"/>
      <c r="AJ17" s="38"/>
      <c r="AK17" s="12"/>
      <c r="AL17" s="12"/>
      <c r="AM17" s="12"/>
      <c r="AN17" s="12"/>
      <c r="AO17" s="13"/>
      <c r="AP17" s="13"/>
      <c r="AQ17" s="14"/>
      <c r="AR17" s="13"/>
      <c r="AS17" s="13"/>
      <c r="AT17" s="15"/>
      <c r="AU17" s="1"/>
      <c r="AV17" s="1"/>
      <c r="AW17" s="1"/>
      <c r="AX17" s="1"/>
    </row>
    <row r="18" spans="1:53" ht="21.75" customHeight="1" x14ac:dyDescent="0.25">
      <c r="A18" s="61" t="s">
        <v>31</v>
      </c>
      <c r="B18" s="30">
        <v>36282949.869999997</v>
      </c>
      <c r="C18" s="31">
        <v>36881683.780000001</v>
      </c>
      <c r="D18" s="68">
        <v>83061418.120000005</v>
      </c>
      <c r="E18" s="32">
        <v>1715961.41</v>
      </c>
      <c r="F18" s="30">
        <v>2911512.09</v>
      </c>
      <c r="G18" s="32">
        <v>3281668.64</v>
      </c>
      <c r="H18" s="30">
        <v>3127019.99</v>
      </c>
      <c r="I18" s="30">
        <v>5737680.6399999997</v>
      </c>
      <c r="J18" s="30">
        <v>5262311.57</v>
      </c>
      <c r="K18" s="64">
        <v>5013889.07</v>
      </c>
      <c r="L18" s="69">
        <v>9656842.9100000001</v>
      </c>
      <c r="M18" s="30">
        <v>19528164.620000001</v>
      </c>
      <c r="N18" s="30">
        <v>19052611.420000002</v>
      </c>
      <c r="O18" s="30">
        <v>20222911.489999998</v>
      </c>
      <c r="P18" s="30">
        <v>19694687.600000001</v>
      </c>
      <c r="Q18" s="30">
        <v>22752764.34</v>
      </c>
      <c r="R18" s="30">
        <v>22527771.489999998</v>
      </c>
      <c r="S18" s="64">
        <v>23295345.75</v>
      </c>
      <c r="T18" s="69">
        <v>25380520.93</v>
      </c>
      <c r="U18" s="64">
        <v>43043959.509999998</v>
      </c>
      <c r="W18" s="33">
        <v>43913866.189999998</v>
      </c>
      <c r="X18" s="33">
        <v>44405359.340000004</v>
      </c>
      <c r="Y18" s="33">
        <v>44969354.149999999</v>
      </c>
      <c r="Z18" s="34">
        <v>45894130.229999997</v>
      </c>
      <c r="AA18" s="70">
        <v>0</v>
      </c>
      <c r="AB18" s="35" t="s">
        <v>32</v>
      </c>
      <c r="AC18" s="35"/>
      <c r="AD18" s="35"/>
      <c r="AE18" s="35"/>
      <c r="AF18" s="35"/>
      <c r="AG18" s="35"/>
      <c r="AH18" s="35"/>
      <c r="AI18" s="1"/>
      <c r="AJ18" s="38"/>
      <c r="AK18" s="12"/>
      <c r="AL18" s="12"/>
      <c r="AM18" s="12"/>
      <c r="AN18" s="12"/>
      <c r="AO18" s="13"/>
      <c r="AP18" s="13"/>
      <c r="AQ18" s="14"/>
      <c r="AR18" s="13"/>
      <c r="AS18" s="13"/>
      <c r="AT18" s="15"/>
      <c r="AU18" s="1"/>
      <c r="AV18" s="1"/>
      <c r="AW18" s="1"/>
      <c r="AX18" s="1"/>
    </row>
    <row r="19" spans="1:53" ht="21.75" customHeight="1" x14ac:dyDescent="0.55000000000000004">
      <c r="A19" s="61" t="s">
        <v>33</v>
      </c>
      <c r="B19" s="30">
        <v>36333466.950000003</v>
      </c>
      <c r="C19" s="31">
        <v>36867780.420000002</v>
      </c>
      <c r="D19" s="68">
        <v>83011338.040000007</v>
      </c>
      <c r="E19" s="32">
        <v>1718102.79</v>
      </c>
      <c r="F19" s="30">
        <v>3115225.24</v>
      </c>
      <c r="G19" s="32">
        <v>6316239.1299999999</v>
      </c>
      <c r="H19" s="30">
        <v>10717532.66</v>
      </c>
      <c r="I19" s="30">
        <v>6161778.1299999999</v>
      </c>
      <c r="J19" s="30">
        <v>4462791.46</v>
      </c>
      <c r="K19" s="64">
        <v>6112626.2000000002</v>
      </c>
      <c r="L19" s="69">
        <v>7534728.5499999998</v>
      </c>
      <c r="M19" s="30">
        <v>18635257.670000002</v>
      </c>
      <c r="N19" s="30">
        <v>20720584.449999999</v>
      </c>
      <c r="O19" s="30">
        <v>20730230.550000001</v>
      </c>
      <c r="P19" s="30">
        <v>20986081.460000001</v>
      </c>
      <c r="Q19" s="30">
        <v>22374591.18</v>
      </c>
      <c r="R19" s="30">
        <v>22169535.789999999</v>
      </c>
      <c r="S19" s="64">
        <v>23794397.079999998</v>
      </c>
      <c r="T19" s="69">
        <v>28905318</v>
      </c>
      <c r="U19" s="64">
        <v>42800573.149999999</v>
      </c>
      <c r="W19" s="33">
        <v>43822391.649999999</v>
      </c>
      <c r="X19" s="33">
        <v>44228858.57</v>
      </c>
      <c r="Y19" s="33">
        <v>45004333.439999998</v>
      </c>
      <c r="Z19" s="34">
        <v>45831243.82</v>
      </c>
      <c r="AA19" s="70">
        <v>0</v>
      </c>
      <c r="AB19" s="39" t="s">
        <v>34</v>
      </c>
      <c r="AC19" s="39"/>
      <c r="AD19" s="39"/>
      <c r="AE19" s="39"/>
      <c r="AF19" s="39"/>
      <c r="AG19" s="39"/>
      <c r="AH19" s="39"/>
      <c r="AI19" s="1"/>
      <c r="AJ19" s="38"/>
      <c r="AK19" s="12"/>
      <c r="AL19" s="12"/>
      <c r="AM19" s="12"/>
      <c r="AN19" s="12"/>
      <c r="AO19" s="13"/>
      <c r="AP19" s="13"/>
      <c r="AQ19" s="14"/>
      <c r="AR19" s="13"/>
      <c r="AS19" s="13"/>
      <c r="AT19" s="15"/>
      <c r="AU19" s="1"/>
      <c r="AV19" s="1"/>
      <c r="AW19" s="1"/>
      <c r="AX19" s="1"/>
    </row>
    <row r="20" spans="1:53" ht="21.75" customHeight="1" x14ac:dyDescent="0.25">
      <c r="A20" s="62" t="s">
        <v>35</v>
      </c>
      <c r="B20" s="40">
        <v>36250983.479999997</v>
      </c>
      <c r="C20" s="41">
        <v>36842389.850000001</v>
      </c>
      <c r="D20" s="71">
        <v>82892915.930000007</v>
      </c>
      <c r="E20" s="42">
        <v>1705960.07</v>
      </c>
      <c r="F20" s="40">
        <v>1742517.29</v>
      </c>
      <c r="G20" s="42">
        <v>1971183.13</v>
      </c>
      <c r="H20" s="40">
        <v>3380365.84</v>
      </c>
      <c r="I20" s="40">
        <v>1577278.23</v>
      </c>
      <c r="J20" s="40">
        <v>3374092.46</v>
      </c>
      <c r="K20" s="65">
        <v>4436748.0999999996</v>
      </c>
      <c r="L20" s="72">
        <v>7389568.9000000004</v>
      </c>
      <c r="M20" s="40">
        <v>20484506.43</v>
      </c>
      <c r="N20" s="40">
        <v>19628482.789999999</v>
      </c>
      <c r="O20" s="40">
        <v>20204394.68</v>
      </c>
      <c r="P20" s="40">
        <v>19421687.149999999</v>
      </c>
      <c r="Q20" s="40">
        <v>21510452.010000002</v>
      </c>
      <c r="R20" s="40">
        <v>21777052.940000001</v>
      </c>
      <c r="S20" s="65">
        <v>22591475.109999999</v>
      </c>
      <c r="T20" s="72">
        <v>23274630.719999999</v>
      </c>
      <c r="U20" s="65">
        <v>42678576.490000002</v>
      </c>
      <c r="W20" s="43">
        <v>43634524.200000003</v>
      </c>
      <c r="X20" s="43">
        <v>44260007.780000001</v>
      </c>
      <c r="Y20" s="43">
        <v>44897572.810000002</v>
      </c>
      <c r="Z20" s="44">
        <v>45784801.289999999</v>
      </c>
      <c r="AA20" s="73">
        <v>0</v>
      </c>
      <c r="AB20" s="45" t="s">
        <v>36</v>
      </c>
      <c r="AC20" s="35"/>
      <c r="AD20" s="35"/>
      <c r="AE20" s="35"/>
      <c r="AF20" s="35"/>
      <c r="AG20" s="35"/>
      <c r="AH20" s="35"/>
      <c r="AI20" s="1"/>
      <c r="AJ20" s="38"/>
      <c r="AK20" s="12"/>
      <c r="AL20" s="12"/>
      <c r="AM20" s="12"/>
      <c r="AN20" s="12"/>
      <c r="AO20" s="13"/>
      <c r="AP20" s="13"/>
      <c r="AQ20" s="14"/>
      <c r="AR20" s="13"/>
      <c r="AS20" s="13"/>
      <c r="AT20" s="15"/>
      <c r="AU20" s="1"/>
      <c r="AV20" s="1"/>
      <c r="AW20" s="1"/>
      <c r="AX20" s="1"/>
    </row>
    <row r="21" spans="1:53" ht="17.25" customHeight="1" x14ac:dyDescent="0.25">
      <c r="A21" s="46" t="s">
        <v>42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54"/>
      <c r="U21" s="47"/>
      <c r="V21" s="47"/>
      <c r="W21" s="47"/>
      <c r="X21" s="47"/>
      <c r="Y21" s="47"/>
      <c r="Z21" s="47"/>
      <c r="AA21" s="47"/>
      <c r="AB21" s="67" t="s">
        <v>41</v>
      </c>
      <c r="AC21" s="48"/>
      <c r="AD21" s="48"/>
      <c r="AE21" s="48"/>
      <c r="AF21" s="48"/>
      <c r="AG21" s="48"/>
      <c r="AH21" s="48"/>
      <c r="AI21" s="47"/>
      <c r="AJ21" s="38"/>
      <c r="AK21" s="12"/>
      <c r="AL21" s="12"/>
      <c r="AM21" s="12"/>
      <c r="AN21" s="12"/>
      <c r="AO21" s="12"/>
      <c r="AP21" s="12"/>
      <c r="AQ21" s="49"/>
      <c r="AR21" s="12"/>
      <c r="AS21" s="12"/>
      <c r="AT21" s="47"/>
      <c r="AU21" s="47"/>
      <c r="AV21" s="47"/>
      <c r="AW21" s="1"/>
      <c r="AX21" s="1"/>
    </row>
    <row r="22" spans="1:53" ht="17.25" customHeight="1" x14ac:dyDescent="0.45">
      <c r="A22" s="50" t="s">
        <v>37</v>
      </c>
      <c r="B22" s="47"/>
      <c r="C22" s="47"/>
      <c r="D22" s="47"/>
      <c r="E22" s="47"/>
      <c r="F22" s="47"/>
      <c r="G22" s="47"/>
      <c r="H22" s="47"/>
      <c r="I22" s="51"/>
      <c r="J22" s="51"/>
      <c r="K22" s="51"/>
      <c r="L22" s="51"/>
      <c r="M22" s="47"/>
      <c r="N22" s="47"/>
      <c r="O22" s="47"/>
      <c r="P22" s="47"/>
      <c r="Q22" s="47"/>
      <c r="R22" s="47"/>
      <c r="S22" s="47"/>
      <c r="T22" s="54"/>
      <c r="U22" s="47"/>
      <c r="V22" s="47"/>
      <c r="W22" s="47"/>
      <c r="X22" s="47"/>
      <c r="Y22" s="47"/>
      <c r="Z22" s="47"/>
      <c r="AA22" s="47"/>
      <c r="AB22" s="52" t="s">
        <v>38</v>
      </c>
      <c r="AC22" s="53"/>
      <c r="AD22" s="53"/>
      <c r="AE22" s="53"/>
      <c r="AF22" s="53"/>
      <c r="AG22" s="53"/>
      <c r="AH22" s="53"/>
      <c r="AI22" s="47"/>
      <c r="AJ22" s="38"/>
      <c r="AK22" s="81" t="s">
        <v>39</v>
      </c>
      <c r="AL22" s="77"/>
      <c r="AM22" s="77"/>
      <c r="AN22" s="79"/>
      <c r="AO22" s="47"/>
      <c r="AP22" s="47"/>
      <c r="AQ22" s="54"/>
      <c r="AR22" s="47"/>
      <c r="AS22" s="81" t="s">
        <v>40</v>
      </c>
      <c r="AT22" s="77"/>
      <c r="AU22" s="77"/>
      <c r="AV22" s="79"/>
      <c r="AW22" s="1"/>
      <c r="AX22" s="1"/>
    </row>
    <row r="23" spans="1:53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38"/>
      <c r="AK23" s="12">
        <v>2012</v>
      </c>
      <c r="AL23" s="12">
        <v>2013</v>
      </c>
      <c r="AM23" s="12">
        <v>2014</v>
      </c>
      <c r="AN23" s="12">
        <v>2015</v>
      </c>
      <c r="AO23" s="12">
        <v>2016</v>
      </c>
      <c r="AP23" s="12">
        <v>2017</v>
      </c>
      <c r="AQ23" s="12">
        <v>2018</v>
      </c>
      <c r="AR23" s="12">
        <v>2019</v>
      </c>
      <c r="AS23" s="55">
        <v>2012</v>
      </c>
      <c r="AT23" s="55">
        <v>2013</v>
      </c>
      <c r="AU23" s="55">
        <v>2014</v>
      </c>
      <c r="AV23" s="55">
        <v>2015</v>
      </c>
      <c r="AW23" s="55">
        <v>2016</v>
      </c>
      <c r="AX23" s="55">
        <v>2017</v>
      </c>
      <c r="AY23" s="55">
        <v>2018</v>
      </c>
      <c r="AZ23" s="55">
        <v>2019</v>
      </c>
    </row>
    <row r="24" spans="1:53" ht="15.75" customHeight="1" x14ac:dyDescent="0.2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 t="str">
        <f>B6</f>
        <v>Basic pension</v>
      </c>
      <c r="AK24" s="9" t="e">
        <f t="shared" ref="AK24:AO24" si="4">AS24/1000000</f>
        <v>#REF!</v>
      </c>
      <c r="AL24" s="9" t="e">
        <f t="shared" si="4"/>
        <v>#REF!</v>
      </c>
      <c r="AM24" s="9" t="e">
        <f t="shared" si="4"/>
        <v>#REF!</v>
      </c>
      <c r="AN24" s="9" t="e">
        <f t="shared" si="4"/>
        <v>#REF!</v>
      </c>
      <c r="AO24" s="9" t="e">
        <f t="shared" si="4"/>
        <v>#REF!</v>
      </c>
      <c r="AP24" s="9">
        <f>AX24/1000000</f>
        <v>435.25136824000003</v>
      </c>
      <c r="AQ24" s="9">
        <f>AY24/1000000</f>
        <v>443.15210785000011</v>
      </c>
      <c r="AR24" s="9">
        <f>AZ24/1000000</f>
        <v>903.98428605999993</v>
      </c>
      <c r="AS24" s="33" t="e">
        <f>#REF!</f>
        <v>#REF!</v>
      </c>
      <c r="AT24" s="33" t="e">
        <f>#REF!</f>
        <v>#REF!</v>
      </c>
      <c r="AU24" s="33" t="e">
        <f>#REF!</f>
        <v>#REF!</v>
      </c>
      <c r="AV24" s="33" t="e">
        <f>#REF!</f>
        <v>#REF!</v>
      </c>
      <c r="AW24" s="33" t="e">
        <f>#REF!</f>
        <v>#REF!</v>
      </c>
      <c r="AX24" s="33">
        <f t="shared" ref="AX24" si="5">B8</f>
        <v>435251368.24000001</v>
      </c>
      <c r="AY24" s="33">
        <f>C8</f>
        <v>443152107.85000008</v>
      </c>
      <c r="AZ24" s="33">
        <f>D8</f>
        <v>903984286.05999994</v>
      </c>
    </row>
    <row r="25" spans="1:53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 t="str">
        <f>O6</f>
        <v>Other  pension</v>
      </c>
      <c r="AK25" s="9">
        <f t="shared" ref="AK25:AR25" si="6">AS25/1000000</f>
        <v>240.70123962</v>
      </c>
      <c r="AL25" s="9">
        <f t="shared" si="6"/>
        <v>244.38423925999996</v>
      </c>
      <c r="AM25" s="9">
        <f t="shared" si="6"/>
        <v>259.55405459000002</v>
      </c>
      <c r="AN25" s="9">
        <f t="shared" si="6"/>
        <v>260.11826270999995</v>
      </c>
      <c r="AO25" s="9">
        <f t="shared" si="6"/>
        <v>264.84195393999994</v>
      </c>
      <c r="AP25" s="9">
        <f t="shared" si="6"/>
        <v>270.65722773000005</v>
      </c>
      <c r="AQ25" s="9">
        <f t="shared" si="6"/>
        <v>280.56057788999999</v>
      </c>
      <c r="AR25" s="9">
        <f t="shared" si="6"/>
        <v>297.50286885000003</v>
      </c>
      <c r="AS25" s="33">
        <f t="shared" ref="AS25:AZ25" si="7">M8</f>
        <v>240701239.62</v>
      </c>
      <c r="AT25" s="33">
        <f t="shared" si="7"/>
        <v>244384239.25999996</v>
      </c>
      <c r="AU25" s="33">
        <f t="shared" si="7"/>
        <v>259554054.59000003</v>
      </c>
      <c r="AV25" s="33">
        <f t="shared" si="7"/>
        <v>260118262.70999998</v>
      </c>
      <c r="AW25" s="33">
        <f t="shared" si="7"/>
        <v>264841953.93999997</v>
      </c>
      <c r="AX25" s="33">
        <f t="shared" si="7"/>
        <v>270657227.73000002</v>
      </c>
      <c r="AY25" s="33">
        <f t="shared" si="7"/>
        <v>280560577.88999999</v>
      </c>
      <c r="AZ25" s="33">
        <f t="shared" si="7"/>
        <v>297502868.85000002</v>
      </c>
      <c r="BA25" s="33"/>
    </row>
    <row r="26" spans="1:53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 t="str">
        <f>G6</f>
        <v>Retirement  pension</v>
      </c>
      <c r="AK26" s="9">
        <f t="shared" ref="AK26:AR26" si="8">AS26/1000000</f>
        <v>21.452251599999997</v>
      </c>
      <c r="AL26" s="9">
        <f t="shared" si="8"/>
        <v>25.887906539999999</v>
      </c>
      <c r="AM26" s="9">
        <f t="shared" si="8"/>
        <v>35.973669200000003</v>
      </c>
      <c r="AN26" s="9">
        <f t="shared" si="8"/>
        <v>48.839669629999996</v>
      </c>
      <c r="AO26" s="9">
        <f t="shared" si="8"/>
        <v>49.178627069999997</v>
      </c>
      <c r="AP26" s="9">
        <f t="shared" si="8"/>
        <v>54.585241880000005</v>
      </c>
      <c r="AQ26" s="9">
        <f>AY26/1000000</f>
        <v>58.618929450000003</v>
      </c>
      <c r="AR26" s="9">
        <f t="shared" si="8"/>
        <v>90.949201129999992</v>
      </c>
      <c r="AS26" s="33">
        <f t="shared" ref="AS26:AX26" si="9">E8</f>
        <v>21452251.599999998</v>
      </c>
      <c r="AT26" s="33">
        <f t="shared" si="9"/>
        <v>25887906.539999999</v>
      </c>
      <c r="AU26" s="33">
        <f t="shared" si="9"/>
        <v>35973669.200000003</v>
      </c>
      <c r="AV26" s="33">
        <f t="shared" si="9"/>
        <v>48839669.629999995</v>
      </c>
      <c r="AW26" s="33">
        <f t="shared" si="9"/>
        <v>49178627.07</v>
      </c>
      <c r="AX26" s="33">
        <f t="shared" si="9"/>
        <v>54585241.880000003</v>
      </c>
      <c r="AY26" s="33">
        <f>K8</f>
        <v>58618929.450000003</v>
      </c>
      <c r="AZ26" s="33">
        <f>L8</f>
        <v>90949201.129999995</v>
      </c>
    </row>
    <row r="27" spans="1:53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 t="str">
        <f>U6</f>
        <v xml:space="preserve"> Senior Citizen Allowance</v>
      </c>
      <c r="AK27" s="9">
        <f t="shared" ref="AK27:AP27" si="10">AS27/1000000</f>
        <v>0</v>
      </c>
      <c r="AL27" s="9">
        <f t="shared" si="10"/>
        <v>0</v>
      </c>
      <c r="AM27" s="9">
        <f t="shared" si="10"/>
        <v>471.31171134999994</v>
      </c>
      <c r="AN27" s="9">
        <f t="shared" si="10"/>
        <v>524.5473284599999</v>
      </c>
      <c r="AO27" s="9">
        <f t="shared" si="10"/>
        <v>533.48253769000007</v>
      </c>
      <c r="AP27" s="9">
        <f t="shared" si="10"/>
        <v>539.03694702999996</v>
      </c>
      <c r="AQ27" s="9">
        <f>AY27/1000000</f>
        <v>550.82376364999993</v>
      </c>
      <c r="AR27" s="9">
        <f>AZ27/1000000</f>
        <v>93.669343139999981</v>
      </c>
      <c r="AS27" s="56">
        <v>0</v>
      </c>
      <c r="AT27" s="56">
        <v>0</v>
      </c>
      <c r="AU27" s="33">
        <f>U8</f>
        <v>471311711.34999996</v>
      </c>
      <c r="AV27" s="33">
        <f t="shared" ref="AV27:AW27" si="11">W8</f>
        <v>524547328.45999992</v>
      </c>
      <c r="AW27" s="33">
        <f t="shared" si="11"/>
        <v>533482537.69000006</v>
      </c>
      <c r="AX27" s="33">
        <f>Y8</f>
        <v>539036947.02999997</v>
      </c>
      <c r="AY27" s="33">
        <f>Z8</f>
        <v>550823763.64999998</v>
      </c>
      <c r="AZ27" s="33">
        <f t="shared" ref="AZ27" si="12">AA8</f>
        <v>93669343.139999986</v>
      </c>
    </row>
    <row r="28" spans="1:53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2"/>
      <c r="AK28" s="12"/>
      <c r="AL28" s="13"/>
      <c r="AM28" s="13"/>
      <c r="AN28" s="1"/>
      <c r="AO28" s="1"/>
      <c r="AP28" s="1"/>
      <c r="AQ28" s="11"/>
      <c r="AR28" s="1"/>
      <c r="AS28" s="57"/>
      <c r="AT28" s="57"/>
      <c r="AU28" s="56"/>
      <c r="AV28" s="56"/>
      <c r="AW28" s="56"/>
      <c r="AX28" s="1"/>
      <c r="AY28" s="58">
        <f>SUM(AY24:AY27)</f>
        <v>1333155378.8400002</v>
      </c>
      <c r="AZ28" s="58">
        <f>SUM(AZ24:AZ27)</f>
        <v>1386105699.1799998</v>
      </c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2"/>
      <c r="AK29" s="12"/>
      <c r="AL29" s="13"/>
      <c r="AM29" s="13"/>
      <c r="AN29" s="13"/>
      <c r="AO29" s="15"/>
      <c r="AP29" s="15"/>
      <c r="AQ29" s="59"/>
      <c r="AR29" s="15"/>
      <c r="AS29" s="1"/>
      <c r="AT29" s="1"/>
      <c r="AU29" s="1"/>
      <c r="AV29" s="1"/>
      <c r="AW29" s="1"/>
      <c r="AX29" s="1"/>
    </row>
    <row r="30" spans="1:53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1"/>
      <c r="AR30" s="1"/>
      <c r="AS30" s="1"/>
      <c r="AT30" s="1"/>
      <c r="AU30" s="1"/>
      <c r="AV30" s="1"/>
      <c r="AW30" s="1"/>
      <c r="AX30" s="1"/>
    </row>
    <row r="31" spans="1:53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1"/>
      <c r="AR31" s="1"/>
      <c r="AS31" s="1"/>
      <c r="AT31" s="1"/>
      <c r="AU31" s="1"/>
      <c r="AV31" s="1"/>
      <c r="AW31" s="1"/>
      <c r="AX31" s="1"/>
    </row>
    <row r="32" spans="1:53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1"/>
      <c r="AR32" s="1"/>
      <c r="AS32" s="1"/>
      <c r="AT32" s="1"/>
      <c r="AU32" s="1"/>
      <c r="AV32" s="1"/>
      <c r="AW32" s="1"/>
      <c r="AX32" s="1"/>
    </row>
    <row r="33" spans="1:50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1"/>
      <c r="AR33" s="1"/>
      <c r="AS33" s="1"/>
      <c r="AT33" s="1"/>
      <c r="AU33" s="1"/>
      <c r="AV33" s="1"/>
      <c r="AW33" s="1"/>
      <c r="AX33" s="1"/>
    </row>
    <row r="34" spans="1:50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1"/>
      <c r="AR34" s="1"/>
      <c r="AS34" s="1"/>
      <c r="AT34" s="1"/>
      <c r="AU34" s="1"/>
      <c r="AV34" s="1"/>
      <c r="AW34" s="1"/>
      <c r="AX34" s="1"/>
    </row>
    <row r="35" spans="1:5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1"/>
      <c r="AR35" s="1"/>
      <c r="AS35" s="1"/>
      <c r="AT35" s="1"/>
      <c r="AU35" s="1"/>
      <c r="AV35" s="1"/>
      <c r="AW35" s="1"/>
      <c r="AX35" s="1"/>
    </row>
    <row r="36" spans="1:5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1"/>
      <c r="AR36" s="1"/>
      <c r="AS36" s="1"/>
      <c r="AT36" s="1"/>
      <c r="AU36" s="1"/>
      <c r="AV36" s="1"/>
      <c r="AW36" s="1"/>
      <c r="AX36" s="1"/>
    </row>
    <row r="37" spans="1:5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1"/>
      <c r="AR37" s="1"/>
      <c r="AS37" s="1"/>
      <c r="AT37" s="1"/>
      <c r="AU37" s="1"/>
      <c r="AV37" s="1"/>
      <c r="AW37" s="1"/>
      <c r="AX37" s="1"/>
    </row>
    <row r="38" spans="1:5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1"/>
      <c r="AR38" s="1"/>
      <c r="AS38" s="1"/>
      <c r="AT38" s="1"/>
      <c r="AU38" s="1"/>
      <c r="AV38" s="1"/>
      <c r="AW38" s="1"/>
      <c r="AX38" s="1"/>
    </row>
    <row r="39" spans="1:5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1"/>
      <c r="AR39" s="1"/>
      <c r="AS39" s="1"/>
      <c r="AT39" s="1"/>
      <c r="AU39" s="1"/>
      <c r="AV39" s="1"/>
      <c r="AW39" s="1"/>
      <c r="AX39" s="1"/>
    </row>
    <row r="40" spans="1:5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1"/>
      <c r="AR40" s="1"/>
      <c r="AS40" s="1"/>
      <c r="AT40" s="1"/>
      <c r="AU40" s="1"/>
      <c r="AV40" s="1"/>
      <c r="AW40" s="1"/>
      <c r="AX40" s="1"/>
    </row>
    <row r="41" spans="1:5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1"/>
      <c r="AR41" s="1"/>
      <c r="AS41" s="1"/>
      <c r="AT41" s="1"/>
      <c r="AU41" s="1"/>
      <c r="AV41" s="1"/>
      <c r="AW41" s="1"/>
      <c r="AX41" s="1"/>
    </row>
    <row r="42" spans="1:5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1"/>
      <c r="AR42" s="1"/>
      <c r="AS42" s="1"/>
      <c r="AT42" s="1"/>
      <c r="AU42" s="1"/>
      <c r="AV42" s="1"/>
      <c r="AW42" s="1"/>
      <c r="AX42" s="1"/>
    </row>
    <row r="43" spans="1:5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1"/>
      <c r="AR43" s="1"/>
      <c r="AS43" s="1"/>
      <c r="AT43" s="1"/>
      <c r="AU43" s="1"/>
      <c r="AV43" s="1"/>
      <c r="AW43" s="1"/>
      <c r="AX43" s="1"/>
    </row>
    <row r="44" spans="1:5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1"/>
      <c r="AR44" s="1"/>
      <c r="AS44" s="1"/>
      <c r="AT44" s="1"/>
      <c r="AU44" s="1"/>
      <c r="AV44" s="1"/>
      <c r="AW44" s="1"/>
      <c r="AX44" s="1"/>
    </row>
    <row r="45" spans="1:5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1"/>
      <c r="AR45" s="1"/>
      <c r="AS45" s="1"/>
      <c r="AT45" s="1"/>
      <c r="AU45" s="1"/>
      <c r="AV45" s="1"/>
      <c r="AW45" s="1"/>
      <c r="AX45" s="1"/>
    </row>
    <row r="46" spans="1:5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1"/>
      <c r="AR46" s="1"/>
      <c r="AS46" s="1"/>
      <c r="AT46" s="1"/>
      <c r="AU46" s="1"/>
      <c r="AV46" s="1"/>
      <c r="AW46" s="1"/>
      <c r="AX46" s="1"/>
    </row>
    <row r="47" spans="1:5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1"/>
      <c r="AR47" s="1"/>
      <c r="AS47" s="1"/>
      <c r="AT47" s="1"/>
      <c r="AU47" s="1"/>
      <c r="AV47" s="1"/>
      <c r="AW47" s="1"/>
      <c r="AX47" s="1"/>
    </row>
    <row r="48" spans="1:5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1"/>
      <c r="AR48" s="1"/>
      <c r="AS48" s="1"/>
      <c r="AT48" s="1"/>
      <c r="AU48" s="1"/>
      <c r="AV48" s="1"/>
      <c r="AW48" s="1"/>
      <c r="AX48" s="1"/>
    </row>
    <row r="49" spans="1:5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1"/>
      <c r="AR49" s="1"/>
      <c r="AS49" s="1"/>
      <c r="AT49" s="1"/>
      <c r="AU49" s="1"/>
      <c r="AV49" s="1"/>
      <c r="AW49" s="1"/>
      <c r="AX49" s="1"/>
    </row>
    <row r="50" spans="1:5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1"/>
      <c r="AR50" s="1"/>
      <c r="AS50" s="1"/>
      <c r="AT50" s="1"/>
      <c r="AU50" s="1"/>
      <c r="AV50" s="1"/>
      <c r="AW50" s="1"/>
      <c r="AX50" s="1"/>
    </row>
    <row r="51" spans="1:5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1"/>
      <c r="AR51" s="1"/>
      <c r="AS51" s="1"/>
      <c r="AT51" s="1"/>
      <c r="AU51" s="1"/>
      <c r="AV51" s="1"/>
      <c r="AW51" s="1"/>
      <c r="AX51" s="1"/>
    </row>
    <row r="52" spans="1:5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1"/>
      <c r="AR52" s="1"/>
      <c r="AS52" s="1"/>
      <c r="AT52" s="1"/>
      <c r="AU52" s="1"/>
      <c r="AV52" s="1"/>
      <c r="AW52" s="1"/>
      <c r="AX52" s="1"/>
    </row>
    <row r="53" spans="1:5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1"/>
      <c r="AR53" s="1"/>
      <c r="AS53" s="1"/>
      <c r="AT53" s="1"/>
      <c r="AU53" s="1"/>
      <c r="AV53" s="1"/>
      <c r="AW53" s="1"/>
      <c r="AX53" s="1"/>
    </row>
    <row r="54" spans="1:5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1"/>
      <c r="AR54" s="1"/>
      <c r="AS54" s="1"/>
      <c r="AT54" s="1"/>
      <c r="AU54" s="1"/>
      <c r="AV54" s="1"/>
      <c r="AW54" s="1"/>
      <c r="AX54" s="1"/>
    </row>
    <row r="55" spans="1:5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1"/>
      <c r="AR55" s="1"/>
      <c r="AS55" s="1"/>
      <c r="AT55" s="1"/>
      <c r="AU55" s="1"/>
      <c r="AV55" s="1"/>
      <c r="AW55" s="1"/>
      <c r="AX55" s="1"/>
    </row>
    <row r="56" spans="1:5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1"/>
      <c r="AR56" s="1"/>
      <c r="AS56" s="1"/>
      <c r="AT56" s="1"/>
      <c r="AU56" s="1"/>
      <c r="AV56" s="1"/>
      <c r="AW56" s="1"/>
      <c r="AX56" s="1"/>
    </row>
    <row r="57" spans="1:5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1"/>
      <c r="AR57" s="1"/>
      <c r="AS57" s="1"/>
      <c r="AT57" s="1"/>
      <c r="AU57" s="1"/>
      <c r="AV57" s="1"/>
      <c r="AW57" s="1"/>
      <c r="AX57" s="1"/>
    </row>
    <row r="58" spans="1:5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1"/>
      <c r="AR58" s="1"/>
      <c r="AS58" s="1"/>
      <c r="AT58" s="1"/>
      <c r="AU58" s="1"/>
      <c r="AV58" s="1"/>
      <c r="AW58" s="1"/>
      <c r="AX58" s="1"/>
    </row>
    <row r="59" spans="1:5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1"/>
      <c r="AR59" s="1"/>
      <c r="AS59" s="1"/>
      <c r="AT59" s="1"/>
      <c r="AU59" s="1"/>
      <c r="AV59" s="1"/>
      <c r="AW59" s="1"/>
      <c r="AX59" s="1"/>
    </row>
    <row r="60" spans="1:5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1"/>
      <c r="AR60" s="1"/>
      <c r="AS60" s="1"/>
      <c r="AT60" s="1"/>
      <c r="AU60" s="1"/>
      <c r="AV60" s="1"/>
      <c r="AW60" s="1"/>
      <c r="AX60" s="1"/>
    </row>
    <row r="61" spans="1:5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1"/>
      <c r="AR61" s="1"/>
      <c r="AS61" s="1"/>
      <c r="AT61" s="1"/>
      <c r="AU61" s="1"/>
      <c r="AV61" s="1"/>
      <c r="AW61" s="1"/>
      <c r="AX61" s="1"/>
    </row>
    <row r="62" spans="1:5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1"/>
      <c r="AR62" s="1"/>
      <c r="AS62" s="1"/>
      <c r="AT62" s="1"/>
      <c r="AU62" s="1"/>
      <c r="AV62" s="1"/>
      <c r="AW62" s="1"/>
      <c r="AX62" s="1"/>
    </row>
    <row r="63" spans="1:5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1"/>
      <c r="AR63" s="1"/>
      <c r="AS63" s="1"/>
      <c r="AT63" s="1"/>
      <c r="AU63" s="1"/>
      <c r="AV63" s="1"/>
      <c r="AW63" s="1"/>
      <c r="AX63" s="1"/>
    </row>
    <row r="64" spans="1:5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1"/>
      <c r="AR64" s="1"/>
      <c r="AS64" s="1"/>
      <c r="AT64" s="1"/>
      <c r="AU64" s="1"/>
      <c r="AV64" s="1"/>
      <c r="AW64" s="1"/>
      <c r="AX64" s="1"/>
    </row>
    <row r="65" spans="1:50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1"/>
      <c r="AR65" s="1"/>
      <c r="AS65" s="1"/>
      <c r="AT65" s="1"/>
      <c r="AU65" s="1"/>
      <c r="AV65" s="1"/>
      <c r="AW65" s="1"/>
      <c r="AX65" s="1"/>
    </row>
    <row r="66" spans="1:50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1"/>
      <c r="AR66" s="1"/>
      <c r="AS66" s="1"/>
      <c r="AT66" s="1"/>
      <c r="AU66" s="1"/>
      <c r="AV66" s="1"/>
      <c r="AW66" s="1"/>
      <c r="AX66" s="1"/>
    </row>
    <row r="67" spans="1:50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1"/>
      <c r="AR67" s="1"/>
      <c r="AS67" s="1"/>
      <c r="AT67" s="1"/>
      <c r="AU67" s="1"/>
      <c r="AV67" s="1"/>
      <c r="AW67" s="1"/>
      <c r="AX67" s="1"/>
    </row>
    <row r="68" spans="1:50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1"/>
      <c r="AR68" s="1"/>
      <c r="AS68" s="1"/>
      <c r="AT68" s="1"/>
      <c r="AU68" s="1"/>
      <c r="AV68" s="1"/>
      <c r="AW68" s="1"/>
      <c r="AX68" s="1"/>
    </row>
    <row r="69" spans="1:50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1"/>
      <c r="AR69" s="1"/>
      <c r="AS69" s="1"/>
      <c r="AT69" s="1"/>
      <c r="AU69" s="1"/>
      <c r="AV69" s="1"/>
      <c r="AW69" s="1"/>
      <c r="AX69" s="1"/>
    </row>
    <row r="70" spans="1:50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1"/>
      <c r="AR70" s="1"/>
      <c r="AS70" s="1"/>
      <c r="AT70" s="1"/>
      <c r="AU70" s="1"/>
      <c r="AV70" s="1"/>
      <c r="AW70" s="1"/>
      <c r="AX70" s="1"/>
    </row>
    <row r="71" spans="1:50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1"/>
      <c r="AR71" s="1"/>
      <c r="AS71" s="1"/>
      <c r="AT71" s="1"/>
      <c r="AU71" s="1"/>
      <c r="AV71" s="1"/>
      <c r="AW71" s="1"/>
      <c r="AX71" s="1"/>
    </row>
    <row r="72" spans="1:50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1"/>
      <c r="AR72" s="1"/>
      <c r="AS72" s="1"/>
      <c r="AT72" s="1"/>
      <c r="AU72" s="1"/>
      <c r="AV72" s="1"/>
      <c r="AW72" s="1"/>
      <c r="AX72" s="1"/>
    </row>
    <row r="73" spans="1:50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1"/>
      <c r="AR73" s="1"/>
      <c r="AS73" s="1"/>
      <c r="AT73" s="1"/>
      <c r="AU73" s="1"/>
      <c r="AV73" s="1"/>
      <c r="AW73" s="1"/>
      <c r="AX73" s="1"/>
    </row>
    <row r="74" spans="1:50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1"/>
      <c r="AR74" s="1"/>
      <c r="AS74" s="1"/>
      <c r="AT74" s="1"/>
      <c r="AU74" s="1"/>
      <c r="AV74" s="1"/>
      <c r="AW74" s="1"/>
      <c r="AX74" s="1"/>
    </row>
    <row r="75" spans="1:50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1"/>
      <c r="AR75" s="1"/>
      <c r="AS75" s="1"/>
      <c r="AT75" s="1"/>
      <c r="AU75" s="1"/>
      <c r="AV75" s="1"/>
      <c r="AW75" s="1"/>
      <c r="AX75" s="1"/>
    </row>
    <row r="76" spans="1:50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1"/>
      <c r="AR76" s="1"/>
      <c r="AS76" s="1"/>
      <c r="AT76" s="1"/>
      <c r="AU76" s="1"/>
      <c r="AV76" s="1"/>
      <c r="AW76" s="1"/>
      <c r="AX76" s="1"/>
    </row>
    <row r="77" spans="1:50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1"/>
      <c r="AR77" s="1"/>
      <c r="AS77" s="1"/>
      <c r="AT77" s="1"/>
      <c r="AU77" s="1"/>
      <c r="AV77" s="1"/>
      <c r="AW77" s="1"/>
      <c r="AX77" s="1"/>
    </row>
    <row r="78" spans="1:50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1"/>
      <c r="AR78" s="1"/>
      <c r="AS78" s="1"/>
      <c r="AT78" s="1"/>
      <c r="AU78" s="1"/>
      <c r="AV78" s="1"/>
      <c r="AW78" s="1"/>
      <c r="AX78" s="1"/>
    </row>
    <row r="79" spans="1:50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1"/>
      <c r="AR79" s="1"/>
      <c r="AS79" s="1"/>
      <c r="AT79" s="1"/>
      <c r="AU79" s="1"/>
      <c r="AV79" s="1"/>
      <c r="AW79" s="1"/>
      <c r="AX79" s="1"/>
    </row>
    <row r="80" spans="1:50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1"/>
      <c r="AR80" s="1"/>
      <c r="AS80" s="1"/>
      <c r="AT80" s="1"/>
      <c r="AU80" s="1"/>
      <c r="AV80" s="1"/>
      <c r="AW80" s="1"/>
      <c r="AX80" s="1"/>
    </row>
    <row r="81" spans="1:50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1"/>
      <c r="AR81" s="1"/>
      <c r="AS81" s="1"/>
      <c r="AT81" s="1"/>
      <c r="AU81" s="1"/>
      <c r="AV81" s="1"/>
      <c r="AW81" s="1"/>
      <c r="AX81" s="1"/>
    </row>
    <row r="82" spans="1:50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1"/>
      <c r="AR82" s="1"/>
      <c r="AS82" s="1"/>
      <c r="AT82" s="1"/>
      <c r="AU82" s="1"/>
      <c r="AV82" s="1"/>
      <c r="AW82" s="1"/>
      <c r="AX82" s="1"/>
    </row>
    <row r="83" spans="1:50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1"/>
      <c r="AR83" s="1"/>
      <c r="AS83" s="1"/>
      <c r="AT83" s="1"/>
      <c r="AU83" s="1"/>
      <c r="AV83" s="1"/>
      <c r="AW83" s="1"/>
      <c r="AX83" s="1"/>
    </row>
    <row r="84" spans="1:50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1"/>
      <c r="AR84" s="1"/>
      <c r="AS84" s="1"/>
      <c r="AT84" s="1"/>
      <c r="AU84" s="1"/>
      <c r="AV84" s="1"/>
      <c r="AW84" s="1"/>
      <c r="AX84" s="1"/>
    </row>
    <row r="85" spans="1:50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1"/>
      <c r="AR85" s="1"/>
      <c r="AS85" s="1"/>
      <c r="AT85" s="1"/>
      <c r="AU85" s="1"/>
      <c r="AV85" s="1"/>
      <c r="AW85" s="1"/>
      <c r="AX85" s="1"/>
    </row>
    <row r="86" spans="1:50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1"/>
      <c r="AR86" s="1"/>
      <c r="AS86" s="1"/>
      <c r="AT86" s="1"/>
      <c r="AU86" s="1"/>
      <c r="AV86" s="1"/>
      <c r="AW86" s="1"/>
      <c r="AX86" s="1"/>
    </row>
    <row r="87" spans="1:50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1"/>
      <c r="AR87" s="1"/>
      <c r="AS87" s="1"/>
      <c r="AT87" s="1"/>
      <c r="AU87" s="1"/>
      <c r="AV87" s="1"/>
      <c r="AW87" s="1"/>
      <c r="AX87" s="1"/>
    </row>
    <row r="88" spans="1:50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1"/>
      <c r="AR88" s="1"/>
      <c r="AS88" s="1"/>
      <c r="AT88" s="1"/>
      <c r="AU88" s="1"/>
      <c r="AV88" s="1"/>
      <c r="AW88" s="1"/>
      <c r="AX88" s="1"/>
    </row>
    <row r="89" spans="1:50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1"/>
      <c r="AR89" s="1"/>
      <c r="AS89" s="1"/>
      <c r="AT89" s="1"/>
      <c r="AU89" s="1"/>
      <c r="AV89" s="1"/>
      <c r="AW89" s="1"/>
      <c r="AX89" s="1"/>
    </row>
    <row r="90" spans="1:50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1"/>
      <c r="AR90" s="1"/>
      <c r="AS90" s="1"/>
      <c r="AT90" s="1"/>
      <c r="AU90" s="1"/>
      <c r="AV90" s="1"/>
      <c r="AW90" s="1"/>
      <c r="AX90" s="1"/>
    </row>
    <row r="91" spans="1:5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1"/>
      <c r="AR91" s="1"/>
      <c r="AS91" s="1"/>
      <c r="AT91" s="1"/>
      <c r="AU91" s="1"/>
      <c r="AV91" s="1"/>
      <c r="AW91" s="1"/>
      <c r="AX91" s="1"/>
    </row>
    <row r="92" spans="1:5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1"/>
      <c r="AR92" s="1"/>
      <c r="AS92" s="1"/>
      <c r="AT92" s="1"/>
      <c r="AU92" s="1"/>
      <c r="AV92" s="1"/>
      <c r="AW92" s="1"/>
      <c r="AX92" s="1"/>
    </row>
    <row r="93" spans="1:5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1"/>
      <c r="AR93" s="1"/>
      <c r="AS93" s="1"/>
      <c r="AT93" s="1"/>
      <c r="AU93" s="1"/>
      <c r="AV93" s="1"/>
      <c r="AW93" s="1"/>
      <c r="AX93" s="1"/>
    </row>
    <row r="94" spans="1:5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1"/>
      <c r="AR94" s="1"/>
      <c r="AS94" s="1"/>
      <c r="AT94" s="1"/>
      <c r="AU94" s="1"/>
      <c r="AV94" s="1"/>
      <c r="AW94" s="1"/>
      <c r="AX94" s="1"/>
    </row>
    <row r="95" spans="1:5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1"/>
      <c r="AR95" s="1"/>
      <c r="AS95" s="1"/>
      <c r="AT95" s="1"/>
      <c r="AU95" s="1"/>
      <c r="AV95" s="1"/>
      <c r="AW95" s="1"/>
      <c r="AX95" s="1"/>
    </row>
    <row r="96" spans="1:50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1"/>
      <c r="AR96" s="1"/>
      <c r="AS96" s="1"/>
      <c r="AT96" s="1"/>
      <c r="AU96" s="1"/>
      <c r="AV96" s="1"/>
      <c r="AW96" s="1"/>
      <c r="AX96" s="1"/>
    </row>
    <row r="97" spans="1:50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1"/>
      <c r="AR97" s="1"/>
      <c r="AS97" s="1"/>
      <c r="AT97" s="1"/>
      <c r="AU97" s="1"/>
      <c r="AV97" s="1"/>
      <c r="AW97" s="1"/>
      <c r="AX97" s="1"/>
    </row>
    <row r="98" spans="1:50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1"/>
      <c r="AR98" s="1"/>
      <c r="AS98" s="1"/>
      <c r="AT98" s="1"/>
      <c r="AU98" s="1"/>
      <c r="AV98" s="1"/>
      <c r="AW98" s="1"/>
      <c r="AX98" s="1"/>
    </row>
    <row r="99" spans="1:50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1"/>
      <c r="AR99" s="1"/>
      <c r="AS99" s="1"/>
      <c r="AT99" s="1"/>
      <c r="AU99" s="1"/>
      <c r="AV99" s="1"/>
      <c r="AW99" s="1"/>
      <c r="AX99" s="1"/>
    </row>
    <row r="100" spans="1:5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1"/>
      <c r="AR100" s="1"/>
      <c r="AS100" s="1"/>
      <c r="AT100" s="1"/>
      <c r="AU100" s="1"/>
      <c r="AV100" s="1"/>
      <c r="AW100" s="1"/>
      <c r="AX100" s="1"/>
    </row>
    <row r="101" spans="1:5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1"/>
      <c r="AR101" s="1"/>
      <c r="AS101" s="1"/>
      <c r="AT101" s="1"/>
      <c r="AU101" s="1"/>
      <c r="AV101" s="1"/>
      <c r="AW101" s="1"/>
      <c r="AX101" s="1"/>
    </row>
    <row r="102" spans="1:5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1"/>
      <c r="AR102" s="1"/>
      <c r="AS102" s="1"/>
      <c r="AT102" s="1"/>
      <c r="AU102" s="1"/>
      <c r="AV102" s="1"/>
      <c r="AW102" s="1"/>
      <c r="AX102" s="1"/>
    </row>
    <row r="103" spans="1:5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1"/>
      <c r="AR103" s="1"/>
      <c r="AS103" s="1"/>
      <c r="AT103" s="1"/>
      <c r="AU103" s="1"/>
      <c r="AV103" s="1"/>
      <c r="AW103" s="1"/>
      <c r="AX103" s="1"/>
    </row>
    <row r="104" spans="1:5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1"/>
      <c r="AR104" s="1"/>
      <c r="AS104" s="1"/>
      <c r="AT104" s="1"/>
      <c r="AU104" s="1"/>
      <c r="AV104" s="1"/>
      <c r="AW104" s="1"/>
      <c r="AX104" s="1"/>
    </row>
    <row r="105" spans="1:5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1"/>
      <c r="AR105" s="1"/>
      <c r="AS105" s="1"/>
      <c r="AT105" s="1"/>
      <c r="AU105" s="1"/>
      <c r="AV105" s="1"/>
      <c r="AW105" s="1"/>
      <c r="AX105" s="1"/>
    </row>
    <row r="106" spans="1:5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1"/>
      <c r="AR106" s="1"/>
      <c r="AS106" s="1"/>
      <c r="AT106" s="1"/>
      <c r="AU106" s="1"/>
      <c r="AV106" s="1"/>
      <c r="AW106" s="1"/>
      <c r="AX106" s="1"/>
    </row>
    <row r="107" spans="1:5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1"/>
      <c r="AR107" s="1"/>
      <c r="AS107" s="1"/>
      <c r="AT107" s="1"/>
      <c r="AU107" s="1"/>
      <c r="AV107" s="1"/>
      <c r="AW107" s="1"/>
      <c r="AX107" s="1"/>
    </row>
    <row r="108" spans="1:5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1"/>
      <c r="AR108" s="1"/>
      <c r="AS108" s="1"/>
      <c r="AT108" s="1"/>
      <c r="AU108" s="1"/>
      <c r="AV108" s="1"/>
      <c r="AW108" s="1"/>
      <c r="AX108" s="1"/>
    </row>
    <row r="109" spans="1:5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1"/>
      <c r="AR109" s="1"/>
      <c r="AS109" s="1"/>
      <c r="AT109" s="1"/>
      <c r="AU109" s="1"/>
      <c r="AV109" s="1"/>
      <c r="AW109" s="1"/>
      <c r="AX109" s="1"/>
    </row>
    <row r="110" spans="1:5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1"/>
      <c r="AR110" s="1"/>
      <c r="AS110" s="1"/>
      <c r="AT110" s="1"/>
      <c r="AU110" s="1"/>
      <c r="AV110" s="1"/>
      <c r="AW110" s="1"/>
      <c r="AX110" s="1"/>
    </row>
    <row r="111" spans="1:5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1"/>
      <c r="AR111" s="1"/>
      <c r="AS111" s="1"/>
      <c r="AT111" s="1"/>
      <c r="AU111" s="1"/>
      <c r="AV111" s="1"/>
      <c r="AW111" s="1"/>
      <c r="AX111" s="1"/>
    </row>
    <row r="112" spans="1:5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1"/>
      <c r="AR112" s="1"/>
      <c r="AS112" s="1"/>
      <c r="AT112" s="1"/>
      <c r="AU112" s="1"/>
      <c r="AV112" s="1"/>
      <c r="AW112" s="1"/>
      <c r="AX112" s="1"/>
    </row>
    <row r="113" spans="1:5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1"/>
      <c r="AR113" s="1"/>
      <c r="AS113" s="1"/>
      <c r="AT113" s="1"/>
      <c r="AU113" s="1"/>
      <c r="AV113" s="1"/>
      <c r="AW113" s="1"/>
      <c r="AX113" s="1"/>
    </row>
    <row r="114" spans="1:5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1"/>
      <c r="AR114" s="1"/>
      <c r="AS114" s="1"/>
      <c r="AT114" s="1"/>
      <c r="AU114" s="1"/>
      <c r="AV114" s="1"/>
      <c r="AW114" s="1"/>
      <c r="AX114" s="1"/>
    </row>
    <row r="115" spans="1:5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1"/>
      <c r="AR115" s="1"/>
      <c r="AS115" s="1"/>
      <c r="AT115" s="1"/>
      <c r="AU115" s="1"/>
      <c r="AV115" s="1"/>
      <c r="AW115" s="1"/>
      <c r="AX115" s="1"/>
    </row>
    <row r="116" spans="1:5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1"/>
      <c r="AR116" s="1"/>
      <c r="AS116" s="1"/>
      <c r="AT116" s="1"/>
      <c r="AU116" s="1"/>
      <c r="AV116" s="1"/>
      <c r="AW116" s="1"/>
      <c r="AX116" s="1"/>
    </row>
    <row r="117" spans="1:5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1"/>
      <c r="AR117" s="1"/>
      <c r="AS117" s="1"/>
      <c r="AT117" s="1"/>
      <c r="AU117" s="1"/>
      <c r="AV117" s="1"/>
      <c r="AW117" s="1"/>
      <c r="AX117" s="1"/>
    </row>
    <row r="118" spans="1:5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1"/>
      <c r="AR118" s="1"/>
      <c r="AS118" s="1"/>
      <c r="AT118" s="1"/>
      <c r="AU118" s="1"/>
      <c r="AV118" s="1"/>
      <c r="AW118" s="1"/>
      <c r="AX118" s="1"/>
    </row>
    <row r="119" spans="1:5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1"/>
      <c r="AR119" s="1"/>
      <c r="AS119" s="1"/>
      <c r="AT119" s="1"/>
      <c r="AU119" s="1"/>
      <c r="AV119" s="1"/>
      <c r="AW119" s="1"/>
      <c r="AX119" s="1"/>
    </row>
    <row r="120" spans="1:5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1"/>
      <c r="AR120" s="1"/>
      <c r="AS120" s="1"/>
      <c r="AT120" s="1"/>
      <c r="AU120" s="1"/>
      <c r="AV120" s="1"/>
      <c r="AW120" s="1"/>
      <c r="AX120" s="1"/>
    </row>
    <row r="121" spans="1:5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1"/>
      <c r="AR121" s="1"/>
      <c r="AS121" s="1"/>
      <c r="AT121" s="1"/>
      <c r="AU121" s="1"/>
      <c r="AV121" s="1"/>
      <c r="AW121" s="1"/>
      <c r="AX121" s="1"/>
    </row>
    <row r="122" spans="1:5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1"/>
      <c r="AR122" s="1"/>
      <c r="AS122" s="1"/>
      <c r="AT122" s="1"/>
      <c r="AU122" s="1"/>
      <c r="AV122" s="1"/>
      <c r="AW122" s="1"/>
      <c r="AX122" s="1"/>
    </row>
    <row r="123" spans="1:5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1"/>
      <c r="AR123" s="1"/>
      <c r="AS123" s="1"/>
      <c r="AT123" s="1"/>
      <c r="AU123" s="1"/>
      <c r="AV123" s="1"/>
      <c r="AW123" s="1"/>
      <c r="AX123" s="1"/>
    </row>
    <row r="124" spans="1:5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1"/>
      <c r="AR124" s="1"/>
      <c r="AS124" s="1"/>
      <c r="AT124" s="1"/>
      <c r="AU124" s="1"/>
      <c r="AV124" s="1"/>
      <c r="AW124" s="1"/>
      <c r="AX124" s="1"/>
    </row>
    <row r="125" spans="1:5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1"/>
      <c r="AR125" s="1"/>
      <c r="AS125" s="1"/>
      <c r="AT125" s="1"/>
      <c r="AU125" s="1"/>
      <c r="AV125" s="1"/>
      <c r="AW125" s="1"/>
      <c r="AX125" s="1"/>
    </row>
    <row r="126" spans="1:5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1"/>
      <c r="AR126" s="1"/>
      <c r="AS126" s="1"/>
      <c r="AT126" s="1"/>
      <c r="AU126" s="1"/>
      <c r="AV126" s="1"/>
      <c r="AW126" s="1"/>
      <c r="AX126" s="1"/>
    </row>
    <row r="127" spans="1:5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1"/>
      <c r="AR127" s="1"/>
      <c r="AS127" s="1"/>
      <c r="AT127" s="1"/>
      <c r="AU127" s="1"/>
      <c r="AV127" s="1"/>
      <c r="AW127" s="1"/>
      <c r="AX127" s="1"/>
    </row>
    <row r="128" spans="1:5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1"/>
      <c r="AR128" s="1"/>
      <c r="AS128" s="1"/>
      <c r="AT128" s="1"/>
      <c r="AU128" s="1"/>
      <c r="AV128" s="1"/>
      <c r="AW128" s="1"/>
      <c r="AX128" s="1"/>
    </row>
    <row r="129" spans="1:5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1"/>
      <c r="AR129" s="1"/>
      <c r="AS129" s="1"/>
      <c r="AT129" s="1"/>
      <c r="AU129" s="1"/>
      <c r="AV129" s="1"/>
      <c r="AW129" s="1"/>
      <c r="AX129" s="1"/>
    </row>
    <row r="130" spans="1:5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1"/>
      <c r="AR130" s="1"/>
      <c r="AS130" s="1"/>
      <c r="AT130" s="1"/>
      <c r="AU130" s="1"/>
      <c r="AV130" s="1"/>
      <c r="AW130" s="1"/>
      <c r="AX130" s="1"/>
    </row>
    <row r="131" spans="1:5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1"/>
      <c r="AR131" s="1"/>
      <c r="AS131" s="1"/>
      <c r="AT131" s="1"/>
      <c r="AU131" s="1"/>
      <c r="AV131" s="1"/>
      <c r="AW131" s="1"/>
      <c r="AX131" s="1"/>
    </row>
    <row r="132" spans="1:5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1"/>
      <c r="AR132" s="1"/>
      <c r="AS132" s="1"/>
      <c r="AT132" s="1"/>
      <c r="AU132" s="1"/>
      <c r="AV132" s="1"/>
      <c r="AW132" s="1"/>
      <c r="AX132" s="1"/>
    </row>
    <row r="133" spans="1:50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1"/>
      <c r="AR133" s="1"/>
      <c r="AS133" s="1"/>
      <c r="AT133" s="1"/>
      <c r="AU133" s="1"/>
      <c r="AV133" s="1"/>
      <c r="AW133" s="1"/>
      <c r="AX133" s="1"/>
    </row>
    <row r="134" spans="1:50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1"/>
      <c r="AR134" s="1"/>
      <c r="AS134" s="1"/>
      <c r="AT134" s="1"/>
      <c r="AU134" s="1"/>
      <c r="AV134" s="1"/>
      <c r="AW134" s="1"/>
      <c r="AX134" s="1"/>
    </row>
    <row r="135" spans="1:50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1"/>
      <c r="AR135" s="1"/>
      <c r="AS135" s="1"/>
      <c r="AT135" s="1"/>
      <c r="AU135" s="1"/>
      <c r="AV135" s="1"/>
      <c r="AW135" s="1"/>
      <c r="AX135" s="1"/>
    </row>
    <row r="136" spans="1:50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1"/>
      <c r="AR136" s="1"/>
      <c r="AS136" s="1"/>
      <c r="AT136" s="1"/>
      <c r="AU136" s="1"/>
      <c r="AV136" s="1"/>
      <c r="AW136" s="1"/>
      <c r="AX136" s="1"/>
    </row>
    <row r="137" spans="1:50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1"/>
      <c r="AR137" s="1"/>
      <c r="AS137" s="1"/>
      <c r="AT137" s="1"/>
      <c r="AU137" s="1"/>
      <c r="AV137" s="1"/>
      <c r="AW137" s="1"/>
      <c r="AX137" s="1"/>
    </row>
    <row r="138" spans="1:50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1"/>
      <c r="AR138" s="1"/>
      <c r="AS138" s="1"/>
      <c r="AT138" s="1"/>
      <c r="AU138" s="1"/>
      <c r="AV138" s="1"/>
      <c r="AW138" s="1"/>
      <c r="AX138" s="1"/>
    </row>
    <row r="139" spans="1:50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1"/>
      <c r="AR139" s="1"/>
      <c r="AS139" s="1"/>
      <c r="AT139" s="1"/>
      <c r="AU139" s="1"/>
      <c r="AV139" s="1"/>
      <c r="AW139" s="1"/>
      <c r="AX139" s="1"/>
    </row>
    <row r="140" spans="1:50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1"/>
      <c r="AR140" s="1"/>
      <c r="AS140" s="1"/>
      <c r="AT140" s="1"/>
      <c r="AU140" s="1"/>
      <c r="AV140" s="1"/>
      <c r="AW140" s="1"/>
      <c r="AX140" s="1"/>
    </row>
    <row r="141" spans="1:50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1"/>
      <c r="AR141" s="1"/>
      <c r="AS141" s="1"/>
      <c r="AT141" s="1"/>
      <c r="AU141" s="1"/>
      <c r="AV141" s="1"/>
      <c r="AW141" s="1"/>
      <c r="AX141" s="1"/>
    </row>
    <row r="142" spans="1:50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1"/>
      <c r="AR142" s="1"/>
      <c r="AS142" s="1"/>
      <c r="AT142" s="1"/>
      <c r="AU142" s="1"/>
      <c r="AV142" s="1"/>
      <c r="AW142" s="1"/>
      <c r="AX142" s="1"/>
    </row>
    <row r="143" spans="1:50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1"/>
      <c r="AR143" s="1"/>
      <c r="AS143" s="1"/>
      <c r="AT143" s="1"/>
      <c r="AU143" s="1"/>
      <c r="AV143" s="1"/>
      <c r="AW143" s="1"/>
      <c r="AX143" s="1"/>
    </row>
    <row r="144" spans="1:50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1"/>
      <c r="AR144" s="1"/>
      <c r="AS144" s="1"/>
      <c r="AT144" s="1"/>
      <c r="AU144" s="1"/>
      <c r="AV144" s="1"/>
      <c r="AW144" s="1"/>
      <c r="AX144" s="1"/>
    </row>
    <row r="145" spans="1:50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1"/>
      <c r="AR145" s="1"/>
      <c r="AS145" s="1"/>
      <c r="AT145" s="1"/>
      <c r="AU145" s="1"/>
      <c r="AV145" s="1"/>
      <c r="AW145" s="1"/>
      <c r="AX145" s="1"/>
    </row>
    <row r="146" spans="1:50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1"/>
      <c r="AR146" s="1"/>
      <c r="AS146" s="1"/>
      <c r="AT146" s="1"/>
      <c r="AU146" s="1"/>
      <c r="AV146" s="1"/>
      <c r="AW146" s="1"/>
      <c r="AX146" s="1"/>
    </row>
    <row r="147" spans="1:50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1"/>
      <c r="AR147" s="1"/>
      <c r="AS147" s="1"/>
      <c r="AT147" s="1"/>
      <c r="AU147" s="1"/>
      <c r="AV147" s="1"/>
      <c r="AW147" s="1"/>
      <c r="AX147" s="1"/>
    </row>
    <row r="148" spans="1:50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1"/>
      <c r="AR148" s="1"/>
      <c r="AS148" s="1"/>
      <c r="AT148" s="1"/>
      <c r="AU148" s="1"/>
      <c r="AV148" s="1"/>
      <c r="AW148" s="1"/>
      <c r="AX148" s="1"/>
    </row>
    <row r="149" spans="1:50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1"/>
      <c r="AR149" s="1"/>
      <c r="AS149" s="1"/>
      <c r="AT149" s="1"/>
      <c r="AU149" s="1"/>
      <c r="AV149" s="1"/>
      <c r="AW149" s="1"/>
      <c r="AX149" s="1"/>
    </row>
    <row r="150" spans="1:50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1"/>
      <c r="AR150" s="1"/>
      <c r="AS150" s="1"/>
      <c r="AT150" s="1"/>
      <c r="AU150" s="1"/>
      <c r="AV150" s="1"/>
      <c r="AW150" s="1"/>
      <c r="AX150" s="1"/>
    </row>
    <row r="151" spans="1:50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1"/>
      <c r="AR151" s="1"/>
      <c r="AS151" s="1"/>
      <c r="AT151" s="1"/>
      <c r="AU151" s="1"/>
      <c r="AV151" s="1"/>
      <c r="AW151" s="1"/>
      <c r="AX151" s="1"/>
    </row>
    <row r="152" spans="1:50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1"/>
      <c r="AR152" s="1"/>
      <c r="AS152" s="1"/>
      <c r="AT152" s="1"/>
      <c r="AU152" s="1"/>
      <c r="AV152" s="1"/>
      <c r="AW152" s="1"/>
      <c r="AX152" s="1"/>
    </row>
    <row r="153" spans="1:50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1"/>
      <c r="AR153" s="1"/>
      <c r="AS153" s="1"/>
      <c r="AT153" s="1"/>
      <c r="AU153" s="1"/>
      <c r="AV153" s="1"/>
      <c r="AW153" s="1"/>
      <c r="AX153" s="1"/>
    </row>
    <row r="154" spans="1:50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1"/>
      <c r="AR154" s="1"/>
      <c r="AS154" s="1"/>
      <c r="AT154" s="1"/>
      <c r="AU154" s="1"/>
      <c r="AV154" s="1"/>
      <c r="AW154" s="1"/>
      <c r="AX154" s="1"/>
    </row>
    <row r="155" spans="1:50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1"/>
      <c r="AR155" s="1"/>
      <c r="AS155" s="1"/>
      <c r="AT155" s="1"/>
      <c r="AU155" s="1"/>
      <c r="AV155" s="1"/>
      <c r="AW155" s="1"/>
      <c r="AX155" s="1"/>
    </row>
    <row r="156" spans="1:50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1"/>
      <c r="AR156" s="1"/>
      <c r="AS156" s="1"/>
      <c r="AT156" s="1"/>
      <c r="AU156" s="1"/>
      <c r="AV156" s="1"/>
      <c r="AW156" s="1"/>
      <c r="AX156" s="1"/>
    </row>
    <row r="157" spans="1:50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1"/>
      <c r="AR157" s="1"/>
      <c r="AS157" s="1"/>
      <c r="AT157" s="1"/>
      <c r="AU157" s="1"/>
      <c r="AV157" s="1"/>
      <c r="AW157" s="1"/>
      <c r="AX157" s="1"/>
    </row>
    <row r="158" spans="1:50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1"/>
      <c r="AR158" s="1"/>
      <c r="AS158" s="1"/>
      <c r="AT158" s="1"/>
      <c r="AU158" s="1"/>
      <c r="AV158" s="1"/>
      <c r="AW158" s="1"/>
      <c r="AX158" s="1"/>
    </row>
    <row r="159" spans="1:50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1"/>
      <c r="AR159" s="1"/>
      <c r="AS159" s="1"/>
      <c r="AT159" s="1"/>
      <c r="AU159" s="1"/>
      <c r="AV159" s="1"/>
      <c r="AW159" s="1"/>
      <c r="AX159" s="1"/>
    </row>
    <row r="160" spans="1:50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1"/>
      <c r="AR160" s="1"/>
      <c r="AS160" s="1"/>
      <c r="AT160" s="1"/>
      <c r="AU160" s="1"/>
      <c r="AV160" s="1"/>
      <c r="AW160" s="1"/>
      <c r="AX160" s="1"/>
    </row>
    <row r="161" spans="1:50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1"/>
      <c r="AR161" s="1"/>
      <c r="AS161" s="1"/>
      <c r="AT161" s="1"/>
      <c r="AU161" s="1"/>
      <c r="AV161" s="1"/>
      <c r="AW161" s="1"/>
      <c r="AX161" s="1"/>
    </row>
    <row r="162" spans="1:50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1"/>
      <c r="AR162" s="1"/>
      <c r="AS162" s="1"/>
      <c r="AT162" s="1"/>
      <c r="AU162" s="1"/>
      <c r="AV162" s="1"/>
      <c r="AW162" s="1"/>
      <c r="AX162" s="1"/>
    </row>
    <row r="163" spans="1:50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1"/>
      <c r="AR163" s="1"/>
      <c r="AS163" s="1"/>
      <c r="AT163" s="1"/>
      <c r="AU163" s="1"/>
      <c r="AV163" s="1"/>
      <c r="AW163" s="1"/>
      <c r="AX163" s="1"/>
    </row>
    <row r="164" spans="1:50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1"/>
      <c r="AR164" s="1"/>
      <c r="AS164" s="1"/>
      <c r="AT164" s="1"/>
      <c r="AU164" s="1"/>
      <c r="AV164" s="1"/>
      <c r="AW164" s="1"/>
      <c r="AX164" s="1"/>
    </row>
    <row r="165" spans="1:50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1"/>
      <c r="AR165" s="1"/>
      <c r="AS165" s="1"/>
      <c r="AT165" s="1"/>
      <c r="AU165" s="1"/>
      <c r="AV165" s="1"/>
      <c r="AW165" s="1"/>
      <c r="AX165" s="1"/>
    </row>
    <row r="166" spans="1:50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1"/>
      <c r="AR166" s="1"/>
      <c r="AS166" s="1"/>
      <c r="AT166" s="1"/>
      <c r="AU166" s="1"/>
      <c r="AV166" s="1"/>
      <c r="AW166" s="1"/>
      <c r="AX166" s="1"/>
    </row>
    <row r="167" spans="1:50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1"/>
      <c r="AR167" s="1"/>
      <c r="AS167" s="1"/>
      <c r="AT167" s="1"/>
      <c r="AU167" s="1"/>
      <c r="AV167" s="1"/>
      <c r="AW167" s="1"/>
      <c r="AX167" s="1"/>
    </row>
    <row r="168" spans="1:50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1"/>
      <c r="AR168" s="1"/>
      <c r="AS168" s="1"/>
      <c r="AT168" s="1"/>
      <c r="AU168" s="1"/>
      <c r="AV168" s="1"/>
      <c r="AW168" s="1"/>
      <c r="AX168" s="1"/>
    </row>
    <row r="169" spans="1:50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1"/>
      <c r="AR169" s="1"/>
      <c r="AS169" s="1"/>
      <c r="AT169" s="1"/>
      <c r="AU169" s="1"/>
      <c r="AV169" s="1"/>
      <c r="AW169" s="1"/>
      <c r="AX169" s="1"/>
    </row>
    <row r="170" spans="1:50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1"/>
      <c r="AR170" s="1"/>
      <c r="AS170" s="1"/>
      <c r="AT170" s="1"/>
      <c r="AU170" s="1"/>
      <c r="AV170" s="1"/>
      <c r="AW170" s="1"/>
      <c r="AX170" s="1"/>
    </row>
    <row r="171" spans="1:50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1"/>
      <c r="AR171" s="1"/>
      <c r="AS171" s="1"/>
      <c r="AT171" s="1"/>
      <c r="AU171" s="1"/>
      <c r="AV171" s="1"/>
      <c r="AW171" s="1"/>
      <c r="AX171" s="1"/>
    </row>
    <row r="172" spans="1:50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1"/>
      <c r="AR172" s="1"/>
      <c r="AS172" s="1"/>
      <c r="AT172" s="1"/>
      <c r="AU172" s="1"/>
      <c r="AV172" s="1"/>
      <c r="AW172" s="1"/>
      <c r="AX172" s="1"/>
    </row>
    <row r="173" spans="1:50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1"/>
      <c r="AR173" s="1"/>
      <c r="AS173" s="1"/>
      <c r="AT173" s="1"/>
      <c r="AU173" s="1"/>
      <c r="AV173" s="1"/>
      <c r="AW173" s="1"/>
      <c r="AX173" s="1"/>
    </row>
    <row r="174" spans="1:50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1"/>
      <c r="AR174" s="1"/>
      <c r="AS174" s="1"/>
      <c r="AT174" s="1"/>
      <c r="AU174" s="1"/>
      <c r="AV174" s="1"/>
      <c r="AW174" s="1"/>
      <c r="AX174" s="1"/>
    </row>
    <row r="175" spans="1:50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1"/>
      <c r="AR175" s="1"/>
      <c r="AS175" s="1"/>
      <c r="AT175" s="1"/>
      <c r="AU175" s="1"/>
      <c r="AV175" s="1"/>
      <c r="AW175" s="1"/>
      <c r="AX175" s="1"/>
    </row>
    <row r="176" spans="1:50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1"/>
      <c r="AR176" s="1"/>
      <c r="AS176" s="1"/>
      <c r="AT176" s="1"/>
      <c r="AU176" s="1"/>
      <c r="AV176" s="1"/>
      <c r="AW176" s="1"/>
      <c r="AX176" s="1"/>
    </row>
    <row r="177" spans="1:50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1"/>
      <c r="AR177" s="1"/>
      <c r="AS177" s="1"/>
      <c r="AT177" s="1"/>
      <c r="AU177" s="1"/>
      <c r="AV177" s="1"/>
      <c r="AW177" s="1"/>
      <c r="AX177" s="1"/>
    </row>
    <row r="178" spans="1:50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1"/>
      <c r="AR178" s="1"/>
      <c r="AS178" s="1"/>
      <c r="AT178" s="1"/>
      <c r="AU178" s="1"/>
      <c r="AV178" s="1"/>
      <c r="AW178" s="1"/>
      <c r="AX178" s="1"/>
    </row>
    <row r="179" spans="1:50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1"/>
      <c r="AR179" s="1"/>
      <c r="AS179" s="1"/>
      <c r="AT179" s="1"/>
      <c r="AU179" s="1"/>
      <c r="AV179" s="1"/>
      <c r="AW179" s="1"/>
      <c r="AX179" s="1"/>
    </row>
    <row r="180" spans="1:50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1"/>
      <c r="AR180" s="1"/>
      <c r="AS180" s="1"/>
      <c r="AT180" s="1"/>
      <c r="AU180" s="1"/>
      <c r="AV180" s="1"/>
      <c r="AW180" s="1"/>
      <c r="AX180" s="1"/>
    </row>
    <row r="181" spans="1:50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1"/>
      <c r="AR181" s="1"/>
      <c r="AS181" s="1"/>
      <c r="AT181" s="1"/>
      <c r="AU181" s="1"/>
      <c r="AV181" s="1"/>
      <c r="AW181" s="1"/>
      <c r="AX181" s="1"/>
    </row>
    <row r="182" spans="1:50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1"/>
      <c r="AR182" s="1"/>
      <c r="AS182" s="1"/>
      <c r="AT182" s="1"/>
      <c r="AU182" s="1"/>
      <c r="AV182" s="1"/>
      <c r="AW182" s="1"/>
      <c r="AX182" s="1"/>
    </row>
    <row r="183" spans="1:50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1"/>
      <c r="AR183" s="1"/>
      <c r="AS183" s="1"/>
      <c r="AT183" s="1"/>
      <c r="AU183" s="1"/>
      <c r="AV183" s="1"/>
      <c r="AW183" s="1"/>
      <c r="AX183" s="1"/>
    </row>
    <row r="184" spans="1:50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1"/>
      <c r="AR184" s="1"/>
      <c r="AS184" s="1"/>
      <c r="AT184" s="1"/>
      <c r="AU184" s="1"/>
      <c r="AV184" s="1"/>
      <c r="AW184" s="1"/>
      <c r="AX184" s="1"/>
    </row>
    <row r="185" spans="1:50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1"/>
      <c r="AR185" s="1"/>
      <c r="AS185" s="1"/>
      <c r="AT185" s="1"/>
      <c r="AU185" s="1"/>
      <c r="AV185" s="1"/>
      <c r="AW185" s="1"/>
      <c r="AX185" s="1"/>
    </row>
    <row r="186" spans="1:50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1"/>
      <c r="AR186" s="1"/>
      <c r="AS186" s="1"/>
      <c r="AT186" s="1"/>
      <c r="AU186" s="1"/>
      <c r="AV186" s="1"/>
      <c r="AW186" s="1"/>
      <c r="AX186" s="1"/>
    </row>
    <row r="187" spans="1:50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1"/>
      <c r="AR187" s="1"/>
      <c r="AS187" s="1"/>
      <c r="AT187" s="1"/>
      <c r="AU187" s="1"/>
      <c r="AV187" s="1"/>
      <c r="AW187" s="1"/>
      <c r="AX187" s="1"/>
    </row>
    <row r="188" spans="1:50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1"/>
      <c r="AR188" s="1"/>
      <c r="AS188" s="1"/>
      <c r="AT188" s="1"/>
      <c r="AU188" s="1"/>
      <c r="AV188" s="1"/>
      <c r="AW188" s="1"/>
      <c r="AX188" s="1"/>
    </row>
    <row r="189" spans="1:50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1"/>
      <c r="AR189" s="1"/>
      <c r="AS189" s="1"/>
      <c r="AT189" s="1"/>
      <c r="AU189" s="1"/>
      <c r="AV189" s="1"/>
      <c r="AW189" s="1"/>
      <c r="AX189" s="1"/>
    </row>
    <row r="190" spans="1:50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1"/>
      <c r="AR190" s="1"/>
      <c r="AS190" s="1"/>
      <c r="AT190" s="1"/>
      <c r="AU190" s="1"/>
      <c r="AV190" s="1"/>
      <c r="AW190" s="1"/>
      <c r="AX190" s="1"/>
    </row>
    <row r="191" spans="1:50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1"/>
      <c r="AR191" s="1"/>
      <c r="AS191" s="1"/>
      <c r="AT191" s="1"/>
      <c r="AU191" s="1"/>
      <c r="AV191" s="1"/>
      <c r="AW191" s="1"/>
      <c r="AX191" s="1"/>
    </row>
    <row r="192" spans="1:50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1"/>
      <c r="AR192" s="1"/>
      <c r="AS192" s="1"/>
      <c r="AT192" s="1"/>
      <c r="AU192" s="1"/>
      <c r="AV192" s="1"/>
      <c r="AW192" s="1"/>
      <c r="AX192" s="1"/>
    </row>
    <row r="193" spans="1:50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1"/>
      <c r="AR193" s="1"/>
      <c r="AS193" s="1"/>
      <c r="AT193" s="1"/>
      <c r="AU193" s="1"/>
      <c r="AV193" s="1"/>
      <c r="AW193" s="1"/>
      <c r="AX193" s="1"/>
    </row>
    <row r="194" spans="1:50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1"/>
      <c r="AR194" s="1"/>
      <c r="AS194" s="1"/>
      <c r="AT194" s="1"/>
      <c r="AU194" s="1"/>
      <c r="AV194" s="1"/>
      <c r="AW194" s="1"/>
      <c r="AX194" s="1"/>
    </row>
    <row r="195" spans="1:50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1"/>
      <c r="AR195" s="1"/>
      <c r="AS195" s="1"/>
      <c r="AT195" s="1"/>
      <c r="AU195" s="1"/>
      <c r="AV195" s="1"/>
      <c r="AW195" s="1"/>
      <c r="AX195" s="1"/>
    </row>
    <row r="196" spans="1:50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1"/>
      <c r="AR196" s="1"/>
      <c r="AS196" s="1"/>
      <c r="AT196" s="1"/>
      <c r="AU196" s="1"/>
      <c r="AV196" s="1"/>
      <c r="AW196" s="1"/>
      <c r="AX196" s="1"/>
    </row>
    <row r="197" spans="1:50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1"/>
      <c r="AR197" s="1"/>
      <c r="AS197" s="1"/>
      <c r="AT197" s="1"/>
      <c r="AU197" s="1"/>
      <c r="AV197" s="1"/>
      <c r="AW197" s="1"/>
      <c r="AX197" s="1"/>
    </row>
    <row r="198" spans="1:50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1"/>
      <c r="AR198" s="1"/>
      <c r="AS198" s="1"/>
      <c r="AT198" s="1"/>
      <c r="AU198" s="1"/>
      <c r="AV198" s="1"/>
      <c r="AW198" s="1"/>
      <c r="AX198" s="1"/>
    </row>
    <row r="199" spans="1:50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1"/>
      <c r="AR199" s="1"/>
      <c r="AS199" s="1"/>
      <c r="AT199" s="1"/>
      <c r="AU199" s="1"/>
      <c r="AV199" s="1"/>
      <c r="AW199" s="1"/>
      <c r="AX199" s="1"/>
    </row>
    <row r="200" spans="1:50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1"/>
      <c r="AR200" s="1"/>
      <c r="AS200" s="1"/>
      <c r="AT200" s="1"/>
      <c r="AU200" s="1"/>
      <c r="AV200" s="1"/>
      <c r="AW200" s="1"/>
      <c r="AX200" s="1"/>
    </row>
    <row r="201" spans="1:50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1"/>
      <c r="AR201" s="1"/>
      <c r="AS201" s="1"/>
      <c r="AT201" s="1"/>
      <c r="AU201" s="1"/>
      <c r="AV201" s="1"/>
      <c r="AW201" s="1"/>
      <c r="AX201" s="1"/>
    </row>
    <row r="202" spans="1:50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1"/>
      <c r="AR202" s="1"/>
      <c r="AS202" s="1"/>
      <c r="AT202" s="1"/>
      <c r="AU202" s="1"/>
      <c r="AV202" s="1"/>
      <c r="AW202" s="1"/>
      <c r="AX202" s="1"/>
    </row>
    <row r="203" spans="1:50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1"/>
      <c r="AR203" s="1"/>
      <c r="AS203" s="1"/>
      <c r="AT203" s="1"/>
      <c r="AU203" s="1"/>
      <c r="AV203" s="1"/>
      <c r="AW203" s="1"/>
      <c r="AX203" s="1"/>
    </row>
    <row r="204" spans="1:50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1"/>
      <c r="AR204" s="1"/>
      <c r="AS204" s="1"/>
      <c r="AT204" s="1"/>
      <c r="AU204" s="1"/>
      <c r="AV204" s="1"/>
      <c r="AW204" s="1"/>
      <c r="AX204" s="1"/>
    </row>
    <row r="205" spans="1:50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1"/>
      <c r="AR205" s="1"/>
      <c r="AS205" s="1"/>
      <c r="AT205" s="1"/>
      <c r="AU205" s="1"/>
      <c r="AV205" s="1"/>
      <c r="AW205" s="1"/>
      <c r="AX205" s="1"/>
    </row>
    <row r="206" spans="1:50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1"/>
      <c r="AR206" s="1"/>
      <c r="AS206" s="1"/>
      <c r="AT206" s="1"/>
      <c r="AU206" s="1"/>
      <c r="AV206" s="1"/>
      <c r="AW206" s="1"/>
      <c r="AX206" s="1"/>
    </row>
    <row r="207" spans="1:50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1"/>
      <c r="AR207" s="1"/>
      <c r="AS207" s="1"/>
      <c r="AT207" s="1"/>
      <c r="AU207" s="1"/>
      <c r="AV207" s="1"/>
      <c r="AW207" s="1"/>
      <c r="AX207" s="1"/>
    </row>
    <row r="208" spans="1:50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1"/>
      <c r="AR208" s="1"/>
      <c r="AS208" s="1"/>
      <c r="AT208" s="1"/>
      <c r="AU208" s="1"/>
      <c r="AV208" s="1"/>
      <c r="AW208" s="1"/>
      <c r="AX208" s="1"/>
    </row>
    <row r="209" spans="1:50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1"/>
      <c r="AR209" s="1"/>
      <c r="AS209" s="1"/>
      <c r="AT209" s="1"/>
      <c r="AU209" s="1"/>
      <c r="AV209" s="1"/>
      <c r="AW209" s="1"/>
      <c r="AX209" s="1"/>
    </row>
    <row r="210" spans="1:50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1"/>
      <c r="AR210" s="1"/>
      <c r="AS210" s="1"/>
      <c r="AT210" s="1"/>
      <c r="AU210" s="1"/>
      <c r="AV210" s="1"/>
      <c r="AW210" s="1"/>
      <c r="AX210" s="1"/>
    </row>
    <row r="211" spans="1:50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1"/>
      <c r="AR211" s="1"/>
      <c r="AS211" s="1"/>
      <c r="AT211" s="1"/>
      <c r="AU211" s="1"/>
      <c r="AV211" s="1"/>
      <c r="AW211" s="1"/>
      <c r="AX211" s="1"/>
    </row>
    <row r="212" spans="1:50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1"/>
      <c r="AR212" s="1"/>
      <c r="AS212" s="1"/>
      <c r="AT212" s="1"/>
      <c r="AU212" s="1"/>
      <c r="AV212" s="1"/>
      <c r="AW212" s="1"/>
      <c r="AX212" s="1"/>
    </row>
    <row r="213" spans="1:50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1"/>
      <c r="AR213" s="1"/>
      <c r="AS213" s="1"/>
      <c r="AT213" s="1"/>
      <c r="AU213" s="1"/>
      <c r="AV213" s="1"/>
      <c r="AW213" s="1"/>
      <c r="AX213" s="1"/>
    </row>
    <row r="214" spans="1:50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1"/>
      <c r="AR214" s="1"/>
      <c r="AS214" s="1"/>
      <c r="AT214" s="1"/>
      <c r="AU214" s="1"/>
      <c r="AV214" s="1"/>
      <c r="AW214" s="1"/>
      <c r="AX214" s="1"/>
    </row>
    <row r="215" spans="1:50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1"/>
      <c r="AR215" s="1"/>
      <c r="AS215" s="1"/>
      <c r="AT215" s="1"/>
      <c r="AU215" s="1"/>
      <c r="AV215" s="1"/>
      <c r="AW215" s="1"/>
      <c r="AX215" s="1"/>
    </row>
    <row r="216" spans="1:50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1"/>
      <c r="AR216" s="1"/>
      <c r="AS216" s="1"/>
      <c r="AT216" s="1"/>
      <c r="AU216" s="1"/>
      <c r="AV216" s="1"/>
      <c r="AW216" s="1"/>
      <c r="AX216" s="1"/>
    </row>
    <row r="217" spans="1:50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1"/>
      <c r="AR217" s="1"/>
      <c r="AS217" s="1"/>
      <c r="AT217" s="1"/>
      <c r="AU217" s="1"/>
      <c r="AV217" s="1"/>
      <c r="AW217" s="1"/>
      <c r="AX217" s="1"/>
    </row>
    <row r="218" spans="1:50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1"/>
      <c r="AR218" s="1"/>
      <c r="AS218" s="1"/>
      <c r="AT218" s="1"/>
      <c r="AU218" s="1"/>
      <c r="AV218" s="1"/>
      <c r="AW218" s="1"/>
      <c r="AX218" s="1"/>
    </row>
    <row r="219" spans="1:50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1"/>
      <c r="AR219" s="1"/>
      <c r="AS219" s="1"/>
      <c r="AT219" s="1"/>
      <c r="AU219" s="1"/>
      <c r="AV219" s="1"/>
      <c r="AW219" s="1"/>
      <c r="AX219" s="1"/>
    </row>
    <row r="220" spans="1:50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1"/>
      <c r="AR220" s="1"/>
      <c r="AS220" s="1"/>
      <c r="AT220" s="1"/>
      <c r="AU220" s="1"/>
      <c r="AV220" s="1"/>
      <c r="AW220" s="1"/>
      <c r="AX220" s="1"/>
    </row>
    <row r="221" spans="1:50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1"/>
      <c r="AR221" s="1"/>
      <c r="AS221" s="1"/>
      <c r="AT221" s="1"/>
      <c r="AU221" s="1"/>
      <c r="AV221" s="1"/>
      <c r="AW221" s="1"/>
      <c r="AX221" s="1"/>
    </row>
    <row r="222" spans="1:50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1"/>
      <c r="AR222" s="1"/>
      <c r="AS222" s="1"/>
      <c r="AT222" s="1"/>
      <c r="AU222" s="1"/>
      <c r="AV222" s="1"/>
      <c r="AW222" s="1"/>
      <c r="AX222" s="1"/>
    </row>
    <row r="223" spans="1:50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1"/>
      <c r="AR223" s="1"/>
      <c r="AS223" s="1"/>
      <c r="AT223" s="1"/>
      <c r="AU223" s="1"/>
      <c r="AV223" s="1"/>
      <c r="AW223" s="1"/>
      <c r="AX223" s="1"/>
    </row>
    <row r="224" spans="1:50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1"/>
      <c r="AR224" s="1"/>
      <c r="AS224" s="1"/>
      <c r="AT224" s="1"/>
      <c r="AU224" s="1"/>
      <c r="AV224" s="1"/>
      <c r="AW224" s="1"/>
      <c r="AX224" s="1"/>
    </row>
    <row r="225" spans="1:50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1"/>
      <c r="AR225" s="1"/>
      <c r="AS225" s="1"/>
      <c r="AT225" s="1"/>
      <c r="AU225" s="1"/>
      <c r="AV225" s="1"/>
      <c r="AW225" s="1"/>
      <c r="AX225" s="1"/>
    </row>
    <row r="226" spans="1:50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1"/>
      <c r="AR226" s="1"/>
      <c r="AS226" s="1"/>
      <c r="AT226" s="1"/>
      <c r="AU226" s="1"/>
      <c r="AV226" s="1"/>
      <c r="AW226" s="1"/>
      <c r="AX226" s="1"/>
    </row>
    <row r="227" spans="1:50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1"/>
      <c r="AR227" s="1"/>
      <c r="AS227" s="1"/>
      <c r="AT227" s="1"/>
      <c r="AU227" s="1"/>
      <c r="AV227" s="1"/>
      <c r="AW227" s="1"/>
      <c r="AX227" s="1"/>
    </row>
    <row r="228" spans="1:50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1"/>
      <c r="AR228" s="1"/>
      <c r="AS228" s="1"/>
      <c r="AT228" s="1"/>
      <c r="AU228" s="1"/>
      <c r="AV228" s="1"/>
      <c r="AW228" s="1"/>
      <c r="AX228" s="1"/>
    </row>
    <row r="229" spans="1:50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1"/>
      <c r="AR229" s="1"/>
      <c r="AS229" s="1"/>
      <c r="AT229" s="1"/>
      <c r="AU229" s="1"/>
      <c r="AV229" s="1"/>
      <c r="AW229" s="1"/>
      <c r="AX229" s="1"/>
    </row>
    <row r="230" spans="1:50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1"/>
      <c r="AR230" s="1"/>
      <c r="AS230" s="1"/>
      <c r="AT230" s="1"/>
      <c r="AU230" s="1"/>
      <c r="AV230" s="1"/>
      <c r="AW230" s="1"/>
      <c r="AX230" s="1"/>
    </row>
    <row r="231" spans="1:50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1"/>
      <c r="AR231" s="1"/>
      <c r="AS231" s="1"/>
      <c r="AT231" s="1"/>
      <c r="AU231" s="1"/>
      <c r="AV231" s="1"/>
      <c r="AW231" s="1"/>
      <c r="AX231" s="1"/>
    </row>
    <row r="232" spans="1:50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1"/>
      <c r="AR232" s="1"/>
      <c r="AS232" s="1"/>
      <c r="AT232" s="1"/>
      <c r="AU232" s="1"/>
      <c r="AV232" s="1"/>
      <c r="AW232" s="1"/>
      <c r="AX232" s="1"/>
    </row>
    <row r="233" spans="1:50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1"/>
      <c r="AR233" s="1"/>
      <c r="AS233" s="1"/>
      <c r="AT233" s="1"/>
      <c r="AU233" s="1"/>
      <c r="AV233" s="1"/>
      <c r="AW233" s="1"/>
      <c r="AX233" s="1"/>
    </row>
    <row r="234" spans="1:50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1"/>
      <c r="AR234" s="1"/>
      <c r="AS234" s="1"/>
      <c r="AT234" s="1"/>
      <c r="AU234" s="1"/>
      <c r="AV234" s="1"/>
      <c r="AW234" s="1"/>
      <c r="AX234" s="1"/>
    </row>
    <row r="235" spans="1:50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1"/>
      <c r="AR235" s="1"/>
      <c r="AS235" s="1"/>
      <c r="AT235" s="1"/>
      <c r="AU235" s="1"/>
      <c r="AV235" s="1"/>
      <c r="AW235" s="1"/>
      <c r="AX235" s="1"/>
    </row>
    <row r="236" spans="1:50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1"/>
      <c r="AR236" s="1"/>
      <c r="AS236" s="1"/>
      <c r="AT236" s="1"/>
      <c r="AU236" s="1"/>
      <c r="AV236" s="1"/>
      <c r="AW236" s="1"/>
      <c r="AX236" s="1"/>
    </row>
    <row r="237" spans="1:50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1"/>
      <c r="AR237" s="1"/>
      <c r="AS237" s="1"/>
      <c r="AT237" s="1"/>
      <c r="AU237" s="1"/>
      <c r="AV237" s="1"/>
      <c r="AW237" s="1"/>
      <c r="AX237" s="1"/>
    </row>
    <row r="238" spans="1:50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1"/>
      <c r="AR238" s="1"/>
      <c r="AS238" s="1"/>
      <c r="AT238" s="1"/>
      <c r="AU238" s="1"/>
      <c r="AV238" s="1"/>
      <c r="AW238" s="1"/>
      <c r="AX238" s="1"/>
    </row>
    <row r="239" spans="1:50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1"/>
      <c r="AR239" s="1"/>
      <c r="AS239" s="1"/>
      <c r="AT239" s="1"/>
      <c r="AU239" s="1"/>
      <c r="AV239" s="1"/>
      <c r="AW239" s="1"/>
      <c r="AX239" s="1"/>
    </row>
    <row r="240" spans="1:50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1"/>
      <c r="AR240" s="1"/>
      <c r="AS240" s="1"/>
      <c r="AT240" s="1"/>
      <c r="AU240" s="1"/>
      <c r="AV240" s="1"/>
      <c r="AW240" s="1"/>
      <c r="AX240" s="1"/>
    </row>
    <row r="241" spans="1:50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1"/>
      <c r="AR241" s="1"/>
      <c r="AS241" s="1"/>
      <c r="AT241" s="1"/>
      <c r="AU241" s="1"/>
      <c r="AV241" s="1"/>
      <c r="AW241" s="1"/>
      <c r="AX241" s="1"/>
    </row>
    <row r="242" spans="1:50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1"/>
      <c r="AR242" s="1"/>
      <c r="AS242" s="1"/>
      <c r="AT242" s="1"/>
      <c r="AU242" s="1"/>
      <c r="AV242" s="1"/>
      <c r="AW242" s="1"/>
      <c r="AX242" s="1"/>
    </row>
    <row r="243" spans="1:50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1"/>
      <c r="AR243" s="1"/>
      <c r="AS243" s="1"/>
      <c r="AT243" s="1"/>
      <c r="AU243" s="1"/>
      <c r="AV243" s="1"/>
      <c r="AW243" s="1"/>
      <c r="AX243" s="1"/>
    </row>
    <row r="244" spans="1:50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1"/>
      <c r="AR244" s="1"/>
      <c r="AS244" s="1"/>
      <c r="AT244" s="1"/>
      <c r="AU244" s="1"/>
      <c r="AV244" s="1"/>
      <c r="AW244" s="1"/>
      <c r="AX244" s="1"/>
    </row>
    <row r="245" spans="1:50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1"/>
      <c r="AR245" s="1"/>
      <c r="AS245" s="1"/>
      <c r="AT245" s="1"/>
      <c r="AU245" s="1"/>
      <c r="AV245" s="1"/>
      <c r="AW245" s="1"/>
      <c r="AX245" s="1"/>
    </row>
    <row r="246" spans="1:50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1"/>
      <c r="AR246" s="1"/>
      <c r="AS246" s="1"/>
      <c r="AT246" s="1"/>
      <c r="AU246" s="1"/>
      <c r="AV246" s="1"/>
      <c r="AW246" s="1"/>
      <c r="AX246" s="1"/>
    </row>
    <row r="247" spans="1:50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1"/>
      <c r="AR247" s="1"/>
      <c r="AS247" s="1"/>
      <c r="AT247" s="1"/>
      <c r="AU247" s="1"/>
      <c r="AV247" s="1"/>
      <c r="AW247" s="1"/>
      <c r="AX247" s="1"/>
    </row>
    <row r="248" spans="1:50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1"/>
      <c r="AR248" s="1"/>
      <c r="AS248" s="1"/>
      <c r="AT248" s="1"/>
      <c r="AU248" s="1"/>
      <c r="AV248" s="1"/>
      <c r="AW248" s="1"/>
      <c r="AX248" s="1"/>
    </row>
    <row r="249" spans="1:50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1"/>
      <c r="AR249" s="1"/>
      <c r="AS249" s="1"/>
      <c r="AT249" s="1"/>
      <c r="AU249" s="1"/>
      <c r="AV249" s="1"/>
      <c r="AW249" s="1"/>
      <c r="AX249" s="1"/>
    </row>
    <row r="250" spans="1:50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1"/>
      <c r="AR250" s="1"/>
      <c r="AS250" s="1"/>
      <c r="AT250" s="1"/>
      <c r="AU250" s="1"/>
      <c r="AV250" s="1"/>
      <c r="AW250" s="1"/>
      <c r="AX250" s="1"/>
    </row>
    <row r="251" spans="1:50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1"/>
      <c r="AR251" s="1"/>
      <c r="AS251" s="1"/>
      <c r="AT251" s="1"/>
      <c r="AU251" s="1"/>
      <c r="AV251" s="1"/>
      <c r="AW251" s="1"/>
      <c r="AX251" s="1"/>
    </row>
    <row r="252" spans="1:50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1"/>
      <c r="AR252" s="1"/>
      <c r="AS252" s="1"/>
      <c r="AT252" s="1"/>
      <c r="AU252" s="1"/>
      <c r="AV252" s="1"/>
      <c r="AW252" s="1"/>
      <c r="AX252" s="1"/>
    </row>
    <row r="253" spans="1:50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1"/>
      <c r="AR253" s="1"/>
      <c r="AS253" s="1"/>
      <c r="AT253" s="1"/>
      <c r="AU253" s="1"/>
      <c r="AV253" s="1"/>
      <c r="AW253" s="1"/>
      <c r="AX253" s="1"/>
    </row>
    <row r="254" spans="1:50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1"/>
      <c r="AR254" s="1"/>
      <c r="AS254" s="1"/>
      <c r="AT254" s="1"/>
      <c r="AU254" s="1"/>
      <c r="AV254" s="1"/>
      <c r="AW254" s="1"/>
      <c r="AX254" s="1"/>
    </row>
    <row r="255" spans="1:50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1"/>
      <c r="AR255" s="1"/>
      <c r="AS255" s="1"/>
      <c r="AT255" s="1"/>
      <c r="AU255" s="1"/>
      <c r="AV255" s="1"/>
      <c r="AW255" s="1"/>
      <c r="AX255" s="1"/>
    </row>
    <row r="256" spans="1:50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1"/>
      <c r="AR256" s="1"/>
      <c r="AS256" s="1"/>
      <c r="AT256" s="1"/>
      <c r="AU256" s="1"/>
      <c r="AV256" s="1"/>
      <c r="AW256" s="1"/>
      <c r="AX256" s="1"/>
    </row>
    <row r="257" spans="1:50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1"/>
      <c r="AR257" s="1"/>
      <c r="AS257" s="1"/>
      <c r="AT257" s="1"/>
      <c r="AU257" s="1"/>
      <c r="AV257" s="1"/>
      <c r="AW257" s="1"/>
      <c r="AX257" s="1"/>
    </row>
    <row r="258" spans="1:50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1"/>
      <c r="AR258" s="1"/>
      <c r="AS258" s="1"/>
      <c r="AT258" s="1"/>
      <c r="AU258" s="1"/>
      <c r="AV258" s="1"/>
      <c r="AW258" s="1"/>
      <c r="AX258" s="1"/>
    </row>
    <row r="259" spans="1:50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1"/>
      <c r="AR259" s="1"/>
      <c r="AS259" s="1"/>
      <c r="AT259" s="1"/>
      <c r="AU259" s="1"/>
      <c r="AV259" s="1"/>
      <c r="AW259" s="1"/>
      <c r="AX259" s="1"/>
    </row>
    <row r="260" spans="1:50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1"/>
      <c r="AR260" s="1"/>
      <c r="AS260" s="1"/>
      <c r="AT260" s="1"/>
      <c r="AU260" s="1"/>
      <c r="AV260" s="1"/>
      <c r="AW260" s="1"/>
      <c r="AX260" s="1"/>
    </row>
    <row r="261" spans="1:50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1"/>
      <c r="AR261" s="1"/>
      <c r="AS261" s="1"/>
      <c r="AT261" s="1"/>
      <c r="AU261" s="1"/>
      <c r="AV261" s="1"/>
      <c r="AW261" s="1"/>
      <c r="AX261" s="1"/>
    </row>
    <row r="262" spans="1:50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1"/>
      <c r="AR262" s="1"/>
      <c r="AS262" s="1"/>
      <c r="AT262" s="1"/>
      <c r="AU262" s="1"/>
      <c r="AV262" s="1"/>
      <c r="AW262" s="1"/>
      <c r="AX262" s="1"/>
    </row>
    <row r="263" spans="1:50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1"/>
      <c r="AR263" s="1"/>
      <c r="AS263" s="1"/>
      <c r="AT263" s="1"/>
      <c r="AU263" s="1"/>
      <c r="AV263" s="1"/>
      <c r="AW263" s="1"/>
      <c r="AX263" s="1"/>
    </row>
    <row r="264" spans="1:50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1"/>
      <c r="AR264" s="1"/>
      <c r="AS264" s="1"/>
      <c r="AT264" s="1"/>
      <c r="AU264" s="1"/>
      <c r="AV264" s="1"/>
      <c r="AW264" s="1"/>
      <c r="AX264" s="1"/>
    </row>
    <row r="265" spans="1:50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1"/>
      <c r="AR265" s="1"/>
      <c r="AS265" s="1"/>
      <c r="AT265" s="1"/>
      <c r="AU265" s="1"/>
      <c r="AV265" s="1"/>
      <c r="AW265" s="1"/>
      <c r="AX265" s="1"/>
    </row>
    <row r="266" spans="1:50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1"/>
      <c r="AR266" s="1"/>
      <c r="AS266" s="1"/>
      <c r="AT266" s="1"/>
      <c r="AU266" s="1"/>
      <c r="AV266" s="1"/>
      <c r="AW266" s="1"/>
      <c r="AX266" s="1"/>
    </row>
    <row r="267" spans="1:50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1"/>
      <c r="AR267" s="1"/>
      <c r="AS267" s="1"/>
      <c r="AT267" s="1"/>
      <c r="AU267" s="1"/>
      <c r="AV267" s="1"/>
      <c r="AW267" s="1"/>
      <c r="AX267" s="1"/>
    </row>
    <row r="268" spans="1:50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1"/>
      <c r="AR268" s="1"/>
      <c r="AS268" s="1"/>
      <c r="AT268" s="1"/>
      <c r="AU268" s="1"/>
      <c r="AV268" s="1"/>
      <c r="AW268" s="1"/>
      <c r="AX268" s="1"/>
    </row>
    <row r="269" spans="1:50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1"/>
      <c r="AR269" s="1"/>
      <c r="AS269" s="1"/>
      <c r="AT269" s="1"/>
      <c r="AU269" s="1"/>
      <c r="AV269" s="1"/>
      <c r="AW269" s="1"/>
      <c r="AX269" s="1"/>
    </row>
    <row r="270" spans="1:50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1"/>
      <c r="AR270" s="1"/>
      <c r="AS270" s="1"/>
      <c r="AT270" s="1"/>
      <c r="AU270" s="1"/>
      <c r="AV270" s="1"/>
      <c r="AW270" s="1"/>
      <c r="AX270" s="1"/>
    </row>
    <row r="271" spans="1:50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1"/>
      <c r="AR271" s="1"/>
      <c r="AS271" s="1"/>
      <c r="AT271" s="1"/>
      <c r="AU271" s="1"/>
      <c r="AV271" s="1"/>
      <c r="AW271" s="1"/>
      <c r="AX271" s="1"/>
    </row>
    <row r="272" spans="1:50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1"/>
      <c r="AR272" s="1"/>
      <c r="AS272" s="1"/>
      <c r="AT272" s="1"/>
      <c r="AU272" s="1"/>
      <c r="AV272" s="1"/>
      <c r="AW272" s="1"/>
      <c r="AX272" s="1"/>
    </row>
    <row r="273" spans="1:50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1"/>
      <c r="AR273" s="1"/>
      <c r="AS273" s="1"/>
      <c r="AT273" s="1"/>
      <c r="AU273" s="1"/>
      <c r="AV273" s="1"/>
      <c r="AW273" s="1"/>
      <c r="AX273" s="1"/>
    </row>
    <row r="274" spans="1:50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1"/>
      <c r="AR274" s="1"/>
      <c r="AS274" s="1"/>
      <c r="AT274" s="1"/>
      <c r="AU274" s="1"/>
      <c r="AV274" s="1"/>
      <c r="AW274" s="1"/>
      <c r="AX274" s="1"/>
    </row>
    <row r="275" spans="1:50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1"/>
      <c r="AR275" s="1"/>
      <c r="AS275" s="1"/>
      <c r="AT275" s="1"/>
      <c r="AU275" s="1"/>
      <c r="AV275" s="1"/>
      <c r="AW275" s="1"/>
      <c r="AX275" s="1"/>
    </row>
    <row r="276" spans="1:50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1"/>
      <c r="AR276" s="1"/>
      <c r="AS276" s="1"/>
      <c r="AT276" s="1"/>
      <c r="AU276" s="1"/>
      <c r="AV276" s="1"/>
      <c r="AW276" s="1"/>
      <c r="AX276" s="1"/>
    </row>
    <row r="277" spans="1:50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1"/>
      <c r="AR277" s="1"/>
      <c r="AS277" s="1"/>
      <c r="AT277" s="1"/>
      <c r="AU277" s="1"/>
      <c r="AV277" s="1"/>
      <c r="AW277" s="1"/>
      <c r="AX277" s="1"/>
    </row>
    <row r="278" spans="1:50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1"/>
      <c r="AR278" s="1"/>
      <c r="AS278" s="1"/>
      <c r="AT278" s="1"/>
      <c r="AU278" s="1"/>
      <c r="AV278" s="1"/>
      <c r="AW278" s="1"/>
      <c r="AX278" s="1"/>
    </row>
    <row r="279" spans="1:50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1"/>
      <c r="AR279" s="1"/>
      <c r="AS279" s="1"/>
      <c r="AT279" s="1"/>
      <c r="AU279" s="1"/>
      <c r="AV279" s="1"/>
      <c r="AW279" s="1"/>
      <c r="AX279" s="1"/>
    </row>
    <row r="280" spans="1:50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1"/>
      <c r="AR280" s="1"/>
      <c r="AS280" s="1"/>
      <c r="AT280" s="1"/>
      <c r="AU280" s="1"/>
      <c r="AV280" s="1"/>
      <c r="AW280" s="1"/>
      <c r="AX280" s="1"/>
    </row>
    <row r="281" spans="1:50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1"/>
      <c r="AR281" s="1"/>
      <c r="AS281" s="1"/>
      <c r="AT281" s="1"/>
      <c r="AU281" s="1"/>
      <c r="AV281" s="1"/>
      <c r="AW281" s="1"/>
      <c r="AX281" s="1"/>
    </row>
    <row r="282" spans="1:50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1"/>
      <c r="AR282" s="1"/>
      <c r="AS282" s="1"/>
      <c r="AT282" s="1"/>
      <c r="AU282" s="1"/>
      <c r="AV282" s="1"/>
      <c r="AW282" s="1"/>
      <c r="AX282" s="1"/>
    </row>
    <row r="283" spans="1:50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1"/>
      <c r="AR283" s="1"/>
      <c r="AS283" s="1"/>
      <c r="AT283" s="1"/>
      <c r="AU283" s="1"/>
      <c r="AV283" s="1"/>
      <c r="AW283" s="1"/>
      <c r="AX283" s="1"/>
    </row>
    <row r="284" spans="1:50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1"/>
      <c r="AR284" s="1"/>
      <c r="AS284" s="1"/>
      <c r="AT284" s="1"/>
      <c r="AU284" s="1"/>
      <c r="AV284" s="1"/>
      <c r="AW284" s="1"/>
      <c r="AX284" s="1"/>
    </row>
    <row r="285" spans="1:50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1"/>
      <c r="AR285" s="1"/>
      <c r="AS285" s="1"/>
      <c r="AT285" s="1"/>
      <c r="AU285" s="1"/>
      <c r="AV285" s="1"/>
      <c r="AW285" s="1"/>
      <c r="AX285" s="1"/>
    </row>
  </sheetData>
  <mergeCells count="16">
    <mergeCell ref="B5:D5"/>
    <mergeCell ref="B6:D6"/>
    <mergeCell ref="AS22:AV22"/>
    <mergeCell ref="AK22:AN22"/>
    <mergeCell ref="G5:L5"/>
    <mergeCell ref="G6:L6"/>
    <mergeCell ref="A1:AB1"/>
    <mergeCell ref="AI1:AK1"/>
    <mergeCell ref="A5:A7"/>
    <mergeCell ref="A2:AB2"/>
    <mergeCell ref="A3:AB3"/>
    <mergeCell ref="AB5:AB7"/>
    <mergeCell ref="U5:AA5"/>
    <mergeCell ref="U6:AA6"/>
    <mergeCell ref="O5:T5"/>
    <mergeCell ref="O6:T6"/>
  </mergeCells>
  <pageMargins left="0.7" right="0.7" top="0.75" bottom="0.75" header="0" footer="0"/>
  <pageSetup paperSize="9" scale="60" orientation="landscape" horizontalDpi="4294967295" verticalDpi="4294967295" r:id="rId1"/>
  <rowBreaks count="1" manualBreakCount="1">
    <brk id="40" max="2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</vt:lpstr>
      <vt:lpstr>'18.2'!Print_Area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2020-06-28T07:52:34Z</cp:lastPrinted>
  <dcterms:created xsi:type="dcterms:W3CDTF">2019-02-21T04:10:17Z</dcterms:created>
  <dcterms:modified xsi:type="dcterms:W3CDTF">2020-06-28T07:54:34Z</dcterms:modified>
</cp:coreProperties>
</file>