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8. PENSION AND SOCIAL PROTECTION\"/>
    </mc:Choice>
  </mc:AlternateContent>
  <bookViews>
    <workbookView xWindow="0" yWindow="0" windowWidth="28800" windowHeight="12435" tabRatio="841"/>
  </bookViews>
  <sheets>
    <sheet name="18.14" sheetId="14" r:id="rId1"/>
  </sheets>
  <definedNames>
    <definedName name="_xlnm.Print_Area" localSheetId="0">'18.14'!$A$1:$F$57</definedName>
  </definedNames>
  <calcPr calcId="152511"/>
</workbook>
</file>

<file path=xl/calcChain.xml><?xml version="1.0" encoding="utf-8"?>
<calcChain xmlns="http://schemas.openxmlformats.org/spreadsheetml/2006/main">
  <c r="B7" i="14" l="1"/>
  <c r="E7" i="14"/>
  <c r="E33" i="14"/>
  <c r="D7" i="14"/>
  <c r="E29" i="14" l="1"/>
  <c r="E13" i="14" l="1"/>
  <c r="E21" i="14"/>
  <c r="E30" i="14"/>
  <c r="E15" i="14"/>
  <c r="E23" i="14"/>
  <c r="E31" i="14"/>
  <c r="E14" i="14"/>
  <c r="E8" i="14"/>
  <c r="E16" i="14"/>
  <c r="E24" i="14"/>
  <c r="E32" i="14"/>
  <c r="E22" i="14"/>
  <c r="E9" i="14"/>
  <c r="E17" i="14"/>
  <c r="E25" i="14"/>
  <c r="E10" i="14"/>
  <c r="E18" i="14"/>
  <c r="E26" i="14"/>
  <c r="E11" i="14"/>
  <c r="E19" i="14"/>
  <c r="E27" i="14"/>
  <c r="E12" i="14"/>
  <c r="E20" i="14"/>
  <c r="E28" i="14"/>
</calcChain>
</file>

<file path=xl/sharedStrings.xml><?xml version="1.0" encoding="utf-8"?>
<sst xmlns="http://schemas.openxmlformats.org/spreadsheetml/2006/main" count="95" uniqueCount="69">
  <si>
    <t>އިންސައްތަ</t>
  </si>
  <si>
    <t>ޖުމްލަ</t>
  </si>
  <si>
    <t>% share</t>
  </si>
  <si>
    <t>Total</t>
  </si>
  <si>
    <t>Source: Maldives Pension Administration</t>
  </si>
  <si>
    <t>މަޢުލޫމާތު ދެއްވި ފަރާތް: މޯލްޑިވްސް ޕެންޝަން އެޑްމިނިސްޓްރޭޝަން</t>
  </si>
  <si>
    <t>މުވައްޒަފުންގެ އަދަދު</t>
  </si>
  <si>
    <t xml:space="preserve">މަސައްކަތްކުރާ ތަނުގެ ދާއިރާ 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</si>
  <si>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</si>
  <si>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</si>
  <si>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</si>
  <si>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</si>
  <si>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</si>
  <si>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</si>
  <si>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</si>
  <si>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</si>
  <si>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</si>
  <si>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</si>
  <si>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</si>
  <si>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</si>
  <si>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</si>
  <si>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</si>
  <si>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</si>
  <si>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</si>
  <si>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</si>
  <si>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</si>
  <si>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</si>
  <si>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</si>
  <si>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</si>
  <si>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</si>
  <si>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</si>
  <si>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</si>
  <si>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</si>
  <si>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</si>
  <si>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</si>
  <si>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</si>
  <si>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</si>
  <si>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</si>
  <si>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</si>
  <si>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</si>
  <si>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</si>
  <si>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</si>
  <si>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</si>
  <si>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</si>
  <si>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</si>
  <si>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</si>
  <si>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</si>
  <si>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</si>
  <si>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</si>
  <si>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</si>
  <si>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</si>
  <si>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</si>
  <si>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</si>
  <si>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</si>
  <si>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</si>
  <si>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 xml:space="preserve">Note: The Difference between values in this table  is due to  some members vahing multiple contracts with more than one employer </t>
  </si>
  <si>
    <t>Industry</t>
  </si>
  <si>
    <t>Establishments</t>
  </si>
  <si>
    <t>Employment</t>
  </si>
  <si>
    <t xml:space="preserve">މަސައްކަތްކުރާ ތަންތަނުގެ </t>
  </si>
  <si>
    <t xml:space="preserve">މުވައްޒަފުންގެ </t>
  </si>
  <si>
    <t>ޢަދަދު</t>
  </si>
  <si>
    <t xml:space="preserve">Financial sector, Banks, Investment Funds, Insurance </t>
  </si>
  <si>
    <t xml:space="preserve">ފައިސާގެ ޚިދުމަތް، ބެންކް، އިންވެސްޓްމަންޓް ފަންޑް، އިންޝުއަރެންސް </t>
  </si>
  <si>
    <t>Govt. agencies, public institutions</t>
  </si>
  <si>
    <t>Passenger Ferries</t>
  </si>
  <si>
    <t>ފެރީގެ ޙިދުމަތް</t>
  </si>
  <si>
    <t>TABLE   18.14: EMPLOYEES AND ESTABLISHMENTS REGISTERED IN THE RETIREMENT PENSION SCHEME, END OF 2019</t>
  </si>
  <si>
    <t xml:space="preserve">ތާވަލު  18.14 : އެކި ދާއިރާތަކުން ރިޓާޔަމަންޓް ޕެންޝަން ސްކީމްގައި ރެޖިސްޓްރީކޮށްފައިވާ ތަންތަނުގެ ޢަދަދާއި މުވައްޒަފުންގެ އަދަދު، 2019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</si>
</sst>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7" formatCode="#,##0.0"/>
  </numFmts>
  <fonts count="1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1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</borders>
  <cellStyleXfs count="7">
    <xf numFmtId="0" fontId="0" fillId="0" borderId="0"/>
    <xf numFmtId="164" fontId="11" fillId="0" borderId="11"/>
    <xf numFmtId="0" fontId="1" fillId="0" borderId="11"/>
    <xf numFmtId="0" fontId="1" fillId="0" borderId="11"/>
    <xf numFmtId="43" fontId="10" fillId="0" borderId="11" applyFont="0" applyFill="0" applyBorder="0" applyAlignment="0" applyProtection="0"/>
    <xf numFmtId="43" fontId="10" fillId="0" borderId="11" applyFont="0" applyFill="0" applyBorder="0" applyAlignment="0" applyProtection="0"/>
    <xf numFmtId="0" fontId="10" fillId="0" borderId="11"/>
  </cellStyleXfs>
  <cellXfs count="51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0" fontId="0" fillId="2" borderId="11" xfId="0" applyFont="1" applyFill="1" applyBorder="1"/>
    <xf numFmtId="0" fontId="4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0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65" fontId="0" fillId="2" borderId="2" xfId="0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/>
    <xf numFmtId="0" fontId="4" fillId="2" borderId="10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vertical="center"/>
    </xf>
    <xf numFmtId="3" fontId="4" fillId="2" borderId="2" xfId="0" applyNumberFormat="1" applyFont="1" applyFill="1" applyBorder="1" applyAlignment="1">
      <alignment horizontal="right" vertical="center" wrapText="1"/>
    </xf>
    <xf numFmtId="167" fontId="0" fillId="2" borderId="2" xfId="0" applyNumberFormat="1" applyFont="1" applyFill="1" applyBorder="1" applyAlignment="1">
      <alignment horizontal="right" vertical="center" wrapText="1"/>
    </xf>
    <xf numFmtId="167" fontId="0" fillId="2" borderId="9" xfId="0" applyNumberFormat="1" applyFont="1" applyFill="1" applyBorder="1" applyAlignment="1">
      <alignment horizontal="right" vertical="center" wrapText="1"/>
    </xf>
    <xf numFmtId="165" fontId="0" fillId="3" borderId="0" xfId="0" applyNumberFormat="1" applyFont="1" applyFill="1" applyAlignment="1"/>
    <xf numFmtId="0" fontId="4" fillId="2" borderId="11" xfId="0" applyFont="1" applyFill="1" applyBorder="1" applyAlignment="1">
      <alignment horizontal="center" vertical="center"/>
    </xf>
    <xf numFmtId="3" fontId="0" fillId="4" borderId="11" xfId="0" applyNumberFormat="1" applyFont="1" applyFill="1" applyBorder="1" applyAlignment="1">
      <alignment horizontal="right" vertical="center"/>
    </xf>
    <xf numFmtId="3" fontId="0" fillId="4" borderId="12" xfId="0" applyNumberFormat="1" applyFont="1" applyFill="1" applyBorder="1" applyAlignment="1">
      <alignment horizontal="right" vertical="center"/>
    </xf>
    <xf numFmtId="0" fontId="0" fillId="5" borderId="11" xfId="0" applyFont="1" applyFill="1" applyBorder="1"/>
    <xf numFmtId="0" fontId="0" fillId="5" borderId="11" xfId="0" applyFont="1" applyFill="1" applyBorder="1" applyAlignment="1">
      <alignment horizontal="left" vertical="center"/>
    </xf>
    <xf numFmtId="0" fontId="0" fillId="5" borderId="12" xfId="0" applyFont="1" applyFill="1" applyBorder="1" applyAlignment="1">
      <alignment horizontal="left" vertical="center"/>
    </xf>
    <xf numFmtId="0" fontId="5" fillId="5" borderId="11" xfId="0" applyFont="1" applyFill="1" applyBorder="1" applyAlignment="1"/>
    <xf numFmtId="0" fontId="5" fillId="5" borderId="11" xfId="0" applyFont="1" applyFill="1" applyBorder="1" applyAlignment="1">
      <alignment horizontal="right" vertical="center" wrapText="1"/>
    </xf>
    <xf numFmtId="0" fontId="5" fillId="5" borderId="12" xfId="0" applyFont="1" applyFill="1" applyBorder="1" applyAlignment="1"/>
    <xf numFmtId="0" fontId="7" fillId="5" borderId="11" xfId="0" applyFont="1" applyFill="1" applyBorder="1" applyAlignment="1">
      <alignment horizontal="left" vertical="center"/>
    </xf>
    <xf numFmtId="0" fontId="7" fillId="5" borderId="11" xfId="0" applyFont="1" applyFill="1" applyBorder="1"/>
    <xf numFmtId="0" fontId="9" fillId="5" borderId="11" xfId="0" applyFont="1" applyFill="1" applyBorder="1" applyAlignment="1">
      <alignment horizontal="left" vertical="center" wrapText="1"/>
    </xf>
    <xf numFmtId="0" fontId="6" fillId="5" borderId="11" xfId="0" applyFont="1" applyFill="1" applyBorder="1" applyAlignment="1">
      <alignment horizontal="left" vertical="center"/>
    </xf>
    <xf numFmtId="0" fontId="12" fillId="5" borderId="11" xfId="0" applyFont="1" applyFill="1" applyBorder="1" applyAlignment="1">
      <alignment vertical="center"/>
    </xf>
    <xf numFmtId="165" fontId="0" fillId="2" borderId="0" xfId="0" applyNumberFormat="1" applyFont="1" applyFill="1" applyBorder="1"/>
    <xf numFmtId="165" fontId="0" fillId="3" borderId="2" xfId="0" applyNumberFormat="1" applyFont="1" applyFill="1" applyBorder="1" applyAlignment="1"/>
    <xf numFmtId="0" fontId="2" fillId="2" borderId="11" xfId="0" applyFont="1" applyFill="1" applyBorder="1" applyAlignment="1">
      <alignment vertical="center"/>
    </xf>
    <xf numFmtId="0" fontId="0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3" fillId="3" borderId="6" xfId="0" applyFont="1" applyFill="1" applyBorder="1"/>
    <xf numFmtId="0" fontId="3" fillId="3" borderId="8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right" vertical="center" wrapText="1"/>
    </xf>
  </cellXfs>
  <cellStyles count="7">
    <cellStyle name="Comma 23" xfId="5"/>
    <cellStyle name="Comma 3" xfId="4"/>
    <cellStyle name="Normal" xfId="0" builtinId="0"/>
    <cellStyle name="Normal 12" xfId="3"/>
    <cellStyle name="Normal 2" xfId="1"/>
    <cellStyle name="Normal 3 2" xfId="2"/>
    <cellStyle name="Normal 8" xfId="6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1001448559937202"/>
          <c:y val="0.15187238419521884"/>
          <c:w val="0.88624202550220788"/>
          <c:h val="0.3747397659208682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996633"/>
            </a:solidFill>
          </c:spPr>
          <c:invertIfNegative val="1"/>
          <c:cat>
            <c:strRef>
              <c:f>'18.14'!$S$24:$S$44</c:f>
              <c:strCache>
                <c:ptCount val="21"/>
                <c:pt idx="0">
                  <c:v>Govt. agencies, public institutions</c:v>
                </c:pt>
                <c:pt idx="1">
                  <c:v>Hotels, Tourist resorts, travel agencies</c:v>
                </c:pt>
                <c:pt idx="2">
                  <c:v>Others</c:v>
                </c:pt>
                <c:pt idx="3">
                  <c:v>Financial sector, Banks, Investment Funds, Insurance </c:v>
                </c:pt>
                <c:pt idx="4">
                  <c:v>Air Transportation</c:v>
                </c:pt>
                <c:pt idx="5">
                  <c:v>Shops, small and medium commercial retail</c:v>
                </c:pt>
                <c:pt idx="6">
                  <c:v>Wholesale retailers</c:v>
                </c:pt>
                <c:pt idx="7">
                  <c:v>Sea Transportation, shipping</c:v>
                </c:pt>
                <c:pt idx="8">
                  <c:v>Construction</c:v>
                </c:pt>
                <c:pt idx="9">
                  <c:v>Schools and educational centers</c:v>
                </c:pt>
                <c:pt idx="10">
                  <c:v>Telecommunications</c:v>
                </c:pt>
                <c:pt idx="11">
                  <c:v>Fishing Industry</c:v>
                </c:pt>
                <c:pt idx="12">
                  <c:v>Health Sector, hospitals, clinics</c:v>
                </c:pt>
                <c:pt idx="13">
                  <c:v>Land Transportation, taxis, buses etc</c:v>
                </c:pt>
                <c:pt idx="14">
                  <c:v>Electricity</c:v>
                </c:pt>
                <c:pt idx="15">
                  <c:v>Restaurants</c:v>
                </c:pt>
                <c:pt idx="16">
                  <c:v>Garbage, and Recycling industry</c:v>
                </c:pt>
                <c:pt idx="17">
                  <c:v>Agriculture</c:v>
                </c:pt>
                <c:pt idx="18">
                  <c:v>Sales of Motor Vehicles</c:v>
                </c:pt>
                <c:pt idx="19">
                  <c:v>Housing Development </c:v>
                </c:pt>
                <c:pt idx="20">
                  <c:v>Pharmacies</c:v>
                </c:pt>
              </c:strCache>
            </c:strRef>
          </c:cat>
          <c:val>
            <c:numRef>
              <c:f>'18.14'!$T$24:$T$44</c:f>
              <c:numCache>
                <c:formatCode>0.0</c:formatCode>
                <c:ptCount val="21"/>
                <c:pt idx="0">
                  <c:v>42.17112004413967</c:v>
                </c:pt>
                <c:pt idx="1">
                  <c:v>20.244147552612912</c:v>
                </c:pt>
                <c:pt idx="2">
                  <c:v>7.8830692835185623</c:v>
                </c:pt>
                <c:pt idx="3">
                  <c:v>4.8573342791834158</c:v>
                </c:pt>
                <c:pt idx="4">
                  <c:v>4.7095452037518717</c:v>
                </c:pt>
                <c:pt idx="5">
                  <c:v>3.5833924489635058</c:v>
                </c:pt>
                <c:pt idx="6">
                  <c:v>3.5705840624261054</c:v>
                </c:pt>
                <c:pt idx="7">
                  <c:v>2.8089776937022148</c:v>
                </c:pt>
                <c:pt idx="8">
                  <c:v>2.31142113974935</c:v>
                </c:pt>
                <c:pt idx="9">
                  <c:v>2.003034602348861</c:v>
                </c:pt>
                <c:pt idx="10">
                  <c:v>1.779380468195791</c:v>
                </c:pt>
                <c:pt idx="11">
                  <c:v>1.252266099156617</c:v>
                </c:pt>
                <c:pt idx="12">
                  <c:v>1.2217230235674312</c:v>
                </c:pt>
                <c:pt idx="13">
                  <c:v>0.56455426814849852</c:v>
                </c:pt>
                <c:pt idx="14">
                  <c:v>0.27094663829116417</c:v>
                </c:pt>
                <c:pt idx="15">
                  <c:v>0.1901552770552534</c:v>
                </c:pt>
                <c:pt idx="16">
                  <c:v>0.16256798297469852</c:v>
                </c:pt>
                <c:pt idx="17">
                  <c:v>0.13301016788838971</c:v>
                </c:pt>
                <c:pt idx="18">
                  <c:v>8.3747142744541647E-2</c:v>
                </c:pt>
                <c:pt idx="19">
                  <c:v>6.0100890675494595E-2</c:v>
                </c:pt>
                <c:pt idx="20">
                  <c:v>5.0248285646724997E-2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1E-4F27-8A37-028B08B39FEE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939080"/>
        <c:axId val="418935944"/>
      </c:barChart>
      <c:catAx>
        <c:axId val="41893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200" b="0" i="0"/>
            </a:pPr>
            <a:endParaRPr lang="en-US"/>
          </a:p>
        </c:txPr>
        <c:crossAx val="418935944"/>
        <c:crosses val="autoZero"/>
        <c:auto val="1"/>
        <c:lblAlgn val="ctr"/>
        <c:lblOffset val="100"/>
        <c:noMultiLvlLbl val="1"/>
      </c:catAx>
      <c:valAx>
        <c:axId val="41893594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.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418939080"/>
        <c:crosses val="autoZero"/>
        <c:crossBetween val="between"/>
      </c:valAx>
      <c:spPr>
        <a:solidFill>
          <a:srgbClr val="FAF5F0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252528</xdr:colOff>
      <xdr:row>36</xdr:row>
      <xdr:rowOff>95482</xdr:rowOff>
    </xdr:from>
    <xdr:ext cx="9267825" cy="4086225"/>
    <xdr:graphicFrame macro=""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1926142</xdr:colOff>
      <xdr:row>36</xdr:row>
      <xdr:rowOff>227439</xdr:rowOff>
    </xdr:from>
    <xdr:ext cx="6705600" cy="390525"/>
    <xdr:sp macro="" textlink="">
      <xdr:nvSpPr>
        <xdr:cNvPr id="29" name="Shape 29"/>
        <xdr:cNvSpPr txBox="1"/>
      </xdr:nvSpPr>
      <xdr:spPr>
        <a:xfrm>
          <a:off x="1926142" y="9415579"/>
          <a:ext cx="6705600" cy="3905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18.18: Percentage distribution of employees registered  in the retirement pension scheme by sector, 2019</a:t>
          </a: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104775</xdr:colOff>
      <xdr:row>38</xdr:row>
      <xdr:rowOff>133350</xdr:rowOff>
    </xdr:from>
    <xdr:ext cx="209550" cy="942975"/>
    <xdr:sp macro="" textlink="">
      <xdr:nvSpPr>
        <xdr:cNvPr id="30" name="Shape 30"/>
        <xdr:cNvSpPr txBox="1"/>
      </xdr:nvSpPr>
      <xdr:spPr>
        <a:xfrm rot="-5400000">
          <a:off x="4879275" y="3679988"/>
          <a:ext cx="933450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Percentage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61"/>
  <sheetViews>
    <sheetView tabSelected="1" zoomScaleNormal="100" zoomScaleSheetLayoutView="82" workbookViewId="0">
      <selection activeCell="K36" sqref="K36"/>
    </sheetView>
  </sheetViews>
  <sheetFormatPr defaultColWidth="14.42578125" defaultRowHeight="15" customHeight="1" x14ac:dyDescent="0.25"/>
  <cols>
    <col min="1" max="1" width="50.140625" style="2" customWidth="1"/>
    <col min="2" max="2" width="16" style="2" customWidth="1"/>
    <col min="3" max="3" width="1.85546875" style="2" customWidth="1"/>
    <col min="4" max="5" width="16" style="2" customWidth="1"/>
    <col min="6" max="6" width="52.85546875" style="2" customWidth="1"/>
    <col min="7" max="18" width="8" style="2" customWidth="1"/>
    <col min="19" max="19" width="36.28515625" style="2" customWidth="1"/>
    <col min="20" max="20" width="12.85546875" style="2" customWidth="1"/>
    <col min="21" max="21" width="23.42578125" style="2" customWidth="1"/>
    <col min="22" max="28" width="8" style="2" customWidth="1"/>
    <col min="29" max="16384" width="14.42578125" style="2"/>
  </cols>
  <sheetData>
    <row r="1" spans="1:28" ht="21" customHeight="1" x14ac:dyDescent="0.25">
      <c r="A1" s="48" t="s">
        <v>68</v>
      </c>
      <c r="B1" s="45"/>
      <c r="C1" s="45"/>
      <c r="D1" s="45"/>
      <c r="E1" s="45"/>
      <c r="F1" s="46"/>
      <c r="G1" s="8"/>
      <c r="H1" s="8"/>
      <c r="I1" s="8"/>
      <c r="J1" s="39"/>
      <c r="K1" s="39"/>
      <c r="L1" s="39"/>
      <c r="M1" s="39"/>
      <c r="N1" s="39"/>
      <c r="O1" s="39"/>
      <c r="P1" s="39"/>
      <c r="Q1" s="39"/>
      <c r="R1" s="39"/>
      <c r="S1" s="9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49" t="s">
        <v>67</v>
      </c>
      <c r="B2" s="45"/>
      <c r="C2" s="45"/>
      <c r="D2" s="45"/>
      <c r="E2" s="45"/>
      <c r="F2" s="46"/>
      <c r="G2" s="1"/>
      <c r="H2" s="1"/>
      <c r="I2" s="1"/>
      <c r="J2" s="6"/>
      <c r="K2" s="6"/>
      <c r="L2" s="6"/>
      <c r="M2" s="6"/>
      <c r="N2" s="6"/>
      <c r="O2" s="6"/>
      <c r="P2" s="6"/>
      <c r="Q2" s="6"/>
      <c r="R2" s="6"/>
      <c r="S2" s="9"/>
      <c r="T2" s="1"/>
      <c r="U2" s="1"/>
      <c r="V2" s="1"/>
      <c r="W2" s="1"/>
      <c r="X2" s="1"/>
      <c r="Y2" s="1"/>
      <c r="Z2" s="1"/>
      <c r="AA2" s="1"/>
      <c r="AB2" s="1"/>
    </row>
    <row r="3" spans="1:28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6"/>
      <c r="K3" s="6"/>
      <c r="L3" s="6"/>
      <c r="M3" s="6"/>
      <c r="N3" s="6"/>
      <c r="O3" s="6"/>
      <c r="P3" s="6"/>
      <c r="Q3" s="6"/>
      <c r="R3" s="6"/>
      <c r="S3" s="9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5">
      <c r="A4" s="42" t="s">
        <v>56</v>
      </c>
      <c r="B4" s="14" t="s">
        <v>57</v>
      </c>
      <c r="C4" s="14"/>
      <c r="D4" s="14" t="s">
        <v>58</v>
      </c>
      <c r="E4" s="14" t="s">
        <v>2</v>
      </c>
      <c r="F4" s="47" t="s">
        <v>7</v>
      </c>
      <c r="G4" s="1"/>
      <c r="H4" s="1"/>
      <c r="I4" s="1"/>
      <c r="J4" s="6"/>
      <c r="K4" s="6"/>
      <c r="L4" s="6"/>
      <c r="M4" s="6"/>
      <c r="N4" s="6"/>
      <c r="O4" s="6"/>
      <c r="P4" s="6"/>
      <c r="Q4" s="6"/>
      <c r="R4" s="6"/>
      <c r="S4" s="12"/>
      <c r="T4" s="11"/>
      <c r="U4" s="3"/>
      <c r="V4" s="3"/>
      <c r="W4" s="3"/>
      <c r="X4" s="3"/>
      <c r="Y4" s="3"/>
      <c r="Z4" s="3"/>
      <c r="AA4" s="3"/>
      <c r="AB4" s="3"/>
    </row>
    <row r="5" spans="1:28" ht="17.25" customHeight="1" x14ac:dyDescent="0.25">
      <c r="A5" s="43"/>
      <c r="B5" s="15" t="s">
        <v>59</v>
      </c>
      <c r="C5" s="15"/>
      <c r="D5" s="50" t="s">
        <v>6</v>
      </c>
      <c r="E5" s="16" t="s">
        <v>60</v>
      </c>
      <c r="F5" s="43"/>
      <c r="G5" s="3"/>
      <c r="H5" s="3"/>
      <c r="I5" s="3"/>
      <c r="J5" s="23"/>
      <c r="K5" s="23"/>
      <c r="L5" s="23"/>
      <c r="M5" s="23"/>
      <c r="N5" s="23"/>
      <c r="O5" s="23"/>
      <c r="P5" s="23"/>
      <c r="Q5" s="23"/>
      <c r="R5" s="23"/>
      <c r="S5" s="9"/>
      <c r="T5" s="11"/>
      <c r="U5" s="3"/>
      <c r="V5" s="3"/>
      <c r="W5" s="3"/>
      <c r="X5" s="3"/>
      <c r="Y5" s="3"/>
      <c r="Z5" s="3"/>
      <c r="AA5" s="3"/>
      <c r="AB5" s="3"/>
    </row>
    <row r="6" spans="1:28" ht="17.25" customHeight="1" x14ac:dyDescent="0.25">
      <c r="A6" s="44"/>
      <c r="B6" s="17" t="s">
        <v>61</v>
      </c>
      <c r="C6" s="17"/>
      <c r="D6" s="44"/>
      <c r="E6" s="18" t="s">
        <v>0</v>
      </c>
      <c r="F6" s="44"/>
      <c r="G6" s="3"/>
      <c r="H6" s="3"/>
      <c r="I6" s="3"/>
      <c r="J6" s="23"/>
      <c r="K6" s="23"/>
      <c r="L6" s="23"/>
      <c r="M6" s="23"/>
      <c r="N6" s="23"/>
      <c r="O6" s="23"/>
      <c r="P6" s="23"/>
      <c r="Q6" s="23"/>
      <c r="R6" s="23"/>
      <c r="S6" s="9"/>
      <c r="T6" s="11"/>
      <c r="U6" s="3"/>
      <c r="V6" s="3"/>
      <c r="W6" s="3"/>
      <c r="X6" s="3"/>
      <c r="Y6" s="3"/>
      <c r="Z6" s="3"/>
      <c r="AA6" s="3"/>
      <c r="AB6" s="3"/>
    </row>
    <row r="7" spans="1:28" ht="21" customHeight="1" x14ac:dyDescent="0.25">
      <c r="A7" s="7" t="s">
        <v>3</v>
      </c>
      <c r="B7" s="19">
        <f>SUM(B8:B33)</f>
        <v>2164</v>
      </c>
      <c r="C7" s="19"/>
      <c r="D7" s="19">
        <f>SUM(D8:D33)</f>
        <v>101496</v>
      </c>
      <c r="E7" s="19">
        <f>D7/D7*100</f>
        <v>100</v>
      </c>
      <c r="F7" s="4" t="s">
        <v>1</v>
      </c>
      <c r="G7" s="3"/>
      <c r="H7" s="3"/>
      <c r="I7" s="3"/>
      <c r="J7" s="23"/>
      <c r="K7" s="23"/>
      <c r="L7" s="23"/>
      <c r="M7" s="23"/>
      <c r="N7" s="23"/>
      <c r="O7" s="23"/>
      <c r="P7" s="23"/>
      <c r="Q7" s="23"/>
      <c r="R7" s="23"/>
      <c r="S7" s="9"/>
      <c r="T7" s="11"/>
      <c r="U7" s="5"/>
      <c r="V7" s="5"/>
      <c r="W7" s="5"/>
      <c r="X7" s="5"/>
      <c r="Y7" s="5"/>
      <c r="Z7" s="5"/>
      <c r="AA7" s="5"/>
      <c r="AB7" s="5"/>
    </row>
    <row r="8" spans="1:28" ht="21" customHeight="1" x14ac:dyDescent="0.55000000000000004">
      <c r="A8" s="27" t="s">
        <v>8</v>
      </c>
      <c r="B8" s="24">
        <v>12</v>
      </c>
      <c r="C8" s="24"/>
      <c r="D8" s="24">
        <v>135</v>
      </c>
      <c r="E8" s="20">
        <f t="shared" ref="E8:E33" si="0">D8/$D$7*100</f>
        <v>0.13301016788838971</v>
      </c>
      <c r="F8" s="29" t="s">
        <v>9</v>
      </c>
      <c r="G8" s="5"/>
      <c r="H8" s="5"/>
      <c r="I8" s="5"/>
      <c r="J8" s="40"/>
      <c r="K8" s="40"/>
      <c r="L8" s="40"/>
      <c r="M8" s="40"/>
      <c r="N8" s="40"/>
      <c r="O8" s="40"/>
      <c r="P8" s="40"/>
      <c r="Q8" s="40"/>
      <c r="R8" s="40"/>
      <c r="U8" s="5"/>
      <c r="V8" s="5"/>
      <c r="W8" s="5"/>
      <c r="X8" s="5"/>
      <c r="Y8" s="5"/>
      <c r="Z8" s="5"/>
      <c r="AA8" s="5"/>
      <c r="AB8" s="5"/>
    </row>
    <row r="9" spans="1:28" ht="25.5" customHeight="1" x14ac:dyDescent="0.55000000000000004">
      <c r="A9" s="27" t="s">
        <v>10</v>
      </c>
      <c r="B9" s="24">
        <v>17</v>
      </c>
      <c r="C9" s="24"/>
      <c r="D9" s="24">
        <v>4780</v>
      </c>
      <c r="E9" s="20">
        <f t="shared" si="0"/>
        <v>4.7095452037518717</v>
      </c>
      <c r="F9" s="29" t="s">
        <v>11</v>
      </c>
      <c r="G9" s="5"/>
      <c r="H9" s="5"/>
      <c r="I9" s="5"/>
      <c r="J9" s="40"/>
      <c r="K9" s="40"/>
      <c r="L9" s="40"/>
      <c r="M9" s="40"/>
      <c r="N9" s="40"/>
      <c r="O9" s="40"/>
      <c r="P9" s="40"/>
      <c r="Q9" s="40"/>
      <c r="R9" s="40"/>
      <c r="U9" s="5"/>
      <c r="V9" s="5"/>
      <c r="W9" s="5"/>
      <c r="X9" s="5"/>
      <c r="Y9" s="5"/>
      <c r="Z9" s="5"/>
      <c r="AA9" s="5"/>
      <c r="AB9" s="5"/>
    </row>
    <row r="10" spans="1:28" ht="27.75" customHeight="1" x14ac:dyDescent="0.55000000000000004">
      <c r="A10" s="27" t="s">
        <v>12</v>
      </c>
      <c r="B10" s="24">
        <v>3</v>
      </c>
      <c r="C10" s="24"/>
      <c r="D10" s="24">
        <v>20</v>
      </c>
      <c r="E10" s="20">
        <f t="shared" si="0"/>
        <v>1.9705210057539214E-2</v>
      </c>
      <c r="F10" s="29" t="s">
        <v>13</v>
      </c>
      <c r="G10" s="5"/>
      <c r="H10" s="5"/>
      <c r="I10" s="5"/>
      <c r="J10" s="40"/>
      <c r="K10" s="40"/>
      <c r="L10" s="40"/>
      <c r="M10" s="40"/>
      <c r="N10" s="40"/>
      <c r="O10" s="40"/>
      <c r="P10" s="40"/>
      <c r="Q10" s="40"/>
      <c r="R10" s="40"/>
      <c r="U10" s="5"/>
      <c r="V10" s="5"/>
      <c r="W10" s="5"/>
      <c r="X10" s="5"/>
      <c r="Y10" s="5"/>
      <c r="Z10" s="5"/>
      <c r="AA10" s="5"/>
      <c r="AB10" s="5"/>
    </row>
    <row r="11" spans="1:28" ht="18.75" customHeight="1" x14ac:dyDescent="0.55000000000000004">
      <c r="A11" s="27" t="s">
        <v>14</v>
      </c>
      <c r="B11" s="24">
        <v>14</v>
      </c>
      <c r="C11" s="24"/>
      <c r="D11" s="24">
        <v>38</v>
      </c>
      <c r="E11" s="20">
        <f t="shared" si="0"/>
        <v>3.7439899109324506E-2</v>
      </c>
      <c r="F11" s="29" t="s">
        <v>15</v>
      </c>
      <c r="G11" s="5"/>
      <c r="H11" s="5"/>
      <c r="I11" s="5"/>
      <c r="J11" s="40"/>
      <c r="K11" s="40"/>
      <c r="L11" s="40"/>
      <c r="M11" s="40"/>
      <c r="N11" s="40"/>
      <c r="O11" s="40"/>
      <c r="P11" s="40"/>
      <c r="Q11" s="40"/>
      <c r="R11" s="40"/>
      <c r="U11" s="5"/>
      <c r="V11" s="5"/>
      <c r="W11" s="5"/>
      <c r="X11" s="5"/>
      <c r="Y11" s="5"/>
      <c r="Z11" s="5"/>
      <c r="AA11" s="5"/>
      <c r="AB11" s="5"/>
    </row>
    <row r="12" spans="1:28" ht="21" customHeight="1" x14ac:dyDescent="0.55000000000000004">
      <c r="A12" s="27" t="s">
        <v>16</v>
      </c>
      <c r="B12" s="24">
        <v>148</v>
      </c>
      <c r="C12" s="24"/>
      <c r="D12" s="24">
        <v>2346</v>
      </c>
      <c r="E12" s="20">
        <f t="shared" si="0"/>
        <v>2.31142113974935</v>
      </c>
      <c r="F12" s="29" t="s">
        <v>17</v>
      </c>
      <c r="G12" s="5"/>
      <c r="H12" s="5"/>
      <c r="I12" s="5"/>
      <c r="J12" s="40"/>
      <c r="K12" s="40"/>
      <c r="L12" s="40"/>
      <c r="M12" s="40"/>
      <c r="N12" s="40"/>
      <c r="O12" s="40"/>
      <c r="P12" s="40"/>
      <c r="Q12" s="40"/>
      <c r="R12" s="40"/>
      <c r="U12" s="5"/>
      <c r="V12" s="5"/>
      <c r="W12" s="5"/>
      <c r="X12" s="5"/>
      <c r="Y12" s="5"/>
      <c r="Z12" s="5"/>
      <c r="AA12" s="5"/>
      <c r="AB12" s="5"/>
    </row>
    <row r="13" spans="1:28" ht="21" customHeight="1" x14ac:dyDescent="0.55000000000000004">
      <c r="A13" s="27" t="s">
        <v>18</v>
      </c>
      <c r="B13" s="24">
        <v>22</v>
      </c>
      <c r="C13" s="24"/>
      <c r="D13" s="24">
        <v>275</v>
      </c>
      <c r="E13" s="20">
        <f t="shared" si="0"/>
        <v>0.27094663829116417</v>
      </c>
      <c r="F13" s="29" t="s">
        <v>19</v>
      </c>
      <c r="G13" s="5"/>
      <c r="H13" s="5"/>
      <c r="I13" s="5"/>
      <c r="J13" s="40"/>
      <c r="K13" s="40"/>
      <c r="L13" s="40"/>
      <c r="M13" s="40"/>
      <c r="N13" s="40"/>
      <c r="O13" s="40"/>
      <c r="P13" s="40"/>
      <c r="Q13" s="40"/>
      <c r="R13" s="40"/>
      <c r="U13" s="5"/>
      <c r="V13" s="5"/>
      <c r="W13" s="5"/>
      <c r="X13" s="5"/>
      <c r="Y13" s="5"/>
      <c r="Z13" s="5"/>
      <c r="AA13" s="5"/>
      <c r="AB13" s="5"/>
    </row>
    <row r="14" spans="1:28" ht="25.5" customHeight="1" x14ac:dyDescent="0.25">
      <c r="A14" s="34" t="s">
        <v>62</v>
      </c>
      <c r="B14" s="24">
        <v>77</v>
      </c>
      <c r="C14" s="24"/>
      <c r="D14" s="24">
        <v>4930</v>
      </c>
      <c r="E14" s="20">
        <f t="shared" si="0"/>
        <v>4.8573342791834158</v>
      </c>
      <c r="F14" s="30" t="s">
        <v>63</v>
      </c>
      <c r="G14" s="5"/>
      <c r="H14" s="5"/>
      <c r="I14" s="5"/>
      <c r="J14" s="40"/>
      <c r="K14" s="40"/>
      <c r="L14" s="40"/>
      <c r="M14" s="40"/>
      <c r="N14" s="40"/>
      <c r="O14" s="40"/>
      <c r="P14" s="40"/>
      <c r="Q14" s="40"/>
      <c r="R14" s="40"/>
      <c r="U14" s="5"/>
      <c r="V14" s="5"/>
      <c r="W14" s="5"/>
      <c r="X14" s="5"/>
      <c r="Y14" s="5"/>
      <c r="Z14" s="5"/>
      <c r="AA14" s="5"/>
      <c r="AB14" s="5"/>
    </row>
    <row r="15" spans="1:28" ht="21" customHeight="1" x14ac:dyDescent="0.55000000000000004">
      <c r="A15" s="27" t="s">
        <v>20</v>
      </c>
      <c r="B15" s="24">
        <v>13</v>
      </c>
      <c r="C15" s="24"/>
      <c r="D15" s="24">
        <v>1271</v>
      </c>
      <c r="E15" s="20">
        <f t="shared" si="0"/>
        <v>1.252266099156617</v>
      </c>
      <c r="F15" s="29" t="s">
        <v>21</v>
      </c>
      <c r="G15" s="5"/>
      <c r="H15" s="5"/>
      <c r="I15" s="5"/>
      <c r="J15" s="40"/>
      <c r="K15" s="40"/>
      <c r="L15" s="40"/>
      <c r="M15" s="40"/>
      <c r="N15" s="40"/>
      <c r="O15" s="40"/>
      <c r="P15" s="40"/>
      <c r="Q15" s="40"/>
      <c r="R15" s="40"/>
      <c r="U15" s="5"/>
      <c r="V15" s="5"/>
      <c r="W15" s="5"/>
      <c r="X15" s="5"/>
      <c r="Y15" s="5"/>
      <c r="Z15" s="5"/>
      <c r="AA15" s="5"/>
      <c r="AB15" s="5"/>
    </row>
    <row r="16" spans="1:28" ht="21" customHeight="1" x14ac:dyDescent="0.55000000000000004">
      <c r="A16" s="27" t="s">
        <v>22</v>
      </c>
      <c r="B16" s="24">
        <v>7</v>
      </c>
      <c r="C16" s="24"/>
      <c r="D16" s="24">
        <v>165</v>
      </c>
      <c r="E16" s="20">
        <f t="shared" si="0"/>
        <v>0.16256798297469852</v>
      </c>
      <c r="F16" s="29" t="s">
        <v>23</v>
      </c>
      <c r="G16" s="5"/>
      <c r="H16" s="5"/>
      <c r="I16" s="5"/>
      <c r="J16" s="40"/>
      <c r="K16" s="40"/>
      <c r="L16" s="40"/>
      <c r="M16" s="40"/>
      <c r="N16" s="40"/>
      <c r="O16" s="40"/>
      <c r="P16" s="40"/>
      <c r="Q16" s="40"/>
      <c r="R16" s="40"/>
      <c r="U16" s="5"/>
      <c r="V16" s="5"/>
      <c r="W16" s="5"/>
      <c r="X16" s="5"/>
      <c r="Y16" s="5"/>
      <c r="Z16" s="5"/>
      <c r="AA16" s="5"/>
      <c r="AB16" s="5"/>
    </row>
    <row r="17" spans="1:28" ht="21" customHeight="1" x14ac:dyDescent="0.55000000000000004">
      <c r="A17" s="27" t="s">
        <v>64</v>
      </c>
      <c r="B17" s="24">
        <v>441</v>
      </c>
      <c r="C17" s="24"/>
      <c r="D17" s="24">
        <v>42802</v>
      </c>
      <c r="E17" s="20">
        <f t="shared" si="0"/>
        <v>42.17112004413967</v>
      </c>
      <c r="F17" s="29" t="s">
        <v>24</v>
      </c>
      <c r="G17" s="5"/>
      <c r="H17" s="5"/>
      <c r="I17" s="5"/>
      <c r="J17" s="40"/>
      <c r="K17" s="40"/>
      <c r="L17" s="40"/>
      <c r="M17" s="40"/>
      <c r="N17" s="40"/>
      <c r="O17" s="40"/>
      <c r="P17" s="40"/>
      <c r="Q17" s="40"/>
      <c r="R17" s="40"/>
      <c r="U17" s="5"/>
      <c r="V17" s="5"/>
      <c r="W17" s="5"/>
      <c r="X17" s="5"/>
      <c r="Y17" s="5"/>
      <c r="Z17" s="5"/>
      <c r="AA17" s="5"/>
      <c r="AB17" s="5"/>
    </row>
    <row r="18" spans="1:28" ht="21" customHeight="1" x14ac:dyDescent="0.55000000000000004">
      <c r="A18" s="27" t="s">
        <v>25</v>
      </c>
      <c r="B18" s="24">
        <v>43</v>
      </c>
      <c r="C18" s="24"/>
      <c r="D18" s="24">
        <v>1240</v>
      </c>
      <c r="E18" s="20">
        <f t="shared" si="0"/>
        <v>1.2217230235674312</v>
      </c>
      <c r="F18" s="29" t="s">
        <v>26</v>
      </c>
      <c r="G18" s="5"/>
      <c r="H18" s="5"/>
      <c r="I18" s="5"/>
      <c r="J18" s="40"/>
      <c r="K18" s="40"/>
      <c r="L18" s="40"/>
      <c r="M18" s="40"/>
      <c r="N18" s="40"/>
      <c r="O18" s="40"/>
      <c r="P18" s="40"/>
      <c r="Q18" s="40"/>
      <c r="R18" s="40"/>
      <c r="U18" s="5"/>
      <c r="V18" s="5"/>
      <c r="W18" s="5"/>
      <c r="X18" s="5"/>
      <c r="Y18" s="5"/>
      <c r="Z18" s="5"/>
      <c r="AA18" s="5"/>
      <c r="AB18" s="5"/>
    </row>
    <row r="19" spans="1:28" ht="21" customHeight="1" x14ac:dyDescent="0.55000000000000004">
      <c r="A19" s="27" t="s">
        <v>27</v>
      </c>
      <c r="B19" s="24">
        <v>358</v>
      </c>
      <c r="C19" s="24"/>
      <c r="D19" s="24">
        <v>20547</v>
      </c>
      <c r="E19" s="20">
        <f t="shared" si="0"/>
        <v>20.244147552612912</v>
      </c>
      <c r="F19" s="29" t="s">
        <v>28</v>
      </c>
      <c r="G19" s="5"/>
      <c r="H19" s="5"/>
      <c r="I19" s="5"/>
      <c r="J19" s="40"/>
      <c r="K19" s="40"/>
      <c r="L19" s="40"/>
      <c r="M19" s="40"/>
      <c r="N19" s="40"/>
      <c r="O19" s="40"/>
      <c r="P19" s="40"/>
      <c r="Q19" s="40"/>
      <c r="R19" s="40"/>
      <c r="U19" s="5"/>
      <c r="V19" s="5"/>
      <c r="W19" s="5"/>
      <c r="X19" s="5"/>
      <c r="Y19" s="5"/>
      <c r="Z19" s="5"/>
      <c r="AA19" s="5"/>
      <c r="AB19" s="5"/>
    </row>
    <row r="20" spans="1:28" ht="21" customHeight="1" x14ac:dyDescent="0.55000000000000004">
      <c r="A20" s="27" t="s">
        <v>29</v>
      </c>
      <c r="B20" s="24">
        <v>5</v>
      </c>
      <c r="C20" s="24"/>
      <c r="D20" s="24">
        <v>61</v>
      </c>
      <c r="E20" s="20">
        <f t="shared" si="0"/>
        <v>6.0100890675494595E-2</v>
      </c>
      <c r="F20" s="29" t="s">
        <v>30</v>
      </c>
      <c r="G20" s="5"/>
      <c r="H20" s="5"/>
      <c r="I20" s="5"/>
      <c r="J20" s="40"/>
      <c r="K20" s="40"/>
      <c r="L20" s="40"/>
      <c r="M20" s="40"/>
      <c r="N20" s="40"/>
      <c r="O20" s="40"/>
      <c r="P20" s="40"/>
      <c r="Q20" s="40"/>
      <c r="R20" s="40"/>
      <c r="U20" s="5"/>
      <c r="V20" s="5"/>
      <c r="W20" s="5"/>
      <c r="X20" s="5"/>
      <c r="Y20" s="5"/>
      <c r="Z20" s="5"/>
      <c r="AA20" s="5"/>
      <c r="AB20" s="5"/>
    </row>
    <row r="21" spans="1:28" ht="21" customHeight="1" x14ac:dyDescent="0.55000000000000004">
      <c r="A21" s="27" t="s">
        <v>31</v>
      </c>
      <c r="B21" s="24">
        <v>5</v>
      </c>
      <c r="C21" s="24"/>
      <c r="D21" s="24">
        <v>573</v>
      </c>
      <c r="E21" s="20">
        <f t="shared" si="0"/>
        <v>0.56455426814849852</v>
      </c>
      <c r="F21" s="29" t="s">
        <v>32</v>
      </c>
      <c r="G21" s="5"/>
      <c r="H21" s="5"/>
      <c r="I21" s="5"/>
      <c r="J21" s="40"/>
      <c r="K21" s="40"/>
      <c r="L21" s="40"/>
      <c r="M21" s="40"/>
      <c r="N21" s="40"/>
      <c r="O21" s="40"/>
      <c r="P21" s="40"/>
      <c r="Q21" s="40"/>
      <c r="R21" s="40"/>
      <c r="U21" s="5"/>
      <c r="V21" s="5"/>
      <c r="W21" s="5"/>
      <c r="X21" s="5"/>
      <c r="Y21" s="5"/>
      <c r="Z21" s="5"/>
      <c r="AA21" s="5"/>
      <c r="AB21" s="5"/>
    </row>
    <row r="22" spans="1:28" ht="21" customHeight="1" x14ac:dyDescent="0.55000000000000004">
      <c r="A22" s="27" t="s">
        <v>33</v>
      </c>
      <c r="B22" s="24">
        <v>1</v>
      </c>
      <c r="C22" s="24"/>
      <c r="D22" s="24">
        <v>1</v>
      </c>
      <c r="E22" s="20">
        <f t="shared" si="0"/>
        <v>9.8526050287696051E-4</v>
      </c>
      <c r="F22" s="29" t="s">
        <v>34</v>
      </c>
      <c r="G22" s="5"/>
      <c r="H22" s="5"/>
      <c r="I22" s="5"/>
      <c r="J22" s="40"/>
      <c r="K22" s="40"/>
      <c r="L22" s="40"/>
      <c r="M22" s="40"/>
      <c r="N22" s="40"/>
      <c r="O22" s="40"/>
      <c r="P22" s="40"/>
      <c r="Q22" s="40"/>
      <c r="R22" s="40"/>
      <c r="U22" s="5"/>
      <c r="V22" s="5"/>
      <c r="W22" s="5"/>
      <c r="X22" s="5"/>
      <c r="Y22" s="5"/>
      <c r="Z22" s="5"/>
      <c r="AA22" s="5"/>
      <c r="AB22" s="5"/>
    </row>
    <row r="23" spans="1:28" ht="21" customHeight="1" x14ac:dyDescent="0.55000000000000004">
      <c r="A23" s="27" t="s">
        <v>53</v>
      </c>
      <c r="B23" s="24">
        <v>346</v>
      </c>
      <c r="C23" s="24"/>
      <c r="D23" s="24">
        <v>8001</v>
      </c>
      <c r="E23" s="20">
        <f t="shared" si="0"/>
        <v>7.8830692835185623</v>
      </c>
      <c r="F23" s="29" t="s">
        <v>54</v>
      </c>
      <c r="G23" s="5"/>
      <c r="H23" s="5"/>
      <c r="I23" s="5"/>
      <c r="J23" s="40"/>
      <c r="K23" s="40"/>
      <c r="L23" s="40"/>
      <c r="M23" s="40"/>
      <c r="N23" s="40"/>
      <c r="O23" s="40"/>
      <c r="P23" s="40"/>
      <c r="Q23" s="40"/>
      <c r="R23" s="40"/>
      <c r="U23" s="5"/>
      <c r="V23" s="5"/>
      <c r="W23" s="5"/>
      <c r="X23" s="5"/>
      <c r="Y23" s="5"/>
      <c r="Z23" s="5"/>
      <c r="AA23" s="5"/>
      <c r="AB23" s="5"/>
    </row>
    <row r="24" spans="1:28" ht="21" customHeight="1" x14ac:dyDescent="0.25">
      <c r="A24" s="27" t="s">
        <v>65</v>
      </c>
      <c r="B24" s="24">
        <v>1</v>
      </c>
      <c r="C24" s="24"/>
      <c r="D24" s="24">
        <v>1</v>
      </c>
      <c r="E24" s="20">
        <f t="shared" si="0"/>
        <v>9.8526050287696051E-4</v>
      </c>
      <c r="F24" s="36" t="s">
        <v>66</v>
      </c>
      <c r="G24" s="5"/>
      <c r="H24" s="5"/>
      <c r="I24" s="5"/>
      <c r="J24" s="40"/>
      <c r="K24" s="40"/>
      <c r="L24" s="40"/>
      <c r="M24" s="40"/>
      <c r="N24" s="40"/>
      <c r="O24" s="40"/>
      <c r="P24" s="40"/>
      <c r="Q24" s="40"/>
      <c r="R24" s="40"/>
      <c r="S24" s="27" t="s">
        <v>64</v>
      </c>
      <c r="T24" s="22">
        <v>42.17112004413967</v>
      </c>
      <c r="U24" s="5"/>
      <c r="V24" s="5"/>
      <c r="W24" s="5"/>
      <c r="X24" s="5"/>
      <c r="Y24" s="5"/>
      <c r="Z24" s="5"/>
      <c r="AA24" s="5"/>
      <c r="AB24" s="5"/>
    </row>
    <row r="25" spans="1:28" ht="21" customHeight="1" x14ac:dyDescent="0.55000000000000004">
      <c r="A25" s="27" t="s">
        <v>35</v>
      </c>
      <c r="B25" s="24">
        <v>9</v>
      </c>
      <c r="C25" s="24"/>
      <c r="D25" s="24">
        <v>51</v>
      </c>
      <c r="E25" s="20">
        <f t="shared" si="0"/>
        <v>5.0248285646724997E-2</v>
      </c>
      <c r="F25" s="29" t="s">
        <v>36</v>
      </c>
      <c r="G25" s="5"/>
      <c r="H25" s="5"/>
      <c r="I25" s="5"/>
      <c r="J25" s="40"/>
      <c r="K25" s="40"/>
      <c r="L25" s="40"/>
      <c r="M25" s="40"/>
      <c r="N25" s="40"/>
      <c r="O25" s="40"/>
      <c r="P25" s="40"/>
      <c r="Q25" s="40"/>
      <c r="R25" s="40"/>
      <c r="S25" s="27" t="s">
        <v>27</v>
      </c>
      <c r="T25" s="22">
        <v>20.244147552612912</v>
      </c>
      <c r="U25" s="5"/>
      <c r="V25" s="5"/>
      <c r="W25" s="5"/>
      <c r="X25" s="5"/>
      <c r="Y25" s="5"/>
      <c r="Z25" s="5"/>
      <c r="AA25" s="5"/>
      <c r="AB25" s="5"/>
    </row>
    <row r="26" spans="1:28" ht="21" customHeight="1" x14ac:dyDescent="0.55000000000000004">
      <c r="A26" s="27" t="s">
        <v>37</v>
      </c>
      <c r="B26" s="24">
        <v>28</v>
      </c>
      <c r="C26" s="24"/>
      <c r="D26" s="24">
        <v>193</v>
      </c>
      <c r="E26" s="20">
        <f t="shared" si="0"/>
        <v>0.1901552770552534</v>
      </c>
      <c r="F26" s="29" t="s">
        <v>38</v>
      </c>
      <c r="G26" s="5"/>
      <c r="H26" s="5"/>
      <c r="I26" s="5"/>
      <c r="J26" s="40"/>
      <c r="K26" s="40"/>
      <c r="L26" s="40"/>
      <c r="M26" s="40"/>
      <c r="N26" s="40"/>
      <c r="O26" s="40"/>
      <c r="P26" s="40"/>
      <c r="Q26" s="40"/>
      <c r="R26" s="40"/>
      <c r="S26" s="27" t="s">
        <v>53</v>
      </c>
      <c r="T26" s="22">
        <v>7.8830692835185623</v>
      </c>
      <c r="U26" s="5"/>
      <c r="V26" s="5"/>
      <c r="W26" s="5"/>
      <c r="X26" s="5"/>
      <c r="Y26" s="5"/>
      <c r="Z26" s="5"/>
      <c r="AA26" s="5"/>
      <c r="AB26" s="5"/>
    </row>
    <row r="27" spans="1:28" ht="21" customHeight="1" x14ac:dyDescent="0.55000000000000004">
      <c r="A27" s="27" t="s">
        <v>39</v>
      </c>
      <c r="B27" s="24">
        <v>2</v>
      </c>
      <c r="C27" s="24"/>
      <c r="D27" s="24">
        <v>85</v>
      </c>
      <c r="E27" s="20">
        <f t="shared" si="0"/>
        <v>8.3747142744541647E-2</v>
      </c>
      <c r="F27" s="29" t="s">
        <v>40</v>
      </c>
      <c r="G27" s="5"/>
      <c r="H27" s="5"/>
      <c r="I27" s="5"/>
      <c r="J27" s="40"/>
      <c r="K27" s="40"/>
      <c r="L27" s="40"/>
      <c r="M27" s="40"/>
      <c r="N27" s="40"/>
      <c r="O27" s="40"/>
      <c r="P27" s="40"/>
      <c r="Q27" s="40"/>
      <c r="R27" s="40"/>
      <c r="S27" s="34" t="s">
        <v>62</v>
      </c>
      <c r="T27" s="22">
        <v>4.8573342791834158</v>
      </c>
      <c r="U27" s="5"/>
      <c r="V27" s="5"/>
      <c r="W27" s="5"/>
      <c r="X27" s="5"/>
      <c r="Y27" s="5"/>
      <c r="Z27" s="5"/>
      <c r="AA27" s="5"/>
      <c r="AB27" s="5"/>
    </row>
    <row r="28" spans="1:28" ht="21" customHeight="1" x14ac:dyDescent="0.55000000000000004">
      <c r="A28" s="27" t="s">
        <v>41</v>
      </c>
      <c r="B28" s="24">
        <v>69</v>
      </c>
      <c r="C28" s="24"/>
      <c r="D28" s="24">
        <v>2033</v>
      </c>
      <c r="E28" s="20">
        <f t="shared" si="0"/>
        <v>2.003034602348861</v>
      </c>
      <c r="F28" s="29" t="s">
        <v>42</v>
      </c>
      <c r="G28" s="5"/>
      <c r="H28" s="5"/>
      <c r="I28" s="5"/>
      <c r="J28" s="40"/>
      <c r="K28" s="40"/>
      <c r="L28" s="40"/>
      <c r="M28" s="40"/>
      <c r="N28" s="40"/>
      <c r="O28" s="40"/>
      <c r="P28" s="40"/>
      <c r="Q28" s="40"/>
      <c r="R28" s="40"/>
      <c r="S28" s="27" t="s">
        <v>10</v>
      </c>
      <c r="T28" s="22">
        <v>4.7095452037518717</v>
      </c>
      <c r="U28" s="5"/>
      <c r="V28" s="5"/>
      <c r="W28" s="5"/>
      <c r="X28" s="5"/>
      <c r="Y28" s="5"/>
      <c r="Z28" s="5"/>
      <c r="AA28" s="5"/>
      <c r="AB28" s="5"/>
    </row>
    <row r="29" spans="1:28" ht="21" customHeight="1" x14ac:dyDescent="0.55000000000000004">
      <c r="A29" s="27" t="s">
        <v>43</v>
      </c>
      <c r="B29" s="24">
        <v>56</v>
      </c>
      <c r="C29" s="24"/>
      <c r="D29" s="24">
        <v>2851</v>
      </c>
      <c r="E29" s="20">
        <f t="shared" si="0"/>
        <v>2.8089776937022148</v>
      </c>
      <c r="F29" s="29" t="s">
        <v>44</v>
      </c>
      <c r="G29" s="5"/>
      <c r="H29" s="5"/>
      <c r="I29" s="5"/>
      <c r="J29" s="40"/>
      <c r="K29" s="40"/>
      <c r="L29" s="40"/>
      <c r="M29" s="40"/>
      <c r="N29" s="40"/>
      <c r="O29" s="40"/>
      <c r="P29" s="40"/>
      <c r="Q29" s="40"/>
      <c r="R29" s="40"/>
      <c r="S29" s="27" t="s">
        <v>45</v>
      </c>
      <c r="T29" s="22">
        <v>3.5833924489635058</v>
      </c>
      <c r="U29" s="5"/>
      <c r="V29" s="5"/>
      <c r="W29" s="5"/>
      <c r="X29" s="5"/>
      <c r="Y29" s="5"/>
      <c r="Z29" s="5"/>
      <c r="AA29" s="5"/>
      <c r="AB29" s="5"/>
    </row>
    <row r="30" spans="1:28" ht="21" customHeight="1" x14ac:dyDescent="0.55000000000000004">
      <c r="A30" s="27" t="s">
        <v>45</v>
      </c>
      <c r="B30" s="24">
        <v>303</v>
      </c>
      <c r="C30" s="24"/>
      <c r="D30" s="24">
        <v>3637</v>
      </c>
      <c r="E30" s="20">
        <f t="shared" si="0"/>
        <v>3.5833924489635058</v>
      </c>
      <c r="F30" s="29" t="s">
        <v>46</v>
      </c>
      <c r="G30" s="5"/>
      <c r="H30" s="5"/>
      <c r="I30" s="5"/>
      <c r="J30" s="40"/>
      <c r="K30" s="40"/>
      <c r="L30" s="40"/>
      <c r="M30" s="40"/>
      <c r="N30" s="40"/>
      <c r="O30" s="40"/>
      <c r="P30" s="40"/>
      <c r="Q30" s="40"/>
      <c r="R30" s="40"/>
      <c r="S30" s="27" t="s">
        <v>51</v>
      </c>
      <c r="T30" s="37">
        <v>3.5705840624261054</v>
      </c>
      <c r="U30" s="5"/>
      <c r="V30" s="5"/>
      <c r="W30" s="5"/>
      <c r="X30" s="5"/>
      <c r="Y30" s="5"/>
      <c r="Z30" s="5"/>
      <c r="AA30" s="5"/>
      <c r="AB30" s="5"/>
    </row>
    <row r="31" spans="1:28" ht="21" customHeight="1" x14ac:dyDescent="0.55000000000000004">
      <c r="A31" s="27" t="s">
        <v>47</v>
      </c>
      <c r="B31" s="24">
        <v>22</v>
      </c>
      <c r="C31" s="24"/>
      <c r="D31" s="24">
        <v>1806</v>
      </c>
      <c r="E31" s="20">
        <f t="shared" si="0"/>
        <v>1.779380468195791</v>
      </c>
      <c r="F31" s="29" t="s">
        <v>48</v>
      </c>
      <c r="G31" s="5"/>
      <c r="H31" s="5"/>
      <c r="I31" s="5"/>
      <c r="J31" s="40"/>
      <c r="K31" s="40"/>
      <c r="L31" s="40"/>
      <c r="M31" s="40"/>
      <c r="N31" s="40"/>
      <c r="O31" s="40"/>
      <c r="P31" s="40"/>
      <c r="Q31" s="40"/>
      <c r="R31" s="40"/>
      <c r="S31" s="27" t="s">
        <v>43</v>
      </c>
      <c r="T31" s="22">
        <v>2.8089776937022148</v>
      </c>
      <c r="U31" s="5"/>
      <c r="V31" s="5"/>
      <c r="W31" s="5"/>
      <c r="X31" s="5"/>
      <c r="Y31" s="5"/>
      <c r="Z31" s="5"/>
      <c r="AA31" s="5"/>
      <c r="AB31" s="5"/>
    </row>
    <row r="32" spans="1:28" ht="21" customHeight="1" x14ac:dyDescent="0.55000000000000004">
      <c r="A32" s="27" t="s">
        <v>49</v>
      </c>
      <c r="B32" s="24">
        <v>4</v>
      </c>
      <c r="C32" s="24"/>
      <c r="D32" s="24">
        <v>30</v>
      </c>
      <c r="E32" s="20">
        <f t="shared" si="0"/>
        <v>2.9557815086308819E-2</v>
      </c>
      <c r="F32" s="29" t="s">
        <v>50</v>
      </c>
      <c r="G32" s="5"/>
      <c r="H32" s="5"/>
      <c r="I32" s="5"/>
      <c r="J32" s="40"/>
      <c r="K32" s="40"/>
      <c r="L32" s="40"/>
      <c r="M32" s="40"/>
      <c r="N32" s="40"/>
      <c r="O32" s="40"/>
      <c r="P32" s="40"/>
      <c r="Q32" s="40"/>
      <c r="R32" s="40"/>
      <c r="S32" s="27" t="s">
        <v>16</v>
      </c>
      <c r="T32" s="22">
        <v>2.31142113974935</v>
      </c>
      <c r="U32" s="5"/>
      <c r="V32" s="5"/>
      <c r="W32" s="5"/>
      <c r="X32" s="5"/>
      <c r="Y32" s="5"/>
      <c r="Z32" s="5"/>
      <c r="AA32" s="5"/>
      <c r="AB32" s="5"/>
    </row>
    <row r="33" spans="1:28" ht="21" customHeight="1" x14ac:dyDescent="0.55000000000000004">
      <c r="A33" s="28" t="s">
        <v>51</v>
      </c>
      <c r="B33" s="25">
        <v>158</v>
      </c>
      <c r="C33" s="25"/>
      <c r="D33" s="25">
        <v>3624</v>
      </c>
      <c r="E33" s="21">
        <f t="shared" si="0"/>
        <v>3.5705840624261054</v>
      </c>
      <c r="F33" s="31" t="s">
        <v>52</v>
      </c>
      <c r="G33" s="10"/>
      <c r="H33" s="10"/>
      <c r="I33" s="10"/>
      <c r="J33" s="41"/>
      <c r="K33" s="41"/>
      <c r="L33" s="41"/>
      <c r="M33" s="41"/>
      <c r="N33" s="41"/>
      <c r="O33" s="41"/>
      <c r="P33" s="41"/>
      <c r="Q33" s="41"/>
      <c r="R33" s="41"/>
      <c r="S33" s="27" t="s">
        <v>41</v>
      </c>
      <c r="T33" s="22">
        <v>2.003034602348861</v>
      </c>
      <c r="U33" s="10"/>
      <c r="V33" s="10"/>
      <c r="W33" s="10"/>
      <c r="X33" s="10"/>
      <c r="Y33" s="10"/>
      <c r="Z33" s="10"/>
      <c r="AA33" s="10"/>
      <c r="AB33" s="10"/>
    </row>
    <row r="34" spans="1:28" ht="18.75" customHeight="1" x14ac:dyDescent="0.5">
      <c r="A34" s="32" t="s">
        <v>55</v>
      </c>
      <c r="B34" s="35"/>
      <c r="C34" s="35"/>
      <c r="D34" s="35"/>
      <c r="E34" s="1"/>
      <c r="F34" s="13" t="s">
        <v>5</v>
      </c>
      <c r="G34" s="1"/>
      <c r="H34" s="1"/>
      <c r="I34" s="1"/>
      <c r="J34" s="6"/>
      <c r="K34" s="6"/>
      <c r="L34" s="6"/>
      <c r="M34" s="6"/>
      <c r="N34" s="6"/>
      <c r="O34" s="6"/>
      <c r="P34" s="6"/>
      <c r="Q34" s="6"/>
      <c r="R34" s="6"/>
      <c r="S34" s="27" t="s">
        <v>47</v>
      </c>
      <c r="T34" s="37">
        <v>1.779380468195791</v>
      </c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25">
      <c r="A35" s="33" t="s">
        <v>4</v>
      </c>
      <c r="B35" s="26"/>
      <c r="C35" s="26"/>
      <c r="D35" s="26"/>
      <c r="E35" s="1"/>
      <c r="F35" s="1"/>
      <c r="G35" s="1"/>
      <c r="H35" s="1"/>
      <c r="I35" s="1"/>
      <c r="J35" s="6"/>
      <c r="K35" s="6"/>
      <c r="L35" s="6"/>
      <c r="M35" s="6"/>
      <c r="N35" s="6"/>
      <c r="O35" s="6"/>
      <c r="P35" s="6"/>
      <c r="Q35" s="6"/>
      <c r="R35" s="6"/>
      <c r="S35" s="27" t="s">
        <v>20</v>
      </c>
      <c r="T35" s="22">
        <v>1.252266099156617</v>
      </c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6"/>
      <c r="K36" s="6"/>
      <c r="L36" s="6"/>
      <c r="M36" s="6"/>
      <c r="N36" s="6"/>
      <c r="O36" s="6"/>
      <c r="P36" s="6"/>
      <c r="Q36" s="6"/>
      <c r="R36" s="6"/>
      <c r="S36" s="27" t="s">
        <v>25</v>
      </c>
      <c r="T36" s="22">
        <v>1.2217230235674312</v>
      </c>
      <c r="U36" s="1"/>
      <c r="V36" s="1"/>
      <c r="W36" s="1"/>
      <c r="X36" s="1"/>
      <c r="Y36" s="1"/>
      <c r="Z36" s="1"/>
      <c r="AA36" s="1"/>
      <c r="AB36" s="1"/>
    </row>
    <row r="37" spans="1:28" ht="36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6"/>
      <c r="K37" s="6"/>
      <c r="L37" s="6"/>
      <c r="M37" s="6"/>
      <c r="N37" s="6"/>
      <c r="O37" s="6"/>
      <c r="P37" s="6"/>
      <c r="Q37" s="6"/>
      <c r="R37" s="6"/>
      <c r="S37" s="27" t="s">
        <v>31</v>
      </c>
      <c r="T37" s="22">
        <v>0.56455426814849852</v>
      </c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6"/>
      <c r="K38" s="6"/>
      <c r="L38" s="6"/>
      <c r="M38" s="6"/>
      <c r="N38" s="6"/>
      <c r="O38" s="6"/>
      <c r="P38" s="6"/>
      <c r="Q38" s="6"/>
      <c r="R38" s="6"/>
      <c r="S38" s="27" t="s">
        <v>18</v>
      </c>
      <c r="T38" s="22">
        <v>0.27094663829116417</v>
      </c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6"/>
      <c r="K39" s="6"/>
      <c r="L39" s="6"/>
      <c r="M39" s="6"/>
      <c r="N39" s="6"/>
      <c r="O39" s="6"/>
      <c r="P39" s="6"/>
      <c r="Q39" s="6"/>
      <c r="R39" s="6"/>
      <c r="S39" s="27" t="s">
        <v>37</v>
      </c>
      <c r="T39" s="22">
        <v>0.1901552770552534</v>
      </c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6"/>
      <c r="K40" s="6"/>
      <c r="L40" s="6"/>
      <c r="M40" s="6"/>
      <c r="N40" s="6"/>
      <c r="O40" s="6"/>
      <c r="P40" s="6"/>
      <c r="Q40" s="6"/>
      <c r="R40" s="6"/>
      <c r="S40" s="27" t="s">
        <v>22</v>
      </c>
      <c r="T40" s="22">
        <v>0.16256798297469852</v>
      </c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6"/>
      <c r="K41" s="6"/>
      <c r="L41" s="6"/>
      <c r="M41" s="6"/>
      <c r="N41" s="6"/>
      <c r="O41" s="6"/>
      <c r="P41" s="6"/>
      <c r="Q41" s="6"/>
      <c r="R41" s="6"/>
      <c r="S41" s="27" t="s">
        <v>8</v>
      </c>
      <c r="T41" s="22">
        <v>0.13301016788838971</v>
      </c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6"/>
      <c r="K42" s="6"/>
      <c r="L42" s="6"/>
      <c r="M42" s="6"/>
      <c r="N42" s="6"/>
      <c r="O42" s="6"/>
      <c r="P42" s="6"/>
      <c r="Q42" s="6"/>
      <c r="R42" s="6"/>
      <c r="S42" s="27" t="s">
        <v>39</v>
      </c>
      <c r="T42" s="22">
        <v>8.3747142744541647E-2</v>
      </c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6"/>
      <c r="K43" s="6"/>
      <c r="L43" s="6"/>
      <c r="M43" s="6"/>
      <c r="N43" s="6"/>
      <c r="O43" s="6"/>
      <c r="P43" s="6"/>
      <c r="Q43" s="6"/>
      <c r="R43" s="6"/>
      <c r="S43" s="27" t="s">
        <v>29</v>
      </c>
      <c r="T43" s="22">
        <v>6.0100890675494595E-2</v>
      </c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6"/>
      <c r="K44" s="6"/>
      <c r="L44" s="6"/>
      <c r="M44" s="6"/>
      <c r="N44" s="6"/>
      <c r="O44" s="6"/>
      <c r="P44" s="6"/>
      <c r="Q44" s="6"/>
      <c r="R44" s="6"/>
      <c r="S44" s="27" t="s">
        <v>35</v>
      </c>
      <c r="T44" s="22">
        <v>5.0248285646724997E-2</v>
      </c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6"/>
      <c r="K45" s="6"/>
      <c r="L45" s="6"/>
      <c r="M45" s="6"/>
      <c r="N45" s="6"/>
      <c r="O45" s="6"/>
      <c r="P45" s="6"/>
      <c r="Q45" s="6"/>
      <c r="R45" s="6"/>
      <c r="S45" s="27" t="s">
        <v>14</v>
      </c>
      <c r="T45" s="22">
        <v>3.7439899109324506E-2</v>
      </c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6"/>
      <c r="K46" s="6"/>
      <c r="L46" s="6"/>
      <c r="M46" s="6"/>
      <c r="N46" s="6"/>
      <c r="O46" s="6"/>
      <c r="P46" s="6"/>
      <c r="Q46" s="6"/>
      <c r="R46" s="6"/>
      <c r="S46" s="27" t="s">
        <v>49</v>
      </c>
      <c r="T46" s="37">
        <v>2.9557815086308819E-2</v>
      </c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6"/>
      <c r="K47" s="6"/>
      <c r="L47" s="6"/>
      <c r="M47" s="6"/>
      <c r="N47" s="6"/>
      <c r="O47" s="6"/>
      <c r="P47" s="6"/>
      <c r="Q47" s="6"/>
      <c r="R47" s="6"/>
      <c r="S47" s="27" t="s">
        <v>12</v>
      </c>
      <c r="T47" s="38">
        <v>1.9705210057539214E-2</v>
      </c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6"/>
      <c r="K48" s="6"/>
      <c r="L48" s="6"/>
      <c r="M48" s="6"/>
      <c r="N48" s="6"/>
      <c r="O48" s="6"/>
      <c r="P48" s="6"/>
      <c r="Q48" s="6"/>
      <c r="R48" s="6"/>
      <c r="S48" s="27" t="s">
        <v>33</v>
      </c>
      <c r="T48" s="38">
        <v>9.8526050287696051E-4</v>
      </c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6"/>
      <c r="K49" s="6"/>
      <c r="L49" s="6"/>
      <c r="M49" s="6"/>
      <c r="N49" s="6"/>
      <c r="O49" s="6"/>
      <c r="P49" s="6"/>
      <c r="Q49" s="6"/>
      <c r="R49" s="6"/>
      <c r="S49" s="28" t="s">
        <v>65</v>
      </c>
      <c r="T49" s="38">
        <v>9.8526050287696051E-4</v>
      </c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9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6"/>
      <c r="K51" s="6"/>
      <c r="L51" s="6"/>
      <c r="M51" s="6"/>
      <c r="N51" s="6"/>
      <c r="O51" s="6"/>
      <c r="P51" s="6"/>
      <c r="Q51" s="6"/>
      <c r="R51" s="6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6"/>
      <c r="K52" s="6"/>
      <c r="L52" s="6"/>
      <c r="M52" s="6"/>
      <c r="N52" s="6"/>
      <c r="O52" s="6"/>
      <c r="P52" s="6"/>
      <c r="Q52" s="6"/>
      <c r="R52" s="6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6"/>
      <c r="K53" s="6"/>
      <c r="L53" s="6"/>
      <c r="M53" s="6"/>
      <c r="N53" s="6"/>
      <c r="O53" s="6"/>
      <c r="P53" s="6"/>
      <c r="Q53" s="6"/>
      <c r="R53" s="6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6"/>
      <c r="K54" s="6"/>
      <c r="L54" s="6"/>
      <c r="M54" s="6"/>
      <c r="N54" s="6"/>
      <c r="O54" s="6"/>
      <c r="P54" s="6"/>
      <c r="Q54" s="6"/>
      <c r="R54" s="6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6"/>
      <c r="K55" s="6"/>
      <c r="L55" s="6"/>
      <c r="M55" s="6"/>
      <c r="N55" s="6"/>
      <c r="O55" s="6"/>
      <c r="P55" s="6"/>
      <c r="Q55" s="6"/>
      <c r="R55" s="6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6"/>
      <c r="K56" s="6"/>
      <c r="L56" s="6"/>
      <c r="M56" s="6"/>
      <c r="N56" s="6"/>
      <c r="O56" s="6"/>
      <c r="P56" s="6"/>
      <c r="Q56" s="6"/>
      <c r="R56" s="6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6"/>
      <c r="K57" s="6"/>
      <c r="L57" s="6"/>
      <c r="M57" s="6"/>
      <c r="N57" s="6"/>
      <c r="O57" s="6"/>
      <c r="P57" s="6"/>
      <c r="Q57" s="6"/>
      <c r="R57" s="6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6"/>
      <c r="K58" s="6"/>
      <c r="L58" s="6"/>
      <c r="M58" s="6"/>
      <c r="N58" s="6"/>
      <c r="O58" s="6"/>
      <c r="P58" s="6"/>
      <c r="Q58" s="6"/>
      <c r="R58" s="6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6"/>
      <c r="K59" s="6"/>
      <c r="L59" s="6"/>
      <c r="M59" s="6"/>
      <c r="N59" s="6"/>
      <c r="O59" s="6"/>
      <c r="P59" s="6"/>
      <c r="Q59" s="6"/>
      <c r="R59" s="6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6"/>
      <c r="K60" s="6"/>
      <c r="L60" s="6"/>
      <c r="M60" s="6"/>
      <c r="N60" s="6"/>
      <c r="O60" s="6"/>
      <c r="P60" s="6"/>
      <c r="Q60" s="6"/>
      <c r="R60" s="6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6"/>
      <c r="K61" s="6"/>
      <c r="L61" s="6"/>
      <c r="M61" s="6"/>
      <c r="N61" s="6"/>
      <c r="O61" s="6"/>
      <c r="P61" s="6"/>
      <c r="Q61" s="6"/>
      <c r="R61" s="6"/>
      <c r="S61" s="1"/>
      <c r="T61" s="1"/>
      <c r="U61" s="1"/>
      <c r="V61" s="1"/>
      <c r="W61" s="1"/>
      <c r="X61" s="1"/>
      <c r="Y61" s="1"/>
      <c r="Z61" s="1"/>
      <c r="AA61" s="1"/>
      <c r="AB61" s="1"/>
    </row>
  </sheetData>
  <sortState ref="S24:T49">
    <sortCondition descending="1" ref="T24:T49"/>
  </sortState>
  <mergeCells count="5">
    <mergeCell ref="A1:F1"/>
    <mergeCell ref="A2:F2"/>
    <mergeCell ref="A4:A6"/>
    <mergeCell ref="F4:F6"/>
    <mergeCell ref="D5:D6"/>
  </mergeCells>
  <pageMargins left="0.7" right="0.7" top="0.75" bottom="0.75" header="0" footer="0"/>
  <pageSetup paperSize="9" scale="71" orientation="landscape" horizontalDpi="4294967295" verticalDpi="4294967295" r:id="rId1"/>
  <rowBreaks count="2" manualBreakCount="2">
    <brk id="35" max="5" man="1"/>
    <brk id="57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18.14</vt:lpstr>
      <vt:lpstr>'18.14'!Print_Area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2020-12-02T03:25:19Z</cp:lastPrinted>
  <dcterms:created xsi:type="dcterms:W3CDTF">2019-02-21T04:10:17Z</dcterms:created>
  <dcterms:modified xsi:type="dcterms:W3CDTF">2020-12-02T03:25:28Z</dcterms:modified>
</cp:coreProperties>
</file>