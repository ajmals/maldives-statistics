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15" sheetId="15" r:id="rId1"/>
  </sheets>
  <definedNames>
    <definedName name="_xlnm.Print_Area" localSheetId="0">'18.15'!$A$1:$W$38</definedName>
  </definedNames>
  <calcPr calcId="152511"/>
</workbook>
</file>

<file path=xl/calcChain.xml><?xml version="1.0" encoding="utf-8"?>
<calcChain xmlns="http://schemas.openxmlformats.org/spreadsheetml/2006/main">
  <c r="U7" i="15" l="1"/>
  <c r="T7" i="15"/>
  <c r="R8" i="15"/>
  <c r="Q7" i="15"/>
  <c r="O19" i="15"/>
  <c r="L19" i="15"/>
  <c r="U19" i="15" s="1"/>
  <c r="I19" i="15"/>
  <c r="H19" i="15"/>
  <c r="E19" i="15"/>
  <c r="B19" i="15"/>
  <c r="O18" i="15"/>
  <c r="L18" i="15"/>
  <c r="U18" i="15" s="1"/>
  <c r="I18" i="15"/>
  <c r="H18" i="15"/>
  <c r="E18" i="15"/>
  <c r="B18" i="15"/>
  <c r="O17" i="15"/>
  <c r="L17" i="15"/>
  <c r="U17" i="15" s="1"/>
  <c r="I17" i="15"/>
  <c r="H17" i="15"/>
  <c r="E17" i="15"/>
  <c r="B17" i="15"/>
  <c r="O16" i="15"/>
  <c r="L16" i="15"/>
  <c r="U16" i="15" s="1"/>
  <c r="I16" i="15"/>
  <c r="H16" i="15"/>
  <c r="E16" i="15"/>
  <c r="B16" i="15"/>
  <c r="O15" i="15"/>
  <c r="L15" i="15"/>
  <c r="U15" i="15" s="1"/>
  <c r="I15" i="15"/>
  <c r="H15" i="15"/>
  <c r="E15" i="15"/>
  <c r="B15" i="15"/>
  <c r="O14" i="15"/>
  <c r="L14" i="15"/>
  <c r="U14" i="15" s="1"/>
  <c r="I14" i="15"/>
  <c r="H14" i="15"/>
  <c r="E14" i="15"/>
  <c r="B14" i="15"/>
  <c r="O13" i="15"/>
  <c r="L13" i="15"/>
  <c r="U13" i="15" s="1"/>
  <c r="I13" i="15"/>
  <c r="H13" i="15"/>
  <c r="E13" i="15"/>
  <c r="B13" i="15"/>
  <c r="O12" i="15"/>
  <c r="L12" i="15"/>
  <c r="U12" i="15" s="1"/>
  <c r="I12" i="15"/>
  <c r="H12" i="15"/>
  <c r="E12" i="15"/>
  <c r="B12" i="15"/>
  <c r="S11" i="15"/>
  <c r="L11" i="15"/>
  <c r="U11" i="15" s="1"/>
  <c r="I11" i="15"/>
  <c r="E11" i="15"/>
  <c r="B11" i="15"/>
  <c r="U10" i="15"/>
  <c r="T10" i="15"/>
  <c r="L10" i="15"/>
  <c r="I10" i="15"/>
  <c r="E10" i="15"/>
  <c r="S10" i="15" s="1"/>
  <c r="B10" i="15"/>
  <c r="T9" i="15"/>
  <c r="O9" i="15"/>
  <c r="L9" i="15"/>
  <c r="U9" i="15" s="1"/>
  <c r="I9" i="15"/>
  <c r="H9" i="15"/>
  <c r="E9" i="15"/>
  <c r="B9" i="15"/>
  <c r="T8" i="15"/>
  <c r="O8" i="15"/>
  <c r="L8" i="15"/>
  <c r="U8" i="15" s="1"/>
  <c r="I8" i="15"/>
  <c r="H8" i="15"/>
  <c r="E8" i="15"/>
  <c r="E7" i="15" s="1"/>
  <c r="B8" i="15"/>
  <c r="O7" i="15"/>
  <c r="N7" i="15"/>
  <c r="M7" i="15"/>
  <c r="K7" i="15"/>
  <c r="J7" i="15"/>
  <c r="H7" i="15"/>
  <c r="G7" i="15"/>
  <c r="F7" i="15"/>
  <c r="D7" i="15"/>
  <c r="C7" i="15"/>
  <c r="B7" i="15"/>
  <c r="P10" i="15" l="1"/>
  <c r="P11" i="15"/>
  <c r="P7" i="15"/>
  <c r="P12" i="15"/>
  <c r="P14" i="15"/>
  <c r="P16" i="15"/>
  <c r="Q17" i="15"/>
  <c r="P18" i="15"/>
  <c r="S7" i="15"/>
  <c r="P9" i="15"/>
  <c r="P13" i="15"/>
  <c r="P15" i="15"/>
  <c r="P17" i="15"/>
  <c r="P19" i="15"/>
  <c r="S16" i="15"/>
  <c r="S17" i="15"/>
  <c r="S18" i="15"/>
  <c r="S19" i="15"/>
  <c r="S9" i="15"/>
  <c r="S12" i="15"/>
  <c r="S13" i="15"/>
  <c r="S14" i="15"/>
  <c r="S15" i="15"/>
  <c r="L7" i="15"/>
  <c r="P8" i="15"/>
  <c r="T11" i="15"/>
  <c r="T12" i="15"/>
  <c r="T13" i="15"/>
  <c r="T14" i="15"/>
  <c r="T15" i="15"/>
  <c r="T16" i="15"/>
  <c r="T17" i="15"/>
  <c r="T18" i="15"/>
  <c r="T19" i="15"/>
  <c r="S8" i="15"/>
  <c r="I7" i="15"/>
  <c r="Q8" i="15" s="1"/>
  <c r="R19" i="15" l="1"/>
  <c r="R9" i="15"/>
  <c r="Q13" i="15"/>
  <c r="R10" i="15"/>
  <c r="R11" i="15"/>
  <c r="R7" i="15"/>
  <c r="R18" i="15"/>
  <c r="R12" i="15"/>
  <c r="Q16" i="15"/>
  <c r="Q12" i="15"/>
  <c r="R14" i="15"/>
  <c r="Q10" i="15"/>
  <c r="R16" i="15"/>
  <c r="R17" i="15"/>
  <c r="Q19" i="15"/>
  <c r="Q15" i="15"/>
  <c r="Q11" i="15"/>
  <c r="R13" i="15"/>
  <c r="R15" i="15"/>
  <c r="Q18" i="15"/>
  <c r="Q14" i="15"/>
  <c r="Q9" i="15"/>
</calcChain>
</file>

<file path=xl/sharedStrings.xml><?xml version="1.0" encoding="utf-8"?>
<sst xmlns="http://schemas.openxmlformats.org/spreadsheetml/2006/main" count="72" uniqueCount="40">
  <si>
    <t>އިންސައްތަ</t>
  </si>
  <si>
    <t>އަންހެނުންގެ އިން ސައްތަ</t>
  </si>
  <si>
    <t>ޖުމްލަ</t>
  </si>
  <si>
    <t>ފިރިހެން</t>
  </si>
  <si>
    <t>އަންހެން</t>
  </si>
  <si>
    <t>% share of females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</si>
  <si>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</si>
  <si>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</si>
  <si>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</si>
  <si>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</si>
  <si>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</si>
  <si>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</si>
  <si>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</si>
  <si>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</si>
  <si>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</si>
  <si>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</si>
  <si>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</si>
  <si>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</si>
  <si>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</si>
  <si>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</si>
  <si>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</si>
  <si>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</si>
  <si>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</si>
  <si>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</si>
  <si>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</si>
  <si>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</si>
  <si>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</si>
  <si>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</si>
  <si>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</si>
  <si>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</si>
  <si>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</si>
  <si>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</si>
  <si>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</si>
  <si>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</si>
  <si>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</si>
  <si>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</si>
  <si>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</si>
  <si>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</si>
  <si>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ތާވަލު  18.15 : ތަނުގެ ބާވަތުން، ރިޓާޔަމަންޓް ޕެންޝަން ސްކީމްގައި ރެޖިސްޓަރކޮށްފައިވާ މުވައްޒަފުންގެ ޢަދަދު ، 2018 - 2019</t>
  </si>
  <si>
    <t>TABLE   18.15: EMPLOYEES REGISTERED IN THE RETIREMENT PENSION SCHEME, BY TYPE OF EMPLOYER,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</si>
</sst>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i/>
      <sz val="9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</borders>
  <cellStyleXfs count="7">
    <xf numFmtId="0" fontId="0" fillId="0" borderId="0"/>
    <xf numFmtId="164" fontId="12" fillId="0" borderId="15"/>
    <xf numFmtId="0" fontId="1" fillId="0" borderId="15"/>
    <xf numFmtId="0" fontId="1" fillId="0" borderId="15"/>
    <xf numFmtId="43" fontId="9" fillId="0" borderId="15" applyFont="0" applyFill="0" applyBorder="0" applyAlignment="0" applyProtection="0"/>
    <xf numFmtId="43" fontId="9" fillId="0" borderId="15" applyFont="0" applyFill="0" applyBorder="0" applyAlignment="0" applyProtection="0"/>
    <xf numFmtId="0" fontId="9" fillId="0" borderId="15"/>
  </cellStyleXfs>
  <cellXfs count="63">
    <xf numFmtId="0" fontId="0" fillId="0" borderId="0" xfId="0" applyFont="1" applyAlignment="1"/>
    <xf numFmtId="0" fontId="0" fillId="2" borderId="0" xfId="0" applyFont="1" applyFill="1" applyAlignment="1"/>
    <xf numFmtId="3" fontId="0" fillId="3" borderId="15" xfId="0" applyNumberFormat="1" applyFont="1" applyFill="1" applyBorder="1" applyAlignment="1">
      <alignment vertical="center"/>
    </xf>
    <xf numFmtId="3" fontId="0" fillId="3" borderId="11" xfId="0" applyNumberFormat="1" applyFont="1" applyFill="1" applyBorder="1" applyAlignment="1">
      <alignment vertical="center"/>
    </xf>
    <xf numFmtId="3" fontId="0" fillId="3" borderId="17" xfId="0" applyNumberFormat="1" applyFont="1" applyFill="1" applyBorder="1" applyAlignment="1">
      <alignment vertical="center"/>
    </xf>
    <xf numFmtId="3" fontId="0" fillId="3" borderId="7" xfId="0" applyNumberFormat="1" applyFont="1" applyFill="1" applyBorder="1" applyAlignment="1">
      <alignment vertical="center"/>
    </xf>
    <xf numFmtId="0" fontId="0" fillId="4" borderId="15" xfId="0" applyFont="1" applyFill="1" applyBorder="1"/>
    <xf numFmtId="0" fontId="8" fillId="4" borderId="15" xfId="0" applyFont="1" applyFill="1" applyBorder="1" applyAlignment="1"/>
    <xf numFmtId="0" fontId="0" fillId="4" borderId="15" xfId="0" applyFont="1" applyFill="1" applyBorder="1" applyAlignment="1">
      <alignment horizontal="left" vertical="center"/>
    </xf>
    <xf numFmtId="0" fontId="0" fillId="4" borderId="17" xfId="0" applyFont="1" applyFill="1" applyBorder="1" applyAlignment="1">
      <alignment horizontal="left" vertical="center"/>
    </xf>
    <xf numFmtId="0" fontId="6" fillId="4" borderId="15" xfId="0" applyFont="1" applyFill="1" applyBorder="1" applyAlignment="1"/>
    <xf numFmtId="0" fontId="6" fillId="4" borderId="17" xfId="0" applyFont="1" applyFill="1" applyBorder="1" applyAlignment="1"/>
    <xf numFmtId="3" fontId="0" fillId="4" borderId="15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0" fontId="4" fillId="4" borderId="13" xfId="0" applyFont="1" applyFill="1" applyBorder="1" applyAlignment="1">
      <alignment horizontal="right" vertical="center"/>
    </xf>
    <xf numFmtId="0" fontId="4" fillId="4" borderId="8" xfId="0" applyFont="1" applyFill="1" applyBorder="1"/>
    <xf numFmtId="3" fontId="4" fillId="4" borderId="1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3" fontId="4" fillId="4" borderId="15" xfId="0" applyNumberFormat="1" applyFont="1" applyFill="1" applyBorder="1" applyAlignment="1">
      <alignment horizontal="right" vertical="center"/>
    </xf>
    <xf numFmtId="3" fontId="0" fillId="4" borderId="11" xfId="0" applyNumberFormat="1" applyFont="1" applyFill="1" applyBorder="1" applyAlignment="1">
      <alignment horizontal="right" vertical="center"/>
    </xf>
    <xf numFmtId="3" fontId="0" fillId="4" borderId="17" xfId="0" applyNumberFormat="1" applyFont="1" applyFill="1" applyBorder="1" applyAlignment="1">
      <alignment horizontal="right" vertical="center"/>
    </xf>
    <xf numFmtId="3" fontId="0" fillId="4" borderId="7" xfId="0" applyNumberFormat="1" applyFont="1" applyFill="1" applyBorder="1" applyAlignment="1">
      <alignment horizontal="right" vertical="center"/>
    </xf>
    <xf numFmtId="0" fontId="0" fillId="4" borderId="11" xfId="0" applyFont="1" applyFill="1" applyBorder="1"/>
    <xf numFmtId="0" fontId="10" fillId="4" borderId="1" xfId="0" applyFont="1" applyFill="1" applyBorder="1"/>
    <xf numFmtId="0" fontId="4" fillId="4" borderId="18" xfId="0" applyFont="1" applyFill="1" applyBorder="1" applyAlignment="1">
      <alignment horizontal="right" vertical="center"/>
    </xf>
    <xf numFmtId="0" fontId="10" fillId="4" borderId="4" xfId="0" applyFont="1" applyFill="1" applyBorder="1"/>
    <xf numFmtId="0" fontId="10" fillId="4" borderId="16" xfId="0" applyFont="1" applyFill="1" applyBorder="1"/>
    <xf numFmtId="0" fontId="2" fillId="4" borderId="17" xfId="0" applyFont="1" applyFill="1" applyBorder="1" applyAlignment="1"/>
    <xf numFmtId="0" fontId="2" fillId="4" borderId="7" xfId="0" applyFont="1" applyFill="1" applyBorder="1" applyAlignment="1"/>
    <xf numFmtId="0" fontId="4" fillId="4" borderId="6" xfId="0" applyFont="1" applyFill="1" applyBorder="1"/>
    <xf numFmtId="0" fontId="4" fillId="4" borderId="15" xfId="0" applyFont="1" applyFill="1" applyBorder="1" applyAlignment="1">
      <alignment horizontal="left" vertical="center"/>
    </xf>
    <xf numFmtId="3" fontId="4" fillId="4" borderId="15" xfId="0" applyNumberFormat="1" applyFont="1" applyFill="1" applyBorder="1" applyAlignment="1">
      <alignment vertical="center"/>
    </xf>
    <xf numFmtId="3" fontId="4" fillId="4" borderId="11" xfId="0" applyNumberFormat="1" applyFont="1" applyFill="1" applyBorder="1" applyAlignment="1">
      <alignment vertical="center"/>
    </xf>
    <xf numFmtId="3" fontId="4" fillId="4" borderId="9" xfId="0" applyNumberFormat="1" applyFont="1" applyFill="1" applyBorder="1" applyAlignment="1">
      <alignment horizontal="right" vertical="center"/>
    </xf>
    <xf numFmtId="0" fontId="2" fillId="4" borderId="15" xfId="0" applyFont="1" applyFill="1" applyBorder="1" applyAlignment="1"/>
    <xf numFmtId="0" fontId="4" fillId="4" borderId="15" xfId="0" applyFont="1" applyFill="1" applyBorder="1"/>
    <xf numFmtId="3" fontId="0" fillId="4" borderId="15" xfId="0" applyNumberFormat="1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vertical="center"/>
    </xf>
    <xf numFmtId="3" fontId="0" fillId="4" borderId="12" xfId="0" applyNumberFormat="1" applyFont="1" applyFill="1" applyBorder="1" applyAlignment="1">
      <alignment horizontal="right" vertical="center"/>
    </xf>
    <xf numFmtId="3" fontId="0" fillId="4" borderId="17" xfId="0" applyNumberFormat="1" applyFont="1" applyFill="1" applyBorder="1" applyAlignment="1">
      <alignment vertical="center"/>
    </xf>
    <xf numFmtId="3" fontId="0" fillId="4" borderId="7" xfId="0" applyNumberFormat="1" applyFont="1" applyFill="1" applyBorder="1" applyAlignment="1">
      <alignment vertical="center"/>
    </xf>
    <xf numFmtId="3" fontId="0" fillId="4" borderId="5" xfId="0" applyNumberFormat="1" applyFont="1" applyFill="1" applyBorder="1" applyAlignment="1">
      <alignment horizontal="right" vertical="center"/>
    </xf>
    <xf numFmtId="0" fontId="7" fillId="4" borderId="15" xfId="0" applyFont="1" applyFill="1" applyBorder="1"/>
    <xf numFmtId="3" fontId="0" fillId="4" borderId="15" xfId="0" applyNumberFormat="1" applyFont="1" applyFill="1" applyBorder="1"/>
    <xf numFmtId="1" fontId="0" fillId="4" borderId="15" xfId="0" applyNumberFormat="1" applyFont="1" applyFill="1" applyBorder="1"/>
    <xf numFmtId="0" fontId="3" fillId="2" borderId="15" xfId="0" applyFont="1" applyFill="1" applyBorder="1"/>
    <xf numFmtId="0" fontId="3" fillId="2" borderId="10" xfId="0" applyFont="1" applyFill="1" applyBorder="1"/>
    <xf numFmtId="0" fontId="3" fillId="2" borderId="14" xfId="0" applyFont="1" applyFill="1" applyBorder="1"/>
    <xf numFmtId="0" fontId="3" fillId="2" borderId="1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2" fillId="4" borderId="15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5" fillId="4" borderId="4" xfId="0" applyFont="1" applyFill="1" applyBorder="1" applyAlignment="1">
      <alignment horizontal="center"/>
    </xf>
    <xf numFmtId="0" fontId="13" fillId="2" borderId="16" xfId="0" applyFont="1" applyFill="1" applyBorder="1"/>
    <xf numFmtId="0" fontId="4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lang="en-US"/>
              <a:t>Figure 18.19: Percentage share of female employees registered in the retirement pension scheme, by type of employer, end of  2019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952730089066732"/>
          <c:y val="0.17189400639988495"/>
          <c:w val="0.74516460852229538"/>
          <c:h val="0.7155235321612195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'18.15'!$AO$24:$AO$35</c:f>
              <c:strCache>
                <c:ptCount val="12"/>
                <c:pt idx="0">
                  <c:v>Others</c:v>
                </c:pt>
                <c:pt idx="1">
                  <c:v>Atoll councils</c:v>
                </c:pt>
                <c:pt idx="2">
                  <c:v>City councils</c:v>
                </c:pt>
                <c:pt idx="3">
                  <c:v>Judiciary</c:v>
                </c:pt>
                <c:pt idx="4">
                  <c:v>Independent Agencies</c:v>
                </c:pt>
                <c:pt idx="5">
                  <c:v>Island councils</c:v>
                </c:pt>
                <c:pt idx="6">
                  <c:v>Hospitals/health Care facilities</c:v>
                </c:pt>
                <c:pt idx="7">
                  <c:v>Schools/universitiy</c:v>
                </c:pt>
                <c:pt idx="8">
                  <c:v>Police/ NSS</c:v>
                </c:pt>
                <c:pt idx="9">
                  <c:v>Government Offices</c:v>
                </c:pt>
                <c:pt idx="10">
                  <c:v>State owned enterprises</c:v>
                </c:pt>
                <c:pt idx="11">
                  <c:v>Other Private Sector</c:v>
                </c:pt>
              </c:strCache>
            </c:strRef>
          </c:cat>
          <c:val>
            <c:numRef>
              <c:f>'18.15'!$AP$24:$AP$35</c:f>
              <c:numCache>
                <c:formatCode>#,##0</c:formatCode>
                <c:ptCount val="12"/>
                <c:pt idx="0">
                  <c:v>329</c:v>
                </c:pt>
                <c:pt idx="1">
                  <c:v>564</c:v>
                </c:pt>
                <c:pt idx="2">
                  <c:v>783</c:v>
                </c:pt>
                <c:pt idx="3">
                  <c:v>1968</c:v>
                </c:pt>
                <c:pt idx="4">
                  <c:v>2234</c:v>
                </c:pt>
                <c:pt idx="5">
                  <c:v>3170</c:v>
                </c:pt>
                <c:pt idx="6">
                  <c:v>6688</c:v>
                </c:pt>
                <c:pt idx="7">
                  <c:v>7669</c:v>
                </c:pt>
                <c:pt idx="8">
                  <c:v>7877</c:v>
                </c:pt>
                <c:pt idx="9">
                  <c:v>13973</c:v>
                </c:pt>
                <c:pt idx="10">
                  <c:v>17968</c:v>
                </c:pt>
                <c:pt idx="11">
                  <c:v>37481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59560"/>
        <c:axId val="409455248"/>
      </c:barChart>
      <c:catAx>
        <c:axId val="4094595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9455248"/>
        <c:crosses val="autoZero"/>
        <c:auto val="1"/>
        <c:lblAlgn val="ctr"/>
        <c:lblOffset val="100"/>
        <c:noMultiLvlLbl val="1"/>
      </c:catAx>
      <c:valAx>
        <c:axId val="409455248"/>
        <c:scaling>
          <c:orientation val="minMax"/>
        </c:scaling>
        <c:delete val="0"/>
        <c:axPos val="b"/>
        <c:majorGridlines>
          <c:spPr>
            <a:ln>
              <a:solidFill>
                <a:srgbClr val="E5C9A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% share of  females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9459560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AF5F0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20</xdr:row>
      <xdr:rowOff>38100</xdr:rowOff>
    </xdr:from>
    <xdr:ext cx="8715375" cy="3476625"/>
    <xdr:graphicFrame macro="">
      <xdr:nvGraphicFramePr>
        <xdr:cNvPr id="3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1000"/>
  <sheetViews>
    <sheetView tabSelected="1" zoomScaleNormal="100" workbookViewId="0">
      <selection activeCell="AC1" sqref="AC1:AG1048576"/>
    </sheetView>
  </sheetViews>
  <sheetFormatPr defaultColWidth="14.42578125" defaultRowHeight="15" customHeight="1" x14ac:dyDescent="0.25"/>
  <cols>
    <col min="1" max="1" width="25.28515625" style="1" customWidth="1"/>
    <col min="2" max="7" width="7.7109375" style="1" hidden="1" customWidth="1"/>
    <col min="8" max="8" width="8.7109375" style="1" hidden="1" customWidth="1"/>
    <col min="9" max="14" width="7.7109375" style="1" customWidth="1"/>
    <col min="15" max="16" width="8.7109375" style="1" hidden="1" customWidth="1"/>
    <col min="17" max="18" width="8.7109375" style="1" customWidth="1"/>
    <col min="19" max="19" width="9.140625" style="1" hidden="1" customWidth="1"/>
    <col min="20" max="21" width="9.140625" style="1" customWidth="1"/>
    <col min="22" max="22" width="30.5703125" style="1" customWidth="1"/>
    <col min="23" max="23" width="4.140625" style="1" customWidth="1"/>
    <col min="24" max="42" width="8" style="1" customWidth="1"/>
    <col min="43" max="16384" width="14.42578125" style="1"/>
  </cols>
  <sheetData>
    <row r="1" spans="1:42" ht="19.5" customHeight="1" x14ac:dyDescent="0.55000000000000004">
      <c r="A1" s="51" t="s">
        <v>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14.25" customHeight="1" x14ac:dyDescent="0.25">
      <c r="A2" s="52" t="s">
        <v>39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2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4.25" customHeight="1" x14ac:dyDescent="0.25">
      <c r="A4" s="62" t="s">
        <v>13</v>
      </c>
      <c r="B4" s="61">
        <v>2016</v>
      </c>
      <c r="C4" s="46"/>
      <c r="D4" s="47"/>
      <c r="E4" s="61">
        <v>2017</v>
      </c>
      <c r="F4" s="46"/>
      <c r="G4" s="47"/>
      <c r="H4" s="6"/>
      <c r="I4" s="61">
        <v>2018</v>
      </c>
      <c r="J4" s="46"/>
      <c r="K4" s="47"/>
      <c r="L4" s="61">
        <v>2019</v>
      </c>
      <c r="M4" s="46"/>
      <c r="N4" s="47"/>
      <c r="O4" s="23"/>
      <c r="P4" s="53" t="s">
        <v>14</v>
      </c>
      <c r="Q4" s="48"/>
      <c r="R4" s="54"/>
      <c r="S4" s="55" t="s">
        <v>5</v>
      </c>
      <c r="T4" s="48"/>
      <c r="U4" s="48"/>
      <c r="V4" s="56" t="s">
        <v>15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18" customHeight="1" x14ac:dyDescent="0.5">
      <c r="A5" s="45"/>
      <c r="B5" s="24" t="s">
        <v>6</v>
      </c>
      <c r="C5" s="24" t="s">
        <v>7</v>
      </c>
      <c r="D5" s="14" t="s">
        <v>8</v>
      </c>
      <c r="E5" s="24" t="s">
        <v>6</v>
      </c>
      <c r="F5" s="24" t="s">
        <v>7</v>
      </c>
      <c r="G5" s="14" t="s">
        <v>8</v>
      </c>
      <c r="H5" s="25"/>
      <c r="I5" s="24" t="s">
        <v>6</v>
      </c>
      <c r="J5" s="24" t="s">
        <v>7</v>
      </c>
      <c r="K5" s="14" t="s">
        <v>8</v>
      </c>
      <c r="L5" s="24" t="s">
        <v>6</v>
      </c>
      <c r="M5" s="24" t="s">
        <v>7</v>
      </c>
      <c r="N5" s="14" t="s">
        <v>8</v>
      </c>
      <c r="O5" s="26"/>
      <c r="P5" s="57" t="s">
        <v>0</v>
      </c>
      <c r="Q5" s="49"/>
      <c r="R5" s="58"/>
      <c r="S5" s="59" t="s">
        <v>1</v>
      </c>
      <c r="T5" s="60"/>
      <c r="U5" s="60"/>
      <c r="V5" s="45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21" customHeight="1" x14ac:dyDescent="0.55000000000000004">
      <c r="A6" s="50"/>
      <c r="B6" s="27" t="s">
        <v>2</v>
      </c>
      <c r="C6" s="27" t="s">
        <v>3</v>
      </c>
      <c r="D6" s="28" t="s">
        <v>4</v>
      </c>
      <c r="E6" s="27" t="s">
        <v>2</v>
      </c>
      <c r="F6" s="27" t="s">
        <v>3</v>
      </c>
      <c r="G6" s="28" t="s">
        <v>4</v>
      </c>
      <c r="H6" s="29">
        <v>2013</v>
      </c>
      <c r="I6" s="27" t="s">
        <v>2</v>
      </c>
      <c r="J6" s="27" t="s">
        <v>3</v>
      </c>
      <c r="K6" s="28" t="s">
        <v>4</v>
      </c>
      <c r="L6" s="27" t="s">
        <v>2</v>
      </c>
      <c r="M6" s="27" t="s">
        <v>3</v>
      </c>
      <c r="N6" s="28" t="s">
        <v>4</v>
      </c>
      <c r="O6" s="15">
        <v>2014</v>
      </c>
      <c r="P6" s="13">
        <v>2017</v>
      </c>
      <c r="Q6" s="13">
        <v>2018</v>
      </c>
      <c r="R6" s="14">
        <v>2019</v>
      </c>
      <c r="S6" s="15">
        <v>2017</v>
      </c>
      <c r="T6" s="15">
        <v>2018</v>
      </c>
      <c r="U6" s="15">
        <v>2019</v>
      </c>
      <c r="V6" s="50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ht="21" customHeight="1" x14ac:dyDescent="0.55000000000000004">
      <c r="A7" s="30" t="s">
        <v>6</v>
      </c>
      <c r="B7" s="31">
        <f t="shared" ref="B7:G7" si="0">SUM(B8:B19)</f>
        <v>79995</v>
      </c>
      <c r="C7" s="31">
        <f t="shared" si="0"/>
        <v>55148</v>
      </c>
      <c r="D7" s="32">
        <f t="shared" si="0"/>
        <v>24847</v>
      </c>
      <c r="E7" s="31">
        <f t="shared" si="0"/>
        <v>89024</v>
      </c>
      <c r="F7" s="31">
        <f t="shared" si="0"/>
        <v>60536</v>
      </c>
      <c r="G7" s="32">
        <f t="shared" si="0"/>
        <v>28488</v>
      </c>
      <c r="H7" s="33" t="e">
        <f t="shared" ref="H7:H9" si="1">#REF!/#REF!*100</f>
        <v>#REF!</v>
      </c>
      <c r="I7" s="31">
        <f t="shared" ref="I7:N7" si="2">SUM(I8:I19)</f>
        <v>95475</v>
      </c>
      <c r="J7" s="31">
        <f t="shared" si="2"/>
        <v>63578</v>
      </c>
      <c r="K7" s="32">
        <f t="shared" si="2"/>
        <v>31897</v>
      </c>
      <c r="L7" s="31">
        <f t="shared" si="2"/>
        <v>100704</v>
      </c>
      <c r="M7" s="31">
        <f t="shared" si="2"/>
        <v>65968</v>
      </c>
      <c r="N7" s="32">
        <f t="shared" si="2"/>
        <v>34736</v>
      </c>
      <c r="O7" s="16" t="e">
        <f t="shared" ref="O7:O9" si="3">#REF!/#REF!*100</f>
        <v>#REF!</v>
      </c>
      <c r="P7" s="16">
        <f t="shared" ref="P7:P19" si="4">E7/$E$7*100</f>
        <v>100</v>
      </c>
      <c r="Q7" s="16">
        <f>I7/$I$7*100</f>
        <v>100</v>
      </c>
      <c r="R7" s="17">
        <f t="shared" ref="R7:R19" si="5">L7/$L$7*100</f>
        <v>100</v>
      </c>
      <c r="S7" s="18">
        <f t="shared" ref="S7:S19" si="6">G7/E7*100</f>
        <v>32.00035945363048</v>
      </c>
      <c r="T7" s="18">
        <f>K7/I7*100</f>
        <v>33.408745744959411</v>
      </c>
      <c r="U7" s="18">
        <f>N7/L7*100</f>
        <v>34.493168096599938</v>
      </c>
      <c r="V7" s="34" t="s">
        <v>2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</row>
    <row r="8" spans="1:42" ht="21" customHeight="1" x14ac:dyDescent="0.55000000000000004">
      <c r="A8" s="8" t="s">
        <v>16</v>
      </c>
      <c r="B8" s="36">
        <f t="shared" ref="B8:B19" si="7">SUM(C8:D8)</f>
        <v>9556</v>
      </c>
      <c r="C8" s="36">
        <v>4484</v>
      </c>
      <c r="D8" s="37">
        <v>5072</v>
      </c>
      <c r="E8" s="36">
        <f t="shared" ref="E8:E19" si="8">SUM(F8:G8)</f>
        <v>12994</v>
      </c>
      <c r="F8" s="36">
        <v>6570</v>
      </c>
      <c r="G8" s="37">
        <v>6424</v>
      </c>
      <c r="H8" s="38" t="e">
        <f t="shared" si="1"/>
        <v>#REF!</v>
      </c>
      <c r="I8" s="36">
        <f t="shared" ref="I8:I19" si="9">SUM(J8:K8)</f>
        <v>14209</v>
      </c>
      <c r="J8" s="36">
        <v>7092</v>
      </c>
      <c r="K8" s="37">
        <v>7117</v>
      </c>
      <c r="L8" s="36">
        <f t="shared" ref="L8:L19" si="10">SUM(M8:N8)</f>
        <v>13973</v>
      </c>
      <c r="M8" s="2">
        <v>6489</v>
      </c>
      <c r="N8" s="3">
        <v>7484</v>
      </c>
      <c r="O8" s="12" t="e">
        <f t="shared" si="3"/>
        <v>#REF!</v>
      </c>
      <c r="P8" s="12">
        <f t="shared" si="4"/>
        <v>14.596063982746227</v>
      </c>
      <c r="Q8" s="12">
        <f t="shared" ref="Q8:Q19" si="11">I8/$I$7*100</f>
        <v>14.88242995548573</v>
      </c>
      <c r="R8" s="19">
        <f>L8/$L$7*100</f>
        <v>13.875317762948841</v>
      </c>
      <c r="S8" s="12">
        <f t="shared" si="6"/>
        <v>49.438202247191008</v>
      </c>
      <c r="T8" s="12">
        <f t="shared" ref="T8:T19" si="12">K8/I8*100</f>
        <v>50.087972411851645</v>
      </c>
      <c r="U8" s="12">
        <f t="shared" ref="U8:U19" si="13">N8/L8*100</f>
        <v>53.560437987547417</v>
      </c>
      <c r="V8" s="10" t="s">
        <v>17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21" customHeight="1" x14ac:dyDescent="0.55000000000000004">
      <c r="A9" s="8" t="s">
        <v>18</v>
      </c>
      <c r="B9" s="36">
        <f t="shared" si="7"/>
        <v>2186</v>
      </c>
      <c r="C9" s="36">
        <v>1095</v>
      </c>
      <c r="D9" s="37">
        <v>1091</v>
      </c>
      <c r="E9" s="36">
        <f t="shared" si="8"/>
        <v>2161</v>
      </c>
      <c r="F9" s="36">
        <v>1089</v>
      </c>
      <c r="G9" s="37">
        <v>1072</v>
      </c>
      <c r="H9" s="38" t="e">
        <f t="shared" si="1"/>
        <v>#REF!</v>
      </c>
      <c r="I9" s="36">
        <f t="shared" si="9"/>
        <v>2235</v>
      </c>
      <c r="J9" s="36">
        <v>1128</v>
      </c>
      <c r="K9" s="37">
        <v>1107</v>
      </c>
      <c r="L9" s="36">
        <f t="shared" si="10"/>
        <v>2234</v>
      </c>
      <c r="M9" s="2">
        <v>1098</v>
      </c>
      <c r="N9" s="3">
        <v>1136</v>
      </c>
      <c r="O9" s="12" t="e">
        <f t="shared" si="3"/>
        <v>#REF!</v>
      </c>
      <c r="P9" s="12">
        <f t="shared" si="4"/>
        <v>2.4274352983465133</v>
      </c>
      <c r="Q9" s="12">
        <f t="shared" si="11"/>
        <v>2.3409269442262373</v>
      </c>
      <c r="R9" s="19">
        <f t="shared" si="5"/>
        <v>2.2183825865904039</v>
      </c>
      <c r="S9" s="12">
        <f t="shared" si="6"/>
        <v>49.60666358167515</v>
      </c>
      <c r="T9" s="12">
        <f t="shared" si="12"/>
        <v>49.530201342281877</v>
      </c>
      <c r="U9" s="12">
        <f t="shared" si="13"/>
        <v>50.850492390331247</v>
      </c>
      <c r="V9" s="10" t="s">
        <v>19</v>
      </c>
      <c r="W9" s="6"/>
      <c r="X9" s="6"/>
      <c r="Y9" s="35"/>
      <c r="Z9" s="35"/>
      <c r="AA9" s="35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ht="21" customHeight="1" x14ac:dyDescent="0.55000000000000004">
      <c r="A10" s="8" t="s">
        <v>20</v>
      </c>
      <c r="B10" s="36">
        <f t="shared" si="7"/>
        <v>510</v>
      </c>
      <c r="C10" s="36">
        <v>226</v>
      </c>
      <c r="D10" s="37">
        <v>284</v>
      </c>
      <c r="E10" s="36">
        <f t="shared" si="8"/>
        <v>1741</v>
      </c>
      <c r="F10" s="36">
        <v>1040</v>
      </c>
      <c r="G10" s="37">
        <v>701</v>
      </c>
      <c r="H10" s="38">
        <v>0</v>
      </c>
      <c r="I10" s="36">
        <f t="shared" si="9"/>
        <v>1828</v>
      </c>
      <c r="J10" s="36">
        <v>1089</v>
      </c>
      <c r="K10" s="37">
        <v>739</v>
      </c>
      <c r="L10" s="36">
        <f t="shared" si="10"/>
        <v>1968</v>
      </c>
      <c r="M10" s="2">
        <v>1149</v>
      </c>
      <c r="N10" s="3">
        <v>819</v>
      </c>
      <c r="O10" s="12">
        <v>0</v>
      </c>
      <c r="P10" s="12">
        <f t="shared" si="4"/>
        <v>1.9556524083393243</v>
      </c>
      <c r="Q10" s="12">
        <f t="shared" si="11"/>
        <v>1.914637339617701</v>
      </c>
      <c r="R10" s="19">
        <f t="shared" si="5"/>
        <v>1.9542421353670163</v>
      </c>
      <c r="S10" s="12">
        <f t="shared" si="6"/>
        <v>40.264215967834573</v>
      </c>
      <c r="T10" s="12">
        <f t="shared" si="12"/>
        <v>40.426695842450769</v>
      </c>
      <c r="U10" s="12">
        <f t="shared" si="13"/>
        <v>41.615853658536587</v>
      </c>
      <c r="V10" s="10" t="s">
        <v>21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ht="21" customHeight="1" x14ac:dyDescent="0.55000000000000004">
      <c r="A11" s="8" t="s">
        <v>22</v>
      </c>
      <c r="B11" s="36">
        <f t="shared" si="7"/>
        <v>212</v>
      </c>
      <c r="C11" s="36">
        <v>75</v>
      </c>
      <c r="D11" s="37">
        <v>137</v>
      </c>
      <c r="E11" s="36">
        <f t="shared" si="8"/>
        <v>261</v>
      </c>
      <c r="F11" s="36">
        <v>103</v>
      </c>
      <c r="G11" s="37">
        <v>158</v>
      </c>
      <c r="H11" s="38">
        <v>0</v>
      </c>
      <c r="I11" s="36">
        <f t="shared" si="9"/>
        <v>218</v>
      </c>
      <c r="J11" s="36">
        <v>94</v>
      </c>
      <c r="K11" s="37">
        <v>124</v>
      </c>
      <c r="L11" s="36">
        <f t="shared" si="10"/>
        <v>783</v>
      </c>
      <c r="M11" s="2">
        <v>351</v>
      </c>
      <c r="N11" s="3">
        <v>432</v>
      </c>
      <c r="O11" s="12">
        <v>0</v>
      </c>
      <c r="P11" s="12">
        <f t="shared" si="4"/>
        <v>0.29317936736161038</v>
      </c>
      <c r="Q11" s="12">
        <f t="shared" si="11"/>
        <v>0.22833202409007597</v>
      </c>
      <c r="R11" s="19">
        <f t="shared" si="5"/>
        <v>0.77752621544327927</v>
      </c>
      <c r="S11" s="12">
        <f t="shared" si="6"/>
        <v>60.536398467432953</v>
      </c>
      <c r="T11" s="12">
        <f t="shared" si="12"/>
        <v>56.88073394495413</v>
      </c>
      <c r="U11" s="12">
        <f t="shared" si="13"/>
        <v>55.172413793103445</v>
      </c>
      <c r="V11" s="10" t="s">
        <v>23</v>
      </c>
      <c r="W11" s="6"/>
      <c r="X11" s="6"/>
      <c r="Y11" s="35"/>
      <c r="Z11" s="35"/>
      <c r="AA11" s="3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ht="21" customHeight="1" x14ac:dyDescent="0.55000000000000004">
      <c r="A12" s="8" t="s">
        <v>24</v>
      </c>
      <c r="B12" s="36">
        <f t="shared" si="7"/>
        <v>571</v>
      </c>
      <c r="C12" s="36">
        <v>374</v>
      </c>
      <c r="D12" s="37">
        <v>197</v>
      </c>
      <c r="E12" s="36">
        <f t="shared" si="8"/>
        <v>492</v>
      </c>
      <c r="F12" s="36">
        <v>315</v>
      </c>
      <c r="G12" s="37">
        <v>177</v>
      </c>
      <c r="H12" s="38" t="e">
        <f t="shared" ref="H12:H19" si="14">#REF!/#REF!*100</f>
        <v>#REF!</v>
      </c>
      <c r="I12" s="36">
        <f t="shared" si="9"/>
        <v>483</v>
      </c>
      <c r="J12" s="36">
        <v>310</v>
      </c>
      <c r="K12" s="37">
        <v>173</v>
      </c>
      <c r="L12" s="36">
        <f t="shared" si="10"/>
        <v>564</v>
      </c>
      <c r="M12" s="2">
        <v>352</v>
      </c>
      <c r="N12" s="3">
        <v>212</v>
      </c>
      <c r="O12" s="12" t="e">
        <f t="shared" ref="O12:O19" si="15">#REF!/#REF!*100</f>
        <v>#REF!</v>
      </c>
      <c r="P12" s="12">
        <f t="shared" si="4"/>
        <v>0.55265995686556435</v>
      </c>
      <c r="Q12" s="12">
        <f t="shared" si="11"/>
        <v>0.50589159465828748</v>
      </c>
      <c r="R12" s="19">
        <f t="shared" si="5"/>
        <v>0.56005719733079118</v>
      </c>
      <c r="S12" s="12">
        <f t="shared" si="6"/>
        <v>35.975609756097562</v>
      </c>
      <c r="T12" s="12">
        <f t="shared" si="12"/>
        <v>35.817805383022773</v>
      </c>
      <c r="U12" s="12">
        <f t="shared" si="13"/>
        <v>37.588652482269502</v>
      </c>
      <c r="V12" s="10" t="s">
        <v>25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21" customHeight="1" x14ac:dyDescent="0.55000000000000004">
      <c r="A13" s="8" t="s">
        <v>26</v>
      </c>
      <c r="B13" s="36">
        <f t="shared" si="7"/>
        <v>2560</v>
      </c>
      <c r="C13" s="36">
        <v>1854</v>
      </c>
      <c r="D13" s="37">
        <v>706</v>
      </c>
      <c r="E13" s="36">
        <f t="shared" si="8"/>
        <v>1895</v>
      </c>
      <c r="F13" s="36">
        <v>1306</v>
      </c>
      <c r="G13" s="37">
        <v>589</v>
      </c>
      <c r="H13" s="38" t="e">
        <f t="shared" si="14"/>
        <v>#REF!</v>
      </c>
      <c r="I13" s="36">
        <f t="shared" si="9"/>
        <v>2103</v>
      </c>
      <c r="J13" s="36">
        <v>1451</v>
      </c>
      <c r="K13" s="37">
        <v>652</v>
      </c>
      <c r="L13" s="36">
        <f t="shared" si="10"/>
        <v>3170</v>
      </c>
      <c r="M13" s="2">
        <v>2126</v>
      </c>
      <c r="N13" s="3">
        <v>1044</v>
      </c>
      <c r="O13" s="12" t="e">
        <f t="shared" si="15"/>
        <v>#REF!</v>
      </c>
      <c r="P13" s="12">
        <f t="shared" si="4"/>
        <v>2.1286394680086267</v>
      </c>
      <c r="Q13" s="12">
        <f t="shared" si="11"/>
        <v>2.2026708562450903</v>
      </c>
      <c r="R13" s="19">
        <f t="shared" si="5"/>
        <v>3.1478392119478871</v>
      </c>
      <c r="S13" s="12">
        <f t="shared" si="6"/>
        <v>31.081794195250662</v>
      </c>
      <c r="T13" s="12">
        <f t="shared" si="12"/>
        <v>31.003328578221591</v>
      </c>
      <c r="U13" s="12">
        <f t="shared" si="13"/>
        <v>32.933753943217667</v>
      </c>
      <c r="V13" s="10" t="s">
        <v>27</v>
      </c>
      <c r="W13" s="6"/>
      <c r="X13" s="6"/>
      <c r="Y13" s="35"/>
      <c r="Z13" s="35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21" customHeight="1" x14ac:dyDescent="0.55000000000000004">
      <c r="A14" s="8" t="s">
        <v>28</v>
      </c>
      <c r="B14" s="36">
        <f t="shared" si="7"/>
        <v>5016</v>
      </c>
      <c r="C14" s="36">
        <v>1518</v>
      </c>
      <c r="D14" s="37">
        <v>3498</v>
      </c>
      <c r="E14" s="36">
        <f t="shared" si="8"/>
        <v>5047</v>
      </c>
      <c r="F14" s="36">
        <v>1648</v>
      </c>
      <c r="G14" s="37">
        <v>3399</v>
      </c>
      <c r="H14" s="38" t="e">
        <f t="shared" si="14"/>
        <v>#REF!</v>
      </c>
      <c r="I14" s="36">
        <f t="shared" si="9"/>
        <v>6337</v>
      </c>
      <c r="J14" s="36">
        <v>1956</v>
      </c>
      <c r="K14" s="37">
        <v>4381</v>
      </c>
      <c r="L14" s="36">
        <f t="shared" si="10"/>
        <v>6688</v>
      </c>
      <c r="M14" s="2">
        <v>2055</v>
      </c>
      <c r="N14" s="3">
        <v>4633</v>
      </c>
      <c r="O14" s="12" t="e">
        <f t="shared" si="15"/>
        <v>#REF!</v>
      </c>
      <c r="P14" s="12">
        <f t="shared" si="4"/>
        <v>5.6692577282530552</v>
      </c>
      <c r="Q14" s="12">
        <f t="shared" si="11"/>
        <v>6.6373396177009685</v>
      </c>
      <c r="R14" s="19">
        <f t="shared" si="5"/>
        <v>6.6412456307594532</v>
      </c>
      <c r="S14" s="12">
        <f t="shared" si="6"/>
        <v>67.346938775510196</v>
      </c>
      <c r="T14" s="12">
        <f t="shared" si="12"/>
        <v>69.133659460312444</v>
      </c>
      <c r="U14" s="12">
        <f t="shared" si="13"/>
        <v>69.273325358851679</v>
      </c>
      <c r="V14" s="10" t="s">
        <v>29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21" customHeight="1" x14ac:dyDescent="0.55000000000000004">
      <c r="A15" s="8" t="s">
        <v>30</v>
      </c>
      <c r="B15" s="36">
        <f t="shared" si="7"/>
        <v>5310</v>
      </c>
      <c r="C15" s="36">
        <v>1340</v>
      </c>
      <c r="D15" s="37">
        <v>3970</v>
      </c>
      <c r="E15" s="36">
        <f t="shared" si="8"/>
        <v>6657</v>
      </c>
      <c r="F15" s="36">
        <v>1697</v>
      </c>
      <c r="G15" s="37">
        <v>4960</v>
      </c>
      <c r="H15" s="38" t="e">
        <f t="shared" si="14"/>
        <v>#REF!</v>
      </c>
      <c r="I15" s="36">
        <f t="shared" si="9"/>
        <v>7297</v>
      </c>
      <c r="J15" s="36">
        <v>1778</v>
      </c>
      <c r="K15" s="37">
        <v>5519</v>
      </c>
      <c r="L15" s="36">
        <f t="shared" si="10"/>
        <v>7669</v>
      </c>
      <c r="M15" s="2">
        <v>1769</v>
      </c>
      <c r="N15" s="3">
        <v>5900</v>
      </c>
      <c r="O15" s="12" t="e">
        <f t="shared" si="15"/>
        <v>#REF!</v>
      </c>
      <c r="P15" s="12">
        <f t="shared" si="4"/>
        <v>7.4777588066139478</v>
      </c>
      <c r="Q15" s="12">
        <f t="shared" si="11"/>
        <v>7.6428384393820368</v>
      </c>
      <c r="R15" s="19">
        <f t="shared" si="5"/>
        <v>7.6153876707975856</v>
      </c>
      <c r="S15" s="12">
        <f t="shared" si="6"/>
        <v>74.508036653147059</v>
      </c>
      <c r="T15" s="12">
        <f t="shared" si="12"/>
        <v>75.633822118678907</v>
      </c>
      <c r="U15" s="12">
        <f t="shared" si="13"/>
        <v>76.933107315164946</v>
      </c>
      <c r="V15" s="10" t="s">
        <v>31</v>
      </c>
      <c r="W15" s="6"/>
      <c r="X15" s="6"/>
      <c r="Y15" s="35"/>
      <c r="Z15" s="35"/>
      <c r="AA15" s="3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21" customHeight="1" x14ac:dyDescent="0.55000000000000004">
      <c r="A16" s="8" t="s">
        <v>32</v>
      </c>
      <c r="B16" s="36">
        <f t="shared" si="7"/>
        <v>7458</v>
      </c>
      <c r="C16" s="36">
        <v>6777</v>
      </c>
      <c r="D16" s="37">
        <v>681</v>
      </c>
      <c r="E16" s="36">
        <f t="shared" si="8"/>
        <v>7491</v>
      </c>
      <c r="F16" s="36">
        <v>6762</v>
      </c>
      <c r="G16" s="37">
        <v>729</v>
      </c>
      <c r="H16" s="38" t="e">
        <f t="shared" si="14"/>
        <v>#REF!</v>
      </c>
      <c r="I16" s="36">
        <f t="shared" si="9"/>
        <v>7663</v>
      </c>
      <c r="J16" s="36">
        <v>6869</v>
      </c>
      <c r="K16" s="37">
        <v>794</v>
      </c>
      <c r="L16" s="36">
        <f t="shared" si="10"/>
        <v>7877</v>
      </c>
      <c r="M16" s="2">
        <v>7017</v>
      </c>
      <c r="N16" s="3">
        <v>860</v>
      </c>
      <c r="O16" s="12" t="e">
        <f t="shared" si="15"/>
        <v>#REF!</v>
      </c>
      <c r="P16" s="12">
        <f t="shared" si="4"/>
        <v>8.4145848310567946</v>
      </c>
      <c r="Q16" s="12">
        <f t="shared" si="11"/>
        <v>8.026184865147945</v>
      </c>
      <c r="R16" s="19">
        <f t="shared" si="5"/>
        <v>7.8219335875436915</v>
      </c>
      <c r="S16" s="12">
        <f t="shared" si="6"/>
        <v>9.7316780136163388</v>
      </c>
      <c r="T16" s="12">
        <f t="shared" si="12"/>
        <v>10.361477228239593</v>
      </c>
      <c r="U16" s="12">
        <f t="shared" si="13"/>
        <v>10.917862130252635</v>
      </c>
      <c r="V16" s="10" t="s">
        <v>33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21" customHeight="1" x14ac:dyDescent="0.55000000000000004">
      <c r="A17" s="8" t="s">
        <v>34</v>
      </c>
      <c r="B17" s="36">
        <f t="shared" si="7"/>
        <v>11190</v>
      </c>
      <c r="C17" s="36">
        <v>8394</v>
      </c>
      <c r="D17" s="37">
        <v>2796</v>
      </c>
      <c r="E17" s="36">
        <f t="shared" si="8"/>
        <v>11652</v>
      </c>
      <c r="F17" s="36">
        <v>8711</v>
      </c>
      <c r="G17" s="37">
        <v>2941</v>
      </c>
      <c r="H17" s="38" t="e">
        <f t="shared" si="14"/>
        <v>#REF!</v>
      </c>
      <c r="I17" s="36">
        <f t="shared" si="9"/>
        <v>12224</v>
      </c>
      <c r="J17" s="36">
        <v>9065</v>
      </c>
      <c r="K17" s="37">
        <v>3159</v>
      </c>
      <c r="L17" s="36">
        <f t="shared" si="10"/>
        <v>17968</v>
      </c>
      <c r="M17" s="2">
        <v>13527</v>
      </c>
      <c r="N17" s="3">
        <v>4441</v>
      </c>
      <c r="O17" s="12" t="e">
        <f t="shared" si="15"/>
        <v>#REF!</v>
      </c>
      <c r="P17" s="12">
        <f t="shared" si="4"/>
        <v>13.088605319913732</v>
      </c>
      <c r="Q17" s="12">
        <f t="shared" si="11"/>
        <v>12.803351662738937</v>
      </c>
      <c r="R17" s="19">
        <f t="shared" si="5"/>
        <v>17.842389577375279</v>
      </c>
      <c r="S17" s="12">
        <f t="shared" si="6"/>
        <v>25.240302094061107</v>
      </c>
      <c r="T17" s="12">
        <f t="shared" si="12"/>
        <v>25.842604712041883</v>
      </c>
      <c r="U17" s="12">
        <f t="shared" si="13"/>
        <v>24.716162065894924</v>
      </c>
      <c r="V17" s="10" t="s">
        <v>35</v>
      </c>
      <c r="W17" s="6"/>
      <c r="X17" s="6"/>
      <c r="Y17" s="35"/>
      <c r="Z17" s="35"/>
      <c r="AA17" s="3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ht="21" customHeight="1" x14ac:dyDescent="0.55000000000000004">
      <c r="A18" s="8" t="s">
        <v>36</v>
      </c>
      <c r="B18" s="36">
        <f t="shared" si="7"/>
        <v>35162</v>
      </c>
      <c r="C18" s="36">
        <v>28902</v>
      </c>
      <c r="D18" s="37">
        <v>6260</v>
      </c>
      <c r="E18" s="36">
        <f t="shared" si="8"/>
        <v>38447</v>
      </c>
      <c r="F18" s="36">
        <v>31207</v>
      </c>
      <c r="G18" s="37">
        <v>7240</v>
      </c>
      <c r="H18" s="38" t="e">
        <f t="shared" si="14"/>
        <v>#REF!</v>
      </c>
      <c r="I18" s="36">
        <f t="shared" si="9"/>
        <v>40611</v>
      </c>
      <c r="J18" s="36">
        <v>32650</v>
      </c>
      <c r="K18" s="37">
        <v>7961</v>
      </c>
      <c r="L18" s="36">
        <f t="shared" si="10"/>
        <v>37481</v>
      </c>
      <c r="M18" s="2">
        <v>29897</v>
      </c>
      <c r="N18" s="3">
        <v>7584</v>
      </c>
      <c r="O18" s="12" t="e">
        <f t="shared" si="15"/>
        <v>#REF!</v>
      </c>
      <c r="P18" s="12">
        <f t="shared" si="4"/>
        <v>43.187230409777136</v>
      </c>
      <c r="Q18" s="12">
        <f t="shared" si="11"/>
        <v>42.535742340926944</v>
      </c>
      <c r="R18" s="19">
        <f t="shared" si="5"/>
        <v>37.218978392119482</v>
      </c>
      <c r="S18" s="12">
        <f t="shared" si="6"/>
        <v>18.83111816266549</v>
      </c>
      <c r="T18" s="12">
        <f t="shared" si="12"/>
        <v>19.603063209475266</v>
      </c>
      <c r="U18" s="12">
        <f t="shared" si="13"/>
        <v>20.234252021023984</v>
      </c>
      <c r="V18" s="10" t="s">
        <v>37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ht="21" customHeight="1" x14ac:dyDescent="0.55000000000000004">
      <c r="A19" s="9" t="s">
        <v>11</v>
      </c>
      <c r="B19" s="39">
        <f t="shared" si="7"/>
        <v>264</v>
      </c>
      <c r="C19" s="39">
        <v>109</v>
      </c>
      <c r="D19" s="40">
        <v>155</v>
      </c>
      <c r="E19" s="39">
        <f t="shared" si="8"/>
        <v>186</v>
      </c>
      <c r="F19" s="39">
        <v>88</v>
      </c>
      <c r="G19" s="40">
        <v>98</v>
      </c>
      <c r="H19" s="41" t="e">
        <f t="shared" si="14"/>
        <v>#REF!</v>
      </c>
      <c r="I19" s="39">
        <f t="shared" si="9"/>
        <v>267</v>
      </c>
      <c r="J19" s="39">
        <v>96</v>
      </c>
      <c r="K19" s="40">
        <v>171</v>
      </c>
      <c r="L19" s="39">
        <f t="shared" si="10"/>
        <v>329</v>
      </c>
      <c r="M19" s="4">
        <v>138</v>
      </c>
      <c r="N19" s="5">
        <v>191</v>
      </c>
      <c r="O19" s="20" t="e">
        <f t="shared" si="15"/>
        <v>#REF!</v>
      </c>
      <c r="P19" s="20">
        <f t="shared" si="4"/>
        <v>0.20893242271746945</v>
      </c>
      <c r="Q19" s="20">
        <f t="shared" si="11"/>
        <v>0.27965435978004716</v>
      </c>
      <c r="R19" s="21">
        <f t="shared" si="5"/>
        <v>0.32670003177629486</v>
      </c>
      <c r="S19" s="20">
        <f t="shared" si="6"/>
        <v>52.688172043010752</v>
      </c>
      <c r="T19" s="20">
        <f t="shared" si="12"/>
        <v>64.044943820224717</v>
      </c>
      <c r="U19" s="20">
        <f t="shared" si="13"/>
        <v>58.054711246200611</v>
      </c>
      <c r="V19" s="11" t="s">
        <v>12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ht="18.75" customHeight="1" x14ac:dyDescent="0.5">
      <c r="A20" s="42" t="s">
        <v>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 t="s">
        <v>10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ht="18" customHeight="1" x14ac:dyDescent="0.25">
      <c r="A21" s="6"/>
      <c r="B21" s="43"/>
      <c r="C21" s="6"/>
      <c r="D21" s="6"/>
      <c r="E21" s="43"/>
      <c r="F21" s="6"/>
      <c r="G21" s="6"/>
      <c r="H21" s="6"/>
      <c r="I21" s="43"/>
      <c r="J21" s="6"/>
      <c r="K21" s="6"/>
      <c r="L21" s="4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ht="15.75" customHeight="1" x14ac:dyDescent="0.25">
      <c r="A22" s="6"/>
      <c r="B22" s="43"/>
      <c r="C22" s="6"/>
      <c r="D22" s="6"/>
      <c r="E22" s="43"/>
      <c r="F22" s="6"/>
      <c r="G22" s="6"/>
      <c r="H22" s="6"/>
      <c r="I22" s="43"/>
      <c r="J22" s="6"/>
      <c r="K22" s="6"/>
      <c r="L22" s="4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ht="15.75" customHeight="1" x14ac:dyDescent="0.25">
      <c r="A23" s="6"/>
      <c r="B23" s="43"/>
      <c r="C23" s="6"/>
      <c r="D23" s="6"/>
      <c r="E23" s="43"/>
      <c r="F23" s="6"/>
      <c r="G23" s="6"/>
      <c r="H23" s="6"/>
      <c r="I23" s="43"/>
      <c r="J23" s="6"/>
      <c r="K23" s="6"/>
      <c r="L23" s="4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ht="15.75" customHeight="1" x14ac:dyDescent="0.25">
      <c r="A24" s="6"/>
      <c r="B24" s="43"/>
      <c r="C24" s="6"/>
      <c r="D24" s="6"/>
      <c r="E24" s="43"/>
      <c r="F24" s="6"/>
      <c r="G24" s="6"/>
      <c r="H24" s="6"/>
      <c r="I24" s="43"/>
      <c r="J24" s="6"/>
      <c r="K24" s="6"/>
      <c r="L24" s="4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8" t="s">
        <v>11</v>
      </c>
      <c r="AP24" s="36">
        <v>329</v>
      </c>
    </row>
    <row r="25" spans="1:42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8" t="s">
        <v>24</v>
      </c>
      <c r="AP25" s="36">
        <v>564</v>
      </c>
    </row>
    <row r="26" spans="1:42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8" t="s">
        <v>22</v>
      </c>
      <c r="AP26" s="36">
        <v>783</v>
      </c>
    </row>
    <row r="27" spans="1:42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8" t="s">
        <v>20</v>
      </c>
      <c r="AP27" s="36">
        <v>1968</v>
      </c>
    </row>
    <row r="28" spans="1:42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8" t="s">
        <v>18</v>
      </c>
      <c r="AP28" s="36">
        <v>2234</v>
      </c>
    </row>
    <row r="29" spans="1:42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8" t="s">
        <v>26</v>
      </c>
      <c r="AP29" s="36">
        <v>3170</v>
      </c>
    </row>
    <row r="30" spans="1:42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8" t="s">
        <v>28</v>
      </c>
      <c r="AP30" s="36">
        <v>6688</v>
      </c>
    </row>
    <row r="31" spans="1:42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8" t="s">
        <v>30</v>
      </c>
      <c r="AP31" s="36">
        <v>7669</v>
      </c>
    </row>
    <row r="32" spans="1:42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8" t="s">
        <v>32</v>
      </c>
      <c r="AP32" s="36">
        <v>7877</v>
      </c>
    </row>
    <row r="33" spans="1:42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44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8" t="s">
        <v>16</v>
      </c>
      <c r="AP33" s="36">
        <v>13973</v>
      </c>
    </row>
    <row r="34" spans="1:42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8" t="s">
        <v>34</v>
      </c>
      <c r="AP34" s="36">
        <v>17968</v>
      </c>
    </row>
    <row r="35" spans="1:42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9" t="s">
        <v>36</v>
      </c>
      <c r="AP35" s="39">
        <v>37481</v>
      </c>
    </row>
    <row r="36" spans="1:42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42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42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spans="1:42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42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1:42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1:42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1:42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1:42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spans="1:42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1:42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2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2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spans="1:42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spans="1:42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42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42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spans="1:42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spans="1:42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spans="1:42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spans="1:42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spans="1:42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spans="1:42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spans="1:42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spans="1:42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spans="1:42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spans="1:42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spans="1:42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spans="1:42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42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spans="1:42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spans="1:42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spans="1:42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spans="1:42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spans="1:42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spans="1:42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spans="1:42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spans="1:42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spans="1:42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spans="1:42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spans="1:42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spans="1:42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spans="1:42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spans="1:42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spans="1:42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spans="1:42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spans="1:42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spans="1:42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spans="1:42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spans="1:42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spans="1:42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spans="1:42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spans="1:42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spans="1:42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spans="1:42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spans="1:42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spans="1:42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spans="1:42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spans="1:42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spans="1:42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spans="1:42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spans="1:42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spans="1:42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spans="1:42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spans="1:42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spans="1:42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spans="1:42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spans="1:42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spans="1:42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spans="1:42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spans="1:42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spans="1:42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spans="1:42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spans="1:42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spans="1:42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spans="1:42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spans="1:42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spans="1:42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spans="1:42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spans="1:42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spans="1:42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spans="1:42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spans="1:42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spans="1:42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spans="1:42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spans="1:42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spans="1:42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spans="1:42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spans="1:42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spans="1:42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spans="1:42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spans="1:42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spans="1:42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spans="1:42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spans="1:42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spans="1:42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spans="1:42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spans="1:42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spans="1:42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spans="1:42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spans="1:42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spans="1:42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spans="1:42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spans="1:42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spans="1:42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spans="1:42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spans="1:42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spans="1:42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spans="1:42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spans="1:42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spans="1:42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spans="1:42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spans="1:42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spans="1:42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spans="1:42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spans="1:42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spans="1:42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spans="1:42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spans="1:42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spans="1:42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spans="1:42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spans="1:42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spans="1:42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 spans="1:42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 spans="1:42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 spans="1:42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 spans="1:42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 spans="1:42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 spans="1:42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 spans="1:42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 spans="1:42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 spans="1:42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 spans="1:42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 spans="1:42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 spans="1:42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 spans="1:42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 spans="1:42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 spans="1:42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 spans="1:42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 spans="1:42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 spans="1:42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 spans="1:42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 spans="1:42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 spans="1:42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 spans="1:42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 spans="1:42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 spans="1:42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 spans="1:42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 spans="1:42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 spans="1:42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 spans="1:42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 spans="1:42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 spans="1:42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spans="1:42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 spans="1:42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 spans="1:42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 spans="1:42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 spans="1:42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 spans="1:42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 spans="1:42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 spans="1:42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 spans="1:42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 spans="1:42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 spans="1:42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 spans="1:42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 spans="1:42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 spans="1:42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 spans="1:42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 spans="1:42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 spans="1:42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 spans="1:42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 spans="1:42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 spans="1:42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 spans="1:42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 spans="1:42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 spans="1:42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 spans="1:42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 spans="1:42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 spans="1:42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 spans="1:42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 spans="1:42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 spans="1:42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 spans="1:42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 spans="1:42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 spans="1:42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 spans="1:42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spans="1:42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spans="1:42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spans="1:42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 spans="1:42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 spans="1:42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 spans="1:42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 spans="1:42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 spans="1:42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 spans="1:42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 spans="1:42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 spans="1:42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 spans="1:42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 spans="1:42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 spans="1:42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 spans="1:42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 spans="1:42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 spans="1:42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 spans="1:42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 spans="1:42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spans="1:42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 spans="1:42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 spans="1:42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 spans="1:42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 spans="1:42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 spans="1:42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 spans="1:42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 spans="1:42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 spans="1:42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 spans="1:42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 spans="1:42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 spans="1:42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 spans="1:42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 spans="1:42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 spans="1:42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 spans="1:42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 spans="1:42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 spans="1:42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 spans="1:42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 spans="1:42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 spans="1:42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 spans="1:42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 spans="1:42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 spans="1:42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 spans="1:42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 spans="1:42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 spans="1:42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 spans="1:42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 spans="1:42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 spans="1:42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 spans="1:42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 spans="1:42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 spans="1:42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 spans="1:42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 spans="1:42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 spans="1:42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 spans="1:42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 spans="1:42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 spans="1:42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 spans="1:42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 spans="1:42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 spans="1:42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 spans="1:42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 spans="1:42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 spans="1:42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 spans="1:42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 spans="1:42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 spans="1:42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 spans="1:42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 spans="1:42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 spans="1:42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 spans="1:42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spans="1:42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 spans="1:42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 spans="1:42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 spans="1:42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 spans="1:42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 spans="1:42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spans="1:42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spans="1:42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spans="1:42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 spans="1:42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 spans="1:42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 spans="1:42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 spans="1:42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 spans="1:42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 spans="1:42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spans="1:42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 spans="1:42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 spans="1:42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 spans="1:42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 spans="1:42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 spans="1:42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 spans="1:42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 spans="1:42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 spans="1:42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 spans="1:42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 spans="1:42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 spans="1:42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 spans="1:42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 spans="1:42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 spans="1:42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 spans="1:42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 spans="1:42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 spans="1:42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 spans="1:42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 spans="1:42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 spans="1:42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 spans="1:42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 spans="1:42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 spans="1:42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 spans="1:42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 spans="1:42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 spans="1:42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 spans="1:42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 spans="1:42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 spans="1:42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 spans="1:42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 spans="1:42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 spans="1:42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 spans="1:42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 spans="1:42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 spans="1:42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 spans="1:42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spans="1:42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 spans="1:42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 spans="1:42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 spans="1:42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 spans="1:42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 spans="1:42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 spans="1:42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 spans="1:42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 spans="1:42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 spans="1:42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 spans="1:42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 spans="1:42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 spans="1:42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 spans="1:42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 spans="1:42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 spans="1:42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 spans="1:42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 spans="1:42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 spans="1:42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 spans="1:42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 spans="1:42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 spans="1:42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 spans="1:42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 spans="1:42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 spans="1:42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 spans="1:42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 spans="1:42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 spans="1:42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 spans="1:42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 spans="1:42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spans="1:42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spans="1:42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spans="1:42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 spans="1:42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 spans="1:42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 spans="1:42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 spans="1:42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 spans="1:42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 spans="1:42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 spans="1:42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 spans="1:42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 spans="1:42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 spans="1:42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 spans="1:42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 spans="1:42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 spans="1:42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 spans="1:42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 spans="1:42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 spans="1:42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 spans="1:42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 spans="1:42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 spans="1:42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spans="1:42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 spans="1:42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 spans="1:42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 spans="1:42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 spans="1:42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 spans="1:42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 spans="1:42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 spans="1:42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 spans="1:42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 spans="1:42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 spans="1:42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 spans="1:42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 spans="1:42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 spans="1:42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 spans="1:42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 spans="1:42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 spans="1:42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 spans="1:42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 spans="1:42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 spans="1:42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 spans="1:42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 spans="1:42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 spans="1:42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 spans="1:42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 spans="1:42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 spans="1:42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 spans="1:42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 spans="1:42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 spans="1:42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 spans="1:42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 spans="1:42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 spans="1:42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 spans="1:42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 spans="1:42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 spans="1:42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 spans="1:42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 spans="1:42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 spans="1:42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 spans="1:42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 spans="1:42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 spans="1:42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 spans="1:42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 spans="1:42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 spans="1:42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 spans="1:42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 spans="1:42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 spans="1:42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 spans="1:42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 spans="1:42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 spans="1:42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 spans="1:42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 spans="1:42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spans="1:42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 spans="1:42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 spans="1:42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spans="1:42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spans="1:42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spans="1:42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 spans="1:42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 spans="1:42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 spans="1:42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 spans="1:42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 spans="1:42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 spans="1:42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 spans="1:42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 spans="1:42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 spans="1:42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 spans="1:42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 spans="1:42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 spans="1:42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 spans="1:42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 spans="1:42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 spans="1:42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 spans="1:42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 spans="1:42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 spans="1:42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 spans="1:42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 spans="1:42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 spans="1:42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 spans="1:42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 spans="1:42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 spans="1:42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 spans="1:42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 spans="1:42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 spans="1:42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 spans="1:42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 spans="1:42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 spans="1:42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 spans="1:42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 spans="1:42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 spans="1:42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 spans="1:42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 spans="1:42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 spans="1:42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 spans="1:42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 spans="1:42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 spans="1:42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 spans="1:42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 spans="1:42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 spans="1:42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 spans="1:42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 spans="1:42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 spans="1:42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 spans="1:42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 spans="1:42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spans="1:42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 spans="1:42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 spans="1:42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 spans="1:42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 spans="1:42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 spans="1:42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 spans="1:42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 spans="1:42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 spans="1:42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 spans="1:42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 spans="1:42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 spans="1:42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 spans="1:42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 spans="1:42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 spans="1:42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 spans="1:42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 spans="1:42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 spans="1:42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 spans="1:42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 spans="1:42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 spans="1:42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 spans="1:42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 spans="1:42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 spans="1:42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 spans="1:42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 spans="1:42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spans="1:42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spans="1:42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spans="1:42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 spans="1:42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 spans="1:42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 spans="1:42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 spans="1:42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 spans="1:42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 spans="1:42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 spans="1:42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 spans="1:42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 spans="1:42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 spans="1:42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 spans="1:42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 spans="1:42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 spans="1:42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 spans="1:42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 spans="1:42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 spans="1:42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 spans="1:42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 spans="1:42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 spans="1:42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 spans="1:42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 spans="1:42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 spans="1:42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 spans="1:42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 spans="1:42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spans="1:42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 spans="1:42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 spans="1:42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 spans="1:42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 spans="1:42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 spans="1:42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 spans="1:42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 spans="1:42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 spans="1:42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 spans="1:42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 spans="1:42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 spans="1:42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 spans="1:42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 spans="1:42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 spans="1:42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 spans="1:42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 spans="1:42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 spans="1:42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 spans="1:42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 spans="1:42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 spans="1:42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 spans="1:42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 spans="1:42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 spans="1:42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 spans="1:42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 spans="1:42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 spans="1:42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 spans="1:42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 spans="1:42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 spans="1:42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 spans="1:42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 spans="1:42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 spans="1:42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 spans="1:42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 spans="1:42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 spans="1:42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 spans="1:42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 spans="1:42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 spans="1:42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 spans="1:42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 spans="1:42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 spans="1:42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 spans="1:42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 spans="1:42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 spans="1:42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 spans="1:42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 spans="1:42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 spans="1:42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 spans="1:42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spans="1:42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spans="1:42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spans="1:42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spans="1:42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 spans="1:42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 spans="1:42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 spans="1:42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 spans="1:42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 spans="1:42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 spans="1:42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 spans="1:42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 spans="1:42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 spans="1:42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 spans="1:42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 spans="1:42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 spans="1:42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 spans="1:42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 spans="1:42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 spans="1:42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 spans="1:42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 spans="1:42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 spans="1:42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 spans="1:42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 spans="1:42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 spans="1:42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 spans="1:42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 spans="1:42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 spans="1:42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 spans="1:42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 spans="1:42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 spans="1:42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 spans="1:42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 spans="1:42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 spans="1:42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 spans="1:42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 spans="1:42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 spans="1:42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 spans="1:42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 spans="1:42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 spans="1:42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 spans="1:42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 spans="1:42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 spans="1:42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 spans="1:42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 spans="1:42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 spans="1:42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 spans="1:42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 spans="1:42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 spans="1:42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 spans="1:42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 spans="1:42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 spans="1:42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 spans="1:42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 spans="1:42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 spans="1:42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spans="1:42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 spans="1:42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 spans="1:42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 spans="1:42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 spans="1:42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 spans="1:42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 spans="1:42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 spans="1:42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 spans="1:42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 spans="1:42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 spans="1:42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 spans="1:42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 spans="1:42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 spans="1:42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 spans="1:42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 spans="1:42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 spans="1:42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 spans="1:42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 spans="1:42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 spans="1:42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 spans="1:42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spans="1:42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spans="1:42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spans="1:42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 spans="1:42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 spans="1:42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 spans="1:42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 spans="1:42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 spans="1:42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 spans="1:42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 spans="1:42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 spans="1:42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 spans="1:42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 spans="1:42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 spans="1:42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 spans="1:42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 spans="1:42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 spans="1:42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 spans="1:42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 spans="1:42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 spans="1:42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 spans="1:42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 spans="1:42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 spans="1:42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 spans="1:42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 spans="1:42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 spans="1:42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 spans="1:42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 spans="1:42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 spans="1:42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 spans="1:42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 spans="1:42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 spans="1:42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 spans="1:42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 spans="1:42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 spans="1:42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 spans="1:42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 spans="1:42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 spans="1:42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 spans="1:42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 spans="1:42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 spans="1:42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 spans="1:42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 spans="1:42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 spans="1:42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 spans="1:42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 spans="1:42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 spans="1:42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 spans="1:42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 spans="1:42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 spans="1:42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 spans="1:42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 spans="1:42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 spans="1:42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 spans="1:42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 spans="1:42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 spans="1:42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 spans="1:42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 spans="1:42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 spans="1:42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 spans="1:42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 spans="1:42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 spans="1:42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 spans="1:42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 spans="1:42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 spans="1:42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 spans="1:42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 spans="1:42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 spans="1:42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 spans="1:42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 spans="1:42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 spans="1:42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 spans="1:42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 spans="1:42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 spans="1:42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 spans="1:42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 spans="1:42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 spans="1:42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 spans="1:42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spans="1:42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spans="1:42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spans="1:42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 spans="1:42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 spans="1:42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 spans="1:42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 spans="1:42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 spans="1:42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 spans="1:42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 spans="1:42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 spans="1:42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 spans="1:42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 spans="1:42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 spans="1:42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 spans="1:42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 spans="1:42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 spans="1:42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 spans="1:42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 spans="1:42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 spans="1:42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 spans="1:42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 spans="1:42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 spans="1:42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 spans="1:42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 spans="1:42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 spans="1:42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 spans="1:42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 spans="1:42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 spans="1:42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 spans="1:42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 spans="1:42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 spans="1:42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 spans="1:42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 spans="1:42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 spans="1:42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 spans="1:42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 spans="1:42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 spans="1:42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 spans="1:42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 spans="1:42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 spans="1:42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 spans="1:42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 spans="1:42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 spans="1:42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 spans="1:42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 spans="1:42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 spans="1:42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 spans="1:42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 spans="1:42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 spans="1:42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 spans="1:42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 spans="1:42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 spans="1:42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 spans="1:42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 spans="1:42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 spans="1:42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 spans="1:42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 spans="1:42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 spans="1:42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 spans="1:42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 spans="1:42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 spans="1:42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 spans="1:42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 spans="1:42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 spans="1:42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 spans="1:42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 spans="1:42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 spans="1:42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 spans="1:42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 spans="1:42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 spans="1:42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 spans="1:42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 spans="1:42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 spans="1:42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 spans="1:42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 spans="1:42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 spans="1:42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spans="1:42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spans="1:42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spans="1:42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 spans="1:42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 spans="1:42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 spans="1:42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 spans="1:42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 spans="1:42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 spans="1:42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 spans="1:42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 spans="1:42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 spans="1:42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 spans="1:42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 spans="1:42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 spans="1:42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 spans="1:42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 spans="1:42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 spans="1:42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 spans="1:42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 spans="1:42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 spans="1:42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 spans="1:42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 spans="1:42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 spans="1:42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 spans="1:42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 spans="1:42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 spans="1:42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 spans="1:42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 spans="1:42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 spans="1:42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 spans="1:42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 spans="1:42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 spans="1:42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 spans="1:42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 spans="1:42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 spans="1:42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 spans="1:42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 spans="1:42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 spans="1:42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 spans="1:42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 spans="1:42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 spans="1:42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 spans="1:42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 spans="1:42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 spans="1:42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 spans="1:42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 spans="1:42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 spans="1:42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 spans="1:42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 spans="1:42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 spans="1:42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 spans="1:42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 spans="1:42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 spans="1:42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 spans="1:42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 spans="1:42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 spans="1:42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 spans="1:42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 spans="1:42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 spans="1:42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 spans="1:42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 spans="1:42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 spans="1:42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 spans="1:42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 spans="1:42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 spans="1:42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 spans="1:42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 spans="1:42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 spans="1:42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 spans="1:42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 spans="1:42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 spans="1:42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 spans="1:42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 spans="1:42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</row>
    <row r="995" spans="1:42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</row>
    <row r="996" spans="1:42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spans="1:42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spans="1:42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spans="1:42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</row>
    <row r="1000" spans="1:42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</row>
  </sheetData>
  <sortState ref="AO24:AP35">
    <sortCondition ref="AP24:AP35"/>
  </sortState>
  <mergeCells count="12">
    <mergeCell ref="A1:V1"/>
    <mergeCell ref="A2:V2"/>
    <mergeCell ref="P4:R4"/>
    <mergeCell ref="S4:U4"/>
    <mergeCell ref="V4:V6"/>
    <mergeCell ref="P5:R5"/>
    <mergeCell ref="S5:U5"/>
    <mergeCell ref="B4:D4"/>
    <mergeCell ref="A4:A6"/>
    <mergeCell ref="E4:G4"/>
    <mergeCell ref="I4:K4"/>
    <mergeCell ref="L4:N4"/>
  </mergeCells>
  <pageMargins left="0.7" right="0.7" top="0.75" bottom="0.75" header="0" footer="0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2020-12-02T03:36:06Z</cp:lastPrinted>
  <dcterms:created xsi:type="dcterms:W3CDTF">2019-02-21T04:10:17Z</dcterms:created>
  <dcterms:modified xsi:type="dcterms:W3CDTF">2020-12-02T03:36:24Z</dcterms:modified>
</cp:coreProperties>
</file>