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9" sheetId="6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'14.9'!$A$1:$L$41</definedName>
  </definedNames>
  <calcPr calcId="152511"/>
</workbook>
</file>

<file path=xl/calcChain.xml><?xml version="1.0" encoding="utf-8"?>
<calcChain xmlns="http://schemas.openxmlformats.org/spreadsheetml/2006/main">
  <c r="J31" i="6" l="1"/>
  <c r="I31" i="6"/>
  <c r="H31" i="6"/>
  <c r="G31" i="6"/>
  <c r="J30" i="6"/>
  <c r="I30" i="6"/>
  <c r="H30" i="6"/>
  <c r="G30" i="6"/>
  <c r="J29" i="6"/>
  <c r="I29" i="6"/>
  <c r="H29" i="6"/>
  <c r="G29" i="6"/>
  <c r="J28" i="6"/>
  <c r="I28" i="6"/>
  <c r="H28" i="6"/>
  <c r="G28" i="6"/>
  <c r="J27" i="6"/>
  <c r="I27" i="6"/>
  <c r="H27" i="6"/>
  <c r="G27" i="6"/>
  <c r="C27" i="6" l="1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</calcChain>
</file>

<file path=xl/sharedStrings.xml><?xml version="1.0" encoding="utf-8"?>
<sst xmlns="http://schemas.openxmlformats.org/spreadsheetml/2006/main" count="90" uniqueCount="62">
  <si>
    <t>(cniaWyifur cnwailim ;cSwlwyin egutwdcaum WviawfiLeawDnwk)</t>
  </si>
  <si>
    <t>(In millions of Rufiyaa; end of period)</t>
  </si>
  <si>
    <t>cCWm</t>
  </si>
  <si>
    <t>cnUj</t>
  </si>
  <si>
    <t>cTcpes</t>
  </si>
  <si>
    <t>cmesiD</t>
  </si>
  <si>
    <t>Mar</t>
  </si>
  <si>
    <t>Jun</t>
  </si>
  <si>
    <t>Sep</t>
  </si>
  <si>
    <t xml:space="preserve"> Dec</t>
  </si>
  <si>
    <t>Annual percentage change</t>
  </si>
  <si>
    <t>އަހަރުން އަހަރަށް އިތުރުވި މިންވަރު އިންސައްތަ</t>
  </si>
  <si>
    <t>Source: Maldives Monetary Authority.</t>
  </si>
  <si>
    <t>/1</t>
  </si>
  <si>
    <t xml:space="preserve"> </t>
  </si>
  <si>
    <t>Economic groups</t>
  </si>
  <si>
    <t>cawtiawb IdWBitcqia</t>
  </si>
  <si>
    <r>
      <rPr>
        <vertAlign val="superscript"/>
        <sz val="9"/>
        <rFont val="A_Faseyha"/>
      </rPr>
      <t>2/</t>
    </r>
    <r>
      <rPr>
        <b/>
        <sz val="9"/>
        <rFont val="A_Faseyha"/>
      </rPr>
      <t xml:space="preserve"> wlcmuj</t>
    </r>
  </si>
  <si>
    <t>Agriculture</t>
  </si>
  <si>
    <t>cnwkirevuDnwd</t>
  </si>
  <si>
    <t>Fishing</t>
  </si>
  <si>
    <t>cnwkirevcswm</t>
  </si>
  <si>
    <t>Manufacturing</t>
  </si>
  <si>
    <t>cnudcaefua itekwt</t>
  </si>
  <si>
    <t>Construction</t>
  </si>
  <si>
    <t>cnurukctWrWmiA</t>
  </si>
  <si>
    <t>Real estates</t>
  </si>
  <si>
    <t>ރިއަލްއެސްޓޭޓް ވިޔަފާރިތަކަށް</t>
  </si>
  <si>
    <t>Tourism</t>
  </si>
  <si>
    <t>cnwkirevurutwf</t>
  </si>
  <si>
    <t xml:space="preserve">     New resort development</t>
  </si>
  <si>
    <t>އަލަށް ހަދާ ރިސޯޓްތައް ތަރައްޤީކުރުމަށް</t>
  </si>
  <si>
    <t xml:space="preserve">     Renovation of resorts</t>
  </si>
  <si>
    <t>ރިސޯޓް މަރާމާތު ކުރުން</t>
  </si>
  <si>
    <t xml:space="preserve">     Yacht safari buildings</t>
  </si>
  <si>
    <t>ޔޮޓް ސަފާރީ ބަނުމަށް</t>
  </si>
  <si>
    <t xml:space="preserve">     Working capital</t>
  </si>
  <si>
    <t>ވަރކިންގ ކެޕިޓަލް ގޮތުގައި</t>
  </si>
  <si>
    <t>Commerce</t>
  </si>
  <si>
    <t>cawtctWkwrwH irWfwyiv</t>
  </si>
  <si>
    <t xml:space="preserve">   Wholesale and retail</t>
  </si>
  <si>
    <t>ހޯލްސޭލް އެންޑް ރީޓެއިލް ވިޔަފާރިތައް</t>
  </si>
  <si>
    <t xml:space="preserve">   Restuarants and cafes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</si>
  <si>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</si>
  <si>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</si>
  <si>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</si>
  <si>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</si>
  <si>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</si>
  <si>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</si>
  <si>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r>
      <rPr>
        <sz val="9"/>
        <rFont val="A_Faseyha"/>
      </rPr>
      <t xml:space="preserve">cawtctWkwrwH WvuniawfiverukcnWywb </t>
    </r>
    <r>
      <rPr>
        <sz val="9"/>
        <rFont val="Faruma"/>
      </rPr>
      <t>މަތީގައި</t>
    </r>
  </si>
  <si>
    <t>(In percent of total; end of period)</t>
  </si>
  <si>
    <t>(ކަނޑައެޅިފައިވާ މުއްދަތުގެ ނިޔަލަށް، މުޅި ޖުމްލައިގެ ސައްތައިން)</t>
  </si>
  <si>
    <t>ދަތުރުފަތުރާއި މުވާސަލާތު ޚިދުމަތްތައް</t>
  </si>
  <si>
    <t xml:space="preserve"> އިންޓަރެސްޓްގެ ގޮތުގައާއި އެހެނިހެން ގޮތްގޮތުން ލިބެންވާ ފައިސާ މިޖުމްލައިގައި ހިމެނިފައި ނުވާނެއެވެ.</t>
  </si>
  <si>
    <t>ނޯޓް:</t>
  </si>
  <si>
    <t>NOTE:</t>
  </si>
  <si>
    <t>Guest house</t>
  </si>
  <si>
    <t>ގެސްޓް ހައުސް</t>
  </si>
  <si>
    <r>
      <t>Total</t>
    </r>
    <r>
      <rPr>
        <sz val="9"/>
        <rFont val="Calibri"/>
        <family val="2"/>
        <scheme val="minor"/>
      </rPr>
      <t xml:space="preserve"> </t>
    </r>
    <r>
      <rPr>
        <vertAlign val="superscript"/>
        <sz val="9"/>
        <rFont val="Calibri"/>
        <family val="2"/>
        <scheme val="minor"/>
      </rPr>
      <t xml:space="preserve">1/ </t>
    </r>
  </si>
  <si>
    <t>1_/ Excluding accrued interest receivable and accounts receivables</t>
  </si>
  <si>
    <t>Table  14.9 : OTHER DEPOSITORY CORPORATIONS PRIVATE SECTOR LOANS &amp; ADVANCES BY ECONOMIC GROUP, 2018 - 2019</t>
  </si>
  <si>
    <t>ތާވަލު 14.9: ބޭންކުތަކުން އަމިއްލަ ފަރާތްތަކަށް ލޯނު އަދި އެޑްވާސް ގެގޮތުގައި (އިޤްތިސާދީ އެކި ބައިތަކަށް) ދޫކުރެވުނު ފައިސާ 2018- 2019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</si>
</sst>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10"/>
      <name val="Arial"/>
      <family val="2"/>
    </font>
    <font>
      <vertAlign val="superscript"/>
      <sz val="9"/>
      <name val="A_Faseyha"/>
    </font>
    <font>
      <vertAlign val="superscript"/>
      <sz val="9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4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17" fontId="3" fillId="0" borderId="0" applyFont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0" fontId="3" fillId="0" borderId="0" applyFill="0" applyBorder="0" applyAlignment="0"/>
    <xf numFmtId="0" fontId="29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17" fontId="3" fillId="0" borderId="0" applyFont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29" fillId="0" borderId="0" applyFont="0" applyFill="0" applyBorder="0" applyAlignment="0" applyProtection="0"/>
    <xf numFmtId="14" fontId="32" fillId="0" borderId="0" applyFill="0" applyBorder="0" applyAlignment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170" fontId="3" fillId="0" borderId="0" applyFill="0" applyBorder="0" applyAlignment="0"/>
    <xf numFmtId="0" fontId="29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38" fontId="23" fillId="19" borderId="0" applyNumberFormat="0" applyBorder="0" applyAlignment="0" applyProtection="0"/>
    <xf numFmtId="0" fontId="35" fillId="0" borderId="13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0" fontId="23" fillId="20" borderId="17" applyNumberFormat="0" applyBorder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170" fontId="3" fillId="0" borderId="0" applyFill="0" applyBorder="0" applyAlignment="0"/>
    <xf numFmtId="0" fontId="29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176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29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44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9" fontId="32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5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76">
    <xf numFmtId="0" fontId="0" fillId="0" borderId="0" xfId="0"/>
    <xf numFmtId="164" fontId="11" fillId="21" borderId="0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Alignment="1">
      <alignment horizontal="right" vertical="center"/>
    </xf>
    <xf numFmtId="165" fontId="17" fillId="21" borderId="0" xfId="0" applyNumberFormat="1" applyFont="1" applyFill="1" applyAlignment="1">
      <alignment vertical="center"/>
    </xf>
    <xf numFmtId="164" fontId="14" fillId="21" borderId="0" xfId="2" applyNumberFormat="1" applyFont="1" applyFill="1" applyBorder="1" applyAlignment="1">
      <alignment horizontal="right" vertical="center"/>
    </xf>
    <xf numFmtId="164" fontId="9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7" fontId="16" fillId="21" borderId="0" xfId="1" applyNumberFormat="1" applyFont="1" applyFill="1" applyBorder="1" applyAlignment="1" applyProtection="1">
      <alignment vertical="center"/>
    </xf>
    <xf numFmtId="166" fontId="9" fillId="21" borderId="0" xfId="2" applyNumberFormat="1" applyFont="1" applyFill="1" applyBorder="1" applyAlignment="1">
      <alignment horizontal="right" vertical="center"/>
    </xf>
    <xf numFmtId="0" fontId="16" fillId="21" borderId="0" xfId="0" applyFont="1" applyFill="1" applyBorder="1" applyAlignment="1" applyProtection="1">
      <alignment horizontal="left"/>
    </xf>
    <xf numFmtId="164" fontId="7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horizontal="right" vertical="center"/>
    </xf>
    <xf numFmtId="164" fontId="4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>
      <alignment horizontal="right" vertical="center"/>
    </xf>
    <xf numFmtId="0" fontId="14" fillId="21" borderId="0" xfId="0" applyFont="1" applyFill="1"/>
    <xf numFmtId="164" fontId="8" fillId="21" borderId="0" xfId="2" applyNumberFormat="1" applyFont="1" applyFill="1" applyBorder="1" applyAlignment="1">
      <alignment vertical="center"/>
    </xf>
    <xf numFmtId="164" fontId="9" fillId="21" borderId="2" xfId="2" applyNumberFormat="1" applyFont="1" applyFill="1" applyBorder="1" applyAlignment="1" applyProtection="1">
      <alignment horizontal="center" vertical="center"/>
    </xf>
    <xf numFmtId="164" fontId="6" fillId="21" borderId="1" xfId="2" applyNumberFormat="1" applyFont="1" applyFill="1" applyBorder="1" applyAlignment="1" applyProtection="1">
      <alignment horizontal="left" vertical="center"/>
    </xf>
    <xf numFmtId="164" fontId="9" fillId="21" borderId="1" xfId="2" applyNumberFormat="1" applyFont="1" applyFill="1" applyBorder="1" applyAlignment="1" applyProtection="1">
      <alignment horizontal="right" vertical="center"/>
    </xf>
    <xf numFmtId="166" fontId="13" fillId="21" borderId="0" xfId="2" applyNumberFormat="1" applyFont="1" applyFill="1" applyBorder="1" applyAlignment="1">
      <alignment vertical="center"/>
    </xf>
    <xf numFmtId="166" fontId="12" fillId="21" borderId="0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166" fontId="12" fillId="21" borderId="0" xfId="2" applyNumberFormat="1" applyFont="1" applyFill="1" applyAlignment="1">
      <alignment vertical="center"/>
    </xf>
    <xf numFmtId="164" fontId="10" fillId="21" borderId="1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vertical="center"/>
    </xf>
    <xf numFmtId="164" fontId="3" fillId="21" borderId="0" xfId="2" applyNumberFormat="1" applyFont="1" applyFill="1" applyBorder="1" applyAlignment="1">
      <alignment vertical="center"/>
    </xf>
    <xf numFmtId="0" fontId="19" fillId="21" borderId="3" xfId="0" applyFont="1" applyFill="1" applyBorder="1"/>
    <xf numFmtId="0" fontId="3" fillId="21" borderId="3" xfId="0" applyFont="1" applyFill="1" applyBorder="1"/>
    <xf numFmtId="43" fontId="6" fillId="21" borderId="9" xfId="1" applyFont="1" applyFill="1" applyBorder="1" applyAlignment="1">
      <alignment horizontal="right"/>
    </xf>
    <xf numFmtId="164" fontId="11" fillId="21" borderId="6" xfId="2" applyNumberFormat="1" applyFont="1" applyFill="1" applyBorder="1" applyAlignment="1">
      <alignment horizontal="right"/>
    </xf>
    <xf numFmtId="164" fontId="4" fillId="21" borderId="0" xfId="2" applyNumberFormat="1" applyFont="1" applyFill="1" applyAlignment="1">
      <alignment vertical="center"/>
    </xf>
    <xf numFmtId="164" fontId="12" fillId="21" borderId="2" xfId="2" applyNumberFormat="1" applyFont="1" applyFill="1" applyBorder="1" applyAlignment="1" applyProtection="1">
      <alignment horizontal="center" vertical="center"/>
    </xf>
    <xf numFmtId="164" fontId="15" fillId="21" borderId="2" xfId="2" applyNumberFormat="1" applyFont="1" applyFill="1" applyBorder="1" applyAlignment="1">
      <alignment vertical="center"/>
    </xf>
    <xf numFmtId="164" fontId="12" fillId="21" borderId="0" xfId="2" applyNumberFormat="1" applyFont="1" applyFill="1" applyBorder="1" applyAlignment="1" applyProtection="1">
      <alignment horizontal="left" vertical="center"/>
    </xf>
    <xf numFmtId="164" fontId="12" fillId="21" borderId="1" xfId="2" applyNumberFormat="1" applyFont="1" applyFill="1" applyBorder="1" applyAlignment="1" applyProtection="1">
      <alignment horizontal="right" vertical="center"/>
    </xf>
    <xf numFmtId="164" fontId="15" fillId="21" borderId="1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Border="1" applyAlignment="1" applyProtection="1">
      <alignment horizontal="left" vertical="center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Alignment="1" applyProtection="1">
      <alignment horizontal="right" vertical="center"/>
      <protection locked="0"/>
    </xf>
    <xf numFmtId="164" fontId="15" fillId="21" borderId="0" xfId="2" applyNumberFormat="1" applyFont="1" applyFill="1" applyAlignment="1">
      <alignment vertical="center"/>
    </xf>
    <xf numFmtId="165" fontId="17" fillId="21" borderId="1" xfId="0" applyNumberFormat="1" applyFont="1" applyFill="1" applyBorder="1" applyAlignment="1">
      <alignment vertical="center"/>
    </xf>
    <xf numFmtId="166" fontId="13" fillId="21" borderId="0" xfId="2" applyNumberFormat="1" applyFont="1" applyFill="1" applyBorder="1" applyAlignment="1" applyProtection="1">
      <alignment horizontal="right" vertical="center"/>
      <protection locked="0"/>
    </xf>
    <xf numFmtId="164" fontId="9" fillId="21" borderId="0" xfId="2" applyNumberFormat="1" applyFont="1" applyFill="1" applyBorder="1" applyAlignment="1" applyProtection="1">
      <alignment horizontal="right"/>
    </xf>
    <xf numFmtId="165" fontId="13" fillId="21" borderId="0" xfId="2" applyNumberFormat="1" applyFont="1" applyFill="1" applyBorder="1" applyAlignment="1" applyProtection="1">
      <alignment horizontal="right" vertical="center"/>
      <protection locked="0"/>
    </xf>
    <xf numFmtId="165" fontId="13" fillId="21" borderId="1" xfId="2" applyNumberFormat="1" applyFont="1" applyFill="1" applyBorder="1" applyAlignment="1" applyProtection="1">
      <alignment horizontal="right" vertical="center"/>
      <protection locked="0"/>
    </xf>
    <xf numFmtId="165" fontId="17" fillId="21" borderId="0" xfId="0" applyNumberFormat="1" applyFont="1" applyFill="1" applyAlignment="1">
      <alignment horizontal="left" vertical="center" indent="2"/>
    </xf>
    <xf numFmtId="164" fontId="48" fillId="21" borderId="0" xfId="2" applyNumberFormat="1" applyFont="1" applyFill="1" applyAlignment="1">
      <alignment horizontal="left" vertical="center" indent="2"/>
    </xf>
    <xf numFmtId="166" fontId="24" fillId="21" borderId="0" xfId="2" applyNumberFormat="1" applyFont="1" applyFill="1" applyBorder="1" applyAlignment="1">
      <alignment vertical="center"/>
    </xf>
    <xf numFmtId="164" fontId="49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Border="1" applyAlignment="1">
      <alignment horizontal="right" vertical="center"/>
    </xf>
    <xf numFmtId="43" fontId="4" fillId="21" borderId="0" xfId="1" applyFont="1" applyFill="1" applyBorder="1" applyAlignment="1" applyProtection="1">
      <alignment vertical="center"/>
    </xf>
    <xf numFmtId="166" fontId="13" fillId="21" borderId="23" xfId="2" applyNumberFormat="1" applyFont="1" applyFill="1" applyBorder="1" applyAlignment="1">
      <alignment vertical="center"/>
    </xf>
    <xf numFmtId="43" fontId="6" fillId="21" borderId="8" xfId="1" applyFont="1" applyFill="1" applyBorder="1" applyAlignment="1">
      <alignment horizontal="right"/>
    </xf>
    <xf numFmtId="43" fontId="6" fillId="21" borderId="27" xfId="1" applyFont="1" applyFill="1" applyBorder="1" applyAlignment="1">
      <alignment horizontal="right"/>
    </xf>
    <xf numFmtId="166" fontId="12" fillId="21" borderId="23" xfId="2" applyNumberFormat="1" applyFont="1" applyFill="1" applyBorder="1" applyAlignment="1">
      <alignment vertical="center"/>
    </xf>
    <xf numFmtId="166" fontId="13" fillId="21" borderId="22" xfId="2" applyNumberFormat="1" applyFont="1" applyFill="1" applyBorder="1" applyAlignment="1">
      <alignment vertical="center"/>
    </xf>
    <xf numFmtId="166" fontId="13" fillId="21" borderId="23" xfId="2" applyNumberFormat="1" applyFont="1" applyFill="1" applyBorder="1" applyAlignment="1">
      <alignment horizontal="right" vertical="center"/>
    </xf>
    <xf numFmtId="166" fontId="13" fillId="21" borderId="23" xfId="2" applyNumberFormat="1" applyFont="1" applyFill="1" applyBorder="1" applyAlignment="1" applyProtection="1">
      <alignment horizontal="right" vertical="center"/>
      <protection locked="0"/>
    </xf>
    <xf numFmtId="165" fontId="13" fillId="21" borderId="23" xfId="2" applyNumberFormat="1" applyFont="1" applyFill="1" applyBorder="1" applyAlignment="1" applyProtection="1">
      <alignment horizontal="right" vertical="center"/>
      <protection locked="0"/>
    </xf>
    <xf numFmtId="165" fontId="13" fillId="21" borderId="22" xfId="2" applyNumberFormat="1" applyFont="1" applyFill="1" applyBorder="1" applyAlignment="1" applyProtection="1">
      <alignment horizontal="right" vertical="center"/>
      <protection locked="0"/>
    </xf>
    <xf numFmtId="0" fontId="6" fillId="21" borderId="24" xfId="0" applyFont="1" applyFill="1" applyBorder="1" applyAlignment="1">
      <alignment horizontal="center" vertical="center"/>
    </xf>
    <xf numFmtId="0" fontId="6" fillId="21" borderId="25" xfId="0" applyFont="1" applyFill="1" applyBorder="1" applyAlignment="1">
      <alignment horizontal="center" vertical="center"/>
    </xf>
    <xf numFmtId="164" fontId="47" fillId="21" borderId="4" xfId="2" applyNumberFormat="1" applyFont="1" applyFill="1" applyBorder="1" applyAlignment="1">
      <alignment horizontal="center" vertical="center" readingOrder="2"/>
    </xf>
    <xf numFmtId="164" fontId="47" fillId="21" borderId="5" xfId="2" applyNumberFormat="1" applyFont="1" applyFill="1" applyBorder="1" applyAlignment="1">
      <alignment horizontal="center" vertical="center" readingOrder="2"/>
    </xf>
    <xf numFmtId="164" fontId="50" fillId="21" borderId="0" xfId="2" applyNumberFormat="1" applyFont="1" applyFill="1" applyBorder="1" applyAlignment="1" applyProtection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0" fontId="6" fillId="21" borderId="28" xfId="0" applyFont="1" applyFill="1" applyBorder="1" applyAlignment="1">
      <alignment horizontal="center" vertical="center"/>
    </xf>
    <xf numFmtId="164" fontId="11" fillId="21" borderId="26" xfId="2" applyNumberFormat="1" applyFont="1" applyFill="1" applyBorder="1" applyAlignment="1">
      <alignment horizontal="right"/>
    </xf>
    <xf numFmtId="164" fontId="11" fillId="21" borderId="7" xfId="2" applyNumberFormat="1" applyFont="1" applyFill="1" applyBorder="1" applyAlignment="1">
      <alignment horizontal="right"/>
    </xf>
    <xf numFmtId="164" fontId="11" fillId="21" borderId="0" xfId="2" applyNumberFormat="1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78"/>
  <sheetViews>
    <sheetView tabSelected="1" zoomScaleNormal="100" zoomScaleSheetLayoutView="112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Q20" sqref="Q20"/>
    </sheetView>
  </sheetViews>
  <sheetFormatPr defaultColWidth="11.140625" defaultRowHeight="17.25"/>
  <cols>
    <col min="1" max="1" width="42" style="27" customWidth="1"/>
    <col min="2" max="2" width="2" style="27" customWidth="1"/>
    <col min="3" max="10" width="11.28515625" style="27" bestFit="1" customWidth="1"/>
    <col min="11" max="11" width="37.140625" style="11" customWidth="1"/>
    <col min="12" max="12" width="3.5703125" style="44" customWidth="1"/>
    <col min="13" max="13" width="2.140625" style="27" customWidth="1"/>
    <col min="14" max="14" width="4.140625" style="27" customWidth="1"/>
    <col min="15" max="16384" width="11.140625" style="27"/>
  </cols>
  <sheetData>
    <row r="1" spans="1:14" ht="21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4" s="33" customFormat="1" ht="15">
      <c r="A2" s="70" t="s">
        <v>60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4" ht="14.25">
      <c r="A3" s="75" t="s">
        <v>0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4" s="33" customFormat="1" ht="15">
      <c r="A4" s="71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4" s="33" customFormat="1">
      <c r="A5" s="16"/>
      <c r="B5" s="34"/>
      <c r="C5" s="67">
        <v>2018</v>
      </c>
      <c r="D5" s="66"/>
      <c r="E5" s="66"/>
      <c r="F5" s="72"/>
      <c r="G5" s="67">
        <v>2019</v>
      </c>
      <c r="H5" s="66"/>
      <c r="I5" s="66"/>
      <c r="J5" s="72"/>
      <c r="K5" s="17" t="s">
        <v>14</v>
      </c>
      <c r="L5" s="35" t="s">
        <v>14</v>
      </c>
    </row>
    <row r="6" spans="1:14" s="33" customFormat="1">
      <c r="A6" s="36" t="s">
        <v>15</v>
      </c>
      <c r="B6" s="14"/>
      <c r="C6" s="73" t="s">
        <v>2</v>
      </c>
      <c r="D6" s="32" t="s">
        <v>3</v>
      </c>
      <c r="E6" s="32" t="s">
        <v>4</v>
      </c>
      <c r="F6" s="74" t="s">
        <v>5</v>
      </c>
      <c r="G6" s="73" t="s">
        <v>2</v>
      </c>
      <c r="H6" s="32" t="s">
        <v>3</v>
      </c>
      <c r="I6" s="32" t="s">
        <v>4</v>
      </c>
      <c r="J6" s="74" t="s">
        <v>5</v>
      </c>
      <c r="K6" s="5"/>
      <c r="L6" s="1" t="s">
        <v>16</v>
      </c>
    </row>
    <row r="7" spans="1:14" s="28" customFormat="1">
      <c r="A7" s="18"/>
      <c r="B7" s="37"/>
      <c r="C7" s="59" t="s">
        <v>6</v>
      </c>
      <c r="D7" s="31" t="s">
        <v>7</v>
      </c>
      <c r="E7" s="31" t="s">
        <v>8</v>
      </c>
      <c r="F7" s="58" t="s">
        <v>9</v>
      </c>
      <c r="G7" s="59" t="s">
        <v>6</v>
      </c>
      <c r="H7" s="31" t="s">
        <v>7</v>
      </c>
      <c r="I7" s="31" t="s">
        <v>8</v>
      </c>
      <c r="J7" s="58" t="s">
        <v>9</v>
      </c>
      <c r="K7" s="19"/>
      <c r="L7" s="38"/>
    </row>
    <row r="8" spans="1:14" s="33" customFormat="1">
      <c r="A8" s="39" t="s">
        <v>58</v>
      </c>
      <c r="B8" s="23"/>
      <c r="C8" s="60">
        <v>21485.070999999902</v>
      </c>
      <c r="D8" s="21">
        <v>21900.107</v>
      </c>
      <c r="E8" s="21">
        <v>22792.47</v>
      </c>
      <c r="F8" s="21">
        <v>22793.71</v>
      </c>
      <c r="G8" s="60">
        <v>23098.214</v>
      </c>
      <c r="H8" s="21">
        <v>23567.431</v>
      </c>
      <c r="I8" s="21">
        <v>24488.294999999998</v>
      </c>
      <c r="J8" s="21">
        <v>24511.087</v>
      </c>
      <c r="K8" s="40"/>
      <c r="L8" s="41" t="s">
        <v>17</v>
      </c>
    </row>
    <row r="9" spans="1:14">
      <c r="A9" s="3" t="s">
        <v>18</v>
      </c>
      <c r="B9" s="42"/>
      <c r="C9" s="62">
        <v>2.6379999999999999</v>
      </c>
      <c r="D9" s="55">
        <v>2.589</v>
      </c>
      <c r="E9" s="55">
        <v>2.4249999999999998</v>
      </c>
      <c r="F9" s="55">
        <v>2.3340000000000001</v>
      </c>
      <c r="G9" s="62">
        <v>2.25</v>
      </c>
      <c r="H9" s="55">
        <v>2.0449999999999999</v>
      </c>
      <c r="I9" s="55">
        <v>2.0059999999999998</v>
      </c>
      <c r="J9" s="55">
        <v>1.929</v>
      </c>
      <c r="L9" s="2" t="s">
        <v>19</v>
      </c>
    </row>
    <row r="10" spans="1:14">
      <c r="A10" s="3" t="s">
        <v>20</v>
      </c>
      <c r="B10" s="42"/>
      <c r="C10" s="62">
        <v>481.197</v>
      </c>
      <c r="D10" s="55">
        <v>470.84800000000001</v>
      </c>
      <c r="E10" s="55">
        <v>470.74299999999999</v>
      </c>
      <c r="F10" s="55">
        <v>466.25400000000002</v>
      </c>
      <c r="G10" s="62">
        <v>490.07100000000003</v>
      </c>
      <c r="H10" s="55">
        <v>454.55799999999999</v>
      </c>
      <c r="I10" s="55">
        <v>442.517</v>
      </c>
      <c r="J10" s="55">
        <v>434.29500000000002</v>
      </c>
      <c r="L10" s="2" t="s">
        <v>21</v>
      </c>
    </row>
    <row r="11" spans="1:14">
      <c r="A11" s="3" t="s">
        <v>22</v>
      </c>
      <c r="B11" s="42"/>
      <c r="C11" s="62">
        <v>134.65299999999999</v>
      </c>
      <c r="D11" s="55">
        <v>144.91499999999999</v>
      </c>
      <c r="E11" s="55">
        <v>137.554</v>
      </c>
      <c r="F11" s="55">
        <v>136.41300000000001</v>
      </c>
      <c r="G11" s="62">
        <v>124.446</v>
      </c>
      <c r="H11" s="55">
        <v>117.001</v>
      </c>
      <c r="I11" s="55">
        <v>115.76600000000001</v>
      </c>
      <c r="J11" s="55">
        <v>108.687</v>
      </c>
      <c r="L11" s="2" t="s">
        <v>23</v>
      </c>
    </row>
    <row r="12" spans="1:14">
      <c r="A12" s="3" t="s">
        <v>24</v>
      </c>
      <c r="B12" s="42"/>
      <c r="C12" s="62">
        <v>4073.127</v>
      </c>
      <c r="D12" s="55">
        <v>4486.692</v>
      </c>
      <c r="E12" s="55">
        <v>4739.8029999999999</v>
      </c>
      <c r="F12" s="55">
        <v>4843.5119999999997</v>
      </c>
      <c r="G12" s="62">
        <v>4997.0820000000003</v>
      </c>
      <c r="H12" s="55">
        <v>5076.2709999999997</v>
      </c>
      <c r="I12" s="55">
        <v>5154.5550000000003</v>
      </c>
      <c r="J12" s="55">
        <v>5305.8339999999998</v>
      </c>
      <c r="L12" s="2" t="s">
        <v>25</v>
      </c>
    </row>
    <row r="13" spans="1:14">
      <c r="A13" s="3" t="s">
        <v>26</v>
      </c>
      <c r="B13" s="42"/>
      <c r="C13" s="62">
        <v>1540.0730000000001</v>
      </c>
      <c r="D13" s="55">
        <v>1550.704</v>
      </c>
      <c r="E13" s="55">
        <v>1694.5619999999999</v>
      </c>
      <c r="F13" s="55">
        <v>1697.297</v>
      </c>
      <c r="G13" s="62">
        <v>1801.4839999999999</v>
      </c>
      <c r="H13" s="55">
        <v>1787.9449999999999</v>
      </c>
      <c r="I13" s="55">
        <v>1833.46</v>
      </c>
      <c r="J13" s="55">
        <v>1842.36</v>
      </c>
      <c r="L13" s="54" t="s">
        <v>27</v>
      </c>
    </row>
    <row r="14" spans="1:14">
      <c r="A14" s="3" t="s">
        <v>28</v>
      </c>
      <c r="B14" s="22"/>
      <c r="C14" s="57">
        <v>8025.9480000000003</v>
      </c>
      <c r="D14" s="20">
        <v>8174.433</v>
      </c>
      <c r="E14" s="20">
        <v>8631.3330000000005</v>
      </c>
      <c r="F14" s="20">
        <v>8454.9519999999993</v>
      </c>
      <c r="G14" s="57">
        <v>8605.1409999999996</v>
      </c>
      <c r="H14" s="20">
        <v>8782.4969999999994</v>
      </c>
      <c r="I14" s="20">
        <v>9253.7209999999995</v>
      </c>
      <c r="J14" s="20">
        <v>8979.5360000000001</v>
      </c>
      <c r="L14" s="2" t="s">
        <v>29</v>
      </c>
      <c r="N14" s="4"/>
    </row>
    <row r="15" spans="1:14">
      <c r="A15" s="3" t="s">
        <v>30</v>
      </c>
      <c r="B15" s="22"/>
      <c r="C15" s="57">
        <v>3231.7310000000002</v>
      </c>
      <c r="D15" s="20">
        <v>3919.02</v>
      </c>
      <c r="E15" s="20">
        <v>4013.9830000000002</v>
      </c>
      <c r="F15" s="20">
        <v>3989.6280000000002</v>
      </c>
      <c r="G15" s="57">
        <v>4071.9940000000001</v>
      </c>
      <c r="H15" s="20">
        <v>4284.24</v>
      </c>
      <c r="I15" s="20">
        <v>4338.8509999999997</v>
      </c>
      <c r="J15" s="20">
        <v>4210.2330000000002</v>
      </c>
      <c r="K15" s="54" t="s">
        <v>31</v>
      </c>
      <c r="N15" s="4"/>
    </row>
    <row r="16" spans="1:14">
      <c r="A16" s="3" t="s">
        <v>32</v>
      </c>
      <c r="B16" s="22"/>
      <c r="C16" s="57">
        <v>899.73900000000003</v>
      </c>
      <c r="D16" s="20">
        <v>980.63199999999995</v>
      </c>
      <c r="E16" s="20">
        <v>1084.7739999999999</v>
      </c>
      <c r="F16" s="20">
        <v>1129.721</v>
      </c>
      <c r="G16" s="57">
        <v>1136.376</v>
      </c>
      <c r="H16" s="20">
        <v>1110.386</v>
      </c>
      <c r="I16" s="20">
        <v>1257.778</v>
      </c>
      <c r="J16" s="20">
        <v>941.19200000000001</v>
      </c>
      <c r="K16" s="54" t="s">
        <v>33</v>
      </c>
      <c r="N16" s="4"/>
    </row>
    <row r="17" spans="1:12">
      <c r="A17" s="3" t="s">
        <v>34</v>
      </c>
      <c r="B17" s="22"/>
      <c r="C17" s="57">
        <v>94.873999999999995</v>
      </c>
      <c r="D17" s="20">
        <v>91.356999999999999</v>
      </c>
      <c r="E17" s="20">
        <v>92.221999999999994</v>
      </c>
      <c r="F17" s="20">
        <v>90.42</v>
      </c>
      <c r="G17" s="57">
        <v>86.313999999999993</v>
      </c>
      <c r="H17" s="20">
        <v>82.710999999999999</v>
      </c>
      <c r="I17" s="20">
        <v>88.372</v>
      </c>
      <c r="J17" s="20">
        <v>79.155000000000001</v>
      </c>
      <c r="K17" s="54" t="s">
        <v>35</v>
      </c>
    </row>
    <row r="18" spans="1:12">
      <c r="A18" s="3" t="s">
        <v>36</v>
      </c>
      <c r="B18" s="22"/>
      <c r="C18" s="57">
        <v>2977.32</v>
      </c>
      <c r="D18" s="20">
        <v>2914.3710000000001</v>
      </c>
      <c r="E18" s="20">
        <v>3143.893</v>
      </c>
      <c r="F18" s="20">
        <v>2948.549</v>
      </c>
      <c r="G18" s="57">
        <v>2987.2550000000001</v>
      </c>
      <c r="H18" s="20">
        <v>2988.75</v>
      </c>
      <c r="I18" s="20">
        <v>3269.9920000000002</v>
      </c>
      <c r="J18" s="20">
        <v>3431.1570000000002</v>
      </c>
      <c r="K18" s="54" t="s">
        <v>37</v>
      </c>
    </row>
    <row r="19" spans="1:12">
      <c r="A19" s="50" t="s">
        <v>56</v>
      </c>
      <c r="B19" s="22"/>
      <c r="C19" s="57">
        <v>822.28399999999999</v>
      </c>
      <c r="D19" s="20">
        <v>269.053</v>
      </c>
      <c r="E19" s="20">
        <v>296.46100000000001</v>
      </c>
      <c r="F19" s="20">
        <v>296.63400000000001</v>
      </c>
      <c r="G19" s="57">
        <v>323.202</v>
      </c>
      <c r="H19" s="20">
        <v>316.41000000000003</v>
      </c>
      <c r="I19" s="20">
        <v>298.72800000000001</v>
      </c>
      <c r="J19" s="20">
        <v>317.79899999999998</v>
      </c>
      <c r="K19" s="54" t="s">
        <v>57</v>
      </c>
    </row>
    <row r="20" spans="1:12">
      <c r="A20" s="3" t="s">
        <v>38</v>
      </c>
      <c r="B20" s="22"/>
      <c r="C20" s="57">
        <v>3282.2139999999999</v>
      </c>
      <c r="D20" s="20">
        <v>3290.5740000000001</v>
      </c>
      <c r="E20" s="20">
        <v>3170.1950000000002</v>
      </c>
      <c r="F20" s="20">
        <v>3140.0729999999999</v>
      </c>
      <c r="G20" s="57">
        <v>3071.2869999999998</v>
      </c>
      <c r="H20" s="20">
        <v>2984.0349999999999</v>
      </c>
      <c r="I20" s="20">
        <v>3166.8040000000001</v>
      </c>
      <c r="J20" s="20">
        <v>3100.7220000000002</v>
      </c>
      <c r="L20" s="2" t="s">
        <v>39</v>
      </c>
    </row>
    <row r="21" spans="1:12">
      <c r="A21" s="3" t="s">
        <v>40</v>
      </c>
      <c r="B21" s="22"/>
      <c r="C21" s="57">
        <v>3165.57</v>
      </c>
      <c r="D21" s="20">
        <v>3174.69</v>
      </c>
      <c r="E21" s="20">
        <v>3046.4769999999999</v>
      </c>
      <c r="F21" s="20">
        <v>3019.8339999999998</v>
      </c>
      <c r="G21" s="57">
        <v>2980.029</v>
      </c>
      <c r="H21" s="20">
        <v>2900.6610000000001</v>
      </c>
      <c r="I21" s="20">
        <v>3086.8150000000001</v>
      </c>
      <c r="J21" s="20">
        <v>3020.8220000000001</v>
      </c>
      <c r="K21" s="54" t="s">
        <v>41</v>
      </c>
    </row>
    <row r="22" spans="1:12">
      <c r="A22" s="3" t="s">
        <v>42</v>
      </c>
      <c r="B22" s="22"/>
      <c r="C22" s="57">
        <v>116.64400000000001</v>
      </c>
      <c r="D22" s="20">
        <v>115.884</v>
      </c>
      <c r="E22" s="20">
        <v>123.718</v>
      </c>
      <c r="F22" s="20">
        <v>120.239</v>
      </c>
      <c r="G22" s="57">
        <v>91.257999999999996</v>
      </c>
      <c r="H22" s="20">
        <v>83.373999999999995</v>
      </c>
      <c r="I22" s="20">
        <v>79.989000000000004</v>
      </c>
      <c r="J22" s="20">
        <v>79.900000000000006</v>
      </c>
      <c r="K22" s="11" t="s">
        <v>43</v>
      </c>
    </row>
    <row r="23" spans="1:12">
      <c r="A23" s="3" t="s">
        <v>44</v>
      </c>
      <c r="B23" s="22"/>
      <c r="C23" s="57">
        <v>1128.2080000000001</v>
      </c>
      <c r="D23" s="20">
        <v>749.97900000000004</v>
      </c>
      <c r="E23" s="20">
        <v>888.56600000000003</v>
      </c>
      <c r="F23" s="20">
        <v>859.85299999999995</v>
      </c>
      <c r="G23" s="57">
        <v>781.66</v>
      </c>
      <c r="H23" s="20">
        <v>995.14</v>
      </c>
      <c r="I23" s="20">
        <v>928.47299999999996</v>
      </c>
      <c r="J23" s="20">
        <v>899.88900000000001</v>
      </c>
      <c r="L23" s="54" t="s">
        <v>45</v>
      </c>
    </row>
    <row r="24" spans="1:12">
      <c r="A24" s="3" t="s">
        <v>46</v>
      </c>
      <c r="B24" s="22"/>
      <c r="C24" s="57">
        <v>3.1379999999999999</v>
      </c>
      <c r="D24" s="20">
        <v>3.1829999999999998</v>
      </c>
      <c r="E24" s="20">
        <v>3.0310000000000001</v>
      </c>
      <c r="F24" s="20">
        <v>2.8370000000000002</v>
      </c>
      <c r="G24" s="57">
        <v>2.871</v>
      </c>
      <c r="H24" s="20">
        <v>2.8109999999999999</v>
      </c>
      <c r="I24" s="20">
        <v>0.97699999999999998</v>
      </c>
      <c r="J24" s="20">
        <v>0.73699999999999999</v>
      </c>
      <c r="L24" s="54" t="s">
        <v>47</v>
      </c>
    </row>
    <row r="25" spans="1:12">
      <c r="A25" s="45" t="s">
        <v>48</v>
      </c>
      <c r="B25" s="25"/>
      <c r="C25" s="61">
        <v>2813.875</v>
      </c>
      <c r="D25" s="25">
        <v>3026.1899999999996</v>
      </c>
      <c r="E25" s="25">
        <v>3054.2579999999998</v>
      </c>
      <c r="F25" s="25">
        <v>3190.1849999999999</v>
      </c>
      <c r="G25" s="61">
        <v>3221.922</v>
      </c>
      <c r="H25" s="25">
        <v>3365.1279999999997</v>
      </c>
      <c r="I25" s="25">
        <v>3590.0159999999996</v>
      </c>
      <c r="J25" s="25">
        <v>3837.098</v>
      </c>
      <c r="K25" s="24"/>
      <c r="L25" s="6" t="s">
        <v>49</v>
      </c>
    </row>
    <row r="26" spans="1:12">
      <c r="A26" s="7" t="s">
        <v>50</v>
      </c>
      <c r="B26" s="46"/>
      <c r="C26" s="63"/>
      <c r="D26" s="46"/>
      <c r="E26" s="46"/>
      <c r="F26" s="46"/>
      <c r="G26" s="63"/>
      <c r="H26" s="46"/>
      <c r="I26" s="46"/>
      <c r="J26" s="46"/>
      <c r="L26" s="47" t="s">
        <v>51</v>
      </c>
    </row>
    <row r="27" spans="1:12">
      <c r="A27" s="3" t="s">
        <v>20</v>
      </c>
      <c r="B27" s="48"/>
      <c r="C27" s="64">
        <f t="shared" ref="C27:F27" si="0">C10/C8*100</f>
        <v>2.2396807532076677</v>
      </c>
      <c r="D27" s="48">
        <f t="shared" si="0"/>
        <v>2.1499803631096417</v>
      </c>
      <c r="E27" s="48">
        <f t="shared" si="0"/>
        <v>2.0653443878614297</v>
      </c>
      <c r="F27" s="48">
        <f t="shared" si="0"/>
        <v>2.0455380014925173</v>
      </c>
      <c r="G27" s="64">
        <f t="shared" ref="G27:J27" si="1">G10/G8*100</f>
        <v>2.1216835206393014</v>
      </c>
      <c r="H27" s="48">
        <f t="shared" si="1"/>
        <v>1.9287549839437317</v>
      </c>
      <c r="I27" s="48">
        <f t="shared" si="1"/>
        <v>1.8070551665601873</v>
      </c>
      <c r="J27" s="48">
        <f t="shared" si="1"/>
        <v>1.7718308453639777</v>
      </c>
      <c r="L27" s="2" t="s">
        <v>21</v>
      </c>
    </row>
    <row r="28" spans="1:12">
      <c r="A28" s="3" t="s">
        <v>24</v>
      </c>
      <c r="B28" s="48"/>
      <c r="C28" s="64">
        <f t="shared" ref="C28:F28" si="2">+C12/C8*100</f>
        <v>18.957940609086275</v>
      </c>
      <c r="D28" s="48">
        <f t="shared" si="2"/>
        <v>20.487077985509387</v>
      </c>
      <c r="E28" s="48">
        <f t="shared" si="2"/>
        <v>20.795477629234565</v>
      </c>
      <c r="F28" s="48">
        <f t="shared" si="2"/>
        <v>21.249335891348974</v>
      </c>
      <c r="G28" s="64">
        <f t="shared" ref="G28:J28" si="3">+G12/G8*100</f>
        <v>21.634062269922687</v>
      </c>
      <c r="H28" s="48">
        <f t="shared" si="3"/>
        <v>21.539348094410457</v>
      </c>
      <c r="I28" s="48">
        <f t="shared" si="3"/>
        <v>21.049056294037623</v>
      </c>
      <c r="J28" s="48">
        <f t="shared" si="3"/>
        <v>21.646669525509008</v>
      </c>
      <c r="L28" s="2" t="s">
        <v>25</v>
      </c>
    </row>
    <row r="29" spans="1:12">
      <c r="A29" s="3" t="s">
        <v>28</v>
      </c>
      <c r="B29" s="48"/>
      <c r="C29" s="64">
        <f t="shared" ref="C29:F29" si="4">+C14/C8*100</f>
        <v>37.355929612706596</v>
      </c>
      <c r="D29" s="48">
        <f t="shared" si="4"/>
        <v>37.325995713171629</v>
      </c>
      <c r="E29" s="48">
        <f t="shared" si="4"/>
        <v>37.869230495861132</v>
      </c>
      <c r="F29" s="48">
        <f t="shared" si="4"/>
        <v>37.093356017954079</v>
      </c>
      <c r="G29" s="64">
        <f t="shared" ref="G29:J29" si="5">+G14/G8*100</f>
        <v>37.254573015905038</v>
      </c>
      <c r="H29" s="48">
        <f t="shared" si="5"/>
        <v>37.265398167496485</v>
      </c>
      <c r="I29" s="48">
        <f t="shared" si="5"/>
        <v>37.788343369760938</v>
      </c>
      <c r="J29" s="48">
        <f t="shared" si="5"/>
        <v>36.634589073915819</v>
      </c>
      <c r="L29" s="2" t="s">
        <v>29</v>
      </c>
    </row>
    <row r="30" spans="1:12">
      <c r="A30" s="3" t="s">
        <v>38</v>
      </c>
      <c r="B30" s="48"/>
      <c r="C30" s="64">
        <f t="shared" ref="C30:F30" si="6">+C20/C8*100</f>
        <v>15.276719355500454</v>
      </c>
      <c r="D30" s="48">
        <f t="shared" si="6"/>
        <v>15.025378643127176</v>
      </c>
      <c r="E30" s="48">
        <f t="shared" si="6"/>
        <v>13.908957651364684</v>
      </c>
      <c r="F30" s="48">
        <f t="shared" si="6"/>
        <v>13.776050498141812</v>
      </c>
      <c r="G30" s="64">
        <f t="shared" ref="G30:J30" si="7">+G20/G8*100</f>
        <v>13.296642762076754</v>
      </c>
      <c r="H30" s="48">
        <f t="shared" si="7"/>
        <v>12.661689770089918</v>
      </c>
      <c r="I30" s="48">
        <f t="shared" si="7"/>
        <v>12.931908897699904</v>
      </c>
      <c r="J30" s="48">
        <f t="shared" si="7"/>
        <v>12.6502835227177</v>
      </c>
      <c r="L30" s="2" t="s">
        <v>39</v>
      </c>
    </row>
    <row r="31" spans="1:12">
      <c r="A31" s="45" t="s">
        <v>44</v>
      </c>
      <c r="B31" s="49"/>
      <c r="C31" s="65">
        <f t="shared" ref="C31:F31" si="8">+C23/C8*100</f>
        <v>5.2511253046359734</v>
      </c>
      <c r="D31" s="49">
        <f t="shared" si="8"/>
        <v>3.4245449120408411</v>
      </c>
      <c r="E31" s="49">
        <f t="shared" si="8"/>
        <v>3.8985068314228335</v>
      </c>
      <c r="F31" s="49">
        <f t="shared" si="8"/>
        <v>3.7723257863682567</v>
      </c>
      <c r="G31" s="65">
        <f t="shared" ref="G31:J31" si="9">+G23/G8*100</f>
        <v>3.3840711667144481</v>
      </c>
      <c r="H31" s="49">
        <f t="shared" si="9"/>
        <v>4.2225221747758592</v>
      </c>
      <c r="I31" s="49">
        <f t="shared" si="9"/>
        <v>3.7914971213798268</v>
      </c>
      <c r="J31" s="49">
        <f t="shared" si="9"/>
        <v>3.6713549260381639</v>
      </c>
      <c r="K31" s="24"/>
      <c r="L31" s="6" t="s">
        <v>52</v>
      </c>
    </row>
    <row r="32" spans="1:12">
      <c r="A32" s="7" t="s">
        <v>10</v>
      </c>
      <c r="B32" s="46"/>
      <c r="C32" s="63"/>
      <c r="D32" s="46"/>
      <c r="E32" s="46"/>
      <c r="F32" s="46"/>
      <c r="G32" s="63"/>
      <c r="H32" s="46"/>
      <c r="I32" s="46"/>
      <c r="J32" s="46"/>
      <c r="L32" s="8" t="s">
        <v>11</v>
      </c>
    </row>
    <row r="33" spans="1:14">
      <c r="A33" s="3" t="s">
        <v>20</v>
      </c>
      <c r="B33" s="46"/>
      <c r="C33" s="64">
        <v>-2.6</v>
      </c>
      <c r="D33" s="48">
        <v>-5.3</v>
      </c>
      <c r="E33" s="48">
        <v>-3.9</v>
      </c>
      <c r="F33" s="48">
        <v>-7.1</v>
      </c>
      <c r="G33" s="64">
        <v>1.8</v>
      </c>
      <c r="H33" s="48">
        <v>-3.5</v>
      </c>
      <c r="I33" s="48">
        <v>-6</v>
      </c>
      <c r="J33" s="48">
        <v>-6.9</v>
      </c>
      <c r="L33" s="2" t="s">
        <v>21</v>
      </c>
    </row>
    <row r="34" spans="1:14">
      <c r="A34" s="3" t="s">
        <v>24</v>
      </c>
      <c r="B34" s="43"/>
      <c r="C34" s="64">
        <v>13.8</v>
      </c>
      <c r="D34" s="48">
        <v>38</v>
      </c>
      <c r="E34" s="48">
        <v>33.4</v>
      </c>
      <c r="F34" s="48">
        <v>30.2</v>
      </c>
      <c r="G34" s="64">
        <v>22.7</v>
      </c>
      <c r="H34" s="48">
        <v>13.1</v>
      </c>
      <c r="I34" s="48">
        <v>8.8000000000000007</v>
      </c>
      <c r="J34" s="48">
        <v>9.5</v>
      </c>
      <c r="L34" s="2" t="s">
        <v>25</v>
      </c>
    </row>
    <row r="35" spans="1:14">
      <c r="A35" s="3" t="s">
        <v>28</v>
      </c>
      <c r="B35" s="43"/>
      <c r="C35" s="64">
        <v>8.6</v>
      </c>
      <c r="D35" s="48">
        <v>8.3000000000000007</v>
      </c>
      <c r="E35" s="48">
        <v>9.9</v>
      </c>
      <c r="F35" s="48">
        <v>6.5</v>
      </c>
      <c r="G35" s="64">
        <v>7.2</v>
      </c>
      <c r="H35" s="48">
        <v>7.4</v>
      </c>
      <c r="I35" s="48">
        <v>7.2</v>
      </c>
      <c r="J35" s="48">
        <v>6.2</v>
      </c>
      <c r="L35" s="2" t="s">
        <v>29</v>
      </c>
    </row>
    <row r="36" spans="1:14">
      <c r="A36" s="3" t="s">
        <v>38</v>
      </c>
      <c r="B36" s="22"/>
      <c r="C36" s="64">
        <v>3</v>
      </c>
      <c r="D36" s="48">
        <v>-0.9</v>
      </c>
      <c r="E36" s="48">
        <v>-4.8</v>
      </c>
      <c r="F36" s="48">
        <v>-2.2999999999999998</v>
      </c>
      <c r="G36" s="64">
        <v>-6.4</v>
      </c>
      <c r="H36" s="48">
        <v>-9.3000000000000007</v>
      </c>
      <c r="I36" s="48">
        <v>-0.1</v>
      </c>
      <c r="J36" s="48">
        <v>-1.3</v>
      </c>
      <c r="L36" s="2" t="s">
        <v>39</v>
      </c>
    </row>
    <row r="37" spans="1:14">
      <c r="A37" s="45" t="s">
        <v>44</v>
      </c>
      <c r="B37" s="25"/>
      <c r="C37" s="65">
        <v>6.7</v>
      </c>
      <c r="D37" s="49">
        <v>-28.3</v>
      </c>
      <c r="E37" s="49">
        <v>-17.7</v>
      </c>
      <c r="F37" s="49">
        <v>-12.6</v>
      </c>
      <c r="G37" s="65">
        <v>-30.7</v>
      </c>
      <c r="H37" s="49">
        <v>32.700000000000003</v>
      </c>
      <c r="I37" s="49">
        <v>4.5</v>
      </c>
      <c r="J37" s="49">
        <v>4.7</v>
      </c>
      <c r="K37" s="24"/>
      <c r="L37" s="6" t="s">
        <v>45</v>
      </c>
    </row>
    <row r="38" spans="1:14">
      <c r="A38" s="9" t="s">
        <v>55</v>
      </c>
      <c r="B38" s="20"/>
      <c r="C38" s="20"/>
      <c r="D38" s="20"/>
      <c r="E38" s="20"/>
      <c r="F38" s="20"/>
      <c r="G38" s="20"/>
      <c r="H38" s="20"/>
      <c r="I38" s="20"/>
      <c r="J38" s="20"/>
      <c r="K38" s="26"/>
      <c r="L38" s="12" t="s">
        <v>54</v>
      </c>
    </row>
    <row r="39" spans="1:14" s="53" customFormat="1" ht="14.25" customHeight="1">
      <c r="A39" s="51"/>
      <c r="B39" s="52"/>
      <c r="C39" s="52"/>
      <c r="D39" s="52"/>
      <c r="E39" s="52"/>
      <c r="F39" s="52"/>
      <c r="G39" s="52"/>
      <c r="H39" s="52"/>
      <c r="I39" s="52"/>
      <c r="J39" s="52"/>
      <c r="K39" s="11" t="s">
        <v>53</v>
      </c>
      <c r="L39" s="15" t="s">
        <v>13</v>
      </c>
      <c r="M39" s="27"/>
    </row>
    <row r="40" spans="1:14" ht="14.25" customHeight="1">
      <c r="A40" s="29" t="s">
        <v>59</v>
      </c>
      <c r="B40" s="11"/>
      <c r="F40" s="11"/>
      <c r="J40" s="11"/>
      <c r="K40" s="2"/>
    </row>
    <row r="41" spans="1:14">
      <c r="A41" s="30" t="s">
        <v>12</v>
      </c>
    </row>
    <row r="42" spans="1:14">
      <c r="A42" s="10"/>
    </row>
    <row r="43" spans="1:14" ht="12.75">
      <c r="K43" s="13"/>
      <c r="L43" s="13"/>
      <c r="M43" s="13"/>
    </row>
    <row r="44" spans="1:14" ht="12.7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ht="17.25" customHeight="1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17.25" customHeight="1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1:14" ht="17.25" customHeight="1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7.25" customHeight="1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2:14" ht="17.25" customHeight="1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2:14" ht="17.25" customHeight="1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2:14" ht="17.25" customHeight="1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2:14" ht="17.25" customHeight="1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2:14" ht="17.25" customHeight="1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2:14" ht="17.2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2:14" ht="17.25" customHeight="1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2:14" ht="17.25" customHeight="1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2:14" ht="17.25" customHeight="1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2:14" ht="17.25" customHeight="1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2:14" ht="17.25" customHeight="1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2:14" ht="17.25" customHeight="1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2:14" ht="17.25" customHeight="1">
      <c r="B61" s="13"/>
      <c r="C61" s="56"/>
      <c r="D61" s="56"/>
      <c r="E61" s="56"/>
      <c r="F61" s="56"/>
      <c r="G61" s="56"/>
      <c r="H61" s="56"/>
      <c r="I61" s="56"/>
      <c r="J61" s="56"/>
      <c r="K61" s="13"/>
      <c r="L61" s="13"/>
      <c r="M61" s="13"/>
      <c r="N61" s="13"/>
    </row>
    <row r="62" spans="2:14" ht="17.25" customHeight="1">
      <c r="B62" s="13"/>
      <c r="C62" s="56"/>
      <c r="D62" s="56"/>
      <c r="E62" s="56"/>
      <c r="F62" s="56"/>
      <c r="G62" s="56"/>
      <c r="H62" s="56"/>
      <c r="I62" s="56"/>
      <c r="J62" s="56"/>
      <c r="K62" s="13"/>
      <c r="L62" s="13"/>
      <c r="M62" s="13"/>
      <c r="N62" s="13"/>
    </row>
    <row r="63" spans="2:14" ht="17.25" customHeight="1">
      <c r="B63" s="13"/>
      <c r="C63" s="56"/>
      <c r="D63" s="56"/>
      <c r="E63" s="56"/>
      <c r="F63" s="56"/>
      <c r="G63" s="56"/>
      <c r="H63" s="56"/>
      <c r="I63" s="56"/>
      <c r="J63" s="56"/>
      <c r="K63" s="13"/>
      <c r="L63" s="13"/>
      <c r="M63" s="13"/>
      <c r="N63" s="13"/>
    </row>
    <row r="64" spans="2:14" ht="17.25" customHeight="1">
      <c r="B64" s="13"/>
      <c r="C64" s="56"/>
      <c r="D64" s="56"/>
      <c r="E64" s="56"/>
      <c r="F64" s="56"/>
      <c r="G64" s="56"/>
      <c r="H64" s="56"/>
      <c r="I64" s="56"/>
      <c r="J64" s="56"/>
      <c r="K64" s="13"/>
      <c r="L64" s="13"/>
      <c r="M64" s="13"/>
      <c r="N64" s="13"/>
    </row>
    <row r="65" spans="2:14" ht="17.25" customHeight="1">
      <c r="B65" s="13"/>
      <c r="C65" s="56"/>
      <c r="D65" s="56"/>
      <c r="E65" s="56"/>
      <c r="F65" s="56"/>
      <c r="G65" s="56"/>
      <c r="H65" s="56"/>
      <c r="I65" s="56"/>
      <c r="J65" s="56"/>
      <c r="K65" s="13"/>
      <c r="L65" s="13"/>
      <c r="M65" s="13"/>
      <c r="N65" s="13"/>
    </row>
    <row r="66" spans="2:14" ht="17.25" customHeight="1">
      <c r="B66" s="13"/>
      <c r="C66" s="56"/>
      <c r="D66" s="56"/>
      <c r="E66" s="56"/>
      <c r="F66" s="56"/>
      <c r="G66" s="56"/>
      <c r="H66" s="56"/>
      <c r="I66" s="56"/>
      <c r="J66" s="56"/>
      <c r="K66" s="13"/>
      <c r="L66" s="13"/>
      <c r="M66" s="13"/>
      <c r="N66" s="13"/>
    </row>
    <row r="67" spans="2:14" ht="17.25" customHeight="1">
      <c r="B67" s="13"/>
      <c r="C67" s="56"/>
      <c r="D67" s="56"/>
      <c r="E67" s="56"/>
      <c r="F67" s="56"/>
      <c r="G67" s="56"/>
      <c r="H67" s="56"/>
      <c r="I67" s="56"/>
      <c r="J67" s="56"/>
      <c r="K67" s="13"/>
      <c r="L67" s="13"/>
      <c r="M67" s="13"/>
      <c r="N67" s="13"/>
    </row>
    <row r="68" spans="2:14" ht="17.25" customHeight="1">
      <c r="B68" s="13"/>
      <c r="C68" s="56"/>
      <c r="D68" s="56"/>
      <c r="E68" s="56"/>
      <c r="F68" s="56"/>
      <c r="G68" s="56"/>
      <c r="H68" s="56"/>
      <c r="I68" s="56"/>
      <c r="J68" s="56"/>
      <c r="N68" s="13"/>
    </row>
    <row r="69" spans="2:14">
      <c r="B69" s="13"/>
      <c r="C69" s="56"/>
      <c r="D69" s="56"/>
      <c r="E69" s="56"/>
      <c r="F69" s="56"/>
      <c r="G69" s="56"/>
      <c r="H69" s="56"/>
      <c r="I69" s="56"/>
      <c r="J69" s="56"/>
    </row>
    <row r="70" spans="2:14">
      <c r="B70" s="13"/>
      <c r="C70" s="56"/>
      <c r="D70" s="56"/>
      <c r="E70" s="56"/>
      <c r="F70" s="56"/>
      <c r="G70" s="56"/>
      <c r="H70" s="56"/>
      <c r="I70" s="56"/>
      <c r="J70" s="56"/>
    </row>
    <row r="71" spans="2:14">
      <c r="B71" s="13"/>
      <c r="C71" s="56"/>
      <c r="D71" s="56"/>
      <c r="E71" s="56"/>
      <c r="F71" s="56"/>
      <c r="G71" s="56"/>
      <c r="H71" s="56"/>
      <c r="I71" s="56"/>
      <c r="J71" s="56"/>
    </row>
    <row r="72" spans="2:14">
      <c r="B72" s="13"/>
      <c r="C72" s="56"/>
      <c r="D72" s="56"/>
      <c r="E72" s="56"/>
      <c r="F72" s="56"/>
      <c r="G72" s="56"/>
      <c r="H72" s="56"/>
      <c r="I72" s="56"/>
      <c r="J72" s="56"/>
    </row>
    <row r="73" spans="2:14">
      <c r="C73" s="56"/>
      <c r="D73" s="56"/>
      <c r="E73" s="56"/>
      <c r="F73" s="56"/>
      <c r="G73" s="56"/>
      <c r="H73" s="56"/>
      <c r="I73" s="56"/>
      <c r="J73" s="56"/>
    </row>
    <row r="74" spans="2:14">
      <c r="C74" s="56"/>
      <c r="D74" s="56"/>
      <c r="E74" s="56"/>
      <c r="F74" s="56"/>
      <c r="G74" s="56"/>
      <c r="H74" s="56"/>
      <c r="I74" s="56"/>
      <c r="J74" s="56"/>
    </row>
    <row r="75" spans="2:14">
      <c r="C75" s="56"/>
      <c r="D75" s="56"/>
      <c r="E75" s="56"/>
      <c r="F75" s="56"/>
      <c r="G75" s="56"/>
      <c r="H75" s="56"/>
      <c r="I75" s="56"/>
      <c r="J75" s="56"/>
    </row>
    <row r="76" spans="2:14">
      <c r="C76" s="56"/>
      <c r="D76" s="56"/>
      <c r="E76" s="56"/>
      <c r="F76" s="56"/>
      <c r="G76" s="56"/>
      <c r="H76" s="56"/>
      <c r="I76" s="56"/>
      <c r="J76" s="56"/>
    </row>
    <row r="77" spans="2:14">
      <c r="C77" s="56"/>
      <c r="D77" s="56"/>
      <c r="E77" s="56"/>
      <c r="F77" s="56"/>
      <c r="G77" s="56"/>
      <c r="H77" s="56"/>
      <c r="I77" s="56"/>
      <c r="J77" s="56"/>
    </row>
    <row r="78" spans="2:14">
      <c r="C78" s="56"/>
      <c r="D78" s="56"/>
      <c r="E78" s="56"/>
      <c r="F78" s="56"/>
      <c r="G78" s="56"/>
      <c r="H78" s="56"/>
      <c r="I78" s="56"/>
      <c r="J78" s="56"/>
    </row>
  </sheetData>
  <mergeCells count="6">
    <mergeCell ref="A1:L1"/>
    <mergeCell ref="A2:L2"/>
    <mergeCell ref="A3:L3"/>
    <mergeCell ref="A4:L4"/>
    <mergeCell ref="C5:F5"/>
    <mergeCell ref="G5:J5"/>
  </mergeCells>
  <printOptions horizontalCentered="1"/>
  <pageMargins left="0.53" right="0.21" top="0.46" bottom="0.43" header="0.3" footer="0.3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14.9</vt:lpstr>
      <vt:lpstr>'14.9'!Print_Area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2020-06-26T16:22:11Z</cp:lastPrinted>
  <dcterms:created xsi:type="dcterms:W3CDTF">2013-04-01T04:26:10Z</dcterms:created>
  <dcterms:modified xsi:type="dcterms:W3CDTF">2020-06-26T16:22:25Z</dcterms:modified>
</cp:coreProperties>
</file>