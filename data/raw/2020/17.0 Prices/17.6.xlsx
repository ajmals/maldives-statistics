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17. PRICES\"/>
    </mc:Choice>
  </mc:AlternateContent>
  <bookViews>
    <workbookView xWindow="0" yWindow="0" windowWidth="28800" windowHeight="11835" tabRatio="793"/>
  </bookViews>
  <sheets>
    <sheet name="17.6" sheetId="6" r:id="rId1"/>
  </sheets>
  <definedNames>
    <definedName name="_xlnm.Print_Area" localSheetId="0">'17.6'!$A$1:$S$113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46" i="6" l="1"/>
  <c r="N69" i="6"/>
  <c r="N23" i="6"/>
  <c r="N55" i="6"/>
  <c r="N72" i="6"/>
  <c r="N71" i="6"/>
  <c r="N70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49" i="6"/>
  <c r="N48" i="6"/>
  <c r="N47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4" i="6"/>
  <c r="N25" i="6"/>
  <c r="N26" i="6"/>
  <c r="N9" i="6"/>
  <c r="AZ82" i="6"/>
  <c r="AZ92" i="6"/>
  <c r="AZ84" i="6"/>
  <c r="AZ99" i="6"/>
  <c r="AZ98" i="6"/>
  <c r="AZ97" i="6"/>
  <c r="AZ95" i="6"/>
  <c r="AZ94" i="6"/>
  <c r="AZ93" i="6"/>
  <c r="AZ91" i="6"/>
  <c r="AZ90" i="6"/>
  <c r="AZ89" i="6"/>
  <c r="AZ88" i="6"/>
  <c r="AZ87" i="6"/>
  <c r="AZ86" i="6"/>
  <c r="AZ85" i="6"/>
  <c r="AZ83" i="6"/>
</calcChain>
</file>

<file path=xl/sharedStrings.xml><?xml version="1.0" encoding="utf-8"?>
<sst xmlns="http://schemas.openxmlformats.org/spreadsheetml/2006/main" count="378" uniqueCount="99">
  <si>
    <t>(cnegiawlwbcSwa 100 IkwDnwgcnim eg 2012 cnUj)</t>
  </si>
  <si>
    <t>Republic</t>
  </si>
  <si>
    <t>Male'</t>
  </si>
  <si>
    <t>na</t>
  </si>
  <si>
    <t xml:space="preserve">Source:  National  Bureau of Statistics   </t>
  </si>
  <si>
    <t>މަޢުލޫމާތު ދެއްވި ފަރާތް: ނޭޝަނަލް ބިއުރޯ އޮފް ސްޓެޓިސްޓިކްސް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</si>
  <si>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</si>
  <si>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</si>
  <si>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</si>
  <si>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</si>
  <si>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</si>
  <si>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</si>
  <si>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</si>
  <si>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</si>
  <si>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</si>
  <si>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</si>
  <si>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</si>
  <si>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</si>
  <si>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</si>
  <si>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</si>
  <si>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</si>
  <si>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</si>
  <si>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</si>
  <si>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</si>
  <si>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</si>
  <si>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</si>
  <si>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</si>
  <si>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</si>
  <si>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</si>
  <si>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</si>
  <si>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</si>
  <si>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</si>
  <si>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</si>
  <si>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</si>
  <si>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</si>
  <si>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</si>
  <si>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</si>
  <si>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</si>
  <si>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</si>
  <si>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</si>
  <si>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</si>
  <si>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</si>
  <si>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</si>
  <si>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</si>
  <si>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</si>
  <si>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</si>
  <si>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</si>
  <si>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</si>
  <si>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</si>
  <si>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</si>
  <si>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</si>
  <si>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</si>
  <si>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</si>
  <si>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</si>
  <si>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</si>
  <si>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</si>
  <si>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</si>
  <si>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</si>
  <si>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</si>
  <si>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</si>
  <si>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</si>
  <si>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</si>
  <si>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</si>
  <si>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</si>
  <si>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</si>
  <si>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</si>
  <si>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Jan - Dec</t>
  </si>
  <si>
    <t xml:space="preserve">     ilukegEg</t>
  </si>
  <si>
    <t>cSwa elWm</t>
  </si>
  <si>
    <t>Atolls</t>
  </si>
  <si>
    <t xml:space="preserve"> cSwkwtuLotwa</t>
  </si>
  <si>
    <t>ilukegEg</t>
  </si>
  <si>
    <t>Jan '10</t>
  </si>
  <si>
    <t>Jan '11</t>
  </si>
  <si>
    <t>Jan '12</t>
  </si>
  <si>
    <t>Jan '13</t>
  </si>
  <si>
    <t>Jan '14</t>
  </si>
  <si>
    <t>Jan '15</t>
  </si>
  <si>
    <t>Jan '16</t>
  </si>
  <si>
    <t>Jan '17</t>
  </si>
  <si>
    <t>Jan '18</t>
  </si>
  <si>
    <t>Jan '19</t>
  </si>
  <si>
    <t>Monthly CPI , 2019</t>
  </si>
  <si>
    <t>2019 ,uDnwgcnim egugwa egurWzWb eguhwmcswmikea : 17.6 ulwvWt</t>
  </si>
  <si>
    <t>Table  17.6 : CONSUMER PRICE INDEX, FOR MALE' AND ATOLLS BY MONTH,  2019</t>
  </si>
  <si>
    <t xml:space="preserve"> 2019 ،iawa.Ip.Is eguhwmcswm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</si>
  <si>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</si>
  <si>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</si>
  <si>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</si>
  <si>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</si>
  <si>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</si>
  <si>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</si>
  <si>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</si>
  <si>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</si>
  <si>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</si>
  <si>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</si>
  <si>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</si>
  <si>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</si>
  <si>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އިންޝުއަރެންސް އަދި މާލީ ޚިދުމަތްތައް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</si>
</sst>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General_)"/>
    <numFmt numFmtId="165" formatCode="0.0"/>
    <numFmt numFmtId="167" formatCode="_(* #,##0.0_);_(* \(#,##0.0\);_(* &quot;-&quot;??_);_(@_)"/>
    <numFmt numFmtId="169" formatCode="_-* #,##0.00_-;\-* #,##0.00_-;_-* &quot;-&quot;??_-;_-@_-"/>
    <numFmt numFmtId="170" formatCode="[$-409]mmm\-yy;@"/>
    <numFmt numFmtId="171" formatCode="0.00_)"/>
    <numFmt numFmtId="173" formatCode="_-* #,##0.00\ _ރ_._-;_-* #,##0.00\ _ރ_.\-;_-* &quot;-&quot;??\ _ރ_.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9"/>
      <color rgb="FFFF0000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b/>
      <sz val="9"/>
      <name val="A_Faseyh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0">
    <xf numFmtId="0" fontId="0" fillId="0" borderId="0"/>
    <xf numFmtId="164" fontId="2" fillId="0" borderId="0"/>
    <xf numFmtId="0" fontId="5" fillId="0" borderId="0"/>
    <xf numFmtId="164" fontId="2" fillId="0" borderId="0"/>
    <xf numFmtId="164" fontId="2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5" fillId="0" borderId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1" fontId="18" fillId="0" borderId="0"/>
    <xf numFmtId="9" fontId="5" fillId="0" borderId="0" applyFont="0" applyFill="0" applyBorder="0" applyAlignment="0" applyProtection="0"/>
    <xf numFmtId="0" fontId="1" fillId="0" borderId="0"/>
    <xf numFmtId="17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7" fillId="0" borderId="0"/>
  </cellStyleXfs>
  <cellXfs count="129">
    <xf numFmtId="0" fontId="0" fillId="0" borderId="0" xfId="0"/>
    <xf numFmtId="2" fontId="0" fillId="2" borderId="0" xfId="0" applyNumberFormat="1" applyFill="1"/>
    <xf numFmtId="0" fontId="5" fillId="2" borderId="0" xfId="2" applyFont="1" applyFill="1" applyBorder="1"/>
    <xf numFmtId="164" fontId="10" fillId="2" borderId="0" xfId="4" applyFont="1" applyFill="1" applyAlignment="1">
      <alignment vertical="center" wrapText="1"/>
    </xf>
    <xf numFmtId="164" fontId="10" fillId="2" borderId="0" xfId="4" applyFont="1" applyFill="1" applyAlignment="1">
      <alignment vertical="center"/>
    </xf>
    <xf numFmtId="0" fontId="10" fillId="2" borderId="0" xfId="5" applyFont="1" applyFill="1" applyAlignment="1">
      <alignment vertical="center"/>
    </xf>
    <xf numFmtId="164" fontId="10" fillId="2" borderId="0" xfId="4" applyFont="1" applyFill="1" applyBorder="1" applyAlignment="1">
      <alignment vertical="center" wrapText="1"/>
    </xf>
    <xf numFmtId="164" fontId="9" fillId="2" borderId="0" xfId="4" applyFont="1" applyFill="1" applyBorder="1" applyAlignment="1">
      <alignment vertical="center"/>
    </xf>
    <xf numFmtId="164" fontId="4" fillId="2" borderId="0" xfId="3" applyFont="1" applyFill="1" applyBorder="1" applyAlignment="1">
      <alignment horizontal="right" vertical="center"/>
    </xf>
    <xf numFmtId="164" fontId="9" fillId="2" borderId="1" xfId="4" applyFont="1" applyFill="1" applyBorder="1" applyAlignment="1">
      <alignment vertical="center"/>
    </xf>
    <xf numFmtId="164" fontId="4" fillId="2" borderId="0" xfId="3" applyFont="1" applyFill="1" applyBorder="1" applyAlignment="1">
      <alignment horizontal="right" vertical="center" wrapText="1"/>
    </xf>
    <xf numFmtId="3" fontId="15" fillId="2" borderId="0" xfId="6" applyNumberFormat="1" applyFont="1" applyFill="1" applyBorder="1" applyAlignment="1" applyProtection="1">
      <alignment horizontal="center" vertical="center"/>
    </xf>
    <xf numFmtId="0" fontId="13" fillId="2" borderId="0" xfId="2" applyFont="1" applyFill="1" applyAlignment="1">
      <alignment vertical="center"/>
    </xf>
    <xf numFmtId="165" fontId="5" fillId="2" borderId="0" xfId="2" applyNumberFormat="1" applyFont="1" applyFill="1"/>
    <xf numFmtId="0" fontId="13" fillId="2" borderId="0" xfId="2" applyFont="1" applyFill="1"/>
    <xf numFmtId="0" fontId="12" fillId="2" borderId="0" xfId="2" applyFont="1" applyFill="1"/>
    <xf numFmtId="0" fontId="13" fillId="2" borderId="2" xfId="2" applyFont="1" applyFill="1" applyBorder="1"/>
    <xf numFmtId="0" fontId="15" fillId="2" borderId="0" xfId="2" applyFont="1" applyFill="1" applyBorder="1"/>
    <xf numFmtId="164" fontId="14" fillId="2" borderId="0" xfId="4" applyFont="1" applyFill="1" applyAlignment="1">
      <alignment vertical="center" wrapText="1"/>
    </xf>
    <xf numFmtId="2" fontId="5" fillId="2" borderId="0" xfId="2" applyNumberFormat="1" applyFont="1" applyFill="1"/>
    <xf numFmtId="164" fontId="4" fillId="2" borderId="0" xfId="3" applyFont="1" applyFill="1" applyAlignment="1">
      <alignment vertical="center"/>
    </xf>
    <xf numFmtId="164" fontId="13" fillId="2" borderId="0" xfId="3" applyFont="1" applyFill="1" applyAlignment="1">
      <alignment vertical="center"/>
    </xf>
    <xf numFmtId="164" fontId="6" fillId="2" borderId="0" xfId="3" applyFont="1" applyFill="1" applyAlignment="1" applyProtection="1">
      <alignment vertical="center"/>
    </xf>
    <xf numFmtId="164" fontId="6" fillId="2" borderId="0" xfId="3" applyFont="1" applyFill="1" applyAlignment="1">
      <alignment vertical="center"/>
    </xf>
    <xf numFmtId="164" fontId="4" fillId="2" borderId="0" xfId="3" applyFont="1" applyFill="1" applyAlignment="1">
      <alignment vertical="center" wrapText="1"/>
    </xf>
    <xf numFmtId="164" fontId="13" fillId="2" borderId="0" xfId="3" applyFont="1" applyFill="1" applyBorder="1" applyAlignment="1">
      <alignment vertical="center"/>
    </xf>
    <xf numFmtId="164" fontId="6" fillId="2" borderId="0" xfId="3" applyFont="1" applyFill="1" applyBorder="1" applyAlignment="1" applyProtection="1">
      <alignment vertical="center"/>
    </xf>
    <xf numFmtId="164" fontId="6" fillId="2" borderId="0" xfId="3" applyFont="1" applyFill="1" applyBorder="1" applyAlignment="1">
      <alignment vertical="center"/>
    </xf>
    <xf numFmtId="3" fontId="14" fillId="2" borderId="1" xfId="6" applyNumberFormat="1" applyFont="1" applyFill="1" applyBorder="1" applyAlignment="1" applyProtection="1">
      <alignment horizontal="left" vertical="center"/>
    </xf>
    <xf numFmtId="3" fontId="15" fillId="2" borderId="1" xfId="6" applyNumberFormat="1" applyFont="1" applyFill="1" applyBorder="1" applyAlignment="1" applyProtection="1">
      <alignment horizontal="center" vertical="center"/>
    </xf>
    <xf numFmtId="3" fontId="15" fillId="2" borderId="1" xfId="6" applyNumberFormat="1" applyFont="1" applyFill="1" applyBorder="1" applyAlignment="1" applyProtection="1">
      <alignment horizontal="right" vertical="center"/>
    </xf>
    <xf numFmtId="0" fontId="5" fillId="2" borderId="1" xfId="2" applyFont="1" applyFill="1" applyBorder="1"/>
    <xf numFmtId="0" fontId="13" fillId="2" borderId="1" xfId="2" applyFont="1" applyFill="1" applyBorder="1"/>
    <xf numFmtId="0" fontId="6" fillId="2" borderId="2" xfId="2" applyFont="1" applyFill="1" applyBorder="1"/>
    <xf numFmtId="0" fontId="15" fillId="2" borderId="2" xfId="2" applyFont="1" applyFill="1" applyBorder="1"/>
    <xf numFmtId="0" fontId="15" fillId="2" borderId="2" xfId="2" applyFont="1" applyFill="1" applyBorder="1" applyAlignment="1">
      <alignment horizontal="right"/>
    </xf>
    <xf numFmtId="0" fontId="15" fillId="2" borderId="0" xfId="2" applyFont="1" applyFill="1"/>
    <xf numFmtId="0" fontId="15" fillId="2" borderId="3" xfId="2" applyFont="1" applyFill="1" applyBorder="1"/>
    <xf numFmtId="164" fontId="4" fillId="2" borderId="3" xfId="3" applyFont="1" applyFill="1" applyBorder="1" applyAlignment="1">
      <alignment horizontal="right" vertical="center" wrapText="1"/>
    </xf>
    <xf numFmtId="0" fontId="6" fillId="2" borderId="0" xfId="2" applyFont="1" applyFill="1" applyBorder="1" applyAlignment="1">
      <alignment horizontal="left"/>
    </xf>
    <xf numFmtId="169" fontId="4" fillId="2" borderId="0" xfId="3" applyNumberFormat="1" applyFont="1" applyFill="1" applyBorder="1" applyAlignment="1">
      <alignment horizontal="right"/>
    </xf>
    <xf numFmtId="0" fontId="13" fillId="2" borderId="0" xfId="2" applyFont="1" applyFill="1" applyAlignment="1"/>
    <xf numFmtId="0" fontId="6" fillId="2" borderId="1" xfId="2" applyFont="1" applyFill="1" applyBorder="1" applyAlignment="1">
      <alignment horizontal="left"/>
    </xf>
    <xf numFmtId="0" fontId="13" fillId="2" borderId="1" xfId="2" applyFont="1" applyFill="1" applyBorder="1" applyAlignment="1"/>
    <xf numFmtId="165" fontId="13" fillId="2" borderId="0" xfId="2" applyNumberFormat="1" applyFont="1" applyFill="1"/>
    <xf numFmtId="0" fontId="15" fillId="2" borderId="1" xfId="2" applyFont="1" applyFill="1" applyBorder="1"/>
    <xf numFmtId="3" fontId="14" fillId="2" borderId="0" xfId="6" applyNumberFormat="1" applyFont="1" applyFill="1" applyBorder="1" applyAlignment="1" applyProtection="1">
      <alignment horizontal="left" vertical="center"/>
    </xf>
    <xf numFmtId="3" fontId="11" fillId="2" borderId="0" xfId="6" applyNumberFormat="1" applyFont="1" applyFill="1" applyBorder="1" applyAlignment="1" applyProtection="1">
      <alignment horizontal="right" vertical="center"/>
    </xf>
    <xf numFmtId="0" fontId="13" fillId="2" borderId="0" xfId="2" applyFont="1" applyFill="1" applyBorder="1" applyAlignment="1"/>
    <xf numFmtId="2" fontId="13" fillId="2" borderId="0" xfId="2" applyNumberFormat="1" applyFont="1" applyFill="1"/>
    <xf numFmtId="0" fontId="6" fillId="2" borderId="2" xfId="2" applyFont="1" applyFill="1" applyBorder="1" applyAlignment="1">
      <alignment horizontal="left"/>
    </xf>
    <xf numFmtId="0" fontId="14" fillId="2" borderId="1" xfId="2" applyFont="1" applyFill="1" applyBorder="1"/>
    <xf numFmtId="0" fontId="14" fillId="2" borderId="0" xfId="2" applyFont="1" applyFill="1"/>
    <xf numFmtId="0" fontId="13" fillId="2" borderId="0" xfId="2" applyFont="1" applyFill="1" applyAlignment="1">
      <alignment horizontal="right"/>
    </xf>
    <xf numFmtId="167" fontId="13" fillId="2" borderId="0" xfId="2" applyNumberFormat="1" applyFont="1" applyFill="1"/>
    <xf numFmtId="0" fontId="16" fillId="2" borderId="0" xfId="2" applyFont="1" applyFill="1"/>
    <xf numFmtId="165" fontId="6" fillId="2" borderId="0" xfId="3" applyNumberFormat="1" applyFont="1" applyFill="1" applyBorder="1" applyAlignment="1">
      <alignment horizontal="right" vertical="center"/>
    </xf>
    <xf numFmtId="164" fontId="14" fillId="2" borderId="0" xfId="4" applyFont="1" applyFill="1" applyAlignment="1">
      <alignment wrapText="1"/>
    </xf>
    <xf numFmtId="164" fontId="14" fillId="2" borderId="0" xfId="4" applyFont="1" applyFill="1"/>
    <xf numFmtId="0" fontId="14" fillId="2" borderId="0" xfId="5" applyFont="1" applyFill="1"/>
    <xf numFmtId="164" fontId="14" fillId="2" borderId="0" xfId="4" applyFont="1" applyFill="1" applyBorder="1" applyAlignment="1">
      <alignment wrapText="1"/>
    </xf>
    <xf numFmtId="170" fontId="13" fillId="2" borderId="0" xfId="2" applyNumberFormat="1" applyFont="1" applyFill="1"/>
    <xf numFmtId="0" fontId="14" fillId="2" borderId="0" xfId="2" applyFont="1" applyFill="1" applyBorder="1"/>
    <xf numFmtId="0" fontId="13" fillId="2" borderId="0" xfId="2" applyFont="1" applyFill="1" applyBorder="1" applyAlignment="1">
      <alignment horizontal="right"/>
    </xf>
    <xf numFmtId="167" fontId="10" fillId="2" borderId="0" xfId="0" applyNumberFormat="1" applyFont="1" applyFill="1" applyAlignment="1">
      <alignment horizontal="left"/>
    </xf>
    <xf numFmtId="167" fontId="9" fillId="2" borderId="0" xfId="0" applyNumberFormat="1" applyFont="1" applyFill="1" applyBorder="1" applyAlignment="1">
      <alignment horizontal="left"/>
    </xf>
    <xf numFmtId="169" fontId="13" fillId="2" borderId="0" xfId="2" applyNumberFormat="1" applyFont="1" applyFill="1"/>
    <xf numFmtId="0" fontId="13" fillId="2" borderId="0" xfId="2" applyFont="1" applyFill="1" applyAlignment="1">
      <alignment horizontal="right" vertical="center"/>
    </xf>
    <xf numFmtId="0" fontId="13" fillId="2" borderId="1" xfId="2" applyFont="1" applyFill="1" applyBorder="1" applyAlignment="1">
      <alignment vertical="center"/>
    </xf>
    <xf numFmtId="0" fontId="15" fillId="2" borderId="0" xfId="2" applyFont="1" applyFill="1" applyAlignment="1">
      <alignment horizontal="right" vertical="center"/>
    </xf>
    <xf numFmtId="0" fontId="6" fillId="2" borderId="1" xfId="2" applyFont="1" applyFill="1" applyBorder="1" applyAlignment="1">
      <alignment horizontal="left" vertical="center"/>
    </xf>
    <xf numFmtId="0" fontId="15" fillId="2" borderId="2" xfId="2" applyFont="1" applyFill="1" applyBorder="1" applyAlignment="1">
      <alignment vertical="center"/>
    </xf>
    <xf numFmtId="0" fontId="15" fillId="2" borderId="2" xfId="2" applyFont="1" applyFill="1" applyBorder="1" applyAlignment="1">
      <alignment horizontal="right" vertical="center"/>
    </xf>
    <xf numFmtId="0" fontId="5" fillId="2" borderId="0" xfId="2" applyFont="1" applyFill="1"/>
    <xf numFmtId="0" fontId="13" fillId="2" borderId="0" xfId="2" applyFont="1" applyFill="1" applyBorder="1"/>
    <xf numFmtId="164" fontId="8" fillId="2" borderId="0" xfId="1" applyFont="1" applyFill="1" applyAlignment="1">
      <alignment horizontal="right" vertical="center"/>
    </xf>
    <xf numFmtId="164" fontId="7" fillId="2" borderId="0" xfId="1" applyFont="1" applyFill="1" applyBorder="1" applyAlignment="1" applyProtection="1">
      <alignment horizontal="left" vertical="center"/>
    </xf>
    <xf numFmtId="164" fontId="21" fillId="2" borderId="0" xfId="3" applyFont="1" applyFill="1" applyAlignment="1">
      <alignment horizontal="right" vertical="center"/>
    </xf>
    <xf numFmtId="164" fontId="21" fillId="2" borderId="0" xfId="1" applyFont="1" applyFill="1" applyAlignment="1">
      <alignment horizontal="right" vertical="center"/>
    </xf>
    <xf numFmtId="164" fontId="20" fillId="2" borderId="0" xfId="3" applyFont="1" applyFill="1" applyBorder="1" applyAlignment="1">
      <alignment horizontal="right" vertical="center"/>
    </xf>
    <xf numFmtId="164" fontId="20" fillId="2" borderId="1" xfId="1" applyFont="1" applyFill="1" applyBorder="1" applyAlignment="1">
      <alignment horizontal="right" vertical="center"/>
    </xf>
    <xf numFmtId="164" fontId="20" fillId="2" borderId="3" xfId="3" applyFont="1" applyFill="1" applyBorder="1" applyAlignment="1">
      <alignment horizontal="right" vertical="center"/>
    </xf>
    <xf numFmtId="0" fontId="21" fillId="2" borderId="1" xfId="2" applyFont="1" applyFill="1" applyBorder="1" applyAlignment="1">
      <alignment vertical="center"/>
    </xf>
    <xf numFmtId="164" fontId="21" fillId="2" borderId="0" xfId="3" applyFont="1" applyFill="1" applyAlignment="1">
      <alignment horizontal="center" vertical="center"/>
    </xf>
    <xf numFmtId="164" fontId="20" fillId="2" borderId="0" xfId="1" applyFont="1" applyFill="1" applyBorder="1" applyAlignment="1">
      <alignment horizontal="right" vertical="center"/>
    </xf>
    <xf numFmtId="164" fontId="20" fillId="2" borderId="2" xfId="3" applyFont="1" applyFill="1" applyBorder="1" applyAlignment="1">
      <alignment horizontal="right" vertical="center"/>
    </xf>
    <xf numFmtId="164" fontId="20" fillId="2" borderId="4" xfId="3" applyFont="1" applyFill="1" applyBorder="1" applyAlignment="1">
      <alignment horizontal="right" vertical="center" wrapText="1"/>
    </xf>
    <xf numFmtId="164" fontId="20" fillId="2" borderId="0" xfId="3" applyFont="1" applyFill="1" applyBorder="1" applyAlignment="1">
      <alignment horizontal="right" vertical="center" wrapText="1"/>
    </xf>
    <xf numFmtId="169" fontId="20" fillId="2" borderId="0" xfId="3" applyNumberFormat="1" applyFont="1" applyFill="1" applyBorder="1" applyAlignment="1">
      <alignment horizontal="right"/>
    </xf>
    <xf numFmtId="17" fontId="9" fillId="2" borderId="1" xfId="2" applyNumberFormat="1" applyFont="1" applyFill="1" applyBorder="1" applyAlignment="1">
      <alignment horizontal="right" vertical="center"/>
    </xf>
    <xf numFmtId="0" fontId="9" fillId="2" borderId="1" xfId="2" applyFont="1" applyFill="1" applyBorder="1" applyAlignment="1">
      <alignment horizontal="right" vertical="center"/>
    </xf>
    <xf numFmtId="164" fontId="9" fillId="2" borderId="1" xfId="3" applyFont="1" applyFill="1" applyBorder="1" applyAlignment="1">
      <alignment horizontal="right" vertical="center"/>
    </xf>
    <xf numFmtId="3" fontId="21" fillId="2" borderId="1" xfId="6" applyNumberFormat="1" applyFont="1" applyFill="1" applyBorder="1" applyAlignment="1" applyProtection="1">
      <alignment horizontal="right" vertical="center"/>
    </xf>
    <xf numFmtId="164" fontId="20" fillId="2" borderId="0" xfId="3" applyFont="1" applyFill="1" applyBorder="1" applyAlignment="1">
      <alignment horizontal="right"/>
    </xf>
    <xf numFmtId="0" fontId="21" fillId="2" borderId="0" xfId="2" applyFont="1" applyFill="1"/>
    <xf numFmtId="0" fontId="21" fillId="2" borderId="1" xfId="2" applyFont="1" applyFill="1" applyBorder="1" applyAlignment="1"/>
    <xf numFmtId="0" fontId="21" fillId="2" borderId="1" xfId="2" applyFont="1" applyFill="1" applyBorder="1"/>
    <xf numFmtId="0" fontId="21" fillId="2" borderId="0" xfId="2" applyFont="1" applyFill="1" applyBorder="1"/>
    <xf numFmtId="167" fontId="10" fillId="2" borderId="0" xfId="0" applyNumberFormat="1" applyFont="1" applyFill="1" applyAlignment="1">
      <alignment horizontal="right" vertical="center"/>
    </xf>
    <xf numFmtId="167" fontId="10" fillId="2" borderId="1" xfId="0" applyNumberFormat="1" applyFont="1" applyFill="1" applyBorder="1" applyAlignment="1">
      <alignment horizontal="right" vertical="center"/>
    </xf>
    <xf numFmtId="0" fontId="5" fillId="2" borderId="0" xfId="2" applyFont="1" applyFill="1" applyBorder="1" applyAlignment="1">
      <alignment horizontal="right" vertical="center"/>
    </xf>
    <xf numFmtId="0" fontId="5" fillId="2" borderId="1" xfId="2" applyFont="1" applyFill="1" applyBorder="1" applyAlignment="1">
      <alignment horizontal="right" vertical="center"/>
    </xf>
    <xf numFmtId="0" fontId="13" fillId="2" borderId="0" xfId="2" applyFont="1" applyFill="1" applyBorder="1" applyAlignment="1">
      <alignment horizontal="right" vertical="center"/>
    </xf>
    <xf numFmtId="0" fontId="15" fillId="2" borderId="3" xfId="2" applyFont="1" applyFill="1" applyBorder="1" applyAlignment="1">
      <alignment horizontal="right" vertical="center"/>
    </xf>
    <xf numFmtId="169" fontId="20" fillId="2" borderId="0" xfId="3" applyNumberFormat="1" applyFont="1" applyFill="1" applyBorder="1" applyAlignment="1">
      <alignment horizontal="right" vertical="center"/>
    </xf>
    <xf numFmtId="0" fontId="15" fillId="2" borderId="2" xfId="2" applyFont="1" applyFill="1" applyBorder="1" applyAlignment="1">
      <alignment horizontal="left" vertical="center"/>
    </xf>
    <xf numFmtId="167" fontId="9" fillId="2" borderId="0" xfId="0" applyNumberFormat="1" applyFont="1" applyFill="1" applyBorder="1" applyAlignment="1">
      <alignment horizontal="right" vertical="center"/>
    </xf>
    <xf numFmtId="167" fontId="9" fillId="2" borderId="1" xfId="0" applyNumberFormat="1" applyFont="1" applyFill="1" applyBorder="1" applyAlignment="1">
      <alignment horizontal="right" vertical="center"/>
    </xf>
    <xf numFmtId="3" fontId="15" fillId="2" borderId="0" xfId="6" applyNumberFormat="1" applyFont="1" applyFill="1" applyBorder="1" applyAlignment="1" applyProtection="1">
      <alignment horizontal="right" vertical="center"/>
    </xf>
    <xf numFmtId="3" fontId="21" fillId="2" borderId="0" xfId="6" applyNumberFormat="1" applyFont="1" applyFill="1" applyBorder="1" applyAlignment="1" applyProtection="1">
      <alignment horizontal="right" vertical="center"/>
    </xf>
    <xf numFmtId="0" fontId="6" fillId="2" borderId="0" xfId="2" applyFont="1" applyFill="1" applyBorder="1"/>
    <xf numFmtId="0" fontId="15" fillId="2" borderId="0" xfId="2" applyFont="1" applyFill="1" applyBorder="1" applyAlignment="1">
      <alignment horizontal="right"/>
    </xf>
    <xf numFmtId="17" fontId="9" fillId="2" borderId="0" xfId="2" applyNumberFormat="1" applyFont="1" applyFill="1" applyBorder="1" applyAlignment="1">
      <alignment horizontal="right"/>
    </xf>
    <xf numFmtId="0" fontId="9" fillId="2" borderId="0" xfId="2" applyFont="1" applyFill="1" applyBorder="1" applyAlignment="1">
      <alignment horizontal="right"/>
    </xf>
    <xf numFmtId="164" fontId="9" fillId="2" borderId="0" xfId="3" applyFont="1" applyFill="1" applyBorder="1" applyAlignment="1">
      <alignment horizontal="right"/>
    </xf>
    <xf numFmtId="0" fontId="21" fillId="2" borderId="0" xfId="2" applyFont="1" applyFill="1" applyBorder="1" applyAlignment="1"/>
    <xf numFmtId="167" fontId="10" fillId="2" borderId="0" xfId="0" applyNumberFormat="1" applyFont="1" applyFill="1" applyBorder="1" applyAlignment="1">
      <alignment horizontal="left"/>
    </xf>
    <xf numFmtId="164" fontId="21" fillId="2" borderId="0" xfId="3" applyFont="1" applyFill="1" applyBorder="1" applyAlignment="1">
      <alignment horizontal="right" vertical="center"/>
    </xf>
    <xf numFmtId="164" fontId="10" fillId="2" borderId="0" xfId="4" applyFont="1" applyFill="1" applyBorder="1" applyAlignment="1">
      <alignment vertical="center"/>
    </xf>
    <xf numFmtId="164" fontId="21" fillId="2" borderId="0" xfId="3" applyFont="1" applyFill="1" applyBorder="1" applyAlignment="1">
      <alignment horizontal="center" vertical="center"/>
    </xf>
    <xf numFmtId="0" fontId="10" fillId="2" borderId="0" xfId="5" applyFont="1" applyFill="1" applyBorder="1" applyAlignment="1">
      <alignment vertical="center"/>
    </xf>
    <xf numFmtId="164" fontId="21" fillId="2" borderId="0" xfId="1" applyFont="1" applyFill="1" applyBorder="1" applyAlignment="1">
      <alignment horizontal="right" vertical="center"/>
    </xf>
    <xf numFmtId="164" fontId="9" fillId="2" borderId="0" xfId="3" applyFont="1" applyFill="1" applyBorder="1" applyAlignment="1" applyProtection="1">
      <alignment horizontal="center" vertical="center"/>
    </xf>
    <xf numFmtId="164" fontId="4" fillId="2" borderId="0" xfId="3" applyFont="1" applyFill="1" applyBorder="1" applyAlignment="1">
      <alignment horizontal="center" vertical="center" wrapText="1"/>
    </xf>
    <xf numFmtId="164" fontId="6" fillId="2" borderId="0" xfId="3" applyFont="1" applyFill="1" applyBorder="1" applyAlignment="1" applyProtection="1">
      <alignment horizontal="center" vertical="center"/>
    </xf>
    <xf numFmtId="164" fontId="19" fillId="2" borderId="0" xfId="3" applyFont="1" applyFill="1" applyAlignment="1">
      <alignment horizontal="center" vertical="center"/>
    </xf>
    <xf numFmtId="164" fontId="9" fillId="2" borderId="0" xfId="3" applyFont="1" applyFill="1" applyAlignment="1" applyProtection="1">
      <alignment horizontal="center" vertical="center"/>
    </xf>
    <xf numFmtId="164" fontId="20" fillId="2" borderId="0" xfId="3" applyFont="1" applyFill="1" applyAlignment="1">
      <alignment horizontal="center" vertical="center" wrapText="1"/>
    </xf>
    <xf numFmtId="164" fontId="3" fillId="2" borderId="0" xfId="3" applyFont="1" applyFill="1" applyBorder="1" applyAlignment="1">
      <alignment horizontal="center" vertical="center"/>
    </xf>
  </cellXfs>
  <cellStyles count="20">
    <cellStyle name="1" xfId="11"/>
    <cellStyle name="Comma 2" xfId="12"/>
    <cellStyle name="Comma 2 2" xfId="17"/>
    <cellStyle name="Comma 3" xfId="13"/>
    <cellStyle name="Comma 3 2" xfId="7"/>
    <cellStyle name="Normal" xfId="0" builtinId="0"/>
    <cellStyle name="Normal - Style1" xfId="14"/>
    <cellStyle name="Normal 2" xfId="16"/>
    <cellStyle name="Normal 3" xfId="8"/>
    <cellStyle name="Normal 4" xfId="9"/>
    <cellStyle name="Normal 5" xfId="10"/>
    <cellStyle name="Normal 6" xfId="19"/>
    <cellStyle name="Normal_17 Prices_done" xfId="2"/>
    <cellStyle name="Normal_CPI new tables" xfId="5"/>
    <cellStyle name="Normal_Dec97" xfId="4"/>
    <cellStyle name="Normal_II-15(Population)" xfId="6"/>
    <cellStyle name="Normal_XII-11(Commerce)" xfId="3"/>
    <cellStyle name="Normal_XII-12 (Commerce)" xfId="1"/>
    <cellStyle name="Percent 2" xfId="15"/>
    <cellStyle name="Percent 2 2" xfId="18"/>
  </cellStyles>
  <dxfs count="0"/>
  <tableStyles count="0" defaultTableStyle="TableStyleMedium2" defaultPivotStyle="PivotStyleLight16"/>
  <colors>
    <mruColors>
      <color rgb="FFD1A375"/>
      <color rgb="FF996633"/>
      <color rgb="FFB85C00"/>
      <color rgb="FFFCF9F6"/>
      <color rgb="FFF1E2D3"/>
      <color rgb="FF663300"/>
      <color rgb="FFE7CFB7"/>
      <color rgb="FFF5EADF"/>
      <color rgb="FFEAD5C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688203921325397E-2"/>
          <c:y val="0.122980545186643"/>
          <c:w val="0.91787753419041496"/>
          <c:h val="0.452192929560931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'17.6'!$AY$81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D1A375"/>
            </a:solidFill>
          </c:spPr>
          <c:invertIfNegative val="0"/>
          <c:cat>
            <c:strRef>
              <c:f>'17.6'!$AP$82:$AP$99</c:f>
              <c:strCache>
                <c:ptCount val="18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and Aracanuts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Insurance and Financial Services</c:v>
                </c:pt>
                <c:pt idx="15">
                  <c:v>Personal Care, Social Protection and Miscellaneous goods and services</c:v>
                </c:pt>
                <c:pt idx="16">
                  <c:v>All groups CPI (Total)</c:v>
                </c:pt>
                <c:pt idx="17">
                  <c:v>Total excluding fish</c:v>
                </c:pt>
              </c:strCache>
            </c:strRef>
          </c:cat>
          <c:val>
            <c:numRef>
              <c:f>'17.6'!$AY$82:$AY$99</c:f>
              <c:numCache>
                <c:formatCode>0.0</c:formatCode>
                <c:ptCount val="18"/>
                <c:pt idx="0">
                  <c:v>111.81011866226531</c:v>
                </c:pt>
                <c:pt idx="1">
                  <c:v>112.9320821179051</c:v>
                </c:pt>
                <c:pt idx="2">
                  <c:v>109.24226860370483</c:v>
                </c:pt>
                <c:pt idx="3">
                  <c:v>167.34151423693964</c:v>
                </c:pt>
                <c:pt idx="4">
                  <c:v>98.155711491556062</c:v>
                </c:pt>
                <c:pt idx="5">
                  <c:v>109.29547192198891</c:v>
                </c:pt>
                <c:pt idx="6">
                  <c:v>129.26555175057555</c:v>
                </c:pt>
                <c:pt idx="7">
                  <c:v>97.270333580269437</c:v>
                </c:pt>
                <c:pt idx="8">
                  <c:v>126.1113957972745</c:v>
                </c:pt>
                <c:pt idx="9">
                  <c:v>102.86901120705778</c:v>
                </c:pt>
                <c:pt idx="10">
                  <c:v>100.41005623870753</c:v>
                </c:pt>
                <c:pt idx="11">
                  <c:v>99.029706628505878</c:v>
                </c:pt>
                <c:pt idx="12">
                  <c:v>133.11915518648536</c:v>
                </c:pt>
                <c:pt idx="13">
                  <c:v>128.2294953174422</c:v>
                </c:pt>
                <c:pt idx="14" formatCode="General">
                  <c:v>0</c:v>
                </c:pt>
                <c:pt idx="15">
                  <c:v>97.662171177004552</c:v>
                </c:pt>
                <c:pt idx="16">
                  <c:v>109.78539958307455</c:v>
                </c:pt>
                <c:pt idx="17">
                  <c:v>109.83680520270974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067-4188-99F5-3377ED319B60}"/>
            </c:ext>
          </c:extLst>
        </c:ser>
        <c:ser>
          <c:idx val="2"/>
          <c:order val="1"/>
          <c:tx>
            <c:strRef>
              <c:f>'17.6'!$AZ$81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B85C00"/>
            </a:solidFill>
          </c:spPr>
          <c:invertIfNegative val="0"/>
          <c:cat>
            <c:strRef>
              <c:f>'17.6'!$AP$82:$AP$99</c:f>
              <c:strCache>
                <c:ptCount val="18"/>
                <c:pt idx="0">
                  <c:v>Food and beverages including fish</c:v>
                </c:pt>
                <c:pt idx="1">
                  <c:v>Food and beverages excluding fish</c:v>
                </c:pt>
                <c:pt idx="2">
                  <c:v>Fish Index</c:v>
                </c:pt>
                <c:pt idx="3">
                  <c:v>Tobacco and Aracanuts </c:v>
                </c:pt>
                <c:pt idx="4">
                  <c:v>Clothing and footwear</c:v>
                </c:pt>
                <c:pt idx="5">
                  <c:v>Housing, water, electricity, gas and other fuel</c:v>
                </c:pt>
                <c:pt idx="6">
                  <c:v>  Actual rentals for housing</c:v>
                </c:pt>
                <c:pt idx="7">
                  <c:v>Furnishing,  household equipment &amp; routine maintenance </c:v>
                </c:pt>
                <c:pt idx="8">
                  <c:v>Health</c:v>
                </c:pt>
                <c:pt idx="9">
                  <c:v>Transport </c:v>
                </c:pt>
                <c:pt idx="10">
                  <c:v>Communication</c:v>
                </c:pt>
                <c:pt idx="11">
                  <c:v>Recreation and culture</c:v>
                </c:pt>
                <c:pt idx="12">
                  <c:v>Education</c:v>
                </c:pt>
                <c:pt idx="13">
                  <c:v>Hotels, cafés and restaurants</c:v>
                </c:pt>
                <c:pt idx="14">
                  <c:v>Insurance and Financial Services</c:v>
                </c:pt>
                <c:pt idx="15">
                  <c:v>Personal Care, Social Protection and Miscellaneous goods and services</c:v>
                </c:pt>
                <c:pt idx="16">
                  <c:v>All groups CPI (Total)</c:v>
                </c:pt>
                <c:pt idx="17">
                  <c:v>Total excluding fish</c:v>
                </c:pt>
              </c:strCache>
            </c:strRef>
          </c:cat>
          <c:val>
            <c:numRef>
              <c:f>'17.6'!$AZ$82:$AZ$99</c:f>
              <c:numCache>
                <c:formatCode>0.0</c:formatCode>
                <c:ptCount val="18"/>
                <c:pt idx="0">
                  <c:v>99.755867509454859</c:v>
                </c:pt>
                <c:pt idx="1">
                  <c:v>100.0189697454872</c:v>
                </c:pt>
                <c:pt idx="2">
                  <c:v>102.19215981021229</c:v>
                </c:pt>
                <c:pt idx="3">
                  <c:v>100.23444513498929</c:v>
                </c:pt>
                <c:pt idx="4">
                  <c:v>99.962545178697326</c:v>
                </c:pt>
                <c:pt idx="5">
                  <c:v>99.542874629829512</c:v>
                </c:pt>
                <c:pt idx="6">
                  <c:v>99.287613094180429</c:v>
                </c:pt>
                <c:pt idx="7">
                  <c:v>100.03347598488823</c:v>
                </c:pt>
                <c:pt idx="8">
                  <c:v>99.651230898131658</c:v>
                </c:pt>
                <c:pt idx="9">
                  <c:v>99.177907186017364</c:v>
                </c:pt>
                <c:pt idx="10">
                  <c:v>100.25721192236689</c:v>
                </c:pt>
                <c:pt idx="11">
                  <c:v>100.42641155289699</c:v>
                </c:pt>
                <c:pt idx="12">
                  <c:v>99.997620891203681</c:v>
                </c:pt>
                <c:pt idx="13">
                  <c:v>99.155419008916851</c:v>
                </c:pt>
                <c:pt idx="14">
                  <c:v>100</c:v>
                </c:pt>
                <c:pt idx="15">
                  <c:v>99.967391567614428</c:v>
                </c:pt>
                <c:pt idx="16">
                  <c:v>99.704026856120265</c:v>
                </c:pt>
                <c:pt idx="17">
                  <c:v>99.768516719136173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067-4188-99F5-3377ED319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019856"/>
        <c:axId val="410015936"/>
      </c:barChart>
      <c:catAx>
        <c:axId val="4100198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410015936"/>
        <c:crosses val="autoZero"/>
        <c:auto val="1"/>
        <c:lblAlgn val="ctr"/>
        <c:lblOffset val="100"/>
        <c:noMultiLvlLbl val="0"/>
      </c:catAx>
      <c:valAx>
        <c:axId val="410015936"/>
        <c:scaling>
          <c:orientation val="minMax"/>
          <c:max val="180"/>
          <c:min val="0"/>
        </c:scaling>
        <c:delete val="0"/>
        <c:axPos val="l"/>
        <c:majorGridlines>
          <c:spPr>
            <a:ln>
              <a:solidFill>
                <a:srgbClr val="E7CFB7"/>
              </a:solidFill>
            </a:ln>
          </c:spPr>
        </c:majorGridlines>
        <c:numFmt formatCode="0" sourceLinked="0"/>
        <c:majorTickMark val="none"/>
        <c:minorTickMark val="none"/>
        <c:tickLblPos val="nextTo"/>
        <c:crossAx val="410019856"/>
        <c:crosses val="autoZero"/>
        <c:crossBetween val="between"/>
      </c:valAx>
      <c:spPr>
        <a:solidFill>
          <a:srgbClr val="FCF9F6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7530953193636843"/>
          <c:y val="0.84614818628535893"/>
          <c:w val="0.17641749218191299"/>
          <c:h val="5.1567283041475398E-2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759724847420102E-2"/>
          <c:y val="0.15285599615551601"/>
          <c:w val="0.92474503881256398"/>
          <c:h val="0.76666197605023034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B85C00"/>
              </a:solidFill>
            </a:ln>
          </c:spPr>
          <c:marker>
            <c:symbol val="diamond"/>
            <c:size val="7"/>
            <c:spPr>
              <a:solidFill>
                <a:srgbClr val="B85C00"/>
              </a:solidFill>
              <a:ln>
                <a:solidFill>
                  <a:srgbClr val="663300"/>
                </a:solidFill>
              </a:ln>
            </c:spPr>
          </c:marker>
          <c:cat>
            <c:strRef>
              <c:f>'17.6'!$AR$199:$AR$222</c:f>
              <c:strCache>
                <c:ptCount val="24"/>
                <c:pt idx="0">
                  <c:v>Jan '18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 '19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'17.6'!$AS$199:$AS$222</c:f>
              <c:numCache>
                <c:formatCode>_(* #,##0.0_);_(* \(#,##0.0\);_(* "-"??_);_(@_)</c:formatCode>
                <c:ptCount val="24"/>
                <c:pt idx="0">
                  <c:v>110.69350514191611</c:v>
                </c:pt>
                <c:pt idx="1">
                  <c:v>111.0034911865295</c:v>
                </c:pt>
                <c:pt idx="2">
                  <c:v>110.76093918113826</c:v>
                </c:pt>
                <c:pt idx="3">
                  <c:v>108.89245390904621</c:v>
                </c:pt>
                <c:pt idx="4">
                  <c:v>108.51463443023214</c:v>
                </c:pt>
                <c:pt idx="5">
                  <c:v>108.72807281591703</c:v>
                </c:pt>
                <c:pt idx="6">
                  <c:v>109.32031589254262</c:v>
                </c:pt>
                <c:pt idx="7">
                  <c:v>110.82427901903849</c:v>
                </c:pt>
                <c:pt idx="8">
                  <c:v>110.07416684510345</c:v>
                </c:pt>
                <c:pt idx="9">
                  <c:v>109.5777691858395</c:v>
                </c:pt>
                <c:pt idx="10">
                  <c:v>109.66122266267195</c:v>
                </c:pt>
                <c:pt idx="11">
                  <c:v>109.37394472691939</c:v>
                </c:pt>
                <c:pt idx="12">
                  <c:v>99.024145997101201</c:v>
                </c:pt>
                <c:pt idx="13">
                  <c:v>99.344804114687122</c:v>
                </c:pt>
                <c:pt idx="14">
                  <c:v>99.132707625477963</c:v>
                </c:pt>
                <c:pt idx="15">
                  <c:v>99.533742480414617</c:v>
                </c:pt>
                <c:pt idx="16">
                  <c:v>99.847391328514448</c:v>
                </c:pt>
                <c:pt idx="17">
                  <c:v>100.09029082934444</c:v>
                </c:pt>
                <c:pt idx="18">
                  <c:v>99.363852263327374</c:v>
                </c:pt>
                <c:pt idx="19">
                  <c:v>100</c:v>
                </c:pt>
                <c:pt idx="20">
                  <c:v>99.76655720061612</c:v>
                </c:pt>
                <c:pt idx="21">
                  <c:v>100.04280196173474</c:v>
                </c:pt>
                <c:pt idx="22">
                  <c:v>99.911763852084249</c:v>
                </c:pt>
                <c:pt idx="23">
                  <c:v>100.39026462014091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453-4B1B-A47A-85A5959E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016720"/>
        <c:axId val="410017504"/>
      </c:lineChart>
      <c:catAx>
        <c:axId val="410016720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nextTo"/>
        <c:txPr>
          <a:bodyPr rot="0" vert="horz"/>
          <a:lstStyle/>
          <a:p>
            <a:pPr>
              <a:defRPr lang="en-AU" sz="1050"/>
            </a:pPr>
            <a:endParaRPr lang="en-US"/>
          </a:p>
        </c:txPr>
        <c:crossAx val="410017504"/>
        <c:crosses val="autoZero"/>
        <c:auto val="1"/>
        <c:lblAlgn val="ctr"/>
        <c:lblOffset val="100"/>
        <c:noMultiLvlLbl val="0"/>
      </c:catAx>
      <c:valAx>
        <c:axId val="410017504"/>
        <c:scaling>
          <c:orientation val="minMax"/>
          <c:max val="200"/>
          <c:min val="0"/>
        </c:scaling>
        <c:delete val="0"/>
        <c:axPos val="l"/>
        <c:majorGridlines>
          <c:spPr>
            <a:ln>
              <a:solidFill>
                <a:srgbClr val="E7CFB7"/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10016720"/>
        <c:crosses val="autoZero"/>
        <c:crossBetween val="between"/>
        <c:majorUnit val="50"/>
      </c:valAx>
      <c:spPr>
        <a:solidFill>
          <a:srgbClr val="FCF9F6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793102</xdr:colOff>
      <xdr:row>92</xdr:row>
      <xdr:rowOff>33120</xdr:rowOff>
    </xdr:from>
    <xdr:to>
      <xdr:col>12</xdr:col>
      <xdr:colOff>513184</xdr:colOff>
      <xdr:row>111</xdr:row>
      <xdr:rowOff>98961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790983</xdr:colOff>
      <xdr:row>73</xdr:row>
      <xdr:rowOff>103302</xdr:rowOff>
    </xdr:from>
    <xdr:to>
      <xdr:col>12</xdr:col>
      <xdr:colOff>495513</xdr:colOff>
      <xdr:row>91</xdr:row>
      <xdr:rowOff>89065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0.21531</cdr:x>
      <cdr:y>0.02231</cdr:y>
    </cdr:from>
    <cdr:to>
      <cdr:x>0.81706</cdr:x>
      <cdr:y>0.08632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2157947" y="113987"/>
          <a:ext cx="6031119" cy="32710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ea typeface="+mn-ea"/>
              <a:cs typeface="Consolas" pitchFamily="49" charset="0"/>
            </a:rPr>
            <a:t>  </a:t>
          </a:r>
          <a:r>
            <a:rPr lang="en-US" sz="1400" b="1" i="0" baseline="0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Figure 17.5: Consumer Price Index by </a:t>
          </a:r>
          <a:r>
            <a:rPr lang="en-US" sz="1200" b="1" i="0" baseline="0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Major</a:t>
          </a:r>
          <a:r>
            <a:rPr lang="en-US" sz="1400" b="1" i="0" baseline="0">
              <a:solidFill>
                <a:sysClr val="windowText" lastClr="000000"/>
              </a:solidFill>
              <a:latin typeface="+mn-lt"/>
              <a:ea typeface="+mn-ea"/>
              <a:cs typeface="Consolas" pitchFamily="49" charset="0"/>
            </a:rPr>
            <a:t> Catagories, Republic, 2018 - 2019</a:t>
          </a:r>
          <a:endParaRPr lang="en-US" sz="1200" b="1">
            <a:latin typeface="+mn-lt"/>
            <a:cs typeface="Consolas" pitchFamily="49" charset="0"/>
          </a:endParaRPr>
        </a:p>
        <a:p xmlns:a="http://schemas.openxmlformats.org/drawingml/2006/main">
          <a:endParaRPr lang="en-US" sz="1200" b="1">
            <a:latin typeface="+mn-lt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0.11888</cdr:x>
      <cdr:y>0.01996</cdr:y>
    </cdr:from>
    <cdr:to>
      <cdr:x>0.87042</cdr:x>
      <cdr:y>0.0807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1057575" y="68152"/>
          <a:ext cx="6685816" cy="20741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rtl="0"/>
          <a:r>
            <a:rPr lang="en-US" sz="14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17.4: Consumer Price Index by Month, Republic, 2018 - 2019</a:t>
          </a:r>
          <a:endParaRPr lang="en-US" sz="1100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34"/>
  <sheetViews>
    <sheetView tabSelected="1" zoomScale="98" zoomScaleNormal="98" workbookViewId="0">
      <selection activeCell="U78" sqref="U1:AA1048576"/>
    </sheetView>
  </sheetViews>
  <sheetFormatPr defaultColWidth="9.140625" defaultRowHeight="14.25"/>
  <cols>
    <col min="1" max="1" width="37.42578125" style="52" customWidth="1"/>
    <col min="2" max="2" width="10.5703125" style="14" customWidth="1"/>
    <col min="3" max="4" width="10.5703125" style="53" customWidth="1"/>
    <col min="5" max="13" width="10.5703125" style="14" customWidth="1"/>
    <col min="14" max="14" width="9.85546875" style="14" customWidth="1"/>
    <col min="15" max="15" width="7.7109375" style="14" customWidth="1"/>
    <col min="16" max="16" width="8.85546875" style="14" customWidth="1"/>
    <col min="17" max="17" width="6.42578125" style="14" customWidth="1"/>
    <col min="18" max="18" width="17.7109375" style="94" customWidth="1"/>
    <col min="19" max="40" width="6.42578125" style="14" customWidth="1"/>
    <col min="41" max="41" width="9.140625" style="14"/>
    <col min="42" max="54" width="10.140625" style="14" customWidth="1"/>
    <col min="55" max="16384" width="9.140625" style="14"/>
  </cols>
  <sheetData>
    <row r="1" spans="1:41" s="21" customFormat="1" ht="23.25" customHeight="1">
      <c r="A1" s="125" t="s">
        <v>83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</row>
    <row r="2" spans="1:41" s="23" customFormat="1" ht="12.75">
      <c r="A2" s="126" t="s">
        <v>84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</row>
    <row r="3" spans="1:41" s="21" customFormat="1" ht="15" customHeight="1">
      <c r="A3" s="127" t="s">
        <v>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5"/>
    </row>
    <row r="4" spans="1:41" s="27" customFormat="1" ht="12">
      <c r="A4" s="124" t="s">
        <v>97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pans="1:41" ht="6" customHeight="1">
      <c r="A5" s="28"/>
      <c r="B5" s="29"/>
      <c r="C5" s="30"/>
      <c r="D5" s="30"/>
      <c r="E5" s="29"/>
      <c r="F5" s="31"/>
      <c r="G5" s="31"/>
      <c r="H5" s="31"/>
      <c r="I5" s="31"/>
      <c r="J5" s="31"/>
      <c r="K5" s="31"/>
      <c r="L5" s="31"/>
      <c r="M5" s="31"/>
      <c r="O5" s="32"/>
      <c r="P5" s="32"/>
      <c r="Q5" s="32"/>
      <c r="R5" s="92"/>
    </row>
    <row r="6" spans="1:41">
      <c r="A6" s="33"/>
      <c r="B6" s="34" t="s">
        <v>82</v>
      </c>
      <c r="C6" s="35"/>
      <c r="D6" s="35"/>
      <c r="E6" s="34"/>
      <c r="F6" s="36"/>
      <c r="G6" s="37"/>
      <c r="H6" s="38"/>
      <c r="I6" s="38"/>
      <c r="J6" s="38"/>
      <c r="K6" s="38"/>
      <c r="L6" s="38"/>
      <c r="M6" s="37"/>
      <c r="N6" s="81" t="s">
        <v>85</v>
      </c>
      <c r="R6" s="79" t="s">
        <v>63</v>
      </c>
    </row>
    <row r="7" spans="1:41" s="41" customFormat="1" ht="20.25" customHeight="1">
      <c r="A7" s="39" t="s">
        <v>64</v>
      </c>
      <c r="B7" s="86" t="s">
        <v>38</v>
      </c>
      <c r="C7" s="86" t="s">
        <v>39</v>
      </c>
      <c r="D7" s="86" t="s">
        <v>40</v>
      </c>
      <c r="E7" s="86" t="s">
        <v>41</v>
      </c>
      <c r="F7" s="86" t="s">
        <v>42</v>
      </c>
      <c r="G7" s="87" t="s">
        <v>43</v>
      </c>
      <c r="H7" s="87" t="s">
        <v>44</v>
      </c>
      <c r="I7" s="87" t="s">
        <v>45</v>
      </c>
      <c r="J7" s="87" t="s">
        <v>46</v>
      </c>
      <c r="K7" s="87" t="s">
        <v>47</v>
      </c>
      <c r="L7" s="87" t="s">
        <v>48</v>
      </c>
      <c r="M7" s="87" t="s">
        <v>49</v>
      </c>
      <c r="N7" s="88" t="s">
        <v>50</v>
      </c>
      <c r="R7" s="93" t="s">
        <v>65</v>
      </c>
    </row>
    <row r="8" spans="1:41" s="12" customFormat="1" ht="18" customHeight="1">
      <c r="A8" s="70" t="s">
        <v>1</v>
      </c>
      <c r="B8" s="89" t="s">
        <v>51</v>
      </c>
      <c r="C8" s="90" t="s">
        <v>52</v>
      </c>
      <c r="D8" s="90" t="s">
        <v>53</v>
      </c>
      <c r="E8" s="90" t="s">
        <v>54</v>
      </c>
      <c r="F8" s="90" t="s">
        <v>55</v>
      </c>
      <c r="G8" s="90" t="s">
        <v>56</v>
      </c>
      <c r="H8" s="90" t="s">
        <v>57</v>
      </c>
      <c r="I8" s="90" t="s">
        <v>58</v>
      </c>
      <c r="J8" s="90" t="s">
        <v>59</v>
      </c>
      <c r="K8" s="90" t="s">
        <v>60</v>
      </c>
      <c r="L8" s="90" t="s">
        <v>61</v>
      </c>
      <c r="M8" s="90" t="s">
        <v>62</v>
      </c>
      <c r="N8" s="91" t="s">
        <v>66</v>
      </c>
      <c r="O8" s="68"/>
      <c r="P8" s="68"/>
      <c r="Q8" s="68"/>
      <c r="R8" s="82"/>
    </row>
    <row r="9" spans="1:41" ht="19.5" customHeight="1">
      <c r="A9" s="3" t="s">
        <v>6</v>
      </c>
      <c r="B9" s="98">
        <v>98.405410280372379</v>
      </c>
      <c r="C9" s="98">
        <v>99.249314608954904</v>
      </c>
      <c r="D9" s="98">
        <v>98.067782656466349</v>
      </c>
      <c r="E9" s="98">
        <v>98.777255554806771</v>
      </c>
      <c r="F9" s="98">
        <v>99.706924325978918</v>
      </c>
      <c r="G9" s="98">
        <v>100.4418412827827</v>
      </c>
      <c r="H9" s="98">
        <v>97.826358135351001</v>
      </c>
      <c r="I9" s="98">
        <v>100</v>
      </c>
      <c r="J9" s="98">
        <v>100.80938912629576</v>
      </c>
      <c r="K9" s="98">
        <v>100.78197585531282</v>
      </c>
      <c r="L9" s="98">
        <v>100.56198678027651</v>
      </c>
      <c r="M9" s="98">
        <v>102.44217150686048</v>
      </c>
      <c r="N9" s="98">
        <f>AVERAGE(B9:M9)</f>
        <v>99.755867509454859</v>
      </c>
      <c r="O9" s="74"/>
      <c r="P9" s="74"/>
      <c r="Q9" s="74"/>
      <c r="R9" s="77" t="s">
        <v>7</v>
      </c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</row>
    <row r="10" spans="1:41" ht="19.5" customHeight="1">
      <c r="A10" s="3" t="s">
        <v>8</v>
      </c>
      <c r="B10" s="98">
        <v>98.72527208968998</v>
      </c>
      <c r="C10" s="98">
        <v>98.595002907906533</v>
      </c>
      <c r="D10" s="98">
        <v>97.544375453651938</v>
      </c>
      <c r="E10" s="98">
        <v>99.333784685557262</v>
      </c>
      <c r="F10" s="98">
        <v>100.3236327616373</v>
      </c>
      <c r="G10" s="98">
        <v>100.19703329563461</v>
      </c>
      <c r="H10" s="98">
        <v>98.397707235933723</v>
      </c>
      <c r="I10" s="98">
        <v>100</v>
      </c>
      <c r="J10" s="98">
        <v>100.85701325641783</v>
      </c>
      <c r="K10" s="98">
        <v>101.58770825837399</v>
      </c>
      <c r="L10" s="98">
        <v>101.04205975170386</v>
      </c>
      <c r="M10" s="98">
        <v>103.62404724933926</v>
      </c>
      <c r="N10" s="98">
        <f t="shared" ref="N10:N26" si="0">AVERAGE(B10:M10)</f>
        <v>100.0189697454872</v>
      </c>
      <c r="R10" s="77" t="s">
        <v>9</v>
      </c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</row>
    <row r="11" spans="1:41" ht="19.5" customHeight="1">
      <c r="A11" s="4" t="s">
        <v>10</v>
      </c>
      <c r="B11" s="98">
        <v>96.571160948920863</v>
      </c>
      <c r="C11" s="98">
        <v>95.87531844000506</v>
      </c>
      <c r="D11" s="98">
        <v>92.816138446094072</v>
      </c>
      <c r="E11" s="98">
        <v>112.93470942050918</v>
      </c>
      <c r="F11" s="98">
        <v>118.1206910490414</v>
      </c>
      <c r="G11" s="98">
        <v>116.94482509344101</v>
      </c>
      <c r="H11" s="98">
        <v>99.395505657919372</v>
      </c>
      <c r="I11" s="98">
        <v>100</v>
      </c>
      <c r="J11" s="98">
        <v>100.60210342403531</v>
      </c>
      <c r="K11" s="98">
        <v>97.2749972170798</v>
      </c>
      <c r="L11" s="98">
        <v>98.472452278260306</v>
      </c>
      <c r="M11" s="98">
        <v>97.298015747241209</v>
      </c>
      <c r="N11" s="98">
        <f t="shared" si="0"/>
        <v>102.19215981021229</v>
      </c>
      <c r="R11" s="77" t="s">
        <v>11</v>
      </c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</row>
    <row r="12" spans="1:41" ht="19.5" customHeight="1">
      <c r="A12" s="4" t="s">
        <v>12</v>
      </c>
      <c r="B12" s="98">
        <v>100.42855106519141</v>
      </c>
      <c r="C12" s="98">
        <v>100.52942598778097</v>
      </c>
      <c r="D12" s="98">
        <v>100.52173803558688</v>
      </c>
      <c r="E12" s="98">
        <v>100.47665797425576</v>
      </c>
      <c r="F12" s="98">
        <v>100.20000038951041</v>
      </c>
      <c r="G12" s="98">
        <v>100.09119554107164</v>
      </c>
      <c r="H12" s="98">
        <v>100.02054140781458</v>
      </c>
      <c r="I12" s="98">
        <v>100</v>
      </c>
      <c r="J12" s="98">
        <v>100.0989689089909</v>
      </c>
      <c r="K12" s="98">
        <v>100.10322220607213</v>
      </c>
      <c r="L12" s="98">
        <v>100.31323440765286</v>
      </c>
      <c r="M12" s="98">
        <v>100.02980569594379</v>
      </c>
      <c r="N12" s="98">
        <f t="shared" si="0"/>
        <v>100.23444513498929</v>
      </c>
      <c r="R12" s="77" t="s">
        <v>37</v>
      </c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</row>
    <row r="13" spans="1:41" ht="19.5" customHeight="1">
      <c r="A13" s="4" t="s">
        <v>86</v>
      </c>
      <c r="B13" s="98">
        <v>101.63575737489339</v>
      </c>
      <c r="C13" s="98">
        <v>100.91331083120339</v>
      </c>
      <c r="D13" s="98">
        <v>100.07225827687365</v>
      </c>
      <c r="E13" s="98">
        <v>100.01684975831706</v>
      </c>
      <c r="F13" s="98">
        <v>100.01910368699474</v>
      </c>
      <c r="G13" s="98">
        <v>99.96667115895616</v>
      </c>
      <c r="H13" s="98">
        <v>100.09909280909079</v>
      </c>
      <c r="I13" s="98">
        <v>100</v>
      </c>
      <c r="J13" s="98">
        <v>99.240522369668511</v>
      </c>
      <c r="K13" s="98">
        <v>99.249439741447901</v>
      </c>
      <c r="L13" s="98">
        <v>99.235803216147005</v>
      </c>
      <c r="M13" s="98">
        <v>99.101732920775532</v>
      </c>
      <c r="N13" s="98">
        <f t="shared" si="0"/>
        <v>99.962545178697326</v>
      </c>
      <c r="R13" s="77" t="s">
        <v>14</v>
      </c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</row>
    <row r="14" spans="1:41" ht="19.5" customHeight="1">
      <c r="A14" s="4" t="s">
        <v>87</v>
      </c>
      <c r="B14" s="98">
        <v>98.530828411558446</v>
      </c>
      <c r="C14" s="98">
        <v>98.750936260822158</v>
      </c>
      <c r="D14" s="98">
        <v>98.991207995502833</v>
      </c>
      <c r="E14" s="98">
        <v>99.011322844742892</v>
      </c>
      <c r="F14" s="98">
        <v>99.33831910242678</v>
      </c>
      <c r="G14" s="98">
        <v>99.518953895617031</v>
      </c>
      <c r="H14" s="98">
        <v>99.733492245762164</v>
      </c>
      <c r="I14" s="98">
        <v>100</v>
      </c>
      <c r="J14" s="98">
        <v>100.00756566747985</v>
      </c>
      <c r="K14" s="98">
        <v>100.5096496246604</v>
      </c>
      <c r="L14" s="98">
        <v>100.05516772439141</v>
      </c>
      <c r="M14" s="98">
        <v>100.0670517849903</v>
      </c>
      <c r="N14" s="98">
        <f t="shared" si="0"/>
        <v>99.542874629829512</v>
      </c>
      <c r="R14" s="77" t="s">
        <v>16</v>
      </c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</row>
    <row r="15" spans="1:41" ht="19.5" customHeight="1">
      <c r="A15" s="4" t="s">
        <v>88</v>
      </c>
      <c r="B15" s="98">
        <v>97.710425925579784</v>
      </c>
      <c r="C15" s="98">
        <v>98.071020240350549</v>
      </c>
      <c r="D15" s="98">
        <v>98.466264798747261</v>
      </c>
      <c r="E15" s="98">
        <v>98.509533707298999</v>
      </c>
      <c r="F15" s="98">
        <v>98.836401693351931</v>
      </c>
      <c r="G15" s="98">
        <v>99.17423825784779</v>
      </c>
      <c r="H15" s="98">
        <v>99.564576913158518</v>
      </c>
      <c r="I15" s="98">
        <v>100</v>
      </c>
      <c r="J15" s="98">
        <v>100.01137599557953</v>
      </c>
      <c r="K15" s="98">
        <v>100.8553428529962</v>
      </c>
      <c r="L15" s="98">
        <v>100.12317448562608</v>
      </c>
      <c r="M15" s="98">
        <v>100.12900225962868</v>
      </c>
      <c r="N15" s="98">
        <f t="shared" si="0"/>
        <v>99.287613094180429</v>
      </c>
      <c r="R15" s="83" t="s">
        <v>67</v>
      </c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</row>
    <row r="16" spans="1:41" ht="25.5">
      <c r="A16" s="3" t="s">
        <v>89</v>
      </c>
      <c r="B16" s="98">
        <v>101.10100824659811</v>
      </c>
      <c r="C16" s="98">
        <v>100.8126537662839</v>
      </c>
      <c r="D16" s="98">
        <v>100.66951687442011</v>
      </c>
      <c r="E16" s="98">
        <v>100.34063910339812</v>
      </c>
      <c r="F16" s="98">
        <v>100.04489936403185</v>
      </c>
      <c r="G16" s="98">
        <v>100.03491969167695</v>
      </c>
      <c r="H16" s="98">
        <v>100.0089970352936</v>
      </c>
      <c r="I16" s="98">
        <v>100</v>
      </c>
      <c r="J16" s="98">
        <v>99.945754054325988</v>
      </c>
      <c r="K16" s="98">
        <v>100.01227997086711</v>
      </c>
      <c r="L16" s="98">
        <v>98.758701563319079</v>
      </c>
      <c r="M16" s="98">
        <v>98.672342148443789</v>
      </c>
      <c r="N16" s="98">
        <f t="shared" si="0"/>
        <v>100.03347598488823</v>
      </c>
      <c r="R16" s="77" t="s">
        <v>19</v>
      </c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</row>
    <row r="17" spans="1:54" ht="19.5" customHeight="1">
      <c r="A17" s="5" t="s">
        <v>20</v>
      </c>
      <c r="B17" s="98">
        <v>97.988460561265313</v>
      </c>
      <c r="C17" s="98">
        <v>97.909674593869582</v>
      </c>
      <c r="D17" s="98">
        <v>99.913235883826673</v>
      </c>
      <c r="E17" s="98">
        <v>99.913235883826673</v>
      </c>
      <c r="F17" s="98">
        <v>99.913245626597472</v>
      </c>
      <c r="G17" s="98">
        <v>99.913245626597472</v>
      </c>
      <c r="H17" s="98">
        <v>99.867458453388309</v>
      </c>
      <c r="I17" s="98">
        <v>100</v>
      </c>
      <c r="J17" s="98">
        <v>100.00958342263036</v>
      </c>
      <c r="K17" s="98">
        <v>100.01725372493605</v>
      </c>
      <c r="L17" s="98">
        <v>100.18470132552265</v>
      </c>
      <c r="M17" s="98">
        <v>100.18467567511949</v>
      </c>
      <c r="N17" s="98">
        <f t="shared" si="0"/>
        <v>99.651230898131658</v>
      </c>
      <c r="R17" s="77" t="s">
        <v>21</v>
      </c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</row>
    <row r="18" spans="1:54" ht="19.5" customHeight="1">
      <c r="A18" s="5" t="s">
        <v>90</v>
      </c>
      <c r="B18" s="98">
        <v>97.31461209352706</v>
      </c>
      <c r="C18" s="98">
        <v>97.744275799404406</v>
      </c>
      <c r="D18" s="98">
        <v>98.127922140930551</v>
      </c>
      <c r="E18" s="98">
        <v>100.34422482465735</v>
      </c>
      <c r="F18" s="98">
        <v>100.59583772761329</v>
      </c>
      <c r="G18" s="98">
        <v>100.45942050296732</v>
      </c>
      <c r="H18" s="98">
        <v>100.30107300975178</v>
      </c>
      <c r="I18" s="98">
        <v>100</v>
      </c>
      <c r="J18" s="98">
        <v>99.142473951323609</v>
      </c>
      <c r="K18" s="98">
        <v>99.143352680763002</v>
      </c>
      <c r="L18" s="98">
        <v>98.564427236428116</v>
      </c>
      <c r="M18" s="98">
        <v>98.397266264841889</v>
      </c>
      <c r="N18" s="98">
        <f t="shared" si="0"/>
        <v>99.177907186017364</v>
      </c>
      <c r="R18" s="77" t="s">
        <v>23</v>
      </c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</row>
    <row r="19" spans="1:54" ht="19.5" customHeight="1">
      <c r="A19" s="5" t="s">
        <v>91</v>
      </c>
      <c r="B19" s="98">
        <v>101.18499088078204</v>
      </c>
      <c r="C19" s="98">
        <v>101.18499088078204</v>
      </c>
      <c r="D19" s="98">
        <v>101.18499088078204</v>
      </c>
      <c r="E19" s="98">
        <v>101.08418316964078</v>
      </c>
      <c r="F19" s="98">
        <v>100.99583950745273</v>
      </c>
      <c r="G19" s="98">
        <v>100.99583950745273</v>
      </c>
      <c r="H19" s="98">
        <v>100.65124036624229</v>
      </c>
      <c r="I19" s="98">
        <v>100</v>
      </c>
      <c r="J19" s="98">
        <v>96.983190551843947</v>
      </c>
      <c r="K19" s="98">
        <v>98.495968334166037</v>
      </c>
      <c r="L19" s="98">
        <v>99.71415071506317</v>
      </c>
      <c r="M19" s="98">
        <v>100.61115827419488</v>
      </c>
      <c r="N19" s="98">
        <f t="shared" si="0"/>
        <v>100.25721192236689</v>
      </c>
      <c r="R19" s="77" t="s">
        <v>25</v>
      </c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</row>
    <row r="20" spans="1:54" ht="19.5" customHeight="1">
      <c r="A20" s="6" t="s">
        <v>92</v>
      </c>
      <c r="B20" s="98">
        <v>101.25208033686941</v>
      </c>
      <c r="C20" s="98">
        <v>101.52157022676094</v>
      </c>
      <c r="D20" s="98">
        <v>100.94048980696748</v>
      </c>
      <c r="E20" s="98">
        <v>100.30368239196793</v>
      </c>
      <c r="F20" s="98">
        <v>100.07743188427669</v>
      </c>
      <c r="G20" s="98">
        <v>100.02555560010309</v>
      </c>
      <c r="H20" s="98">
        <v>99.995601277725228</v>
      </c>
      <c r="I20" s="98">
        <v>100</v>
      </c>
      <c r="J20" s="98">
        <v>100.21210675489922</v>
      </c>
      <c r="K20" s="98">
        <v>100.27707536928459</v>
      </c>
      <c r="L20" s="98">
        <v>100.27707536928459</v>
      </c>
      <c r="M20" s="98">
        <v>100.23426961662503</v>
      </c>
      <c r="N20" s="98">
        <f t="shared" si="0"/>
        <v>100.42641155289699</v>
      </c>
      <c r="R20" s="78" t="s">
        <v>27</v>
      </c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</row>
    <row r="21" spans="1:54" ht="19.5" customHeight="1">
      <c r="A21" s="4" t="s">
        <v>93</v>
      </c>
      <c r="B21" s="98">
        <v>99.981995651943606</v>
      </c>
      <c r="C21" s="98">
        <v>99.973098447172987</v>
      </c>
      <c r="D21" s="98">
        <v>99.973098447172987</v>
      </c>
      <c r="E21" s="98">
        <v>99.973098447172987</v>
      </c>
      <c r="F21" s="98">
        <v>99.973098447172987</v>
      </c>
      <c r="G21" s="98">
        <v>99.973098447172987</v>
      </c>
      <c r="H21" s="98">
        <v>100</v>
      </c>
      <c r="I21" s="98">
        <v>100</v>
      </c>
      <c r="J21" s="98">
        <v>100.02441209137115</v>
      </c>
      <c r="K21" s="98">
        <v>100.02441209137115</v>
      </c>
      <c r="L21" s="98">
        <v>100.03756931194668</v>
      </c>
      <c r="M21" s="98">
        <v>100.03756931194668</v>
      </c>
      <c r="N21" s="98">
        <f t="shared" si="0"/>
        <v>99.997620891203681</v>
      </c>
      <c r="R21" s="78" t="s">
        <v>29</v>
      </c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</row>
    <row r="22" spans="1:54" ht="19.5" customHeight="1">
      <c r="A22" s="4" t="s">
        <v>94</v>
      </c>
      <c r="B22" s="98">
        <v>95.651577220980428</v>
      </c>
      <c r="C22" s="98">
        <v>96.283300099026192</v>
      </c>
      <c r="D22" s="98">
        <v>96.283300099026192</v>
      </c>
      <c r="E22" s="98">
        <v>100.24404414724025</v>
      </c>
      <c r="F22" s="98">
        <v>100.24404414724025</v>
      </c>
      <c r="G22" s="98">
        <v>100.25131698034977</v>
      </c>
      <c r="H22" s="98">
        <v>100.25131698034977</v>
      </c>
      <c r="I22" s="98">
        <v>100</v>
      </c>
      <c r="J22" s="98">
        <v>100</v>
      </c>
      <c r="K22" s="98">
        <v>99.98066523412983</v>
      </c>
      <c r="L22" s="98">
        <v>100.33773159932989</v>
      </c>
      <c r="M22" s="98">
        <v>100.33773159932989</v>
      </c>
      <c r="N22" s="98">
        <f t="shared" si="0"/>
        <v>99.155419008916851</v>
      </c>
      <c r="R22" s="78" t="s">
        <v>31</v>
      </c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T22" s="73"/>
      <c r="AU22" s="73"/>
      <c r="AV22" s="73"/>
    </row>
    <row r="23" spans="1:54" ht="19.5" customHeight="1">
      <c r="A23" s="4" t="s">
        <v>95</v>
      </c>
      <c r="B23" s="98" t="s">
        <v>3</v>
      </c>
      <c r="C23" s="98" t="s">
        <v>3</v>
      </c>
      <c r="D23" s="98" t="s">
        <v>3</v>
      </c>
      <c r="E23" s="98" t="s">
        <v>3</v>
      </c>
      <c r="F23" s="98" t="s">
        <v>3</v>
      </c>
      <c r="G23" s="98" t="s">
        <v>3</v>
      </c>
      <c r="H23" s="98" t="s">
        <v>3</v>
      </c>
      <c r="I23" s="98">
        <v>100</v>
      </c>
      <c r="J23" s="98">
        <v>100</v>
      </c>
      <c r="K23" s="98">
        <v>100</v>
      </c>
      <c r="L23" s="98">
        <v>100</v>
      </c>
      <c r="M23" s="98">
        <v>100</v>
      </c>
      <c r="N23" s="98">
        <f t="shared" si="0"/>
        <v>100</v>
      </c>
      <c r="R23" s="75" t="s">
        <v>98</v>
      </c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T23" s="73"/>
      <c r="AU23" s="73"/>
      <c r="AV23" s="73"/>
    </row>
    <row r="24" spans="1:54" s="73" customFormat="1" ht="25.5" customHeight="1">
      <c r="A24" s="6" t="s">
        <v>96</v>
      </c>
      <c r="B24" s="98">
        <v>99.910216731944558</v>
      </c>
      <c r="C24" s="98">
        <v>100.18774609406221</v>
      </c>
      <c r="D24" s="98">
        <v>100.00496384757864</v>
      </c>
      <c r="E24" s="98">
        <v>99.920472969321011</v>
      </c>
      <c r="F24" s="98">
        <v>99.963013902141711</v>
      </c>
      <c r="G24" s="98">
        <v>100.0385370538128</v>
      </c>
      <c r="H24" s="98">
        <v>100.01416411116423</v>
      </c>
      <c r="I24" s="98">
        <v>100</v>
      </c>
      <c r="J24" s="98">
        <v>99.804364031986623</v>
      </c>
      <c r="K24" s="98">
        <v>99.905946231109866</v>
      </c>
      <c r="L24" s="98">
        <v>99.899567362969194</v>
      </c>
      <c r="M24" s="98">
        <v>99.959706475282303</v>
      </c>
      <c r="N24" s="98">
        <f t="shared" si="0"/>
        <v>99.967391567614428</v>
      </c>
      <c r="O24" s="14"/>
      <c r="P24" s="14"/>
      <c r="Q24" s="14"/>
      <c r="R24" s="78" t="s">
        <v>32</v>
      </c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P24" s="14"/>
      <c r="AQ24" s="14"/>
      <c r="AR24" s="14"/>
      <c r="AS24" s="14"/>
    </row>
    <row r="25" spans="1:54" s="36" customFormat="1" ht="19.5" customHeight="1">
      <c r="A25" s="7" t="s">
        <v>33</v>
      </c>
      <c r="B25" s="106">
        <v>99.024145997101201</v>
      </c>
      <c r="C25" s="106">
        <v>99.344804114687122</v>
      </c>
      <c r="D25" s="106">
        <v>99.132707625477963</v>
      </c>
      <c r="E25" s="106">
        <v>99.533742480414617</v>
      </c>
      <c r="F25" s="106">
        <v>99.847391328514448</v>
      </c>
      <c r="G25" s="106">
        <v>100.09029082934444</v>
      </c>
      <c r="H25" s="106">
        <v>99.363852263327374</v>
      </c>
      <c r="I25" s="106">
        <v>100</v>
      </c>
      <c r="J25" s="106">
        <v>99.76655720061612</v>
      </c>
      <c r="K25" s="106">
        <v>100.04280196173474</v>
      </c>
      <c r="L25" s="106">
        <v>99.911763852084249</v>
      </c>
      <c r="M25" s="106">
        <v>100.39026462014091</v>
      </c>
      <c r="N25" s="98">
        <f t="shared" si="0"/>
        <v>99.704026856120265</v>
      </c>
      <c r="R25" s="79" t="s">
        <v>34</v>
      </c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P25" s="15"/>
      <c r="AQ25" s="15"/>
      <c r="AR25" s="15"/>
      <c r="AS25" s="15"/>
    </row>
    <row r="26" spans="1:54" s="36" customFormat="1" ht="19.5" customHeight="1">
      <c r="A26" s="9" t="s">
        <v>35</v>
      </c>
      <c r="B26" s="107">
        <v>99.151742958243531</v>
      </c>
      <c r="C26" s="107">
        <v>99.209087156021823</v>
      </c>
      <c r="D26" s="107">
        <v>99.115137666694125</v>
      </c>
      <c r="E26" s="107">
        <v>99.726288117342222</v>
      </c>
      <c r="F26" s="107">
        <v>99.996523239683938</v>
      </c>
      <c r="G26" s="107">
        <v>100.00386408506665</v>
      </c>
      <c r="H26" s="107">
        <v>99.63156249203395</v>
      </c>
      <c r="I26" s="107">
        <v>100</v>
      </c>
      <c r="J26" s="107">
        <v>99.730801532133384</v>
      </c>
      <c r="K26" s="107">
        <v>100.16124509043421</v>
      </c>
      <c r="L26" s="107">
        <v>99.973356551607665</v>
      </c>
      <c r="M26" s="107">
        <v>100.52259174037253</v>
      </c>
      <c r="N26" s="99">
        <f t="shared" si="0"/>
        <v>99.768516719136173</v>
      </c>
      <c r="O26" s="45"/>
      <c r="P26" s="45"/>
      <c r="Q26" s="45"/>
      <c r="R26" s="80" t="s">
        <v>36</v>
      </c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P26" s="15"/>
      <c r="AQ26" s="15"/>
      <c r="AR26" s="15"/>
      <c r="AS26" s="15"/>
    </row>
    <row r="27" spans="1:54"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</row>
    <row r="28" spans="1:54">
      <c r="A28" s="46"/>
      <c r="B28" s="100"/>
      <c r="C28" s="100"/>
      <c r="D28" s="100"/>
      <c r="E28" s="100"/>
      <c r="F28" s="101"/>
      <c r="G28" s="100"/>
      <c r="H28" s="100"/>
      <c r="I28" s="67"/>
      <c r="J28" s="102"/>
      <c r="K28" s="102"/>
      <c r="L28" s="102"/>
      <c r="M28" s="47"/>
      <c r="N28" s="67"/>
    </row>
    <row r="29" spans="1:54">
      <c r="A29" s="33"/>
      <c r="B29" s="71" t="s">
        <v>82</v>
      </c>
      <c r="C29" s="72"/>
      <c r="D29" s="72"/>
      <c r="E29" s="72"/>
      <c r="F29" s="69"/>
      <c r="G29" s="103"/>
      <c r="H29" s="38"/>
      <c r="I29" s="38"/>
      <c r="J29" s="38"/>
      <c r="K29" s="38"/>
      <c r="L29" s="38"/>
      <c r="M29" s="103"/>
      <c r="N29" s="81" t="s">
        <v>85</v>
      </c>
      <c r="O29" s="16"/>
      <c r="P29" s="16"/>
      <c r="Q29" s="16"/>
      <c r="R29" s="85" t="s">
        <v>63</v>
      </c>
    </row>
    <row r="30" spans="1:54" s="41" customFormat="1">
      <c r="A30" s="39" t="s">
        <v>64</v>
      </c>
      <c r="B30" s="86" t="s">
        <v>38</v>
      </c>
      <c r="C30" s="86" t="s">
        <v>39</v>
      </c>
      <c r="D30" s="86" t="s">
        <v>40</v>
      </c>
      <c r="E30" s="86" t="s">
        <v>41</v>
      </c>
      <c r="F30" s="86" t="s">
        <v>42</v>
      </c>
      <c r="G30" s="87" t="s">
        <v>43</v>
      </c>
      <c r="H30" s="87" t="s">
        <v>44</v>
      </c>
      <c r="I30" s="87" t="s">
        <v>45</v>
      </c>
      <c r="J30" s="87" t="s">
        <v>46</v>
      </c>
      <c r="K30" s="87" t="s">
        <v>47</v>
      </c>
      <c r="L30" s="87" t="s">
        <v>48</v>
      </c>
      <c r="M30" s="87" t="s">
        <v>49</v>
      </c>
      <c r="N30" s="104" t="s">
        <v>50</v>
      </c>
      <c r="O30" s="48"/>
      <c r="P30" s="48"/>
      <c r="Q30" s="48"/>
      <c r="R30" s="93" t="s">
        <v>68</v>
      </c>
    </row>
    <row r="31" spans="1:54" s="41" customFormat="1" ht="18" customHeight="1">
      <c r="A31" s="42" t="s">
        <v>2</v>
      </c>
      <c r="B31" s="89" t="s">
        <v>51</v>
      </c>
      <c r="C31" s="90" t="s">
        <v>52</v>
      </c>
      <c r="D31" s="90" t="s">
        <v>53</v>
      </c>
      <c r="E31" s="90" t="s">
        <v>54</v>
      </c>
      <c r="F31" s="90" t="s">
        <v>55</v>
      </c>
      <c r="G31" s="90" t="s">
        <v>56</v>
      </c>
      <c r="H31" s="90" t="s">
        <v>57</v>
      </c>
      <c r="I31" s="90" t="s">
        <v>58</v>
      </c>
      <c r="J31" s="90" t="s">
        <v>59</v>
      </c>
      <c r="K31" s="90" t="s">
        <v>60</v>
      </c>
      <c r="L31" s="90" t="s">
        <v>61</v>
      </c>
      <c r="M31" s="90" t="s">
        <v>62</v>
      </c>
      <c r="N31" s="91" t="s">
        <v>66</v>
      </c>
      <c r="O31" s="43"/>
      <c r="P31" s="43"/>
      <c r="Q31" s="43"/>
      <c r="R31" s="95"/>
    </row>
    <row r="32" spans="1:54" ht="19.5" customHeight="1">
      <c r="A32" s="3" t="s">
        <v>6</v>
      </c>
      <c r="B32" s="98">
        <v>98.176816895513952</v>
      </c>
      <c r="C32" s="98">
        <v>98.536046200726346</v>
      </c>
      <c r="D32" s="98">
        <v>97.320441221548876</v>
      </c>
      <c r="E32" s="98">
        <v>98.107166956033865</v>
      </c>
      <c r="F32" s="98">
        <v>98.902637486014001</v>
      </c>
      <c r="G32" s="98">
        <v>100.81127629827806</v>
      </c>
      <c r="H32" s="98">
        <v>97.001154641736093</v>
      </c>
      <c r="I32" s="98">
        <v>100</v>
      </c>
      <c r="J32" s="98">
        <v>100.67790490751145</v>
      </c>
      <c r="K32" s="98">
        <v>101.17626866225608</v>
      </c>
      <c r="L32" s="98">
        <v>100.54454183800893</v>
      </c>
      <c r="M32" s="98">
        <v>101.78565147245763</v>
      </c>
      <c r="N32" s="98">
        <f>AVERAGE(B32:M32)</f>
        <v>99.419992215007099</v>
      </c>
      <c r="O32" s="74"/>
      <c r="P32" s="74"/>
      <c r="Q32" s="74"/>
      <c r="R32" s="77" t="s">
        <v>7</v>
      </c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</row>
    <row r="33" spans="1:54" ht="19.5" customHeight="1">
      <c r="A33" s="3" t="s">
        <v>8</v>
      </c>
      <c r="B33" s="98">
        <v>99.010165786415513</v>
      </c>
      <c r="C33" s="98">
        <v>98.580516857136232</v>
      </c>
      <c r="D33" s="98">
        <v>97.144788119095296</v>
      </c>
      <c r="E33" s="98">
        <v>97.640304261124498</v>
      </c>
      <c r="F33" s="98">
        <v>99.219342763580613</v>
      </c>
      <c r="G33" s="98">
        <v>99.166409562953703</v>
      </c>
      <c r="H33" s="98">
        <v>98.107492218926296</v>
      </c>
      <c r="I33" s="98">
        <v>100</v>
      </c>
      <c r="J33" s="98">
        <v>101.16428482398543</v>
      </c>
      <c r="K33" s="98">
        <v>101.37248511407023</v>
      </c>
      <c r="L33" s="98">
        <v>100.81794363192336</v>
      </c>
      <c r="M33" s="98">
        <v>102.39981558796283</v>
      </c>
      <c r="N33" s="98">
        <f t="shared" ref="N33:N49" si="1">AVERAGE(B33:M33)</f>
        <v>99.551962393931163</v>
      </c>
      <c r="R33" s="77" t="s">
        <v>9</v>
      </c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</row>
    <row r="34" spans="1:54" ht="19.5" customHeight="1">
      <c r="A34" s="4" t="s">
        <v>10</v>
      </c>
      <c r="B34" s="98">
        <v>96.865420632598358</v>
      </c>
      <c r="C34" s="98">
        <v>93.834717187453393</v>
      </c>
      <c r="D34" s="98">
        <v>96.215674238627443</v>
      </c>
      <c r="E34" s="98">
        <v>103.85794754105237</v>
      </c>
      <c r="F34" s="98">
        <v>108.66093018798422</v>
      </c>
      <c r="G34" s="98">
        <v>109.33015120947682</v>
      </c>
      <c r="H34" s="98">
        <v>99.282455682266203</v>
      </c>
      <c r="I34" s="98">
        <v>100</v>
      </c>
      <c r="J34" s="98">
        <v>98.411672298973301</v>
      </c>
      <c r="K34" s="98">
        <v>100.26202013683069</v>
      </c>
      <c r="L34" s="98">
        <v>99.270656877681162</v>
      </c>
      <c r="M34" s="98">
        <v>98.924022736546732</v>
      </c>
      <c r="N34" s="98">
        <f t="shared" si="1"/>
        <v>100.40963906079088</v>
      </c>
      <c r="R34" s="77" t="s">
        <v>11</v>
      </c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</row>
    <row r="35" spans="1:54" ht="19.5" customHeight="1">
      <c r="A35" s="4" t="s">
        <v>12</v>
      </c>
      <c r="B35" s="98">
        <v>99.804390316344225</v>
      </c>
      <c r="C35" s="98">
        <v>100.19691605407431</v>
      </c>
      <c r="D35" s="98">
        <v>100.16700060007302</v>
      </c>
      <c r="E35" s="98">
        <v>99.991584511746225</v>
      </c>
      <c r="F35" s="98">
        <v>100.01359078510876</v>
      </c>
      <c r="G35" s="98">
        <v>100.15453969523634</v>
      </c>
      <c r="H35" s="98">
        <v>99.879609464129757</v>
      </c>
      <c r="I35" s="98">
        <v>100</v>
      </c>
      <c r="J35" s="98">
        <v>99.913403834528808</v>
      </c>
      <c r="K35" s="98">
        <v>99.846926686688761</v>
      </c>
      <c r="L35" s="98">
        <v>99.757131313828765</v>
      </c>
      <c r="M35" s="98">
        <v>99.684834236563674</v>
      </c>
      <c r="N35" s="98">
        <f t="shared" si="1"/>
        <v>99.950827291526878</v>
      </c>
      <c r="R35" s="77" t="s">
        <v>37</v>
      </c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</row>
    <row r="36" spans="1:54" ht="19.5" customHeight="1">
      <c r="A36" s="4" t="s">
        <v>86</v>
      </c>
      <c r="B36" s="98">
        <v>103.70566386280412</v>
      </c>
      <c r="C36" s="98">
        <v>101.65460482415097</v>
      </c>
      <c r="D36" s="98">
        <v>100.50665555154082</v>
      </c>
      <c r="E36" s="98">
        <v>100.3895188814538</v>
      </c>
      <c r="F36" s="98">
        <v>100.35009865578408</v>
      </c>
      <c r="G36" s="98">
        <v>100.20694242639311</v>
      </c>
      <c r="H36" s="98">
        <v>100.20694242639311</v>
      </c>
      <c r="I36" s="98">
        <v>100</v>
      </c>
      <c r="J36" s="98">
        <v>99.905097643546895</v>
      </c>
      <c r="K36" s="98">
        <v>99.92297358480171</v>
      </c>
      <c r="L36" s="98">
        <v>99.922886124681497</v>
      </c>
      <c r="M36" s="98">
        <v>99.922886124681497</v>
      </c>
      <c r="N36" s="98">
        <f t="shared" si="1"/>
        <v>100.55785584218597</v>
      </c>
      <c r="R36" s="77" t="s">
        <v>14</v>
      </c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</row>
    <row r="37" spans="1:54" ht="19.5" customHeight="1">
      <c r="A37" s="4" t="s">
        <v>87</v>
      </c>
      <c r="B37" s="98">
        <v>98.166478829588883</v>
      </c>
      <c r="C37" s="98">
        <v>98.4629228648555</v>
      </c>
      <c r="D37" s="98">
        <v>98.791821777479072</v>
      </c>
      <c r="E37" s="98">
        <v>98.823516807814258</v>
      </c>
      <c r="F37" s="98">
        <v>99.094249983233112</v>
      </c>
      <c r="G37" s="98">
        <v>99.341514136635155</v>
      </c>
      <c r="H37" s="98">
        <v>99.635187590038143</v>
      </c>
      <c r="I37" s="98">
        <v>100</v>
      </c>
      <c r="J37" s="98">
        <v>100.00420643497962</v>
      </c>
      <c r="K37" s="98">
        <v>100.62943509706399</v>
      </c>
      <c r="L37" s="98">
        <v>100.07749580008418</v>
      </c>
      <c r="M37" s="98">
        <v>100.08192400131517</v>
      </c>
      <c r="N37" s="98">
        <f t="shared" si="1"/>
        <v>99.425729443590583</v>
      </c>
      <c r="R37" s="77" t="s">
        <v>16</v>
      </c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</row>
    <row r="38" spans="1:54" ht="19.5" customHeight="1">
      <c r="A38" s="4" t="s">
        <v>88</v>
      </c>
      <c r="B38" s="98">
        <v>97.607751060869276</v>
      </c>
      <c r="C38" s="98">
        <v>97.984516056858922</v>
      </c>
      <c r="D38" s="98">
        <v>98.397485170234773</v>
      </c>
      <c r="E38" s="98">
        <v>98.442694452492447</v>
      </c>
      <c r="F38" s="98">
        <v>98.784220678530318</v>
      </c>
      <c r="G38" s="98">
        <v>99.137207363715191</v>
      </c>
      <c r="H38" s="98">
        <v>99.545050571105307</v>
      </c>
      <c r="I38" s="98">
        <v>100</v>
      </c>
      <c r="J38" s="98">
        <v>100.01137599559311</v>
      </c>
      <c r="K38" s="98">
        <v>100.85534285221345</v>
      </c>
      <c r="L38" s="98">
        <v>100.12317449012853</v>
      </c>
      <c r="M38" s="98">
        <v>100.12900226419102</v>
      </c>
      <c r="N38" s="98">
        <f t="shared" si="1"/>
        <v>99.251485079661038</v>
      </c>
      <c r="R38" s="83" t="s">
        <v>67</v>
      </c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</row>
    <row r="39" spans="1:54" ht="25.5">
      <c r="A39" s="3" t="s">
        <v>89</v>
      </c>
      <c r="B39" s="98">
        <v>101.91561480144074</v>
      </c>
      <c r="C39" s="98">
        <v>101.50031470088076</v>
      </c>
      <c r="D39" s="98">
        <v>101.23102960320485</v>
      </c>
      <c r="E39" s="98">
        <v>100.54682068779483</v>
      </c>
      <c r="F39" s="98">
        <v>99.809220001344158</v>
      </c>
      <c r="G39" s="98">
        <v>99.989048498929861</v>
      </c>
      <c r="H39" s="98">
        <v>100.03072852838211</v>
      </c>
      <c r="I39" s="98">
        <v>100</v>
      </c>
      <c r="J39" s="98">
        <v>99.678240517216651</v>
      </c>
      <c r="K39" s="98">
        <v>99.887754787175012</v>
      </c>
      <c r="L39" s="98">
        <v>97.179609630751699</v>
      </c>
      <c r="M39" s="98">
        <v>97.179609630751699</v>
      </c>
      <c r="N39" s="98">
        <f t="shared" si="1"/>
        <v>99.912332615656041</v>
      </c>
      <c r="R39" s="77" t="s">
        <v>19</v>
      </c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</row>
    <row r="40" spans="1:54" ht="19.5" customHeight="1">
      <c r="A40" s="5" t="s">
        <v>20</v>
      </c>
      <c r="B40" s="98">
        <v>93.521063921414083</v>
      </c>
      <c r="C40" s="98">
        <v>93.509173089692581</v>
      </c>
      <c r="D40" s="98">
        <v>99.99998532916004</v>
      </c>
      <c r="E40" s="98">
        <v>99.99998532916004</v>
      </c>
      <c r="F40" s="98">
        <v>100</v>
      </c>
      <c r="G40" s="98">
        <v>100</v>
      </c>
      <c r="H40" s="98">
        <v>100</v>
      </c>
      <c r="I40" s="98">
        <v>100</v>
      </c>
      <c r="J40" s="98">
        <v>100</v>
      </c>
      <c r="K40" s="98">
        <v>100.00171429194947</v>
      </c>
      <c r="L40" s="98">
        <v>100.00171429194947</v>
      </c>
      <c r="M40" s="98">
        <v>100.00171429194947</v>
      </c>
      <c r="N40" s="98">
        <f t="shared" si="1"/>
        <v>98.919612545439591</v>
      </c>
      <c r="R40" s="77" t="s">
        <v>21</v>
      </c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</row>
    <row r="41" spans="1:54" ht="19.5" customHeight="1">
      <c r="A41" s="5" t="s">
        <v>90</v>
      </c>
      <c r="B41" s="98">
        <v>96.645583164679323</v>
      </c>
      <c r="C41" s="98">
        <v>96.652729986603759</v>
      </c>
      <c r="D41" s="98">
        <v>96.762699590411714</v>
      </c>
      <c r="E41" s="98">
        <v>100.05038810498054</v>
      </c>
      <c r="F41" s="98">
        <v>100.0960222168556</v>
      </c>
      <c r="G41" s="98">
        <v>100.07129230517549</v>
      </c>
      <c r="H41" s="98">
        <v>100</v>
      </c>
      <c r="I41" s="98">
        <v>100</v>
      </c>
      <c r="J41" s="98">
        <v>100.10490703387462</v>
      </c>
      <c r="K41" s="98">
        <v>100.10677776304283</v>
      </c>
      <c r="L41" s="98">
        <v>100.12154777388689</v>
      </c>
      <c r="M41" s="98">
        <v>100.12154777388689</v>
      </c>
      <c r="N41" s="98">
        <f t="shared" si="1"/>
        <v>99.227791309449813</v>
      </c>
      <c r="R41" s="77" t="s">
        <v>23</v>
      </c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</row>
    <row r="42" spans="1:54" ht="19.5" customHeight="1">
      <c r="A42" s="5" t="s">
        <v>91</v>
      </c>
      <c r="B42" s="98">
        <v>101.16247884476881</v>
      </c>
      <c r="C42" s="98">
        <v>101.16247884476881</v>
      </c>
      <c r="D42" s="98">
        <v>101.16247884476881</v>
      </c>
      <c r="E42" s="98">
        <v>100.94744631095037</v>
      </c>
      <c r="F42" s="98">
        <v>100.75900079113806</v>
      </c>
      <c r="G42" s="98">
        <v>100.75900079113806</v>
      </c>
      <c r="H42" s="98">
        <v>100</v>
      </c>
      <c r="I42" s="98">
        <v>100</v>
      </c>
      <c r="J42" s="98">
        <v>96.960944136462572</v>
      </c>
      <c r="K42" s="98">
        <v>98.479753398057525</v>
      </c>
      <c r="L42" s="98">
        <v>99.694923321818962</v>
      </c>
      <c r="M42" s="98">
        <v>100.70880274268255</v>
      </c>
      <c r="N42" s="98">
        <f t="shared" si="1"/>
        <v>100.14977566887954</v>
      </c>
      <c r="R42" s="77" t="s">
        <v>25</v>
      </c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</row>
    <row r="43" spans="1:54" ht="19.5" customHeight="1">
      <c r="A43" s="6" t="s">
        <v>92</v>
      </c>
      <c r="B43" s="98">
        <v>101.55831713620734</v>
      </c>
      <c r="C43" s="98">
        <v>101.87600228926992</v>
      </c>
      <c r="D43" s="98">
        <v>101.30207864380243</v>
      </c>
      <c r="E43" s="98">
        <v>100.26084705904562</v>
      </c>
      <c r="F43" s="98">
        <v>100.0652806915469</v>
      </c>
      <c r="G43" s="98">
        <v>100.02426598003922</v>
      </c>
      <c r="H43" s="98">
        <v>100</v>
      </c>
      <c r="I43" s="98">
        <v>100</v>
      </c>
      <c r="J43" s="98">
        <v>100.05381711509304</v>
      </c>
      <c r="K43" s="98">
        <v>100.04034267243077</v>
      </c>
      <c r="L43" s="98">
        <v>100.04034267243077</v>
      </c>
      <c r="M43" s="98">
        <v>100.04034267243077</v>
      </c>
      <c r="N43" s="98">
        <f t="shared" si="1"/>
        <v>100.43846974435807</v>
      </c>
      <c r="R43" s="78" t="s">
        <v>27</v>
      </c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</row>
    <row r="44" spans="1:54" ht="19.5" customHeight="1">
      <c r="A44" s="4" t="s">
        <v>93</v>
      </c>
      <c r="B44" s="98">
        <v>99.953660680106182</v>
      </c>
      <c r="C44" s="98">
        <v>99.953660680106182</v>
      </c>
      <c r="D44" s="98">
        <v>99.953660680106182</v>
      </c>
      <c r="E44" s="98">
        <v>99.953660680106182</v>
      </c>
      <c r="F44" s="98">
        <v>99.953660680106182</v>
      </c>
      <c r="G44" s="98">
        <v>99.953660680106182</v>
      </c>
      <c r="H44" s="98">
        <v>100</v>
      </c>
      <c r="I44" s="98">
        <v>100</v>
      </c>
      <c r="J44" s="98">
        <v>99.999999621514505</v>
      </c>
      <c r="K44" s="98">
        <v>99.999999621514505</v>
      </c>
      <c r="L44" s="98">
        <v>99.999999621514505</v>
      </c>
      <c r="M44" s="98">
        <v>99.999999621514505</v>
      </c>
      <c r="N44" s="98">
        <f t="shared" si="1"/>
        <v>99.976830213891262</v>
      </c>
      <c r="R44" s="78" t="s">
        <v>29</v>
      </c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</row>
    <row r="45" spans="1:54" ht="19.5" customHeight="1">
      <c r="A45" s="4" t="s">
        <v>94</v>
      </c>
      <c r="B45" s="98">
        <v>93.915232196003075</v>
      </c>
      <c r="C45" s="98">
        <v>93.929555409570426</v>
      </c>
      <c r="D45" s="98">
        <v>93.929555409570426</v>
      </c>
      <c r="E45" s="98">
        <v>100</v>
      </c>
      <c r="F45" s="98">
        <v>100</v>
      </c>
      <c r="G45" s="98">
        <v>100</v>
      </c>
      <c r="H45" s="98">
        <v>100</v>
      </c>
      <c r="I45" s="98">
        <v>100</v>
      </c>
      <c r="J45" s="98">
        <v>100</v>
      </c>
      <c r="K45" s="98">
        <v>100</v>
      </c>
      <c r="L45" s="98">
        <v>100.53051422310951</v>
      </c>
      <c r="M45" s="98">
        <v>100.53051422310951</v>
      </c>
      <c r="N45" s="98">
        <f t="shared" si="1"/>
        <v>98.569614288446914</v>
      </c>
      <c r="R45" s="78" t="s">
        <v>31</v>
      </c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P45" s="49"/>
      <c r="AQ45" s="49"/>
      <c r="AR45" s="49"/>
      <c r="AS45" s="49"/>
      <c r="AT45" s="19"/>
      <c r="AU45" s="19"/>
      <c r="AV45" s="19"/>
      <c r="AW45" s="49"/>
      <c r="AX45" s="49"/>
      <c r="AY45" s="49"/>
      <c r="AZ45" s="49"/>
      <c r="BA45" s="49"/>
      <c r="BB45" s="49"/>
    </row>
    <row r="46" spans="1:54" ht="19.5" customHeight="1">
      <c r="A46" s="4" t="s">
        <v>95</v>
      </c>
      <c r="B46" s="98" t="s">
        <v>3</v>
      </c>
      <c r="C46" s="98" t="s">
        <v>3</v>
      </c>
      <c r="D46" s="98" t="s">
        <v>3</v>
      </c>
      <c r="E46" s="98" t="s">
        <v>3</v>
      </c>
      <c r="F46" s="98" t="s">
        <v>3</v>
      </c>
      <c r="G46" s="98" t="s">
        <v>3</v>
      </c>
      <c r="H46" s="98" t="s">
        <v>3</v>
      </c>
      <c r="I46" s="98">
        <v>100</v>
      </c>
      <c r="J46" s="98">
        <v>100</v>
      </c>
      <c r="K46" s="98">
        <v>100</v>
      </c>
      <c r="L46" s="98">
        <v>100</v>
      </c>
      <c r="M46" s="98">
        <v>100</v>
      </c>
      <c r="N46" s="98">
        <f>AVERAGE(B46:M46)</f>
        <v>100</v>
      </c>
      <c r="R46" s="75" t="s">
        <v>98</v>
      </c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P46" s="49"/>
      <c r="AQ46" s="49"/>
      <c r="AR46" s="49"/>
      <c r="AS46" s="49"/>
      <c r="AT46" s="19"/>
      <c r="AU46" s="19"/>
      <c r="AV46" s="19"/>
      <c r="AW46" s="49"/>
      <c r="AX46" s="49"/>
      <c r="AY46" s="49"/>
      <c r="AZ46" s="49"/>
      <c r="BA46" s="49"/>
      <c r="BB46" s="49"/>
    </row>
    <row r="47" spans="1:54" s="73" customFormat="1" ht="25.5" customHeight="1">
      <c r="A47" s="6" t="s">
        <v>96</v>
      </c>
      <c r="B47" s="98">
        <v>99.735318075468953</v>
      </c>
      <c r="C47" s="98">
        <v>100.29627269092012</v>
      </c>
      <c r="D47" s="98">
        <v>100.20025264779441</v>
      </c>
      <c r="E47" s="98">
        <v>99.932125775893738</v>
      </c>
      <c r="F47" s="98">
        <v>99.958974300376497</v>
      </c>
      <c r="G47" s="98">
        <v>100.01324151421788</v>
      </c>
      <c r="H47" s="98">
        <v>100.00939177808905</v>
      </c>
      <c r="I47" s="98">
        <v>100</v>
      </c>
      <c r="J47" s="98">
        <v>100.01105745663759</v>
      </c>
      <c r="K47" s="98">
        <v>99.998838559466975</v>
      </c>
      <c r="L47" s="98">
        <v>99.961950361506396</v>
      </c>
      <c r="M47" s="98">
        <v>100.0714279341441</v>
      </c>
      <c r="N47" s="98">
        <f t="shared" si="1"/>
        <v>100.01573759120964</v>
      </c>
      <c r="O47" s="14"/>
      <c r="P47" s="14"/>
      <c r="Q47" s="14"/>
      <c r="R47" s="78" t="s">
        <v>32</v>
      </c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P47" s="49"/>
      <c r="AQ47" s="49"/>
      <c r="AR47" s="49"/>
      <c r="AS47" s="49"/>
      <c r="AT47" s="19"/>
      <c r="AU47" s="19"/>
      <c r="AV47" s="19"/>
      <c r="AW47" s="19"/>
      <c r="AX47" s="19"/>
      <c r="AY47" s="19"/>
      <c r="AZ47" s="19"/>
      <c r="BA47" s="19"/>
      <c r="BB47" s="19"/>
    </row>
    <row r="48" spans="1:54" ht="19.5" customHeight="1">
      <c r="A48" s="7" t="s">
        <v>33</v>
      </c>
      <c r="B48" s="106">
        <v>98.488306201208104</v>
      </c>
      <c r="C48" s="106">
        <v>98.64755952751733</v>
      </c>
      <c r="D48" s="106">
        <v>98.693792714503061</v>
      </c>
      <c r="E48" s="106">
        <v>99.237648532476655</v>
      </c>
      <c r="F48" s="106">
        <v>99.457616443260548</v>
      </c>
      <c r="G48" s="106">
        <v>99.986352642294818</v>
      </c>
      <c r="H48" s="106">
        <v>99.199853312068853</v>
      </c>
      <c r="I48" s="106">
        <v>100</v>
      </c>
      <c r="J48" s="106">
        <v>99.829303031116524</v>
      </c>
      <c r="K48" s="106">
        <v>100.27272349239199</v>
      </c>
      <c r="L48" s="106">
        <v>99.972932972537805</v>
      </c>
      <c r="M48" s="106">
        <v>100.30183987752945</v>
      </c>
      <c r="N48" s="98">
        <f t="shared" si="1"/>
        <v>99.507327395575416</v>
      </c>
      <c r="R48" s="79" t="s">
        <v>34</v>
      </c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P48" s="19"/>
      <c r="AQ48" s="19"/>
      <c r="AR48" s="19"/>
      <c r="AS48" s="19"/>
      <c r="AT48" s="49"/>
      <c r="AU48" s="49"/>
      <c r="AV48" s="49"/>
      <c r="AW48" s="49"/>
      <c r="AX48" s="49"/>
      <c r="AY48" s="49"/>
      <c r="AZ48" s="49"/>
      <c r="BA48" s="49"/>
      <c r="BB48" s="49"/>
    </row>
    <row r="49" spans="1:54" ht="19.5" customHeight="1">
      <c r="A49" s="9" t="s">
        <v>35</v>
      </c>
      <c r="B49" s="107">
        <v>98.652020993245046</v>
      </c>
      <c r="C49" s="107">
        <v>98.662941340771653</v>
      </c>
      <c r="D49" s="107">
        <v>98.760060877452247</v>
      </c>
      <c r="E49" s="107">
        <v>99.237321642917152</v>
      </c>
      <c r="F49" s="107">
        <v>99.550410328298227</v>
      </c>
      <c r="G49" s="107">
        <v>99.648497869023032</v>
      </c>
      <c r="H49" s="107">
        <v>99.542216219373586</v>
      </c>
      <c r="I49" s="107">
        <v>100</v>
      </c>
      <c r="J49" s="107">
        <v>99.876994264113549</v>
      </c>
      <c r="K49" s="107">
        <v>100.27308356939395</v>
      </c>
      <c r="L49" s="107">
        <v>99.996558598103505</v>
      </c>
      <c r="M49" s="107">
        <v>100.34819172135451</v>
      </c>
      <c r="N49" s="99">
        <f t="shared" si="1"/>
        <v>99.545691452003851</v>
      </c>
      <c r="O49" s="32"/>
      <c r="P49" s="32"/>
      <c r="Q49" s="32"/>
      <c r="R49" s="80" t="s">
        <v>36</v>
      </c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P49" s="19"/>
      <c r="AQ49" s="19"/>
      <c r="AR49" s="19"/>
      <c r="AS49" s="19"/>
      <c r="AT49" s="49"/>
      <c r="AU49" s="49"/>
      <c r="AV49" s="49"/>
      <c r="AW49" s="49"/>
      <c r="AX49" s="49"/>
      <c r="AY49" s="49"/>
      <c r="AZ49" s="49"/>
      <c r="BA49" s="49"/>
      <c r="BB49" s="49"/>
    </row>
    <row r="50" spans="1:54"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 spans="1:54">
      <c r="A51" s="46"/>
      <c r="B51" s="100"/>
      <c r="C51" s="100"/>
      <c r="D51" s="100"/>
      <c r="E51" s="100"/>
      <c r="F51" s="101"/>
      <c r="G51" s="100"/>
      <c r="H51" s="100"/>
      <c r="I51" s="67"/>
      <c r="J51" s="102"/>
      <c r="K51" s="102"/>
      <c r="L51" s="102"/>
      <c r="M51" s="47"/>
      <c r="N51" s="67"/>
    </row>
    <row r="52" spans="1:54">
      <c r="A52" s="50" t="s">
        <v>64</v>
      </c>
      <c r="B52" s="105" t="s">
        <v>82</v>
      </c>
      <c r="C52" s="72"/>
      <c r="D52" s="72"/>
      <c r="E52" s="72"/>
      <c r="F52" s="69"/>
      <c r="G52" s="103"/>
      <c r="H52" s="38"/>
      <c r="I52" s="38"/>
      <c r="J52" s="38"/>
      <c r="K52" s="38"/>
      <c r="L52" s="38"/>
      <c r="M52" s="103"/>
      <c r="N52" s="81" t="s">
        <v>85</v>
      </c>
      <c r="O52" s="16"/>
      <c r="P52" s="16"/>
      <c r="Q52" s="16"/>
      <c r="R52" s="85" t="s">
        <v>63</v>
      </c>
    </row>
    <row r="53" spans="1:54">
      <c r="A53" s="39" t="s">
        <v>69</v>
      </c>
      <c r="B53" s="86" t="s">
        <v>38</v>
      </c>
      <c r="C53" s="86" t="s">
        <v>39</v>
      </c>
      <c r="D53" s="86" t="s">
        <v>40</v>
      </c>
      <c r="E53" s="86" t="s">
        <v>41</v>
      </c>
      <c r="F53" s="86" t="s">
        <v>42</v>
      </c>
      <c r="G53" s="87" t="s">
        <v>43</v>
      </c>
      <c r="H53" s="87" t="s">
        <v>44</v>
      </c>
      <c r="I53" s="87" t="s">
        <v>45</v>
      </c>
      <c r="J53" s="87" t="s">
        <v>46</v>
      </c>
      <c r="K53" s="87" t="s">
        <v>47</v>
      </c>
      <c r="L53" s="87" t="s">
        <v>48</v>
      </c>
      <c r="M53" s="87" t="s">
        <v>49</v>
      </c>
      <c r="N53" s="104" t="s">
        <v>50</v>
      </c>
      <c r="O53" s="74"/>
      <c r="P53" s="74"/>
      <c r="Q53" s="74"/>
      <c r="R53" s="79" t="s">
        <v>70</v>
      </c>
    </row>
    <row r="54" spans="1:54">
      <c r="A54" s="51"/>
      <c r="B54" s="89" t="s">
        <v>51</v>
      </c>
      <c r="C54" s="90" t="s">
        <v>52</v>
      </c>
      <c r="D54" s="90" t="s">
        <v>53</v>
      </c>
      <c r="E54" s="90" t="s">
        <v>54</v>
      </c>
      <c r="F54" s="90" t="s">
        <v>55</v>
      </c>
      <c r="G54" s="90" t="s">
        <v>56</v>
      </c>
      <c r="H54" s="90" t="s">
        <v>57</v>
      </c>
      <c r="I54" s="90" t="s">
        <v>58</v>
      </c>
      <c r="J54" s="90" t="s">
        <v>59</v>
      </c>
      <c r="K54" s="90" t="s">
        <v>60</v>
      </c>
      <c r="L54" s="90" t="s">
        <v>61</v>
      </c>
      <c r="M54" s="90" t="s">
        <v>62</v>
      </c>
      <c r="N54" s="91" t="s">
        <v>66</v>
      </c>
      <c r="O54" s="32"/>
      <c r="P54" s="32"/>
      <c r="Q54" s="32"/>
      <c r="R54" s="96"/>
    </row>
    <row r="55" spans="1:54" ht="22.5" customHeight="1">
      <c r="A55" s="3" t="s">
        <v>6</v>
      </c>
      <c r="B55" s="98">
        <v>98.542052341254859</v>
      </c>
      <c r="C55" s="98">
        <v>99.675671939124726</v>
      </c>
      <c r="D55" s="98">
        <v>98.514507192757037</v>
      </c>
      <c r="E55" s="98">
        <v>99.177802084912614</v>
      </c>
      <c r="F55" s="98">
        <v>100.18768806908345</v>
      </c>
      <c r="G55" s="98">
        <v>100.22101091225075</v>
      </c>
      <c r="H55" s="98">
        <v>98.319624841580492</v>
      </c>
      <c r="I55" s="98">
        <v>100</v>
      </c>
      <c r="J55" s="98">
        <v>100.93022665070197</v>
      </c>
      <c r="K55" s="98">
        <v>100.41961018798999</v>
      </c>
      <c r="L55" s="98">
        <v>100.57801915021807</v>
      </c>
      <c r="M55" s="98">
        <v>103.04553103102099</v>
      </c>
      <c r="N55" s="98">
        <f>AVERAGE(B55:M55)</f>
        <v>99.967645366741252</v>
      </c>
      <c r="R55" s="77" t="s">
        <v>7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ht="22.5" customHeight="1">
      <c r="A56" s="3" t="s">
        <v>8</v>
      </c>
      <c r="B56" s="98">
        <v>98.553910979924979</v>
      </c>
      <c r="C56" s="98">
        <v>98.603716142929414</v>
      </c>
      <c r="D56" s="98">
        <v>97.784723800718481</v>
      </c>
      <c r="E56" s="98">
        <v>100.35239860447318</v>
      </c>
      <c r="F56" s="98">
        <v>100.98785370349846</v>
      </c>
      <c r="G56" s="98">
        <v>100.81694461207367</v>
      </c>
      <c r="H56" s="98">
        <v>98.572269074108604</v>
      </c>
      <c r="I56" s="98">
        <v>100</v>
      </c>
      <c r="J56" s="98">
        <v>100.56779355055281</v>
      </c>
      <c r="K56" s="98">
        <v>101.79028728312277</v>
      </c>
      <c r="L56" s="98">
        <v>101.25300929954403</v>
      </c>
      <c r="M56" s="98">
        <v>104.77635666676061</v>
      </c>
      <c r="N56" s="98">
        <f t="shared" ref="N56:N72" si="2">AVERAGE(B56:M56)</f>
        <v>100.3382719764756</v>
      </c>
      <c r="R56" s="77" t="s">
        <v>9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ht="22.5" customHeight="1">
      <c r="A57" s="4" t="s">
        <v>10</v>
      </c>
      <c r="B57" s="98">
        <v>96.415586382378976</v>
      </c>
      <c r="C57" s="98">
        <v>96.954180659195814</v>
      </c>
      <c r="D57" s="98">
        <v>91.018809975005226</v>
      </c>
      <c r="E57" s="98">
        <v>117.73357713270494</v>
      </c>
      <c r="F57" s="98">
        <v>123.12204963529712</v>
      </c>
      <c r="G57" s="98">
        <v>120.9706895069782</v>
      </c>
      <c r="H57" s="98">
        <v>99.455274977113987</v>
      </c>
      <c r="I57" s="98">
        <v>100</v>
      </c>
      <c r="J57" s="98">
        <v>102.41565124227598</v>
      </c>
      <c r="K57" s="98">
        <v>94.801918361886109</v>
      </c>
      <c r="L57" s="98">
        <v>97.811585934084206</v>
      </c>
      <c r="M57" s="98">
        <v>95.951777833544853</v>
      </c>
      <c r="N57" s="98">
        <f t="shared" si="2"/>
        <v>103.05425847003876</v>
      </c>
      <c r="R57" s="77" t="s">
        <v>11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ht="22.5" customHeight="1">
      <c r="A58" s="4" t="s">
        <v>12</v>
      </c>
      <c r="B58" s="98">
        <v>100.64443308558988</v>
      </c>
      <c r="C58" s="98">
        <v>100.64443308558988</v>
      </c>
      <c r="D58" s="98">
        <v>100.64443308558988</v>
      </c>
      <c r="E58" s="98">
        <v>100.64443308558988</v>
      </c>
      <c r="F58" s="98">
        <v>100.26447493728392</v>
      </c>
      <c r="G58" s="98">
        <v>100.06928633898424</v>
      </c>
      <c r="H58" s="98">
        <v>100.06928633898424</v>
      </c>
      <c r="I58" s="98">
        <v>100</v>
      </c>
      <c r="J58" s="98">
        <v>100.23021801191341</v>
      </c>
      <c r="K58" s="98">
        <v>100.28449854322574</v>
      </c>
      <c r="L58" s="98">
        <v>100.70656290660882</v>
      </c>
      <c r="M58" s="98">
        <v>100.27380201210806</v>
      </c>
      <c r="N58" s="98">
        <f t="shared" si="2"/>
        <v>100.37298845262232</v>
      </c>
      <c r="R58" s="77" t="s">
        <v>37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ht="22.5" customHeight="1">
      <c r="A59" s="4" t="s">
        <v>86</v>
      </c>
      <c r="B59" s="98">
        <v>100.43948310095168</v>
      </c>
      <c r="C59" s="98">
        <v>100.48489006032798</v>
      </c>
      <c r="D59" s="98">
        <v>99.821204286082406</v>
      </c>
      <c r="E59" s="98">
        <v>99.801470712304763</v>
      </c>
      <c r="F59" s="98">
        <v>99.827809651114677</v>
      </c>
      <c r="G59" s="98">
        <v>99.827809651114677</v>
      </c>
      <c r="H59" s="98">
        <v>100.03676259108975</v>
      </c>
      <c r="I59" s="98">
        <v>100</v>
      </c>
      <c r="J59" s="98">
        <v>98.579003272358563</v>
      </c>
      <c r="K59" s="98">
        <v>98.579003272358563</v>
      </c>
      <c r="L59" s="98">
        <v>98.551879989845929</v>
      </c>
      <c r="M59" s="98">
        <v>98.284355947011619</v>
      </c>
      <c r="N59" s="98">
        <f t="shared" si="2"/>
        <v>99.519472711213382</v>
      </c>
      <c r="R59" s="77" t="s">
        <v>14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ht="22.5" customHeight="1">
      <c r="A60" s="4" t="s">
        <v>87</v>
      </c>
      <c r="B60" s="98">
        <v>99.518594333050402</v>
      </c>
      <c r="C60" s="98">
        <v>99.531751805967488</v>
      </c>
      <c r="D60" s="98">
        <v>99.531751805967488</v>
      </c>
      <c r="E60" s="98">
        <v>99.520472332786085</v>
      </c>
      <c r="F60" s="98">
        <v>100</v>
      </c>
      <c r="G60" s="98">
        <v>100</v>
      </c>
      <c r="H60" s="98">
        <v>100</v>
      </c>
      <c r="I60" s="98">
        <v>100</v>
      </c>
      <c r="J60" s="98">
        <v>100.01932151309167</v>
      </c>
      <c r="K60" s="98">
        <v>100.09045282300363</v>
      </c>
      <c r="L60" s="98">
        <v>99.977029217861769</v>
      </c>
      <c r="M60" s="98">
        <v>100.01500552769508</v>
      </c>
      <c r="N60" s="98">
        <f t="shared" si="2"/>
        <v>99.85036494661864</v>
      </c>
      <c r="R60" s="77" t="s">
        <v>16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ht="15.6" customHeight="1">
      <c r="A61" s="4" t="s">
        <v>88</v>
      </c>
      <c r="B61" s="98">
        <v>100</v>
      </c>
      <c r="C61" s="98">
        <v>100</v>
      </c>
      <c r="D61" s="98">
        <v>100</v>
      </c>
      <c r="E61" s="98">
        <v>100</v>
      </c>
      <c r="F61" s="98">
        <v>100</v>
      </c>
      <c r="G61" s="98">
        <v>100</v>
      </c>
      <c r="H61" s="98">
        <v>100</v>
      </c>
      <c r="I61" s="98">
        <v>100</v>
      </c>
      <c r="J61" s="98">
        <v>100.01137599516161</v>
      </c>
      <c r="K61" s="98">
        <v>100.85534287707377</v>
      </c>
      <c r="L61" s="98">
        <v>100.12317434712899</v>
      </c>
      <c r="M61" s="98">
        <v>100.1290021192895</v>
      </c>
      <c r="N61" s="98">
        <f t="shared" si="2"/>
        <v>100.09324127822116</v>
      </c>
      <c r="R61" s="83" t="s">
        <v>71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ht="30" customHeight="1">
      <c r="A62" s="3" t="s">
        <v>89</v>
      </c>
      <c r="B62" s="98">
        <v>100.59087568426834</v>
      </c>
      <c r="C62" s="98">
        <v>100.38201859339635</v>
      </c>
      <c r="D62" s="98">
        <v>100.3178797246662</v>
      </c>
      <c r="E62" s="98">
        <v>100.21152163027169</v>
      </c>
      <c r="F62" s="98">
        <v>100.19248928515563</v>
      </c>
      <c r="G62" s="98">
        <v>100.06364569314856</v>
      </c>
      <c r="H62" s="98">
        <v>99.995388082374475</v>
      </c>
      <c r="I62" s="98">
        <v>100</v>
      </c>
      <c r="J62" s="98">
        <v>100.1760091885927</v>
      </c>
      <c r="K62" s="98">
        <v>100.1194616978198</v>
      </c>
      <c r="L62" s="98">
        <v>100.11786278140811</v>
      </c>
      <c r="M62" s="98">
        <v>99.957171806036214</v>
      </c>
      <c r="N62" s="98">
        <f t="shared" si="2"/>
        <v>100.17702701392818</v>
      </c>
      <c r="R62" s="77" t="s">
        <v>19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ht="22.5" customHeight="1">
      <c r="A63" s="5" t="s">
        <v>20</v>
      </c>
      <c r="B63" s="98">
        <v>99.983156885407098</v>
      </c>
      <c r="C63" s="98">
        <v>99.874502184162651</v>
      </c>
      <c r="D63" s="98">
        <v>99.874502184162651</v>
      </c>
      <c r="E63" s="98">
        <v>99.874502184162651</v>
      </c>
      <c r="F63" s="98">
        <v>99.874509726546478</v>
      </c>
      <c r="G63" s="98">
        <v>99.874509726546478</v>
      </c>
      <c r="H63" s="98">
        <v>99.808278542326875</v>
      </c>
      <c r="I63" s="98">
        <v>100</v>
      </c>
      <c r="J63" s="98">
        <v>100.01734393494526</v>
      </c>
      <c r="K63" s="98">
        <v>100.02983732535844</v>
      </c>
      <c r="L63" s="98">
        <v>100.3328814885278</v>
      </c>
      <c r="M63" s="98">
        <v>100.3328350668118</v>
      </c>
      <c r="N63" s="98">
        <f t="shared" si="2"/>
        <v>99.989738270746543</v>
      </c>
      <c r="R63" s="77" t="s">
        <v>21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ht="22.5" customHeight="1">
      <c r="A64" s="5" t="s">
        <v>90</v>
      </c>
      <c r="B64" s="98">
        <v>97.848463512017005</v>
      </c>
      <c r="C64" s="98">
        <v>98.615274429484487</v>
      </c>
      <c r="D64" s="98">
        <v>99.217301035807424</v>
      </c>
      <c r="E64" s="98">
        <v>100.57869174057092</v>
      </c>
      <c r="F64" s="98">
        <v>100.9946653535887</v>
      </c>
      <c r="G64" s="98">
        <v>100.76912727350111</v>
      </c>
      <c r="H64" s="98">
        <v>100.54131412100207</v>
      </c>
      <c r="I64" s="98">
        <v>100</v>
      </c>
      <c r="J64" s="98">
        <v>98.289935126478596</v>
      </c>
      <c r="K64" s="98">
        <v>98.289935126478596</v>
      </c>
      <c r="L64" s="98">
        <v>97.185104624586373</v>
      </c>
      <c r="M64" s="98">
        <v>96.869869754814601</v>
      </c>
      <c r="N64" s="98">
        <f t="shared" si="2"/>
        <v>99.09997350819414</v>
      </c>
      <c r="R64" s="77" t="s">
        <v>23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ht="22.5" customHeight="1">
      <c r="A65" s="5" t="s">
        <v>91</v>
      </c>
      <c r="B65" s="98">
        <v>101.20485860104137</v>
      </c>
      <c r="C65" s="98">
        <v>101.20485860104137</v>
      </c>
      <c r="D65" s="98">
        <v>101.20485860104137</v>
      </c>
      <c r="E65" s="98">
        <v>101.20485860104137</v>
      </c>
      <c r="F65" s="98">
        <v>101.20485860104137</v>
      </c>
      <c r="G65" s="98">
        <v>101.20485860104137</v>
      </c>
      <c r="H65" s="98">
        <v>101.22598453467219</v>
      </c>
      <c r="I65" s="98">
        <v>100</v>
      </c>
      <c r="J65" s="98">
        <v>97.007970887181258</v>
      </c>
      <c r="K65" s="98">
        <v>98.514030190305746</v>
      </c>
      <c r="L65" s="98">
        <v>99.735568154416256</v>
      </c>
      <c r="M65" s="98">
        <v>100.50239186704668</v>
      </c>
      <c r="N65" s="98">
        <f t="shared" si="2"/>
        <v>100.35125810332254</v>
      </c>
      <c r="R65" s="77" t="s">
        <v>25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ht="22.5" customHeight="1">
      <c r="A66" s="6" t="s">
        <v>92</v>
      </c>
      <c r="B66" s="98">
        <v>101.08483551229594</v>
      </c>
      <c r="C66" s="98">
        <v>101.32800456696538</v>
      </c>
      <c r="D66" s="98">
        <v>100.74301562452132</v>
      </c>
      <c r="E66" s="98">
        <v>100.32707601336033</v>
      </c>
      <c r="F66" s="98">
        <v>100.0840680041057</v>
      </c>
      <c r="G66" s="98">
        <v>100.02625989913511</v>
      </c>
      <c r="H66" s="98">
        <v>99.993199007531757</v>
      </c>
      <c r="I66" s="98">
        <v>100</v>
      </c>
      <c r="J66" s="98">
        <v>100.40540886672559</v>
      </c>
      <c r="K66" s="98">
        <v>100.56617154952876</v>
      </c>
      <c r="L66" s="98">
        <v>100.56617154952876</v>
      </c>
      <c r="M66" s="98">
        <v>100.47109173523421</v>
      </c>
      <c r="N66" s="98">
        <f t="shared" si="2"/>
        <v>100.46627519407775</v>
      </c>
      <c r="R66" s="78" t="s">
        <v>27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ht="18" customHeight="1">
      <c r="A67" s="4" t="s">
        <v>93</v>
      </c>
      <c r="B67" s="98">
        <v>100.02121079116803</v>
      </c>
      <c r="C67" s="98">
        <v>100</v>
      </c>
      <c r="D67" s="98">
        <v>100</v>
      </c>
      <c r="E67" s="98">
        <v>100</v>
      </c>
      <c r="F67" s="98">
        <v>100</v>
      </c>
      <c r="G67" s="98">
        <v>100</v>
      </c>
      <c r="H67" s="98">
        <v>100</v>
      </c>
      <c r="I67" s="98">
        <v>100</v>
      </c>
      <c r="J67" s="98">
        <v>100.09733206084273</v>
      </c>
      <c r="K67" s="98">
        <v>100.09733206084273</v>
      </c>
      <c r="L67" s="98">
        <v>100.14978985724414</v>
      </c>
      <c r="M67" s="98">
        <v>100.14978985724414</v>
      </c>
      <c r="N67" s="98">
        <f t="shared" si="2"/>
        <v>100.04295455227846</v>
      </c>
      <c r="R67" s="78" t="s">
        <v>29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s="73" customFormat="1" ht="22.5" customHeight="1">
      <c r="A68" s="4" t="s">
        <v>94</v>
      </c>
      <c r="B68" s="98">
        <v>98.911384992609911</v>
      </c>
      <c r="C68" s="98">
        <v>100.70221173280108</v>
      </c>
      <c r="D68" s="98">
        <v>100.70221173280108</v>
      </c>
      <c r="E68" s="98">
        <v>100.70221173280108</v>
      </c>
      <c r="F68" s="98">
        <v>100.70221173280108</v>
      </c>
      <c r="G68" s="98">
        <v>100.72313855607446</v>
      </c>
      <c r="H68" s="98">
        <v>100.72313855607446</v>
      </c>
      <c r="I68" s="98">
        <v>100</v>
      </c>
      <c r="J68" s="98">
        <v>100</v>
      </c>
      <c r="K68" s="98">
        <v>99.946984544141642</v>
      </c>
      <c r="L68" s="98">
        <v>100.00190897648396</v>
      </c>
      <c r="M68" s="98">
        <v>100.00190897648396</v>
      </c>
      <c r="N68" s="98">
        <f t="shared" si="2"/>
        <v>100.2597759610894</v>
      </c>
      <c r="R68" s="78" t="s">
        <v>31</v>
      </c>
      <c r="AO68" s="14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s="73" customFormat="1" ht="22.5" customHeight="1">
      <c r="A69" s="4" t="s">
        <v>95</v>
      </c>
      <c r="B69" s="98" t="s">
        <v>3</v>
      </c>
      <c r="C69" s="98" t="s">
        <v>3</v>
      </c>
      <c r="D69" s="98" t="s">
        <v>3</v>
      </c>
      <c r="E69" s="98" t="s">
        <v>3</v>
      </c>
      <c r="F69" s="98" t="s">
        <v>3</v>
      </c>
      <c r="G69" s="98" t="s">
        <v>3</v>
      </c>
      <c r="H69" s="98" t="s">
        <v>3</v>
      </c>
      <c r="I69" s="98">
        <v>100</v>
      </c>
      <c r="J69" s="98">
        <v>100</v>
      </c>
      <c r="K69" s="98">
        <v>100</v>
      </c>
      <c r="L69" s="98">
        <v>100</v>
      </c>
      <c r="M69" s="98">
        <v>100</v>
      </c>
      <c r="N69" s="98">
        <f t="shared" si="2"/>
        <v>100</v>
      </c>
      <c r="R69" s="75" t="s">
        <v>98</v>
      </c>
      <c r="AO69" s="14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s="73" customFormat="1" ht="33.75" customHeight="1">
      <c r="A70" s="6" t="s">
        <v>96</v>
      </c>
      <c r="B70" s="98">
        <v>100.0385014095053</v>
      </c>
      <c r="C70" s="98">
        <v>100.10814399896768</v>
      </c>
      <c r="D70" s="98">
        <v>99.861723406103934</v>
      </c>
      <c r="E70" s="98">
        <v>99.91192586802255</v>
      </c>
      <c r="F70" s="98">
        <v>99.965976869498732</v>
      </c>
      <c r="G70" s="98">
        <v>100.05709082778709</v>
      </c>
      <c r="H70" s="98">
        <v>100.0176645223286</v>
      </c>
      <c r="I70" s="98">
        <v>100</v>
      </c>
      <c r="J70" s="98">
        <v>99.59711007395704</v>
      </c>
      <c r="K70" s="98">
        <v>99.812801987382244</v>
      </c>
      <c r="L70" s="98">
        <v>99.837015187531563</v>
      </c>
      <c r="M70" s="98">
        <v>99.84768203819614</v>
      </c>
      <c r="N70" s="98">
        <f t="shared" si="2"/>
        <v>99.921303015773404</v>
      </c>
      <c r="R70" s="78" t="s">
        <v>32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ht="22.5" customHeight="1">
      <c r="A71" s="7" t="s">
        <v>33</v>
      </c>
      <c r="B71" s="106">
        <v>99.513473127405589</v>
      </c>
      <c r="C71" s="106">
        <v>99.9815255668357</v>
      </c>
      <c r="D71" s="106">
        <v>99.533523271275982</v>
      </c>
      <c r="E71" s="106">
        <v>99.804134494885147</v>
      </c>
      <c r="F71" s="106">
        <v>100.20333246526434</v>
      </c>
      <c r="G71" s="106">
        <v>100.18520683817378</v>
      </c>
      <c r="H71" s="106">
        <v>99.513615563491697</v>
      </c>
      <c r="I71" s="106">
        <v>100</v>
      </c>
      <c r="J71" s="106">
        <v>99.683010127436077</v>
      </c>
      <c r="K71" s="106">
        <v>99.736657779813982</v>
      </c>
      <c r="L71" s="106">
        <v>99.830316193456795</v>
      </c>
      <c r="M71" s="106">
        <v>100.50800357399591</v>
      </c>
      <c r="N71" s="98">
        <f t="shared" si="2"/>
        <v>99.874399916836254</v>
      </c>
      <c r="R71" s="79" t="s">
        <v>34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ht="22.5" customHeight="1">
      <c r="A72" s="9" t="s">
        <v>35</v>
      </c>
      <c r="B72" s="107">
        <v>99.626396910757848</v>
      </c>
      <c r="C72" s="107">
        <v>99.7278361564954</v>
      </c>
      <c r="D72" s="107">
        <v>99.452402412421819</v>
      </c>
      <c r="E72" s="107">
        <v>100.19072611684776</v>
      </c>
      <c r="F72" s="107">
        <v>100.4202573788418</v>
      </c>
      <c r="G72" s="107">
        <v>100.34140373881328</v>
      </c>
      <c r="H72" s="107">
        <v>99.716426805454347</v>
      </c>
      <c r="I72" s="107">
        <v>100</v>
      </c>
      <c r="J72" s="107">
        <v>99.532077360655663</v>
      </c>
      <c r="K72" s="107">
        <v>100.00921968691678</v>
      </c>
      <c r="L72" s="107">
        <v>99.941817312932685</v>
      </c>
      <c r="M72" s="107">
        <v>100.75965892432635</v>
      </c>
      <c r="N72" s="99">
        <f t="shared" si="2"/>
        <v>99.976518567038624</v>
      </c>
      <c r="O72" s="32"/>
      <c r="P72" s="32"/>
      <c r="Q72" s="32"/>
      <c r="R72" s="80" t="s">
        <v>36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ht="17.25">
      <c r="A73" s="76" t="s">
        <v>4</v>
      </c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R73" s="75" t="s">
        <v>5</v>
      </c>
    </row>
    <row r="74" spans="1:54" ht="15" customHeight="1"/>
    <row r="75" spans="1:54" ht="15" customHeight="1"/>
    <row r="76" spans="1:54" ht="15" customHeight="1"/>
    <row r="77" spans="1:54" ht="15" customHeight="1">
      <c r="Q77" s="54"/>
    </row>
    <row r="78" spans="1:54" ht="15" customHeight="1">
      <c r="Q78" s="54"/>
    </row>
    <row r="79" spans="1:54" ht="15" customHeight="1">
      <c r="Q79" s="54"/>
    </row>
    <row r="80" spans="1:54" ht="15" customHeight="1">
      <c r="Q80" s="54"/>
    </row>
    <row r="81" spans="17:52" ht="15" customHeight="1">
      <c r="Q81" s="54"/>
      <c r="AQ81" s="14">
        <v>2010</v>
      </c>
      <c r="AR81" s="14">
        <v>2011</v>
      </c>
      <c r="AS81" s="14">
        <v>2012</v>
      </c>
      <c r="AT81" s="14">
        <v>2013</v>
      </c>
      <c r="AU81" s="14">
        <v>2014</v>
      </c>
      <c r="AV81" s="55">
        <v>2015</v>
      </c>
      <c r="AW81" s="14">
        <v>2016</v>
      </c>
      <c r="AX81" s="55">
        <v>2017</v>
      </c>
      <c r="AY81" s="55">
        <v>2018</v>
      </c>
      <c r="AZ81" s="55">
        <v>2019</v>
      </c>
    </row>
    <row r="82" spans="17:52" ht="15" customHeight="1">
      <c r="Q82" s="54"/>
      <c r="R82" s="3"/>
      <c r="AP82" s="18" t="s">
        <v>6</v>
      </c>
      <c r="AQ82" s="56">
        <v>69.554480633976965</v>
      </c>
      <c r="AR82" s="56">
        <v>83.416709968576413</v>
      </c>
      <c r="AS82" s="56">
        <v>98.126990664931839</v>
      </c>
      <c r="AT82" s="56">
        <v>105.15731822206406</v>
      </c>
      <c r="AU82" s="56">
        <v>105.91516633353841</v>
      </c>
      <c r="AV82" s="56">
        <v>106.42761479980396</v>
      </c>
      <c r="AW82" s="56">
        <v>107.04157551050889</v>
      </c>
      <c r="AX82" s="56">
        <v>113.03489126776282</v>
      </c>
      <c r="AY82" s="56">
        <v>111.81011866226531</v>
      </c>
      <c r="AZ82" s="56">
        <f t="shared" ref="AZ82:AZ95" si="3">N9</f>
        <v>99.755867509454859</v>
      </c>
    </row>
    <row r="83" spans="17:52" ht="15" customHeight="1">
      <c r="Q83" s="54"/>
      <c r="R83" s="3"/>
      <c r="AP83" s="57" t="s">
        <v>8</v>
      </c>
      <c r="AQ83" s="56">
        <v>84.204150454829019</v>
      </c>
      <c r="AR83" s="56">
        <v>94.794400673064558</v>
      </c>
      <c r="AS83" s="56">
        <v>100.0268178957039</v>
      </c>
      <c r="AT83" s="56">
        <v>105.46827201556327</v>
      </c>
      <c r="AU83" s="56">
        <v>105.77637644985344</v>
      </c>
      <c r="AV83" s="56">
        <v>106.72890504792964</v>
      </c>
      <c r="AW83" s="56">
        <v>108.34446887815083</v>
      </c>
      <c r="AX83" s="56">
        <v>115.49732275295001</v>
      </c>
      <c r="AY83" s="56">
        <v>112.9320821179051</v>
      </c>
      <c r="AZ83" s="56">
        <f t="shared" si="3"/>
        <v>100.0189697454872</v>
      </c>
    </row>
    <row r="84" spans="17:52" ht="15" customHeight="1">
      <c r="Q84" s="54"/>
      <c r="R84" s="3"/>
      <c r="AP84" s="58" t="s">
        <v>10</v>
      </c>
      <c r="AQ84" s="56">
        <v>36.005776836416281</v>
      </c>
      <c r="AR84" s="56">
        <v>57.361052741283949</v>
      </c>
      <c r="AS84" s="56">
        <v>93.7760772522998</v>
      </c>
      <c r="AT84" s="56">
        <v>104.44563486657425</v>
      </c>
      <c r="AU84" s="56">
        <v>106.23281626157906</v>
      </c>
      <c r="AV84" s="56">
        <v>105.73804850653096</v>
      </c>
      <c r="AW84" s="56">
        <v>104.05962917920893</v>
      </c>
      <c r="AX84" s="56">
        <v>107.39909733735</v>
      </c>
      <c r="AY84" s="56">
        <v>109.24226860370483</v>
      </c>
      <c r="AZ84" s="56">
        <f t="shared" si="3"/>
        <v>102.19215981021229</v>
      </c>
    </row>
    <row r="85" spans="17:52" ht="15" customHeight="1">
      <c r="Q85" s="54"/>
      <c r="R85" s="3"/>
      <c r="AP85" s="4" t="s">
        <v>12</v>
      </c>
      <c r="AQ85" s="56">
        <v>50.532891620339313</v>
      </c>
      <c r="AR85" s="56">
        <v>64.296766109008189</v>
      </c>
      <c r="AS85" s="56">
        <v>101.2436810917912</v>
      </c>
      <c r="AT85" s="56">
        <v>98.00579870542515</v>
      </c>
      <c r="AU85" s="56">
        <v>100.18505236961772</v>
      </c>
      <c r="AV85" s="56">
        <v>117.46360163260034</v>
      </c>
      <c r="AW85" s="56">
        <v>122.18459773517431</v>
      </c>
      <c r="AX85" s="56">
        <v>154.41417266945828</v>
      </c>
      <c r="AY85" s="56">
        <v>167.34151423693964</v>
      </c>
      <c r="AZ85" s="56">
        <f t="shared" si="3"/>
        <v>100.23444513498929</v>
      </c>
    </row>
    <row r="86" spans="17:52" ht="15" customHeight="1">
      <c r="Q86" s="54"/>
      <c r="R86" s="3"/>
      <c r="AP86" s="58" t="s">
        <v>13</v>
      </c>
      <c r="AQ86" s="56">
        <v>72.534285938334179</v>
      </c>
      <c r="AR86" s="56">
        <v>81.881292827210913</v>
      </c>
      <c r="AS86" s="56">
        <v>98.359038463336105</v>
      </c>
      <c r="AT86" s="56">
        <v>101.52586212230904</v>
      </c>
      <c r="AU86" s="56">
        <v>102.46527730468375</v>
      </c>
      <c r="AV86" s="56">
        <v>101.54061731751705</v>
      </c>
      <c r="AW86" s="56">
        <v>100.99558210523537</v>
      </c>
      <c r="AX86" s="56">
        <v>100.29057707007946</v>
      </c>
      <c r="AY86" s="56">
        <v>98.155711491556062</v>
      </c>
      <c r="AZ86" s="56">
        <f t="shared" si="3"/>
        <v>99.962545178697326</v>
      </c>
    </row>
    <row r="87" spans="17:52" ht="15" customHeight="1">
      <c r="Q87" s="54"/>
      <c r="R87" s="3"/>
      <c r="AP87" s="58" t="s">
        <v>15</v>
      </c>
      <c r="AQ87" s="56">
        <v>93.758762276598645</v>
      </c>
      <c r="AR87" s="56">
        <v>96.487654366096692</v>
      </c>
      <c r="AS87" s="56">
        <v>99.951850044063292</v>
      </c>
      <c r="AT87" s="56">
        <v>103.51724004351574</v>
      </c>
      <c r="AU87" s="56">
        <v>106.69055604936631</v>
      </c>
      <c r="AV87" s="56">
        <v>107.78553856963902</v>
      </c>
      <c r="AW87" s="56">
        <v>108.10803524718015</v>
      </c>
      <c r="AX87" s="56">
        <v>109.47834485115725</v>
      </c>
      <c r="AY87" s="56">
        <v>109.29547192198891</v>
      </c>
      <c r="AZ87" s="56">
        <f t="shared" si="3"/>
        <v>99.542874629829512</v>
      </c>
    </row>
    <row r="88" spans="17:52" ht="15" customHeight="1">
      <c r="Q88" s="54"/>
      <c r="R88" s="3"/>
      <c r="AP88" s="58" t="s">
        <v>17</v>
      </c>
      <c r="AQ88" s="56">
        <v>91.040551259171139</v>
      </c>
      <c r="AR88" s="56">
        <v>95.103608962918898</v>
      </c>
      <c r="AS88" s="56">
        <v>100.07057660044312</v>
      </c>
      <c r="AT88" s="56">
        <v>104.08964183574052</v>
      </c>
      <c r="AU88" s="56">
        <v>108.54742074440985</v>
      </c>
      <c r="AV88" s="56">
        <v>112.36921152715941</v>
      </c>
      <c r="AW88" s="56">
        <v>116.59514145414504</v>
      </c>
      <c r="AX88" s="56">
        <v>122.00177799672292</v>
      </c>
      <c r="AY88" s="56">
        <v>129.26555175057555</v>
      </c>
      <c r="AZ88" s="56">
        <f t="shared" si="3"/>
        <v>99.287613094180429</v>
      </c>
    </row>
    <row r="89" spans="17:52" ht="15" customHeight="1">
      <c r="Q89" s="54"/>
      <c r="R89" s="3"/>
      <c r="AP89" s="18" t="s">
        <v>18</v>
      </c>
      <c r="AQ89" s="56">
        <v>80.397772506783596</v>
      </c>
      <c r="AR89" s="56">
        <v>83.774232067142066</v>
      </c>
      <c r="AS89" s="56">
        <v>98.65523637265558</v>
      </c>
      <c r="AT89" s="56">
        <v>97.029807398560521</v>
      </c>
      <c r="AU89" s="56">
        <v>96.030794344264748</v>
      </c>
      <c r="AV89" s="56">
        <v>96.619226474540611</v>
      </c>
      <c r="AW89" s="56">
        <v>97.499129166170533</v>
      </c>
      <c r="AX89" s="56">
        <v>98.588794205371599</v>
      </c>
      <c r="AY89" s="56">
        <v>97.270333580269437</v>
      </c>
      <c r="AZ89" s="56">
        <f t="shared" si="3"/>
        <v>100.03347598488823</v>
      </c>
    </row>
    <row r="90" spans="17:52" ht="15" customHeight="1">
      <c r="Q90" s="54"/>
      <c r="R90" s="3"/>
      <c r="AP90" s="59" t="s">
        <v>20</v>
      </c>
      <c r="AQ90" s="56">
        <v>123.09882000085349</v>
      </c>
      <c r="AR90" s="56">
        <v>136.10400273752558</v>
      </c>
      <c r="AS90" s="56">
        <v>103.11447443846129</v>
      </c>
      <c r="AT90" s="56">
        <v>110.75985912203326</v>
      </c>
      <c r="AU90" s="56">
        <v>120.99690521142638</v>
      </c>
      <c r="AV90" s="56">
        <v>123.58711110547449</v>
      </c>
      <c r="AW90" s="56">
        <v>125.81722828813672</v>
      </c>
      <c r="AX90" s="56">
        <v>125.52846282798579</v>
      </c>
      <c r="AY90" s="56">
        <v>126.1113957972745</v>
      </c>
      <c r="AZ90" s="56">
        <f t="shared" si="3"/>
        <v>99.651230898131658</v>
      </c>
    </row>
    <row r="91" spans="17:52" ht="12.75">
      <c r="R91" s="3"/>
      <c r="AP91" s="59" t="s">
        <v>22</v>
      </c>
      <c r="AQ91" s="56">
        <v>80.571924425587255</v>
      </c>
      <c r="AR91" s="56">
        <v>91.644770975471246</v>
      </c>
      <c r="AS91" s="56">
        <v>99.95473548796538</v>
      </c>
      <c r="AT91" s="56">
        <v>102.17949400970934</v>
      </c>
      <c r="AU91" s="56">
        <v>105.37961599773739</v>
      </c>
      <c r="AV91" s="56">
        <v>102.92917404156066</v>
      </c>
      <c r="AW91" s="56">
        <v>101.34706519435288</v>
      </c>
      <c r="AX91" s="56">
        <v>101.83981865912176</v>
      </c>
      <c r="AY91" s="56">
        <v>102.86901120705778</v>
      </c>
      <c r="AZ91" s="56">
        <f t="shared" si="3"/>
        <v>99.177907186017364</v>
      </c>
    </row>
    <row r="92" spans="17:52" ht="12.75">
      <c r="R92" s="3"/>
      <c r="AP92" s="59" t="s">
        <v>24</v>
      </c>
      <c r="AQ92" s="56">
        <v>100.38298344923554</v>
      </c>
      <c r="AR92" s="56">
        <v>100.6195512642537</v>
      </c>
      <c r="AS92" s="56">
        <v>100.00528180711392</v>
      </c>
      <c r="AT92" s="56">
        <v>99.050815085253589</v>
      </c>
      <c r="AU92" s="56">
        <v>100.28780520090577</v>
      </c>
      <c r="AV92" s="56">
        <v>100.55782006117782</v>
      </c>
      <c r="AW92" s="56">
        <v>99.79368976091358</v>
      </c>
      <c r="AX92" s="56">
        <v>99.659396804799613</v>
      </c>
      <c r="AY92" s="56">
        <v>100.41005623870753</v>
      </c>
      <c r="AZ92" s="56">
        <f t="shared" si="3"/>
        <v>100.25721192236689</v>
      </c>
    </row>
    <row r="93" spans="17:52" ht="24">
      <c r="R93" s="3"/>
      <c r="AP93" s="60" t="s">
        <v>26</v>
      </c>
      <c r="AQ93" s="56">
        <v>100.01905005623114</v>
      </c>
      <c r="AR93" s="56">
        <v>97.89290317146407</v>
      </c>
      <c r="AS93" s="56">
        <v>99.531777140452178</v>
      </c>
      <c r="AT93" s="56">
        <v>98.82807875047888</v>
      </c>
      <c r="AU93" s="56">
        <v>102.2003441480955</v>
      </c>
      <c r="AV93" s="56">
        <v>101.95630588932649</v>
      </c>
      <c r="AW93" s="56">
        <v>100.69713942933714</v>
      </c>
      <c r="AX93" s="56">
        <v>100.58404074832116</v>
      </c>
      <c r="AY93" s="56">
        <v>99.029706628505878</v>
      </c>
      <c r="AZ93" s="56">
        <f t="shared" si="3"/>
        <v>100.42641155289699</v>
      </c>
    </row>
    <row r="94" spans="17:52" ht="12.75">
      <c r="R94" s="3"/>
      <c r="AP94" s="58" t="s">
        <v>28</v>
      </c>
      <c r="AQ94" s="56">
        <v>72.465176121953334</v>
      </c>
      <c r="AR94" s="56">
        <v>85.752154766717368</v>
      </c>
      <c r="AS94" s="56">
        <v>100.26897294373833</v>
      </c>
      <c r="AT94" s="56">
        <v>105.75107702222947</v>
      </c>
      <c r="AU94" s="56">
        <v>110.56855328746506</v>
      </c>
      <c r="AV94" s="56">
        <v>119.00762505009182</v>
      </c>
      <c r="AW94" s="56">
        <v>124.80292719209795</v>
      </c>
      <c r="AX94" s="56">
        <v>130.07859259520549</v>
      </c>
      <c r="AY94" s="56">
        <v>133.11915518648536</v>
      </c>
      <c r="AZ94" s="56">
        <f t="shared" si="3"/>
        <v>99.997620891203681</v>
      </c>
    </row>
    <row r="95" spans="17:52" ht="12.75">
      <c r="R95" s="3"/>
      <c r="AP95" s="52" t="s">
        <v>30</v>
      </c>
      <c r="AQ95" s="56">
        <v>70.167294544238487</v>
      </c>
      <c r="AR95" s="56">
        <v>81.124231104476152</v>
      </c>
      <c r="AS95" s="56">
        <v>103.56604942649903</v>
      </c>
      <c r="AT95" s="56">
        <v>115.92908544747458</v>
      </c>
      <c r="AU95" s="56">
        <v>121.3287709962447</v>
      </c>
      <c r="AV95" s="56">
        <v>121.06073734975051</v>
      </c>
      <c r="AW95" s="56">
        <v>123.14673548135868</v>
      </c>
      <c r="AX95" s="56">
        <v>125.6295963585136</v>
      </c>
      <c r="AY95" s="56">
        <v>128.2294953174422</v>
      </c>
      <c r="AZ95" s="56">
        <f t="shared" si="3"/>
        <v>99.155419008916851</v>
      </c>
    </row>
    <row r="96" spans="17:52" ht="12.75">
      <c r="R96" s="3"/>
      <c r="AP96" s="4" t="s">
        <v>95</v>
      </c>
      <c r="AQ96" s="14" t="s">
        <v>3</v>
      </c>
      <c r="AR96" s="14" t="s">
        <v>3</v>
      </c>
      <c r="AS96" s="14" t="s">
        <v>3</v>
      </c>
      <c r="AT96" s="14" t="s">
        <v>3</v>
      </c>
      <c r="AU96" s="14" t="s">
        <v>3</v>
      </c>
      <c r="AV96" s="14" t="s">
        <v>3</v>
      </c>
      <c r="AW96" s="14" t="s">
        <v>3</v>
      </c>
      <c r="AX96" s="14" t="s">
        <v>3</v>
      </c>
      <c r="AY96" s="14" t="s">
        <v>3</v>
      </c>
      <c r="AZ96" s="44">
        <v>100</v>
      </c>
    </row>
    <row r="97" spans="18:52" ht="108">
      <c r="R97" s="3"/>
      <c r="AP97" s="60" t="s">
        <v>96</v>
      </c>
      <c r="AQ97" s="56">
        <v>80.738363693637908</v>
      </c>
      <c r="AR97" s="56">
        <v>86.725904563278689</v>
      </c>
      <c r="AS97" s="56">
        <v>100.59989156921542</v>
      </c>
      <c r="AT97" s="56">
        <v>99.01609787482279</v>
      </c>
      <c r="AU97" s="56">
        <v>98.892634758290214</v>
      </c>
      <c r="AV97" s="56">
        <v>98.735605526974709</v>
      </c>
      <c r="AW97" s="56">
        <v>98.469134997835681</v>
      </c>
      <c r="AX97" s="56">
        <v>98.317889337161489</v>
      </c>
      <c r="AY97" s="56">
        <v>97.662171177004552</v>
      </c>
      <c r="AZ97" s="56">
        <f>N24</f>
        <v>99.967391567614428</v>
      </c>
    </row>
    <row r="98" spans="18:52" ht="24">
      <c r="R98" s="3"/>
      <c r="AP98" s="60" t="s">
        <v>33</v>
      </c>
      <c r="AQ98" s="56">
        <v>80.568542845421106</v>
      </c>
      <c r="AR98" s="56">
        <v>89.651368722070842</v>
      </c>
      <c r="AS98" s="56">
        <v>99.409647361204449</v>
      </c>
      <c r="AT98" s="56">
        <v>103.19281073321666</v>
      </c>
      <c r="AU98" s="56">
        <v>105.38050013404563</v>
      </c>
      <c r="AV98" s="56">
        <v>106.38499407837655</v>
      </c>
      <c r="AW98" s="56">
        <v>106.91958868829052</v>
      </c>
      <c r="AX98" s="56">
        <v>109.93201964009602</v>
      </c>
      <c r="AY98" s="56">
        <v>109.78539958307455</v>
      </c>
      <c r="AZ98" s="56">
        <f>N25</f>
        <v>99.704026856120265</v>
      </c>
    </row>
    <row r="99" spans="18:52" ht="36">
      <c r="R99" s="3"/>
      <c r="AP99" s="60" t="s">
        <v>35</v>
      </c>
      <c r="AQ99" s="56">
        <v>84.338371332150743</v>
      </c>
      <c r="AR99" s="56">
        <v>91.679051572020867</v>
      </c>
      <c r="AS99" s="56">
        <v>100.14126599840249</v>
      </c>
      <c r="AT99" s="56">
        <v>103.07423491391059</v>
      </c>
      <c r="AU99" s="56">
        <v>105.29983112357628</v>
      </c>
      <c r="AV99" s="56">
        <v>106.44622541898161</v>
      </c>
      <c r="AW99" s="56">
        <v>107.1902747590181</v>
      </c>
      <c r="AX99" s="56">
        <v>110.17175267946645</v>
      </c>
      <c r="AY99" s="56">
        <v>109.83680520270974</v>
      </c>
      <c r="AZ99" s="56">
        <f>N26</f>
        <v>99.768516719136173</v>
      </c>
    </row>
    <row r="100" spans="18:52" ht="12.75">
      <c r="R100" s="3"/>
    </row>
    <row r="101" spans="18:52" ht="12.75">
      <c r="R101" s="3"/>
      <c r="AP101" s="23"/>
      <c r="AQ101" s="23"/>
      <c r="AR101" s="23"/>
      <c r="AS101" s="23"/>
    </row>
    <row r="102" spans="18:52" ht="12.75">
      <c r="R102" s="3"/>
      <c r="AP102" s="21"/>
      <c r="AQ102" s="21"/>
      <c r="AR102" s="21"/>
      <c r="AS102" s="21"/>
    </row>
    <row r="103" spans="18:52" ht="12.75">
      <c r="R103" s="3"/>
      <c r="AR103" s="61" t="s">
        <v>72</v>
      </c>
      <c r="AS103" s="44">
        <v>77.389912482844039</v>
      </c>
    </row>
    <row r="104" spans="18:52" ht="12.75">
      <c r="R104" s="3"/>
      <c r="AR104" s="61" t="s">
        <v>52</v>
      </c>
      <c r="AS104" s="44">
        <v>78.114608960554079</v>
      </c>
    </row>
    <row r="105" spans="18:52">
      <c r="AR105" s="61" t="s">
        <v>53</v>
      </c>
      <c r="AS105" s="44">
        <v>78.802289490440288</v>
      </c>
    </row>
    <row r="106" spans="18:52">
      <c r="AR106" s="61" t="s">
        <v>54</v>
      </c>
      <c r="AS106" s="44">
        <v>79.493759054355692</v>
      </c>
    </row>
    <row r="107" spans="18:52">
      <c r="AR107" s="61" t="s">
        <v>55</v>
      </c>
      <c r="AS107" s="44">
        <v>79.593148331583464</v>
      </c>
    </row>
    <row r="108" spans="18:52">
      <c r="AR108" s="61" t="s">
        <v>56</v>
      </c>
      <c r="AS108" s="44">
        <v>80.456465161931419</v>
      </c>
    </row>
    <row r="109" spans="18:52">
      <c r="AR109" s="61" t="s">
        <v>57</v>
      </c>
      <c r="AS109" s="44">
        <v>82.218774035333112</v>
      </c>
    </row>
    <row r="110" spans="18:52">
      <c r="AR110" s="61" t="s">
        <v>58</v>
      </c>
      <c r="AS110" s="44">
        <v>82.738454625647236</v>
      </c>
    </row>
    <row r="111" spans="18:52">
      <c r="AR111" s="61" t="s">
        <v>59</v>
      </c>
      <c r="AS111" s="44">
        <v>81.674668748738398</v>
      </c>
    </row>
    <row r="112" spans="18:52">
      <c r="AR112" s="61" t="s">
        <v>60</v>
      </c>
      <c r="AS112" s="44">
        <v>81.490055352268982</v>
      </c>
    </row>
    <row r="113" spans="1:45">
      <c r="AR113" s="61" t="s">
        <v>61</v>
      </c>
      <c r="AS113" s="44">
        <v>81.876012187767557</v>
      </c>
    </row>
    <row r="114" spans="1:45">
      <c r="AR114" s="61" t="s">
        <v>62</v>
      </c>
      <c r="AS114" s="44">
        <v>82.974365713589037</v>
      </c>
    </row>
    <row r="115" spans="1:45">
      <c r="AR115" s="61" t="s">
        <v>73</v>
      </c>
      <c r="AS115" s="44">
        <v>83.42322051397251</v>
      </c>
    </row>
    <row r="116" spans="1:45">
      <c r="AR116" s="61" t="s">
        <v>52</v>
      </c>
      <c r="AS116" s="44">
        <v>82.763753714396117</v>
      </c>
    </row>
    <row r="117" spans="1:45">
      <c r="AR117" s="61" t="s">
        <v>53</v>
      </c>
      <c r="AS117" s="44">
        <v>83.286640410427239</v>
      </c>
    </row>
    <row r="118" spans="1:45">
      <c r="AR118" s="61" t="s">
        <v>54</v>
      </c>
      <c r="AS118" s="44">
        <v>86.965500988635156</v>
      </c>
    </row>
    <row r="119" spans="1:45">
      <c r="A119" s="62"/>
      <c r="B119" s="74"/>
      <c r="C119" s="63"/>
      <c r="D119" s="63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97"/>
      <c r="AR119" s="61" t="s">
        <v>55</v>
      </c>
      <c r="AS119" s="44">
        <v>89.847381978421922</v>
      </c>
    </row>
    <row r="120" spans="1:45">
      <c r="A120" s="62"/>
      <c r="B120" s="74"/>
      <c r="C120" s="63"/>
      <c r="D120" s="63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97"/>
      <c r="AR120" s="61" t="s">
        <v>56</v>
      </c>
      <c r="AS120" s="44">
        <v>90.663889665301312</v>
      </c>
    </row>
    <row r="121" spans="1:45" s="21" customFormat="1" ht="23.25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R121" s="61" t="s">
        <v>57</v>
      </c>
      <c r="AS121" s="44">
        <v>90.718393462490738</v>
      </c>
    </row>
    <row r="122" spans="1:45" s="23" customFormat="1" ht="15.75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R122" s="61" t="s">
        <v>58</v>
      </c>
      <c r="AS122" s="44">
        <v>91.00443638528057</v>
      </c>
    </row>
    <row r="123" spans="1:45" s="21" customFormat="1" ht="1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5"/>
      <c r="AR123" s="61" t="s">
        <v>59</v>
      </c>
      <c r="AS123" s="44">
        <v>92.189005008474396</v>
      </c>
    </row>
    <row r="124" spans="1:45" s="27" customFormat="1" ht="12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R124" s="61" t="s">
        <v>60</v>
      </c>
      <c r="AS124" s="44">
        <v>92.495800179178048</v>
      </c>
    </row>
    <row r="125" spans="1:45" ht="6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AR125" s="61" t="s">
        <v>61</v>
      </c>
      <c r="AS125" s="44">
        <v>95.662033599649305</v>
      </c>
    </row>
    <row r="126" spans="1:45">
      <c r="A126" s="46"/>
      <c r="B126" s="11"/>
      <c r="C126" s="108"/>
      <c r="D126" s="108"/>
      <c r="E126" s="11"/>
      <c r="F126" s="2"/>
      <c r="G126" s="2"/>
      <c r="H126" s="2"/>
      <c r="I126" s="2"/>
      <c r="J126" s="2"/>
      <c r="K126" s="2"/>
      <c r="L126" s="2"/>
      <c r="M126" s="2"/>
      <c r="N126" s="74"/>
      <c r="O126" s="74"/>
      <c r="P126" s="74"/>
      <c r="Q126" s="74"/>
      <c r="R126" s="109"/>
      <c r="AR126" s="61" t="s">
        <v>62</v>
      </c>
      <c r="AS126" s="44">
        <v>96.796368758622648</v>
      </c>
    </row>
    <row r="127" spans="1:45" s="41" customFormat="1">
      <c r="A127" s="110"/>
      <c r="B127" s="17"/>
      <c r="C127" s="111"/>
      <c r="D127" s="111"/>
      <c r="E127" s="17"/>
      <c r="F127" s="17"/>
      <c r="G127" s="17"/>
      <c r="H127" s="10"/>
      <c r="I127" s="10"/>
      <c r="J127" s="10"/>
      <c r="K127" s="10"/>
      <c r="L127" s="10"/>
      <c r="M127" s="17"/>
      <c r="N127" s="8"/>
      <c r="O127" s="74"/>
      <c r="P127" s="74"/>
      <c r="Q127" s="74"/>
      <c r="R127" s="79"/>
      <c r="AR127" s="61" t="s">
        <v>74</v>
      </c>
      <c r="AS127" s="44">
        <v>97.59859943214181</v>
      </c>
    </row>
    <row r="128" spans="1:45" s="41" customFormat="1" ht="18" customHeight="1">
      <c r="A128" s="3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40"/>
      <c r="O128" s="48"/>
      <c r="P128" s="48"/>
      <c r="Q128" s="48"/>
      <c r="R128" s="93"/>
      <c r="AR128" s="61" t="s">
        <v>52</v>
      </c>
      <c r="AS128" s="44">
        <v>97.302942479972216</v>
      </c>
    </row>
    <row r="129" spans="1:48" ht="19.5" customHeight="1">
      <c r="A129" s="39"/>
      <c r="B129" s="112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4"/>
      <c r="O129" s="48"/>
      <c r="P129" s="48"/>
      <c r="Q129" s="48"/>
      <c r="R129" s="115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R129" s="61" t="s">
        <v>53</v>
      </c>
      <c r="AS129" s="44">
        <v>98.042112633334924</v>
      </c>
    </row>
    <row r="130" spans="1:48" ht="19.5" customHeight="1">
      <c r="A130" s="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74"/>
      <c r="P130" s="74"/>
      <c r="Q130" s="74"/>
      <c r="R130" s="117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R130" s="61" t="s">
        <v>54</v>
      </c>
      <c r="AS130" s="44">
        <v>97.952949517338325</v>
      </c>
    </row>
    <row r="131" spans="1:48" ht="19.5" customHeight="1">
      <c r="A131" s="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74"/>
      <c r="P131" s="74"/>
      <c r="Q131" s="74"/>
      <c r="R131" s="117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R131" s="61" t="s">
        <v>55</v>
      </c>
      <c r="AS131" s="44">
        <v>96.007467362032386</v>
      </c>
    </row>
    <row r="132" spans="1:48" ht="19.5" customHeight="1">
      <c r="A132" s="118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74"/>
      <c r="P132" s="74"/>
      <c r="Q132" s="74"/>
      <c r="R132" s="117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R132" s="61" t="s">
        <v>56</v>
      </c>
      <c r="AS132" s="44">
        <v>100</v>
      </c>
    </row>
    <row r="133" spans="1:48" ht="19.5" customHeight="1">
      <c r="A133" s="118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74"/>
      <c r="P133" s="74"/>
      <c r="Q133" s="74"/>
      <c r="R133" s="117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R133" s="61" t="s">
        <v>57</v>
      </c>
      <c r="AS133" s="44">
        <v>100.24448657012601</v>
      </c>
    </row>
    <row r="134" spans="1:48" ht="19.5" customHeight="1">
      <c r="A134" s="118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74"/>
      <c r="P134" s="74"/>
      <c r="Q134" s="74"/>
      <c r="R134" s="117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R134" s="61" t="s">
        <v>58</v>
      </c>
      <c r="AS134" s="44">
        <v>100.89350190672525</v>
      </c>
    </row>
    <row r="135" spans="1:48" ht="19.5" customHeight="1">
      <c r="A135" s="118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74"/>
      <c r="P135" s="74"/>
      <c r="Q135" s="74"/>
      <c r="R135" s="117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R135" s="61" t="s">
        <v>59</v>
      </c>
      <c r="AS135" s="44">
        <v>100.91361135830726</v>
      </c>
    </row>
    <row r="136" spans="1:48">
      <c r="A136" s="118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74"/>
      <c r="P136" s="74"/>
      <c r="Q136" s="74"/>
      <c r="R136" s="119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R136" s="61" t="s">
        <v>60</v>
      </c>
      <c r="AS136" s="44">
        <v>100.95666404241017</v>
      </c>
    </row>
    <row r="137" spans="1:48" ht="19.5" customHeight="1">
      <c r="A137" s="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74"/>
      <c r="P137" s="74"/>
      <c r="Q137" s="74"/>
      <c r="R137" s="117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R137" s="61" t="s">
        <v>61</v>
      </c>
      <c r="AS137" s="44">
        <v>101.30243465313896</v>
      </c>
    </row>
    <row r="138" spans="1:48" ht="19.5" customHeight="1">
      <c r="A138" s="120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74"/>
      <c r="P138" s="74"/>
      <c r="Q138" s="74"/>
      <c r="R138" s="117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R138" s="61" t="s">
        <v>62</v>
      </c>
      <c r="AS138" s="44">
        <v>101.7009983789261</v>
      </c>
    </row>
    <row r="139" spans="1:48" ht="19.5" customHeight="1">
      <c r="A139" s="120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74"/>
      <c r="P139" s="74"/>
      <c r="Q139" s="74"/>
      <c r="R139" s="117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R139" s="61" t="s">
        <v>75</v>
      </c>
      <c r="AS139" s="44">
        <v>101.82326041829094</v>
      </c>
    </row>
    <row r="140" spans="1:48" ht="19.5" customHeight="1">
      <c r="A140" s="120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74"/>
      <c r="P140" s="74"/>
      <c r="Q140" s="74"/>
      <c r="R140" s="117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R140" s="61" t="s">
        <v>52</v>
      </c>
      <c r="AS140" s="44">
        <v>101.61695886850373</v>
      </c>
    </row>
    <row r="141" spans="1:48" ht="19.5" customHeight="1">
      <c r="A141" s="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74"/>
      <c r="P141" s="74"/>
      <c r="Q141" s="74"/>
      <c r="R141" s="121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R141" s="61" t="s">
        <v>53</v>
      </c>
      <c r="AS141" s="44">
        <v>102.12566814142265</v>
      </c>
    </row>
    <row r="142" spans="1:48" ht="19.5" customHeight="1">
      <c r="A142" s="118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74"/>
      <c r="P142" s="74"/>
      <c r="Q142" s="74"/>
      <c r="R142" s="121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R142" s="61" t="s">
        <v>54</v>
      </c>
      <c r="AS142" s="44">
        <v>102.24323827834799</v>
      </c>
      <c r="AT142" s="73"/>
      <c r="AU142" s="73"/>
      <c r="AV142" s="73"/>
    </row>
    <row r="143" spans="1:48" s="73" customFormat="1" ht="19.5" customHeight="1">
      <c r="A143" s="118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74"/>
      <c r="P143" s="74"/>
      <c r="Q143" s="74"/>
      <c r="R143" s="121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R143" s="61" t="s">
        <v>55</v>
      </c>
      <c r="AS143" s="44">
        <v>102.34106701439609</v>
      </c>
    </row>
    <row r="144" spans="1:48" ht="19.5" customHeight="1">
      <c r="A144" s="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74"/>
      <c r="P144" s="74"/>
      <c r="Q144" s="74"/>
      <c r="R144" s="121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R144" s="61" t="s">
        <v>56</v>
      </c>
      <c r="AS144" s="44">
        <v>102.06719267346149</v>
      </c>
    </row>
    <row r="145" spans="1:60" ht="19.5" customHeight="1">
      <c r="A145" s="7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116"/>
      <c r="O145" s="17"/>
      <c r="P145" s="17"/>
      <c r="Q145" s="17"/>
      <c r="R145" s="79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R145" s="61" t="s">
        <v>57</v>
      </c>
      <c r="AS145" s="44">
        <v>103.25634477540279</v>
      </c>
    </row>
    <row r="146" spans="1:60">
      <c r="A146" s="7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116"/>
      <c r="O146" s="17"/>
      <c r="P146" s="17"/>
      <c r="Q146" s="17"/>
      <c r="R146" s="84"/>
      <c r="AR146" s="61" t="s">
        <v>58</v>
      </c>
      <c r="AS146" s="44">
        <v>103.43085978874505</v>
      </c>
    </row>
    <row r="147" spans="1:60">
      <c r="A147" s="62"/>
      <c r="B147" s="74"/>
      <c r="C147" s="63"/>
      <c r="D147" s="63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97"/>
      <c r="AR147" s="61" t="s">
        <v>59</v>
      </c>
      <c r="AS147" s="44">
        <v>104.3457858782799</v>
      </c>
    </row>
    <row r="148" spans="1:60" ht="15">
      <c r="A148" s="46"/>
      <c r="B148" s="2"/>
      <c r="C148" s="2"/>
      <c r="D148" s="2"/>
      <c r="E148" s="2"/>
      <c r="F148" s="2"/>
      <c r="G148" s="2"/>
      <c r="H148" s="2"/>
      <c r="I148" s="74"/>
      <c r="J148" s="74"/>
      <c r="K148" s="74"/>
      <c r="L148" s="74"/>
      <c r="M148" s="47"/>
      <c r="N148" s="74"/>
      <c r="O148" s="74"/>
      <c r="P148" s="74"/>
      <c r="Q148" s="74"/>
      <c r="R148" s="97"/>
      <c r="AR148" s="61" t="s">
        <v>60</v>
      </c>
      <c r="AS148" s="44">
        <v>104.94594055432941</v>
      </c>
    </row>
    <row r="149" spans="1:60" s="41" customFormat="1">
      <c r="A149" s="110"/>
      <c r="B149" s="17"/>
      <c r="C149" s="111"/>
      <c r="D149" s="111"/>
      <c r="E149" s="17"/>
      <c r="F149" s="17"/>
      <c r="G149" s="17"/>
      <c r="H149" s="10"/>
      <c r="I149" s="10"/>
      <c r="J149" s="10"/>
      <c r="K149" s="10"/>
      <c r="L149" s="10"/>
      <c r="M149" s="17"/>
      <c r="N149" s="79"/>
      <c r="O149" s="74"/>
      <c r="P149" s="74"/>
      <c r="Q149" s="74"/>
      <c r="R149" s="79"/>
      <c r="AR149" s="61" t="s">
        <v>61</v>
      </c>
      <c r="AS149" s="44">
        <v>105.07383775862121</v>
      </c>
    </row>
    <row r="150" spans="1:60" s="41" customFormat="1" ht="18" customHeight="1">
      <c r="A150" s="39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8"/>
      <c r="O150" s="48"/>
      <c r="P150" s="48"/>
      <c r="Q150" s="48"/>
      <c r="R150" s="93"/>
      <c r="AR150" s="61" t="s">
        <v>62</v>
      </c>
      <c r="AS150" s="44">
        <v>105.04357464879853</v>
      </c>
    </row>
    <row r="151" spans="1:60" ht="19.5" customHeight="1">
      <c r="A151" s="39"/>
      <c r="B151" s="112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4"/>
      <c r="O151" s="48"/>
      <c r="P151" s="48"/>
      <c r="Q151" s="48"/>
      <c r="R151" s="115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R151" s="61" t="s">
        <v>76</v>
      </c>
      <c r="AS151" s="54">
        <v>105.15896985278053</v>
      </c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4"/>
      <c r="BF151" s="54"/>
      <c r="BG151" s="54"/>
      <c r="BH151" s="54"/>
    </row>
    <row r="152" spans="1:60" ht="19.5" customHeight="1">
      <c r="A152" s="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74"/>
      <c r="P152" s="74"/>
      <c r="Q152" s="74"/>
      <c r="R152" s="117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R152" s="61" t="s">
        <v>52</v>
      </c>
      <c r="AS152" s="54">
        <v>105.01355186464795</v>
      </c>
      <c r="AT152" s="54"/>
    </row>
    <row r="153" spans="1:60" ht="19.5" customHeight="1">
      <c r="A153" s="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74"/>
      <c r="P153" s="74"/>
      <c r="Q153" s="74"/>
      <c r="R153" s="117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R153" s="61" t="s">
        <v>53</v>
      </c>
      <c r="AS153" s="54">
        <v>104.39801712089321</v>
      </c>
      <c r="AT153" s="54"/>
    </row>
    <row r="154" spans="1:60" ht="19.5" customHeight="1">
      <c r="A154" s="118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74"/>
      <c r="P154" s="74"/>
      <c r="Q154" s="74"/>
      <c r="R154" s="117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R154" s="61" t="s">
        <v>54</v>
      </c>
      <c r="AS154" s="54">
        <v>104.59296064304696</v>
      </c>
      <c r="AT154" s="54"/>
    </row>
    <row r="155" spans="1:60" ht="19.5" customHeight="1">
      <c r="A155" s="118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74"/>
      <c r="P155" s="74"/>
      <c r="Q155" s="74"/>
      <c r="R155" s="117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R155" s="61" t="s">
        <v>55</v>
      </c>
      <c r="AS155" s="54">
        <v>105.60752384285271</v>
      </c>
      <c r="AT155" s="54"/>
    </row>
    <row r="156" spans="1:60" ht="19.5" customHeight="1">
      <c r="A156" s="118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74"/>
      <c r="P156" s="74"/>
      <c r="Q156" s="74"/>
      <c r="R156" s="117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R156" s="61" t="s">
        <v>56</v>
      </c>
      <c r="AS156" s="54">
        <v>105.45481378593364</v>
      </c>
      <c r="AT156" s="54"/>
    </row>
    <row r="157" spans="1:60" ht="19.5" customHeight="1">
      <c r="A157" s="118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74"/>
      <c r="P157" s="74"/>
      <c r="Q157" s="74"/>
      <c r="R157" s="117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R157" s="61" t="s">
        <v>57</v>
      </c>
      <c r="AS157" s="54">
        <v>105.89024984877231</v>
      </c>
      <c r="AT157" s="54"/>
    </row>
    <row r="158" spans="1:60">
      <c r="A158" s="118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74"/>
      <c r="P158" s="74"/>
      <c r="Q158" s="74"/>
      <c r="R158" s="119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R158" s="61" t="s">
        <v>58</v>
      </c>
      <c r="AS158" s="54">
        <v>105.74086822284956</v>
      </c>
      <c r="AT158" s="54"/>
    </row>
    <row r="159" spans="1:60" ht="19.5" customHeight="1">
      <c r="A159" s="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74"/>
      <c r="P159" s="74"/>
      <c r="Q159" s="74"/>
      <c r="R159" s="117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R159" s="61" t="s">
        <v>59</v>
      </c>
      <c r="AS159" s="54">
        <v>105.8090548036067</v>
      </c>
      <c r="AT159" s="54"/>
    </row>
    <row r="160" spans="1:60" ht="19.5" customHeight="1">
      <c r="A160" s="120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74"/>
      <c r="P160" s="74"/>
      <c r="Q160" s="74"/>
      <c r="R160" s="117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R160" s="61" t="s">
        <v>60</v>
      </c>
      <c r="AS160" s="54">
        <v>105.85453303952553</v>
      </c>
      <c r="AT160" s="54"/>
    </row>
    <row r="161" spans="1:48" ht="19.5" customHeight="1">
      <c r="A161" s="120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74"/>
      <c r="P161" s="74"/>
      <c r="Q161" s="74"/>
      <c r="R161" s="117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R161" s="61" t="s">
        <v>61</v>
      </c>
      <c r="AS161" s="54">
        <v>105.44398185358602</v>
      </c>
      <c r="AT161" s="54"/>
    </row>
    <row r="162" spans="1:48" ht="19.5" customHeight="1">
      <c r="A162" s="120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74"/>
      <c r="P162" s="74"/>
      <c r="Q162" s="74"/>
      <c r="R162" s="117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R162" s="61" t="s">
        <v>62</v>
      </c>
      <c r="AS162" s="54">
        <v>105.60147673005247</v>
      </c>
      <c r="AT162" s="54"/>
    </row>
    <row r="163" spans="1:48" ht="19.5" customHeight="1">
      <c r="A163" s="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74"/>
      <c r="P163" s="74"/>
      <c r="Q163" s="74"/>
      <c r="R163" s="121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R163" s="61" t="s">
        <v>77</v>
      </c>
      <c r="AS163" s="44">
        <v>105.30480193359342</v>
      </c>
    </row>
    <row r="164" spans="1:48" ht="19.5" customHeight="1">
      <c r="A164" s="118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74"/>
      <c r="P164" s="74"/>
      <c r="Q164" s="74"/>
      <c r="R164" s="121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R164" s="61" t="s">
        <v>52</v>
      </c>
      <c r="AS164" s="13">
        <v>105.43217364780411</v>
      </c>
      <c r="AU164" s="73"/>
      <c r="AV164" s="73"/>
    </row>
    <row r="165" spans="1:48" s="73" customFormat="1" ht="19.5" customHeight="1">
      <c r="A165" s="118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74"/>
      <c r="P165" s="74"/>
      <c r="Q165" s="74"/>
      <c r="R165" s="121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P165" s="14"/>
      <c r="AQ165" s="14"/>
      <c r="AR165" s="61" t="s">
        <v>53</v>
      </c>
      <c r="AS165" s="13">
        <v>105.35756355895435</v>
      </c>
    </row>
    <row r="166" spans="1:48" ht="19.5" customHeight="1">
      <c r="A166" s="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74"/>
      <c r="P166" s="74"/>
      <c r="Q166" s="74"/>
      <c r="R166" s="121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P166" s="73"/>
      <c r="AQ166" s="73"/>
      <c r="AR166" s="61" t="s">
        <v>54</v>
      </c>
      <c r="AS166" s="44">
        <v>106.06388213106912</v>
      </c>
    </row>
    <row r="167" spans="1:48" ht="19.5" customHeight="1">
      <c r="A167" s="7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116"/>
      <c r="O167" s="74"/>
      <c r="P167" s="74"/>
      <c r="Q167" s="74"/>
      <c r="R167" s="79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P167" s="73"/>
      <c r="AQ167" s="73"/>
      <c r="AR167" s="61" t="s">
        <v>55</v>
      </c>
      <c r="AS167" s="44">
        <v>106.10127795050008</v>
      </c>
    </row>
    <row r="168" spans="1:48">
      <c r="A168" s="7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116"/>
      <c r="O168" s="74"/>
      <c r="P168" s="74"/>
      <c r="Q168" s="74"/>
      <c r="R168" s="84"/>
      <c r="AR168" s="61" t="s">
        <v>56</v>
      </c>
      <c r="AS168" s="44">
        <v>106.98715425252276</v>
      </c>
    </row>
    <row r="169" spans="1:48">
      <c r="A169" s="62"/>
      <c r="B169" s="74"/>
      <c r="C169" s="63"/>
      <c r="D169" s="63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97"/>
      <c r="AR169" s="61" t="s">
        <v>57</v>
      </c>
      <c r="AS169" s="44">
        <v>106.85657855404348</v>
      </c>
    </row>
    <row r="170" spans="1:48" ht="15">
      <c r="A170" s="46"/>
      <c r="B170" s="2"/>
      <c r="C170" s="2"/>
      <c r="D170" s="2"/>
      <c r="E170" s="2"/>
      <c r="F170" s="2"/>
      <c r="G170" s="2"/>
      <c r="H170" s="2"/>
      <c r="I170" s="74"/>
      <c r="J170" s="74"/>
      <c r="K170" s="74"/>
      <c r="L170" s="74"/>
      <c r="M170" s="47"/>
      <c r="N170" s="74"/>
      <c r="O170" s="74"/>
      <c r="P170" s="74"/>
      <c r="Q170" s="74"/>
      <c r="R170" s="97"/>
      <c r="AR170" s="61" t="s">
        <v>58</v>
      </c>
      <c r="AS170" s="44">
        <v>107.01969350992501</v>
      </c>
    </row>
    <row r="171" spans="1:48">
      <c r="A171" s="39"/>
      <c r="B171" s="17"/>
      <c r="C171" s="111"/>
      <c r="D171" s="111"/>
      <c r="E171" s="17"/>
      <c r="F171" s="17"/>
      <c r="G171" s="17"/>
      <c r="H171" s="10"/>
      <c r="I171" s="10"/>
      <c r="J171" s="10"/>
      <c r="K171" s="10"/>
      <c r="L171" s="10"/>
      <c r="M171" s="17"/>
      <c r="N171" s="79"/>
      <c r="O171" s="74"/>
      <c r="P171" s="74"/>
      <c r="Q171" s="74"/>
      <c r="R171" s="79"/>
      <c r="AR171" s="61" t="s">
        <v>59</v>
      </c>
      <c r="AS171" s="44">
        <v>106.97557619963439</v>
      </c>
    </row>
    <row r="172" spans="1:48">
      <c r="A172" s="39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8"/>
      <c r="O172" s="74"/>
      <c r="P172" s="74"/>
      <c r="Q172" s="74"/>
      <c r="R172" s="79"/>
      <c r="AR172" s="61" t="s">
        <v>60</v>
      </c>
      <c r="AS172" s="44">
        <v>106.95325296574117</v>
      </c>
    </row>
    <row r="173" spans="1:48" ht="22.5" customHeight="1">
      <c r="A173" s="62"/>
      <c r="B173" s="112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4"/>
      <c r="O173" s="74"/>
      <c r="P173" s="74"/>
      <c r="Q173" s="74"/>
      <c r="R173" s="97"/>
      <c r="AO173" s="1"/>
      <c r="AP173" s="66"/>
      <c r="AR173" s="61" t="s">
        <v>61</v>
      </c>
      <c r="AS173" s="44">
        <v>107.06489578214516</v>
      </c>
    </row>
    <row r="174" spans="1:48" ht="22.5" customHeight="1">
      <c r="A174" s="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74"/>
      <c r="P174" s="74"/>
      <c r="Q174" s="74"/>
      <c r="R174" s="117"/>
      <c r="AO174" s="1"/>
      <c r="AP174" s="66"/>
      <c r="AR174" s="61" t="s">
        <v>62</v>
      </c>
      <c r="AS174" s="44">
        <v>106.50307845458552</v>
      </c>
    </row>
    <row r="175" spans="1:48" ht="22.5" customHeight="1">
      <c r="A175" s="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74"/>
      <c r="P175" s="74"/>
      <c r="Q175" s="74"/>
      <c r="R175" s="117"/>
      <c r="AO175" s="1"/>
      <c r="AP175" s="66"/>
      <c r="AR175" s="61" t="s">
        <v>78</v>
      </c>
      <c r="AS175" s="64">
        <v>106.400717559509</v>
      </c>
      <c r="AT175" s="44"/>
    </row>
    <row r="176" spans="1:48" ht="22.5" customHeight="1">
      <c r="A176" s="118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74"/>
      <c r="P176" s="74"/>
      <c r="Q176" s="74"/>
      <c r="R176" s="117"/>
      <c r="AO176" s="1"/>
      <c r="AP176" s="66"/>
      <c r="AR176" s="61" t="s">
        <v>52</v>
      </c>
      <c r="AS176" s="64">
        <v>106.63038619744921</v>
      </c>
    </row>
    <row r="177" spans="1:48" ht="22.5" customHeight="1">
      <c r="A177" s="118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74"/>
      <c r="P177" s="74"/>
      <c r="Q177" s="74"/>
      <c r="R177" s="117"/>
      <c r="AO177" s="1"/>
      <c r="AP177" s="66"/>
      <c r="AR177" s="61" t="s">
        <v>53</v>
      </c>
      <c r="AS177" s="64">
        <v>106.062411174174</v>
      </c>
    </row>
    <row r="178" spans="1:48" ht="22.5" customHeight="1">
      <c r="A178" s="118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74"/>
      <c r="P178" s="74"/>
      <c r="Q178" s="74"/>
      <c r="R178" s="117"/>
      <c r="AO178" s="1"/>
      <c r="AP178" s="66"/>
      <c r="AR178" s="61" t="s">
        <v>54</v>
      </c>
      <c r="AS178" s="64">
        <v>105.86893022730047</v>
      </c>
    </row>
    <row r="179" spans="1:48" ht="15">
      <c r="A179" s="118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74"/>
      <c r="P179" s="74"/>
      <c r="Q179" s="74"/>
      <c r="R179" s="117"/>
      <c r="AO179" s="1"/>
      <c r="AP179" s="66"/>
      <c r="AR179" s="61" t="s">
        <v>55</v>
      </c>
      <c r="AS179" s="64">
        <v>105.93595093311723</v>
      </c>
    </row>
    <row r="180" spans="1:48" ht="30" customHeight="1">
      <c r="A180" s="118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74"/>
      <c r="P180" s="74"/>
      <c r="Q180" s="74"/>
      <c r="R180" s="119"/>
      <c r="AO180" s="1"/>
      <c r="AP180" s="66"/>
      <c r="AR180" s="61" t="s">
        <v>56</v>
      </c>
      <c r="AS180" s="64">
        <v>106.16673824347546</v>
      </c>
    </row>
    <row r="181" spans="1:48" ht="22.5" customHeight="1">
      <c r="A181" s="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74"/>
      <c r="P181" s="74"/>
      <c r="Q181" s="74"/>
      <c r="R181" s="117"/>
      <c r="AO181" s="1"/>
      <c r="AP181" s="66"/>
      <c r="AR181" s="61" t="s">
        <v>57</v>
      </c>
      <c r="AS181" s="64">
        <v>106.44633482430255</v>
      </c>
    </row>
    <row r="182" spans="1:48" ht="22.5" customHeight="1">
      <c r="A182" s="120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74"/>
      <c r="P182" s="74"/>
      <c r="Q182" s="74"/>
      <c r="R182" s="117"/>
      <c r="AO182" s="1"/>
      <c r="AP182" s="66"/>
      <c r="AR182" s="61" t="s">
        <v>58</v>
      </c>
      <c r="AS182" s="64">
        <v>106.34650731154315</v>
      </c>
    </row>
    <row r="183" spans="1:48" ht="22.5" customHeight="1">
      <c r="A183" s="120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74"/>
      <c r="P183" s="74"/>
      <c r="Q183" s="74"/>
      <c r="R183" s="117"/>
      <c r="AO183" s="1"/>
      <c r="AP183" s="66"/>
      <c r="AR183" s="61" t="s">
        <v>59</v>
      </c>
      <c r="AS183" s="64">
        <v>106.75036802647057</v>
      </c>
    </row>
    <row r="184" spans="1:48" ht="22.5" customHeight="1">
      <c r="A184" s="120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74"/>
      <c r="P184" s="74"/>
      <c r="Q184" s="74"/>
      <c r="R184" s="117"/>
      <c r="AO184" s="1"/>
      <c r="AP184" s="66"/>
      <c r="AR184" s="61" t="s">
        <v>60</v>
      </c>
      <c r="AS184" s="64">
        <v>108.78521616648365</v>
      </c>
    </row>
    <row r="185" spans="1:48" ht="18" customHeight="1">
      <c r="A185" s="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74"/>
      <c r="P185" s="74"/>
      <c r="Q185" s="74"/>
      <c r="R185" s="121"/>
      <c r="AO185" s="1"/>
      <c r="AP185" s="66"/>
      <c r="AR185" s="61" t="s">
        <v>61</v>
      </c>
      <c r="AS185" s="64">
        <v>108.6699796816679</v>
      </c>
    </row>
    <row r="186" spans="1:48" s="73" customFormat="1" ht="22.5" customHeight="1">
      <c r="A186" s="118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74"/>
      <c r="P186" s="74"/>
      <c r="Q186" s="74"/>
      <c r="R186" s="121"/>
      <c r="AO186" s="1"/>
      <c r="AP186" s="66"/>
      <c r="AQ186" s="14"/>
      <c r="AR186" s="61" t="s">
        <v>62</v>
      </c>
      <c r="AS186" s="64">
        <v>108.97152391399352</v>
      </c>
      <c r="AT186" s="14"/>
      <c r="AU186" s="14"/>
      <c r="AV186" s="14"/>
    </row>
    <row r="187" spans="1:48" s="73" customFormat="1" ht="22.5" customHeight="1">
      <c r="A187" s="118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2"/>
      <c r="P187" s="2"/>
      <c r="Q187" s="2"/>
      <c r="R187" s="121"/>
      <c r="AO187" s="1"/>
      <c r="AP187" s="66"/>
      <c r="AQ187" s="14"/>
      <c r="AR187" s="61" t="s">
        <v>79</v>
      </c>
      <c r="AS187" s="64">
        <v>109.49980955008905</v>
      </c>
      <c r="AT187" s="14"/>
      <c r="AU187" s="14"/>
      <c r="AV187" s="14"/>
    </row>
    <row r="188" spans="1:48" ht="22.5" customHeight="1">
      <c r="A188" s="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2"/>
      <c r="P188" s="2"/>
      <c r="Q188" s="2"/>
      <c r="R188" s="121"/>
      <c r="AP188" s="66"/>
      <c r="AR188" s="61" t="s">
        <v>52</v>
      </c>
      <c r="AS188" s="64">
        <v>109.88576174896833</v>
      </c>
    </row>
    <row r="189" spans="1:48" ht="22.5" customHeight="1">
      <c r="A189" s="7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116"/>
      <c r="O189" s="74"/>
      <c r="P189" s="74"/>
      <c r="Q189" s="74"/>
      <c r="R189" s="79"/>
      <c r="AP189" s="66"/>
      <c r="AR189" s="61" t="s">
        <v>53</v>
      </c>
      <c r="AS189" s="64">
        <v>110.60323178045907</v>
      </c>
    </row>
    <row r="190" spans="1:48">
      <c r="A190" s="7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116"/>
      <c r="O190" s="74"/>
      <c r="P190" s="74"/>
      <c r="Q190" s="74"/>
      <c r="R190" s="84"/>
      <c r="AR190" s="61" t="s">
        <v>54</v>
      </c>
      <c r="AS190" s="64">
        <v>110.59194937513206</v>
      </c>
    </row>
    <row r="191" spans="1:48">
      <c r="A191" s="7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74"/>
      <c r="N191" s="74"/>
      <c r="O191" s="74"/>
      <c r="P191" s="74"/>
      <c r="Q191" s="74"/>
      <c r="R191" s="121"/>
      <c r="AR191" s="61" t="s">
        <v>55</v>
      </c>
      <c r="AS191" s="64">
        <v>110.85201445600245</v>
      </c>
    </row>
    <row r="192" spans="1:48" ht="15">
      <c r="A192" s="62"/>
      <c r="B192" s="74"/>
      <c r="C192" s="63"/>
      <c r="D192" s="63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97"/>
      <c r="AR192" s="61" t="s">
        <v>56</v>
      </c>
      <c r="AS192" s="64">
        <v>109.74800644419963</v>
      </c>
    </row>
    <row r="193" spans="1:58" ht="15">
      <c r="A193" s="62"/>
      <c r="B193" s="74"/>
      <c r="C193" s="63"/>
      <c r="D193" s="63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97"/>
      <c r="AR193" s="61" t="s">
        <v>57</v>
      </c>
      <c r="AS193" s="64">
        <v>109.6669128495823</v>
      </c>
    </row>
    <row r="194" spans="1:58" ht="15">
      <c r="A194" s="62"/>
      <c r="B194" s="74"/>
      <c r="C194" s="63"/>
      <c r="D194" s="63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97"/>
      <c r="AR194" s="61" t="s">
        <v>58</v>
      </c>
      <c r="AS194" s="64">
        <v>109.27002315425663</v>
      </c>
    </row>
    <row r="195" spans="1:58" ht="15">
      <c r="A195" s="62"/>
      <c r="B195" s="74"/>
      <c r="C195" s="63"/>
      <c r="D195" s="63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97"/>
      <c r="AR195" s="61" t="s">
        <v>59</v>
      </c>
      <c r="AS195" s="64">
        <v>109.83466504100939</v>
      </c>
    </row>
    <row r="196" spans="1:58" ht="15">
      <c r="A196" s="62"/>
      <c r="B196" s="74"/>
      <c r="C196" s="63"/>
      <c r="D196" s="63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97"/>
      <c r="AR196" s="61" t="s">
        <v>60</v>
      </c>
      <c r="AS196" s="64">
        <v>109.5388392789536</v>
      </c>
    </row>
    <row r="197" spans="1:58" ht="15">
      <c r="A197" s="62"/>
      <c r="B197" s="74"/>
      <c r="C197" s="63"/>
      <c r="D197" s="63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97"/>
      <c r="AR197" s="61" t="s">
        <v>61</v>
      </c>
      <c r="AS197" s="64">
        <v>109.34008741675697</v>
      </c>
    </row>
    <row r="198" spans="1:58" ht="15">
      <c r="A198" s="62"/>
      <c r="B198" s="74"/>
      <c r="C198" s="63"/>
      <c r="D198" s="63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97"/>
      <c r="AR198" s="61" t="s">
        <v>62</v>
      </c>
      <c r="AS198" s="64">
        <v>110.35293458574249</v>
      </c>
    </row>
    <row r="199" spans="1:58" ht="15">
      <c r="A199" s="62"/>
      <c r="B199" s="74"/>
      <c r="C199" s="63"/>
      <c r="D199" s="63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97"/>
      <c r="AR199" s="61" t="s">
        <v>80</v>
      </c>
      <c r="AS199" s="65">
        <v>110.69350514191611</v>
      </c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</row>
    <row r="200" spans="1:58" ht="15">
      <c r="A200" s="62"/>
      <c r="B200" s="74"/>
      <c r="C200" s="63"/>
      <c r="D200" s="63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97"/>
      <c r="AR200" s="61" t="s">
        <v>52</v>
      </c>
      <c r="AS200" s="65">
        <v>111.0034911865295</v>
      </c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</row>
    <row r="201" spans="1:58" ht="15">
      <c r="A201" s="62"/>
      <c r="B201" s="74"/>
      <c r="C201" s="63"/>
      <c r="D201" s="63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97"/>
      <c r="AR201" s="61" t="s">
        <v>53</v>
      </c>
      <c r="AS201" s="65">
        <v>110.76093918113826</v>
      </c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</row>
    <row r="202" spans="1:58" ht="15">
      <c r="A202" s="62"/>
      <c r="B202" s="74"/>
      <c r="C202" s="63"/>
      <c r="D202" s="63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97"/>
      <c r="AR202" s="61" t="s">
        <v>54</v>
      </c>
      <c r="AS202" s="65">
        <v>108.89245390904621</v>
      </c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</row>
    <row r="203" spans="1:58" ht="15">
      <c r="A203" s="62"/>
      <c r="B203" s="74"/>
      <c r="C203" s="63"/>
      <c r="D203" s="63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97"/>
      <c r="AR203" s="61" t="s">
        <v>55</v>
      </c>
      <c r="AS203" s="65">
        <v>108.51463443023214</v>
      </c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</row>
    <row r="204" spans="1:58" ht="15">
      <c r="A204" s="62"/>
      <c r="B204" s="74"/>
      <c r="C204" s="63"/>
      <c r="D204" s="63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97"/>
      <c r="AR204" s="61" t="s">
        <v>56</v>
      </c>
      <c r="AS204" s="65">
        <v>108.72807281591703</v>
      </c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</row>
    <row r="205" spans="1:58" ht="15">
      <c r="A205" s="62"/>
      <c r="B205" s="74"/>
      <c r="C205" s="63"/>
      <c r="D205" s="63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97"/>
      <c r="AR205" s="61" t="s">
        <v>57</v>
      </c>
      <c r="AS205" s="65">
        <v>109.32031589254262</v>
      </c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</row>
    <row r="206" spans="1:58" ht="15">
      <c r="A206" s="62"/>
      <c r="B206" s="74"/>
      <c r="C206" s="63"/>
      <c r="D206" s="63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97"/>
      <c r="AR206" s="61" t="s">
        <v>58</v>
      </c>
      <c r="AS206" s="65">
        <v>110.82427901903849</v>
      </c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</row>
    <row r="207" spans="1:58" ht="15">
      <c r="A207" s="62"/>
      <c r="B207" s="74"/>
      <c r="C207" s="63"/>
      <c r="D207" s="63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97"/>
      <c r="AR207" s="61" t="s">
        <v>59</v>
      </c>
      <c r="AS207" s="65">
        <v>110.07416684510345</v>
      </c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</row>
    <row r="208" spans="1:58" ht="15">
      <c r="A208" s="62"/>
      <c r="B208" s="74"/>
      <c r="C208" s="63"/>
      <c r="D208" s="63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97"/>
      <c r="AR208" s="61" t="s">
        <v>60</v>
      </c>
      <c r="AS208" s="65">
        <v>109.5777691858395</v>
      </c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</row>
    <row r="209" spans="1:58" ht="15">
      <c r="A209" s="62"/>
      <c r="B209" s="74"/>
      <c r="C209" s="63"/>
      <c r="D209" s="63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97"/>
      <c r="AR209" s="61" t="s">
        <v>61</v>
      </c>
      <c r="AS209" s="65">
        <v>109.66122266267195</v>
      </c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</row>
    <row r="210" spans="1:58" ht="15">
      <c r="A210" s="62"/>
      <c r="B210" s="74"/>
      <c r="C210" s="63"/>
      <c r="D210" s="63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97"/>
      <c r="AR210" s="61" t="s">
        <v>62</v>
      </c>
      <c r="AS210" s="65">
        <v>109.37394472691939</v>
      </c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</row>
    <row r="211" spans="1:58" ht="15">
      <c r="A211" s="62"/>
      <c r="B211" s="74"/>
      <c r="C211" s="63"/>
      <c r="D211" s="63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97"/>
      <c r="AR211" s="61" t="s">
        <v>81</v>
      </c>
      <c r="AS211" s="64">
        <v>99.024145997101201</v>
      </c>
    </row>
    <row r="212" spans="1:58" ht="15">
      <c r="A212" s="62"/>
      <c r="B212" s="74"/>
      <c r="C212" s="63"/>
      <c r="D212" s="63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97"/>
      <c r="AR212" s="61" t="s">
        <v>52</v>
      </c>
      <c r="AS212" s="64">
        <v>99.344804114687122</v>
      </c>
    </row>
    <row r="213" spans="1:58" ht="15">
      <c r="A213" s="62"/>
      <c r="B213" s="74"/>
      <c r="C213" s="63"/>
      <c r="D213" s="63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97"/>
      <c r="AR213" s="61" t="s">
        <v>53</v>
      </c>
      <c r="AS213" s="64">
        <v>99.132707625477963</v>
      </c>
    </row>
    <row r="214" spans="1:58" ht="15">
      <c r="A214" s="62"/>
      <c r="B214" s="74"/>
      <c r="C214" s="63"/>
      <c r="D214" s="63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97"/>
      <c r="AR214" s="61" t="s">
        <v>54</v>
      </c>
      <c r="AS214" s="64">
        <v>99.533742480414617</v>
      </c>
    </row>
    <row r="215" spans="1:58" ht="15">
      <c r="A215" s="62"/>
      <c r="B215" s="74"/>
      <c r="C215" s="63"/>
      <c r="D215" s="63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97"/>
      <c r="AR215" s="61" t="s">
        <v>55</v>
      </c>
      <c r="AS215" s="64">
        <v>99.847391328514448</v>
      </c>
    </row>
    <row r="216" spans="1:58" ht="15">
      <c r="A216" s="62"/>
      <c r="B216" s="74"/>
      <c r="C216" s="63"/>
      <c r="D216" s="63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97"/>
      <c r="AR216" s="61" t="s">
        <v>56</v>
      </c>
      <c r="AS216" s="64">
        <v>100.09029082934444</v>
      </c>
    </row>
    <row r="217" spans="1:58" ht="15">
      <c r="A217" s="62"/>
      <c r="B217" s="74"/>
      <c r="C217" s="63"/>
      <c r="D217" s="63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97"/>
      <c r="AR217" s="61" t="s">
        <v>57</v>
      </c>
      <c r="AS217" s="64">
        <v>99.363852263327374</v>
      </c>
    </row>
    <row r="218" spans="1:58" ht="15">
      <c r="A218" s="62"/>
      <c r="B218" s="74"/>
      <c r="C218" s="63"/>
      <c r="D218" s="63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97"/>
      <c r="AR218" s="61" t="s">
        <v>58</v>
      </c>
      <c r="AS218" s="64">
        <v>100</v>
      </c>
    </row>
    <row r="219" spans="1:58" ht="15">
      <c r="A219" s="62"/>
      <c r="B219" s="74"/>
      <c r="C219" s="63"/>
      <c r="D219" s="63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97"/>
      <c r="AR219" s="61" t="s">
        <v>59</v>
      </c>
      <c r="AS219" s="64">
        <v>99.76655720061612</v>
      </c>
    </row>
    <row r="220" spans="1:58" ht="15">
      <c r="A220" s="62"/>
      <c r="B220" s="74"/>
      <c r="C220" s="63"/>
      <c r="D220" s="63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97"/>
      <c r="AR220" s="61" t="s">
        <v>60</v>
      </c>
      <c r="AS220" s="64">
        <v>100.04280196173474</v>
      </c>
    </row>
    <row r="221" spans="1:58" ht="15">
      <c r="A221" s="62"/>
      <c r="B221" s="74"/>
      <c r="C221" s="63"/>
      <c r="D221" s="63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97"/>
      <c r="AR221" s="61" t="s">
        <v>61</v>
      </c>
      <c r="AS221" s="64">
        <v>99.911763852084249</v>
      </c>
    </row>
    <row r="222" spans="1:58" ht="15">
      <c r="A222" s="62"/>
      <c r="B222" s="74"/>
      <c r="C222" s="63"/>
      <c r="D222" s="63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97"/>
      <c r="AR222" s="61" t="s">
        <v>62</v>
      </c>
      <c r="AS222" s="64">
        <v>100.39026462014091</v>
      </c>
    </row>
    <row r="223" spans="1:58">
      <c r="A223" s="62"/>
      <c r="B223" s="74"/>
      <c r="C223" s="63"/>
      <c r="D223" s="63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97"/>
    </row>
    <row r="224" spans="1:58">
      <c r="A224" s="62"/>
      <c r="B224" s="74"/>
      <c r="C224" s="63"/>
      <c r="D224" s="63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97"/>
    </row>
    <row r="225" spans="1:18">
      <c r="A225" s="62"/>
      <c r="B225" s="74"/>
      <c r="C225" s="63"/>
      <c r="D225" s="63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97"/>
    </row>
    <row r="226" spans="1:18">
      <c r="A226" s="62"/>
      <c r="B226" s="74"/>
      <c r="C226" s="63"/>
      <c r="D226" s="63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97"/>
    </row>
    <row r="227" spans="1:18">
      <c r="A227" s="62"/>
      <c r="B227" s="74"/>
      <c r="C227" s="63"/>
      <c r="D227" s="63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97"/>
    </row>
    <row r="228" spans="1:18">
      <c r="A228" s="62"/>
      <c r="B228" s="74"/>
      <c r="C228" s="63"/>
      <c r="D228" s="63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97"/>
    </row>
    <row r="229" spans="1:18">
      <c r="A229" s="62"/>
      <c r="B229" s="74"/>
      <c r="C229" s="63"/>
      <c r="D229" s="63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97"/>
    </row>
    <row r="230" spans="1:18">
      <c r="A230" s="62"/>
      <c r="B230" s="74"/>
      <c r="C230" s="63"/>
      <c r="D230" s="63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97"/>
    </row>
    <row r="231" spans="1:18">
      <c r="A231" s="62"/>
      <c r="B231" s="74"/>
      <c r="C231" s="63"/>
      <c r="D231" s="63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97"/>
    </row>
    <row r="232" spans="1:18">
      <c r="A232" s="62"/>
      <c r="B232" s="74"/>
      <c r="C232" s="63"/>
      <c r="D232" s="63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97"/>
    </row>
    <row r="233" spans="1:18">
      <c r="A233" s="62"/>
      <c r="B233" s="74"/>
      <c r="C233" s="63"/>
      <c r="D233" s="63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97"/>
    </row>
    <row r="234" spans="1:18">
      <c r="A234" s="62"/>
      <c r="B234" s="74"/>
      <c r="C234" s="63"/>
      <c r="D234" s="63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97"/>
    </row>
  </sheetData>
  <mergeCells count="9">
    <mergeCell ref="A123:R123"/>
    <mergeCell ref="A124:R124"/>
    <mergeCell ref="A125:R125"/>
    <mergeCell ref="A1:R1"/>
    <mergeCell ref="A2:R2"/>
    <mergeCell ref="A3:R3"/>
    <mergeCell ref="A4:R4"/>
    <mergeCell ref="A121:R121"/>
    <mergeCell ref="A122:R122"/>
  </mergeCells>
  <pageMargins left="0.7" right="0.7" top="0.75" bottom="0.75" header="0.3" footer="0.3"/>
  <pageSetup scale="33" orientation="portrait" horizontalDpi="0" verticalDpi="0" r:id="rId1"/>
  <rowBreaks count="1" manualBreakCount="1">
    <brk id="113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17.6</vt:lpstr>
      <vt:lpstr>'17.6'!Print_Area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2020-08-08T06:10:15Z</cp:lastPrinted>
  <dcterms:created xsi:type="dcterms:W3CDTF">2019-03-21T03:27:43Z</dcterms:created>
  <dcterms:modified xsi:type="dcterms:W3CDTF">2020-08-08T06:10:57Z</dcterms:modified>
</cp:coreProperties>
</file>