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8800" windowHeight="11835" tabRatio="793"/>
  </bookViews>
  <sheets>
    <sheet name="17.4" sheetId="4" r:id="rId1"/>
  </sheets>
  <definedNames>
    <definedName name="_xlnm.Print_Area" localSheetId="0">'17.4'!$A$1:$P$31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3" i="4" l="1"/>
  <c r="N26" i="4"/>
  <c r="N25" i="4"/>
  <c r="N24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</calcChain>
</file>

<file path=xl/sharedStrings.xml><?xml version="1.0" encoding="utf-8"?>
<sst xmlns="http://schemas.openxmlformats.org/spreadsheetml/2006/main" count="81" uniqueCount="75">
  <si>
    <t>(cnegiawlwbcSwa 100 IkwDnwgcnim eg 2012 cnUj)</t>
  </si>
  <si>
    <t>na</t>
  </si>
  <si>
    <t xml:space="preserve">Source:  National  Bureau of Statistics   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</si>
  <si>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</si>
  <si>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</si>
  <si>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</si>
  <si>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</si>
  <si>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</si>
  <si>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</si>
  <si>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</si>
  <si>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</si>
  <si>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</si>
  <si>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</si>
  <si>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</si>
  <si>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</si>
  <si>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</si>
  <si>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</si>
  <si>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</si>
  <si>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</si>
  <si>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</si>
  <si>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</si>
  <si>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</si>
  <si>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</si>
  <si>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</si>
  <si>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</si>
  <si>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</si>
  <si>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</si>
  <si>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</si>
  <si>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</si>
  <si>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</si>
  <si>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na- Not available</t>
  </si>
  <si>
    <t>Monthly CPI</t>
  </si>
  <si>
    <t>iawa.Ip.Is eguhwmcswm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</si>
  <si>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</si>
  <si>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</si>
  <si>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</si>
  <si>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</si>
  <si>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</si>
  <si>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</si>
  <si>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</si>
  <si>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</si>
  <si>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</si>
  <si>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</si>
  <si>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</si>
  <si>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</si>
  <si>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</si>
  <si>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</si>
  <si>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</si>
  <si>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</si>
  <si>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</si>
  <si>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</si>
  <si>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</si>
  <si>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</si>
  <si>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</si>
  <si>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</si>
  <si>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</si>
  <si>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</si>
  <si>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</si>
  <si>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Jan-Dec</t>
  </si>
  <si>
    <t>Table 17.4 :   CPI GROUPS, by months,  Republic,  2019</t>
  </si>
  <si>
    <t>2019 ,cSwaejcaWr ,uDnwgcnim egugwa egurWzWb uhwmcswmikea : 17.4 ulwvWt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</si>
  <si>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</si>
  <si>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</si>
  <si>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</si>
  <si>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</si>
  <si>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</si>
  <si>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</si>
  <si>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</si>
  <si>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</si>
  <si>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</si>
  <si>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</si>
  <si>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</si>
  <si>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</si>
  <si>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In 2019, base of ndex: Aug 2019=100, COICOP 2018 has been adopted in the rebased series</t>
  </si>
  <si>
    <t>އިންޝުއަރެންސް އަދި މާލީ ޚިދުމަތްތައް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</si>
</sst>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0.0"/>
    <numFmt numFmtId="169" formatCode="_-* #,##0.00_-;\-* #,##0.00_-;_-* &quot;-&quot;??_-;_-@_-"/>
    <numFmt numFmtId="171" formatCode="0.00_)"/>
    <numFmt numFmtId="173" formatCode="_-* #,##0.00\ _ރ_._-;_-* #,##0.00\ _ރ_.\-;_-* &quot;-&quot;??\ _ރ_.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_Randhoo"/>
    </font>
    <font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164" fontId="3" fillId="0" borderId="0"/>
    <xf numFmtId="0" fontId="5" fillId="0" borderId="0"/>
    <xf numFmtId="164" fontId="3" fillId="0" borderId="0"/>
    <xf numFmtId="164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5" fillId="0" borderId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18" fillId="0" borderId="0"/>
    <xf numFmtId="9" fontId="5" fillId="0" borderId="0" applyFont="0" applyFill="0" applyBorder="0" applyAlignment="0" applyProtection="0"/>
    <xf numFmtId="0" fontId="1" fillId="0" borderId="0"/>
    <xf numFmtId="17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/>
  </cellStyleXfs>
  <cellXfs count="50">
    <xf numFmtId="0" fontId="0" fillId="0" borderId="0" xfId="0"/>
    <xf numFmtId="0" fontId="0" fillId="2" borderId="0" xfId="0" applyFill="1"/>
    <xf numFmtId="0" fontId="9" fillId="2" borderId="0" xfId="0" applyFont="1" applyFill="1"/>
    <xf numFmtId="0" fontId="9" fillId="2" borderId="0" xfId="2" applyFont="1" applyFill="1"/>
    <xf numFmtId="0" fontId="6" fillId="2" borderId="3" xfId="2" applyFont="1" applyFill="1" applyBorder="1" applyAlignment="1">
      <alignment vertical="center"/>
    </xf>
    <xf numFmtId="0" fontId="5" fillId="2" borderId="3" xfId="2" applyFont="1" applyFill="1" applyBorder="1"/>
    <xf numFmtId="164" fontId="12" fillId="2" borderId="0" xfId="4" applyFont="1" applyFill="1" applyAlignment="1">
      <alignment vertical="center" wrapText="1"/>
    </xf>
    <xf numFmtId="165" fontId="12" fillId="2" borderId="0" xfId="5" applyNumberFormat="1" applyFont="1" applyFill="1" applyBorder="1" applyAlignment="1">
      <alignment horizontal="right" vertical="center"/>
    </xf>
    <xf numFmtId="164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4" fontId="12" fillId="2" borderId="0" xfId="4" applyFont="1" applyFill="1" applyBorder="1" applyAlignment="1">
      <alignment vertical="center" wrapText="1"/>
    </xf>
    <xf numFmtId="164" fontId="11" fillId="2" borderId="0" xfId="4" applyFont="1" applyFill="1" applyBorder="1" applyAlignment="1">
      <alignment vertical="center"/>
    </xf>
    <xf numFmtId="165" fontId="11" fillId="2" borderId="0" xfId="5" applyNumberFormat="1" applyFont="1" applyFill="1" applyBorder="1" applyAlignment="1">
      <alignment horizontal="right" vertical="center"/>
    </xf>
    <xf numFmtId="164" fontId="11" fillId="2" borderId="1" xfId="4" applyFont="1" applyFill="1" applyBorder="1" applyAlignment="1">
      <alignment vertical="center"/>
    </xf>
    <xf numFmtId="0" fontId="13" fillId="2" borderId="0" xfId="0" applyFont="1" applyFill="1" applyAlignment="1">
      <alignment horizontal="left" vertical="center" indent="1"/>
    </xf>
    <xf numFmtId="165" fontId="11" fillId="2" borderId="1" xfId="5" applyNumberFormat="1" applyFont="1" applyFill="1" applyBorder="1" applyAlignment="1">
      <alignment horizontal="right" vertical="center"/>
    </xf>
    <xf numFmtId="164" fontId="15" fillId="2" borderId="0" xfId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2" xfId="2" applyFont="1" applyFill="1" applyBorder="1" applyAlignment="1">
      <alignment horizontal="left"/>
    </xf>
    <xf numFmtId="0" fontId="11" fillId="2" borderId="0" xfId="2" applyFont="1" applyFill="1" applyBorder="1" applyAlignment="1">
      <alignment horizontal="left" vertical="center"/>
    </xf>
    <xf numFmtId="165" fontId="14" fillId="2" borderId="0" xfId="0" applyNumberFormat="1" applyFont="1" applyFill="1" applyAlignment="1">
      <alignment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2" fontId="11" fillId="2" borderId="0" xfId="5" applyNumberFormat="1" applyFont="1" applyFill="1" applyBorder="1" applyAlignment="1">
      <alignment horizontal="right" vertical="center"/>
    </xf>
    <xf numFmtId="2" fontId="11" fillId="2" borderId="1" xfId="5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horizontal="right" vertical="center"/>
    </xf>
    <xf numFmtId="164" fontId="7" fillId="2" borderId="0" xfId="1" applyFont="1" applyFill="1" applyBorder="1" applyAlignment="1" applyProtection="1">
      <alignment horizontal="left" vertical="center"/>
    </xf>
    <xf numFmtId="164" fontId="6" fillId="2" borderId="0" xfId="1" applyFont="1" applyFill="1" applyBorder="1" applyAlignment="1" applyProtection="1">
      <alignment horizontal="center" vertical="center"/>
    </xf>
    <xf numFmtId="164" fontId="21" fillId="2" borderId="0" xfId="3" applyFont="1" applyFill="1" applyAlignment="1">
      <alignment horizontal="right" vertical="center"/>
    </xf>
    <xf numFmtId="164" fontId="21" fillId="2" borderId="0" xfId="3" applyFont="1" applyFill="1" applyAlignment="1">
      <alignment horizontal="right" vertical="center" indent="1"/>
    </xf>
    <xf numFmtId="164" fontId="21" fillId="2" borderId="0" xfId="1" applyFont="1" applyFill="1" applyAlignment="1">
      <alignment horizontal="right" vertical="center"/>
    </xf>
    <xf numFmtId="164" fontId="19" fillId="2" borderId="0" xfId="3" applyFont="1" applyFill="1" applyBorder="1" applyAlignment="1">
      <alignment horizontal="right" vertical="center"/>
    </xf>
    <xf numFmtId="164" fontId="19" fillId="2" borderId="0" xfId="1" applyFont="1" applyFill="1" applyBorder="1" applyAlignment="1" applyProtection="1">
      <alignment horizontal="center" vertical="center"/>
    </xf>
    <xf numFmtId="164" fontId="19" fillId="2" borderId="1" xfId="1" applyFont="1" applyFill="1" applyBorder="1" applyAlignment="1">
      <alignment horizontal="right" vertical="center"/>
    </xf>
    <xf numFmtId="0" fontId="22" fillId="2" borderId="0" xfId="0" applyFont="1" applyFill="1"/>
    <xf numFmtId="164" fontId="19" fillId="2" borderId="3" xfId="3" applyFont="1" applyFill="1" applyBorder="1" applyAlignment="1">
      <alignment horizontal="right" vertical="center"/>
    </xf>
    <xf numFmtId="164" fontId="19" fillId="2" borderId="0" xfId="3" applyFont="1" applyFill="1" applyBorder="1" applyAlignment="1">
      <alignment horizontal="right" vertical="center" wrapText="1"/>
    </xf>
    <xf numFmtId="0" fontId="21" fillId="2" borderId="2" xfId="2" applyFont="1" applyFill="1" applyBorder="1" applyAlignment="1">
      <alignment horizontal="right"/>
    </xf>
    <xf numFmtId="0" fontId="20" fillId="2" borderId="0" xfId="2" applyFont="1" applyFill="1" applyBorder="1" applyAlignment="1">
      <alignment horizontal="right" vertical="center"/>
    </xf>
    <xf numFmtId="0" fontId="19" fillId="2" borderId="1" xfId="2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164" fontId="21" fillId="2" borderId="0" xfId="3" applyFont="1" applyFill="1" applyAlignment="1">
      <alignment horizontal="right" vertical="center" wrapText="1"/>
    </xf>
    <xf numFmtId="164" fontId="4" fillId="2" borderId="0" xfId="1" applyFont="1" applyFill="1" applyAlignment="1">
      <alignment horizontal="center" vertical="center"/>
    </xf>
    <xf numFmtId="164" fontId="23" fillId="2" borderId="0" xfId="1" applyFont="1" applyFill="1" applyAlignment="1">
      <alignment horizontal="center" vertical="center" wrapText="1"/>
    </xf>
    <xf numFmtId="164" fontId="10" fillId="2" borderId="1" xfId="1" applyFont="1" applyFill="1" applyBorder="1" applyAlignment="1" applyProtection="1">
      <alignment horizontal="center" vertical="center"/>
    </xf>
    <xf numFmtId="164" fontId="11" fillId="2" borderId="4" xfId="1" applyFont="1" applyFill="1" applyBorder="1" applyAlignment="1" applyProtection="1">
      <alignment horizontal="center" vertical="center"/>
    </xf>
    <xf numFmtId="164" fontId="2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9">
    <cellStyle name="1" xfId="10"/>
    <cellStyle name="Comma 2" xfId="11"/>
    <cellStyle name="Comma 2 2" xfId="16"/>
    <cellStyle name="Comma 3" xfId="12"/>
    <cellStyle name="Comma 3 2" xfId="6"/>
    <cellStyle name="Normal" xfId="0" builtinId="0"/>
    <cellStyle name="Normal - Style1" xfId="13"/>
    <cellStyle name="Normal 2" xfId="15"/>
    <cellStyle name="Normal 3" xfId="7"/>
    <cellStyle name="Normal 4" xfId="8"/>
    <cellStyle name="Normal 5" xfId="9"/>
    <cellStyle name="Normal 6" xfId="18"/>
    <cellStyle name="Normal_17 Prices_done" xfId="2"/>
    <cellStyle name="Normal_CPI new tables" xfId="5"/>
    <cellStyle name="Normal_Dec97" xfId="4"/>
    <cellStyle name="Normal_XII-11(Commerce)" xfId="3"/>
    <cellStyle name="Normal_XII-12 (Commerce)" xfId="1"/>
    <cellStyle name="Percent 2" xfId="14"/>
    <cellStyle name="Percent 2 2" xfId="17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tabSelected="1" zoomScale="98" zoomScaleNormal="98" workbookViewId="0">
      <selection activeCell="K31" sqref="K31"/>
    </sheetView>
  </sheetViews>
  <sheetFormatPr defaultColWidth="9.140625" defaultRowHeight="18"/>
  <cols>
    <col min="1" max="1" width="37" style="1" customWidth="1"/>
    <col min="2" max="6" width="9.140625" style="1" customWidth="1"/>
    <col min="7" max="9" width="9.140625" style="1"/>
    <col min="10" max="13" width="11" style="1" customWidth="1"/>
    <col min="14" max="14" width="10.28515625" style="1" customWidth="1"/>
    <col min="15" max="15" width="35" style="36" bestFit="1" customWidth="1"/>
    <col min="16" max="16" width="3.85546875" style="1" customWidth="1"/>
    <col min="17" max="16384" width="9.140625" style="1"/>
  </cols>
  <sheetData>
    <row r="1" spans="1:24" s="2" customFormat="1">
      <c r="A1" s="48" t="s">
        <v>60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16"/>
      <c r="Q1" s="44"/>
      <c r="R1" s="44"/>
      <c r="S1" s="44"/>
      <c r="T1" s="44"/>
      <c r="U1" s="44"/>
      <c r="V1" s="44"/>
      <c r="W1" s="44"/>
      <c r="X1" s="44"/>
    </row>
    <row r="2" spans="1:24" s="17" customFormat="1" ht="15">
      <c r="A2" s="49" t="s">
        <v>59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24" s="3" customFormat="1" ht="15.75" customHeight="1">
      <c r="A3" s="45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24" s="3" customFormat="1" ht="12.75">
      <c r="A4" s="46" t="s">
        <v>72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1:24" s="18" customFormat="1" ht="14.25">
      <c r="A5" s="29"/>
      <c r="B5" s="47">
        <v>2019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34"/>
    </row>
    <row r="6" spans="1:24" s="18" customFormat="1" ht="15.75" customHeight="1">
      <c r="A6" s="19"/>
      <c r="B6" s="4" t="s">
        <v>31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7" t="s">
        <v>32</v>
      </c>
      <c r="O6" s="39"/>
    </row>
    <row r="7" spans="1:24" s="18" customFormat="1" ht="15.75">
      <c r="A7" s="20" t="s">
        <v>3</v>
      </c>
      <c r="B7" s="38" t="s">
        <v>33</v>
      </c>
      <c r="C7" s="38" t="s">
        <v>34</v>
      </c>
      <c r="D7" s="38" t="s">
        <v>35</v>
      </c>
      <c r="E7" s="38" t="s">
        <v>36</v>
      </c>
      <c r="F7" s="38" t="s">
        <v>37</v>
      </c>
      <c r="G7" s="38" t="s">
        <v>38</v>
      </c>
      <c r="H7" s="38" t="s">
        <v>39</v>
      </c>
      <c r="I7" s="38" t="s">
        <v>40</v>
      </c>
      <c r="J7" s="38" t="s">
        <v>41</v>
      </c>
      <c r="K7" s="38" t="s">
        <v>42</v>
      </c>
      <c r="L7" s="38" t="s">
        <v>43</v>
      </c>
      <c r="M7" s="38" t="s">
        <v>44</v>
      </c>
      <c r="N7" s="38" t="s">
        <v>45</v>
      </c>
      <c r="O7" s="40" t="s">
        <v>4</v>
      </c>
      <c r="Q7" s="21"/>
    </row>
    <row r="8" spans="1:24" s="18" customFormat="1" ht="14.25">
      <c r="A8" s="22"/>
      <c r="B8" s="23" t="s">
        <v>46</v>
      </c>
      <c r="C8" s="22" t="s">
        <v>47</v>
      </c>
      <c r="D8" s="22" t="s">
        <v>48</v>
      </c>
      <c r="E8" s="22" t="s">
        <v>49</v>
      </c>
      <c r="F8" s="22" t="s">
        <v>50</v>
      </c>
      <c r="G8" s="22" t="s">
        <v>51</v>
      </c>
      <c r="H8" s="22" t="s">
        <v>52</v>
      </c>
      <c r="I8" s="22" t="s">
        <v>53</v>
      </c>
      <c r="J8" s="22" t="s">
        <v>54</v>
      </c>
      <c r="K8" s="22" t="s">
        <v>55</v>
      </c>
      <c r="L8" s="22" t="s">
        <v>56</v>
      </c>
      <c r="M8" s="22" t="s">
        <v>57</v>
      </c>
      <c r="N8" s="22" t="s">
        <v>58</v>
      </c>
      <c r="O8" s="41"/>
      <c r="Q8" s="21"/>
    </row>
    <row r="9" spans="1:24" s="18" customFormat="1" ht="14.25">
      <c r="A9" s="6" t="s">
        <v>5</v>
      </c>
      <c r="B9" s="7">
        <v>98.405410280372379</v>
      </c>
      <c r="C9" s="7">
        <v>99.249314608954904</v>
      </c>
      <c r="D9" s="7">
        <v>98.067782656466349</v>
      </c>
      <c r="E9" s="7">
        <v>98.777255554806771</v>
      </c>
      <c r="F9" s="7">
        <v>99.706924325978918</v>
      </c>
      <c r="G9" s="7">
        <v>100.4418412827827</v>
      </c>
      <c r="H9" s="7">
        <v>97.826358135351001</v>
      </c>
      <c r="I9" s="7">
        <v>100</v>
      </c>
      <c r="J9" s="7">
        <v>100.80938912629576</v>
      </c>
      <c r="K9" s="7">
        <v>100.78197585531282</v>
      </c>
      <c r="L9" s="7">
        <v>100.56198678027651</v>
      </c>
      <c r="M9" s="7">
        <v>102.44217150686048</v>
      </c>
      <c r="N9" s="7">
        <f>AVERAGE(B9:M9)</f>
        <v>99.755867509454859</v>
      </c>
      <c r="O9" s="30" t="s">
        <v>6</v>
      </c>
      <c r="Q9" s="21"/>
    </row>
    <row r="10" spans="1:24" s="18" customFormat="1" ht="14.25">
      <c r="A10" s="6" t="s">
        <v>7</v>
      </c>
      <c r="B10" s="7">
        <v>98.72527208968998</v>
      </c>
      <c r="C10" s="7">
        <v>98.595002907906533</v>
      </c>
      <c r="D10" s="7">
        <v>97.544375453651938</v>
      </c>
      <c r="E10" s="7">
        <v>99.333784685557262</v>
      </c>
      <c r="F10" s="7">
        <v>100.3236327616373</v>
      </c>
      <c r="G10" s="7">
        <v>100.19703329563461</v>
      </c>
      <c r="H10" s="7">
        <v>98.397707235933723</v>
      </c>
      <c r="I10" s="7">
        <v>100</v>
      </c>
      <c r="J10" s="7">
        <v>100.85701325641783</v>
      </c>
      <c r="K10" s="7">
        <v>101.58770825837399</v>
      </c>
      <c r="L10" s="7">
        <v>101.04205975170386</v>
      </c>
      <c r="M10" s="7">
        <v>103.62404724933926</v>
      </c>
      <c r="N10" s="7">
        <f t="shared" ref="N10:N26" si="0">AVERAGE(B10:M10)</f>
        <v>100.0189697454872</v>
      </c>
      <c r="O10" s="30" t="s">
        <v>8</v>
      </c>
      <c r="Q10" s="21"/>
    </row>
    <row r="11" spans="1:24" s="18" customFormat="1" ht="14.25">
      <c r="A11" s="8" t="s">
        <v>9</v>
      </c>
      <c r="B11" s="7">
        <v>96.571160948920863</v>
      </c>
      <c r="C11" s="7">
        <v>95.87531844000506</v>
      </c>
      <c r="D11" s="7">
        <v>92.816138446094072</v>
      </c>
      <c r="E11" s="7">
        <v>112.93470942050918</v>
      </c>
      <c r="F11" s="7">
        <v>118.1206910490414</v>
      </c>
      <c r="G11" s="7">
        <v>116.94482509344101</v>
      </c>
      <c r="H11" s="7">
        <v>99.395505657919372</v>
      </c>
      <c r="I11" s="7">
        <v>100</v>
      </c>
      <c r="J11" s="7">
        <v>100.60210342403531</v>
      </c>
      <c r="K11" s="7">
        <v>97.2749972170798</v>
      </c>
      <c r="L11" s="7">
        <v>98.472452278260306</v>
      </c>
      <c r="M11" s="7">
        <v>97.298015747241209</v>
      </c>
      <c r="N11" s="7">
        <f t="shared" si="0"/>
        <v>102.19215981021229</v>
      </c>
      <c r="O11" s="30" t="s">
        <v>10</v>
      </c>
      <c r="Q11" s="21"/>
    </row>
    <row r="12" spans="1:24" s="18" customFormat="1" ht="14.25">
      <c r="A12" s="8" t="s">
        <v>11</v>
      </c>
      <c r="B12" s="7">
        <v>100.42855106519141</v>
      </c>
      <c r="C12" s="7">
        <v>100.52942598778097</v>
      </c>
      <c r="D12" s="7">
        <v>100.52173803558688</v>
      </c>
      <c r="E12" s="7">
        <v>100.47665797425576</v>
      </c>
      <c r="F12" s="7">
        <v>100.20000038951041</v>
      </c>
      <c r="G12" s="7">
        <v>100.09119554107164</v>
      </c>
      <c r="H12" s="7">
        <v>100.02054140781458</v>
      </c>
      <c r="I12" s="7">
        <v>100</v>
      </c>
      <c r="J12" s="7">
        <v>100.0989689089909</v>
      </c>
      <c r="K12" s="7">
        <v>100.10322220607213</v>
      </c>
      <c r="L12" s="7">
        <v>100.31323440765286</v>
      </c>
      <c r="M12" s="7">
        <v>100.02980569594379</v>
      </c>
      <c r="N12" s="7">
        <f t="shared" si="0"/>
        <v>100.23444513498929</v>
      </c>
      <c r="O12" s="30" t="s">
        <v>28</v>
      </c>
      <c r="Q12" s="21"/>
    </row>
    <row r="13" spans="1:24" ht="15">
      <c r="A13" s="8" t="s">
        <v>61</v>
      </c>
      <c r="B13" s="7">
        <v>101.63575737489339</v>
      </c>
      <c r="C13" s="7">
        <v>100.91331083120339</v>
      </c>
      <c r="D13" s="7">
        <v>100.07225827687365</v>
      </c>
      <c r="E13" s="7">
        <v>100.01684975831706</v>
      </c>
      <c r="F13" s="7">
        <v>100.01910368699474</v>
      </c>
      <c r="G13" s="7">
        <v>99.96667115895616</v>
      </c>
      <c r="H13" s="7">
        <v>100.09909280909079</v>
      </c>
      <c r="I13" s="7">
        <v>100</v>
      </c>
      <c r="J13" s="7">
        <v>99.240522369668511</v>
      </c>
      <c r="K13" s="7">
        <v>99.249439741447901</v>
      </c>
      <c r="L13" s="7">
        <v>99.235803216147005</v>
      </c>
      <c r="M13" s="7">
        <v>99.101732920775532</v>
      </c>
      <c r="N13" s="7">
        <f t="shared" si="0"/>
        <v>99.962545178697326</v>
      </c>
      <c r="O13" s="30" t="s">
        <v>12</v>
      </c>
      <c r="Q13" s="21"/>
    </row>
    <row r="14" spans="1:24" ht="15">
      <c r="A14" s="8" t="s">
        <v>62</v>
      </c>
      <c r="B14" s="7">
        <v>98.530828411558446</v>
      </c>
      <c r="C14" s="7">
        <v>98.750936260822158</v>
      </c>
      <c r="D14" s="7">
        <v>98.991207995502833</v>
      </c>
      <c r="E14" s="7">
        <v>99.011322844742892</v>
      </c>
      <c r="F14" s="7">
        <v>99.33831910242678</v>
      </c>
      <c r="G14" s="7">
        <v>99.518953895617031</v>
      </c>
      <c r="H14" s="7">
        <v>99.733492245762164</v>
      </c>
      <c r="I14" s="7">
        <v>100</v>
      </c>
      <c r="J14" s="7">
        <v>100.00756566747985</v>
      </c>
      <c r="K14" s="7">
        <v>100.5096496246604</v>
      </c>
      <c r="L14" s="7">
        <v>100.05516772439141</v>
      </c>
      <c r="M14" s="7">
        <v>100.0670517849903</v>
      </c>
      <c r="N14" s="7">
        <f t="shared" si="0"/>
        <v>99.542874629829512</v>
      </c>
      <c r="O14" s="30" t="s">
        <v>13</v>
      </c>
      <c r="Q14" s="21"/>
    </row>
    <row r="15" spans="1:24" ht="15">
      <c r="A15" s="8" t="s">
        <v>63</v>
      </c>
      <c r="B15" s="7">
        <v>97.710425925579784</v>
      </c>
      <c r="C15" s="7">
        <v>98.071020240350549</v>
      </c>
      <c r="D15" s="7">
        <v>98.466264798747261</v>
      </c>
      <c r="E15" s="7">
        <v>98.509533707298999</v>
      </c>
      <c r="F15" s="7">
        <v>98.836401693351931</v>
      </c>
      <c r="G15" s="7">
        <v>99.17423825784779</v>
      </c>
      <c r="H15" s="7">
        <v>99.564576913158518</v>
      </c>
      <c r="I15" s="7">
        <v>100</v>
      </c>
      <c r="J15" s="7">
        <v>100.01137599557953</v>
      </c>
      <c r="K15" s="7">
        <v>100.8553428529962</v>
      </c>
      <c r="L15" s="7">
        <v>100.12317448562608</v>
      </c>
      <c r="M15" s="7">
        <v>100.12900225962868</v>
      </c>
      <c r="N15" s="7">
        <f t="shared" si="0"/>
        <v>99.287613094180429</v>
      </c>
      <c r="O15" s="31" t="s">
        <v>14</v>
      </c>
      <c r="Q15" s="21"/>
    </row>
    <row r="16" spans="1:24" ht="28.5">
      <c r="A16" s="6" t="s">
        <v>64</v>
      </c>
      <c r="B16" s="7">
        <v>101.10100824659811</v>
      </c>
      <c r="C16" s="7">
        <v>100.8126537662839</v>
      </c>
      <c r="D16" s="7">
        <v>100.66951687442011</v>
      </c>
      <c r="E16" s="7">
        <v>100.34063910339812</v>
      </c>
      <c r="F16" s="7">
        <v>100.04489936403185</v>
      </c>
      <c r="G16" s="7">
        <v>100.03491969167695</v>
      </c>
      <c r="H16" s="7">
        <v>100.0089970352936</v>
      </c>
      <c r="I16" s="7">
        <v>100</v>
      </c>
      <c r="J16" s="7">
        <v>99.945754054325988</v>
      </c>
      <c r="K16" s="7">
        <v>100.01227997086711</v>
      </c>
      <c r="L16" s="7">
        <v>98.758701563319079</v>
      </c>
      <c r="M16" s="7">
        <v>98.672342148443789</v>
      </c>
      <c r="N16" s="7">
        <f t="shared" si="0"/>
        <v>100.03347598488823</v>
      </c>
      <c r="O16" s="43" t="s">
        <v>15</v>
      </c>
      <c r="Q16" s="21"/>
    </row>
    <row r="17" spans="1:17" ht="15">
      <c r="A17" s="9" t="s">
        <v>16</v>
      </c>
      <c r="B17" s="7">
        <v>97.988460561265313</v>
      </c>
      <c r="C17" s="7">
        <v>97.909674593869582</v>
      </c>
      <c r="D17" s="7">
        <v>99.913235883826673</v>
      </c>
      <c r="E17" s="7">
        <v>99.913235883826673</v>
      </c>
      <c r="F17" s="7">
        <v>99.913245626597472</v>
      </c>
      <c r="G17" s="7">
        <v>99.913245626597472</v>
      </c>
      <c r="H17" s="7">
        <v>99.867458453388309</v>
      </c>
      <c r="I17" s="7">
        <v>100</v>
      </c>
      <c r="J17" s="7">
        <v>100.00958342263036</v>
      </c>
      <c r="K17" s="7">
        <v>100.01725372493605</v>
      </c>
      <c r="L17" s="7">
        <v>100.18470132552265</v>
      </c>
      <c r="M17" s="7">
        <v>100.18467567511949</v>
      </c>
      <c r="N17" s="7">
        <f t="shared" si="0"/>
        <v>99.651230898131658</v>
      </c>
      <c r="O17" s="30" t="s">
        <v>17</v>
      </c>
      <c r="Q17" s="21"/>
    </row>
    <row r="18" spans="1:17" ht="15">
      <c r="A18" s="9" t="s">
        <v>65</v>
      </c>
      <c r="B18" s="7">
        <v>97.31461209352706</v>
      </c>
      <c r="C18" s="7">
        <v>97.744275799404406</v>
      </c>
      <c r="D18" s="7">
        <v>98.127922140930551</v>
      </c>
      <c r="E18" s="7">
        <v>100.34422482465735</v>
      </c>
      <c r="F18" s="7">
        <v>100.59583772761329</v>
      </c>
      <c r="G18" s="7">
        <v>100.45942050296732</v>
      </c>
      <c r="H18" s="7">
        <v>100.30107300975178</v>
      </c>
      <c r="I18" s="7">
        <v>100</v>
      </c>
      <c r="J18" s="7">
        <v>99.142473951323609</v>
      </c>
      <c r="K18" s="7">
        <v>99.143352680763002</v>
      </c>
      <c r="L18" s="7">
        <v>98.564427236428116</v>
      </c>
      <c r="M18" s="7">
        <v>98.397266264841889</v>
      </c>
      <c r="N18" s="7">
        <f t="shared" si="0"/>
        <v>99.177907186017364</v>
      </c>
      <c r="O18" s="30" t="s">
        <v>18</v>
      </c>
      <c r="Q18" s="21"/>
    </row>
    <row r="19" spans="1:17" ht="15">
      <c r="A19" s="9" t="s">
        <v>66</v>
      </c>
      <c r="B19" s="7">
        <v>101.18499088078204</v>
      </c>
      <c r="C19" s="7">
        <v>101.18499088078204</v>
      </c>
      <c r="D19" s="7">
        <v>101.18499088078204</v>
      </c>
      <c r="E19" s="7">
        <v>101.08418316964078</v>
      </c>
      <c r="F19" s="7">
        <v>100.99583950745273</v>
      </c>
      <c r="G19" s="7">
        <v>100.99583950745273</v>
      </c>
      <c r="H19" s="7">
        <v>100.65124036624229</v>
      </c>
      <c r="I19" s="7">
        <v>100</v>
      </c>
      <c r="J19" s="7">
        <v>96.983190551843947</v>
      </c>
      <c r="K19" s="7">
        <v>98.495968334166037</v>
      </c>
      <c r="L19" s="7">
        <v>99.71415071506317</v>
      </c>
      <c r="M19" s="7">
        <v>100.61115827419488</v>
      </c>
      <c r="N19" s="7">
        <f t="shared" si="0"/>
        <v>100.25721192236689</v>
      </c>
      <c r="O19" s="30" t="s">
        <v>19</v>
      </c>
      <c r="Q19" s="21"/>
    </row>
    <row r="20" spans="1:17" ht="15">
      <c r="A20" s="10" t="s">
        <v>67</v>
      </c>
      <c r="B20" s="7">
        <v>101.25208033686941</v>
      </c>
      <c r="C20" s="7">
        <v>101.52157022676094</v>
      </c>
      <c r="D20" s="7">
        <v>100.94048980696748</v>
      </c>
      <c r="E20" s="7">
        <v>100.30368239196793</v>
      </c>
      <c r="F20" s="7">
        <v>100.07743188427669</v>
      </c>
      <c r="G20" s="7">
        <v>100.02555560010309</v>
      </c>
      <c r="H20" s="7">
        <v>99.995601277725228</v>
      </c>
      <c r="I20" s="7">
        <v>100</v>
      </c>
      <c r="J20" s="7">
        <v>100.21210675489922</v>
      </c>
      <c r="K20" s="7">
        <v>100.27707536928459</v>
      </c>
      <c r="L20" s="7">
        <v>100.27707536928459</v>
      </c>
      <c r="M20" s="7">
        <v>100.23426961662503</v>
      </c>
      <c r="N20" s="7">
        <f t="shared" si="0"/>
        <v>100.42641155289699</v>
      </c>
      <c r="O20" s="32" t="s">
        <v>20</v>
      </c>
      <c r="Q20" s="21"/>
    </row>
    <row r="21" spans="1:17" ht="15">
      <c r="A21" s="8" t="s">
        <v>68</v>
      </c>
      <c r="B21" s="7">
        <v>99.981995651943606</v>
      </c>
      <c r="C21" s="7">
        <v>99.973098447172987</v>
      </c>
      <c r="D21" s="7">
        <v>99.973098447172987</v>
      </c>
      <c r="E21" s="7">
        <v>99.973098447172987</v>
      </c>
      <c r="F21" s="7">
        <v>99.973098447172987</v>
      </c>
      <c r="G21" s="7">
        <v>99.973098447172987</v>
      </c>
      <c r="H21" s="7">
        <v>100</v>
      </c>
      <c r="I21" s="7">
        <v>100</v>
      </c>
      <c r="J21" s="7">
        <v>100.02441209137115</v>
      </c>
      <c r="K21" s="7">
        <v>100.02441209137115</v>
      </c>
      <c r="L21" s="7">
        <v>100.03756931194668</v>
      </c>
      <c r="M21" s="7">
        <v>100.03756931194668</v>
      </c>
      <c r="N21" s="7">
        <f t="shared" si="0"/>
        <v>99.997620891203681</v>
      </c>
      <c r="O21" s="32" t="s">
        <v>21</v>
      </c>
      <c r="Q21" s="21"/>
    </row>
    <row r="22" spans="1:17" ht="15">
      <c r="A22" s="8" t="s">
        <v>69</v>
      </c>
      <c r="B22" s="7">
        <v>95.651577220980428</v>
      </c>
      <c r="C22" s="7">
        <v>96.283300099026192</v>
      </c>
      <c r="D22" s="7">
        <v>96.283300099026192</v>
      </c>
      <c r="E22" s="7">
        <v>100.24404414724025</v>
      </c>
      <c r="F22" s="7">
        <v>100.24404414724025</v>
      </c>
      <c r="G22" s="7">
        <v>100.25131698034977</v>
      </c>
      <c r="H22" s="7">
        <v>100.25131698034977</v>
      </c>
      <c r="I22" s="7">
        <v>100</v>
      </c>
      <c r="J22" s="7">
        <v>100</v>
      </c>
      <c r="K22" s="7">
        <v>99.98066523412983</v>
      </c>
      <c r="L22" s="7">
        <v>100.33773159932989</v>
      </c>
      <c r="M22" s="7">
        <v>100.33773159932989</v>
      </c>
      <c r="N22" s="7">
        <f t="shared" si="0"/>
        <v>99.155419008916851</v>
      </c>
      <c r="O22" s="32" t="s">
        <v>22</v>
      </c>
      <c r="Q22" s="21"/>
    </row>
    <row r="23" spans="1:17" ht="17.25">
      <c r="A23" s="8" t="s">
        <v>70</v>
      </c>
      <c r="B23" s="7" t="s">
        <v>1</v>
      </c>
      <c r="C23" s="7" t="s">
        <v>1</v>
      </c>
      <c r="D23" s="7" t="s">
        <v>1</v>
      </c>
      <c r="E23" s="7" t="s">
        <v>1</v>
      </c>
      <c r="F23" s="7" t="s">
        <v>1</v>
      </c>
      <c r="G23" s="7" t="s">
        <v>1</v>
      </c>
      <c r="H23" s="7" t="s">
        <v>1</v>
      </c>
      <c r="I23" s="7">
        <v>100</v>
      </c>
      <c r="J23" s="7">
        <v>100</v>
      </c>
      <c r="K23" s="7">
        <v>100</v>
      </c>
      <c r="L23" s="7">
        <v>100</v>
      </c>
      <c r="M23" s="7">
        <v>100</v>
      </c>
      <c r="N23" s="7">
        <f t="shared" si="0"/>
        <v>100</v>
      </c>
      <c r="O23" s="27" t="s">
        <v>74</v>
      </c>
      <c r="Q23" s="21"/>
    </row>
    <row r="24" spans="1:17" ht="25.5">
      <c r="A24" s="10" t="s">
        <v>71</v>
      </c>
      <c r="B24" s="7">
        <v>99.910216731944558</v>
      </c>
      <c r="C24" s="7">
        <v>100.18774609406221</v>
      </c>
      <c r="D24" s="7">
        <v>100.00496384757864</v>
      </c>
      <c r="E24" s="7">
        <v>99.920472969321011</v>
      </c>
      <c r="F24" s="7">
        <v>99.963013902141711</v>
      </c>
      <c r="G24" s="7">
        <v>100.0385370538128</v>
      </c>
      <c r="H24" s="7">
        <v>100.01416411116423</v>
      </c>
      <c r="I24" s="7">
        <v>100</v>
      </c>
      <c r="J24" s="7">
        <v>99.804364031986623</v>
      </c>
      <c r="K24" s="7">
        <v>99.905946231109866</v>
      </c>
      <c r="L24" s="7">
        <v>99.899567362969194</v>
      </c>
      <c r="M24" s="7">
        <v>99.959706475282303</v>
      </c>
      <c r="N24" s="7">
        <f t="shared" si="0"/>
        <v>99.967391567614428</v>
      </c>
      <c r="O24" s="32" t="s">
        <v>23</v>
      </c>
      <c r="Q24" s="21"/>
    </row>
    <row r="25" spans="1:17" ht="15">
      <c r="A25" s="11" t="s">
        <v>24</v>
      </c>
      <c r="B25" s="25">
        <v>99.024145997101201</v>
      </c>
      <c r="C25" s="12">
        <v>99.344804114687122</v>
      </c>
      <c r="D25" s="12">
        <v>99.132707625477963</v>
      </c>
      <c r="E25" s="12">
        <v>99.533742480414617</v>
      </c>
      <c r="F25" s="12">
        <v>99.847391328514448</v>
      </c>
      <c r="G25" s="12">
        <v>100.09029082934444</v>
      </c>
      <c r="H25" s="12">
        <v>99.363852263327374</v>
      </c>
      <c r="I25" s="12">
        <v>100</v>
      </c>
      <c r="J25" s="12">
        <v>99.76655720061612</v>
      </c>
      <c r="K25" s="12">
        <v>100.04280196173474</v>
      </c>
      <c r="L25" s="12">
        <v>99.911763852084249</v>
      </c>
      <c r="M25" s="12">
        <v>100.39026462014091</v>
      </c>
      <c r="N25" s="25">
        <f t="shared" si="0"/>
        <v>99.704026856120265</v>
      </c>
      <c r="O25" s="33" t="s">
        <v>25</v>
      </c>
      <c r="Q25" s="21"/>
    </row>
    <row r="26" spans="1:17" ht="15">
      <c r="A26" s="13" t="s">
        <v>26</v>
      </c>
      <c r="B26" s="26">
        <v>99.151742958243531</v>
      </c>
      <c r="C26" s="15">
        <v>99.209087156021823</v>
      </c>
      <c r="D26" s="15">
        <v>99.115137666694125</v>
      </c>
      <c r="E26" s="15">
        <v>99.726288117342222</v>
      </c>
      <c r="F26" s="15">
        <v>99.996523239683938</v>
      </c>
      <c r="G26" s="15">
        <v>100.00386408506665</v>
      </c>
      <c r="H26" s="15">
        <v>99.63156249203395</v>
      </c>
      <c r="I26" s="15">
        <v>100</v>
      </c>
      <c r="J26" s="15">
        <v>99.730801532133384</v>
      </c>
      <c r="K26" s="15">
        <v>100.16124509043421</v>
      </c>
      <c r="L26" s="15">
        <v>99.973356551607665</v>
      </c>
      <c r="M26" s="15">
        <v>100.52259174037253</v>
      </c>
      <c r="N26" s="26">
        <f t="shared" si="0"/>
        <v>99.768516719136173</v>
      </c>
      <c r="O26" s="35" t="s">
        <v>27</v>
      </c>
      <c r="Q26" s="21"/>
    </row>
    <row r="27" spans="1:17" ht="15">
      <c r="A27" s="24" t="s">
        <v>29</v>
      </c>
      <c r="B27" s="24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42"/>
      <c r="Q27" s="21"/>
    </row>
    <row r="28" spans="1:17" ht="15">
      <c r="A28" s="14" t="s">
        <v>30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42"/>
      <c r="Q28" s="21"/>
    </row>
    <row r="29" spans="1:17" ht="15">
      <c r="A29" s="14" t="s">
        <v>73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42"/>
      <c r="Q29" s="21"/>
    </row>
    <row r="30" spans="1:17" ht="15">
      <c r="A30" s="28" t="s">
        <v>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42"/>
      <c r="Q30" s="21"/>
    </row>
    <row r="31" spans="1:17">
      <c r="Q31" s="21"/>
    </row>
  </sheetData>
  <mergeCells count="6">
    <mergeCell ref="B5:N5"/>
    <mergeCell ref="A1:O1"/>
    <mergeCell ref="Q1:X1"/>
    <mergeCell ref="A2:O2"/>
    <mergeCell ref="A3:O3"/>
    <mergeCell ref="A4:O4"/>
  </mergeCells>
  <pageMargins left="0.7" right="0.7" top="0.75" bottom="0.75" header="0.3" footer="0.3"/>
  <pageSetup scale="4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dcterms:created xsi:type="dcterms:W3CDTF">2019-03-21T03:27:43Z</dcterms:created>
  <dcterms:modified xsi:type="dcterms:W3CDTF">2020-08-08T06:04:05Z</dcterms:modified>
</cp:coreProperties>
</file>