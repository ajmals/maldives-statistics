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2.  ELECTRICITY and  WATER\"/>
    </mc:Choice>
  </mc:AlternateContent>
  <bookViews>
    <workbookView xWindow="0" yWindow="0" windowWidth="28800" windowHeight="12330"/>
  </bookViews>
  <sheets>
    <sheet name="12.21" sheetId="22" r:id="rId1"/>
  </sheets>
  <externalReferences>
    <externalReference r:id="rId2"/>
  </externalReferences>
  <definedNames>
    <definedName name="Male">'[1]Entry2015 (for male region)'!$A$8:$AAA$67</definedName>
    <definedName name="_xlnm.Print_Area" localSheetId="0">'12.21'!$A$1:$D$52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1" i="22" l="1"/>
  <c r="B31" i="22"/>
  <c r="C5" i="22"/>
  <c r="B5" i="22"/>
</calcChain>
</file>

<file path=xl/sharedStrings.xml><?xml version="1.0" encoding="utf-8"?>
<sst xmlns="http://schemas.openxmlformats.org/spreadsheetml/2006/main" count="54" uniqueCount="29">
  <si>
    <t>Total</t>
  </si>
  <si>
    <t>Source:  Maldives Customs Service</t>
  </si>
  <si>
    <t>މައުލޫމާތު ދެއްވި ފަރާތް: މޯލްޑިވްސް ކަސްޓަމްސް ސަރވިސް</t>
  </si>
  <si>
    <t>ތާވަލު 12.21: ރާއްޖޭން ބޭރުން ފުޅީގައި ބަންދުކުރި ފެން އެތެރެކުރެވުނު ޤައުމު، 2019</t>
  </si>
  <si>
    <t>TABLE 12.21: Imports of Mineral waterby Country, 2019</t>
  </si>
  <si>
    <t>Country Of Consignment</t>
  </si>
  <si>
    <t>Quantity (Ltr)</t>
  </si>
  <si>
    <t>CIF (MVR)</t>
  </si>
  <si>
    <t>Australia</t>
  </si>
  <si>
    <t>Belgium</t>
  </si>
  <si>
    <t>China</t>
  </si>
  <si>
    <t>Fiji</t>
  </si>
  <si>
    <t>France</t>
  </si>
  <si>
    <t>Germany</t>
  </si>
  <si>
    <t>India</t>
  </si>
  <si>
    <t>Italy</t>
  </si>
  <si>
    <t>Korean Republic of</t>
  </si>
  <si>
    <t>Malaysia</t>
  </si>
  <si>
    <t>Poland</t>
  </si>
  <si>
    <t>Qatar</t>
  </si>
  <si>
    <t>Singapore</t>
  </si>
  <si>
    <t>Sri Lanka</t>
  </si>
  <si>
    <t>Switzerland</t>
  </si>
  <si>
    <t>Thailand</t>
  </si>
  <si>
    <t>U.A.E</t>
  </si>
  <si>
    <t>U.K</t>
  </si>
  <si>
    <t>U.S.A</t>
  </si>
  <si>
    <t>ތާވަލު 12.21: ރާއްޖޭން ބޭރުން ފުޅީގައި ބަންދުކުރި ފެން އެތެރެކުރެވުނު ޤައުމު، 2018</t>
  </si>
  <si>
    <t>TABLE 12.21: Imports of Mineral waterby Country,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</si>
</sst>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Faruma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</cellStyleXfs>
  <cellXfs count="17">
    <xf numFmtId="0" fontId="0" fillId="0" borderId="0" xfId="0"/>
    <xf numFmtId="0" fontId="0" fillId="2" borderId="0" xfId="0" applyFill="1"/>
    <xf numFmtId="0" fontId="4" fillId="2" borderId="2" xfId="0" applyFont="1" applyFill="1" applyBorder="1" applyAlignment="1">
      <alignment horizontal="left" vertical="center"/>
    </xf>
    <xf numFmtId="0" fontId="8" fillId="2" borderId="0" xfId="0" applyFont="1" applyFill="1" applyAlignment="1"/>
    <xf numFmtId="0" fontId="5" fillId="2" borderId="0" xfId="0" applyFont="1" applyFill="1" applyBorder="1" applyAlignment="1">
      <alignment horizontal="left"/>
    </xf>
    <xf numFmtId="43" fontId="5" fillId="2" borderId="0" xfId="1" applyFont="1" applyFill="1" applyBorder="1" applyAlignment="1">
      <alignment horizontal="center"/>
    </xf>
    <xf numFmtId="43" fontId="4" fillId="2" borderId="2" xfId="1" applyFont="1" applyFill="1" applyBorder="1" applyAlignment="1">
      <alignment horizontal="right" vertical="center"/>
    </xf>
    <xf numFmtId="0" fontId="4" fillId="2" borderId="0" xfId="0" applyFont="1" applyFill="1" applyBorder="1" applyAlignment="1"/>
    <xf numFmtId="37" fontId="4" fillId="2" borderId="0" xfId="1" applyNumberFormat="1" applyFont="1" applyFill="1" applyBorder="1" applyAlignment="1">
      <alignment horizontal="right" vertical="center"/>
    </xf>
    <xf numFmtId="43" fontId="5" fillId="2" borderId="0" xfId="1" applyFont="1" applyFill="1" applyBorder="1" applyAlignment="1">
      <alignment horizontal="left"/>
    </xf>
    <xf numFmtId="43" fontId="5" fillId="2" borderId="1" xfId="1" applyFont="1" applyFill="1" applyBorder="1" applyAlignment="1">
      <alignment horizontal="left"/>
    </xf>
    <xf numFmtId="0" fontId="6" fillId="2" borderId="0" xfId="0" applyFont="1" applyFill="1" applyBorder="1" applyAlignment="1">
      <alignment vertical="center"/>
    </xf>
    <xf numFmtId="0" fontId="5" fillId="2" borderId="0" xfId="0" applyFont="1" applyFill="1" applyBorder="1"/>
    <xf numFmtId="37" fontId="5" fillId="2" borderId="0" xfId="1" applyNumberFormat="1" applyFont="1" applyFill="1" applyBorder="1" applyAlignment="1">
      <alignment horizontal="right"/>
    </xf>
    <xf numFmtId="37" fontId="5" fillId="2" borderId="1" xfId="1" applyNumberFormat="1" applyFont="1" applyFill="1" applyBorder="1" applyAlignment="1">
      <alignment horizontal="right"/>
    </xf>
    <xf numFmtId="0" fontId="3" fillId="2" borderId="0" xfId="3" applyFont="1" applyFill="1" applyAlignment="1">
      <alignment horizontal="center" vertical="center"/>
    </xf>
    <xf numFmtId="0" fontId="7" fillId="2" borderId="0" xfId="0" applyFont="1" applyFill="1" applyBorder="1" applyAlignment="1">
      <alignment horizontal="center" vertical="top"/>
    </xf>
  </cellXfs>
  <cellStyles count="5">
    <cellStyle name="Comma" xfId="1" builtinId="3"/>
    <cellStyle name="Comma 2" xfId="2"/>
    <cellStyle name="Comma 4" xfId="4"/>
    <cellStyle name="Normal" xfId="0" builtinId="0"/>
    <cellStyle name="Normal 2" xfId="3"/>
  </cellStyles>
  <dxfs count="0"/>
  <tableStyles count="0" defaultTableStyle="TableStyleMedium2" defaultPivotStyle="PivotStyleLight16"/>
  <colors>
    <mruColors>
      <color rgb="FFF5EADF"/>
      <color rgb="FFDAB48E"/>
      <color rgb="FF996633"/>
      <color rgb="FF663300"/>
      <color rgb="FF964B00"/>
      <color rgb="FFF0E0D0"/>
      <color rgb="FFFFF2E5"/>
      <color rgb="FF976431"/>
      <color rgb="FFFFBE7D"/>
      <color rgb="FFFFB9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All%20in%20one%202015(150094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tabSelected="1" zoomScaleNormal="100" workbookViewId="0">
      <selection activeCell="E21" sqref="E21"/>
    </sheetView>
  </sheetViews>
  <sheetFormatPr defaultRowHeight="15" x14ac:dyDescent="0.25"/>
  <cols>
    <col min="1" max="1" width="21.85546875" style="1" customWidth="1"/>
    <col min="2" max="3" width="24" style="1" customWidth="1"/>
    <col min="4" max="4" width="2.42578125" style="1" customWidth="1"/>
    <col min="5" max="5" width="20" style="1" bestFit="1" customWidth="1"/>
    <col min="6" max="16384" width="9.140625" style="1"/>
  </cols>
  <sheetData>
    <row r="1" spans="1:3" ht="21" x14ac:dyDescent="0.25">
      <c r="A1" s="15" t="s">
        <v>3</v>
      </c>
      <c r="B1" s="15"/>
      <c r="C1" s="15"/>
    </row>
    <row r="2" spans="1:3" ht="15.75" x14ac:dyDescent="0.25">
      <c r="A2" s="16" t="s">
        <v>4</v>
      </c>
      <c r="B2" s="16"/>
      <c r="C2" s="16"/>
    </row>
    <row r="3" spans="1:3" x14ac:dyDescent="0.25">
      <c r="A3" s="4"/>
      <c r="B3" s="5"/>
      <c r="C3" s="5"/>
    </row>
    <row r="4" spans="1:3" ht="25.5" customHeight="1" x14ac:dyDescent="0.25">
      <c r="A4" s="2" t="s">
        <v>5</v>
      </c>
      <c r="B4" s="6" t="s">
        <v>6</v>
      </c>
      <c r="C4" s="6" t="s">
        <v>7</v>
      </c>
    </row>
    <row r="5" spans="1:3" x14ac:dyDescent="0.25">
      <c r="A5" s="7" t="s">
        <v>0</v>
      </c>
      <c r="B5" s="8">
        <f>SUM(B6:B24)</f>
        <v>1805005.7072000005</v>
      </c>
      <c r="C5" s="8">
        <f>SUM(C6:C24)</f>
        <v>21637382.390000001</v>
      </c>
    </row>
    <row r="6" spans="1:3" x14ac:dyDescent="0.25">
      <c r="A6" s="9" t="s">
        <v>8</v>
      </c>
      <c r="B6" s="13">
        <v>21669.399999999998</v>
      </c>
      <c r="C6" s="13">
        <v>315335.87999999995</v>
      </c>
    </row>
    <row r="7" spans="1:3" x14ac:dyDescent="0.25">
      <c r="A7" s="9" t="s">
        <v>9</v>
      </c>
      <c r="B7" s="13">
        <v>7065.63</v>
      </c>
      <c r="C7" s="13">
        <v>139051.1</v>
      </c>
    </row>
    <row r="8" spans="1:3" x14ac:dyDescent="0.25">
      <c r="A8" s="9" t="s">
        <v>10</v>
      </c>
      <c r="B8" s="13">
        <v>31.65</v>
      </c>
      <c r="C8" s="13">
        <v>4729.2</v>
      </c>
    </row>
    <row r="9" spans="1:3" x14ac:dyDescent="0.25">
      <c r="A9" s="9" t="s">
        <v>11</v>
      </c>
      <c r="B9" s="13">
        <v>71124</v>
      </c>
      <c r="C9" s="13">
        <v>1448938.38</v>
      </c>
    </row>
    <row r="10" spans="1:3" x14ac:dyDescent="0.25">
      <c r="A10" s="9" t="s">
        <v>12</v>
      </c>
      <c r="B10" s="13">
        <v>410475.92000000004</v>
      </c>
      <c r="C10" s="13">
        <v>4136535.8899999997</v>
      </c>
    </row>
    <row r="11" spans="1:3" x14ac:dyDescent="0.25">
      <c r="A11" s="9" t="s">
        <v>13</v>
      </c>
      <c r="B11" s="13">
        <v>11601.51</v>
      </c>
      <c r="C11" s="13">
        <v>150000.54</v>
      </c>
    </row>
    <row r="12" spans="1:3" x14ac:dyDescent="0.25">
      <c r="A12" s="9" t="s">
        <v>14</v>
      </c>
      <c r="B12" s="13">
        <v>51070</v>
      </c>
      <c r="C12" s="13">
        <v>455413.88</v>
      </c>
    </row>
    <row r="13" spans="1:3" x14ac:dyDescent="0.25">
      <c r="A13" s="9" t="s">
        <v>15</v>
      </c>
      <c r="B13" s="13">
        <v>540757.75</v>
      </c>
      <c r="C13" s="13">
        <v>6237817.4099999992</v>
      </c>
    </row>
    <row r="14" spans="1:3" x14ac:dyDescent="0.25">
      <c r="A14" s="9" t="s">
        <v>16</v>
      </c>
      <c r="B14" s="13">
        <v>3886.74</v>
      </c>
      <c r="C14" s="13">
        <v>143451.32999999999</v>
      </c>
    </row>
    <row r="15" spans="1:3" x14ac:dyDescent="0.25">
      <c r="A15" s="9" t="s">
        <v>17</v>
      </c>
      <c r="B15" s="13">
        <v>47790</v>
      </c>
      <c r="C15" s="13">
        <v>181776.24000000002</v>
      </c>
    </row>
    <row r="16" spans="1:3" x14ac:dyDescent="0.25">
      <c r="A16" s="9" t="s">
        <v>18</v>
      </c>
      <c r="B16" s="13">
        <v>33000</v>
      </c>
      <c r="C16" s="13">
        <v>697316.84</v>
      </c>
    </row>
    <row r="17" spans="1:5" x14ac:dyDescent="0.25">
      <c r="A17" s="9" t="s">
        <v>19</v>
      </c>
      <c r="B17" s="13">
        <v>14040</v>
      </c>
      <c r="C17" s="13">
        <v>243551.43000000002</v>
      </c>
    </row>
    <row r="18" spans="1:5" x14ac:dyDescent="0.25">
      <c r="A18" s="9" t="s">
        <v>20</v>
      </c>
      <c r="B18" s="13">
        <v>7400</v>
      </c>
      <c r="C18" s="13">
        <v>169074.43999999997</v>
      </c>
    </row>
    <row r="19" spans="1:5" x14ac:dyDescent="0.25">
      <c r="A19" s="9" t="s">
        <v>21</v>
      </c>
      <c r="B19" s="13">
        <v>198168.30000000002</v>
      </c>
      <c r="C19" s="13">
        <v>1613353.8799999994</v>
      </c>
    </row>
    <row r="20" spans="1:5" x14ac:dyDescent="0.25">
      <c r="A20" s="9" t="s">
        <v>22</v>
      </c>
      <c r="B20" s="13">
        <v>8439.6</v>
      </c>
      <c r="C20" s="13">
        <v>67810.91</v>
      </c>
    </row>
    <row r="21" spans="1:5" x14ac:dyDescent="0.25">
      <c r="A21" s="9" t="s">
        <v>23</v>
      </c>
      <c r="B21" s="13">
        <v>72441.717199999999</v>
      </c>
      <c r="C21" s="13">
        <v>2250177.8699999996</v>
      </c>
    </row>
    <row r="22" spans="1:5" x14ac:dyDescent="0.25">
      <c r="A22" s="9" t="s">
        <v>24</v>
      </c>
      <c r="B22" s="13">
        <v>235236.68</v>
      </c>
      <c r="C22" s="13">
        <v>2529484.8099999996</v>
      </c>
    </row>
    <row r="23" spans="1:5" x14ac:dyDescent="0.25">
      <c r="A23" s="9" t="s">
        <v>25</v>
      </c>
      <c r="B23" s="13">
        <v>2016.3600000000001</v>
      </c>
      <c r="C23" s="13">
        <v>44337.120000000003</v>
      </c>
    </row>
    <row r="24" spans="1:5" x14ac:dyDescent="0.25">
      <c r="A24" s="10" t="s">
        <v>26</v>
      </c>
      <c r="B24" s="14">
        <v>68790.450000000186</v>
      </c>
      <c r="C24" s="14">
        <v>809225.24000000581</v>
      </c>
    </row>
    <row r="25" spans="1:5" ht="18" x14ac:dyDescent="0.45">
      <c r="A25" s="11" t="s">
        <v>1</v>
      </c>
      <c r="B25" s="5"/>
      <c r="C25" s="3" t="s">
        <v>2</v>
      </c>
      <c r="D25" s="12"/>
    </row>
    <row r="27" spans="1:5" ht="21" x14ac:dyDescent="0.25">
      <c r="A27" s="15" t="s">
        <v>27</v>
      </c>
      <c r="B27" s="15"/>
      <c r="C27" s="15"/>
      <c r="E27" s="9"/>
    </row>
    <row r="28" spans="1:5" ht="15.75" x14ac:dyDescent="0.25">
      <c r="A28" s="16" t="s">
        <v>28</v>
      </c>
      <c r="B28" s="16"/>
      <c r="C28" s="16"/>
      <c r="E28" s="9"/>
    </row>
    <row r="29" spans="1:5" x14ac:dyDescent="0.25">
      <c r="A29" s="4"/>
      <c r="B29" s="5"/>
      <c r="C29" s="5"/>
      <c r="E29" s="9"/>
    </row>
    <row r="30" spans="1:5" x14ac:dyDescent="0.25">
      <c r="A30" s="2" t="s">
        <v>5</v>
      </c>
      <c r="B30" s="6" t="s">
        <v>6</v>
      </c>
      <c r="C30" s="6" t="s">
        <v>7</v>
      </c>
    </row>
    <row r="31" spans="1:5" x14ac:dyDescent="0.25">
      <c r="A31" s="7" t="s">
        <v>0</v>
      </c>
      <c r="B31" s="8">
        <f>SUM(B32:B50)</f>
        <v>1510506.5059090909</v>
      </c>
      <c r="C31" s="8">
        <f>SUM(C32:C50)</f>
        <v>21301877.440000001</v>
      </c>
    </row>
    <row r="32" spans="1:5" x14ac:dyDescent="0.25">
      <c r="A32" s="9" t="s">
        <v>8</v>
      </c>
      <c r="B32" s="13">
        <v>29477.64</v>
      </c>
      <c r="C32" s="13">
        <v>581663.65999999992</v>
      </c>
    </row>
    <row r="33" spans="1:5" x14ac:dyDescent="0.25">
      <c r="A33" s="9" t="s">
        <v>9</v>
      </c>
      <c r="B33" s="13">
        <v>42.1</v>
      </c>
      <c r="C33" s="13">
        <v>583.35</v>
      </c>
    </row>
    <row r="34" spans="1:5" ht="25.5" customHeight="1" x14ac:dyDescent="0.25">
      <c r="A34" s="9" t="s">
        <v>10</v>
      </c>
      <c r="B34" s="13">
        <v>1308</v>
      </c>
      <c r="C34" s="13">
        <v>27494.06</v>
      </c>
    </row>
    <row r="35" spans="1:5" x14ac:dyDescent="0.25">
      <c r="A35" s="9" t="s">
        <v>11</v>
      </c>
      <c r="B35" s="13">
        <v>86592</v>
      </c>
      <c r="C35" s="13">
        <v>1473937.42</v>
      </c>
    </row>
    <row r="36" spans="1:5" x14ac:dyDescent="0.25">
      <c r="A36" s="9" t="s">
        <v>12</v>
      </c>
      <c r="B36" s="13">
        <v>312153.08</v>
      </c>
      <c r="C36" s="13">
        <v>3185742.78</v>
      </c>
      <c r="E36" s="9"/>
    </row>
    <row r="37" spans="1:5" x14ac:dyDescent="0.25">
      <c r="A37" s="9" t="s">
        <v>13</v>
      </c>
      <c r="B37" s="13">
        <v>30400.92</v>
      </c>
      <c r="C37" s="13">
        <v>449262.47</v>
      </c>
      <c r="E37" s="9"/>
    </row>
    <row r="38" spans="1:5" x14ac:dyDescent="0.25">
      <c r="A38" s="9" t="s">
        <v>14</v>
      </c>
      <c r="B38" s="13">
        <v>34690.800000000003</v>
      </c>
      <c r="C38" s="13">
        <v>953024.39</v>
      </c>
      <c r="E38" s="9"/>
    </row>
    <row r="39" spans="1:5" x14ac:dyDescent="0.25">
      <c r="A39" s="9" t="s">
        <v>15</v>
      </c>
      <c r="B39" s="13">
        <v>413037.9</v>
      </c>
      <c r="C39" s="13">
        <v>5038856.45</v>
      </c>
      <c r="E39" s="9"/>
    </row>
    <row r="40" spans="1:5" x14ac:dyDescent="0.25">
      <c r="A40" s="9" t="s">
        <v>16</v>
      </c>
      <c r="B40" s="13">
        <v>15716.64</v>
      </c>
      <c r="C40" s="13">
        <v>149942.49</v>
      </c>
      <c r="E40" s="9"/>
    </row>
    <row r="41" spans="1:5" x14ac:dyDescent="0.25">
      <c r="A41" s="9" t="s">
        <v>17</v>
      </c>
      <c r="B41" s="13">
        <v>63290</v>
      </c>
      <c r="C41" s="13">
        <v>435146.26</v>
      </c>
      <c r="E41" s="9"/>
    </row>
    <row r="42" spans="1:5" x14ac:dyDescent="0.25">
      <c r="A42" s="9" t="s">
        <v>18</v>
      </c>
      <c r="B42" s="13">
        <v>548.92999999999995</v>
      </c>
      <c r="C42" s="13">
        <v>23874.16</v>
      </c>
      <c r="E42" s="9"/>
    </row>
    <row r="43" spans="1:5" x14ac:dyDescent="0.25">
      <c r="A43" s="9" t="s">
        <v>19</v>
      </c>
      <c r="B43" s="13">
        <v>5400</v>
      </c>
      <c r="C43" s="13">
        <v>202297.22</v>
      </c>
      <c r="E43" s="9"/>
    </row>
    <row r="44" spans="1:5" x14ac:dyDescent="0.25">
      <c r="A44" s="9" t="s">
        <v>20</v>
      </c>
      <c r="B44" s="13">
        <v>2212.44</v>
      </c>
      <c r="C44" s="13">
        <v>89870.66</v>
      </c>
      <c r="E44" s="9"/>
    </row>
    <row r="45" spans="1:5" x14ac:dyDescent="0.25">
      <c r="A45" s="9" t="s">
        <v>21</v>
      </c>
      <c r="B45" s="13">
        <v>299738.56</v>
      </c>
      <c r="C45" s="13">
        <v>2079877.55</v>
      </c>
      <c r="E45" s="9"/>
    </row>
    <row r="46" spans="1:5" x14ac:dyDescent="0.25">
      <c r="A46" s="9" t="s">
        <v>22</v>
      </c>
      <c r="B46" s="13">
        <v>3450</v>
      </c>
      <c r="C46" s="13">
        <v>13779.14</v>
      </c>
      <c r="E46" s="9"/>
    </row>
    <row r="47" spans="1:5" x14ac:dyDescent="0.25">
      <c r="A47" s="9" t="s">
        <v>23</v>
      </c>
      <c r="B47" s="13">
        <v>2705.71</v>
      </c>
      <c r="C47" s="13">
        <v>37892.229999999996</v>
      </c>
      <c r="E47" s="9"/>
    </row>
    <row r="48" spans="1:5" x14ac:dyDescent="0.25">
      <c r="A48" s="9" t="s">
        <v>24</v>
      </c>
      <c r="B48" s="13">
        <v>160108.93000000002</v>
      </c>
      <c r="C48" s="13">
        <v>4600547.38</v>
      </c>
      <c r="E48" s="9"/>
    </row>
    <row r="49" spans="1:5" x14ac:dyDescent="0.25">
      <c r="A49" s="9" t="s">
        <v>25</v>
      </c>
      <c r="B49" s="13">
        <v>47002.714999999997</v>
      </c>
      <c r="C49" s="13">
        <v>1901931.88</v>
      </c>
      <c r="E49" s="9"/>
    </row>
    <row r="50" spans="1:5" x14ac:dyDescent="0.25">
      <c r="A50" s="10" t="s">
        <v>26</v>
      </c>
      <c r="B50" s="14">
        <v>2630.1409090909083</v>
      </c>
      <c r="C50" s="14">
        <v>56153.89</v>
      </c>
      <c r="E50" s="9"/>
    </row>
    <row r="51" spans="1:5" ht="18" x14ac:dyDescent="0.45">
      <c r="A51" s="11" t="s">
        <v>1</v>
      </c>
      <c r="B51" s="5"/>
      <c r="C51" s="3" t="s">
        <v>2</v>
      </c>
      <c r="E51" s="9"/>
    </row>
    <row r="52" spans="1:5" x14ac:dyDescent="0.25">
      <c r="E52" s="9"/>
    </row>
    <row r="53" spans="1:5" x14ac:dyDescent="0.25">
      <c r="E53" s="9"/>
    </row>
    <row r="54" spans="1:5" x14ac:dyDescent="0.25">
      <c r="E54" s="9"/>
    </row>
    <row r="55" spans="1:5" x14ac:dyDescent="0.25">
      <c r="E55" s="9"/>
    </row>
  </sheetData>
  <mergeCells count="4">
    <mergeCell ref="A1:C1"/>
    <mergeCell ref="A2:C2"/>
    <mergeCell ref="A27:C27"/>
    <mergeCell ref="A28:C28"/>
  </mergeCells>
  <pageMargins left="0.7" right="0.7" top="0.75" bottom="0.75" header="0.3" footer="0.3"/>
  <pageSetup scale="84" orientation="portrait" horizontalDpi="0" verticalDpi="0" r:id="rId1"/>
  <rowBreaks count="1" manualBreakCount="1">
    <brk id="53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12.21</vt:lpstr>
      <vt:lpstr>'12.21'!Print_Area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2020-11-05T11:22:02Z</cp:lastPrinted>
  <dcterms:created xsi:type="dcterms:W3CDTF">2019-05-21T05:57:01Z</dcterms:created>
  <dcterms:modified xsi:type="dcterms:W3CDTF">2020-11-05T11:22:13Z</dcterms:modified>
</cp:coreProperties>
</file>