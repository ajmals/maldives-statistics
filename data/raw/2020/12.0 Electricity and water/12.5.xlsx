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5" sheetId="19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'12.5'!$A$1:$H$62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15" i="19" l="1"/>
  <c r="BI16" i="19"/>
  <c r="BI17" i="19"/>
  <c r="BI18" i="19"/>
  <c r="BI19" i="19"/>
  <c r="BH19" i="19"/>
  <c r="BH18" i="19"/>
  <c r="BH17" i="19"/>
  <c r="BH16" i="19"/>
  <c r="BH15" i="19"/>
  <c r="C35" i="19"/>
  <c r="E35" i="19" s="1"/>
  <c r="D34" i="19"/>
  <c r="C32" i="19"/>
  <c r="E32" i="19" s="1"/>
  <c r="D31" i="19"/>
  <c r="D32" i="19" s="1"/>
  <c r="C29" i="19"/>
  <c r="E25" i="19" s="1"/>
  <c r="D28" i="19"/>
  <c r="D27" i="19"/>
  <c r="D26" i="19"/>
  <c r="D25" i="19"/>
  <c r="D24" i="19"/>
  <c r="E23" i="19"/>
  <c r="D23" i="19"/>
  <c r="D22" i="19"/>
  <c r="C20" i="19"/>
  <c r="E20" i="19" s="1"/>
  <c r="D19" i="19"/>
  <c r="D18" i="19"/>
  <c r="D17" i="19"/>
  <c r="D16" i="19"/>
  <c r="D15" i="19"/>
  <c r="C13" i="19"/>
  <c r="E13" i="19" s="1"/>
  <c r="E12" i="19"/>
  <c r="D12" i="19"/>
  <c r="D11" i="19"/>
  <c r="E10" i="19"/>
  <c r="D10" i="19"/>
  <c r="D9" i="19"/>
  <c r="D8" i="19"/>
  <c r="D7" i="19"/>
  <c r="D6" i="19"/>
  <c r="E17" i="19" l="1"/>
  <c r="E26" i="19"/>
  <c r="E8" i="19"/>
  <c r="D20" i="19"/>
  <c r="F19" i="19" s="1"/>
  <c r="E22" i="19"/>
  <c r="E24" i="19"/>
  <c r="E6" i="19"/>
  <c r="E15" i="19"/>
  <c r="D29" i="19"/>
  <c r="F26" i="19" s="1"/>
  <c r="E28" i="19"/>
  <c r="E18" i="19"/>
  <c r="E7" i="19"/>
  <c r="E9" i="19"/>
  <c r="E11" i="19"/>
  <c r="E27" i="19"/>
  <c r="E29" i="19"/>
  <c r="F32" i="19"/>
  <c r="F31" i="19"/>
  <c r="F20" i="19"/>
  <c r="F29" i="19"/>
  <c r="F28" i="19"/>
  <c r="F24" i="19"/>
  <c r="F25" i="19"/>
  <c r="F27" i="19"/>
  <c r="F23" i="19"/>
  <c r="D13" i="19"/>
  <c r="D35" i="19"/>
  <c r="F35" i="19" s="1"/>
  <c r="E16" i="19"/>
  <c r="E34" i="19"/>
  <c r="E19" i="19"/>
  <c r="F22" i="19"/>
  <c r="E31" i="19"/>
  <c r="F16" i="19" l="1"/>
  <c r="F18" i="19"/>
  <c r="F15" i="19"/>
  <c r="F17" i="19"/>
  <c r="F13" i="19"/>
  <c r="F9" i="19"/>
  <c r="F10" i="19"/>
  <c r="F6" i="19"/>
  <c r="F7" i="19"/>
  <c r="F12" i="19"/>
  <c r="F11" i="19"/>
  <c r="F34" i="19"/>
  <c r="F8" i="19"/>
</calcChain>
</file>

<file path=xl/sharedStrings.xml><?xml version="1.0" encoding="utf-8"?>
<sst xmlns="http://schemas.openxmlformats.org/spreadsheetml/2006/main" count="81" uniqueCount="50">
  <si>
    <t xml:space="preserve"> % cnutogWviawfiheb</t>
  </si>
  <si>
    <t>ޖުމްލަ</t>
  </si>
  <si>
    <t>Source: State Electric Company Limited</t>
  </si>
  <si>
    <t>Bands</t>
  </si>
  <si>
    <t>ރޭޓް</t>
  </si>
  <si>
    <t>އަދަދު</t>
  </si>
  <si>
    <t>ބޭންޑް</t>
  </si>
  <si>
    <t>Rates (MVR)</t>
  </si>
  <si>
    <t>Total (Kwh)</t>
  </si>
  <si>
    <t>Value (MVR)</t>
  </si>
  <si>
    <t>% Share of Quantity</t>
  </si>
  <si>
    <t>% Share of Value</t>
  </si>
  <si>
    <t>Domestic</t>
  </si>
  <si>
    <t>ގޭބިސީ</t>
  </si>
  <si>
    <t>0-100 units</t>
  </si>
  <si>
    <t>100 - 0</t>
  </si>
  <si>
    <t>101-200</t>
  </si>
  <si>
    <t>200 - 101</t>
  </si>
  <si>
    <t>201 -300</t>
  </si>
  <si>
    <t>300-201</t>
  </si>
  <si>
    <t>301-400</t>
  </si>
  <si>
    <t>400-301</t>
  </si>
  <si>
    <t>401-500</t>
  </si>
  <si>
    <t>500-401</t>
  </si>
  <si>
    <t>501-600</t>
  </si>
  <si>
    <t>600 - 501</t>
  </si>
  <si>
    <t>&gt; 600</t>
  </si>
  <si>
    <t>601އަށް ވުރެމަތި</t>
  </si>
  <si>
    <t>All bands</t>
  </si>
  <si>
    <t>ހުރިހާ ބޭންޑް</t>
  </si>
  <si>
    <t>Government</t>
  </si>
  <si>
    <t>އޮފީސް އަދި އެހެނިހެން</t>
  </si>
  <si>
    <t>101-300</t>
  </si>
  <si>
    <t>300 - 101</t>
  </si>
  <si>
    <t>301 -500</t>
  </si>
  <si>
    <t>500 - 301</t>
  </si>
  <si>
    <t>Business</t>
  </si>
  <si>
    <t>Special Tariff</t>
  </si>
  <si>
    <t>Tertiary Hospital</t>
  </si>
  <si>
    <t>600 -501</t>
  </si>
  <si>
    <t>601-3000</t>
  </si>
  <si>
    <t>3001-10000</t>
  </si>
  <si>
    <t>6001-10000</t>
  </si>
  <si>
    <t>&gt;10000</t>
  </si>
  <si>
    <t>10001އަށް ވުރެމަތި</t>
  </si>
  <si>
    <t>TERTIARY HOSPITAL</t>
  </si>
  <si>
    <t>ޓާރޝިއަރީ ހޮސްޕިޓަލް</t>
  </si>
  <si>
    <t>cDeTimil Inepcmok ckircTckeliacTETcs :ctWrwfivcaedutWmUluAwm</t>
  </si>
  <si>
    <t>2019 ,urwvcnim unuverukcnunEb cTcnwrwk iawgElWm :12.5 ulwvWt</t>
  </si>
  <si>
    <t>TABLE 12.5 ELECTRICITY CONSUMPTION IN MALE',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</si>
</sst>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8" formatCode="General_)"/>
    <numFmt numFmtId="169" formatCode="_(* #,##0.0_);_(* \(#,##0.0\);_(* &quot;-&quot;??_);_(@_)"/>
    <numFmt numFmtId="170" formatCode="#,##0.0_);\(#,##0.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12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_Faseyha"/>
    </font>
    <font>
      <sz val="11"/>
      <name val="Faruma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12" fillId="2" borderId="14" xfId="3" applyFont="1" applyFill="1" applyBorder="1" applyAlignment="1">
      <alignment vertical="center"/>
    </xf>
    <xf numFmtId="0" fontId="11" fillId="2" borderId="4" xfId="0" applyFont="1" applyFill="1" applyBorder="1"/>
    <xf numFmtId="0" fontId="4" fillId="2" borderId="4" xfId="0" applyFont="1" applyFill="1" applyBorder="1"/>
    <xf numFmtId="168" fontId="9" fillId="2" borderId="15" xfId="3" applyNumberFormat="1" applyFont="1" applyFill="1" applyBorder="1" applyAlignment="1">
      <alignment vertical="top" wrapText="1"/>
    </xf>
    <xf numFmtId="168" fontId="9" fillId="2" borderId="16" xfId="3" applyNumberFormat="1" applyFont="1" applyFill="1" applyBorder="1" applyAlignment="1">
      <alignment vertical="top" wrapText="1"/>
    </xf>
    <xf numFmtId="168" fontId="10" fillId="2" borderId="18" xfId="3" applyNumberFormat="1" applyFont="1" applyFill="1" applyBorder="1" applyAlignment="1">
      <alignment horizontal="right" vertical="center"/>
    </xf>
    <xf numFmtId="168" fontId="17" fillId="2" borderId="3" xfId="0" applyNumberFormat="1" applyFont="1" applyFill="1" applyBorder="1"/>
    <xf numFmtId="43" fontId="11" fillId="2" borderId="4" xfId="4" applyFont="1" applyFill="1" applyBorder="1"/>
    <xf numFmtId="164" fontId="11" fillId="2" borderId="4" xfId="4" applyNumberFormat="1" applyFont="1" applyFill="1" applyBorder="1"/>
    <xf numFmtId="43" fontId="11" fillId="2" borderId="19" xfId="4" applyFont="1" applyFill="1" applyBorder="1"/>
    <xf numFmtId="43" fontId="13" fillId="2" borderId="19" xfId="4" applyFont="1" applyFill="1" applyBorder="1" applyAlignment="1">
      <alignment vertical="center" textRotation="90"/>
    </xf>
    <xf numFmtId="164" fontId="9" fillId="2" borderId="4" xfId="4" applyNumberFormat="1" applyFont="1" applyFill="1" applyBorder="1" applyAlignment="1">
      <alignment horizontal="right" vertical="center"/>
    </xf>
    <xf numFmtId="168" fontId="11" fillId="2" borderId="4" xfId="3" applyNumberFormat="1" applyFont="1" applyFill="1" applyBorder="1" applyAlignment="1" applyProtection="1">
      <alignment horizontal="left" vertical="center"/>
    </xf>
    <xf numFmtId="43" fontId="11" fillId="2" borderId="4" xfId="4" applyFont="1" applyFill="1" applyBorder="1" applyAlignment="1" applyProtection="1">
      <alignment horizontal="right" vertical="center"/>
    </xf>
    <xf numFmtId="164" fontId="16" fillId="2" borderId="4" xfId="4" applyNumberFormat="1" applyFont="1" applyFill="1" applyBorder="1" applyAlignment="1">
      <alignment horizontal="right" vertical="center"/>
    </xf>
    <xf numFmtId="0" fontId="4" fillId="2" borderId="10" xfId="0" applyFont="1" applyFill="1" applyBorder="1"/>
    <xf numFmtId="0" fontId="4" fillId="2" borderId="6" xfId="0" applyFont="1" applyFill="1" applyBorder="1"/>
    <xf numFmtId="0" fontId="4" fillId="2" borderId="11" xfId="0" applyFont="1" applyFill="1" applyBorder="1"/>
    <xf numFmtId="168" fontId="10" fillId="2" borderId="4" xfId="3" applyNumberFormat="1" applyFont="1" applyFill="1" applyBorder="1" applyAlignment="1" applyProtection="1">
      <alignment horizontal="left" vertical="center"/>
    </xf>
    <xf numFmtId="43" fontId="14" fillId="2" borderId="4" xfId="4" applyFont="1" applyFill="1" applyBorder="1" applyAlignment="1">
      <alignment horizontal="right" vertical="center"/>
    </xf>
    <xf numFmtId="164" fontId="10" fillId="2" borderId="4" xfId="4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/>
    <xf numFmtId="168" fontId="18" fillId="2" borderId="4" xfId="3" applyNumberFormat="1" applyFont="1" applyFill="1" applyBorder="1" applyAlignment="1" applyProtection="1">
      <alignment horizontal="left" vertical="center"/>
    </xf>
    <xf numFmtId="43" fontId="11" fillId="2" borderId="4" xfId="4" applyFont="1" applyFill="1" applyBorder="1" applyAlignment="1">
      <alignment horizontal="right" vertical="center"/>
    </xf>
    <xf numFmtId="164" fontId="11" fillId="2" borderId="4" xfId="4" applyNumberFormat="1" applyFont="1" applyFill="1" applyBorder="1" applyAlignment="1">
      <alignment horizontal="right" vertical="center"/>
    </xf>
    <xf numFmtId="169" fontId="11" fillId="2" borderId="19" xfId="4" applyNumberFormat="1" applyFont="1" applyFill="1" applyBorder="1" applyAlignment="1">
      <alignment horizontal="left" vertical="center" indent="7"/>
    </xf>
    <xf numFmtId="169" fontId="13" fillId="2" borderId="19" xfId="4" applyNumberFormat="1" applyFont="1" applyFill="1" applyBorder="1" applyAlignment="1">
      <alignment horizontal="left" vertical="center" indent="7"/>
    </xf>
    <xf numFmtId="43" fontId="4" fillId="2" borderId="4" xfId="1" applyFont="1" applyFill="1" applyBorder="1"/>
    <xf numFmtId="168" fontId="18" fillId="2" borderId="1" xfId="3" applyNumberFormat="1" applyFont="1" applyFill="1" applyBorder="1" applyAlignment="1" applyProtection="1">
      <alignment horizontal="left" vertical="center"/>
    </xf>
    <xf numFmtId="43" fontId="11" fillId="2" borderId="1" xfId="4" applyFont="1" applyFill="1" applyBorder="1" applyAlignment="1">
      <alignment horizontal="right" vertical="center"/>
    </xf>
    <xf numFmtId="164" fontId="11" fillId="2" borderId="1" xfId="4" applyNumberFormat="1" applyFont="1" applyFill="1" applyBorder="1" applyAlignment="1">
      <alignment horizontal="right" vertical="center"/>
    </xf>
    <xf numFmtId="164" fontId="9" fillId="2" borderId="1" xfId="4" applyNumberFormat="1" applyFont="1" applyFill="1" applyBorder="1" applyAlignment="1">
      <alignment horizontal="right" vertical="center"/>
    </xf>
    <xf numFmtId="168" fontId="10" fillId="2" borderId="8" xfId="3" applyNumberFormat="1" applyFont="1" applyFill="1" applyBorder="1" applyAlignment="1" applyProtection="1">
      <alignment horizontal="left" vertical="center"/>
    </xf>
    <xf numFmtId="43" fontId="14" fillId="2" borderId="8" xfId="4" applyFont="1" applyFill="1" applyBorder="1" applyAlignment="1">
      <alignment horizontal="right" vertical="center"/>
    </xf>
    <xf numFmtId="164" fontId="10" fillId="2" borderId="8" xfId="4" applyNumberFormat="1" applyFont="1" applyFill="1" applyBorder="1" applyAlignment="1">
      <alignment horizontal="right" vertical="center"/>
    </xf>
    <xf numFmtId="164" fontId="9" fillId="2" borderId="8" xfId="4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 applyProtection="1">
      <alignment horizontal="left" vertical="top"/>
    </xf>
    <xf numFmtId="43" fontId="14" fillId="2" borderId="0" xfId="4" applyFont="1" applyFill="1" applyBorder="1"/>
    <xf numFmtId="43" fontId="10" fillId="2" borderId="0" xfId="4" applyFont="1" applyFill="1" applyBorder="1"/>
    <xf numFmtId="0" fontId="7" fillId="2" borderId="0" xfId="0" applyFont="1" applyFill="1" applyBorder="1" applyAlignment="1">
      <alignment horizontal="right" vertical="top"/>
    </xf>
    <xf numFmtId="0" fontId="4" fillId="2" borderId="14" xfId="0" applyFont="1" applyFill="1" applyBorder="1"/>
    <xf numFmtId="43" fontId="4" fillId="2" borderId="4" xfId="4" applyFont="1" applyFill="1" applyBorder="1"/>
    <xf numFmtId="0" fontId="5" fillId="2" borderId="14" xfId="0" applyFont="1" applyFill="1" applyBorder="1" applyAlignment="1" applyProtection="1">
      <alignment horizontal="left" vertical="top"/>
    </xf>
    <xf numFmtId="164" fontId="11" fillId="2" borderId="19" xfId="4" applyNumberFormat="1" applyFont="1" applyFill="1" applyBorder="1" applyAlignment="1">
      <alignment horizontal="left" vertical="center" indent="7"/>
    </xf>
    <xf numFmtId="164" fontId="13" fillId="2" borderId="19" xfId="4" applyNumberFormat="1" applyFont="1" applyFill="1" applyBorder="1" applyAlignment="1">
      <alignment horizontal="left" vertical="center" indent="7"/>
    </xf>
    <xf numFmtId="170" fontId="11" fillId="2" borderId="4" xfId="4" applyNumberFormat="1" applyFont="1" applyFill="1" applyBorder="1" applyAlignment="1">
      <alignment horizontal="right" vertical="center" indent="3"/>
    </xf>
    <xf numFmtId="170" fontId="10" fillId="2" borderId="4" xfId="4" applyNumberFormat="1" applyFont="1" applyFill="1" applyBorder="1" applyAlignment="1">
      <alignment horizontal="right" vertical="center" indent="3"/>
    </xf>
    <xf numFmtId="170" fontId="11" fillId="2" borderId="8" xfId="4" applyNumberFormat="1" applyFont="1" applyFill="1" applyBorder="1" applyAlignment="1">
      <alignment horizontal="right" vertical="center" indent="3"/>
    </xf>
    <xf numFmtId="170" fontId="10" fillId="2" borderId="8" xfId="4" applyNumberFormat="1" applyFont="1" applyFill="1" applyBorder="1" applyAlignment="1">
      <alignment horizontal="right" vertical="center" indent="3"/>
    </xf>
    <xf numFmtId="168" fontId="3" fillId="2" borderId="16" xfId="3" applyNumberFormat="1" applyFont="1" applyFill="1" applyBorder="1" applyAlignment="1">
      <alignment horizontal="right" vertical="top" wrapText="1"/>
    </xf>
    <xf numFmtId="0" fontId="6" fillId="2" borderId="0" xfId="0" applyFont="1" applyFill="1" applyBorder="1" applyAlignment="1">
      <alignment horizontal="right" vertical="top"/>
    </xf>
    <xf numFmtId="0" fontId="15" fillId="2" borderId="14" xfId="3" applyFont="1" applyFill="1" applyBorder="1" applyAlignment="1">
      <alignment horizontal="center" vertical="center"/>
    </xf>
    <xf numFmtId="168" fontId="8" fillId="2" borderId="9" xfId="3" applyNumberFormat="1" applyFont="1" applyFill="1" applyBorder="1" applyAlignment="1">
      <alignment horizontal="center" vertical="top" wrapText="1"/>
    </xf>
    <xf numFmtId="168" fontId="8" fillId="2" borderId="12" xfId="3" applyNumberFormat="1" applyFont="1" applyFill="1" applyBorder="1" applyAlignment="1">
      <alignment horizontal="center" vertical="top" wrapText="1"/>
    </xf>
    <xf numFmtId="168" fontId="8" fillId="2" borderId="7" xfId="3" applyNumberFormat="1" applyFont="1" applyFill="1" applyBorder="1" applyAlignment="1">
      <alignment horizontal="center" vertical="top" wrapText="1"/>
    </xf>
    <xf numFmtId="168" fontId="10" fillId="2" borderId="13" xfId="3" applyNumberFormat="1" applyFont="1" applyFill="1" applyBorder="1" applyAlignment="1">
      <alignment horizontal="left" vertical="center"/>
    </xf>
    <xf numFmtId="168" fontId="10" fillId="2" borderId="18" xfId="3" applyNumberFormat="1" applyFont="1" applyFill="1" applyBorder="1" applyAlignment="1">
      <alignment horizontal="left" vertical="center"/>
    </xf>
    <xf numFmtId="168" fontId="9" fillId="2" borderId="17" xfId="3" applyNumberFormat="1" applyFont="1" applyFill="1" applyBorder="1" applyAlignment="1">
      <alignment horizontal="right" vertical="center" wrapText="1"/>
    </xf>
    <xf numFmtId="168" fontId="9" fillId="2" borderId="2" xfId="3" applyNumberFormat="1" applyFont="1" applyFill="1" applyBorder="1" applyAlignment="1">
      <alignment horizontal="right" vertical="center" wrapText="1"/>
    </xf>
  </cellXfs>
  <cellStyles count="5">
    <cellStyle name="Comma" xfId="1" builtinId="3"/>
    <cellStyle name="Comma 2" xfId="2"/>
    <cellStyle name="Comma 4" xf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12.4:  Electricity consumption in Male' by type, 2018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1937005675488139"/>
          <c:y val="1.5595591973468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v>Unit (Kwh)</c:v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'[2]12.5'!$T$15:$T$18</c:f>
              <c:numCache>
                <c:formatCode>General</c:formatCode>
                <c:ptCount val="4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5BD-450F-8C94-F7E4662D51E7}"/>
            </c:ext>
          </c:extLst>
        </c:ser>
        <c:ser>
          <c:idx val="1"/>
          <c:order val="1"/>
          <c:tx>
            <c:strRef>
              <c:f>'[2]12.5'!$U$14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'[2]12.5'!$S$15:$S$18</c:f>
              <c:strCache>
                <c:ptCount val="4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</c:strCache>
            </c:strRef>
          </c:cat>
          <c:val>
            <c:numRef>
              <c:f>'[2]12.5'!$U$15:$U$18</c:f>
              <c:numCache>
                <c:formatCode>General</c:formatCode>
                <c:ptCount val="4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5BD-450F-8C94-F7E4662D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2852608"/>
        <c:axId val="592853392"/>
      </c:barChart>
      <c:catAx>
        <c:axId val="5928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53392"/>
        <c:crosses val="autoZero"/>
        <c:auto val="1"/>
        <c:lblAlgn val="ctr"/>
        <c:lblOffset val="100"/>
        <c:noMultiLvlLbl val="0"/>
      </c:catAx>
      <c:valAx>
        <c:axId val="5928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5260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343026214833315"/>
          <c:y val="0.1256547973454441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6829400975225554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'[3]12.5'!$T$14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'[3]12.5'!$T$15:$T$19</c:f>
              <c:numCache>
                <c:formatCode>General</c:formatCode>
                <c:ptCount val="5"/>
                <c:pt idx="0">
                  <c:v>166585834</c:v>
                </c:pt>
                <c:pt idx="1">
                  <c:v>32375242</c:v>
                </c:pt>
                <c:pt idx="2">
                  <c:v>109946317</c:v>
                </c:pt>
                <c:pt idx="3">
                  <c:v>1552880</c:v>
                </c:pt>
                <c:pt idx="4">
                  <c:v>8390390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9A-4EDD-BFB9-D49AF9340A4D}"/>
            </c:ext>
          </c:extLst>
        </c:ser>
        <c:ser>
          <c:idx val="1"/>
          <c:order val="1"/>
          <c:tx>
            <c:strRef>
              <c:f>'[3]12.5'!$U$14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'[3]12.5'!$S$15:$S$19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'[3]12.5'!$U$15:$U$19</c:f>
              <c:numCache>
                <c:formatCode>General</c:formatCode>
                <c:ptCount val="5"/>
                <c:pt idx="0">
                  <c:v>421605340.88050002</c:v>
                </c:pt>
                <c:pt idx="1">
                  <c:v>137301880.88150001</c:v>
                </c:pt>
                <c:pt idx="2">
                  <c:v>510097490.05399996</c:v>
                </c:pt>
                <c:pt idx="3">
                  <c:v>5279792</c:v>
                </c:pt>
                <c:pt idx="4">
                  <c:v>35659157.5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C9A-4EDD-BFB9-D49AF9340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4448592"/>
        <c:axId val="664455648"/>
      </c:barChart>
      <c:catAx>
        <c:axId val="6644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55648"/>
        <c:crosses val="autoZero"/>
        <c:auto val="1"/>
        <c:lblAlgn val="ctr"/>
        <c:lblOffset val="100"/>
        <c:noMultiLvlLbl val="0"/>
      </c:catAx>
      <c:valAx>
        <c:axId val="6644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4859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12.4:  Electricity consumption in Male' by type,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8250229765915658"/>
          <c:y val="2.3549035884528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0373094924131"/>
          <c:y val="0.12121871780743523"/>
          <c:w val="0.84800617990623806"/>
          <c:h val="0.741951030146655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'12.5'!$BH$14</c:f>
              <c:strCache>
                <c:ptCount val="1"/>
                <c:pt idx="0">
                  <c:v>Total (Kwh)</c:v>
                </c:pt>
              </c:strCache>
            </c:strRef>
          </c:tx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strRef>
              <c:f>'12.5'!$BG$15:$BG$19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'12.5'!$BH$15:$BH$19</c:f>
              <c:numCache>
                <c:formatCode>_(* #,##0_);_(* \(#,##0\);_(* "-"??_);_(@_)</c:formatCode>
                <c:ptCount val="5"/>
                <c:pt idx="0">
                  <c:v>189659941.33000001</c:v>
                </c:pt>
                <c:pt idx="1">
                  <c:v>35803334</c:v>
                </c:pt>
                <c:pt idx="2">
                  <c:v>118499515.39</c:v>
                </c:pt>
                <c:pt idx="3">
                  <c:v>132771</c:v>
                </c:pt>
                <c:pt idx="4">
                  <c:v>12258045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5BD-450F-8C94-F7E4662D51E7}"/>
            </c:ext>
          </c:extLst>
        </c:ser>
        <c:ser>
          <c:idx val="1"/>
          <c:order val="1"/>
          <c:tx>
            <c:strRef>
              <c:f>'12.5'!$BI$14</c:f>
              <c:strCache>
                <c:ptCount val="1"/>
                <c:pt idx="0">
                  <c:v>Value (MVR)</c:v>
                </c:pt>
              </c:strCache>
            </c:strRef>
          </c:tx>
          <c:spPr>
            <a:solidFill>
              <a:srgbClr val="DAB48E"/>
            </a:solidFill>
            <a:ln>
              <a:noFill/>
            </a:ln>
            <a:effectLst/>
          </c:spPr>
          <c:invertIfNegative val="0"/>
          <c:cat>
            <c:strRef>
              <c:f>'12.5'!$BG$15:$BG$19</c:f>
              <c:strCache>
                <c:ptCount val="5"/>
                <c:pt idx="0">
                  <c:v>Domestic</c:v>
                </c:pt>
                <c:pt idx="1">
                  <c:v>Government</c:v>
                </c:pt>
                <c:pt idx="2">
                  <c:v>Business</c:v>
                </c:pt>
                <c:pt idx="3">
                  <c:v>Special Tariff</c:v>
                </c:pt>
                <c:pt idx="4">
                  <c:v>Tertiary Hospital</c:v>
                </c:pt>
              </c:strCache>
            </c:strRef>
          </c:cat>
          <c:val>
            <c:numRef>
              <c:f>'12.5'!$BI$15:$BI$19</c:f>
              <c:numCache>
                <c:formatCode>_(* #,##0_);_(* \(#,##0\);_(* "-"??_);_(@_)</c:formatCode>
                <c:ptCount val="5"/>
                <c:pt idx="0">
                  <c:v>493999480.79500002</c:v>
                </c:pt>
                <c:pt idx="1">
                  <c:v>152143885.24599999</c:v>
                </c:pt>
                <c:pt idx="2">
                  <c:v>542583725.14450002</c:v>
                </c:pt>
                <c:pt idx="3">
                  <c:v>451421.39999999997</c:v>
                </c:pt>
                <c:pt idx="4">
                  <c:v>52096691.25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5BD-450F-8C94-F7E4662D5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4456824"/>
        <c:axId val="664449376"/>
      </c:barChart>
      <c:catAx>
        <c:axId val="66445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49376"/>
        <c:crosses val="autoZero"/>
        <c:auto val="1"/>
        <c:lblAlgn val="ctr"/>
        <c:lblOffset val="100"/>
        <c:noMultiLvlLbl val="0"/>
      </c:catAx>
      <c:valAx>
        <c:axId val="66444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568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5959142867315904"/>
          <c:y val="0.15306617365245642"/>
          <c:w val="0.25804783112312735"/>
          <c:h val="7.5054093372159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12.3:  Percentage share of electricity consumption in Male' (Domestic)  by quantity and value, 2019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1860957737965454"/>
          <c:y val="2.4825052559163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555390460693201E-2"/>
          <c:y val="0.13241449994757315"/>
          <c:w val="0.90850235050756201"/>
          <c:h val="0.76379100433835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'12.5'!$E$4</c:f>
              <c:strCache>
                <c:ptCount val="1"/>
                <c:pt idx="0">
                  <c:v>% Share of Quantity</c:v>
                </c:pt>
              </c:strCache>
            </c:strRef>
          </c:tx>
          <c:spPr>
            <a:solidFill>
              <a:srgbClr val="9764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'12.5'!$E$6:$E$12</c:f>
              <c:numCache>
                <c:formatCode>#,##0.0_);\(#,##0.0\)</c:formatCode>
                <c:ptCount val="7"/>
                <c:pt idx="0">
                  <c:v>18.719731916517304</c:v>
                </c:pt>
                <c:pt idx="1">
                  <c:v>17.17235532796629</c:v>
                </c:pt>
                <c:pt idx="2">
                  <c:v>14.915447385264672</c:v>
                </c:pt>
                <c:pt idx="3">
                  <c:v>12.194368045152235</c:v>
                </c:pt>
                <c:pt idx="4">
                  <c:v>9.5420207098510748</c:v>
                </c:pt>
                <c:pt idx="5">
                  <c:v>7.2239062207454294</c:v>
                </c:pt>
                <c:pt idx="6">
                  <c:v>20.232170394502987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0F-4BC7-97C0-E554E4CC773F}"/>
            </c:ext>
          </c:extLst>
        </c:ser>
        <c:ser>
          <c:idx val="1"/>
          <c:order val="1"/>
          <c:tx>
            <c:strRef>
              <c:f>'12.5'!$F$4</c:f>
              <c:strCache>
                <c:ptCount val="1"/>
                <c:pt idx="0">
                  <c:v>% Share of Value</c:v>
                </c:pt>
              </c:strCache>
            </c:strRef>
          </c:tx>
          <c:spPr>
            <a:solidFill>
              <a:srgbClr val="DAB48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'12.5'!$A$6:$A$12</c:f>
              <c:strCache>
                <c:ptCount val="7"/>
                <c:pt idx="0">
                  <c:v>0-100 units</c:v>
                </c:pt>
                <c:pt idx="1">
                  <c:v>101-200</c:v>
                </c:pt>
                <c:pt idx="2">
                  <c:v>201 -300</c:v>
                </c:pt>
                <c:pt idx="3">
                  <c:v>301-400</c:v>
                </c:pt>
                <c:pt idx="4">
                  <c:v>401-500</c:v>
                </c:pt>
                <c:pt idx="5">
                  <c:v>501-600</c:v>
                </c:pt>
                <c:pt idx="6">
                  <c:v>&gt; 600</c:v>
                </c:pt>
              </c:strCache>
            </c:strRef>
          </c:cat>
          <c:val>
            <c:numRef>
              <c:f>'12.5'!$F$6:$F$12</c:f>
              <c:numCache>
                <c:formatCode>#,##0.0_);\(#,##0.0\)</c:formatCode>
                <c:ptCount val="7"/>
                <c:pt idx="0">
                  <c:v>10.780527293124846</c:v>
                </c:pt>
                <c:pt idx="1">
                  <c:v>11.537641340892858</c:v>
                </c:pt>
                <c:pt idx="2">
                  <c:v>12.311865538020538</c:v>
                </c:pt>
                <c:pt idx="3">
                  <c:v>11.704380358244542</c:v>
                </c:pt>
                <c:pt idx="4">
                  <c:v>10.807157734271925</c:v>
                </c:pt>
                <c:pt idx="5">
                  <c:v>9.845767405813092</c:v>
                </c:pt>
                <c:pt idx="6">
                  <c:v>33.012660329632197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80F-4BC7-97C0-E554E4CC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"/>
        <c:axId val="664458392"/>
        <c:axId val="664458784"/>
      </c:barChart>
      <c:catAx>
        <c:axId val="664458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58784"/>
        <c:crosses val="autoZero"/>
        <c:auto val="1"/>
        <c:lblAlgn val="ctr"/>
        <c:lblOffset val="100"/>
        <c:noMultiLvlLbl val="0"/>
      </c:catAx>
      <c:valAx>
        <c:axId val="664458784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5839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565964210714794"/>
          <c:y val="0.18475084030554317"/>
          <c:w val="0.36077467844076772"/>
          <c:h val="7.01662341347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208364</xdr:colOff>
      <xdr:row>50</xdr:row>
      <xdr:rowOff>25400</xdr:rowOff>
    </xdr:from>
    <xdr:to>
      <xdr:col>6</xdr:col>
      <xdr:colOff>863070</xdr:colOff>
      <xdr:row>61</xdr:row>
      <xdr:rowOff>180474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308811</xdr:colOff>
      <xdr:row>36</xdr:row>
      <xdr:rowOff>53639</xdr:rowOff>
    </xdr:from>
    <xdr:to>
      <xdr:col>6</xdr:col>
      <xdr:colOff>880310</xdr:colOff>
      <xdr:row>48</xdr:row>
      <xdr:rowOff>242134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8"/>
  <sheetViews>
    <sheetView tabSelected="1" zoomScaleNormal="100" workbookViewId="0">
      <selection activeCell="L7" sqref="L7"/>
    </sheetView>
  </sheetViews>
  <sheetFormatPr defaultColWidth="9.140625" defaultRowHeight="12.75"/>
  <cols>
    <col min="1" max="1" width="15" style="3" bestFit="1" customWidth="1"/>
    <col min="2" max="2" width="12.85546875" style="3" customWidth="1"/>
    <col min="3" max="3" width="15.7109375" style="3" customWidth="1"/>
    <col min="4" max="4" width="16.5703125" style="3" customWidth="1"/>
    <col min="5" max="5" width="18.7109375" style="3" customWidth="1"/>
    <col min="6" max="6" width="18.5703125" style="3" customWidth="1"/>
    <col min="7" max="7" width="19.28515625" style="3" customWidth="1"/>
    <col min="8" max="8" width="2" style="3" customWidth="1"/>
    <col min="9" max="9" width="12.28515625" style="3" bestFit="1" customWidth="1"/>
    <col min="10" max="10" width="18.5703125" style="3" customWidth="1"/>
    <col min="11" max="11" width="13.5703125" style="3" bestFit="1" customWidth="1"/>
    <col min="12" max="12" width="14.5703125" style="3" bestFit="1" customWidth="1"/>
    <col min="13" max="52" width="14.5703125" style="3" customWidth="1"/>
    <col min="53" max="53" width="15" style="3" bestFit="1" customWidth="1"/>
    <col min="54" max="57" width="13.5703125" style="3" bestFit="1" customWidth="1"/>
    <col min="58" max="59" width="9.140625" style="3"/>
    <col min="60" max="61" width="18" style="3" bestFit="1" customWidth="1"/>
    <col min="62" max="16384" width="9.140625" style="3"/>
  </cols>
  <sheetData>
    <row r="1" spans="1:61" s="2" customFormat="1" ht="18">
      <c r="A1" s="52" t="s">
        <v>48</v>
      </c>
      <c r="B1" s="52"/>
      <c r="C1" s="52"/>
      <c r="D1" s="52"/>
      <c r="E1" s="52"/>
      <c r="F1" s="52"/>
      <c r="G1" s="52"/>
      <c r="H1" s="1"/>
    </row>
    <row r="2" spans="1:61" ht="15.75">
      <c r="A2" s="53" t="s">
        <v>49</v>
      </c>
      <c r="B2" s="54"/>
      <c r="C2" s="54"/>
      <c r="D2" s="54"/>
      <c r="E2" s="54"/>
      <c r="F2" s="54"/>
      <c r="G2" s="55"/>
    </row>
    <row r="3" spans="1:61" ht="21">
      <c r="A3" s="56" t="s">
        <v>3</v>
      </c>
      <c r="B3" s="4" t="s">
        <v>4</v>
      </c>
      <c r="C3" s="5" t="s">
        <v>1</v>
      </c>
      <c r="D3" s="5" t="s">
        <v>5</v>
      </c>
      <c r="E3" s="50" t="s">
        <v>0</v>
      </c>
      <c r="F3" s="50" t="s">
        <v>0</v>
      </c>
      <c r="G3" s="58" t="s">
        <v>6</v>
      </c>
    </row>
    <row r="4" spans="1:61" ht="15">
      <c r="A4" s="57"/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59"/>
    </row>
    <row r="5" spans="1:61" ht="21">
      <c r="A5" s="7" t="s">
        <v>12</v>
      </c>
      <c r="B5" s="8"/>
      <c r="C5" s="9"/>
      <c r="D5" s="9"/>
      <c r="E5" s="10"/>
      <c r="F5" s="11"/>
      <c r="G5" s="12" t="s">
        <v>13</v>
      </c>
      <c r="BH5" s="6"/>
      <c r="BI5" s="6"/>
    </row>
    <row r="6" spans="1:61" ht="21">
      <c r="A6" s="13" t="s">
        <v>14</v>
      </c>
      <c r="B6" s="14">
        <v>1.5</v>
      </c>
      <c r="C6" s="25">
        <v>35503832.570000008</v>
      </c>
      <c r="D6" s="25">
        <f>C6*B6</f>
        <v>53255748.855000012</v>
      </c>
      <c r="E6" s="46">
        <f>(C6/C13)*100</f>
        <v>18.719731916517304</v>
      </c>
      <c r="F6" s="46">
        <f>(D6/D13)*100</f>
        <v>10.780527293124846</v>
      </c>
      <c r="G6" s="15" t="s">
        <v>15</v>
      </c>
      <c r="H6" s="16"/>
      <c r="I6" s="17"/>
      <c r="BG6" s="13"/>
    </row>
    <row r="7" spans="1:61" ht="21">
      <c r="A7" s="13" t="s">
        <v>16</v>
      </c>
      <c r="B7" s="14">
        <v>1.75</v>
      </c>
      <c r="C7" s="25">
        <v>32569079.039999995</v>
      </c>
      <c r="D7" s="25">
        <f t="shared" ref="D7:D12" si="0">C7*B7</f>
        <v>56995888.319999993</v>
      </c>
      <c r="E7" s="46">
        <f>(C7/C13)*100</f>
        <v>17.17235532796629</v>
      </c>
      <c r="F7" s="46">
        <f>(D7/D13)*100</f>
        <v>11.537641340892858</v>
      </c>
      <c r="G7" s="15" t="s">
        <v>17</v>
      </c>
      <c r="H7" s="18"/>
      <c r="I7" s="17"/>
      <c r="BG7" s="13"/>
    </row>
    <row r="8" spans="1:61" ht="21">
      <c r="A8" s="13" t="s">
        <v>18</v>
      </c>
      <c r="B8" s="14">
        <v>2.15</v>
      </c>
      <c r="C8" s="25">
        <v>28288628.759999998</v>
      </c>
      <c r="D8" s="25">
        <f t="shared" si="0"/>
        <v>60820551.833999991</v>
      </c>
      <c r="E8" s="46">
        <f>(C8/C13)*100</f>
        <v>14.915447385264672</v>
      </c>
      <c r="F8" s="46">
        <f>(D8/D13)*100</f>
        <v>12.311865538020538</v>
      </c>
      <c r="G8" s="15" t="s">
        <v>19</v>
      </c>
      <c r="H8" s="18"/>
      <c r="I8" s="17"/>
      <c r="BG8" s="13"/>
    </row>
    <row r="9" spans="1:61" ht="21">
      <c r="A9" s="13" t="s">
        <v>20</v>
      </c>
      <c r="B9" s="14">
        <v>2.5</v>
      </c>
      <c r="C9" s="25">
        <v>23127831.279999997</v>
      </c>
      <c r="D9" s="25">
        <f t="shared" si="0"/>
        <v>57819578.199999996</v>
      </c>
      <c r="E9" s="46">
        <f>(C9/C13)*100</f>
        <v>12.194368045152235</v>
      </c>
      <c r="F9" s="46">
        <f>(D9/D13)*100</f>
        <v>11.704380358244542</v>
      </c>
      <c r="G9" s="15" t="s">
        <v>21</v>
      </c>
      <c r="H9" s="18"/>
      <c r="I9" s="17"/>
      <c r="BG9" s="13"/>
    </row>
    <row r="10" spans="1:61" ht="21">
      <c r="A10" s="13" t="s">
        <v>22</v>
      </c>
      <c r="B10" s="14">
        <v>2.95</v>
      </c>
      <c r="C10" s="25">
        <v>18097390.879999999</v>
      </c>
      <c r="D10" s="25">
        <f t="shared" si="0"/>
        <v>53387303.096000001</v>
      </c>
      <c r="E10" s="46">
        <f>(C10/C13)*100</f>
        <v>9.5420207098510748</v>
      </c>
      <c r="F10" s="46">
        <f>(D10/D13)*100</f>
        <v>10.807157734271925</v>
      </c>
      <c r="G10" s="15" t="s">
        <v>23</v>
      </c>
      <c r="H10" s="18"/>
      <c r="I10" s="17"/>
      <c r="BG10" s="13"/>
    </row>
    <row r="11" spans="1:61" ht="21">
      <c r="A11" s="13" t="s">
        <v>24</v>
      </c>
      <c r="B11" s="14">
        <v>3.55</v>
      </c>
      <c r="C11" s="25">
        <v>13700856.300000003</v>
      </c>
      <c r="D11" s="25">
        <f t="shared" si="0"/>
        <v>48638039.86500001</v>
      </c>
      <c r="E11" s="46">
        <f>(C11/C13)*100</f>
        <v>7.2239062207454294</v>
      </c>
      <c r="F11" s="46">
        <f>(D11/D13)*100</f>
        <v>9.845767405813092</v>
      </c>
      <c r="G11" s="15" t="s">
        <v>25</v>
      </c>
      <c r="H11" s="17"/>
      <c r="BG11" s="13"/>
    </row>
    <row r="12" spans="1:61" ht="21">
      <c r="A12" s="13" t="s">
        <v>26</v>
      </c>
      <c r="B12" s="14">
        <v>4.25</v>
      </c>
      <c r="C12" s="25">
        <v>38372322.5</v>
      </c>
      <c r="D12" s="25">
        <f t="shared" si="0"/>
        <v>163082370.625</v>
      </c>
      <c r="E12" s="46">
        <f>(C12/C13)*100</f>
        <v>20.232170394502987</v>
      </c>
      <c r="F12" s="46">
        <f>(D12/D13)*100</f>
        <v>33.012660329632197</v>
      </c>
      <c r="G12" s="15" t="s">
        <v>27</v>
      </c>
      <c r="H12" s="17"/>
      <c r="BG12" s="13"/>
    </row>
    <row r="13" spans="1:61" ht="21">
      <c r="A13" s="19" t="s">
        <v>28</v>
      </c>
      <c r="B13" s="20"/>
      <c r="C13" s="21">
        <f>SUM(C6:C12)</f>
        <v>189659941.33000001</v>
      </c>
      <c r="D13" s="21">
        <f>SUM(D6:D12)</f>
        <v>493999480.79500002</v>
      </c>
      <c r="E13" s="47">
        <f>(C13/C13)*100</f>
        <v>100</v>
      </c>
      <c r="F13" s="47">
        <f>(D13/D13)*100</f>
        <v>100</v>
      </c>
      <c r="G13" s="12" t="s">
        <v>29</v>
      </c>
      <c r="H13" s="17"/>
      <c r="J13" s="22"/>
    </row>
    <row r="14" spans="1:61" ht="21">
      <c r="A14" s="23" t="s">
        <v>30</v>
      </c>
      <c r="B14" s="24"/>
      <c r="C14" s="25"/>
      <c r="D14" s="25"/>
      <c r="E14" s="26"/>
      <c r="F14" s="27"/>
      <c r="G14" s="12" t="s">
        <v>31</v>
      </c>
      <c r="H14" s="17"/>
      <c r="J14" s="22"/>
      <c r="BH14" s="6" t="s">
        <v>8</v>
      </c>
      <c r="BI14" s="6" t="s">
        <v>9</v>
      </c>
    </row>
    <row r="15" spans="1:61" ht="21">
      <c r="A15" s="13" t="s">
        <v>14</v>
      </c>
      <c r="B15" s="14">
        <v>3.3</v>
      </c>
      <c r="C15" s="25">
        <v>861086.26</v>
      </c>
      <c r="D15" s="25">
        <f>C15*B15</f>
        <v>2841584.6579999998</v>
      </c>
      <c r="E15" s="46">
        <f>(C15/C20)*100</f>
        <v>2.4050449044773314</v>
      </c>
      <c r="F15" s="46">
        <f>(D15/D20)*100</f>
        <v>1.8676956049896245</v>
      </c>
      <c r="G15" s="15" t="s">
        <v>15</v>
      </c>
      <c r="H15" s="1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G15" s="7" t="s">
        <v>12</v>
      </c>
      <c r="BH15" s="22">
        <f>C13</f>
        <v>189659941.33000001</v>
      </c>
      <c r="BI15" s="22">
        <f>D13</f>
        <v>493999480.79500002</v>
      </c>
    </row>
    <row r="16" spans="1:61" ht="21">
      <c r="A16" s="13" t="s">
        <v>32</v>
      </c>
      <c r="B16" s="14">
        <v>3.35</v>
      </c>
      <c r="C16" s="25">
        <v>1535661.7400000002</v>
      </c>
      <c r="D16" s="25">
        <f t="shared" ref="D16:D19" si="1">C16*B16</f>
        <v>5144466.8290000008</v>
      </c>
      <c r="E16" s="46">
        <f>(C16/C20)*100</f>
        <v>4.2891584901003919</v>
      </c>
      <c r="F16" s="46">
        <f>(D16/D20)*100</f>
        <v>3.3813168506128011</v>
      </c>
      <c r="G16" s="15" t="s">
        <v>33</v>
      </c>
      <c r="H16" s="17"/>
      <c r="BG16" s="23" t="s">
        <v>30</v>
      </c>
      <c r="BH16" s="22">
        <f>C20</f>
        <v>35803334</v>
      </c>
      <c r="BI16" s="22">
        <f>D20</f>
        <v>152143885.24599999</v>
      </c>
    </row>
    <row r="17" spans="1:61" ht="21">
      <c r="A17" s="13" t="s">
        <v>34</v>
      </c>
      <c r="B17" s="14">
        <v>3.65</v>
      </c>
      <c r="C17" s="25">
        <v>1349492.26</v>
      </c>
      <c r="D17" s="25">
        <f t="shared" si="1"/>
        <v>4925646.7489999998</v>
      </c>
      <c r="E17" s="46">
        <f>(C17/C20)*100</f>
        <v>3.769180434425464</v>
      </c>
      <c r="F17" s="46">
        <f>(D17/D20)*100</f>
        <v>3.2374924178094759</v>
      </c>
      <c r="G17" s="15" t="s">
        <v>35</v>
      </c>
      <c r="H17" s="17"/>
      <c r="BG17" s="23" t="s">
        <v>36</v>
      </c>
      <c r="BH17" s="22">
        <f>C29</f>
        <v>118499515.39</v>
      </c>
      <c r="BI17" s="22">
        <f>D29</f>
        <v>542583725.14450002</v>
      </c>
    </row>
    <row r="18" spans="1:61" ht="21">
      <c r="A18" s="13" t="s">
        <v>24</v>
      </c>
      <c r="B18" s="14">
        <v>4</v>
      </c>
      <c r="C18" s="25">
        <v>617630.74000000011</v>
      </c>
      <c r="D18" s="25">
        <f t="shared" si="1"/>
        <v>2470522.9600000004</v>
      </c>
      <c r="E18" s="46">
        <f>(C18/C20)*100</f>
        <v>1.7250648780362188</v>
      </c>
      <c r="F18" s="46">
        <f>(D18/D20)*100</f>
        <v>1.6238069351294897</v>
      </c>
      <c r="G18" s="15" t="s">
        <v>25</v>
      </c>
      <c r="H18" s="17"/>
      <c r="BG18" s="23" t="s">
        <v>37</v>
      </c>
      <c r="BH18" s="22">
        <f>C32</f>
        <v>132771</v>
      </c>
      <c r="BI18" s="22">
        <f>D32</f>
        <v>451421.39999999997</v>
      </c>
    </row>
    <row r="19" spans="1:61" ht="21">
      <c r="A19" s="13" t="s">
        <v>26</v>
      </c>
      <c r="B19" s="14">
        <v>4.3499999999999996</v>
      </c>
      <c r="C19" s="25">
        <v>31439463</v>
      </c>
      <c r="D19" s="25">
        <f t="shared" si="1"/>
        <v>136761664.04999998</v>
      </c>
      <c r="E19" s="46">
        <f>(C19/C20)*100</f>
        <v>87.811551292960601</v>
      </c>
      <c r="F19" s="46">
        <f>(D19/D20)*100</f>
        <v>89.889688191458603</v>
      </c>
      <c r="G19" s="15" t="s">
        <v>27</v>
      </c>
      <c r="H19" s="17"/>
      <c r="BG19" s="23" t="s">
        <v>38</v>
      </c>
      <c r="BH19" s="22">
        <f>C35</f>
        <v>12258045</v>
      </c>
      <c r="BI19" s="22">
        <f>D35</f>
        <v>52096691.25</v>
      </c>
    </row>
    <row r="20" spans="1:61" ht="21">
      <c r="A20" s="19" t="s">
        <v>28</v>
      </c>
      <c r="B20" s="20"/>
      <c r="C20" s="21">
        <f>SUM(C15:C19)</f>
        <v>35803334</v>
      </c>
      <c r="D20" s="21">
        <f>SUM(D15:D19)</f>
        <v>152143885.24599999</v>
      </c>
      <c r="E20" s="47">
        <f>(C20/C20)*100</f>
        <v>100</v>
      </c>
      <c r="F20" s="47">
        <f>(D20/D20)*100</f>
        <v>100</v>
      </c>
      <c r="G20" s="12" t="s">
        <v>29</v>
      </c>
      <c r="H20" s="17"/>
    </row>
    <row r="21" spans="1:61" ht="21">
      <c r="A21" s="23" t="s">
        <v>36</v>
      </c>
      <c r="B21" s="24"/>
      <c r="C21" s="25"/>
      <c r="D21" s="25"/>
      <c r="E21" s="26"/>
      <c r="F21" s="27"/>
      <c r="G21" s="12" t="s">
        <v>31</v>
      </c>
      <c r="H21" s="17"/>
    </row>
    <row r="22" spans="1:61" ht="21">
      <c r="A22" s="13" t="s">
        <v>14</v>
      </c>
      <c r="B22" s="14">
        <v>3.3</v>
      </c>
      <c r="C22" s="25">
        <v>9683947.7899999991</v>
      </c>
      <c r="D22" s="25">
        <f>C22*B22</f>
        <v>31957027.706999995</v>
      </c>
      <c r="E22" s="46">
        <f>(C22/C29)*100</f>
        <v>8.1721412599272227</v>
      </c>
      <c r="F22" s="46">
        <f>(D22/D29)*100</f>
        <v>5.8897873684820263</v>
      </c>
      <c r="G22" s="15" t="s">
        <v>15</v>
      </c>
      <c r="H22" s="17"/>
    </row>
    <row r="23" spans="1:61" ht="21">
      <c r="A23" s="13" t="s">
        <v>32</v>
      </c>
      <c r="B23" s="14">
        <v>3.35</v>
      </c>
      <c r="C23" s="25">
        <v>15233212.599999998</v>
      </c>
      <c r="D23" s="25">
        <f t="shared" ref="D23:D28" si="2">C23*B23</f>
        <v>51031262.209999993</v>
      </c>
      <c r="E23" s="46">
        <f>(C23/C29)*100</f>
        <v>12.855084301286102</v>
      </c>
      <c r="F23" s="46">
        <f>(D23/D29)*100</f>
        <v>9.4052327493622183</v>
      </c>
      <c r="G23" s="15" t="s">
        <v>33</v>
      </c>
      <c r="H23" s="17"/>
    </row>
    <row r="24" spans="1:61" ht="21">
      <c r="A24" s="13" t="s">
        <v>34</v>
      </c>
      <c r="B24" s="14">
        <v>3.65</v>
      </c>
      <c r="C24" s="25">
        <v>11942173.229999999</v>
      </c>
      <c r="D24" s="25">
        <f t="shared" si="2"/>
        <v>43588932.289499991</v>
      </c>
      <c r="E24" s="46">
        <f>(C24/C29)*100</f>
        <v>10.077824530080552</v>
      </c>
      <c r="F24" s="46">
        <f>(D24/D29)*100</f>
        <v>8.0335863885138572</v>
      </c>
      <c r="G24" s="15" t="s">
        <v>35</v>
      </c>
      <c r="H24" s="17"/>
    </row>
    <row r="25" spans="1:61" ht="21">
      <c r="A25" s="13" t="s">
        <v>24</v>
      </c>
      <c r="B25" s="14">
        <v>4</v>
      </c>
      <c r="C25" s="25">
        <v>4932287.7700000014</v>
      </c>
      <c r="D25" s="25">
        <f t="shared" si="2"/>
        <v>19729151.080000006</v>
      </c>
      <c r="E25" s="46">
        <f>(C25/C29)*100</f>
        <v>4.162285182152087</v>
      </c>
      <c r="F25" s="46">
        <f>(D25/D29)*100</f>
        <v>3.6361487021649554</v>
      </c>
      <c r="G25" s="15" t="s">
        <v>39</v>
      </c>
      <c r="H25" s="17"/>
    </row>
    <row r="26" spans="1:61" ht="21">
      <c r="A26" s="13" t="s">
        <v>40</v>
      </c>
      <c r="B26" s="14">
        <v>4.3499999999999996</v>
      </c>
      <c r="C26" s="25">
        <v>42639706</v>
      </c>
      <c r="D26" s="25">
        <f t="shared" si="2"/>
        <v>185482721.09999999</v>
      </c>
      <c r="E26" s="46">
        <f>(C26/C29)*100</f>
        <v>35.98302141545998</v>
      </c>
      <c r="F26" s="46">
        <f>(D26/D29)*100</f>
        <v>34.185087481310376</v>
      </c>
      <c r="G26" s="15" t="s">
        <v>40</v>
      </c>
      <c r="H26" s="17"/>
    </row>
    <row r="27" spans="1:61" ht="21">
      <c r="A27" s="13" t="s">
        <v>41</v>
      </c>
      <c r="B27" s="14">
        <v>5.75</v>
      </c>
      <c r="C27" s="25">
        <v>17509799.379999999</v>
      </c>
      <c r="D27" s="25">
        <f t="shared" si="2"/>
        <v>100681346.43499999</v>
      </c>
      <c r="E27" s="46">
        <f>(C27/C29)*100</f>
        <v>14.776262436494003</v>
      </c>
      <c r="F27" s="46">
        <f>(D27/D29)*100</f>
        <v>18.55590976455969</v>
      </c>
      <c r="G27" s="15" t="s">
        <v>42</v>
      </c>
      <c r="H27" s="17"/>
    </row>
    <row r="28" spans="1:61" ht="21">
      <c r="A28" s="13" t="s">
        <v>43</v>
      </c>
      <c r="B28" s="14">
        <v>6.65</v>
      </c>
      <c r="C28" s="25">
        <v>16558388.620000001</v>
      </c>
      <c r="D28" s="25">
        <f t="shared" si="2"/>
        <v>110113284.32300001</v>
      </c>
      <c r="E28" s="46">
        <f>(C28/C29)*100</f>
        <v>13.973380874600046</v>
      </c>
      <c r="F28" s="46">
        <f>(D28/D29)*100</f>
        <v>20.294247545606868</v>
      </c>
      <c r="G28" s="15" t="s">
        <v>44</v>
      </c>
      <c r="H28" s="17"/>
    </row>
    <row r="29" spans="1:61" ht="21">
      <c r="A29" s="19" t="s">
        <v>28</v>
      </c>
      <c r="B29" s="20"/>
      <c r="C29" s="21">
        <f>SUM(C22:C28)</f>
        <v>118499515.39</v>
      </c>
      <c r="D29" s="21">
        <f>SUM(D22:D28)</f>
        <v>542583725.14450002</v>
      </c>
      <c r="E29" s="47">
        <f>(C29/C29)*100</f>
        <v>100</v>
      </c>
      <c r="F29" s="47">
        <f>(D29/D29)*100</f>
        <v>100</v>
      </c>
      <c r="G29" s="12" t="s">
        <v>29</v>
      </c>
      <c r="H29" s="17"/>
    </row>
    <row r="30" spans="1:61" ht="21">
      <c r="A30" s="23" t="s">
        <v>37</v>
      </c>
      <c r="C30" s="25"/>
      <c r="D30" s="25"/>
      <c r="E30" s="46"/>
      <c r="F30" s="46"/>
      <c r="G30" s="12" t="s">
        <v>31</v>
      </c>
      <c r="H30" s="17"/>
      <c r="J30" s="22"/>
    </row>
    <row r="31" spans="1:61" ht="21">
      <c r="A31" s="29"/>
      <c r="B31" s="30">
        <v>3.4</v>
      </c>
      <c r="C31" s="25">
        <v>132771</v>
      </c>
      <c r="D31" s="31">
        <f>C31*B31</f>
        <v>451421.39999999997</v>
      </c>
      <c r="E31" s="46">
        <f>(C31/C32)*100</f>
        <v>100</v>
      </c>
      <c r="F31" s="46">
        <f>(D31/D32)*100</f>
        <v>100</v>
      </c>
      <c r="G31" s="32"/>
      <c r="H31" s="17"/>
      <c r="J31" s="22"/>
    </row>
    <row r="32" spans="1:61" ht="21">
      <c r="A32" s="33" t="s">
        <v>28</v>
      </c>
      <c r="B32" s="34"/>
      <c r="C32" s="35">
        <f>SUM(C31)</f>
        <v>132771</v>
      </c>
      <c r="D32" s="35">
        <f>SUM(D31)</f>
        <v>451421.39999999997</v>
      </c>
      <c r="E32" s="48">
        <f>(C32/C32)*100</f>
        <v>100</v>
      </c>
      <c r="F32" s="48">
        <f>(D32/D32)*100</f>
        <v>100</v>
      </c>
      <c r="G32" s="36" t="s">
        <v>29</v>
      </c>
    </row>
    <row r="33" spans="1:53" ht="21">
      <c r="A33" s="23" t="s">
        <v>45</v>
      </c>
      <c r="C33" s="25"/>
      <c r="D33" s="25"/>
      <c r="E33" s="44"/>
      <c r="F33" s="45"/>
      <c r="G33" s="12" t="s">
        <v>46</v>
      </c>
      <c r="H33" s="17"/>
      <c r="J33" s="22"/>
    </row>
    <row r="34" spans="1:53" ht="21">
      <c r="A34" s="29"/>
      <c r="B34" s="30">
        <v>4.25</v>
      </c>
      <c r="C34" s="25">
        <v>12258045</v>
      </c>
      <c r="D34" s="31">
        <f>C34*B34</f>
        <v>52096691.25</v>
      </c>
      <c r="E34" s="46">
        <f>(C34/C35)*100</f>
        <v>100</v>
      </c>
      <c r="F34" s="46">
        <f>(D34/D35)*100</f>
        <v>100</v>
      </c>
      <c r="G34" s="32"/>
      <c r="H34" s="17"/>
      <c r="J34" s="22"/>
    </row>
    <row r="35" spans="1:53" ht="21">
      <c r="A35" s="33" t="s">
        <v>28</v>
      </c>
      <c r="B35" s="34"/>
      <c r="C35" s="35">
        <f>SUM(C34)</f>
        <v>12258045</v>
      </c>
      <c r="D35" s="35">
        <f>SUM(D34)</f>
        <v>52096691.25</v>
      </c>
      <c r="E35" s="49">
        <f>(C35/C35)*100</f>
        <v>100</v>
      </c>
      <c r="F35" s="49">
        <f>(D35/D35)*100</f>
        <v>100</v>
      </c>
      <c r="G35" s="36" t="s">
        <v>29</v>
      </c>
    </row>
    <row r="36" spans="1:53" ht="21.75" customHeight="1">
      <c r="A36" s="37" t="s">
        <v>2</v>
      </c>
      <c r="B36" s="38"/>
      <c r="C36" s="38"/>
      <c r="D36" s="38"/>
      <c r="E36" s="39"/>
      <c r="F36" s="39"/>
      <c r="G36" s="51" t="s">
        <v>47</v>
      </c>
      <c r="H36" s="41"/>
      <c r="BA36" s="42"/>
    </row>
    <row r="37" spans="1:53" ht="21.75" customHeight="1">
      <c r="A37" s="43"/>
      <c r="B37" s="38"/>
      <c r="C37" s="38"/>
      <c r="D37" s="38"/>
      <c r="E37" s="39"/>
      <c r="F37" s="39"/>
      <c r="G37" s="40"/>
      <c r="H37" s="41"/>
      <c r="BA37" s="42"/>
    </row>
    <row r="38" spans="1:53" ht="21.75" customHeight="1">
      <c r="A38" s="43"/>
      <c r="B38" s="38"/>
      <c r="C38" s="38"/>
      <c r="D38" s="38"/>
      <c r="E38" s="39"/>
      <c r="F38" s="39"/>
      <c r="G38" s="40"/>
      <c r="H38" s="41"/>
      <c r="BA38" s="42"/>
    </row>
    <row r="39" spans="1:53" ht="21.75" customHeight="1">
      <c r="A39" s="43"/>
      <c r="B39" s="38"/>
      <c r="C39" s="38"/>
      <c r="D39" s="38"/>
      <c r="E39" s="39"/>
      <c r="F39" s="39"/>
      <c r="G39" s="40"/>
      <c r="H39" s="41"/>
      <c r="BA39" s="42"/>
    </row>
    <row r="40" spans="1:53" ht="21.75" customHeight="1">
      <c r="A40" s="43"/>
      <c r="B40" s="38"/>
      <c r="C40" s="38"/>
      <c r="D40" s="38"/>
      <c r="E40" s="39"/>
      <c r="F40" s="39"/>
      <c r="G40" s="40"/>
      <c r="H40" s="41"/>
      <c r="BA40" s="42"/>
    </row>
    <row r="41" spans="1:53" ht="21.75" customHeight="1">
      <c r="A41" s="43"/>
      <c r="B41" s="38"/>
      <c r="C41" s="38"/>
      <c r="D41" s="38"/>
      <c r="E41" s="39"/>
      <c r="F41" s="39"/>
      <c r="G41" s="40"/>
      <c r="H41" s="41"/>
      <c r="BA41" s="42"/>
    </row>
    <row r="42" spans="1:53" ht="21.75" customHeight="1">
      <c r="A42" s="43"/>
      <c r="B42" s="38"/>
      <c r="C42" s="38"/>
      <c r="D42" s="38"/>
      <c r="E42" s="39"/>
      <c r="F42" s="39"/>
      <c r="G42" s="40"/>
      <c r="H42" s="41"/>
      <c r="BA42" s="42"/>
    </row>
    <row r="43" spans="1:53" ht="21.75" customHeight="1">
      <c r="A43" s="43"/>
      <c r="B43" s="38"/>
      <c r="C43" s="38"/>
      <c r="D43" s="38"/>
      <c r="E43" s="39"/>
      <c r="F43" s="39"/>
      <c r="G43" s="40"/>
      <c r="H43" s="41"/>
      <c r="BA43" s="42"/>
    </row>
    <row r="44" spans="1:53" ht="21.75" customHeight="1">
      <c r="A44" s="43"/>
      <c r="B44" s="38"/>
      <c r="C44" s="38"/>
      <c r="D44" s="38"/>
      <c r="E44" s="39"/>
      <c r="F44" s="39"/>
      <c r="G44" s="40"/>
      <c r="H44" s="41"/>
      <c r="BA44" s="42"/>
    </row>
    <row r="45" spans="1:53" ht="21.75" customHeight="1">
      <c r="A45" s="43"/>
      <c r="B45" s="38"/>
      <c r="C45" s="38"/>
      <c r="D45" s="38"/>
      <c r="E45" s="39"/>
      <c r="F45" s="39"/>
      <c r="G45" s="40"/>
      <c r="H45" s="41"/>
      <c r="BA45" s="42"/>
    </row>
    <row r="46" spans="1:53" ht="21.75" customHeight="1">
      <c r="A46" s="43"/>
      <c r="B46" s="38"/>
      <c r="C46" s="38"/>
      <c r="D46" s="38"/>
      <c r="E46" s="39"/>
      <c r="F46" s="39"/>
      <c r="G46" s="40"/>
      <c r="H46" s="41"/>
      <c r="BA46" s="42"/>
    </row>
    <row r="47" spans="1:53" ht="21.75" customHeight="1">
      <c r="A47" s="43"/>
      <c r="B47" s="38"/>
      <c r="C47" s="38"/>
      <c r="D47" s="38"/>
      <c r="E47" s="39"/>
      <c r="F47" s="39"/>
      <c r="G47" s="40"/>
      <c r="H47" s="41"/>
      <c r="BA47" s="42"/>
    </row>
    <row r="48" spans="1:53" ht="21.75" customHeight="1">
      <c r="A48" s="43"/>
      <c r="B48" s="38"/>
      <c r="C48" s="38"/>
      <c r="D48" s="38"/>
      <c r="E48" s="39"/>
      <c r="F48" s="39"/>
      <c r="G48" s="40"/>
      <c r="H48" s="41"/>
      <c r="BA48" s="42"/>
    </row>
    <row r="49" spans="1:53" ht="21.75" customHeight="1">
      <c r="A49" s="43"/>
      <c r="B49" s="38"/>
      <c r="C49" s="38"/>
      <c r="D49" s="38"/>
      <c r="E49" s="39"/>
      <c r="F49" s="39"/>
      <c r="G49" s="40"/>
      <c r="H49" s="41"/>
      <c r="BA49" s="42"/>
    </row>
    <row r="50" spans="1:53" ht="21.75" customHeight="1">
      <c r="A50" s="43"/>
      <c r="B50" s="38"/>
      <c r="C50" s="38"/>
      <c r="D50" s="38"/>
      <c r="E50" s="39"/>
      <c r="F50" s="39"/>
      <c r="G50" s="40"/>
      <c r="H50" s="41"/>
      <c r="BA50" s="42"/>
    </row>
    <row r="51" spans="1:53" ht="21.75" customHeight="1">
      <c r="A51" s="43"/>
      <c r="B51" s="38"/>
      <c r="C51" s="38"/>
      <c r="D51" s="38"/>
      <c r="E51" s="39"/>
      <c r="F51" s="39"/>
      <c r="G51" s="40"/>
      <c r="H51" s="41"/>
      <c r="BA51" s="42"/>
    </row>
    <row r="52" spans="1:53" ht="21.75" customHeight="1">
      <c r="A52" s="43"/>
      <c r="B52" s="38"/>
      <c r="C52" s="38"/>
      <c r="D52" s="38"/>
      <c r="E52" s="39"/>
      <c r="F52" s="39"/>
      <c r="G52" s="40"/>
      <c r="H52" s="41"/>
      <c r="BA52" s="42"/>
    </row>
    <row r="53" spans="1:53" ht="21.75" customHeight="1">
      <c r="A53" s="43"/>
      <c r="B53" s="38"/>
      <c r="C53" s="38"/>
      <c r="D53" s="38"/>
      <c r="E53" s="39"/>
      <c r="F53" s="39"/>
      <c r="G53" s="40"/>
      <c r="H53" s="41"/>
      <c r="BA53" s="42"/>
    </row>
    <row r="54" spans="1:53" ht="21.75" customHeight="1">
      <c r="A54" s="43"/>
      <c r="B54" s="38"/>
      <c r="C54" s="38"/>
      <c r="D54" s="38"/>
      <c r="E54" s="39"/>
      <c r="F54" s="39"/>
      <c r="G54" s="40"/>
      <c r="H54" s="41"/>
      <c r="BA54" s="42"/>
    </row>
    <row r="55" spans="1:53" ht="21.75" customHeight="1">
      <c r="A55" s="43"/>
      <c r="B55" s="38"/>
      <c r="C55" s="38"/>
      <c r="D55" s="38"/>
      <c r="E55" s="39"/>
      <c r="F55" s="39"/>
      <c r="G55" s="40"/>
      <c r="H55" s="41"/>
      <c r="BA55" s="42"/>
    </row>
    <row r="56" spans="1:53" ht="21.75" customHeight="1">
      <c r="A56" s="43"/>
      <c r="B56" s="38"/>
      <c r="C56" s="38"/>
      <c r="D56" s="38"/>
      <c r="E56" s="39"/>
      <c r="F56" s="39"/>
      <c r="G56" s="40"/>
      <c r="H56" s="41"/>
      <c r="BA56" s="42"/>
    </row>
    <row r="57" spans="1:53" ht="21.75" customHeight="1">
      <c r="A57" s="43"/>
      <c r="B57" s="38"/>
      <c r="C57" s="38"/>
      <c r="D57" s="38"/>
      <c r="E57" s="39"/>
      <c r="F57" s="39"/>
      <c r="G57" s="40"/>
      <c r="H57" s="41"/>
      <c r="BA57" s="42"/>
    </row>
    <row r="58" spans="1:53" ht="21.75" customHeight="1">
      <c r="A58" s="43"/>
      <c r="B58" s="38"/>
      <c r="C58" s="38"/>
      <c r="D58" s="38"/>
      <c r="E58" s="39"/>
      <c r="F58" s="39"/>
      <c r="G58" s="40"/>
      <c r="H58" s="41"/>
      <c r="BA58" s="42"/>
    </row>
    <row r="59" spans="1:53" ht="21.75" customHeight="1">
      <c r="A59" s="43"/>
      <c r="B59" s="38"/>
      <c r="C59" s="38"/>
      <c r="D59" s="38"/>
      <c r="E59" s="39"/>
      <c r="F59" s="39"/>
      <c r="G59" s="40"/>
      <c r="H59" s="41"/>
      <c r="BA59" s="42"/>
    </row>
    <row r="60" spans="1:53" ht="21.75" customHeight="1">
      <c r="A60" s="43"/>
      <c r="B60" s="38"/>
      <c r="C60" s="38"/>
      <c r="D60" s="38"/>
      <c r="E60" s="39"/>
      <c r="F60" s="39"/>
      <c r="G60" s="40"/>
      <c r="H60" s="41"/>
      <c r="BA60" s="42"/>
    </row>
    <row r="61" spans="1:53" ht="21.75" customHeight="1">
      <c r="A61" s="43"/>
      <c r="B61" s="38"/>
      <c r="C61" s="38"/>
      <c r="D61" s="38"/>
      <c r="E61" s="39"/>
      <c r="F61" s="39"/>
      <c r="G61" s="40"/>
      <c r="H61" s="41"/>
      <c r="BA61" s="42"/>
    </row>
    <row r="62" spans="1:53" ht="21.75" customHeight="1">
      <c r="A62" s="43"/>
      <c r="B62" s="38"/>
      <c r="C62" s="38"/>
      <c r="D62" s="38"/>
      <c r="E62" s="39"/>
      <c r="F62" s="39"/>
      <c r="G62" s="40"/>
      <c r="H62" s="41"/>
      <c r="BA62" s="42"/>
    </row>
    <row r="63" spans="1:53" ht="21.75" customHeight="1">
      <c r="A63" s="43"/>
      <c r="B63" s="38"/>
      <c r="C63" s="38"/>
      <c r="D63" s="38"/>
      <c r="E63" s="39"/>
      <c r="F63" s="39"/>
      <c r="G63" s="40"/>
      <c r="H63" s="41"/>
      <c r="BA63" s="42"/>
    </row>
    <row r="64" spans="1:53" ht="21.75" customHeight="1">
      <c r="A64" s="43"/>
      <c r="B64" s="38"/>
      <c r="C64" s="38"/>
      <c r="D64" s="38"/>
      <c r="E64" s="39"/>
      <c r="F64" s="39"/>
      <c r="G64" s="40"/>
      <c r="H64" s="41"/>
      <c r="BA64" s="42"/>
    </row>
    <row r="67" spans="3:3" ht="409.6" customHeight="1">
      <c r="C67" s="22"/>
    </row>
    <row r="68" spans="3:3">
      <c r="C68" s="22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scale="76" orientation="portrait" horizontalDpi="0" verticalDpi="0" r:id="rId1"/>
  <rowBreaks count="1" manualBreakCount="1">
    <brk id="36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2020-06-28T00:23:08Z</cp:lastPrinted>
  <dcterms:created xsi:type="dcterms:W3CDTF">2019-05-21T05:57:01Z</dcterms:created>
  <dcterms:modified xsi:type="dcterms:W3CDTF">2020-06-28T00:23:24Z</dcterms:modified>
</cp:coreProperties>
</file>