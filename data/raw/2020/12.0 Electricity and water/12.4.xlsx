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SYB 2020 _latest\YEARBOOK 2020_Final\web\12.  ELECTRICITY and  WATER\"/>
    </mc:Choice>
  </mc:AlternateContent>
  <bookViews>
    <workbookView xWindow="0" yWindow="0" windowWidth="28800" windowHeight="12330"/>
  </bookViews>
  <sheets>
    <sheet name="12.4" sheetId="18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8" l="1"/>
  <c r="B43" i="18" l="1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N11" i="18"/>
  <c r="N7" i="18" s="1"/>
  <c r="M11" i="18"/>
  <c r="M7" i="18" s="1"/>
  <c r="L11" i="18"/>
  <c r="L7" i="18" s="1"/>
  <c r="K11" i="18"/>
  <c r="K7" i="18" s="1"/>
  <c r="J11" i="18"/>
  <c r="J7" i="18" s="1"/>
  <c r="I11" i="18"/>
  <c r="I7" i="18" s="1"/>
  <c r="H11" i="18"/>
  <c r="H7" i="18" s="1"/>
  <c r="G11" i="18"/>
  <c r="G7" i="18" s="1"/>
  <c r="F11" i="18"/>
  <c r="F7" i="18" s="1"/>
  <c r="E11" i="18"/>
  <c r="E7" i="18" s="1"/>
  <c r="D11" i="18"/>
  <c r="D7" i="18" s="1"/>
  <c r="C11" i="18"/>
  <c r="C7" i="18" s="1"/>
  <c r="B10" i="18"/>
  <c r="B8" i="18"/>
  <c r="B7" i="18" l="1"/>
  <c r="B11" i="18"/>
</calcChain>
</file>

<file path=xl/sharedStrings.xml><?xml version="1.0" encoding="utf-8"?>
<sst xmlns="http://schemas.openxmlformats.org/spreadsheetml/2006/main" count="93" uniqueCount="92">
  <si>
    <t>wlcmuj</t>
  </si>
  <si>
    <t>Source: State Electric Company Limited</t>
  </si>
  <si>
    <t>cDeTimil Inepcmok ckircTckeliacTETcs :ctWrwf ivcaedutWmUluAwm</t>
  </si>
  <si>
    <t>Locality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</si>
  <si>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</si>
  <si>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</si>
  <si>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</si>
  <si>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</si>
  <si>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</si>
  <si>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</si>
  <si>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</si>
  <si>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</si>
  <si>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</si>
  <si>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</si>
  <si>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</si>
  <si>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</si>
  <si>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</si>
  <si>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</si>
  <si>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ކ. މާލެ</t>
  </si>
  <si>
    <t>K.Vilimale'</t>
  </si>
  <si>
    <t>ކ. ވިލިނގިލި</t>
  </si>
  <si>
    <t>K.Hulhumale</t>
  </si>
  <si>
    <t>ކ. ހުޅުމާލެ</t>
  </si>
  <si>
    <t xml:space="preserve">Atoll </t>
  </si>
  <si>
    <t>އަތޮޅުތައް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</si>
  <si>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</si>
  <si>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</si>
  <si>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</si>
  <si>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</si>
  <si>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</si>
  <si>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</si>
  <si>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</si>
  <si>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</si>
  <si>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</si>
  <si>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</si>
  <si>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</si>
  <si>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</si>
  <si>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K.Gulhifalhu</t>
  </si>
  <si>
    <t>ކ. ގުޅިފަޅު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</si>
  <si>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</si>
  <si>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</si>
  <si>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</si>
  <si>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</si>
  <si>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</si>
  <si>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</si>
  <si>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</si>
  <si>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</si>
  <si>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</si>
  <si>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</si>
  <si>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</si>
  <si>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</si>
  <si>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</si>
  <si>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</si>
  <si>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</si>
  <si>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</si>
  <si>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</si>
  <si>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</si>
  <si>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</si>
  <si>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</si>
  <si>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</si>
  <si>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އއ.ތޮއްޑޫ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</si>
  <si>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</si>
  <si>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</si>
  <si>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</si>
  <si>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</si>
  <si>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</si>
  <si>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</si>
  <si>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</si>
  <si>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</si>
  <si>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ADh.Mahibadhoo</t>
  </si>
  <si>
    <t>އދ.މަހިބަދޫ</t>
  </si>
  <si>
    <t>ADh.Hangnameedhoo</t>
  </si>
  <si>
    <t>އދ.ހަންޏާމީދޫ</t>
  </si>
  <si>
    <t>ADh.Dhihdhoo</t>
  </si>
  <si>
    <t>އދ.ދިއްދޫ</t>
  </si>
  <si>
    <t>ADh.Mandhoo</t>
  </si>
  <si>
    <t>އދ.މަންދޫ</t>
  </si>
  <si>
    <t>ADh.Dhangethi</t>
  </si>
  <si>
    <t>އދ.ދަނގެތި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</si>
  <si>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</si>
  <si>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</si>
  <si>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</si>
  <si>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</si>
  <si>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</si>
  <si>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</si>
  <si>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</si>
  <si>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</si>
  <si>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V.Rakeedhoo</t>
  </si>
  <si>
    <t>ވ.ރަކީދޫ</t>
  </si>
  <si>
    <t>(In '000 litres)</t>
  </si>
  <si>
    <t>ތާވަލު 12.4: މާލެއާއި އަތޮޅުތަކުގައި ސަރުކާރުގެ ފަރާތުން ސަރުކާރުގެ ފަރާތުން އެކިމަސްމަހު ކަރަންޓް އުފެއްދުމަށްޓަކާ އަޑީތެޔޮ ބޭނުންކުރެވިފައިވާ މިންވަރު، 2019</t>
  </si>
  <si>
    <t>Table  12.4 :   MONTHLY CONSUMPTION OF LUBRICATION OIL FOR ELECTRICITY GENERATION IN SELECTED LOCALITIES BY PUBLIC SECTOR,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</si>
</sst>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Faruma"/>
    </font>
    <font>
      <b/>
      <sz val="10"/>
      <color theme="1"/>
      <name val="Calibri"/>
      <family val="2"/>
      <scheme val="minor"/>
    </font>
    <font>
      <b/>
      <sz val="11"/>
      <color theme="1"/>
      <name val="A_Faseyha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_Faseyha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Garamond"/>
      <family val="1"/>
    </font>
    <font>
      <b/>
      <sz val="11"/>
      <color theme="1"/>
      <name val="Calibri"/>
      <family val="2"/>
      <scheme val="minor"/>
    </font>
    <font>
      <sz val="11"/>
      <name val="Faruma"/>
    </font>
    <font>
      <b/>
      <sz val="12"/>
      <color theme="1"/>
      <name val="Faruma"/>
    </font>
    <font>
      <sz val="12"/>
      <color theme="1"/>
      <name val="Arial"/>
      <family val="2"/>
    </font>
    <font>
      <sz val="11"/>
      <color theme="1"/>
      <name val="Faruma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11" fillId="2" borderId="0" xfId="0" applyFont="1" applyFill="1" applyBorder="1" applyAlignment="1">
      <alignment horizontal="left" vertical="center"/>
    </xf>
    <xf numFmtId="165" fontId="2" fillId="2" borderId="0" xfId="0" applyNumberFormat="1" applyFont="1" applyFill="1" applyBorder="1" applyAlignment="1">
      <alignment horizontal="right" vertical="center"/>
    </xf>
    <xf numFmtId="165" fontId="3" fillId="2" borderId="0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right" vertical="center"/>
    </xf>
    <xf numFmtId="0" fontId="0" fillId="2" borderId="1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right" vertical="top"/>
    </xf>
    <xf numFmtId="0" fontId="17" fillId="2" borderId="0" xfId="2" applyFont="1" applyFill="1" applyBorder="1" applyAlignment="1">
      <alignment vertical="center"/>
    </xf>
    <xf numFmtId="43" fontId="17" fillId="2" borderId="0" xfId="2" applyNumberFormat="1" applyFont="1" applyFill="1" applyBorder="1" applyAlignment="1">
      <alignment vertical="center"/>
    </xf>
    <xf numFmtId="0" fontId="16" fillId="2" borderId="0" xfId="2" applyFont="1" applyFill="1" applyBorder="1" applyAlignment="1">
      <alignment horizontal="center" vertical="center"/>
    </xf>
    <xf numFmtId="0" fontId="14" fillId="2" borderId="0" xfId="2" applyFont="1" applyFill="1" applyBorder="1" applyAlignment="1" applyProtection="1">
      <alignment horizontal="center" vertical="center"/>
    </xf>
    <xf numFmtId="0" fontId="19" fillId="2" borderId="0" xfId="2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right" vertical="center"/>
    </xf>
    <xf numFmtId="0" fontId="7" fillId="2" borderId="0" xfId="2" applyFont="1" applyFill="1" applyBorder="1" applyAlignment="1" applyProtection="1">
      <alignment horizontal="left" vertical="top"/>
    </xf>
    <xf numFmtId="0" fontId="8" fillId="2" borderId="0" xfId="2" applyFont="1" applyFill="1" applyBorder="1" applyAlignment="1">
      <alignment vertical="center"/>
    </xf>
    <xf numFmtId="0" fontId="5" fillId="2" borderId="2" xfId="2" applyFont="1" applyFill="1" applyBorder="1" applyAlignment="1">
      <alignment vertical="center"/>
    </xf>
    <xf numFmtId="0" fontId="5" fillId="2" borderId="2" xfId="2" applyFont="1" applyFill="1" applyBorder="1" applyAlignment="1">
      <alignment horizontal="right" vertical="center"/>
    </xf>
    <xf numFmtId="0" fontId="5" fillId="2" borderId="2" xfId="2" applyFont="1" applyFill="1" applyBorder="1" applyAlignment="1" applyProtection="1">
      <alignment horizontal="right" vertical="center"/>
    </xf>
    <xf numFmtId="0" fontId="10" fillId="2" borderId="2" xfId="2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right" vertical="center"/>
    </xf>
  </cellXfs>
  <cellStyles count="4">
    <cellStyle name="Comma 2" xfId="1"/>
    <cellStyle name="Comma 4" xf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F5EADF"/>
      <color rgb="FFDAB48E"/>
      <color rgb="FF996633"/>
      <color rgb="FF663300"/>
      <color rgb="FF964B00"/>
      <color rgb="FFF0E0D0"/>
      <color rgb="FFFFF2E5"/>
      <color rgb="FF976431"/>
      <color rgb="FFFFBE7D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  <cell r="J4">
            <v>2017</v>
          </cell>
          <cell r="K4">
            <v>2018</v>
          </cell>
        </row>
        <row r="5">
          <cell r="B5">
            <v>187110.266</v>
          </cell>
          <cell r="C5">
            <v>195722.55800000002</v>
          </cell>
          <cell r="D5">
            <v>211889.32699999999</v>
          </cell>
          <cell r="E5">
            <v>219663.37332000001</v>
          </cell>
          <cell r="F5">
            <v>232023.39200000002</v>
          </cell>
          <cell r="G5">
            <v>239067</v>
          </cell>
          <cell r="H5">
            <v>260445.08562</v>
          </cell>
          <cell r="I5">
            <v>271814.04891000001</v>
          </cell>
          <cell r="J5">
            <v>304527.45199199999</v>
          </cell>
          <cell r="K5">
            <v>318850.96300000005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4">
          <cell r="E4" t="str">
            <v>% Share of Quantity</v>
          </cell>
        </row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tabSelected="1" topLeftCell="B1" zoomScaleNormal="100" workbookViewId="0">
      <selection activeCell="J24" sqref="J24"/>
    </sheetView>
  </sheetViews>
  <sheetFormatPr defaultColWidth="9.140625" defaultRowHeight="15" x14ac:dyDescent="0.25"/>
  <cols>
    <col min="1" max="1" width="17.42578125" style="11" customWidth="1"/>
    <col min="2" max="14" width="8.28515625" style="11" customWidth="1"/>
    <col min="15" max="15" width="13.7109375" style="11" customWidth="1"/>
    <col min="16" max="16" width="3.5703125" style="11" customWidth="1"/>
    <col min="17" max="16384" width="9.140625" style="11"/>
  </cols>
  <sheetData>
    <row r="1" spans="1:15" x14ac:dyDescent="0.25"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3" spans="1:15" ht="21.75" x14ac:dyDescent="0.25">
      <c r="A3" s="13" t="s">
        <v>90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25">
      <c r="A4" s="14" t="s">
        <v>91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25">
      <c r="A5" s="15" t="s">
        <v>89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25">
      <c r="A6" s="21" t="s">
        <v>3</v>
      </c>
      <c r="B6" s="22" t="s">
        <v>4</v>
      </c>
      <c r="C6" s="23" t="s">
        <v>5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3" t="s">
        <v>12</v>
      </c>
      <c r="K6" s="23" t="s">
        <v>13</v>
      </c>
      <c r="L6" s="23" t="s">
        <v>14</v>
      </c>
      <c r="M6" s="23" t="s">
        <v>15</v>
      </c>
      <c r="N6" s="23" t="s">
        <v>16</v>
      </c>
      <c r="O6" s="24"/>
    </row>
    <row r="7" spans="1:15" ht="18" x14ac:dyDescent="0.25">
      <c r="A7" s="1" t="s">
        <v>4</v>
      </c>
      <c r="B7" s="2">
        <f>SUM(C7:N7)</f>
        <v>505.93314000000004</v>
      </c>
      <c r="C7" s="2">
        <f t="shared" ref="C7:N7" si="0">C8+C9+C10+C11</f>
        <v>47.637649999999994</v>
      </c>
      <c r="D7" s="2">
        <f t="shared" si="0"/>
        <v>46.336199999999998</v>
      </c>
      <c r="E7" s="2">
        <f t="shared" si="0"/>
        <v>41.119950000000003</v>
      </c>
      <c r="F7" s="2">
        <f t="shared" si="0"/>
        <v>44.921499999999995</v>
      </c>
      <c r="G7" s="2">
        <f t="shared" si="0"/>
        <v>42.317500000000003</v>
      </c>
      <c r="H7" s="2">
        <f t="shared" si="0"/>
        <v>39.308169999999997</v>
      </c>
      <c r="I7" s="2">
        <f t="shared" si="0"/>
        <v>43.946600000000004</v>
      </c>
      <c r="J7" s="2">
        <f t="shared" si="0"/>
        <v>42.924399999999999</v>
      </c>
      <c r="K7" s="2">
        <f t="shared" si="0"/>
        <v>39.792100000000005</v>
      </c>
      <c r="L7" s="2">
        <f t="shared" si="0"/>
        <v>39.309449999999998</v>
      </c>
      <c r="M7" s="2">
        <f t="shared" si="0"/>
        <v>37.510120000000001</v>
      </c>
      <c r="N7" s="2">
        <f t="shared" si="0"/>
        <v>40.809500000000007</v>
      </c>
      <c r="O7" s="16" t="s">
        <v>0</v>
      </c>
    </row>
    <row r="8" spans="1:15" ht="21" x14ac:dyDescent="0.25">
      <c r="A8" s="7" t="s">
        <v>17</v>
      </c>
      <c r="B8" s="2">
        <f>SUM(C8:N8)</f>
        <v>345.553</v>
      </c>
      <c r="C8" s="3">
        <v>33.808999999999997</v>
      </c>
      <c r="D8" s="3">
        <v>32.625999999999998</v>
      </c>
      <c r="E8" s="3">
        <v>28.274000000000001</v>
      </c>
      <c r="F8" s="3">
        <v>30.462</v>
      </c>
      <c r="G8" s="3">
        <v>28.997</v>
      </c>
      <c r="H8" s="3">
        <v>27.492999999999999</v>
      </c>
      <c r="I8" s="3">
        <v>29.501000000000001</v>
      </c>
      <c r="J8" s="3">
        <v>28.73</v>
      </c>
      <c r="K8" s="3">
        <v>26.030999999999999</v>
      </c>
      <c r="L8" s="3">
        <v>25.209</v>
      </c>
      <c r="M8" s="3">
        <v>25.472000000000001</v>
      </c>
      <c r="N8" s="3">
        <v>28.949000000000002</v>
      </c>
      <c r="O8" s="8" t="s">
        <v>18</v>
      </c>
    </row>
    <row r="9" spans="1:15" ht="21" x14ac:dyDescent="0.25">
      <c r="A9" s="17" t="s">
        <v>19</v>
      </c>
      <c r="B9" s="2">
        <f>SUM(C9:N9)</f>
        <v>13.246999999999998</v>
      </c>
      <c r="C9" s="3">
        <v>0.85199999999999998</v>
      </c>
      <c r="D9" s="3">
        <v>1.004</v>
      </c>
      <c r="E9" s="3">
        <v>1.3340000000000001</v>
      </c>
      <c r="F9" s="3">
        <v>1.1850000000000001</v>
      </c>
      <c r="G9" s="3">
        <v>1.52</v>
      </c>
      <c r="H9" s="3">
        <v>0.66500000000000004</v>
      </c>
      <c r="I9" s="3">
        <v>1.284</v>
      </c>
      <c r="J9" s="3">
        <v>1.1639999999999999</v>
      </c>
      <c r="K9" s="3">
        <v>1.19</v>
      </c>
      <c r="L9" s="3">
        <v>1.177</v>
      </c>
      <c r="M9" s="3">
        <v>0.98699999999999999</v>
      </c>
      <c r="N9" s="3">
        <v>0.88500000000000001</v>
      </c>
      <c r="O9" s="8" t="s">
        <v>20</v>
      </c>
    </row>
    <row r="10" spans="1:15" ht="21" x14ac:dyDescent="0.25">
      <c r="A10" s="7" t="s">
        <v>21</v>
      </c>
      <c r="B10" s="2">
        <f>SUM(C10:N10)</f>
        <v>78.263000000000005</v>
      </c>
      <c r="C10" s="3">
        <v>7.82</v>
      </c>
      <c r="D10" s="3">
        <v>7.4210000000000003</v>
      </c>
      <c r="E10" s="3">
        <v>5.2380000000000004</v>
      </c>
      <c r="F10" s="3">
        <v>6.9279999999999999</v>
      </c>
      <c r="G10" s="3">
        <v>5.9729999999999999</v>
      </c>
      <c r="H10" s="3">
        <v>5.64</v>
      </c>
      <c r="I10" s="3">
        <v>7.0279999999999996</v>
      </c>
      <c r="J10" s="3">
        <v>6.7270000000000003</v>
      </c>
      <c r="K10" s="3">
        <v>6.8209999999999997</v>
      </c>
      <c r="L10" s="3">
        <v>6.8689999999999998</v>
      </c>
      <c r="M10" s="3">
        <v>5.9059999999999997</v>
      </c>
      <c r="N10" s="3">
        <v>5.8920000000000003</v>
      </c>
      <c r="O10" s="8" t="s">
        <v>22</v>
      </c>
    </row>
    <row r="11" spans="1:15" ht="21" x14ac:dyDescent="0.25">
      <c r="A11" s="1" t="s">
        <v>23</v>
      </c>
      <c r="B11" s="2">
        <f>SUM(B12:B43)</f>
        <v>68.870140000000006</v>
      </c>
      <c r="C11" s="2">
        <f>SUM(C12:C43)</f>
        <v>5.15665</v>
      </c>
      <c r="D11" s="2">
        <f t="shared" ref="D11:N11" si="1">SUM(D12:D43)</f>
        <v>5.2852000000000006</v>
      </c>
      <c r="E11" s="2">
        <f t="shared" si="1"/>
        <v>6.2739499999999992</v>
      </c>
      <c r="F11" s="2">
        <f t="shared" si="1"/>
        <v>6.3465000000000007</v>
      </c>
      <c r="G11" s="2">
        <f t="shared" si="1"/>
        <v>5.8275000000000006</v>
      </c>
      <c r="H11" s="2">
        <f t="shared" si="1"/>
        <v>5.5101700000000005</v>
      </c>
      <c r="I11" s="2">
        <f t="shared" si="1"/>
        <v>6.1336000000000004</v>
      </c>
      <c r="J11" s="2">
        <f t="shared" si="1"/>
        <v>6.303399999999999</v>
      </c>
      <c r="K11" s="2">
        <f t="shared" si="1"/>
        <v>5.7501000000000015</v>
      </c>
      <c r="L11" s="2">
        <f t="shared" si="1"/>
        <v>6.0544500000000001</v>
      </c>
      <c r="M11" s="2">
        <f t="shared" si="1"/>
        <v>5.1451199999999995</v>
      </c>
      <c r="N11" s="2">
        <f t="shared" si="1"/>
        <v>5.0835000000000017</v>
      </c>
      <c r="O11" s="18" t="s">
        <v>24</v>
      </c>
    </row>
    <row r="12" spans="1:15" ht="21" x14ac:dyDescent="0.25">
      <c r="A12" s="7" t="s">
        <v>25</v>
      </c>
      <c r="B12" s="2">
        <f>SUM(C12:N12)</f>
        <v>2.3050000000000002</v>
      </c>
      <c r="C12" s="3">
        <v>0.105</v>
      </c>
      <c r="D12" s="3">
        <v>0.20899999999999999</v>
      </c>
      <c r="E12" s="3">
        <v>0.19</v>
      </c>
      <c r="F12" s="3">
        <v>0.24299999999999999</v>
      </c>
      <c r="G12" s="3">
        <v>0.25600000000000001</v>
      </c>
      <c r="H12" s="3">
        <v>0.22600000000000001</v>
      </c>
      <c r="I12" s="3">
        <v>0.21199999999999999</v>
      </c>
      <c r="J12" s="3">
        <v>0.16700000000000001</v>
      </c>
      <c r="K12" s="3">
        <v>0.28000000000000003</v>
      </c>
      <c r="L12" s="3">
        <v>0.124</v>
      </c>
      <c r="M12" s="3">
        <v>0.128</v>
      </c>
      <c r="N12" s="3">
        <v>0.16500000000000001</v>
      </c>
      <c r="O12" s="8" t="s">
        <v>26</v>
      </c>
    </row>
    <row r="13" spans="1:15" ht="21" x14ac:dyDescent="0.25">
      <c r="A13" s="7" t="s">
        <v>27</v>
      </c>
      <c r="B13" s="2">
        <f t="shared" ref="B13:B42" si="2">SUM(C13:N13)</f>
        <v>1.5060000000000002</v>
      </c>
      <c r="C13" s="3">
        <v>0.112</v>
      </c>
      <c r="D13" s="3">
        <v>0.104</v>
      </c>
      <c r="E13" s="3">
        <v>0.14799999999999999</v>
      </c>
      <c r="F13" s="3">
        <v>0.112</v>
      </c>
      <c r="G13" s="3">
        <v>0.13</v>
      </c>
      <c r="H13" s="3">
        <v>0.14899999999999999</v>
      </c>
      <c r="I13" s="3">
        <v>0.16</v>
      </c>
      <c r="J13" s="3">
        <v>0.125</v>
      </c>
      <c r="K13" s="3">
        <v>0.157</v>
      </c>
      <c r="L13" s="3">
        <v>0.107</v>
      </c>
      <c r="M13" s="3">
        <v>0.112</v>
      </c>
      <c r="N13" s="3">
        <v>0.09</v>
      </c>
      <c r="O13" s="8" t="s">
        <v>28</v>
      </c>
    </row>
    <row r="14" spans="1:15" ht="21" x14ac:dyDescent="0.25">
      <c r="A14" s="7" t="s">
        <v>29</v>
      </c>
      <c r="B14" s="2">
        <f t="shared" si="2"/>
        <v>1.6800000000000002</v>
      </c>
      <c r="C14" s="3">
        <v>0.16500000000000001</v>
      </c>
      <c r="D14" s="3">
        <v>9.6000000000000002E-2</v>
      </c>
      <c r="E14" s="3">
        <v>0.221</v>
      </c>
      <c r="F14" s="3">
        <v>9.6000000000000002E-2</v>
      </c>
      <c r="G14" s="3">
        <v>0.20499999999999999</v>
      </c>
      <c r="H14" s="3">
        <v>0.12</v>
      </c>
      <c r="I14" s="3">
        <v>0.128</v>
      </c>
      <c r="J14" s="3">
        <v>0.17699999999999999</v>
      </c>
      <c r="K14" s="3">
        <v>0.13500000000000001</v>
      </c>
      <c r="L14" s="3">
        <v>9.5000000000000001E-2</v>
      </c>
      <c r="M14" s="3">
        <v>0.106</v>
      </c>
      <c r="N14" s="3">
        <v>0.13600000000000001</v>
      </c>
      <c r="O14" s="8" t="s">
        <v>30</v>
      </c>
    </row>
    <row r="15" spans="1:15" ht="21" x14ac:dyDescent="0.25">
      <c r="A15" s="7" t="s">
        <v>31</v>
      </c>
      <c r="B15" s="2">
        <f t="shared" si="2"/>
        <v>3.2669999999999999</v>
      </c>
      <c r="C15" s="3">
        <v>0.14199999999999999</v>
      </c>
      <c r="D15" s="3">
        <v>0.22700000000000001</v>
      </c>
      <c r="E15" s="3">
        <v>0.29099999999999998</v>
      </c>
      <c r="F15" s="3">
        <v>0.189</v>
      </c>
      <c r="G15" s="3">
        <v>0.104</v>
      </c>
      <c r="H15" s="3">
        <v>0.38500000000000001</v>
      </c>
      <c r="I15" s="3">
        <v>0.27300000000000002</v>
      </c>
      <c r="J15" s="3">
        <v>0.314</v>
      </c>
      <c r="K15" s="3">
        <v>0.42499999999999999</v>
      </c>
      <c r="L15" s="3">
        <v>0.39100000000000001</v>
      </c>
      <c r="M15" s="3">
        <v>0.307</v>
      </c>
      <c r="N15" s="3">
        <v>0.219</v>
      </c>
      <c r="O15" s="8" t="s">
        <v>32</v>
      </c>
    </row>
    <row r="16" spans="1:15" ht="21" x14ac:dyDescent="0.25">
      <c r="A16" s="7" t="s">
        <v>33</v>
      </c>
      <c r="B16" s="2">
        <f t="shared" si="2"/>
        <v>4.0419999999999998</v>
      </c>
      <c r="C16" s="3">
        <v>0.33700000000000002</v>
      </c>
      <c r="D16" s="3">
        <v>0.41</v>
      </c>
      <c r="E16" s="3">
        <v>0.29899999999999999</v>
      </c>
      <c r="F16" s="3">
        <v>0.40400000000000003</v>
      </c>
      <c r="G16" s="3">
        <v>0.32200000000000001</v>
      </c>
      <c r="H16" s="3">
        <v>0.246</v>
      </c>
      <c r="I16" s="3">
        <v>0.40400000000000003</v>
      </c>
      <c r="J16" s="3">
        <v>0.313</v>
      </c>
      <c r="K16" s="3">
        <v>0.28599999999999998</v>
      </c>
      <c r="L16" s="3">
        <v>0.45200000000000001</v>
      </c>
      <c r="M16" s="3">
        <v>0.31900000000000001</v>
      </c>
      <c r="N16" s="3">
        <v>0.25</v>
      </c>
      <c r="O16" s="8" t="s">
        <v>34</v>
      </c>
    </row>
    <row r="17" spans="1:15" ht="21" x14ac:dyDescent="0.25">
      <c r="A17" s="7" t="s">
        <v>35</v>
      </c>
      <c r="B17" s="2">
        <f t="shared" si="2"/>
        <v>4.6919999999999993</v>
      </c>
      <c r="C17" s="3">
        <v>0.36799999999999999</v>
      </c>
      <c r="D17" s="3">
        <v>0.38800000000000001</v>
      </c>
      <c r="E17" s="3">
        <v>0.64200000000000002</v>
      </c>
      <c r="F17" s="3">
        <v>0.375</v>
      </c>
      <c r="G17" s="3">
        <v>0.41</v>
      </c>
      <c r="H17" s="3">
        <v>0.28499999999999998</v>
      </c>
      <c r="I17" s="3">
        <v>0.42</v>
      </c>
      <c r="J17" s="3">
        <v>0.46100000000000002</v>
      </c>
      <c r="K17" s="3">
        <v>0.29399999999999998</v>
      </c>
      <c r="L17" s="3">
        <v>0.439</v>
      </c>
      <c r="M17" s="3">
        <v>0.28399999999999997</v>
      </c>
      <c r="N17" s="3">
        <v>0.32600000000000001</v>
      </c>
      <c r="O17" s="8" t="s">
        <v>36</v>
      </c>
    </row>
    <row r="18" spans="1:15" ht="21" x14ac:dyDescent="0.25">
      <c r="A18" s="7" t="s">
        <v>37</v>
      </c>
      <c r="B18" s="2">
        <f t="shared" si="2"/>
        <v>0.74349999999999994</v>
      </c>
      <c r="C18" s="3">
        <v>1.2999999999999999E-2</v>
      </c>
      <c r="D18" s="3">
        <v>0.10199999999999999</v>
      </c>
      <c r="E18" s="3">
        <v>1.35E-2</v>
      </c>
      <c r="F18" s="3">
        <v>5.1499999999999997E-2</v>
      </c>
      <c r="G18" s="3">
        <v>1.55E-2</v>
      </c>
      <c r="H18" s="3">
        <v>0.104</v>
      </c>
      <c r="I18" s="3">
        <v>5.1999999999999998E-2</v>
      </c>
      <c r="J18" s="3">
        <v>0.10199999999999999</v>
      </c>
      <c r="K18" s="3">
        <v>3.3000000000000002E-2</v>
      </c>
      <c r="L18" s="3">
        <v>6.9500000000000006E-2</v>
      </c>
      <c r="M18" s="3">
        <v>0.10299999999999999</v>
      </c>
      <c r="N18" s="3">
        <v>8.4500000000000006E-2</v>
      </c>
      <c r="O18" s="8" t="s">
        <v>38</v>
      </c>
    </row>
    <row r="19" spans="1:15" ht="21" x14ac:dyDescent="0.25">
      <c r="A19" s="7" t="s">
        <v>39</v>
      </c>
      <c r="B19" s="2">
        <f t="shared" si="2"/>
        <v>1.1830000000000001</v>
      </c>
      <c r="C19" s="3">
        <v>8.8999999999999996E-2</v>
      </c>
      <c r="D19" s="3">
        <v>0.10199999999999999</v>
      </c>
      <c r="E19" s="3">
        <v>8.6999999999999994E-2</v>
      </c>
      <c r="F19" s="3">
        <v>7.9000000000000001E-2</v>
      </c>
      <c r="G19" s="3">
        <v>7.8E-2</v>
      </c>
      <c r="H19" s="3">
        <v>0.124</v>
      </c>
      <c r="I19" s="3">
        <v>7.3999999999999996E-2</v>
      </c>
      <c r="J19" s="3">
        <v>0.129</v>
      </c>
      <c r="K19" s="3">
        <v>0.155</v>
      </c>
      <c r="L19" s="3">
        <v>6.4000000000000001E-2</v>
      </c>
      <c r="M19" s="3">
        <v>0.123</v>
      </c>
      <c r="N19" s="3">
        <v>7.9000000000000001E-2</v>
      </c>
      <c r="O19" s="8" t="s">
        <v>40</v>
      </c>
    </row>
    <row r="20" spans="1:15" ht="21" x14ac:dyDescent="0.25">
      <c r="A20" s="7" t="s">
        <v>41</v>
      </c>
      <c r="B20" s="2">
        <f t="shared" si="2"/>
        <v>15.285</v>
      </c>
      <c r="C20" s="3">
        <v>1.0509999999999999</v>
      </c>
      <c r="D20" s="3">
        <v>1.1519999999999999</v>
      </c>
      <c r="E20" s="3">
        <v>1.3939999999999999</v>
      </c>
      <c r="F20" s="3">
        <v>1.7170000000000001</v>
      </c>
      <c r="G20" s="3">
        <v>1.33</v>
      </c>
      <c r="H20" s="3">
        <v>0.97599999999999998</v>
      </c>
      <c r="I20" s="3">
        <v>1.353</v>
      </c>
      <c r="J20" s="3">
        <v>1.671</v>
      </c>
      <c r="K20" s="3">
        <v>1.2150000000000001</v>
      </c>
      <c r="L20" s="3">
        <v>1.37</v>
      </c>
      <c r="M20" s="3">
        <v>0.96399999999999997</v>
      </c>
      <c r="N20" s="3">
        <v>1.0920000000000001</v>
      </c>
      <c r="O20" s="8" t="s">
        <v>42</v>
      </c>
    </row>
    <row r="21" spans="1:15" ht="21" x14ac:dyDescent="0.25">
      <c r="A21" s="7" t="s">
        <v>43</v>
      </c>
      <c r="B21" s="2">
        <f t="shared" si="2"/>
        <v>2.3060000000000005</v>
      </c>
      <c r="C21" s="3">
        <v>0.16900000000000001</v>
      </c>
      <c r="D21" s="3">
        <v>0.217</v>
      </c>
      <c r="E21" s="3">
        <v>0.14799999999999999</v>
      </c>
      <c r="F21" s="3">
        <v>0.19900000000000001</v>
      </c>
      <c r="G21" s="3">
        <v>0.24</v>
      </c>
      <c r="H21" s="3">
        <v>0.152</v>
      </c>
      <c r="I21" s="3">
        <v>0.20300000000000001</v>
      </c>
      <c r="J21" s="3">
        <v>0.20499999999999999</v>
      </c>
      <c r="K21" s="3">
        <v>0.20499999999999999</v>
      </c>
      <c r="L21" s="3">
        <v>0.151</v>
      </c>
      <c r="M21" s="3">
        <v>0.20399999999999999</v>
      </c>
      <c r="N21" s="3">
        <v>0.21299999999999999</v>
      </c>
      <c r="O21" s="8" t="s">
        <v>44</v>
      </c>
    </row>
    <row r="22" spans="1:15" ht="21" x14ac:dyDescent="0.25">
      <c r="A22" s="7" t="s">
        <v>45</v>
      </c>
      <c r="B22" s="2">
        <f t="shared" si="2"/>
        <v>1.7084999999999999</v>
      </c>
      <c r="C22" s="3">
        <v>0.20200000000000001</v>
      </c>
      <c r="D22" s="3">
        <v>0.152</v>
      </c>
      <c r="E22" s="3">
        <v>0.1875</v>
      </c>
      <c r="F22" s="3">
        <v>0.1545</v>
      </c>
      <c r="G22" s="3">
        <v>0.1235</v>
      </c>
      <c r="H22" s="3">
        <v>0.157</v>
      </c>
      <c r="I22" s="3">
        <v>0.11849999999999999</v>
      </c>
      <c r="J22" s="3">
        <v>7.85E-2</v>
      </c>
      <c r="K22" s="3">
        <v>0.11749999999999999</v>
      </c>
      <c r="L22" s="3">
        <v>0.20499999999999999</v>
      </c>
      <c r="M22" s="3">
        <v>8.5000000000000006E-2</v>
      </c>
      <c r="N22" s="3">
        <v>0.1275</v>
      </c>
      <c r="O22" s="8" t="s">
        <v>46</v>
      </c>
    </row>
    <row r="23" spans="1:15" ht="21" x14ac:dyDescent="0.25">
      <c r="A23" s="7" t="s">
        <v>47</v>
      </c>
      <c r="B23" s="2">
        <f t="shared" si="2"/>
        <v>1.28714</v>
      </c>
      <c r="C23" s="3">
        <v>6.0399999999999995E-2</v>
      </c>
      <c r="D23" s="3">
        <v>0.1152</v>
      </c>
      <c r="E23" s="3">
        <v>7.7700000000000005E-2</v>
      </c>
      <c r="F23" s="3">
        <v>0.14799999999999999</v>
      </c>
      <c r="G23" s="3">
        <v>0.10150000000000001</v>
      </c>
      <c r="H23" s="3">
        <v>0.13466999999999998</v>
      </c>
      <c r="I23" s="3">
        <v>8.3849999999999994E-2</v>
      </c>
      <c r="J23" s="3">
        <v>0.10890000000000001</v>
      </c>
      <c r="K23" s="3">
        <v>0.13109999999999999</v>
      </c>
      <c r="L23" s="3">
        <v>8.72E-2</v>
      </c>
      <c r="M23" s="3">
        <v>8.9120000000000005E-2</v>
      </c>
      <c r="N23" s="3">
        <v>0.14949999999999999</v>
      </c>
      <c r="O23" s="8" t="s">
        <v>48</v>
      </c>
    </row>
    <row r="24" spans="1:15" ht="21" x14ac:dyDescent="0.25">
      <c r="A24" s="7" t="s">
        <v>49</v>
      </c>
      <c r="B24" s="2">
        <f t="shared" si="2"/>
        <v>0.91199999999999992</v>
      </c>
      <c r="C24" s="3">
        <v>0.08</v>
      </c>
      <c r="D24" s="3">
        <v>6.6000000000000003E-2</v>
      </c>
      <c r="E24" s="3">
        <v>7.4999999999999997E-2</v>
      </c>
      <c r="F24" s="3">
        <v>8.1500000000000003E-2</v>
      </c>
      <c r="G24" s="3">
        <v>7.4999999999999997E-2</v>
      </c>
      <c r="H24" s="3">
        <v>5.3999999999999999E-2</v>
      </c>
      <c r="I24" s="3">
        <v>0.129</v>
      </c>
      <c r="J24" s="3">
        <v>7.4499999999999997E-2</v>
      </c>
      <c r="K24" s="3">
        <v>7.5499999999999998E-2</v>
      </c>
      <c r="L24" s="3">
        <v>7.4999999999999997E-2</v>
      </c>
      <c r="M24" s="3">
        <v>5.45E-2</v>
      </c>
      <c r="N24" s="3">
        <v>7.1999999999999995E-2</v>
      </c>
      <c r="O24" s="8" t="s">
        <v>50</v>
      </c>
    </row>
    <row r="25" spans="1:15" ht="21" x14ac:dyDescent="0.25">
      <c r="A25" s="7" t="s">
        <v>51</v>
      </c>
      <c r="B25" s="2">
        <f t="shared" si="2"/>
        <v>0.92599999999999993</v>
      </c>
      <c r="C25" s="3">
        <v>7.6999999999999999E-2</v>
      </c>
      <c r="D25" s="3">
        <v>5.0999999999999997E-2</v>
      </c>
      <c r="E25" s="3">
        <v>7.2999999999999995E-2</v>
      </c>
      <c r="F25" s="3">
        <v>7.2999999999999995E-2</v>
      </c>
      <c r="G25" s="3">
        <v>6.4000000000000001E-2</v>
      </c>
      <c r="H25" s="3">
        <v>0.11600000000000001</v>
      </c>
      <c r="I25" s="3">
        <v>8.5999999999999993E-2</v>
      </c>
      <c r="J25" s="3">
        <v>8.7999999999999995E-2</v>
      </c>
      <c r="K25" s="3">
        <v>8.1000000000000003E-2</v>
      </c>
      <c r="L25" s="3">
        <v>8.2000000000000003E-2</v>
      </c>
      <c r="M25" s="3">
        <v>8.4000000000000005E-2</v>
      </c>
      <c r="N25" s="3">
        <v>5.0999999999999997E-2</v>
      </c>
      <c r="O25" s="8" t="s">
        <v>52</v>
      </c>
    </row>
    <row r="26" spans="1:15" ht="21" x14ac:dyDescent="0.25">
      <c r="A26" s="5" t="s">
        <v>53</v>
      </c>
      <c r="B26" s="2">
        <f t="shared" si="2"/>
        <v>0.92049999999999998</v>
      </c>
      <c r="C26" s="3">
        <v>9.1999999999999998E-2</v>
      </c>
      <c r="D26" s="3">
        <v>7.9000000000000001E-2</v>
      </c>
      <c r="E26" s="3">
        <v>6.5000000000000002E-2</v>
      </c>
      <c r="F26" s="3">
        <v>6.8000000000000005E-2</v>
      </c>
      <c r="G26" s="3">
        <v>7.0999999999999994E-2</v>
      </c>
      <c r="H26" s="3">
        <v>0.09</v>
      </c>
      <c r="I26" s="3">
        <v>0.14199999999999999</v>
      </c>
      <c r="J26" s="3">
        <v>0.06</v>
      </c>
      <c r="K26" s="3">
        <v>5.7500000000000002E-2</v>
      </c>
      <c r="L26" s="3">
        <v>5.8500000000000003E-2</v>
      </c>
      <c r="M26" s="3">
        <v>5.45E-2</v>
      </c>
      <c r="N26" s="3">
        <v>8.3000000000000004E-2</v>
      </c>
      <c r="O26" s="6" t="s">
        <v>54</v>
      </c>
    </row>
    <row r="27" spans="1:15" ht="21" x14ac:dyDescent="0.25">
      <c r="A27" s="5" t="s">
        <v>55</v>
      </c>
      <c r="B27" s="2">
        <f t="shared" si="2"/>
        <v>1.0610000000000002</v>
      </c>
      <c r="C27" s="3">
        <v>7.0000000000000007E-2</v>
      </c>
      <c r="D27" s="3">
        <v>7.4999999999999997E-2</v>
      </c>
      <c r="E27" s="3">
        <v>8.5999999999999993E-2</v>
      </c>
      <c r="F27" s="3">
        <v>0.1045</v>
      </c>
      <c r="G27" s="3">
        <v>0.10299999999999999</v>
      </c>
      <c r="H27" s="3">
        <v>0.10150000000000001</v>
      </c>
      <c r="I27" s="3">
        <v>0.10150000000000001</v>
      </c>
      <c r="J27" s="3">
        <v>4.65E-2</v>
      </c>
      <c r="K27" s="3">
        <v>0.111</v>
      </c>
      <c r="L27" s="3">
        <v>9.6500000000000002E-2</v>
      </c>
      <c r="M27" s="3">
        <v>8.3500000000000005E-2</v>
      </c>
      <c r="N27" s="3">
        <v>8.2000000000000003E-2</v>
      </c>
      <c r="O27" s="6" t="s">
        <v>56</v>
      </c>
    </row>
    <row r="28" spans="1:15" ht="21" x14ac:dyDescent="0.25">
      <c r="A28" s="5" t="s">
        <v>57</v>
      </c>
      <c r="B28" s="2">
        <f t="shared" si="2"/>
        <v>2.2439999999999998</v>
      </c>
      <c r="C28" s="3">
        <v>0.26100000000000001</v>
      </c>
      <c r="D28" s="3">
        <v>0.16900000000000001</v>
      </c>
      <c r="E28" s="3">
        <v>0.253</v>
      </c>
      <c r="F28" s="3">
        <v>0.20200000000000001</v>
      </c>
      <c r="G28" s="3">
        <v>0.16500000000000001</v>
      </c>
      <c r="H28" s="3">
        <v>0.23899999999999999</v>
      </c>
      <c r="I28" s="3">
        <v>0.16300000000000001</v>
      </c>
      <c r="J28" s="3">
        <v>0.21199999999999999</v>
      </c>
      <c r="K28" s="3">
        <v>0.14499999999999999</v>
      </c>
      <c r="L28" s="3">
        <v>0.153</v>
      </c>
      <c r="M28" s="3">
        <v>0.123</v>
      </c>
      <c r="N28" s="3">
        <v>0.159</v>
      </c>
      <c r="O28" s="6" t="s">
        <v>58</v>
      </c>
    </row>
    <row r="29" spans="1:15" ht="21" x14ac:dyDescent="0.25">
      <c r="A29" s="5" t="s">
        <v>59</v>
      </c>
      <c r="B29" s="2">
        <f t="shared" si="2"/>
        <v>2.1099999999999994</v>
      </c>
      <c r="C29" s="3">
        <v>0.21</v>
      </c>
      <c r="D29" s="3">
        <v>0.17</v>
      </c>
      <c r="E29" s="3">
        <v>0.20499999999999999</v>
      </c>
      <c r="F29" s="3">
        <v>0.17499999999999999</v>
      </c>
      <c r="G29" s="3">
        <v>0.19</v>
      </c>
      <c r="H29" s="3">
        <v>0.16500000000000001</v>
      </c>
      <c r="I29" s="3">
        <v>0.18</v>
      </c>
      <c r="J29" s="3">
        <v>0.17</v>
      </c>
      <c r="K29" s="3">
        <v>0.18</v>
      </c>
      <c r="L29" s="3">
        <v>0.18</v>
      </c>
      <c r="M29" s="3">
        <v>0.15</v>
      </c>
      <c r="N29" s="3">
        <v>0.13500000000000001</v>
      </c>
      <c r="O29" s="6" t="s">
        <v>60</v>
      </c>
    </row>
    <row r="30" spans="1:15" ht="21" x14ac:dyDescent="0.25">
      <c r="A30" s="5" t="s">
        <v>61</v>
      </c>
      <c r="B30" s="2">
        <f t="shared" si="2"/>
        <v>1.224</v>
      </c>
      <c r="C30" s="3">
        <v>9.5000000000000001E-2</v>
      </c>
      <c r="D30" s="3">
        <v>7.4999999999999997E-2</v>
      </c>
      <c r="E30" s="3">
        <v>0.125</v>
      </c>
      <c r="F30" s="3">
        <v>0.104</v>
      </c>
      <c r="G30" s="3">
        <v>0.1</v>
      </c>
      <c r="H30" s="3">
        <v>0.14499999999999999</v>
      </c>
      <c r="I30" s="3">
        <v>0.11</v>
      </c>
      <c r="J30" s="3">
        <v>0.12</v>
      </c>
      <c r="K30" s="3">
        <v>7.4999999999999997E-2</v>
      </c>
      <c r="L30" s="3">
        <v>0.11</v>
      </c>
      <c r="M30" s="3">
        <v>9.5000000000000001E-2</v>
      </c>
      <c r="N30" s="3">
        <v>7.0000000000000007E-2</v>
      </c>
      <c r="O30" s="6" t="s">
        <v>62</v>
      </c>
    </row>
    <row r="31" spans="1:15" ht="21" x14ac:dyDescent="0.25">
      <c r="A31" s="5" t="s">
        <v>65</v>
      </c>
      <c r="B31" s="2">
        <f t="shared" si="2"/>
        <v>1.5030000000000001</v>
      </c>
      <c r="C31" s="3">
        <v>0.154</v>
      </c>
      <c r="D31" s="3">
        <v>0.13300000000000001</v>
      </c>
      <c r="E31" s="3">
        <v>0.125</v>
      </c>
      <c r="F31" s="3">
        <v>0.123</v>
      </c>
      <c r="G31" s="3">
        <v>0.125</v>
      </c>
      <c r="H31" s="3">
        <v>8.2000000000000003E-2</v>
      </c>
      <c r="I31" s="3">
        <v>8.1000000000000003E-2</v>
      </c>
      <c r="J31" s="3">
        <v>0.16</v>
      </c>
      <c r="K31" s="3">
        <v>0.111</v>
      </c>
      <c r="L31" s="3">
        <v>0.158</v>
      </c>
      <c r="M31" s="3">
        <v>9.8000000000000004E-2</v>
      </c>
      <c r="N31" s="3">
        <v>0.153</v>
      </c>
      <c r="O31" s="6" t="s">
        <v>66</v>
      </c>
    </row>
    <row r="32" spans="1:15" ht="21" x14ac:dyDescent="0.25">
      <c r="A32" s="5" t="s">
        <v>63</v>
      </c>
      <c r="B32" s="2">
        <f t="shared" si="2"/>
        <v>0.74849999999999994</v>
      </c>
      <c r="C32" s="3">
        <v>5.1999999999999998E-2</v>
      </c>
      <c r="D32" s="3">
        <v>3.6999999999999998E-2</v>
      </c>
      <c r="E32" s="3">
        <v>8.4000000000000005E-2</v>
      </c>
      <c r="F32" s="3">
        <v>5.6000000000000001E-2</v>
      </c>
      <c r="G32" s="3">
        <v>6.2E-2</v>
      </c>
      <c r="H32" s="3">
        <v>5.8000000000000003E-2</v>
      </c>
      <c r="I32" s="3">
        <v>5.8500000000000003E-2</v>
      </c>
      <c r="J32" s="3">
        <v>7.6999999999999999E-2</v>
      </c>
      <c r="K32" s="3">
        <v>6.7000000000000004E-2</v>
      </c>
      <c r="L32" s="3">
        <v>0.06</v>
      </c>
      <c r="M32" s="3">
        <v>5.7000000000000002E-2</v>
      </c>
      <c r="N32" s="3">
        <v>0.08</v>
      </c>
      <c r="O32" s="6" t="s">
        <v>64</v>
      </c>
    </row>
    <row r="33" spans="1:15" ht="21" x14ac:dyDescent="0.25">
      <c r="A33" s="5" t="s">
        <v>67</v>
      </c>
      <c r="B33" s="2">
        <f t="shared" si="2"/>
        <v>1.2979999999999998</v>
      </c>
      <c r="C33" s="3">
        <v>7.4249999999999997E-2</v>
      </c>
      <c r="D33" s="3">
        <v>7.9500000000000001E-2</v>
      </c>
      <c r="E33" s="3">
        <v>0.10425</v>
      </c>
      <c r="F33" s="3">
        <v>0.105</v>
      </c>
      <c r="G33" s="3">
        <v>0.16450000000000001</v>
      </c>
      <c r="H33" s="3">
        <v>9.0999999999999998E-2</v>
      </c>
      <c r="I33" s="3">
        <v>0.15575</v>
      </c>
      <c r="J33" s="3">
        <v>8.4000000000000005E-2</v>
      </c>
      <c r="K33" s="3">
        <v>8.2000000000000003E-2</v>
      </c>
      <c r="L33" s="3">
        <v>0.15075</v>
      </c>
      <c r="M33" s="3">
        <v>0.09</v>
      </c>
      <c r="N33" s="3">
        <v>0.11700000000000001</v>
      </c>
      <c r="O33" s="6" t="s">
        <v>68</v>
      </c>
    </row>
    <row r="34" spans="1:15" ht="21" x14ac:dyDescent="0.25">
      <c r="A34" s="5" t="s">
        <v>69</v>
      </c>
      <c r="B34" s="2">
        <f t="shared" si="2"/>
        <v>6.1030000000000006</v>
      </c>
      <c r="C34" s="3">
        <v>0.41599999999999998</v>
      </c>
      <c r="D34" s="3">
        <v>0.36699999999999999</v>
      </c>
      <c r="E34" s="3">
        <v>0.55700000000000005</v>
      </c>
      <c r="F34" s="3">
        <v>0.56499999999999995</v>
      </c>
      <c r="G34" s="3">
        <v>0.52400000000000002</v>
      </c>
      <c r="H34" s="3">
        <v>0.55400000000000005</v>
      </c>
      <c r="I34" s="3">
        <v>0.54400000000000004</v>
      </c>
      <c r="J34" s="3">
        <v>0.60699999999999998</v>
      </c>
      <c r="K34" s="3">
        <v>0.504</v>
      </c>
      <c r="L34" s="3">
        <v>0.5</v>
      </c>
      <c r="M34" s="3">
        <v>0.57299999999999995</v>
      </c>
      <c r="N34" s="3">
        <v>0.39200000000000002</v>
      </c>
      <c r="O34" s="6" t="s">
        <v>70</v>
      </c>
    </row>
    <row r="35" spans="1:15" ht="21" x14ac:dyDescent="0.25">
      <c r="A35" s="5" t="s">
        <v>71</v>
      </c>
      <c r="B35" s="2">
        <f t="shared" si="2"/>
        <v>1.2565000000000002</v>
      </c>
      <c r="C35" s="3">
        <v>0.114</v>
      </c>
      <c r="D35" s="3">
        <v>6.9500000000000006E-2</v>
      </c>
      <c r="E35" s="3">
        <v>0.13150000000000001</v>
      </c>
      <c r="F35" s="3">
        <v>0.107</v>
      </c>
      <c r="G35" s="3">
        <v>0.109</v>
      </c>
      <c r="H35" s="3">
        <v>6.9500000000000006E-2</v>
      </c>
      <c r="I35" s="3">
        <v>0.14050000000000001</v>
      </c>
      <c r="J35" s="3">
        <v>9.1499999999999998E-2</v>
      </c>
      <c r="K35" s="3">
        <v>0.1205</v>
      </c>
      <c r="L35" s="3">
        <v>8.7999999999999995E-2</v>
      </c>
      <c r="M35" s="3">
        <v>0.11849999999999999</v>
      </c>
      <c r="N35" s="3">
        <v>9.7000000000000003E-2</v>
      </c>
      <c r="O35" s="6" t="s">
        <v>72</v>
      </c>
    </row>
    <row r="36" spans="1:15" ht="21" x14ac:dyDescent="0.25">
      <c r="A36" s="5" t="s">
        <v>73</v>
      </c>
      <c r="B36" s="2">
        <f t="shared" si="2"/>
        <v>0.42900000000000016</v>
      </c>
      <c r="C36" s="3">
        <v>4.4999999999999998E-2</v>
      </c>
      <c r="D36" s="3">
        <v>2.7E-2</v>
      </c>
      <c r="E36" s="3">
        <v>4.3999999999999997E-2</v>
      </c>
      <c r="F36" s="3">
        <v>7.0000000000000007E-2</v>
      </c>
      <c r="G36" s="3">
        <v>2.9000000000000001E-2</v>
      </c>
      <c r="H36" s="3">
        <v>4.1000000000000002E-2</v>
      </c>
      <c r="I36" s="3">
        <v>2.5999999999999999E-2</v>
      </c>
      <c r="J36" s="3">
        <v>2.8000000000000001E-2</v>
      </c>
      <c r="K36" s="3">
        <v>0.03</v>
      </c>
      <c r="L36" s="3">
        <v>0.03</v>
      </c>
      <c r="M36" s="3">
        <v>0.03</v>
      </c>
      <c r="N36" s="3">
        <v>2.9000000000000001E-2</v>
      </c>
      <c r="O36" s="6" t="s">
        <v>74</v>
      </c>
    </row>
    <row r="37" spans="1:15" ht="21" x14ac:dyDescent="0.25">
      <c r="A37" s="5" t="s">
        <v>75</v>
      </c>
      <c r="B37" s="2">
        <f t="shared" si="2"/>
        <v>0.96599999999999997</v>
      </c>
      <c r="C37" s="3">
        <v>0.08</v>
      </c>
      <c r="D37" s="3">
        <v>7.4999999999999997E-2</v>
      </c>
      <c r="E37" s="3">
        <v>0.09</v>
      </c>
      <c r="F37" s="3">
        <v>9.5000000000000001E-2</v>
      </c>
      <c r="G37" s="3">
        <v>7.0000000000000007E-2</v>
      </c>
      <c r="H37" s="3">
        <v>8.5000000000000006E-2</v>
      </c>
      <c r="I37" s="3">
        <v>5.2999999999999999E-2</v>
      </c>
      <c r="J37" s="3">
        <v>9.2999999999999999E-2</v>
      </c>
      <c r="K37" s="3">
        <v>0.105</v>
      </c>
      <c r="L37" s="3">
        <v>8.5000000000000006E-2</v>
      </c>
      <c r="M37" s="3">
        <v>7.4999999999999997E-2</v>
      </c>
      <c r="N37" s="3">
        <v>0.06</v>
      </c>
      <c r="O37" s="6" t="s">
        <v>76</v>
      </c>
    </row>
    <row r="38" spans="1:15" ht="21" x14ac:dyDescent="0.25">
      <c r="A38" s="5" t="s">
        <v>77</v>
      </c>
      <c r="B38" s="2">
        <f t="shared" si="2"/>
        <v>1.7310000000000001</v>
      </c>
      <c r="C38" s="3">
        <v>0.14000000000000001</v>
      </c>
      <c r="D38" s="3">
        <v>0.13200000000000001</v>
      </c>
      <c r="E38" s="3">
        <v>0.10199999999999999</v>
      </c>
      <c r="F38" s="3">
        <v>0.154</v>
      </c>
      <c r="G38" s="3">
        <v>0.14399999999999999</v>
      </c>
      <c r="H38" s="3">
        <v>0.22</v>
      </c>
      <c r="I38" s="3">
        <v>0.17</v>
      </c>
      <c r="J38" s="3">
        <v>9.8000000000000004E-2</v>
      </c>
      <c r="K38" s="3">
        <v>0.15</v>
      </c>
      <c r="L38" s="3">
        <v>0.1</v>
      </c>
      <c r="M38" s="3">
        <v>0.214</v>
      </c>
      <c r="N38" s="3">
        <v>0.107</v>
      </c>
      <c r="O38" s="6" t="s">
        <v>78</v>
      </c>
    </row>
    <row r="39" spans="1:15" ht="21" x14ac:dyDescent="0.25">
      <c r="A39" s="5" t="s">
        <v>79</v>
      </c>
      <c r="B39" s="2">
        <f t="shared" si="2"/>
        <v>1.1205000000000001</v>
      </c>
      <c r="C39" s="3">
        <v>7.2999999999999995E-2</v>
      </c>
      <c r="D39" s="3">
        <v>7.3999999999999996E-2</v>
      </c>
      <c r="E39" s="3">
        <v>0.1095</v>
      </c>
      <c r="F39" s="3">
        <v>7.4499999999999997E-2</v>
      </c>
      <c r="G39" s="3">
        <v>7.4499999999999997E-2</v>
      </c>
      <c r="H39" s="3">
        <v>7.2499999999999995E-2</v>
      </c>
      <c r="I39" s="3">
        <v>7.0999999999999994E-2</v>
      </c>
      <c r="J39" s="3">
        <v>9.1499999999999998E-2</v>
      </c>
      <c r="K39" s="3">
        <v>7.5999999999999998E-2</v>
      </c>
      <c r="L39" s="3">
        <v>0.17299999999999999</v>
      </c>
      <c r="M39" s="3">
        <v>0.121</v>
      </c>
      <c r="N39" s="3">
        <v>0.11</v>
      </c>
      <c r="O39" s="6" t="s">
        <v>80</v>
      </c>
    </row>
    <row r="40" spans="1:15" ht="21" x14ac:dyDescent="0.25">
      <c r="A40" s="5" t="s">
        <v>81</v>
      </c>
      <c r="B40" s="2">
        <f t="shared" si="2"/>
        <v>1.3740000000000001</v>
      </c>
      <c r="C40" s="3">
        <v>7.0999999999999994E-2</v>
      </c>
      <c r="D40" s="3">
        <v>0.11700000000000001</v>
      </c>
      <c r="E40" s="3">
        <v>0.13700000000000001</v>
      </c>
      <c r="F40" s="3">
        <v>0.13200000000000001</v>
      </c>
      <c r="G40" s="3">
        <v>0.13300000000000001</v>
      </c>
      <c r="H40" s="3">
        <v>0.11</v>
      </c>
      <c r="I40" s="3">
        <v>0.109</v>
      </c>
      <c r="J40" s="3">
        <v>0.127</v>
      </c>
      <c r="K40" s="3">
        <v>0.104</v>
      </c>
      <c r="L40" s="3">
        <v>0.106</v>
      </c>
      <c r="M40" s="3">
        <v>9.7000000000000003E-2</v>
      </c>
      <c r="N40" s="3">
        <v>0.13100000000000001</v>
      </c>
      <c r="O40" s="6" t="s">
        <v>82</v>
      </c>
    </row>
    <row r="41" spans="1:15" ht="21" x14ac:dyDescent="0.25">
      <c r="A41" s="7" t="s">
        <v>83</v>
      </c>
      <c r="B41" s="2">
        <f t="shared" si="2"/>
        <v>0.89899999999999991</v>
      </c>
      <c r="C41" s="3">
        <v>9.0999999999999998E-2</v>
      </c>
      <c r="D41" s="3">
        <v>0.114</v>
      </c>
      <c r="E41" s="3">
        <v>3.5999999999999997E-2</v>
      </c>
      <c r="F41" s="3">
        <v>0.152</v>
      </c>
      <c r="G41" s="3">
        <v>0.09</v>
      </c>
      <c r="H41" s="3">
        <v>1.7999999999999999E-2</v>
      </c>
      <c r="I41" s="3">
        <v>7.3999999999999996E-2</v>
      </c>
      <c r="J41" s="3">
        <v>7.4999999999999997E-2</v>
      </c>
      <c r="K41" s="3">
        <v>6.3E-2</v>
      </c>
      <c r="L41" s="3">
        <v>9.1999999999999998E-2</v>
      </c>
      <c r="M41" s="3">
        <v>3.5999999999999997E-2</v>
      </c>
      <c r="N41" s="3">
        <v>5.8000000000000003E-2</v>
      </c>
      <c r="O41" s="8" t="s">
        <v>84</v>
      </c>
    </row>
    <row r="42" spans="1:15" ht="21" x14ac:dyDescent="0.25">
      <c r="A42" s="7" t="s">
        <v>85</v>
      </c>
      <c r="B42" s="2">
        <f t="shared" si="2"/>
        <v>1.6759999999999995</v>
      </c>
      <c r="C42" s="3">
        <v>0.108</v>
      </c>
      <c r="D42" s="3">
        <v>7.2999999999999995E-2</v>
      </c>
      <c r="E42" s="3">
        <v>0.14399999999999999</v>
      </c>
      <c r="F42" s="3">
        <v>0.13700000000000001</v>
      </c>
      <c r="G42" s="3">
        <v>0.17199999999999999</v>
      </c>
      <c r="H42" s="3">
        <v>0.113</v>
      </c>
      <c r="I42" s="3">
        <v>0.219</v>
      </c>
      <c r="J42" s="3">
        <v>0.13700000000000001</v>
      </c>
      <c r="K42" s="3">
        <v>0.13800000000000001</v>
      </c>
      <c r="L42" s="3">
        <v>0.17199999999999999</v>
      </c>
      <c r="M42" s="3">
        <v>0.14000000000000001</v>
      </c>
      <c r="N42" s="3">
        <v>0.123</v>
      </c>
      <c r="O42" s="8" t="s">
        <v>86</v>
      </c>
    </row>
    <row r="43" spans="1:15" ht="21" x14ac:dyDescent="0.25">
      <c r="A43" s="9" t="s">
        <v>87</v>
      </c>
      <c r="B43" s="25">
        <f>SUM(C43:N43)</f>
        <v>0.36300000000000004</v>
      </c>
      <c r="C43" s="4">
        <v>0.04</v>
      </c>
      <c r="D43" s="4">
        <v>2.8000000000000001E-2</v>
      </c>
      <c r="E43" s="4">
        <v>2.9000000000000001E-2</v>
      </c>
      <c r="F43" s="4">
        <v>0</v>
      </c>
      <c r="G43" s="4">
        <v>4.7E-2</v>
      </c>
      <c r="H43" s="4">
        <v>2.7E-2</v>
      </c>
      <c r="I43" s="4">
        <v>3.9E-2</v>
      </c>
      <c r="J43" s="4">
        <v>1.2E-2</v>
      </c>
      <c r="K43" s="4">
        <v>4.1000000000000002E-2</v>
      </c>
      <c r="L43" s="4">
        <v>0.03</v>
      </c>
      <c r="M43" s="4">
        <v>2.7E-2</v>
      </c>
      <c r="N43" s="4">
        <v>4.2999999999999997E-2</v>
      </c>
      <c r="O43" s="26" t="s">
        <v>88</v>
      </c>
    </row>
    <row r="44" spans="1:15" x14ac:dyDescent="0.25">
      <c r="A44" s="19" t="s">
        <v>1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10" t="s">
        <v>2</v>
      </c>
    </row>
    <row r="45" spans="1:15" x14ac:dyDescent="0.25"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</sheetData>
  <mergeCells count="3">
    <mergeCell ref="A5:O5"/>
    <mergeCell ref="A3:O3"/>
    <mergeCell ref="A4:O4"/>
  </mergeCells>
  <pageMargins left="0.7" right="0.7" top="0.75" bottom="0.75" header="0.3" footer="0.3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2021-10-13T06:22:05Z</cp:lastPrinted>
  <dcterms:created xsi:type="dcterms:W3CDTF">2019-05-21T05:57:01Z</dcterms:created>
  <dcterms:modified xsi:type="dcterms:W3CDTF">2021-10-13T06:22:46Z</dcterms:modified>
</cp:coreProperties>
</file>