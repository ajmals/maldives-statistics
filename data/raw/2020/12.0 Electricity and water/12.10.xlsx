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/>
  </bookViews>
  <sheets>
    <sheet name="12.10" sheetId="10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'12.10'!$A$1:$L$22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10" l="1"/>
  <c r="B18" i="10" l="1"/>
  <c r="B17" i="10"/>
  <c r="B16" i="10"/>
  <c r="B15" i="10"/>
  <c r="B14" i="10"/>
  <c r="B13" i="10"/>
  <c r="B12" i="10"/>
  <c r="B11" i="10"/>
  <c r="B10" i="10"/>
  <c r="B9" i="10"/>
  <c r="B8" i="10"/>
  <c r="B7" i="10"/>
  <c r="B6" i="10" s="1"/>
  <c r="J6" i="10"/>
  <c r="I6" i="10"/>
  <c r="H6" i="10"/>
  <c r="G6" i="10"/>
  <c r="F6" i="10"/>
  <c r="E6" i="10"/>
  <c r="D6" i="10"/>
  <c r="C6" i="10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<sst xmlns="http://schemas.openxmlformats.org/spreadsheetml/2006/main" count="33" uniqueCount="33">
  <si>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</si>
  <si>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</si>
  <si>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</si>
  <si>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</si>
  <si>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</si>
  <si>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</si>
  <si>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</si>
  <si>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</si>
  <si>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</si>
  <si>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</si>
  <si>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</si>
  <si>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</si>
  <si>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</si>
  <si>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</si>
  <si>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</si>
  <si>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</si>
  <si>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</si>
  <si>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</si>
  <si>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</si>
  <si>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</si>
  <si>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</si>
  <si>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</si>
  <si>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</si>
  <si>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</si>
  <si>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</si>
  <si>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</si>
  <si>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</si>
  <si>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</si>
  <si>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</si>
  <si>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</si>
  <si>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</si>
  <si>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12.10 : WATER DISTRIBUTION  IN VILIMALE' BY MONTH,  2010 -  2019</t>
  </si>
  <si>
    <t>2019- 2010 ,urwvcnimunuverukcnunEb cnef iawgIligniliv cnutog eguhwmcswm  : 12.10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</si>
</sst>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" fillId="0" borderId="0"/>
  </cellStyleXfs>
  <cellXfs count="26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5" fillId="2" borderId="0" xfId="2" applyFont="1" applyFill="1" applyBorder="1"/>
    <xf numFmtId="0" fontId="12" fillId="2" borderId="0" xfId="2" applyFont="1" applyFill="1" applyAlignment="1">
      <alignment horizontal="center" vertical="center"/>
    </xf>
    <xf numFmtId="0" fontId="11" fillId="2" borderId="0" xfId="4" applyFill="1"/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2" fillId="2" borderId="2" xfId="4" applyFont="1" applyFill="1" applyBorder="1"/>
    <xf numFmtId="0" fontId="2" fillId="2" borderId="2" xfId="4" applyFont="1" applyFill="1" applyBorder="1" applyAlignment="1">
      <alignment horizontal="center" vertical="center"/>
    </xf>
    <xf numFmtId="0" fontId="2" fillId="2" borderId="0" xfId="4" applyFont="1" applyFill="1" applyBorder="1"/>
    <xf numFmtId="165" fontId="2" fillId="2" borderId="0" xfId="4" applyNumberFormat="1" applyFont="1" applyFill="1" applyAlignment="1">
      <alignment horizontal="center"/>
    </xf>
    <xf numFmtId="0" fontId="6" fillId="2" borderId="0" xfId="4" applyFont="1" applyFill="1" applyBorder="1" applyAlignment="1">
      <alignment horizontal="right" indent="1"/>
    </xf>
    <xf numFmtId="0" fontId="6" fillId="2" borderId="1" xfId="4" applyFont="1" applyFill="1" applyBorder="1" applyAlignment="1">
      <alignment horizontal="right" indent="1"/>
    </xf>
    <xf numFmtId="0" fontId="14" fillId="2" borderId="0" xfId="2" applyFont="1" applyFill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10" fillId="2" borderId="0" xfId="4" applyFont="1" applyFill="1" applyBorder="1" applyAlignment="1">
      <alignment horizontal="left" vertical="center" indent="1"/>
    </xf>
    <xf numFmtId="165" fontId="10" fillId="2" borderId="0" xfId="2" applyNumberFormat="1" applyFont="1" applyFill="1" applyAlignment="1">
      <alignment horizontal="center" vertical="center"/>
    </xf>
    <xf numFmtId="165" fontId="10" fillId="2" borderId="0" xfId="3" applyNumberFormat="1" applyFont="1" applyFill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65" fontId="10" fillId="2" borderId="1" xfId="3" applyNumberFormat="1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left" vertical="center" indent="1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/>
    </xf>
  </cellXfs>
  <cellStyles count="5">
    <cellStyle name="Comma 2" xfId="1"/>
    <cellStyle name="Comma 4" xfId="3"/>
    <cellStyle name="Normal" xfId="0" builtinId="0"/>
    <cellStyle name="Normal 2" xfId="2"/>
    <cellStyle name="Normal_X-5 (Electricity)" xfId="4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hamed/Desktop/yearbook%202020%20=update/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  <cell r="J4">
            <v>2017</v>
          </cell>
          <cell r="K4">
            <v>2018</v>
          </cell>
        </row>
        <row r="5">
          <cell r="B5">
            <v>187110.266</v>
          </cell>
          <cell r="C5">
            <v>195722.55800000002</v>
          </cell>
          <cell r="D5">
            <v>211889.32699999999</v>
          </cell>
          <cell r="E5">
            <v>219663.37332000001</v>
          </cell>
          <cell r="F5">
            <v>232023.39200000002</v>
          </cell>
          <cell r="G5">
            <v>239067</v>
          </cell>
          <cell r="H5">
            <v>260445.08562</v>
          </cell>
          <cell r="I5">
            <v>271814.04891000001</v>
          </cell>
          <cell r="J5">
            <v>304527.45199199999</v>
          </cell>
          <cell r="K5">
            <v>318850.96300000005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4">
          <cell r="E4" t="str">
            <v>% Share of Quantity</v>
          </cell>
        </row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zoomScaleNormal="100" workbookViewId="0">
      <selection activeCell="L26" sqref="L26"/>
    </sheetView>
  </sheetViews>
  <sheetFormatPr defaultColWidth="11.28515625" defaultRowHeight="12.75"/>
  <cols>
    <col min="1" max="11" width="11.28515625" style="1"/>
    <col min="12" max="12" width="13.42578125" style="1" customWidth="1"/>
    <col min="13" max="16384" width="11.28515625" style="1"/>
  </cols>
  <sheetData>
    <row r="1" spans="1:12" ht="15.75">
      <c r="A1" s="23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s="3" customFormat="1">
      <c r="A3" s="24" t="s">
        <v>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5.75">
      <c r="A5" s="9" t="s">
        <v>8</v>
      </c>
      <c r="B5" s="10">
        <v>2010</v>
      </c>
      <c r="C5" s="10">
        <v>2011</v>
      </c>
      <c r="D5" s="10">
        <v>2012</v>
      </c>
      <c r="E5" s="10">
        <v>2013</v>
      </c>
      <c r="F5" s="10">
        <v>2014</v>
      </c>
      <c r="G5" s="10">
        <v>2015</v>
      </c>
      <c r="H5" s="10">
        <v>2016</v>
      </c>
      <c r="I5" s="10">
        <v>2017</v>
      </c>
      <c r="J5" s="10">
        <v>2018</v>
      </c>
      <c r="K5" s="10">
        <v>2019</v>
      </c>
      <c r="L5" s="6" t="s">
        <v>9</v>
      </c>
    </row>
    <row r="6" spans="1:12" ht="15.75">
      <c r="A6" s="11" t="s">
        <v>10</v>
      </c>
      <c r="B6" s="12">
        <f t="shared" ref="B6:J6" si="0">SUM(B7:B18)</f>
        <v>149.21519999999998</v>
      </c>
      <c r="C6" s="12">
        <f t="shared" si="0"/>
        <v>162.01300000000001</v>
      </c>
      <c r="D6" s="12">
        <f t="shared" si="0"/>
        <v>200.73650000000004</v>
      </c>
      <c r="E6" s="12">
        <f t="shared" si="0"/>
        <v>199.63330000000002</v>
      </c>
      <c r="F6" s="12">
        <f t="shared" si="0"/>
        <v>200.12200000000001</v>
      </c>
      <c r="G6" s="12">
        <f t="shared" si="0"/>
        <v>220.3561</v>
      </c>
      <c r="H6" s="12">
        <f t="shared" si="0"/>
        <v>265.65300000000002</v>
      </c>
      <c r="I6" s="12">
        <f t="shared" si="0"/>
        <v>278.57499999999999</v>
      </c>
      <c r="J6" s="12">
        <f t="shared" si="0"/>
        <v>274.12400000000002</v>
      </c>
      <c r="K6" s="12">
        <f t="shared" ref="K6" si="1">SUM(K7:K18)</f>
        <v>284.36799999999999</v>
      </c>
      <c r="L6" s="7" t="s">
        <v>0</v>
      </c>
    </row>
    <row r="7" spans="1:12" ht="15.75">
      <c r="A7" s="17" t="s">
        <v>11</v>
      </c>
      <c r="B7" s="18">
        <f>12006/1000</f>
        <v>12.006</v>
      </c>
      <c r="C7" s="18">
        <v>12.16</v>
      </c>
      <c r="D7" s="19">
        <v>14.749700000000001</v>
      </c>
      <c r="E7" s="19">
        <v>17.236099999999997</v>
      </c>
      <c r="F7" s="19">
        <v>15.821999999999999</v>
      </c>
      <c r="G7" s="19">
        <v>17.667999999999999</v>
      </c>
      <c r="H7" s="19">
        <v>20.492000000000001</v>
      </c>
      <c r="I7" s="19">
        <v>23.09</v>
      </c>
      <c r="J7" s="19">
        <v>23.341999999999999</v>
      </c>
      <c r="K7" s="19">
        <v>23.353000000000002</v>
      </c>
      <c r="L7" s="13" t="s">
        <v>12</v>
      </c>
    </row>
    <row r="8" spans="1:12" ht="15.75">
      <c r="A8" s="17" t="s">
        <v>13</v>
      </c>
      <c r="B8" s="18">
        <f>11311.6/1000</f>
        <v>11.3116</v>
      </c>
      <c r="C8" s="18">
        <v>11.271000000000001</v>
      </c>
      <c r="D8" s="19">
        <v>14.404999999999999</v>
      </c>
      <c r="E8" s="19">
        <v>15.426200000000001</v>
      </c>
      <c r="F8" s="19">
        <v>15.07</v>
      </c>
      <c r="G8" s="19">
        <v>16.524000000000001</v>
      </c>
      <c r="H8" s="19">
        <v>20.562000000000001</v>
      </c>
      <c r="I8" s="19">
        <v>21.858000000000001</v>
      </c>
      <c r="J8" s="19">
        <v>20.917999999999999</v>
      </c>
      <c r="K8" s="19">
        <v>21.32</v>
      </c>
      <c r="L8" s="13" t="s">
        <v>14</v>
      </c>
    </row>
    <row r="9" spans="1:12" ht="15.75">
      <c r="A9" s="17" t="s">
        <v>15</v>
      </c>
      <c r="B9" s="18">
        <f>13626.5/1000</f>
        <v>13.6265</v>
      </c>
      <c r="C9" s="18">
        <v>13.747</v>
      </c>
      <c r="D9" s="19">
        <v>17.776900000000001</v>
      </c>
      <c r="E9" s="19">
        <v>18.164000000000001</v>
      </c>
      <c r="F9" s="19">
        <v>16.978999999999999</v>
      </c>
      <c r="G9" s="19">
        <v>18.923999999999999</v>
      </c>
      <c r="H9" s="19">
        <v>22.641999999999999</v>
      </c>
      <c r="I9" s="19">
        <v>25.994</v>
      </c>
      <c r="J9" s="19">
        <v>24.95</v>
      </c>
      <c r="K9" s="19">
        <v>24.286000000000001</v>
      </c>
      <c r="L9" s="13" t="s">
        <v>1</v>
      </c>
    </row>
    <row r="10" spans="1:12" ht="15.75">
      <c r="A10" s="17" t="s">
        <v>16</v>
      </c>
      <c r="B10" s="18">
        <f>13789.6/1000</f>
        <v>13.7896</v>
      </c>
      <c r="C10" s="18">
        <v>13.391</v>
      </c>
      <c r="D10" s="19">
        <v>17.472999999999999</v>
      </c>
      <c r="E10" s="19">
        <v>18.198</v>
      </c>
      <c r="F10" s="19">
        <v>17.344999999999999</v>
      </c>
      <c r="G10" s="19">
        <v>19.065999999999999</v>
      </c>
      <c r="H10" s="19">
        <v>25.564</v>
      </c>
      <c r="I10" s="19">
        <v>23.817</v>
      </c>
      <c r="J10" s="19">
        <v>24.603999999999999</v>
      </c>
      <c r="K10" s="19">
        <v>23.306000000000001</v>
      </c>
      <c r="L10" s="13" t="s">
        <v>17</v>
      </c>
    </row>
    <row r="11" spans="1:12" ht="15.75">
      <c r="A11" s="17" t="s">
        <v>18</v>
      </c>
      <c r="B11" s="18">
        <f>13121.2/1000</f>
        <v>13.1212</v>
      </c>
      <c r="C11" s="18">
        <v>13.359</v>
      </c>
      <c r="D11" s="19">
        <v>18.638200000000001</v>
      </c>
      <c r="E11" s="19">
        <v>17.337</v>
      </c>
      <c r="F11" s="19">
        <v>17.195</v>
      </c>
      <c r="G11" s="19">
        <v>19.175999999999998</v>
      </c>
      <c r="H11" s="19">
        <v>21.483000000000001</v>
      </c>
      <c r="I11" s="19">
        <v>22.988</v>
      </c>
      <c r="J11" s="19">
        <v>24.978999999999999</v>
      </c>
      <c r="K11" s="19">
        <v>24.55</v>
      </c>
      <c r="L11" s="13" t="s">
        <v>2</v>
      </c>
    </row>
    <row r="12" spans="1:12" ht="15.75">
      <c r="A12" s="17" t="s">
        <v>19</v>
      </c>
      <c r="B12" s="18">
        <f>13092.5/1000</f>
        <v>13.092499999999999</v>
      </c>
      <c r="C12" s="18">
        <v>14.221</v>
      </c>
      <c r="D12" s="19">
        <v>18.327999999999999</v>
      </c>
      <c r="E12" s="19">
        <v>16.536999999999999</v>
      </c>
      <c r="F12" s="19">
        <v>17.471</v>
      </c>
      <c r="G12" s="19">
        <v>19.530999999999999</v>
      </c>
      <c r="H12" s="19">
        <v>23.012</v>
      </c>
      <c r="I12" s="19">
        <v>23.068999999999999</v>
      </c>
      <c r="J12" s="19">
        <v>23.183</v>
      </c>
      <c r="K12" s="19">
        <v>23.292999999999999</v>
      </c>
      <c r="L12" s="13" t="s">
        <v>3</v>
      </c>
    </row>
    <row r="13" spans="1:12" ht="15.75">
      <c r="A13" s="17" t="s">
        <v>20</v>
      </c>
      <c r="B13" s="18">
        <f>12070.9/1000</f>
        <v>12.0709</v>
      </c>
      <c r="C13" s="18">
        <v>14.153</v>
      </c>
      <c r="D13" s="19">
        <v>19.847000000000001</v>
      </c>
      <c r="E13" s="19">
        <v>18.916</v>
      </c>
      <c r="F13" s="19">
        <v>17.753</v>
      </c>
      <c r="G13" s="19">
        <v>19.111999999999998</v>
      </c>
      <c r="H13" s="19">
        <v>21.681000000000001</v>
      </c>
      <c r="I13" s="19">
        <v>24.292000000000002</v>
      </c>
      <c r="J13" s="19">
        <v>23.437000000000001</v>
      </c>
      <c r="K13" s="19">
        <v>24.111999999999998</v>
      </c>
      <c r="L13" s="13" t="s">
        <v>4</v>
      </c>
    </row>
    <row r="14" spans="1:12" ht="15.75">
      <c r="A14" s="17" t="s">
        <v>21</v>
      </c>
      <c r="B14" s="18">
        <f>13026/1000</f>
        <v>13.026</v>
      </c>
      <c r="C14" s="18">
        <v>14.708</v>
      </c>
      <c r="D14" s="19">
        <v>17.097999999999999</v>
      </c>
      <c r="E14" s="19">
        <v>16.727</v>
      </c>
      <c r="F14" s="19">
        <v>16.989999999999998</v>
      </c>
      <c r="G14" s="19">
        <v>19.004000000000001</v>
      </c>
      <c r="H14" s="19">
        <v>22.388000000000002</v>
      </c>
      <c r="I14" s="19">
        <v>23.457999999999998</v>
      </c>
      <c r="J14" s="19">
        <v>23.779</v>
      </c>
      <c r="K14" s="19">
        <v>24.201000000000001</v>
      </c>
      <c r="L14" s="13" t="s">
        <v>22</v>
      </c>
    </row>
    <row r="15" spans="1:12" ht="15.75">
      <c r="A15" s="17" t="s">
        <v>23</v>
      </c>
      <c r="B15" s="18">
        <f>12008.3/1000</f>
        <v>12.008299999999998</v>
      </c>
      <c r="C15" s="18">
        <v>13.673999999999999</v>
      </c>
      <c r="D15" s="19">
        <v>15.651999999999999</v>
      </c>
      <c r="E15" s="19">
        <v>15.872999999999999</v>
      </c>
      <c r="F15" s="19">
        <v>16.288</v>
      </c>
      <c r="G15" s="19">
        <v>17.05</v>
      </c>
      <c r="H15" s="19">
        <v>21.81</v>
      </c>
      <c r="I15" s="19">
        <v>21.858000000000001</v>
      </c>
      <c r="J15" s="19">
        <v>21.460999999999999</v>
      </c>
      <c r="K15" s="19">
        <v>24.637</v>
      </c>
      <c r="L15" s="13" t="s">
        <v>24</v>
      </c>
    </row>
    <row r="16" spans="1:12" ht="15.75">
      <c r="A16" s="17" t="s">
        <v>25</v>
      </c>
      <c r="B16" s="18">
        <f>12610/1000</f>
        <v>12.61</v>
      </c>
      <c r="C16" s="18">
        <v>14.371</v>
      </c>
      <c r="D16" s="19">
        <v>15.882999999999999</v>
      </c>
      <c r="E16" s="19">
        <v>15.507999999999999</v>
      </c>
      <c r="F16" s="19">
        <v>16.818999999999999</v>
      </c>
      <c r="G16" s="19">
        <v>18.559999999999999</v>
      </c>
      <c r="H16" s="19">
        <v>22.596</v>
      </c>
      <c r="I16" s="19">
        <v>23.952000000000002</v>
      </c>
      <c r="J16" s="19">
        <v>21.268999999999998</v>
      </c>
      <c r="K16" s="19">
        <v>24.573</v>
      </c>
      <c r="L16" s="13" t="s">
        <v>26</v>
      </c>
    </row>
    <row r="17" spans="1:13" ht="15.75">
      <c r="A17" s="17" t="s">
        <v>27</v>
      </c>
      <c r="B17" s="18">
        <f>11198.2/1000</f>
        <v>11.1982</v>
      </c>
      <c r="C17" s="18">
        <v>13.012</v>
      </c>
      <c r="D17" s="19">
        <v>15.821999999999999</v>
      </c>
      <c r="E17" s="19">
        <v>15.173</v>
      </c>
      <c r="F17" s="19">
        <v>16.071999999999999</v>
      </c>
      <c r="G17" s="19">
        <v>17.791</v>
      </c>
      <c r="H17" s="19">
        <v>21.888000000000002</v>
      </c>
      <c r="I17" s="19">
        <v>21.905000000000001</v>
      </c>
      <c r="J17" s="19">
        <v>21.149000000000001</v>
      </c>
      <c r="K17" s="19">
        <v>23.739000000000001</v>
      </c>
      <c r="L17" s="13" t="s">
        <v>28</v>
      </c>
    </row>
    <row r="18" spans="1:13" ht="15.75">
      <c r="A18" s="22" t="s">
        <v>29</v>
      </c>
      <c r="B18" s="20">
        <f>11354.4/1000</f>
        <v>11.3544</v>
      </c>
      <c r="C18" s="20">
        <v>13.946</v>
      </c>
      <c r="D18" s="21">
        <v>15.063700000000001</v>
      </c>
      <c r="E18" s="21">
        <v>14.538</v>
      </c>
      <c r="F18" s="21">
        <v>16.318000000000001</v>
      </c>
      <c r="G18" s="21">
        <v>17.950099999999999</v>
      </c>
      <c r="H18" s="21">
        <v>21.535</v>
      </c>
      <c r="I18" s="21">
        <v>22.294</v>
      </c>
      <c r="J18" s="21">
        <v>21.053000000000001</v>
      </c>
      <c r="K18" s="21">
        <v>22.998000000000001</v>
      </c>
      <c r="L18" s="14" t="s">
        <v>30</v>
      </c>
    </row>
    <row r="19" spans="1:13" ht="15">
      <c r="A19" s="2" t="s">
        <v>6</v>
      </c>
      <c r="L19" s="8" t="s">
        <v>5</v>
      </c>
    </row>
    <row r="22" spans="1:13" s="5" customFormat="1" ht="18">
      <c r="F22" s="15"/>
      <c r="G22" s="15"/>
      <c r="H22" s="15"/>
      <c r="I22" s="15"/>
      <c r="J22" s="4"/>
      <c r="K22" s="4"/>
      <c r="L22" s="4"/>
      <c r="M22" s="4"/>
    </row>
  </sheetData>
  <mergeCells count="3">
    <mergeCell ref="A1:L1"/>
    <mergeCell ref="A2:L2"/>
    <mergeCell ref="A3:L3"/>
  </mergeCells>
  <pageMargins left="0.7" right="0.7" top="0.75" bottom="0.75" header="0.3" footer="0.3"/>
  <pageSetup paperSize="9" scale="63" orientation="portrait" horizontalDpi="4294967295" verticalDpi="4294967295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2020-06-28T00:35:55Z</cp:lastPrinted>
  <dcterms:created xsi:type="dcterms:W3CDTF">2019-05-21T05:57:01Z</dcterms:created>
  <dcterms:modified xsi:type="dcterms:W3CDTF">2020-06-28T00:36:23Z</dcterms:modified>
</cp:coreProperties>
</file>