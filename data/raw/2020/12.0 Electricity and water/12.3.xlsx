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SYB 2020 _latest\YEARBOOK 2020_Final\web\12.  ELECTRICITY and  WATER\"/>
    </mc:Choice>
  </mc:AlternateContent>
  <bookViews>
    <workbookView xWindow="0" yWindow="0" windowWidth="28800" windowHeight="12330"/>
  </bookViews>
  <sheets>
    <sheet name="12.3" sheetId="17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2" i="17" l="1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N10" i="17"/>
  <c r="N6" i="17" s="1"/>
  <c r="M10" i="17"/>
  <c r="M6" i="17" s="1"/>
  <c r="L10" i="17"/>
  <c r="L6" i="17" s="1"/>
  <c r="K10" i="17"/>
  <c r="K6" i="17" s="1"/>
  <c r="J10" i="17"/>
  <c r="J6" i="17" s="1"/>
  <c r="I10" i="17"/>
  <c r="I6" i="17" s="1"/>
  <c r="H10" i="17"/>
  <c r="H6" i="17" s="1"/>
  <c r="G10" i="17"/>
  <c r="G6" i="17" s="1"/>
  <c r="F10" i="17"/>
  <c r="F6" i="17" s="1"/>
  <c r="E10" i="17"/>
  <c r="E6" i="17" s="1"/>
  <c r="D10" i="17"/>
  <c r="D6" i="17" s="1"/>
  <c r="C10" i="17"/>
  <c r="C6" i="17" s="1"/>
  <c r="B9" i="17"/>
  <c r="B8" i="17"/>
  <c r="B7" i="17"/>
  <c r="B10" i="17" l="1"/>
  <c r="B6" i="17"/>
</calcChain>
</file>

<file path=xl/sharedStrings.xml><?xml version="1.0" encoding="utf-8"?>
<sst xmlns="http://schemas.openxmlformats.org/spreadsheetml/2006/main" count="94" uniqueCount="93">
  <si>
    <t>wlcmuj</t>
  </si>
  <si>
    <t>cnwt</t>
  </si>
  <si>
    <t>Source: State Electric Company Limited</t>
  </si>
  <si>
    <t>cDeTimil Inepcmok ckircTckeliacTETcs :ctWrwf ivcaedutWmUluAwm</t>
  </si>
  <si>
    <t>Locality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</si>
  <si>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</si>
  <si>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</si>
  <si>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</si>
  <si>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</si>
  <si>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</si>
  <si>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</si>
  <si>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</si>
  <si>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</si>
  <si>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</si>
  <si>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</si>
  <si>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</si>
  <si>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</si>
  <si>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</si>
  <si>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K.Male'</t>
  </si>
  <si>
    <t>ކ. މާލެ</t>
  </si>
  <si>
    <t>K.Vilimale'</t>
  </si>
  <si>
    <t>ކ. ވިލިނގިލި</t>
  </si>
  <si>
    <t>K.Hulhumale</t>
  </si>
  <si>
    <t>ކ. ހުޅުމާލެ</t>
  </si>
  <si>
    <t xml:space="preserve">Atoll </t>
  </si>
  <si>
    <t>އަތޮޅުތައް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</si>
  <si>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</si>
  <si>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</si>
  <si>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</si>
  <si>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</si>
  <si>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</si>
  <si>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</si>
  <si>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</si>
  <si>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</si>
  <si>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</si>
  <si>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</si>
  <si>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K.Thilafushi</t>
  </si>
  <si>
    <t>ކ. ތިލަފުށި</t>
  </si>
  <si>
    <t>K.Gulhifalhu</t>
  </si>
  <si>
    <t>ކ. ގުޅިފަޅު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</si>
  <si>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</si>
  <si>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</si>
  <si>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</si>
  <si>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</si>
  <si>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</si>
  <si>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</si>
  <si>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</si>
  <si>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</si>
  <si>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</si>
  <si>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</si>
  <si>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</si>
  <si>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</si>
  <si>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</si>
  <si>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</si>
  <si>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</si>
  <si>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</si>
  <si>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</si>
  <si>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</si>
  <si>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AA.Rasdhoo</t>
  </si>
  <si>
    <t>އއ.ރަސްދޫ</t>
  </si>
  <si>
    <t>AA.Thoddoo</t>
  </si>
  <si>
    <t>އއ.ތޮއްޑޫ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</si>
  <si>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</si>
  <si>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</si>
  <si>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</si>
  <si>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</si>
  <si>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</si>
  <si>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</si>
  <si>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</si>
  <si>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</si>
  <si>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އދ.މަހިބަދޫ</t>
  </si>
  <si>
    <t>ADh.Hangnameedhoo</t>
  </si>
  <si>
    <t>އދ.ހަންޏާމީދޫ</t>
  </si>
  <si>
    <t>ADh.Dhihdhoo</t>
  </si>
  <si>
    <t>އދ.ދިއްދޫ</t>
  </si>
  <si>
    <t>ADh.Mandhoo</t>
  </si>
  <si>
    <t>އދ.މަންދޫ</t>
  </si>
  <si>
    <t>ADh.Dhangethi</t>
  </si>
  <si>
    <t>އދ.ދަނގެތި</t>
  </si>
  <si>
    <t>V.Felidhoo</t>
  </si>
  <si>
    <t>ވ.ފެލިދޫ</t>
  </si>
  <si>
    <t>V.Fulidhoo</t>
  </si>
  <si>
    <t>ވ.ފުލިދޫ</t>
  </si>
  <si>
    <t>V.Thinadhoo</t>
  </si>
  <si>
    <t>ވ.ތިނަދޫ</t>
  </si>
  <si>
    <t>V.Keyodhoo</t>
  </si>
  <si>
    <t>ވ.ކެޔޮދޫ</t>
  </si>
  <si>
    <t>V.Rakeedhoo</t>
  </si>
  <si>
    <t>ވ.ރަކީދޫ</t>
  </si>
  <si>
    <r>
      <rPr>
        <b/>
        <sz val="10.5"/>
        <rFont val="Calibri"/>
        <family val="2"/>
        <scheme val="minor"/>
      </rPr>
      <t>(In '000 litres)</t>
    </r>
    <r>
      <rPr>
        <b/>
        <sz val="10.5"/>
        <rFont val="A_Faseyha"/>
      </rPr>
      <t xml:space="preserve"> </t>
    </r>
  </si>
  <si>
    <t>Adh.Mahibadhoo</t>
  </si>
  <si>
    <t>Table  12.3 :   MONTHLY CONSUMPTION OF FUEL FOR ELECTRICITY GENERATION IN SELECTED LOCALITIES BY PUBLIC SECTOR, 2019</t>
  </si>
  <si>
    <t>ތާވަލު 12.3: މާލެއާއި އަތޮޅުތަކުގައި ސަރުކާރުގެ ފަރާތުން ސަރުކާރުގެ ފަރާތުން އެކިމަސްމަހު ކަރަންޓް އުފެއްދުމަށްޓަކާ ތެޔޮބޭނުންކުރެވިފައިވާ މިންވަރު،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</si>
</sst>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Faruma"/>
    </font>
    <font>
      <b/>
      <sz val="10"/>
      <color theme="1"/>
      <name val="Calibri"/>
      <family val="2"/>
      <scheme val="minor"/>
    </font>
    <font>
      <b/>
      <sz val="10"/>
      <color theme="1"/>
      <name val="A_Faseyha"/>
    </font>
    <font>
      <b/>
      <sz val="11"/>
      <color theme="1"/>
      <name val="A_Faseyha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_Faseyha"/>
    </font>
    <font>
      <sz val="10"/>
      <name val="Garamond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.5"/>
      <name val="A_Faseyha"/>
    </font>
    <font>
      <b/>
      <sz val="10.5"/>
      <name val="Calibri"/>
      <family val="2"/>
      <scheme val="minor"/>
    </font>
    <font>
      <b/>
      <sz val="12"/>
      <color theme="1"/>
      <name val="Faruma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Faruma"/>
    </font>
    <font>
      <sz val="12"/>
      <name val="Arial"/>
      <family val="2"/>
    </font>
    <font>
      <sz val="9"/>
      <color theme="1"/>
      <name val="Calibri"/>
      <family val="2"/>
      <scheme val="minor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41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right" vertical="center"/>
    </xf>
    <xf numFmtId="0" fontId="0" fillId="2" borderId="0" xfId="0" applyFill="1" applyBorder="1"/>
    <xf numFmtId="165" fontId="3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3" fontId="11" fillId="2" borderId="0" xfId="0" applyNumberFormat="1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24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right" vertical="center"/>
    </xf>
    <xf numFmtId="3" fontId="11" fillId="2" borderId="0" xfId="0" applyNumberFormat="1" applyFont="1" applyFill="1" applyBorder="1"/>
    <xf numFmtId="0" fontId="12" fillId="2" borderId="0" xfId="0" applyFont="1" applyFill="1" applyBorder="1"/>
    <xf numFmtId="165" fontId="4" fillId="2" borderId="0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>
      <alignment horizontal="right" vertical="center"/>
    </xf>
    <xf numFmtId="0" fontId="22" fillId="2" borderId="0" xfId="0" applyFont="1" applyFill="1" applyBorder="1" applyAlignment="1">
      <alignment horizontal="right" vertical="center"/>
    </xf>
    <xf numFmtId="0" fontId="20" fillId="2" borderId="0" xfId="2" applyFont="1" applyFill="1" applyBorder="1" applyAlignment="1">
      <alignment vertical="center"/>
    </xf>
    <xf numFmtId="43" fontId="20" fillId="2" borderId="0" xfId="2" applyNumberFormat="1" applyFont="1" applyFill="1" applyBorder="1" applyAlignment="1">
      <alignment vertical="center"/>
    </xf>
    <xf numFmtId="0" fontId="17" fillId="2" borderId="0" xfId="0" applyFont="1" applyFill="1" applyBorder="1" applyAlignment="1">
      <alignment horizontal="center"/>
    </xf>
    <xf numFmtId="0" fontId="19" fillId="2" borderId="0" xfId="2" applyFont="1" applyFill="1" applyBorder="1" applyAlignment="1">
      <alignment horizontal="center" vertical="center"/>
    </xf>
    <xf numFmtId="0" fontId="15" fillId="2" borderId="0" xfId="2" applyFont="1" applyFill="1" applyBorder="1" applyAlignment="1" applyProtection="1">
      <alignment horizontal="center" vertical="center"/>
    </xf>
    <xf numFmtId="0" fontId="16" fillId="2" borderId="0" xfId="2" applyFont="1" applyFill="1" applyBorder="1" applyAlignment="1">
      <alignment vertical="center"/>
    </xf>
    <xf numFmtId="0" fontId="15" fillId="2" borderId="0" xfId="2" applyFont="1" applyFill="1" applyBorder="1" applyAlignment="1" applyProtection="1">
      <alignment horizontal="center" vertical="top"/>
    </xf>
    <xf numFmtId="0" fontId="21" fillId="2" borderId="0" xfId="2" applyFont="1" applyFill="1" applyBorder="1" applyAlignment="1">
      <alignment vertical="center"/>
    </xf>
    <xf numFmtId="0" fontId="6" fillId="2" borderId="0" xfId="2" applyFont="1" applyFill="1" applyBorder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165" fontId="6" fillId="2" borderId="0" xfId="0" applyNumberFormat="1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right" vertical="center"/>
    </xf>
    <xf numFmtId="1" fontId="20" fillId="2" borderId="0" xfId="2" applyNumberFormat="1" applyFont="1" applyFill="1" applyBorder="1" applyAlignment="1">
      <alignment vertical="center"/>
    </xf>
    <xf numFmtId="0" fontId="23" fillId="2" borderId="0" xfId="2" applyFont="1" applyFill="1" applyBorder="1" applyAlignment="1">
      <alignment vertical="center"/>
    </xf>
    <xf numFmtId="164" fontId="23" fillId="2" borderId="0" xfId="3" applyNumberFormat="1" applyFont="1" applyFill="1" applyBorder="1" applyAlignment="1">
      <alignment vertical="center"/>
    </xf>
    <xf numFmtId="164" fontId="20" fillId="2" borderId="0" xfId="3" applyNumberFormat="1" applyFont="1" applyFill="1" applyBorder="1" applyAlignment="1">
      <alignment vertical="center"/>
    </xf>
    <xf numFmtId="0" fontId="10" fillId="2" borderId="0" xfId="2" applyFont="1" applyFill="1" applyBorder="1" applyAlignment="1">
      <alignment vertical="center"/>
    </xf>
    <xf numFmtId="0" fontId="25" fillId="2" borderId="0" xfId="0" applyFont="1" applyFill="1" applyBorder="1"/>
    <xf numFmtId="0" fontId="6" fillId="2" borderId="2" xfId="2" applyFont="1" applyFill="1" applyBorder="1" applyAlignment="1" applyProtection="1">
      <alignment vertical="center"/>
    </xf>
    <xf numFmtId="164" fontId="6" fillId="2" borderId="2" xfId="1" applyNumberFormat="1" applyFont="1" applyFill="1" applyBorder="1" applyAlignment="1" applyProtection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22" fillId="2" borderId="1" xfId="0" applyFont="1" applyFill="1" applyBorder="1" applyAlignment="1">
      <alignment horizontal="right" vertical="center"/>
    </xf>
  </cellXfs>
  <cellStyles count="4">
    <cellStyle name="Comma 2" xfId="1"/>
    <cellStyle name="Comma 4" xf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F5EADF"/>
      <color rgb="FFDAB48E"/>
      <color rgb="FF996633"/>
      <color rgb="FF663300"/>
      <color rgb="FF964B00"/>
      <color rgb="FFF0E0D0"/>
      <color rgb="FFFFF2E5"/>
      <color rgb="FF976431"/>
      <color rgb="FFFFBE7D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\Desktop\yearbook%202020%20=update\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  <cell r="C4">
            <v>2010</v>
          </cell>
          <cell r="D4">
            <v>2011</v>
          </cell>
          <cell r="E4">
            <v>2012</v>
          </cell>
          <cell r="F4">
            <v>2013</v>
          </cell>
          <cell r="G4">
            <v>2014</v>
          </cell>
          <cell r="H4">
            <v>2015</v>
          </cell>
          <cell r="I4">
            <v>2016</v>
          </cell>
          <cell r="J4">
            <v>2017</v>
          </cell>
          <cell r="K4">
            <v>2018</v>
          </cell>
        </row>
        <row r="5">
          <cell r="B5">
            <v>187110.266</v>
          </cell>
          <cell r="C5">
            <v>195722.55800000002</v>
          </cell>
          <cell r="D5">
            <v>211889.32699999999</v>
          </cell>
          <cell r="E5">
            <v>219663.37332000001</v>
          </cell>
          <cell r="F5">
            <v>232023.39200000002</v>
          </cell>
          <cell r="G5">
            <v>239067</v>
          </cell>
          <cell r="H5">
            <v>260445.08562</v>
          </cell>
          <cell r="I5">
            <v>271814.04891000001</v>
          </cell>
          <cell r="J5">
            <v>304527.45199199999</v>
          </cell>
          <cell r="K5">
            <v>318850.96300000005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4">
          <cell r="E4" t="str">
            <v>% Share of Quantity</v>
          </cell>
        </row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tabSelected="1" zoomScaleNormal="100" workbookViewId="0">
      <selection activeCell="C6" sqref="C6"/>
    </sheetView>
  </sheetViews>
  <sheetFormatPr defaultColWidth="11.140625" defaultRowHeight="15" x14ac:dyDescent="0.25"/>
  <cols>
    <col min="1" max="1" width="16.7109375" style="15" customWidth="1"/>
    <col min="2" max="2" width="11.140625" style="15" customWidth="1"/>
    <col min="3" max="14" width="11.28515625" style="15" customWidth="1"/>
    <col min="15" max="15" width="13.85546875" style="15" customWidth="1"/>
    <col min="16" max="16" width="1.85546875" style="15" customWidth="1"/>
    <col min="17" max="16384" width="11.140625" style="15"/>
  </cols>
  <sheetData>
    <row r="1" spans="1:17" ht="21.75" x14ac:dyDescent="0.25">
      <c r="A1" s="18" t="s">
        <v>92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7" s="20" customFormat="1" x14ac:dyDescent="0.25">
      <c r="A2" s="19" t="s">
        <v>91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7" s="3" customFormat="1" ht="17.25" x14ac:dyDescent="0.4">
      <c r="A3" s="17" t="s">
        <v>89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7" s="22" customFormat="1" ht="6.75" customHeight="1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5" spans="1:17" s="23" customFormat="1" ht="15.75" x14ac:dyDescent="0.25">
      <c r="A5" s="36" t="s">
        <v>4</v>
      </c>
      <c r="B5" s="37" t="s">
        <v>5</v>
      </c>
      <c r="C5" s="37" t="s">
        <v>6</v>
      </c>
      <c r="D5" s="37" t="s">
        <v>7</v>
      </c>
      <c r="E5" s="37" t="s">
        <v>8</v>
      </c>
      <c r="F5" s="37" t="s">
        <v>9</v>
      </c>
      <c r="G5" s="37" t="s">
        <v>10</v>
      </c>
      <c r="H5" s="37" t="s">
        <v>11</v>
      </c>
      <c r="I5" s="37" t="s">
        <v>12</v>
      </c>
      <c r="J5" s="37" t="s">
        <v>13</v>
      </c>
      <c r="K5" s="37" t="s">
        <v>14</v>
      </c>
      <c r="L5" s="37" t="s">
        <v>15</v>
      </c>
      <c r="M5" s="37" t="s">
        <v>16</v>
      </c>
      <c r="N5" s="37" t="s">
        <v>17</v>
      </c>
      <c r="O5" s="2" t="s">
        <v>1</v>
      </c>
    </row>
    <row r="6" spans="1:17" ht="18" x14ac:dyDescent="0.25">
      <c r="A6" s="1" t="s">
        <v>5</v>
      </c>
      <c r="B6" s="4">
        <f>SUM(C6:N6)</f>
        <v>140544.21126000001</v>
      </c>
      <c r="C6" s="4">
        <f>SUM(C7:C10)</f>
        <v>11090.9429</v>
      </c>
      <c r="D6" s="4">
        <f t="shared" ref="D6:N6" si="0">SUM(D7:D10)</f>
        <v>10542.40058</v>
      </c>
      <c r="E6" s="4">
        <f t="shared" si="0"/>
        <v>12454.957700000001</v>
      </c>
      <c r="F6" s="4">
        <f t="shared" si="0"/>
        <v>12770.674639999999</v>
      </c>
      <c r="G6" s="4">
        <f t="shared" si="0"/>
        <v>13030.214979999999</v>
      </c>
      <c r="H6" s="4">
        <f t="shared" si="0"/>
        <v>11964.95313</v>
      </c>
      <c r="I6" s="4">
        <f t="shared" si="0"/>
        <v>12522.780840000001</v>
      </c>
      <c r="J6" s="4">
        <f t="shared" si="0"/>
        <v>12059.542850000002</v>
      </c>
      <c r="K6" s="4">
        <f t="shared" si="0"/>
        <v>11533.01411</v>
      </c>
      <c r="L6" s="4">
        <f t="shared" si="0"/>
        <v>10836.417530000001</v>
      </c>
      <c r="M6" s="4">
        <f t="shared" si="0"/>
        <v>10829.482</v>
      </c>
      <c r="N6" s="4">
        <f t="shared" si="0"/>
        <v>10908.83</v>
      </c>
      <c r="O6" s="24" t="s">
        <v>0</v>
      </c>
    </row>
    <row r="7" spans="1:17" ht="21" x14ac:dyDescent="0.25">
      <c r="A7" s="25" t="s">
        <v>18</v>
      </c>
      <c r="B7" s="4">
        <f>SUM(C7:N7)</f>
        <v>97553.391999999993</v>
      </c>
      <c r="C7" s="12">
        <v>7487.7039999999997</v>
      </c>
      <c r="D7" s="12">
        <v>7256.951</v>
      </c>
      <c r="E7" s="12">
        <v>8686.5370000000003</v>
      </c>
      <c r="F7" s="12">
        <v>8991.7150000000001</v>
      </c>
      <c r="G7" s="12">
        <v>9068.8639999999996</v>
      </c>
      <c r="H7" s="12">
        <v>8315.7690000000002</v>
      </c>
      <c r="I7" s="12">
        <v>8762.1389999999992</v>
      </c>
      <c r="J7" s="12">
        <v>8313.26</v>
      </c>
      <c r="K7" s="12">
        <v>8043.549</v>
      </c>
      <c r="L7" s="12">
        <v>7603.1090000000004</v>
      </c>
      <c r="M7" s="12">
        <v>7604.4889999999996</v>
      </c>
      <c r="N7" s="12">
        <v>7419.3059999999996</v>
      </c>
      <c r="O7" s="14" t="s">
        <v>19</v>
      </c>
      <c r="Q7" s="16"/>
    </row>
    <row r="8" spans="1:17" ht="21" x14ac:dyDescent="0.25">
      <c r="A8" s="26" t="s">
        <v>20</v>
      </c>
      <c r="B8" s="27">
        <f>SUM(C8:N8)</f>
        <v>3919.1716999999999</v>
      </c>
      <c r="C8" s="12">
        <v>289.10399999999998</v>
      </c>
      <c r="D8" s="12">
        <v>281.02699999999999</v>
      </c>
      <c r="E8" s="12">
        <v>340.31170000000003</v>
      </c>
      <c r="F8" s="12">
        <v>348.71899999999999</v>
      </c>
      <c r="G8" s="12">
        <v>372.68599999999998</v>
      </c>
      <c r="H8" s="12">
        <v>334.88900000000001</v>
      </c>
      <c r="I8" s="12">
        <v>348.05799999999999</v>
      </c>
      <c r="J8" s="12">
        <v>335.38499999999999</v>
      </c>
      <c r="K8" s="12">
        <v>318.68299999999999</v>
      </c>
      <c r="L8" s="12">
        <v>287.63499999999999</v>
      </c>
      <c r="M8" s="12">
        <v>340.536</v>
      </c>
      <c r="N8" s="12">
        <v>322.13799999999998</v>
      </c>
      <c r="O8" s="14" t="s">
        <v>21</v>
      </c>
    </row>
    <row r="9" spans="1:17" ht="21" x14ac:dyDescent="0.25">
      <c r="A9" s="25" t="s">
        <v>22</v>
      </c>
      <c r="B9" s="4">
        <f>SUM(C9:N9)</f>
        <v>19847.651559999998</v>
      </c>
      <c r="C9" s="12">
        <v>1846.4398999999999</v>
      </c>
      <c r="D9" s="12">
        <v>1564.2725800000001</v>
      </c>
      <c r="E9" s="12">
        <v>1685.45</v>
      </c>
      <c r="F9" s="12">
        <v>1660.58664</v>
      </c>
      <c r="G9" s="12">
        <v>1827.31998</v>
      </c>
      <c r="H9" s="12">
        <v>1703.81413</v>
      </c>
      <c r="I9" s="12">
        <v>1749.8958400000001</v>
      </c>
      <c r="J9" s="12">
        <v>1703.0988500000001</v>
      </c>
      <c r="K9" s="12">
        <v>1623.7421100000001</v>
      </c>
      <c r="L9" s="12">
        <v>1498.04853</v>
      </c>
      <c r="M9" s="12">
        <v>1361.902</v>
      </c>
      <c r="N9" s="12">
        <v>1623.0809999999999</v>
      </c>
      <c r="O9" s="14" t="s">
        <v>23</v>
      </c>
    </row>
    <row r="10" spans="1:17" s="29" customFormat="1" ht="21" x14ac:dyDescent="0.25">
      <c r="A10" s="1" t="s">
        <v>24</v>
      </c>
      <c r="B10" s="4">
        <f>SUM(B11:B42)</f>
        <v>19223.996000000003</v>
      </c>
      <c r="C10" s="4">
        <f>SUM(C11:C42)</f>
        <v>1467.6949999999997</v>
      </c>
      <c r="D10" s="4">
        <f t="shared" ref="D10:N10" si="1">SUM(D11:D42)</f>
        <v>1440.15</v>
      </c>
      <c r="E10" s="4">
        <f t="shared" si="1"/>
        <v>1742.6590000000001</v>
      </c>
      <c r="F10" s="4">
        <f t="shared" si="1"/>
        <v>1769.6540000000002</v>
      </c>
      <c r="G10" s="4">
        <f t="shared" si="1"/>
        <v>1761.345</v>
      </c>
      <c r="H10" s="4">
        <f t="shared" si="1"/>
        <v>1610.4809999999998</v>
      </c>
      <c r="I10" s="4">
        <f t="shared" si="1"/>
        <v>1662.6880000000001</v>
      </c>
      <c r="J10" s="4">
        <f t="shared" si="1"/>
        <v>1707.799</v>
      </c>
      <c r="K10" s="4">
        <f t="shared" si="1"/>
        <v>1547.0400000000004</v>
      </c>
      <c r="L10" s="4">
        <f t="shared" si="1"/>
        <v>1447.6249999999995</v>
      </c>
      <c r="M10" s="4">
        <f t="shared" si="1"/>
        <v>1522.5550000000001</v>
      </c>
      <c r="N10" s="4">
        <f t="shared" si="1"/>
        <v>1544.3049999999998</v>
      </c>
      <c r="O10" s="28" t="s">
        <v>25</v>
      </c>
    </row>
    <row r="11" spans="1:17" ht="21" x14ac:dyDescent="0.25">
      <c r="A11" s="25" t="s">
        <v>26</v>
      </c>
      <c r="B11" s="4">
        <f t="shared" ref="B11:B42" si="2">SUM(C11:N11)</f>
        <v>824.79300000000012</v>
      </c>
      <c r="C11" s="12">
        <v>61.064</v>
      </c>
      <c r="D11" s="12">
        <v>59.622999999999998</v>
      </c>
      <c r="E11" s="12">
        <v>70.591999999999999</v>
      </c>
      <c r="F11" s="12">
        <v>76.042000000000002</v>
      </c>
      <c r="G11" s="12">
        <v>80.472999999999999</v>
      </c>
      <c r="H11" s="12">
        <v>72.656999999999996</v>
      </c>
      <c r="I11" s="12">
        <v>71.992999999999995</v>
      </c>
      <c r="J11" s="12">
        <v>70.944000000000003</v>
      </c>
      <c r="K11" s="12">
        <v>66.778000000000006</v>
      </c>
      <c r="L11" s="12">
        <v>65.585999999999999</v>
      </c>
      <c r="M11" s="12">
        <v>66.623000000000005</v>
      </c>
      <c r="N11" s="12">
        <v>62.417999999999999</v>
      </c>
      <c r="O11" s="14" t="s">
        <v>27</v>
      </c>
    </row>
    <row r="12" spans="1:17" ht="21" x14ac:dyDescent="0.25">
      <c r="A12" s="25" t="s">
        <v>28</v>
      </c>
      <c r="B12" s="4">
        <f t="shared" si="2"/>
        <v>531.08000000000004</v>
      </c>
      <c r="C12" s="12">
        <v>39.292999999999999</v>
      </c>
      <c r="D12" s="12">
        <v>37.085000000000001</v>
      </c>
      <c r="E12" s="12">
        <v>45.715000000000003</v>
      </c>
      <c r="F12" s="12">
        <v>48.265000000000001</v>
      </c>
      <c r="G12" s="12">
        <v>51.365000000000002</v>
      </c>
      <c r="H12" s="12">
        <v>47.01</v>
      </c>
      <c r="I12" s="12">
        <v>47.027999999999999</v>
      </c>
      <c r="J12" s="12">
        <v>47.426000000000002</v>
      </c>
      <c r="K12" s="12">
        <v>43.860999999999997</v>
      </c>
      <c r="L12" s="12">
        <v>40.268999999999998</v>
      </c>
      <c r="M12" s="12">
        <v>42.363</v>
      </c>
      <c r="N12" s="12">
        <v>41.4</v>
      </c>
      <c r="O12" s="14" t="s">
        <v>29</v>
      </c>
    </row>
    <row r="13" spans="1:17" ht="21" x14ac:dyDescent="0.25">
      <c r="A13" s="25" t="s">
        <v>30</v>
      </c>
      <c r="B13" s="4">
        <f t="shared" si="2"/>
        <v>633.68200000000002</v>
      </c>
      <c r="C13" s="12">
        <v>47.917999999999999</v>
      </c>
      <c r="D13" s="12">
        <v>47.372</v>
      </c>
      <c r="E13" s="12">
        <v>59.264000000000003</v>
      </c>
      <c r="F13" s="12">
        <v>57.8</v>
      </c>
      <c r="G13" s="12">
        <v>56.948999999999998</v>
      </c>
      <c r="H13" s="12">
        <v>52.435000000000002</v>
      </c>
      <c r="I13" s="12">
        <v>53.81</v>
      </c>
      <c r="J13" s="12">
        <v>57.588000000000001</v>
      </c>
      <c r="K13" s="12">
        <v>49.5</v>
      </c>
      <c r="L13" s="12">
        <v>47.390999999999998</v>
      </c>
      <c r="M13" s="12">
        <v>50.116999999999997</v>
      </c>
      <c r="N13" s="12">
        <v>53.537999999999997</v>
      </c>
      <c r="O13" s="14" t="s">
        <v>31</v>
      </c>
    </row>
    <row r="14" spans="1:17" ht="21" x14ac:dyDescent="0.25">
      <c r="A14" s="25" t="s">
        <v>32</v>
      </c>
      <c r="B14" s="4">
        <f t="shared" si="2"/>
        <v>1075.749</v>
      </c>
      <c r="C14" s="12">
        <v>79.721000000000004</v>
      </c>
      <c r="D14" s="12">
        <v>79.849999999999994</v>
      </c>
      <c r="E14" s="12">
        <v>99.498999999999995</v>
      </c>
      <c r="F14" s="12">
        <v>100.51</v>
      </c>
      <c r="G14" s="12">
        <v>98.915000000000006</v>
      </c>
      <c r="H14" s="12">
        <v>97.733000000000004</v>
      </c>
      <c r="I14" s="12">
        <v>91.763999999999996</v>
      </c>
      <c r="J14" s="12">
        <v>99.36</v>
      </c>
      <c r="K14" s="12">
        <v>86.590999999999994</v>
      </c>
      <c r="L14" s="12">
        <v>78.563000000000002</v>
      </c>
      <c r="M14" s="12">
        <v>81.260000000000005</v>
      </c>
      <c r="N14" s="12">
        <v>81.983000000000004</v>
      </c>
      <c r="O14" s="14" t="s">
        <v>33</v>
      </c>
      <c r="Q14" s="30"/>
    </row>
    <row r="15" spans="1:17" ht="21" x14ac:dyDescent="0.25">
      <c r="A15" s="25" t="s">
        <v>34</v>
      </c>
      <c r="B15" s="4">
        <f t="shared" si="2"/>
        <v>1022.689</v>
      </c>
      <c r="C15" s="12">
        <v>81.426000000000002</v>
      </c>
      <c r="D15" s="12">
        <v>77.206999999999994</v>
      </c>
      <c r="E15" s="12">
        <v>94.111999999999995</v>
      </c>
      <c r="F15" s="12">
        <v>95.932000000000002</v>
      </c>
      <c r="G15" s="12">
        <v>96.28</v>
      </c>
      <c r="H15" s="12">
        <v>90.01</v>
      </c>
      <c r="I15" s="12">
        <v>89.664000000000001</v>
      </c>
      <c r="J15" s="12">
        <v>85.332999999999998</v>
      </c>
      <c r="K15" s="12">
        <v>79.715999999999994</v>
      </c>
      <c r="L15" s="12">
        <v>77.284999999999997</v>
      </c>
      <c r="M15" s="12">
        <v>78.715999999999994</v>
      </c>
      <c r="N15" s="12">
        <v>77.007999999999996</v>
      </c>
      <c r="O15" s="14" t="s">
        <v>35</v>
      </c>
    </row>
    <row r="16" spans="1:17" ht="21" x14ac:dyDescent="0.25">
      <c r="A16" s="25" t="s">
        <v>36</v>
      </c>
      <c r="B16" s="4">
        <f t="shared" si="2"/>
        <v>1926.0850000000003</v>
      </c>
      <c r="C16" s="12">
        <v>139.01499999999999</v>
      </c>
      <c r="D16" s="12">
        <v>142.51400000000001</v>
      </c>
      <c r="E16" s="12">
        <v>178.18100000000001</v>
      </c>
      <c r="F16" s="12">
        <v>177.983</v>
      </c>
      <c r="G16" s="12">
        <v>173.98500000000001</v>
      </c>
      <c r="H16" s="12">
        <v>170.12799999999999</v>
      </c>
      <c r="I16" s="12">
        <v>173.31899999999999</v>
      </c>
      <c r="J16" s="12">
        <v>169.04400000000001</v>
      </c>
      <c r="K16" s="12">
        <v>161.154</v>
      </c>
      <c r="L16" s="12">
        <v>146.69800000000001</v>
      </c>
      <c r="M16" s="12">
        <v>145.572</v>
      </c>
      <c r="N16" s="12">
        <v>148.49199999999999</v>
      </c>
      <c r="O16" s="14" t="s">
        <v>37</v>
      </c>
    </row>
    <row r="17" spans="1:16" ht="21" x14ac:dyDescent="0.25">
      <c r="A17" s="25" t="s">
        <v>38</v>
      </c>
      <c r="B17" s="4">
        <f t="shared" si="2"/>
        <v>146.18299999999996</v>
      </c>
      <c r="C17" s="12">
        <v>11.073</v>
      </c>
      <c r="D17" s="12">
        <v>9.718</v>
      </c>
      <c r="E17" s="12">
        <v>11.861000000000001</v>
      </c>
      <c r="F17" s="12">
        <v>13.288</v>
      </c>
      <c r="G17" s="12">
        <v>11.422000000000001</v>
      </c>
      <c r="H17" s="12">
        <v>10.914999999999999</v>
      </c>
      <c r="I17" s="12">
        <v>11.348000000000001</v>
      </c>
      <c r="J17" s="12">
        <v>12.252000000000001</v>
      </c>
      <c r="K17" s="12">
        <v>12.542999999999999</v>
      </c>
      <c r="L17" s="12">
        <v>13.231999999999999</v>
      </c>
      <c r="M17" s="12">
        <v>13.747999999999999</v>
      </c>
      <c r="N17" s="12">
        <v>14.782999999999999</v>
      </c>
      <c r="O17" s="14" t="s">
        <v>39</v>
      </c>
    </row>
    <row r="18" spans="1:16" ht="21" x14ac:dyDescent="0.25">
      <c r="A18" s="25" t="s">
        <v>40</v>
      </c>
      <c r="B18" s="4">
        <f t="shared" si="2"/>
        <v>433.77399999999994</v>
      </c>
      <c r="C18" s="12">
        <v>31.791</v>
      </c>
      <c r="D18" s="12">
        <v>31.561</v>
      </c>
      <c r="E18" s="12">
        <v>40.728000000000002</v>
      </c>
      <c r="F18" s="12">
        <v>40.552</v>
      </c>
      <c r="G18" s="12">
        <v>41.076000000000001</v>
      </c>
      <c r="H18" s="12">
        <v>35.667999999999999</v>
      </c>
      <c r="I18" s="12">
        <v>38.616999999999997</v>
      </c>
      <c r="J18" s="12">
        <v>39.243000000000002</v>
      </c>
      <c r="K18" s="12">
        <v>34.857999999999997</v>
      </c>
      <c r="L18" s="12">
        <v>31.803999999999998</v>
      </c>
      <c r="M18" s="12">
        <v>34.426000000000002</v>
      </c>
      <c r="N18" s="12">
        <v>33.450000000000003</v>
      </c>
      <c r="O18" s="14" t="s">
        <v>41</v>
      </c>
    </row>
    <row r="19" spans="1:16" ht="21" x14ac:dyDescent="0.25">
      <c r="A19" s="25" t="s">
        <v>42</v>
      </c>
      <c r="B19" s="4">
        <f t="shared" si="2"/>
        <v>2819.3469999999998</v>
      </c>
      <c r="C19" s="12">
        <v>222.214</v>
      </c>
      <c r="D19" s="12">
        <v>211.786</v>
      </c>
      <c r="E19" s="12">
        <v>255.714</v>
      </c>
      <c r="F19" s="12">
        <v>264.279</v>
      </c>
      <c r="G19" s="12">
        <v>255.62899999999999</v>
      </c>
      <c r="H19" s="12">
        <v>231.785</v>
      </c>
      <c r="I19" s="12">
        <v>238.30600000000001</v>
      </c>
      <c r="J19" s="12">
        <v>242.75</v>
      </c>
      <c r="K19" s="12">
        <v>223.90299999999999</v>
      </c>
      <c r="L19" s="12">
        <v>212.81200000000001</v>
      </c>
      <c r="M19" s="12">
        <v>228.28899999999999</v>
      </c>
      <c r="N19" s="12">
        <v>231.88</v>
      </c>
      <c r="O19" s="14" t="s">
        <v>43</v>
      </c>
    </row>
    <row r="20" spans="1:16" ht="21" x14ac:dyDescent="0.25">
      <c r="A20" s="25" t="s">
        <v>44</v>
      </c>
      <c r="B20" s="4">
        <f t="shared" si="2"/>
        <v>983.16399999999999</v>
      </c>
      <c r="C20" s="12">
        <v>77.072999999999993</v>
      </c>
      <c r="D20" s="12">
        <v>73.084000000000003</v>
      </c>
      <c r="E20" s="12">
        <v>87.995000000000005</v>
      </c>
      <c r="F20" s="12">
        <v>89.162999999999997</v>
      </c>
      <c r="G20" s="12">
        <v>91.616</v>
      </c>
      <c r="H20" s="12">
        <v>83.817999999999998</v>
      </c>
      <c r="I20" s="12">
        <v>86.21</v>
      </c>
      <c r="J20" s="12">
        <v>85.334999999999994</v>
      </c>
      <c r="K20" s="12">
        <v>78.41</v>
      </c>
      <c r="L20" s="12">
        <v>74.474999999999994</v>
      </c>
      <c r="M20" s="12">
        <v>76.623000000000005</v>
      </c>
      <c r="N20" s="12">
        <v>79.361999999999995</v>
      </c>
      <c r="O20" s="14" t="s">
        <v>45</v>
      </c>
    </row>
    <row r="21" spans="1:16" ht="21" x14ac:dyDescent="0.25">
      <c r="A21" s="25" t="s">
        <v>46</v>
      </c>
      <c r="B21" s="4">
        <f t="shared" si="2"/>
        <v>683.59300000000007</v>
      </c>
      <c r="C21" s="12">
        <v>52.627000000000002</v>
      </c>
      <c r="D21" s="12">
        <v>54.082999999999998</v>
      </c>
      <c r="E21" s="12">
        <v>61.93</v>
      </c>
      <c r="F21" s="12">
        <v>62.143000000000001</v>
      </c>
      <c r="G21" s="12">
        <v>56.140999999999998</v>
      </c>
      <c r="H21" s="12">
        <v>51.783000000000001</v>
      </c>
      <c r="I21" s="12">
        <v>56.759</v>
      </c>
      <c r="J21" s="12">
        <v>65.296000000000006</v>
      </c>
      <c r="K21" s="12">
        <v>52.774999999999999</v>
      </c>
      <c r="L21" s="12">
        <v>52.457000000000001</v>
      </c>
      <c r="M21" s="12">
        <v>58.798000000000002</v>
      </c>
      <c r="N21" s="12">
        <v>58.801000000000002</v>
      </c>
      <c r="O21" s="14" t="s">
        <v>47</v>
      </c>
    </row>
    <row r="22" spans="1:16" ht="21" x14ac:dyDescent="0.25">
      <c r="A22" s="25" t="s">
        <v>48</v>
      </c>
      <c r="B22" s="4">
        <f t="shared" si="2"/>
        <v>397.79899999999998</v>
      </c>
      <c r="C22" s="12">
        <v>29.513000000000002</v>
      </c>
      <c r="D22" s="12">
        <v>28.829000000000001</v>
      </c>
      <c r="E22" s="12">
        <v>35.317999999999998</v>
      </c>
      <c r="F22" s="12">
        <v>36.039000000000001</v>
      </c>
      <c r="G22" s="12">
        <v>38.963000000000001</v>
      </c>
      <c r="H22" s="12">
        <v>35.351999999999997</v>
      </c>
      <c r="I22" s="12">
        <v>36.009</v>
      </c>
      <c r="J22" s="12">
        <v>38.909999999999997</v>
      </c>
      <c r="K22" s="12">
        <v>26.719000000000001</v>
      </c>
      <c r="L22" s="12">
        <v>25.620999999999999</v>
      </c>
      <c r="M22" s="12">
        <v>35.161000000000001</v>
      </c>
      <c r="N22" s="12">
        <v>31.364999999999998</v>
      </c>
      <c r="O22" s="14" t="s">
        <v>49</v>
      </c>
    </row>
    <row r="23" spans="1:16" ht="21" x14ac:dyDescent="0.25">
      <c r="A23" s="25" t="s">
        <v>50</v>
      </c>
      <c r="B23" s="4">
        <f t="shared" si="2"/>
        <v>272.83499999999998</v>
      </c>
      <c r="C23" s="12">
        <v>12.478999999999999</v>
      </c>
      <c r="D23" s="12">
        <v>20.704000000000001</v>
      </c>
      <c r="E23" s="12">
        <v>25.283999999999999</v>
      </c>
      <c r="F23" s="12">
        <v>25.573</v>
      </c>
      <c r="G23" s="12">
        <v>25.786999999999999</v>
      </c>
      <c r="H23" s="12">
        <v>24.184000000000001</v>
      </c>
      <c r="I23" s="12">
        <v>24.547999999999998</v>
      </c>
      <c r="J23" s="12">
        <v>25.67</v>
      </c>
      <c r="K23" s="12">
        <v>22.773</v>
      </c>
      <c r="L23" s="12">
        <v>21.626999999999999</v>
      </c>
      <c r="M23" s="12">
        <v>22.117000000000001</v>
      </c>
      <c r="N23" s="12">
        <v>22.088999999999999</v>
      </c>
      <c r="O23" s="14" t="s">
        <v>51</v>
      </c>
    </row>
    <row r="24" spans="1:16" ht="21" x14ac:dyDescent="0.25">
      <c r="A24" s="25" t="s">
        <v>52</v>
      </c>
      <c r="B24" s="4">
        <f t="shared" si="2"/>
        <v>257.416</v>
      </c>
      <c r="C24" s="12">
        <v>20.116</v>
      </c>
      <c r="D24" s="12">
        <v>18.516999999999999</v>
      </c>
      <c r="E24" s="12">
        <v>22.731999999999999</v>
      </c>
      <c r="F24" s="12">
        <v>22.933</v>
      </c>
      <c r="G24" s="12">
        <v>23.417999999999999</v>
      </c>
      <c r="H24" s="12">
        <v>21.298999999999999</v>
      </c>
      <c r="I24" s="12">
        <v>22.102</v>
      </c>
      <c r="J24" s="12">
        <v>22.986000000000001</v>
      </c>
      <c r="K24" s="12">
        <v>20.866</v>
      </c>
      <c r="L24" s="12">
        <v>19.343</v>
      </c>
      <c r="M24" s="12">
        <v>20.486000000000001</v>
      </c>
      <c r="N24" s="12">
        <v>22.617999999999999</v>
      </c>
      <c r="O24" s="14" t="s">
        <v>53</v>
      </c>
    </row>
    <row r="25" spans="1:16" ht="21" x14ac:dyDescent="0.25">
      <c r="A25" s="25" t="s">
        <v>54</v>
      </c>
      <c r="B25" s="4">
        <f t="shared" si="2"/>
        <v>201.39300000000003</v>
      </c>
      <c r="C25" s="12">
        <v>16.998000000000001</v>
      </c>
      <c r="D25" s="12">
        <v>13.706</v>
      </c>
      <c r="E25" s="12">
        <v>16.690000000000001</v>
      </c>
      <c r="F25" s="12">
        <v>17.649999999999999</v>
      </c>
      <c r="G25" s="12">
        <v>19.545000000000002</v>
      </c>
      <c r="H25" s="12">
        <v>17.625</v>
      </c>
      <c r="I25" s="12">
        <v>17.512</v>
      </c>
      <c r="J25" s="12">
        <v>17.274000000000001</v>
      </c>
      <c r="K25" s="12">
        <v>16.567</v>
      </c>
      <c r="L25" s="12">
        <v>14.369</v>
      </c>
      <c r="M25" s="12">
        <v>17.263999999999999</v>
      </c>
      <c r="N25" s="12">
        <v>16.193000000000001</v>
      </c>
      <c r="O25" s="14" t="s">
        <v>55</v>
      </c>
    </row>
    <row r="26" spans="1:16" s="31" customFormat="1" ht="21" x14ac:dyDescent="0.25">
      <c r="A26" s="26" t="s">
        <v>56</v>
      </c>
      <c r="B26" s="4">
        <f t="shared" si="2"/>
        <v>360.11399999999998</v>
      </c>
      <c r="C26" s="12">
        <v>27.004999999999999</v>
      </c>
      <c r="D26" s="12">
        <v>24.756</v>
      </c>
      <c r="E26" s="12">
        <v>32.283000000000001</v>
      </c>
      <c r="F26" s="12">
        <v>33.119999999999997</v>
      </c>
      <c r="G26" s="12">
        <v>35.540999999999997</v>
      </c>
      <c r="H26" s="12">
        <v>29.788</v>
      </c>
      <c r="I26" s="12">
        <v>30.974</v>
      </c>
      <c r="J26" s="12">
        <v>31.234000000000002</v>
      </c>
      <c r="K26" s="12">
        <v>30.163</v>
      </c>
      <c r="L26" s="12">
        <v>28.771999999999998</v>
      </c>
      <c r="M26" s="12">
        <v>28.88</v>
      </c>
      <c r="N26" s="12">
        <v>27.597999999999999</v>
      </c>
      <c r="O26" s="14" t="s">
        <v>57</v>
      </c>
    </row>
    <row r="27" spans="1:16" s="31" customFormat="1" ht="21" x14ac:dyDescent="0.25">
      <c r="A27" s="26" t="s">
        <v>58</v>
      </c>
      <c r="B27" s="4">
        <f t="shared" si="2"/>
        <v>895.61699999999996</v>
      </c>
      <c r="C27" s="12">
        <v>74.558999999999997</v>
      </c>
      <c r="D27" s="12">
        <v>70.481999999999999</v>
      </c>
      <c r="E27" s="12">
        <v>84.69</v>
      </c>
      <c r="F27" s="12">
        <v>83.176000000000002</v>
      </c>
      <c r="G27" s="12">
        <v>80.212000000000003</v>
      </c>
      <c r="H27" s="12">
        <v>73.8</v>
      </c>
      <c r="I27" s="12">
        <v>78.105999999999995</v>
      </c>
      <c r="J27" s="12">
        <v>79.353999999999999</v>
      </c>
      <c r="K27" s="12">
        <v>71.587999999999994</v>
      </c>
      <c r="L27" s="12">
        <v>64.394999999999996</v>
      </c>
      <c r="M27" s="12">
        <v>67.59</v>
      </c>
      <c r="N27" s="12">
        <v>67.665000000000006</v>
      </c>
      <c r="O27" s="14" t="s">
        <v>59</v>
      </c>
    </row>
    <row r="28" spans="1:16" s="31" customFormat="1" ht="21" x14ac:dyDescent="0.25">
      <c r="A28" s="26" t="s">
        <v>60</v>
      </c>
      <c r="B28" s="4">
        <f t="shared" si="2"/>
        <v>828.97199999999998</v>
      </c>
      <c r="C28" s="12">
        <v>67.221999999999994</v>
      </c>
      <c r="D28" s="12">
        <v>65.686999999999998</v>
      </c>
      <c r="E28" s="12">
        <v>77.971000000000004</v>
      </c>
      <c r="F28" s="12">
        <v>76.16</v>
      </c>
      <c r="G28" s="12">
        <v>72.376000000000005</v>
      </c>
      <c r="H28" s="12">
        <v>67.299000000000007</v>
      </c>
      <c r="I28" s="12">
        <v>69.108999999999995</v>
      </c>
      <c r="J28" s="12">
        <v>71.168999999999997</v>
      </c>
      <c r="K28" s="12">
        <v>65.113</v>
      </c>
      <c r="L28" s="12">
        <v>60.414000000000001</v>
      </c>
      <c r="M28" s="12">
        <v>67.05</v>
      </c>
      <c r="N28" s="12">
        <v>69.402000000000001</v>
      </c>
      <c r="O28" s="14" t="s">
        <v>61</v>
      </c>
    </row>
    <row r="29" spans="1:16" s="31" customFormat="1" ht="21" x14ac:dyDescent="0.25">
      <c r="A29" s="26" t="s">
        <v>62</v>
      </c>
      <c r="B29" s="4">
        <f t="shared" si="2"/>
        <v>306.995</v>
      </c>
      <c r="C29" s="12">
        <v>24.782</v>
      </c>
      <c r="D29" s="12">
        <v>22.803000000000001</v>
      </c>
      <c r="E29" s="12">
        <v>24.469000000000001</v>
      </c>
      <c r="F29" s="12">
        <v>24.143000000000001</v>
      </c>
      <c r="G29" s="12">
        <v>25.727</v>
      </c>
      <c r="H29" s="12">
        <v>23.614000000000001</v>
      </c>
      <c r="I29" s="12">
        <v>28.065000000000001</v>
      </c>
      <c r="J29" s="12">
        <v>29.561</v>
      </c>
      <c r="K29" s="12">
        <v>26.428000000000001</v>
      </c>
      <c r="L29" s="12">
        <v>26.399000000000001</v>
      </c>
      <c r="M29" s="12">
        <v>25.280999999999999</v>
      </c>
      <c r="N29" s="12">
        <v>25.722999999999999</v>
      </c>
      <c r="O29" s="14" t="s">
        <v>63</v>
      </c>
    </row>
    <row r="30" spans="1:16" s="31" customFormat="1" ht="21" x14ac:dyDescent="0.25">
      <c r="A30" s="26" t="s">
        <v>64</v>
      </c>
      <c r="B30" s="4">
        <f t="shared" si="2"/>
        <v>203.078</v>
      </c>
      <c r="C30" s="12">
        <v>14.727</v>
      </c>
      <c r="D30" s="12">
        <v>14.657999999999999</v>
      </c>
      <c r="E30" s="12">
        <v>17.384</v>
      </c>
      <c r="F30" s="12">
        <v>17.611000000000001</v>
      </c>
      <c r="G30" s="12">
        <v>19.056000000000001</v>
      </c>
      <c r="H30" s="12">
        <v>17.651</v>
      </c>
      <c r="I30" s="12">
        <v>18.324000000000002</v>
      </c>
      <c r="J30" s="12">
        <v>18.600999999999999</v>
      </c>
      <c r="K30" s="12">
        <v>17.433</v>
      </c>
      <c r="L30" s="12">
        <v>16.125</v>
      </c>
      <c r="M30" s="12">
        <v>15.691000000000001</v>
      </c>
      <c r="N30" s="12">
        <v>15.817</v>
      </c>
      <c r="O30" s="14" t="s">
        <v>65</v>
      </c>
      <c r="P30" s="32"/>
    </row>
    <row r="31" spans="1:16" s="31" customFormat="1" ht="21" x14ac:dyDescent="0.25">
      <c r="A31" s="26" t="s">
        <v>66</v>
      </c>
      <c r="B31" s="4">
        <f t="shared" si="2"/>
        <v>577.697</v>
      </c>
      <c r="C31" s="12">
        <v>45.960999999999999</v>
      </c>
      <c r="D31" s="12">
        <v>47.755000000000003</v>
      </c>
      <c r="E31" s="12">
        <v>53.094000000000001</v>
      </c>
      <c r="F31" s="12">
        <v>53.835000000000001</v>
      </c>
      <c r="G31" s="12">
        <v>53.094000000000001</v>
      </c>
      <c r="H31" s="12">
        <v>42.414999999999999</v>
      </c>
      <c r="I31" s="12">
        <v>47.143999999999998</v>
      </c>
      <c r="J31" s="12">
        <v>52.338000000000001</v>
      </c>
      <c r="K31" s="12">
        <v>45.81</v>
      </c>
      <c r="L31" s="12">
        <v>42.805</v>
      </c>
      <c r="M31" s="12">
        <v>46.54</v>
      </c>
      <c r="N31" s="12">
        <v>46.905999999999999</v>
      </c>
      <c r="O31" s="14" t="s">
        <v>67</v>
      </c>
      <c r="P31" s="32"/>
    </row>
    <row r="32" spans="1:16" s="31" customFormat="1" ht="21" x14ac:dyDescent="0.25">
      <c r="A32" s="26" t="s">
        <v>68</v>
      </c>
      <c r="B32" s="4">
        <f t="shared" si="2"/>
        <v>386.7770000000001</v>
      </c>
      <c r="C32" s="12">
        <v>29.300999999999998</v>
      </c>
      <c r="D32" s="12">
        <v>28.408000000000001</v>
      </c>
      <c r="E32" s="12">
        <v>34.284999999999997</v>
      </c>
      <c r="F32" s="12">
        <v>36.061</v>
      </c>
      <c r="G32" s="12">
        <v>37.664000000000001</v>
      </c>
      <c r="H32" s="12">
        <v>32.374000000000002</v>
      </c>
      <c r="I32" s="12">
        <v>33.401000000000003</v>
      </c>
      <c r="J32" s="12">
        <v>33.892000000000003</v>
      </c>
      <c r="K32" s="12">
        <v>33.088000000000001</v>
      </c>
      <c r="L32" s="12">
        <v>30.023</v>
      </c>
      <c r="M32" s="12">
        <v>29.346</v>
      </c>
      <c r="N32" s="12">
        <v>28.934000000000001</v>
      </c>
      <c r="O32" s="14" t="s">
        <v>69</v>
      </c>
      <c r="P32" s="32"/>
    </row>
    <row r="33" spans="1:16" s="31" customFormat="1" ht="21" x14ac:dyDescent="0.25">
      <c r="A33" s="26" t="s">
        <v>90</v>
      </c>
      <c r="B33" s="4">
        <f t="shared" si="2"/>
        <v>1092.7929999999999</v>
      </c>
      <c r="C33" s="12">
        <v>79.195999999999998</v>
      </c>
      <c r="D33" s="12">
        <v>78.906000000000006</v>
      </c>
      <c r="E33" s="12">
        <v>96.397000000000006</v>
      </c>
      <c r="F33" s="12">
        <v>101.038</v>
      </c>
      <c r="G33" s="12">
        <v>104.577</v>
      </c>
      <c r="H33" s="12">
        <v>91.620999999999995</v>
      </c>
      <c r="I33" s="12">
        <v>96.614000000000004</v>
      </c>
      <c r="J33" s="12">
        <v>99.472999999999999</v>
      </c>
      <c r="K33" s="12">
        <v>91.013000000000005</v>
      </c>
      <c r="L33" s="12">
        <v>82.016000000000005</v>
      </c>
      <c r="M33" s="12">
        <v>84.093000000000004</v>
      </c>
      <c r="N33" s="12">
        <v>87.849000000000004</v>
      </c>
      <c r="O33" s="14" t="s">
        <v>70</v>
      </c>
      <c r="P33" s="32"/>
    </row>
    <row r="34" spans="1:16" s="31" customFormat="1" ht="21" x14ac:dyDescent="0.25">
      <c r="A34" s="26" t="s">
        <v>71</v>
      </c>
      <c r="B34" s="4">
        <f t="shared" si="2"/>
        <v>248.06100000000004</v>
      </c>
      <c r="C34" s="12">
        <v>20.042999999999999</v>
      </c>
      <c r="D34" s="12">
        <v>19.207999999999998</v>
      </c>
      <c r="E34" s="12">
        <v>23.315000000000001</v>
      </c>
      <c r="F34" s="12">
        <v>22.106999999999999</v>
      </c>
      <c r="G34" s="12">
        <v>22.484999999999999</v>
      </c>
      <c r="H34" s="12">
        <v>20.177</v>
      </c>
      <c r="I34" s="12">
        <v>21.234000000000002</v>
      </c>
      <c r="J34" s="12">
        <v>23.190999999999999</v>
      </c>
      <c r="K34" s="12">
        <v>19.573</v>
      </c>
      <c r="L34" s="12">
        <v>18.702999999999999</v>
      </c>
      <c r="M34" s="12">
        <v>19.329999999999998</v>
      </c>
      <c r="N34" s="12">
        <v>18.695</v>
      </c>
      <c r="O34" s="14" t="s">
        <v>72</v>
      </c>
      <c r="P34" s="32"/>
    </row>
    <row r="35" spans="1:16" s="31" customFormat="1" ht="21" x14ac:dyDescent="0.25">
      <c r="A35" s="26" t="s">
        <v>73</v>
      </c>
      <c r="B35" s="4">
        <f t="shared" si="2"/>
        <v>92.765000000000029</v>
      </c>
      <c r="C35" s="12">
        <v>6.7140000000000004</v>
      </c>
      <c r="D35" s="12">
        <v>6.16</v>
      </c>
      <c r="E35" s="12">
        <v>7.79</v>
      </c>
      <c r="F35" s="12">
        <v>8.5860000000000003</v>
      </c>
      <c r="G35" s="12">
        <v>9.4440000000000008</v>
      </c>
      <c r="H35" s="12">
        <v>7.7210000000000001</v>
      </c>
      <c r="I35" s="12">
        <v>9.4860000000000007</v>
      </c>
      <c r="J35" s="12">
        <v>7.1239999999999997</v>
      </c>
      <c r="K35" s="12">
        <v>7.2279999999999998</v>
      </c>
      <c r="L35" s="12">
        <v>6.93</v>
      </c>
      <c r="M35" s="12">
        <v>7.3940000000000001</v>
      </c>
      <c r="N35" s="12">
        <v>8.1880000000000006</v>
      </c>
      <c r="O35" s="14" t="s">
        <v>74</v>
      </c>
      <c r="P35" s="32"/>
    </row>
    <row r="36" spans="1:16" s="31" customFormat="1" ht="21" x14ac:dyDescent="0.25">
      <c r="A36" s="26" t="s">
        <v>75</v>
      </c>
      <c r="B36" s="4">
        <f t="shared" si="2"/>
        <v>189.78599999999997</v>
      </c>
      <c r="C36" s="12">
        <v>15.601000000000001</v>
      </c>
      <c r="D36" s="12">
        <v>14.393000000000001</v>
      </c>
      <c r="E36" s="12">
        <v>17.052</v>
      </c>
      <c r="F36" s="12">
        <v>16.684999999999999</v>
      </c>
      <c r="G36" s="12">
        <v>18.163</v>
      </c>
      <c r="H36" s="12">
        <v>15.701000000000001</v>
      </c>
      <c r="I36" s="12">
        <v>16.597999999999999</v>
      </c>
      <c r="J36" s="12">
        <v>16.818000000000001</v>
      </c>
      <c r="K36" s="12">
        <v>14.856999999999999</v>
      </c>
      <c r="L36" s="12">
        <v>14.907999999999999</v>
      </c>
      <c r="M36" s="12">
        <v>13.891</v>
      </c>
      <c r="N36" s="12">
        <v>15.119</v>
      </c>
      <c r="O36" s="14" t="s">
        <v>76</v>
      </c>
      <c r="P36" s="32"/>
    </row>
    <row r="37" spans="1:16" s="31" customFormat="1" ht="21" x14ac:dyDescent="0.25">
      <c r="A37" s="26" t="s">
        <v>77</v>
      </c>
      <c r="B37" s="4">
        <f t="shared" si="2"/>
        <v>510.87499999999994</v>
      </c>
      <c r="C37" s="12">
        <v>39.171999999999997</v>
      </c>
      <c r="D37" s="12">
        <v>38.037999999999997</v>
      </c>
      <c r="E37" s="12">
        <v>46.353000000000002</v>
      </c>
      <c r="F37" s="12">
        <v>47.173000000000002</v>
      </c>
      <c r="G37" s="12">
        <v>48.277999999999999</v>
      </c>
      <c r="H37" s="12">
        <v>42.869</v>
      </c>
      <c r="I37" s="12">
        <v>43.506999999999998</v>
      </c>
      <c r="J37" s="12">
        <v>44.7</v>
      </c>
      <c r="K37" s="12">
        <v>40.58</v>
      </c>
      <c r="L37" s="12">
        <v>39.262999999999998</v>
      </c>
      <c r="M37" s="12">
        <v>39.512</v>
      </c>
      <c r="N37" s="12">
        <v>41.43</v>
      </c>
      <c r="O37" s="14" t="s">
        <v>78</v>
      </c>
      <c r="P37" s="32"/>
    </row>
    <row r="38" spans="1:16" s="31" customFormat="1" ht="21" x14ac:dyDescent="0.25">
      <c r="A38" s="26" t="s">
        <v>79</v>
      </c>
      <c r="B38" s="4">
        <f t="shared" si="2"/>
        <v>350.92899999999997</v>
      </c>
      <c r="C38" s="12">
        <v>26.302</v>
      </c>
      <c r="D38" s="12">
        <v>26.256</v>
      </c>
      <c r="E38" s="12">
        <v>30.614999999999998</v>
      </c>
      <c r="F38" s="12">
        <v>31.54</v>
      </c>
      <c r="G38" s="12">
        <v>31.052</v>
      </c>
      <c r="H38" s="12">
        <v>28.728999999999999</v>
      </c>
      <c r="I38" s="12">
        <v>30.69</v>
      </c>
      <c r="J38" s="12">
        <v>32.479999999999997</v>
      </c>
      <c r="K38" s="12">
        <v>29.670999999999999</v>
      </c>
      <c r="L38" s="12">
        <v>27.359000000000002</v>
      </c>
      <c r="M38" s="12">
        <v>27.777000000000001</v>
      </c>
      <c r="N38" s="12">
        <v>28.457999999999998</v>
      </c>
      <c r="O38" s="14" t="s">
        <v>80</v>
      </c>
      <c r="P38" s="32"/>
    </row>
    <row r="39" spans="1:16" ht="21" x14ac:dyDescent="0.25">
      <c r="A39" s="25" t="s">
        <v>81</v>
      </c>
      <c r="B39" s="4">
        <f t="shared" si="2"/>
        <v>290.14599999999996</v>
      </c>
      <c r="C39" s="12">
        <v>19.791</v>
      </c>
      <c r="D39" s="12">
        <v>21.576000000000001</v>
      </c>
      <c r="E39" s="12">
        <v>26.497</v>
      </c>
      <c r="F39" s="12">
        <v>26.189</v>
      </c>
      <c r="G39" s="12">
        <v>24.664000000000001</v>
      </c>
      <c r="H39" s="12">
        <v>22.957000000000001</v>
      </c>
      <c r="I39" s="12">
        <v>24.483000000000001</v>
      </c>
      <c r="J39" s="12">
        <v>27.317</v>
      </c>
      <c r="K39" s="12">
        <v>25.170999999999999</v>
      </c>
      <c r="L39" s="12">
        <v>21.748000000000001</v>
      </c>
      <c r="M39" s="12">
        <v>23.588999999999999</v>
      </c>
      <c r="N39" s="12">
        <v>26.164000000000001</v>
      </c>
      <c r="O39" s="14" t="s">
        <v>82</v>
      </c>
      <c r="P39" s="33"/>
    </row>
    <row r="40" spans="1:16" ht="21" x14ac:dyDescent="0.25">
      <c r="A40" s="25" t="s">
        <v>83</v>
      </c>
      <c r="B40" s="4">
        <f>SUM(C40:N40)</f>
        <v>276.47600000000006</v>
      </c>
      <c r="C40" s="12">
        <v>24.890999999999998</v>
      </c>
      <c r="D40" s="12">
        <v>25.411999999999999</v>
      </c>
      <c r="E40" s="12">
        <v>29.321000000000002</v>
      </c>
      <c r="F40" s="12">
        <v>26.198</v>
      </c>
      <c r="G40" s="12">
        <v>19.013999999999999</v>
      </c>
      <c r="H40" s="12">
        <v>19.52</v>
      </c>
      <c r="I40" s="12">
        <v>20.895</v>
      </c>
      <c r="J40" s="12">
        <v>24.491</v>
      </c>
      <c r="K40" s="12">
        <v>19.518000000000001</v>
      </c>
      <c r="L40" s="12">
        <v>17.347000000000001</v>
      </c>
      <c r="M40" s="12">
        <v>22.31</v>
      </c>
      <c r="N40" s="12">
        <v>27.559000000000001</v>
      </c>
      <c r="O40" s="14" t="s">
        <v>84</v>
      </c>
      <c r="P40" s="33"/>
    </row>
    <row r="41" spans="1:16" ht="21" x14ac:dyDescent="0.25">
      <c r="A41" s="25" t="s">
        <v>85</v>
      </c>
      <c r="B41" s="4">
        <f t="shared" si="2"/>
        <v>332.89900000000006</v>
      </c>
      <c r="C41" s="12">
        <v>24.789000000000001</v>
      </c>
      <c r="D41" s="12">
        <v>25.004000000000001</v>
      </c>
      <c r="E41" s="12">
        <v>29.684999999999999</v>
      </c>
      <c r="F41" s="12">
        <v>32.003</v>
      </c>
      <c r="G41" s="12">
        <v>31.803000000000001</v>
      </c>
      <c r="H41" s="12">
        <v>25.802</v>
      </c>
      <c r="I41" s="12">
        <v>29.413</v>
      </c>
      <c r="J41" s="12">
        <v>30.791</v>
      </c>
      <c r="K41" s="12">
        <v>27.399000000000001</v>
      </c>
      <c r="L41" s="12">
        <v>23.422000000000001</v>
      </c>
      <c r="M41" s="12">
        <v>26.672000000000001</v>
      </c>
      <c r="N41" s="12">
        <v>26.116</v>
      </c>
      <c r="O41" s="14" t="s">
        <v>86</v>
      </c>
      <c r="P41" s="33"/>
    </row>
    <row r="42" spans="1:16" s="5" customFormat="1" ht="21" x14ac:dyDescent="0.25">
      <c r="A42" s="38" t="s">
        <v>87</v>
      </c>
      <c r="B42" s="39">
        <f t="shared" si="2"/>
        <v>70.433999999999997</v>
      </c>
      <c r="C42" s="13">
        <v>5.3179999999999996</v>
      </c>
      <c r="D42" s="13">
        <v>5.0090000000000003</v>
      </c>
      <c r="E42" s="13">
        <v>5.843</v>
      </c>
      <c r="F42" s="13">
        <v>5.8769999999999998</v>
      </c>
      <c r="G42" s="13">
        <v>6.6310000000000002</v>
      </c>
      <c r="H42" s="13">
        <v>6.0410000000000004</v>
      </c>
      <c r="I42" s="13">
        <v>5.6559999999999997</v>
      </c>
      <c r="J42" s="13">
        <v>5.8540000000000001</v>
      </c>
      <c r="K42" s="13">
        <v>5.3929999999999998</v>
      </c>
      <c r="L42" s="13">
        <v>5.4640000000000004</v>
      </c>
      <c r="M42" s="13">
        <v>6.0460000000000003</v>
      </c>
      <c r="N42" s="13">
        <v>7.3019999999999996</v>
      </c>
      <c r="O42" s="40" t="s">
        <v>88</v>
      </c>
    </row>
    <row r="43" spans="1:16" s="8" customFormat="1" ht="14.25" x14ac:dyDescent="0.25">
      <c r="A43" s="34" t="s">
        <v>2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O43" s="9" t="s">
        <v>3</v>
      </c>
    </row>
    <row r="44" spans="1:16" s="5" customFormat="1" x14ac:dyDescent="0.25">
      <c r="A44" s="35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</sheetData>
  <mergeCells count="4">
    <mergeCell ref="A1:O1"/>
    <mergeCell ref="A2:O2"/>
    <mergeCell ref="A3:O3"/>
    <mergeCell ref="A4:O4"/>
  </mergeCells>
  <pageMargins left="0.7" right="0.7" top="0.75" bottom="0.75" header="0.3" footer="0.3"/>
  <pageSetup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2021-10-13T06:19:21Z</cp:lastPrinted>
  <dcterms:created xsi:type="dcterms:W3CDTF">2019-05-21T05:57:01Z</dcterms:created>
  <dcterms:modified xsi:type="dcterms:W3CDTF">2021-10-13T06:22:52Z</dcterms:modified>
</cp:coreProperties>
</file>