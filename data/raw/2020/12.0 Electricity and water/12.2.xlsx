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SYB 2020 _latest\YEARBOOK 2020_Final\web\12.  ELECTRICITY and  WATER\"/>
    </mc:Choice>
  </mc:AlternateContent>
  <bookViews>
    <workbookView xWindow="0" yWindow="0" windowWidth="28800" windowHeight="12330"/>
  </bookViews>
  <sheets>
    <sheet name="12.2" sheetId="16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6" l="1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N11" i="16"/>
  <c r="M11" i="16"/>
  <c r="M7" i="16" s="1"/>
  <c r="L11" i="16"/>
  <c r="K11" i="16"/>
  <c r="K7" i="16" s="1"/>
  <c r="J11" i="16"/>
  <c r="I11" i="16"/>
  <c r="I7" i="16" s="1"/>
  <c r="H11" i="16"/>
  <c r="H7" i="16" s="1"/>
  <c r="G11" i="16"/>
  <c r="G7" i="16" s="1"/>
  <c r="F11" i="16"/>
  <c r="E11" i="16"/>
  <c r="E7" i="16" s="1"/>
  <c r="D11" i="16"/>
  <c r="D7" i="16" s="1"/>
  <c r="C11" i="16"/>
  <c r="C7" i="16" s="1"/>
  <c r="B10" i="16"/>
  <c r="B9" i="16"/>
  <c r="B8" i="16"/>
  <c r="N7" i="16"/>
  <c r="L7" i="16"/>
  <c r="J7" i="16"/>
  <c r="F7" i="16"/>
  <c r="B11" i="16" l="1"/>
</calcChain>
</file>

<file path=xl/sharedStrings.xml><?xml version="1.0" encoding="utf-8"?>
<sst xmlns="http://schemas.openxmlformats.org/spreadsheetml/2006/main" count="107" uniqueCount="105">
  <si>
    <t>wlcmuj</t>
  </si>
  <si>
    <t>cCrWm</t>
  </si>
  <si>
    <t>Em</t>
  </si>
  <si>
    <t>cnUj</t>
  </si>
  <si>
    <t>iawluj</t>
  </si>
  <si>
    <t>cnwt</t>
  </si>
  <si>
    <t>Source: State Electric Company Limited</t>
  </si>
  <si>
    <t>cDeTimil Inepcmok ckircTckeliacTETcs :ctWrwf ivcaedutWmUluAwm</t>
  </si>
  <si>
    <r>
      <rPr>
        <b/>
        <sz val="10.5"/>
        <rFont val="Calibri"/>
        <family val="2"/>
        <scheme val="minor"/>
      </rPr>
      <t>(In ' 000 kWh)</t>
    </r>
    <r>
      <rPr>
        <b/>
        <sz val="10.5"/>
        <rFont val="A_Faseyha"/>
      </rPr>
      <t xml:space="preserve"> </t>
    </r>
  </si>
  <si>
    <t>Locality</t>
  </si>
  <si>
    <t>waunej</t>
  </si>
  <si>
    <t>urcbef</t>
  </si>
  <si>
    <t>IrcPEa</t>
  </si>
  <si>
    <t>cswgOa</t>
  </si>
  <si>
    <t>cTcpes</t>
  </si>
  <si>
    <t>OTckoa</t>
  </si>
  <si>
    <t>cmevon</t>
  </si>
  <si>
    <t>cmesiD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</si>
  <si>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</si>
  <si>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</si>
  <si>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</si>
  <si>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</si>
  <si>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</si>
  <si>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</si>
  <si>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</si>
  <si>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</si>
  <si>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</si>
  <si>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</si>
  <si>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</si>
  <si>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</si>
  <si>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</si>
  <si>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K.Male'</t>
  </si>
  <si>
    <t>ކ. މާލެ</t>
  </si>
  <si>
    <t>K.Vilimale'</t>
  </si>
  <si>
    <t>ކ. ވިލިނގިލި</t>
  </si>
  <si>
    <t>K.Hulhumale</t>
  </si>
  <si>
    <t>ކ. ހުޅުމާލެ</t>
  </si>
  <si>
    <t xml:space="preserve">Atoll </t>
  </si>
  <si>
    <t>އަތޮޅުތައް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</si>
  <si>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</si>
  <si>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</si>
  <si>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</si>
  <si>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</si>
  <si>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</si>
  <si>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</si>
  <si>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</si>
  <si>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</si>
  <si>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</si>
  <si>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</si>
  <si>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K.Thilafushi</t>
  </si>
  <si>
    <t>ކ. ތިލަފުށި</t>
  </si>
  <si>
    <t>K.Gulhifalhu</t>
  </si>
  <si>
    <t>ކ. ގުޅިފަޅު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</si>
  <si>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</si>
  <si>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</si>
  <si>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</si>
  <si>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</si>
  <si>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</si>
  <si>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</si>
  <si>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</si>
  <si>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</si>
  <si>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</si>
  <si>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</si>
  <si>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</si>
  <si>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</si>
  <si>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</si>
  <si>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</si>
  <si>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</si>
  <si>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</si>
  <si>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</si>
  <si>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</si>
  <si>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AA.Rasdhoo</t>
  </si>
  <si>
    <t>އއ.ރަސްދޫ</t>
  </si>
  <si>
    <t>AA.Thoddoo</t>
  </si>
  <si>
    <t>އއ.ތޮއްޑޫ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</si>
  <si>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</si>
  <si>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</si>
  <si>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</si>
  <si>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</si>
  <si>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</si>
  <si>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</si>
  <si>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</si>
  <si>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</si>
  <si>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ADh.Mahibadhoo</t>
  </si>
  <si>
    <t>އދ.މަހިބަދޫ</t>
  </si>
  <si>
    <t>ADh.Hangnameedhoo</t>
  </si>
  <si>
    <t>އދ.ހަންޏާމީދޫ</t>
  </si>
  <si>
    <t>ADh.Dhihdhoo</t>
  </si>
  <si>
    <t>އދ.ދިއްދޫ</t>
  </si>
  <si>
    <t>ADh.Mandhoo</t>
  </si>
  <si>
    <t>އދ.މަންދޫ</t>
  </si>
  <si>
    <t>ADh.Dhangethi</t>
  </si>
  <si>
    <t>އދ.ދަނގެތި</t>
  </si>
  <si>
    <t>V.Felidhoo</t>
  </si>
  <si>
    <t>ވ.ފެލިދޫ</t>
  </si>
  <si>
    <t>V.Fulidhoo</t>
  </si>
  <si>
    <t>ވ.ފުލިދޫ</t>
  </si>
  <si>
    <t>V.Thinadhoo</t>
  </si>
  <si>
    <t>ވ.ތިނަދޫ</t>
  </si>
  <si>
    <t>V.Keyodhoo</t>
  </si>
  <si>
    <t>ވ.ކެޔޮދޫ</t>
  </si>
  <si>
    <t>V.Rakeedhoo</t>
  </si>
  <si>
    <t>ވ.ރަކީދޫ</t>
  </si>
  <si>
    <t>Table  12.2 :  MONTHLY ELECTRICITY PRODUCTION BY PUBLIC SECTOR, 2019</t>
  </si>
  <si>
    <t>2019 ,urwvcnim idcaefua cTcnwrwk uhwmcswmikea cnukwtctWrwf egurWkurws  : 12.2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</si>
</sst>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Faseyha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Faruma"/>
    </font>
    <font>
      <sz val="10"/>
      <name val="Garamond"/>
      <family val="1"/>
    </font>
    <font>
      <b/>
      <sz val="10.5"/>
      <name val="A_Faseyha"/>
    </font>
    <font>
      <b/>
      <sz val="10.5"/>
      <name val="Calibri"/>
      <family val="2"/>
      <scheme val="minor"/>
    </font>
    <font>
      <sz val="10.5"/>
      <name val="A_Faseyha"/>
    </font>
    <font>
      <b/>
      <sz val="11"/>
      <name val="A_Faseyha"/>
    </font>
    <font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6" fillId="2" borderId="0" xfId="0" applyFont="1" applyFill="1" applyBorder="1" applyAlignment="1">
      <alignment horizontal="right"/>
    </xf>
    <xf numFmtId="0" fontId="0" fillId="2" borderId="0" xfId="0" applyFill="1"/>
    <xf numFmtId="0" fontId="13" fillId="2" borderId="6" xfId="0" applyFont="1" applyFill="1" applyBorder="1" applyAlignment="1">
      <alignment horizontal="right"/>
    </xf>
    <xf numFmtId="0" fontId="7" fillId="2" borderId="5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left" vertical="center"/>
    </xf>
    <xf numFmtId="3" fontId="2" fillId="2" borderId="7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0" fontId="14" fillId="2" borderId="9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left" vertical="center"/>
    </xf>
    <xf numFmtId="3" fontId="2" fillId="2" borderId="10" xfId="0" applyNumberFormat="1" applyFont="1" applyFill="1" applyBorder="1" applyAlignment="1">
      <alignment horizontal="right" vertical="center"/>
    </xf>
    <xf numFmtId="0" fontId="15" fillId="2" borderId="11" xfId="0" applyFont="1" applyFill="1" applyBorder="1" applyAlignment="1">
      <alignment horizontal="right" vertical="center"/>
    </xf>
    <xf numFmtId="0" fontId="9" fillId="2" borderId="11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3" fontId="2" fillId="2" borderId="8" xfId="0" applyNumberFormat="1" applyFont="1" applyFill="1" applyBorder="1" applyAlignment="1">
      <alignment horizontal="right" vertical="center"/>
    </xf>
    <xf numFmtId="0" fontId="15" fillId="2" borderId="4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left" vertical="center"/>
    </xf>
    <xf numFmtId="3" fontId="2" fillId="2" borderId="2" xfId="0" applyNumberFormat="1" applyFont="1" applyFill="1" applyBorder="1" applyAlignment="1">
      <alignment horizontal="right" vertical="center"/>
    </xf>
    <xf numFmtId="0" fontId="3" fillId="2" borderId="0" xfId="0" applyFont="1" applyFill="1" applyBorder="1"/>
    <xf numFmtId="1" fontId="5" fillId="2" borderId="0" xfId="0" applyNumberFormat="1" applyFont="1" applyFill="1" applyBorder="1"/>
    <xf numFmtId="0" fontId="0" fillId="2" borderId="0" xfId="0" applyFill="1" applyAlignment="1">
      <alignment horizontal="left" vertical="center"/>
    </xf>
    <xf numFmtId="0" fontId="0" fillId="2" borderId="0" xfId="0" applyFill="1" applyBorder="1"/>
    <xf numFmtId="3" fontId="3" fillId="2" borderId="0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11" fillId="2" borderId="7" xfId="0" applyFont="1" applyFill="1" applyBorder="1" applyAlignment="1">
      <alignment horizontal="right" vertical="center"/>
    </xf>
    <xf numFmtId="0" fontId="13" fillId="2" borderId="8" xfId="0" applyFont="1" applyFill="1" applyBorder="1" applyAlignment="1">
      <alignment horizontal="right" vertical="center"/>
    </xf>
  </cellXfs>
  <cellStyles count="4">
    <cellStyle name="Comma 2" xfId="1"/>
    <cellStyle name="Comma 4" xf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F5EADF"/>
      <color rgb="FFDAB48E"/>
      <color rgb="FF996633"/>
      <color rgb="FF663300"/>
      <color rgb="FF964B00"/>
      <color rgb="FFF0E0D0"/>
      <color rgb="FFFFF2E5"/>
      <color rgb="FF976431"/>
      <color rgb="FFFFBE7D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\Desktop\yearbook%202020%20=update\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  <cell r="C4">
            <v>2010</v>
          </cell>
          <cell r="D4">
            <v>2011</v>
          </cell>
          <cell r="E4">
            <v>2012</v>
          </cell>
          <cell r="F4">
            <v>2013</v>
          </cell>
          <cell r="G4">
            <v>2014</v>
          </cell>
          <cell r="H4">
            <v>2015</v>
          </cell>
          <cell r="I4">
            <v>2016</v>
          </cell>
          <cell r="J4">
            <v>2017</v>
          </cell>
          <cell r="K4">
            <v>2018</v>
          </cell>
        </row>
        <row r="5">
          <cell r="B5">
            <v>187110.266</v>
          </cell>
          <cell r="C5">
            <v>195722.55800000002</v>
          </cell>
          <cell r="D5">
            <v>211889.32699999999</v>
          </cell>
          <cell r="E5">
            <v>219663.37332000001</v>
          </cell>
          <cell r="F5">
            <v>232023.39200000002</v>
          </cell>
          <cell r="G5">
            <v>239067</v>
          </cell>
          <cell r="H5">
            <v>260445.08562</v>
          </cell>
          <cell r="I5">
            <v>271814.04891000001</v>
          </cell>
          <cell r="J5">
            <v>304527.45199199999</v>
          </cell>
          <cell r="K5">
            <v>318850.96300000005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4">
          <cell r="E4" t="str">
            <v>% Share of Quantity</v>
          </cell>
        </row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5"/>
  <sheetViews>
    <sheetView tabSelected="1" zoomScaleNormal="100" workbookViewId="0">
      <selection activeCell="V18" sqref="V18"/>
    </sheetView>
  </sheetViews>
  <sheetFormatPr defaultRowHeight="15" x14ac:dyDescent="0.25"/>
  <cols>
    <col min="1" max="1" width="18.7109375" style="20" customWidth="1"/>
    <col min="2" max="2" width="11.5703125" style="2" bestFit="1" customWidth="1"/>
    <col min="3" max="14" width="11.42578125" style="2" customWidth="1"/>
    <col min="15" max="15" width="13.28515625" style="2" customWidth="1"/>
    <col min="16" max="16" width="3.5703125" style="2" customWidth="1"/>
    <col min="17" max="17" width="10.85546875" style="2" customWidth="1"/>
    <col min="18" max="16384" width="9.140625" style="2"/>
  </cols>
  <sheetData>
    <row r="2" spans="1:15" ht="16.5" x14ac:dyDescent="0.25">
      <c r="A2" s="24" t="s">
        <v>104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5" ht="15.75" x14ac:dyDescent="0.25">
      <c r="A3" s="25" t="s">
        <v>103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ht="17.25" x14ac:dyDescent="0.4">
      <c r="A4" s="26" t="s">
        <v>8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5" ht="17.25" x14ac:dyDescent="0.4">
      <c r="A5" s="27" t="s">
        <v>9</v>
      </c>
      <c r="B5" s="3" t="s">
        <v>0</v>
      </c>
      <c r="C5" s="3" t="s">
        <v>10</v>
      </c>
      <c r="D5" s="3" t="s">
        <v>11</v>
      </c>
      <c r="E5" s="3" t="s">
        <v>1</v>
      </c>
      <c r="F5" s="3" t="s">
        <v>12</v>
      </c>
      <c r="G5" s="3" t="s">
        <v>2</v>
      </c>
      <c r="H5" s="3" t="s">
        <v>3</v>
      </c>
      <c r="I5" s="3" t="s">
        <v>4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29" t="s">
        <v>5</v>
      </c>
    </row>
    <row r="6" spans="1:15" ht="15.75" customHeight="1" x14ac:dyDescent="0.25">
      <c r="A6" s="28"/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30"/>
    </row>
    <row r="7" spans="1:15" ht="18" x14ac:dyDescent="0.25">
      <c r="A7" s="5" t="s">
        <v>18</v>
      </c>
      <c r="B7" s="6">
        <f>SUM(C7:N7)</f>
        <v>546686.15960000001</v>
      </c>
      <c r="C7" s="7">
        <f>SUM(C8:C11)</f>
        <v>41797.345209999999</v>
      </c>
      <c r="D7" s="7">
        <f t="shared" ref="D7:N7" si="0">SUM(D8:D11)</f>
        <v>40743.469500000007</v>
      </c>
      <c r="E7" s="7">
        <f t="shared" si="0"/>
        <v>48653.974900000001</v>
      </c>
      <c r="F7" s="7">
        <f t="shared" si="0"/>
        <v>49797.341529999998</v>
      </c>
      <c r="G7" s="7">
        <f t="shared" si="0"/>
        <v>50827.023199999996</v>
      </c>
      <c r="H7" s="7">
        <f t="shared" si="0"/>
        <v>46623.900699999998</v>
      </c>
      <c r="I7" s="7">
        <f t="shared" si="0"/>
        <v>48713.837800000001</v>
      </c>
      <c r="J7" s="7">
        <f t="shared" si="0"/>
        <v>46574.006600000001</v>
      </c>
      <c r="K7" s="7">
        <f t="shared" si="0"/>
        <v>44750.272400000002</v>
      </c>
      <c r="L7" s="7">
        <f t="shared" si="0"/>
        <v>42496.096459999993</v>
      </c>
      <c r="M7" s="7">
        <f t="shared" si="0"/>
        <v>43093.566299999999</v>
      </c>
      <c r="N7" s="7">
        <f t="shared" si="0"/>
        <v>42615.324999999997</v>
      </c>
      <c r="O7" s="8" t="s">
        <v>0</v>
      </c>
    </row>
    <row r="8" spans="1:15" ht="21" x14ac:dyDescent="0.25">
      <c r="A8" s="9" t="s">
        <v>31</v>
      </c>
      <c r="B8" s="10">
        <f>SUM(C8:N8)</f>
        <v>385812.93399999995</v>
      </c>
      <c r="C8" s="22">
        <v>29409.5</v>
      </c>
      <c r="D8" s="22">
        <v>28698.023000000001</v>
      </c>
      <c r="E8" s="22">
        <v>34667.559000000001</v>
      </c>
      <c r="F8" s="22">
        <v>35888.15</v>
      </c>
      <c r="G8" s="22">
        <v>35986.466999999997</v>
      </c>
      <c r="H8" s="22">
        <v>33005.661999999997</v>
      </c>
      <c r="I8" s="22">
        <v>34747.61</v>
      </c>
      <c r="J8" s="22">
        <v>32619.944</v>
      </c>
      <c r="K8" s="22">
        <v>31558.23</v>
      </c>
      <c r="L8" s="22">
        <v>29945.853999999999</v>
      </c>
      <c r="M8" s="22">
        <v>29979.707999999999</v>
      </c>
      <c r="N8" s="22">
        <v>29306.226999999999</v>
      </c>
      <c r="O8" s="11" t="s">
        <v>32</v>
      </c>
    </row>
    <row r="9" spans="1:15" ht="21" x14ac:dyDescent="0.25">
      <c r="A9" s="9" t="s">
        <v>33</v>
      </c>
      <c r="B9" s="10">
        <f>SUM(C9:N9)</f>
        <v>13717.57</v>
      </c>
      <c r="C9" s="22">
        <v>1038.08</v>
      </c>
      <c r="D9" s="22">
        <v>999.79</v>
      </c>
      <c r="E9" s="22">
        <v>1218.74</v>
      </c>
      <c r="F9" s="22">
        <v>1240.99</v>
      </c>
      <c r="G9" s="22">
        <v>1322.13</v>
      </c>
      <c r="H9" s="22">
        <v>1195.3699999999999</v>
      </c>
      <c r="I9" s="22">
        <v>1223.6099999999999</v>
      </c>
      <c r="J9" s="22">
        <v>1181.17</v>
      </c>
      <c r="K9" s="22">
        <v>1115.99</v>
      </c>
      <c r="L9" s="22">
        <v>1047.5999999999999</v>
      </c>
      <c r="M9" s="22">
        <v>1106.01</v>
      </c>
      <c r="N9" s="22">
        <v>1028.0899999999999</v>
      </c>
      <c r="O9" s="11" t="s">
        <v>34</v>
      </c>
    </row>
    <row r="10" spans="1:15" ht="21" x14ac:dyDescent="0.25">
      <c r="A10" s="9" t="s">
        <v>35</v>
      </c>
      <c r="B10" s="10">
        <f>SUM(C10:N10)</f>
        <v>80746.890010000003</v>
      </c>
      <c r="C10" s="22">
        <v>6355.5440099999996</v>
      </c>
      <c r="D10" s="22">
        <v>6143.5990000000002</v>
      </c>
      <c r="E10" s="22">
        <v>6719.9719999999998</v>
      </c>
      <c r="F10" s="22">
        <v>6526.0640000000003</v>
      </c>
      <c r="G10" s="22">
        <v>7426.2830000000004</v>
      </c>
      <c r="H10" s="22">
        <v>6874.3819999999996</v>
      </c>
      <c r="I10" s="22">
        <v>7094.4610000000002</v>
      </c>
      <c r="J10" s="22">
        <v>6858.9260000000004</v>
      </c>
      <c r="K10" s="22">
        <v>6753.3630000000003</v>
      </c>
      <c r="L10" s="22">
        <v>6456.1490000000003</v>
      </c>
      <c r="M10" s="22">
        <v>6748.8149999999996</v>
      </c>
      <c r="N10" s="22">
        <v>6789.3320000000003</v>
      </c>
      <c r="O10" s="11" t="s">
        <v>36</v>
      </c>
    </row>
    <row r="11" spans="1:15" ht="21" x14ac:dyDescent="0.25">
      <c r="A11" s="5" t="s">
        <v>37</v>
      </c>
      <c r="B11" s="10">
        <f>SUM(B12:B43)</f>
        <v>66408.765589999995</v>
      </c>
      <c r="C11" s="7">
        <f>SUM(C12:C43)</f>
        <v>4994.2212000000009</v>
      </c>
      <c r="D11" s="7">
        <f t="shared" ref="D11:N11" si="1">SUM(D12:D43)</f>
        <v>4902.0575000000008</v>
      </c>
      <c r="E11" s="7">
        <f t="shared" si="1"/>
        <v>6047.7038999999995</v>
      </c>
      <c r="F11" s="7">
        <f t="shared" si="1"/>
        <v>6142.1375300000009</v>
      </c>
      <c r="G11" s="7">
        <f t="shared" si="1"/>
        <v>6092.1431999999995</v>
      </c>
      <c r="H11" s="7">
        <f t="shared" si="1"/>
        <v>5548.4867000000022</v>
      </c>
      <c r="I11" s="7">
        <f t="shared" si="1"/>
        <v>5648.1567999999988</v>
      </c>
      <c r="J11" s="7">
        <f t="shared" si="1"/>
        <v>5913.9665999999997</v>
      </c>
      <c r="K11" s="7">
        <f t="shared" si="1"/>
        <v>5322.6894000000002</v>
      </c>
      <c r="L11" s="7">
        <f t="shared" si="1"/>
        <v>5046.4934599999988</v>
      </c>
      <c r="M11" s="7">
        <f t="shared" si="1"/>
        <v>5259.0333000000001</v>
      </c>
      <c r="N11" s="7">
        <f t="shared" si="1"/>
        <v>5491.6759999999986</v>
      </c>
      <c r="O11" s="12" t="s">
        <v>38</v>
      </c>
    </row>
    <row r="12" spans="1:15" ht="21" x14ac:dyDescent="0.25">
      <c r="A12" s="9" t="s">
        <v>39</v>
      </c>
      <c r="B12" s="10">
        <f>SUM(C12:N12)</f>
        <v>3026.6669999999999</v>
      </c>
      <c r="C12" s="22">
        <v>223.11799999999999</v>
      </c>
      <c r="D12" s="22">
        <v>212.917</v>
      </c>
      <c r="E12" s="22">
        <v>256.67399999999998</v>
      </c>
      <c r="F12" s="22">
        <v>275.29700000000003</v>
      </c>
      <c r="G12" s="22">
        <v>299.11099999999999</v>
      </c>
      <c r="H12" s="22">
        <v>267.12799999999999</v>
      </c>
      <c r="I12" s="22">
        <v>264.76600000000002</v>
      </c>
      <c r="J12" s="22">
        <v>264.61200000000002</v>
      </c>
      <c r="K12" s="22">
        <v>247.94499999999999</v>
      </c>
      <c r="L12" s="22">
        <v>238.4</v>
      </c>
      <c r="M12" s="22">
        <v>246.952</v>
      </c>
      <c r="N12" s="22">
        <v>229.74700000000001</v>
      </c>
      <c r="O12" s="11" t="s">
        <v>40</v>
      </c>
    </row>
    <row r="13" spans="1:15" ht="21" x14ac:dyDescent="0.25">
      <c r="A13" s="9" t="s">
        <v>41</v>
      </c>
      <c r="B13" s="10">
        <f t="shared" ref="B13:B19" si="2">SUM(C13:N13)</f>
        <v>1851.3650000000002</v>
      </c>
      <c r="C13" s="22">
        <v>137.04400000000001</v>
      </c>
      <c r="D13" s="22">
        <v>131.143</v>
      </c>
      <c r="E13" s="22">
        <v>160.39099999999999</v>
      </c>
      <c r="F13" s="22">
        <v>170.24799999999999</v>
      </c>
      <c r="G13" s="22">
        <v>179.363</v>
      </c>
      <c r="H13" s="22">
        <v>157.06200000000001</v>
      </c>
      <c r="I13" s="22">
        <v>163.90899999999999</v>
      </c>
      <c r="J13" s="22">
        <v>166.083</v>
      </c>
      <c r="K13" s="22">
        <v>153.339</v>
      </c>
      <c r="L13" s="22">
        <v>140.815</v>
      </c>
      <c r="M13" s="22">
        <v>147.59299999999999</v>
      </c>
      <c r="N13" s="22">
        <v>144.375</v>
      </c>
      <c r="O13" s="11" t="s">
        <v>42</v>
      </c>
    </row>
    <row r="14" spans="1:15" ht="21" x14ac:dyDescent="0.25">
      <c r="A14" s="9" t="s">
        <v>43</v>
      </c>
      <c r="B14" s="10">
        <f t="shared" si="2"/>
        <v>1750.8140000000001</v>
      </c>
      <c r="C14" s="22">
        <v>108.241</v>
      </c>
      <c r="D14" s="22">
        <v>97.552999999999997</v>
      </c>
      <c r="E14" s="22">
        <v>128.90100000000001</v>
      </c>
      <c r="F14" s="22">
        <v>127.636</v>
      </c>
      <c r="G14" s="22">
        <v>124.712</v>
      </c>
      <c r="H14" s="22">
        <v>140.59</v>
      </c>
      <c r="I14" s="22">
        <v>104.57899999999999</v>
      </c>
      <c r="J14" s="22">
        <v>206.298</v>
      </c>
      <c r="K14" s="22">
        <v>173.89</v>
      </c>
      <c r="L14" s="22">
        <v>170.209</v>
      </c>
      <c r="M14" s="22">
        <v>180.369</v>
      </c>
      <c r="N14" s="22">
        <v>187.83600000000001</v>
      </c>
      <c r="O14" s="11" t="s">
        <v>44</v>
      </c>
    </row>
    <row r="15" spans="1:15" ht="21" x14ac:dyDescent="0.25">
      <c r="A15" s="9" t="s">
        <v>45</v>
      </c>
      <c r="B15" s="10">
        <f t="shared" si="2"/>
        <v>3753.6640000000002</v>
      </c>
      <c r="C15" s="22">
        <v>284.76900000000001</v>
      </c>
      <c r="D15" s="22">
        <v>282.024</v>
      </c>
      <c r="E15" s="22">
        <v>350.60300000000001</v>
      </c>
      <c r="F15" s="22">
        <v>358.19900000000001</v>
      </c>
      <c r="G15" s="22">
        <v>351.21300000000002</v>
      </c>
      <c r="H15" s="22">
        <v>314.3</v>
      </c>
      <c r="I15" s="22">
        <v>321.51100000000002</v>
      </c>
      <c r="J15" s="22">
        <v>348.79199999999997</v>
      </c>
      <c r="K15" s="22">
        <v>303.91300000000001</v>
      </c>
      <c r="L15" s="22">
        <v>273.95600000000002</v>
      </c>
      <c r="M15" s="22">
        <v>285.77</v>
      </c>
      <c r="N15" s="22">
        <v>278.61399999999998</v>
      </c>
      <c r="O15" s="11" t="s">
        <v>46</v>
      </c>
    </row>
    <row r="16" spans="1:15" ht="21" x14ac:dyDescent="0.25">
      <c r="A16" s="9" t="s">
        <v>47</v>
      </c>
      <c r="B16" s="10">
        <f t="shared" si="2"/>
        <v>3621.3629999999989</v>
      </c>
      <c r="C16" s="22">
        <v>281.05700000000002</v>
      </c>
      <c r="D16" s="22">
        <v>271.92500000000001</v>
      </c>
      <c r="E16" s="22">
        <v>333.65699999999998</v>
      </c>
      <c r="F16" s="22">
        <v>348.101</v>
      </c>
      <c r="G16" s="22">
        <v>351.41</v>
      </c>
      <c r="H16" s="22">
        <v>325.13900000000001</v>
      </c>
      <c r="I16" s="22">
        <v>311.15699999999998</v>
      </c>
      <c r="J16" s="22">
        <v>306.47199999999998</v>
      </c>
      <c r="K16" s="22">
        <v>286.60399999999998</v>
      </c>
      <c r="L16" s="22">
        <v>259.82299999999998</v>
      </c>
      <c r="M16" s="22">
        <v>274.73099999999999</v>
      </c>
      <c r="N16" s="22">
        <v>271.28699999999998</v>
      </c>
      <c r="O16" s="11" t="s">
        <v>48</v>
      </c>
    </row>
    <row r="17" spans="1:15" ht="21" x14ac:dyDescent="0.25">
      <c r="A17" s="9" t="s">
        <v>49</v>
      </c>
      <c r="B17" s="10">
        <f t="shared" si="2"/>
        <v>6735.2659999999987</v>
      </c>
      <c r="C17" s="22">
        <v>496.238</v>
      </c>
      <c r="D17" s="22">
        <v>498.64299999999997</v>
      </c>
      <c r="E17" s="22">
        <v>619.65700000000004</v>
      </c>
      <c r="F17" s="22">
        <v>624.27</v>
      </c>
      <c r="G17" s="22">
        <v>611.83500000000004</v>
      </c>
      <c r="H17" s="22">
        <v>597.55700000000002</v>
      </c>
      <c r="I17" s="22">
        <v>606.37300000000005</v>
      </c>
      <c r="J17" s="22">
        <v>588.09100000000001</v>
      </c>
      <c r="K17" s="22">
        <v>558.28499999999997</v>
      </c>
      <c r="L17" s="22">
        <v>509.52600000000001</v>
      </c>
      <c r="M17" s="22">
        <v>505.59199999999998</v>
      </c>
      <c r="N17" s="22">
        <v>519.19899999999996</v>
      </c>
      <c r="O17" s="11" t="s">
        <v>50</v>
      </c>
    </row>
    <row r="18" spans="1:15" ht="21" x14ac:dyDescent="0.25">
      <c r="A18" s="9" t="s">
        <v>51</v>
      </c>
      <c r="B18" s="10">
        <f t="shared" si="2"/>
        <v>341.78000000000009</v>
      </c>
      <c r="C18" s="22">
        <v>23.2</v>
      </c>
      <c r="D18" s="22">
        <v>23.58</v>
      </c>
      <c r="E18" s="22">
        <v>28.5</v>
      </c>
      <c r="F18" s="22">
        <v>28</v>
      </c>
      <c r="G18" s="22">
        <v>28.99</v>
      </c>
      <c r="H18" s="22">
        <v>27.9</v>
      </c>
      <c r="I18" s="22">
        <v>29.31</v>
      </c>
      <c r="J18" s="22">
        <v>28.19</v>
      </c>
      <c r="K18" s="22">
        <v>29.12</v>
      </c>
      <c r="L18" s="22">
        <v>29.8</v>
      </c>
      <c r="M18" s="22">
        <v>31.66</v>
      </c>
      <c r="N18" s="22">
        <v>33.53</v>
      </c>
      <c r="O18" s="11" t="s">
        <v>52</v>
      </c>
    </row>
    <row r="19" spans="1:15" ht="21" x14ac:dyDescent="0.25">
      <c r="A19" s="9" t="s">
        <v>53</v>
      </c>
      <c r="B19" s="10">
        <f t="shared" si="2"/>
        <v>1500.3590000000002</v>
      </c>
      <c r="C19" s="22">
        <v>110.092</v>
      </c>
      <c r="D19" s="22">
        <v>109.476</v>
      </c>
      <c r="E19" s="22">
        <v>141.34700000000001</v>
      </c>
      <c r="F19" s="22">
        <v>141.376</v>
      </c>
      <c r="G19" s="22">
        <v>145.19399999999999</v>
      </c>
      <c r="H19" s="22">
        <v>128.542</v>
      </c>
      <c r="I19" s="22">
        <v>130.97300000000001</v>
      </c>
      <c r="J19" s="22">
        <v>133.78399999999999</v>
      </c>
      <c r="K19" s="22">
        <v>119.733</v>
      </c>
      <c r="L19" s="22">
        <v>110.035</v>
      </c>
      <c r="M19" s="22">
        <v>115.11799999999999</v>
      </c>
      <c r="N19" s="22">
        <v>114.68899999999999</v>
      </c>
      <c r="O19" s="11" t="s">
        <v>54</v>
      </c>
    </row>
    <row r="20" spans="1:15" ht="21" x14ac:dyDescent="0.25">
      <c r="A20" s="9" t="s">
        <v>55</v>
      </c>
      <c r="B20" s="10">
        <f>SUM(C20:N20)</f>
        <v>10259.905999999999</v>
      </c>
      <c r="C20" s="22">
        <v>782.96299999999997</v>
      </c>
      <c r="D20" s="22">
        <v>773.572</v>
      </c>
      <c r="E20" s="22">
        <v>959.846</v>
      </c>
      <c r="F20" s="22">
        <v>990.67</v>
      </c>
      <c r="G20" s="22">
        <v>927.28200000000004</v>
      </c>
      <c r="H20" s="22">
        <v>846.39200000000005</v>
      </c>
      <c r="I20" s="22">
        <v>865.60900000000004</v>
      </c>
      <c r="J20" s="22">
        <v>878.69100000000003</v>
      </c>
      <c r="K20" s="22">
        <v>812.11099999999999</v>
      </c>
      <c r="L20" s="22">
        <v>772.005</v>
      </c>
      <c r="M20" s="22">
        <v>812.41899999999998</v>
      </c>
      <c r="N20" s="22">
        <v>838.346</v>
      </c>
      <c r="O20" s="11" t="s">
        <v>56</v>
      </c>
    </row>
    <row r="21" spans="1:15" ht="21" x14ac:dyDescent="0.25">
      <c r="A21" s="9" t="s">
        <v>57</v>
      </c>
      <c r="B21" s="10">
        <f t="shared" ref="B21:B43" si="3">SUM(C21:N21)</f>
        <v>3533.6487999999995</v>
      </c>
      <c r="C21" s="22">
        <v>270.98759999999999</v>
      </c>
      <c r="D21" s="22">
        <v>261.2226</v>
      </c>
      <c r="E21" s="22">
        <v>315.24640000000005</v>
      </c>
      <c r="F21" s="22">
        <v>324.60940000000005</v>
      </c>
      <c r="G21" s="22">
        <v>332.40259999999995</v>
      </c>
      <c r="H21" s="22">
        <v>299.97399999999999</v>
      </c>
      <c r="I21" s="22">
        <v>309.005</v>
      </c>
      <c r="J21" s="22">
        <v>308.53500000000003</v>
      </c>
      <c r="K21" s="22">
        <v>284.15030000000002</v>
      </c>
      <c r="L21" s="22">
        <v>266.15909999999997</v>
      </c>
      <c r="M21" s="22">
        <v>275.09379999999999</v>
      </c>
      <c r="N21" s="22">
        <v>286.26299999999998</v>
      </c>
      <c r="O21" s="11" t="s">
        <v>58</v>
      </c>
    </row>
    <row r="22" spans="1:15" ht="21" x14ac:dyDescent="0.25">
      <c r="A22" s="9" t="s">
        <v>59</v>
      </c>
      <c r="B22" s="10">
        <f t="shared" si="3"/>
        <v>2496.0820000000003</v>
      </c>
      <c r="C22" s="22">
        <v>188.99700000000001</v>
      </c>
      <c r="D22" s="22">
        <v>200.166</v>
      </c>
      <c r="E22" s="22">
        <v>229.71600000000001</v>
      </c>
      <c r="F22" s="22">
        <v>230.566</v>
      </c>
      <c r="G22" s="22">
        <v>208.63300000000001</v>
      </c>
      <c r="H22" s="22">
        <v>188.94</v>
      </c>
      <c r="I22" s="22">
        <v>209.959</v>
      </c>
      <c r="J22" s="22">
        <v>238.482</v>
      </c>
      <c r="K22" s="22">
        <v>186.517</v>
      </c>
      <c r="L22" s="22">
        <v>185.81200000000001</v>
      </c>
      <c r="M22" s="22">
        <v>214.87100000000001</v>
      </c>
      <c r="N22" s="22">
        <v>213.423</v>
      </c>
      <c r="O22" s="11" t="s">
        <v>60</v>
      </c>
    </row>
    <row r="23" spans="1:15" ht="21" x14ac:dyDescent="0.25">
      <c r="A23" s="9" t="s">
        <v>61</v>
      </c>
      <c r="B23" s="10">
        <f t="shared" si="3"/>
        <v>1319.4180000000001</v>
      </c>
      <c r="C23" s="22">
        <v>99.013000000000005</v>
      </c>
      <c r="D23" s="22">
        <v>94.661000000000001</v>
      </c>
      <c r="E23" s="22">
        <v>121.364</v>
      </c>
      <c r="F23" s="22">
        <v>129.881</v>
      </c>
      <c r="G23" s="22">
        <v>124.551</v>
      </c>
      <c r="H23" s="22">
        <v>114.676</v>
      </c>
      <c r="I23" s="22">
        <v>119.874</v>
      </c>
      <c r="J23" s="22">
        <v>126.973</v>
      </c>
      <c r="K23" s="22">
        <v>88.241</v>
      </c>
      <c r="L23" s="22">
        <v>86.299000000000007</v>
      </c>
      <c r="M23" s="22">
        <v>109.708</v>
      </c>
      <c r="N23" s="22">
        <v>104.17700000000001</v>
      </c>
      <c r="O23" s="11" t="s">
        <v>62</v>
      </c>
    </row>
    <row r="24" spans="1:15" ht="21" x14ac:dyDescent="0.25">
      <c r="A24" s="9" t="s">
        <v>63</v>
      </c>
      <c r="B24" s="10">
        <f>SUM(C24:N24)</f>
        <v>996.82600000000002</v>
      </c>
      <c r="C24" s="22">
        <v>78.09</v>
      </c>
      <c r="D24" s="22">
        <v>76.090999999999994</v>
      </c>
      <c r="E24" s="22">
        <v>92.061999999999998</v>
      </c>
      <c r="F24" s="22">
        <v>93.165999999999997</v>
      </c>
      <c r="G24" s="22">
        <v>94.494</v>
      </c>
      <c r="H24" s="22">
        <v>87.099000000000004</v>
      </c>
      <c r="I24" s="22">
        <v>69.183999999999997</v>
      </c>
      <c r="J24" s="22">
        <v>92.882999999999996</v>
      </c>
      <c r="K24" s="22">
        <v>80.600999999999999</v>
      </c>
      <c r="L24" s="22">
        <v>76.206000000000003</v>
      </c>
      <c r="M24" s="22">
        <v>79.341999999999999</v>
      </c>
      <c r="N24" s="22">
        <v>77.608000000000004</v>
      </c>
      <c r="O24" s="11" t="s">
        <v>64</v>
      </c>
    </row>
    <row r="25" spans="1:15" ht="21" x14ac:dyDescent="0.25">
      <c r="A25" s="9" t="s">
        <v>65</v>
      </c>
      <c r="B25" s="10">
        <f t="shared" si="3"/>
        <v>811.75200999999993</v>
      </c>
      <c r="C25" s="22">
        <v>52.495599999999996</v>
      </c>
      <c r="D25" s="22">
        <v>58.832099999999997</v>
      </c>
      <c r="E25" s="22">
        <v>75.090100000000007</v>
      </c>
      <c r="F25" s="22">
        <v>73.598749999999995</v>
      </c>
      <c r="G25" s="22">
        <v>75.639600000000002</v>
      </c>
      <c r="H25" s="22">
        <v>69.403399999999991</v>
      </c>
      <c r="I25" s="22">
        <v>69.971000000000004</v>
      </c>
      <c r="J25" s="22">
        <v>71.748000000000005</v>
      </c>
      <c r="K25" s="22">
        <v>66.353399999999993</v>
      </c>
      <c r="L25" s="22">
        <v>62.13456</v>
      </c>
      <c r="M25" s="22">
        <v>65.873000000000005</v>
      </c>
      <c r="N25" s="22">
        <v>70.612499999999997</v>
      </c>
      <c r="O25" s="11" t="s">
        <v>66</v>
      </c>
    </row>
    <row r="26" spans="1:15" ht="21" x14ac:dyDescent="0.25">
      <c r="A26" s="9" t="s">
        <v>67</v>
      </c>
      <c r="B26" s="10">
        <f t="shared" si="3"/>
        <v>763.73300000000017</v>
      </c>
      <c r="C26" s="22">
        <v>63.51</v>
      </c>
      <c r="D26" s="22">
        <v>50.008000000000003</v>
      </c>
      <c r="E26" s="22">
        <v>63.008000000000003</v>
      </c>
      <c r="F26" s="22">
        <v>64.497</v>
      </c>
      <c r="G26" s="22">
        <v>74.936999999999998</v>
      </c>
      <c r="H26" s="22">
        <v>67.350999999999999</v>
      </c>
      <c r="I26" s="22">
        <v>67.222999999999999</v>
      </c>
      <c r="J26" s="22">
        <v>65.741</v>
      </c>
      <c r="K26" s="22">
        <v>63.360999999999997</v>
      </c>
      <c r="L26" s="22">
        <v>59.262</v>
      </c>
      <c r="M26" s="22">
        <v>64.616</v>
      </c>
      <c r="N26" s="22">
        <v>60.219000000000001</v>
      </c>
      <c r="O26" s="11" t="s">
        <v>68</v>
      </c>
    </row>
    <row r="27" spans="1:15" ht="21" x14ac:dyDescent="0.25">
      <c r="A27" s="9" t="s">
        <v>69</v>
      </c>
      <c r="B27" s="10">
        <f t="shared" si="3"/>
        <v>1192.066</v>
      </c>
      <c r="C27" s="22">
        <v>90.962000000000003</v>
      </c>
      <c r="D27" s="22">
        <v>82.65</v>
      </c>
      <c r="E27" s="22">
        <v>107.089</v>
      </c>
      <c r="F27" s="22">
        <v>109.90600000000001</v>
      </c>
      <c r="G27" s="22">
        <v>116.294</v>
      </c>
      <c r="H27" s="22">
        <v>98.462000000000003</v>
      </c>
      <c r="I27" s="22">
        <v>97.79</v>
      </c>
      <c r="J27" s="22">
        <v>100.139</v>
      </c>
      <c r="K27" s="22">
        <v>101.673</v>
      </c>
      <c r="L27" s="22">
        <v>96.763000000000005</v>
      </c>
      <c r="M27" s="22">
        <v>96.882000000000005</v>
      </c>
      <c r="N27" s="22">
        <v>93.456000000000003</v>
      </c>
      <c r="O27" s="11" t="s">
        <v>70</v>
      </c>
    </row>
    <row r="28" spans="1:15" ht="21" x14ac:dyDescent="0.25">
      <c r="A28" s="9" t="s">
        <v>71</v>
      </c>
      <c r="B28" s="10">
        <f t="shared" si="3"/>
        <v>3133.058</v>
      </c>
      <c r="C28" s="22">
        <v>241.203</v>
      </c>
      <c r="D28" s="22">
        <v>241.42099999999999</v>
      </c>
      <c r="E28" s="22">
        <v>291.76299999999998</v>
      </c>
      <c r="F28" s="22">
        <v>283.113</v>
      </c>
      <c r="G28" s="22">
        <v>280.95499999999998</v>
      </c>
      <c r="H28" s="22">
        <v>253.316</v>
      </c>
      <c r="I28" s="22">
        <v>273.18900000000002</v>
      </c>
      <c r="J28" s="22">
        <v>272.666</v>
      </c>
      <c r="K28" s="22">
        <v>245.01499999999999</v>
      </c>
      <c r="L28" s="22">
        <v>276.37099999999998</v>
      </c>
      <c r="M28" s="22">
        <v>240.88800000000001</v>
      </c>
      <c r="N28" s="22">
        <v>233.15799999999999</v>
      </c>
      <c r="O28" s="11" t="s">
        <v>72</v>
      </c>
    </row>
    <row r="29" spans="1:15" ht="21" x14ac:dyDescent="0.25">
      <c r="A29" s="9" t="s">
        <v>73</v>
      </c>
      <c r="B29" s="10">
        <f t="shared" si="3"/>
        <v>2930.6479999999997</v>
      </c>
      <c r="C29" s="22">
        <v>237.149</v>
      </c>
      <c r="D29" s="22">
        <v>233.39400000000001</v>
      </c>
      <c r="E29" s="22">
        <v>277.00299999999999</v>
      </c>
      <c r="F29" s="22">
        <v>269.56200000000001</v>
      </c>
      <c r="G29" s="22">
        <v>259.19499999999999</v>
      </c>
      <c r="H29" s="22">
        <v>239.41499999999999</v>
      </c>
      <c r="I29" s="22">
        <v>244.32</v>
      </c>
      <c r="J29" s="22">
        <v>250.82900000000001</v>
      </c>
      <c r="K29" s="22">
        <v>225.029</v>
      </c>
      <c r="L29" s="22">
        <v>212.50800000000001</v>
      </c>
      <c r="M29" s="22">
        <v>237.96299999999999</v>
      </c>
      <c r="N29" s="22">
        <v>244.28100000000001</v>
      </c>
      <c r="O29" s="11" t="s">
        <v>74</v>
      </c>
    </row>
    <row r="30" spans="1:15" ht="21" x14ac:dyDescent="0.25">
      <c r="A30" s="9" t="s">
        <v>75</v>
      </c>
      <c r="B30" s="10">
        <f t="shared" si="3"/>
        <v>1030.758</v>
      </c>
      <c r="C30" s="22">
        <v>71.882999999999996</v>
      </c>
      <c r="D30" s="22">
        <v>70.117000000000004</v>
      </c>
      <c r="E30" s="22">
        <v>90.341999999999999</v>
      </c>
      <c r="F30" s="22">
        <v>88.95</v>
      </c>
      <c r="G30" s="22">
        <v>95.658000000000001</v>
      </c>
      <c r="H30" s="22">
        <v>89.271000000000001</v>
      </c>
      <c r="I30" s="22">
        <v>88.876999999999995</v>
      </c>
      <c r="J30" s="22">
        <v>96.037000000000006</v>
      </c>
      <c r="K30" s="22">
        <v>84.481999999999999</v>
      </c>
      <c r="L30" s="22">
        <v>83.248000000000005</v>
      </c>
      <c r="M30" s="22">
        <v>84.69</v>
      </c>
      <c r="N30" s="22">
        <v>87.203000000000003</v>
      </c>
      <c r="O30" s="11" t="s">
        <v>76</v>
      </c>
    </row>
    <row r="31" spans="1:15" ht="21" x14ac:dyDescent="0.25">
      <c r="A31" s="9" t="s">
        <v>77</v>
      </c>
      <c r="B31" s="10">
        <f t="shared" si="3"/>
        <v>695.81727999999998</v>
      </c>
      <c r="C31" s="22">
        <v>50.933699999999995</v>
      </c>
      <c r="D31" s="22">
        <v>48.1492</v>
      </c>
      <c r="E31" s="22">
        <v>60.447499999999998</v>
      </c>
      <c r="F31" s="22">
        <v>60.17998</v>
      </c>
      <c r="G31" s="22">
        <v>69.658199999999994</v>
      </c>
      <c r="H31" s="22">
        <v>60.955500000000001</v>
      </c>
      <c r="I31" s="22">
        <v>62.600300000000004</v>
      </c>
      <c r="J31" s="22">
        <v>63.239599999999996</v>
      </c>
      <c r="K31" s="22">
        <v>59.375099999999996</v>
      </c>
      <c r="L31" s="22">
        <v>53.932699999999997</v>
      </c>
      <c r="M31" s="22">
        <v>53.273499999999999</v>
      </c>
      <c r="N31" s="22">
        <v>53.072000000000003</v>
      </c>
      <c r="O31" s="11" t="s">
        <v>78</v>
      </c>
    </row>
    <row r="32" spans="1:15" ht="21" x14ac:dyDescent="0.25">
      <c r="A32" s="9" t="s">
        <v>79</v>
      </c>
      <c r="B32" s="10">
        <f t="shared" si="3"/>
        <v>1932.1550000000002</v>
      </c>
      <c r="C32" s="22">
        <v>134.02500000000001</v>
      </c>
      <c r="D32" s="22">
        <v>141.096</v>
      </c>
      <c r="E32" s="22">
        <v>187.57499999999999</v>
      </c>
      <c r="F32" s="22">
        <v>178.5</v>
      </c>
      <c r="G32" s="22">
        <v>164.33099999999999</v>
      </c>
      <c r="H32" s="22">
        <v>132.345</v>
      </c>
      <c r="I32" s="22">
        <v>148.47399999999999</v>
      </c>
      <c r="J32" s="22">
        <v>162.429</v>
      </c>
      <c r="K32" s="22">
        <v>138.096</v>
      </c>
      <c r="L32" s="22">
        <v>130.34899999999999</v>
      </c>
      <c r="M32" s="22">
        <v>144.245</v>
      </c>
      <c r="N32" s="22">
        <v>270.69</v>
      </c>
      <c r="O32" s="11" t="s">
        <v>80</v>
      </c>
    </row>
    <row r="33" spans="1:15" ht="21" x14ac:dyDescent="0.25">
      <c r="A33" s="9" t="s">
        <v>81</v>
      </c>
      <c r="B33" s="10">
        <f t="shared" si="3"/>
        <v>1340.0379999999998</v>
      </c>
      <c r="C33" s="22">
        <v>101.533</v>
      </c>
      <c r="D33" s="22">
        <v>99.119</v>
      </c>
      <c r="E33" s="22">
        <v>119.705</v>
      </c>
      <c r="F33" s="22">
        <v>125.301</v>
      </c>
      <c r="G33" s="22">
        <v>132.065</v>
      </c>
      <c r="H33" s="22">
        <v>113.55500000000001</v>
      </c>
      <c r="I33" s="22">
        <v>114.229</v>
      </c>
      <c r="J33" s="22">
        <v>116.749</v>
      </c>
      <c r="K33" s="22">
        <v>113.726</v>
      </c>
      <c r="L33" s="22">
        <v>103.56100000000001</v>
      </c>
      <c r="M33" s="22">
        <v>100.821</v>
      </c>
      <c r="N33" s="22">
        <v>99.674000000000007</v>
      </c>
      <c r="O33" s="11" t="s">
        <v>82</v>
      </c>
    </row>
    <row r="34" spans="1:15" ht="21" x14ac:dyDescent="0.25">
      <c r="A34" s="9" t="s">
        <v>83</v>
      </c>
      <c r="B34" s="10">
        <f t="shared" si="3"/>
        <v>3804.6169999999997</v>
      </c>
      <c r="C34" s="22">
        <v>288.44099999999997</v>
      </c>
      <c r="D34" s="22">
        <v>275.08999999999997</v>
      </c>
      <c r="E34" s="22">
        <v>334.02800000000002</v>
      </c>
      <c r="F34" s="22">
        <v>353.44499999999999</v>
      </c>
      <c r="G34" s="22">
        <v>358.10300000000001</v>
      </c>
      <c r="H34" s="22">
        <v>318.89400000000001</v>
      </c>
      <c r="I34" s="22">
        <v>333.14100000000002</v>
      </c>
      <c r="J34" s="22">
        <v>340.66899999999998</v>
      </c>
      <c r="K34" s="22">
        <v>311.31599999999997</v>
      </c>
      <c r="L34" s="22">
        <v>293.26900000000001</v>
      </c>
      <c r="M34" s="22">
        <v>294.67500000000001</v>
      </c>
      <c r="N34" s="22">
        <v>303.54599999999999</v>
      </c>
      <c r="O34" s="11" t="s">
        <v>84</v>
      </c>
    </row>
    <row r="35" spans="1:15" ht="21" x14ac:dyDescent="0.25">
      <c r="A35" s="9" t="s">
        <v>85</v>
      </c>
      <c r="B35" s="10">
        <f t="shared" si="3"/>
        <v>888.97899999999993</v>
      </c>
      <c r="C35" s="22">
        <v>71.265000000000001</v>
      </c>
      <c r="D35" s="22">
        <v>68.73</v>
      </c>
      <c r="E35" s="22">
        <v>84.629000000000005</v>
      </c>
      <c r="F35" s="22">
        <v>80.338999999999999</v>
      </c>
      <c r="G35" s="22">
        <v>80.947000000000003</v>
      </c>
      <c r="H35" s="22">
        <v>72.869</v>
      </c>
      <c r="I35" s="22">
        <v>75.341999999999999</v>
      </c>
      <c r="J35" s="22">
        <v>82.578000000000003</v>
      </c>
      <c r="K35" s="22">
        <v>69.221999999999994</v>
      </c>
      <c r="L35" s="22">
        <v>65.272000000000006</v>
      </c>
      <c r="M35" s="22">
        <v>68.938999999999993</v>
      </c>
      <c r="N35" s="22">
        <v>68.846999999999994</v>
      </c>
      <c r="O35" s="11" t="s">
        <v>86</v>
      </c>
    </row>
    <row r="36" spans="1:15" ht="21" x14ac:dyDescent="0.25">
      <c r="A36" s="9" t="s">
        <v>87</v>
      </c>
      <c r="B36" s="10">
        <f t="shared" si="3"/>
        <v>231.262</v>
      </c>
      <c r="C36" s="22">
        <v>14.865</v>
      </c>
      <c r="D36" s="22">
        <v>15.670999999999999</v>
      </c>
      <c r="E36" s="22">
        <v>18.898</v>
      </c>
      <c r="F36" s="22">
        <v>20.077999999999999</v>
      </c>
      <c r="G36" s="22">
        <v>22.673999999999999</v>
      </c>
      <c r="H36" s="22">
        <v>18.428999999999998</v>
      </c>
      <c r="I36" s="22">
        <v>22.773</v>
      </c>
      <c r="J36" s="22">
        <v>19.501999999999999</v>
      </c>
      <c r="K36" s="22">
        <v>18.93</v>
      </c>
      <c r="L36" s="22">
        <v>17.968</v>
      </c>
      <c r="M36" s="22">
        <v>19.239000000000001</v>
      </c>
      <c r="N36" s="22">
        <v>22.234999999999999</v>
      </c>
      <c r="O36" s="11" t="s">
        <v>88</v>
      </c>
    </row>
    <row r="37" spans="1:15" ht="21" x14ac:dyDescent="0.25">
      <c r="A37" s="9" t="s">
        <v>89</v>
      </c>
      <c r="B37" s="10">
        <f t="shared" si="3"/>
        <v>392.41399999999999</v>
      </c>
      <c r="C37" s="22">
        <v>32.999000000000002</v>
      </c>
      <c r="D37" s="22">
        <v>32.014000000000003</v>
      </c>
      <c r="E37" s="22">
        <v>37.091000000000001</v>
      </c>
      <c r="F37" s="22">
        <v>35.085999999999999</v>
      </c>
      <c r="G37" s="22">
        <v>38.832999999999998</v>
      </c>
      <c r="H37" s="22">
        <v>33.191000000000003</v>
      </c>
      <c r="I37" s="22">
        <v>31.792999999999999</v>
      </c>
      <c r="J37" s="22">
        <v>33.448</v>
      </c>
      <c r="K37" s="22">
        <v>29.219000000000001</v>
      </c>
      <c r="L37" s="22">
        <v>27.917999999999999</v>
      </c>
      <c r="M37" s="22">
        <v>27.181000000000001</v>
      </c>
      <c r="N37" s="22">
        <v>33.640999999999998</v>
      </c>
      <c r="O37" s="11" t="s">
        <v>90</v>
      </c>
    </row>
    <row r="38" spans="1:15" ht="21" x14ac:dyDescent="0.25">
      <c r="A38" s="9" t="s">
        <v>91</v>
      </c>
      <c r="B38" s="10">
        <f t="shared" si="3"/>
        <v>1693.425</v>
      </c>
      <c r="C38" s="22">
        <v>126.81699999999999</v>
      </c>
      <c r="D38" s="22">
        <v>124.054</v>
      </c>
      <c r="E38" s="22">
        <v>151.37799999999999</v>
      </c>
      <c r="F38" s="22">
        <v>149.75700000000001</v>
      </c>
      <c r="G38" s="22">
        <v>161.79400000000001</v>
      </c>
      <c r="H38" s="22">
        <v>144.19399999999999</v>
      </c>
      <c r="I38" s="22">
        <v>147.02699999999999</v>
      </c>
      <c r="J38" s="22">
        <v>152.00299999999999</v>
      </c>
      <c r="K38" s="22">
        <v>137.005</v>
      </c>
      <c r="L38" s="22">
        <v>131.68600000000001</v>
      </c>
      <c r="M38" s="22">
        <v>133.85499999999999</v>
      </c>
      <c r="N38" s="22">
        <v>133.85499999999999</v>
      </c>
      <c r="O38" s="11" t="s">
        <v>92</v>
      </c>
    </row>
    <row r="39" spans="1:15" ht="21" x14ac:dyDescent="0.25">
      <c r="A39" s="9" t="s">
        <v>93</v>
      </c>
      <c r="B39" s="10">
        <f t="shared" si="3"/>
        <v>1193.5564999999999</v>
      </c>
      <c r="C39" s="22">
        <v>87.791800000000009</v>
      </c>
      <c r="D39" s="22">
        <v>88.378699999999995</v>
      </c>
      <c r="E39" s="22">
        <v>103.6283</v>
      </c>
      <c r="F39" s="22">
        <v>107.83239999999999</v>
      </c>
      <c r="G39" s="22">
        <v>106.4867</v>
      </c>
      <c r="H39" s="22">
        <v>95.515799999999999</v>
      </c>
      <c r="I39" s="22">
        <v>100.85680000000001</v>
      </c>
      <c r="J39" s="22">
        <v>108.8176</v>
      </c>
      <c r="K39" s="22">
        <v>94.754199999999997</v>
      </c>
      <c r="L39" s="22">
        <v>86.938299999999998</v>
      </c>
      <c r="M39" s="22">
        <v>89.44189999999999</v>
      </c>
      <c r="N39" s="22">
        <v>123.114</v>
      </c>
      <c r="O39" s="11" t="s">
        <v>94</v>
      </c>
    </row>
    <row r="40" spans="1:15" ht="21" x14ac:dyDescent="0.25">
      <c r="A40" s="9" t="s">
        <v>95</v>
      </c>
      <c r="B40" s="10">
        <f t="shared" si="3"/>
        <v>903.18099999999993</v>
      </c>
      <c r="C40" s="22">
        <v>64.784999999999997</v>
      </c>
      <c r="D40" s="22">
        <v>62.319000000000003</v>
      </c>
      <c r="E40" s="22">
        <v>87.813000000000002</v>
      </c>
      <c r="F40" s="22">
        <v>79.784999999999997</v>
      </c>
      <c r="G40" s="22">
        <v>78.748999999999995</v>
      </c>
      <c r="H40" s="22">
        <v>70.076999999999998</v>
      </c>
      <c r="I40" s="22">
        <v>79.894000000000005</v>
      </c>
      <c r="J40" s="22">
        <v>84.832999999999998</v>
      </c>
      <c r="K40" s="22">
        <v>74.290000000000006</v>
      </c>
      <c r="L40" s="22">
        <v>71.311000000000007</v>
      </c>
      <c r="M40" s="22">
        <v>70.337999999999994</v>
      </c>
      <c r="N40" s="22">
        <v>78.986999999999995</v>
      </c>
      <c r="O40" s="11" t="s">
        <v>96</v>
      </c>
    </row>
    <row r="41" spans="1:15" ht="21" x14ac:dyDescent="0.25">
      <c r="A41" s="9" t="s">
        <v>97</v>
      </c>
      <c r="B41" s="10">
        <f t="shared" si="3"/>
        <v>957.01199999999994</v>
      </c>
      <c r="C41" s="22">
        <v>86.501499999999993</v>
      </c>
      <c r="D41" s="22">
        <v>88.20689999999999</v>
      </c>
      <c r="E41" s="22">
        <v>103.40360000000001</v>
      </c>
      <c r="F41" s="22">
        <v>95.094999999999999</v>
      </c>
      <c r="G41" s="22">
        <v>64.584099999999992</v>
      </c>
      <c r="H41" s="22">
        <v>69.009</v>
      </c>
      <c r="I41" s="22">
        <v>69.964699999999993</v>
      </c>
      <c r="J41" s="22">
        <v>83.395399999999995</v>
      </c>
      <c r="K41" s="22">
        <v>60.667400000000001</v>
      </c>
      <c r="L41" s="22">
        <v>58.157800000000002</v>
      </c>
      <c r="M41" s="22">
        <v>76.219100000000012</v>
      </c>
      <c r="N41" s="22">
        <v>101.8075</v>
      </c>
      <c r="O41" s="11" t="s">
        <v>98</v>
      </c>
    </row>
    <row r="42" spans="1:15" ht="21" x14ac:dyDescent="0.25">
      <c r="A42" s="9" t="s">
        <v>99</v>
      </c>
      <c r="B42" s="10">
        <f>SUM(C42:N42)</f>
        <v>1111.316</v>
      </c>
      <c r="C42" s="22">
        <v>82.64</v>
      </c>
      <c r="D42" s="22">
        <v>84.013999999999996</v>
      </c>
      <c r="E42" s="22">
        <v>101.568</v>
      </c>
      <c r="F42" s="22">
        <v>108.583</v>
      </c>
      <c r="G42" s="22">
        <v>107.989</v>
      </c>
      <c r="H42" s="22">
        <v>86.018000000000001</v>
      </c>
      <c r="I42" s="22">
        <v>97.382999999999996</v>
      </c>
      <c r="J42" s="22">
        <v>102.607</v>
      </c>
      <c r="K42" s="22">
        <v>88.225999999999999</v>
      </c>
      <c r="L42" s="22">
        <v>76.978999999999999</v>
      </c>
      <c r="M42" s="22">
        <v>87.584999999999994</v>
      </c>
      <c r="N42" s="22">
        <v>87.724000000000004</v>
      </c>
      <c r="O42" s="11" t="s">
        <v>100</v>
      </c>
    </row>
    <row r="43" spans="1:15" ht="21" x14ac:dyDescent="0.25">
      <c r="A43" s="13" t="s">
        <v>101</v>
      </c>
      <c r="B43" s="14">
        <f t="shared" si="3"/>
        <v>215.81900000000002</v>
      </c>
      <c r="C43" s="23">
        <v>10.612</v>
      </c>
      <c r="D43" s="23">
        <v>5.82</v>
      </c>
      <c r="E43" s="23">
        <v>15.28</v>
      </c>
      <c r="F43" s="23">
        <v>16.510000000000002</v>
      </c>
      <c r="G43" s="23">
        <v>24.06</v>
      </c>
      <c r="H43" s="23">
        <v>20.917000000000002</v>
      </c>
      <c r="I43" s="23">
        <v>17.100000000000001</v>
      </c>
      <c r="J43" s="23">
        <v>18.649999999999999</v>
      </c>
      <c r="K43" s="23">
        <v>17.5</v>
      </c>
      <c r="L43" s="23">
        <v>19.82</v>
      </c>
      <c r="M43" s="23">
        <v>23.09</v>
      </c>
      <c r="N43" s="23">
        <v>26.46</v>
      </c>
      <c r="O43" s="15" t="s">
        <v>102</v>
      </c>
    </row>
    <row r="44" spans="1:15" ht="16.5" x14ac:dyDescent="0.35">
      <c r="A44" s="16" t="s">
        <v>6</v>
      </c>
      <c r="B44" s="17"/>
      <c r="C44" s="18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" t="s">
        <v>7</v>
      </c>
    </row>
    <row r="45" spans="1:15" x14ac:dyDescent="0.25">
      <c r="B45" s="21"/>
    </row>
  </sheetData>
  <mergeCells count="5">
    <mergeCell ref="A2:O2"/>
    <mergeCell ref="A3:O3"/>
    <mergeCell ref="A4:O4"/>
    <mergeCell ref="A5:A6"/>
    <mergeCell ref="O5:O6"/>
  </mergeCells>
  <pageMargins left="0.7" right="0.7" top="0.75" bottom="0.75" header="0.3" footer="0.3"/>
  <pageSetup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2021-10-13T06:16:33Z</cp:lastPrinted>
  <dcterms:created xsi:type="dcterms:W3CDTF">2019-05-21T05:57:01Z</dcterms:created>
  <dcterms:modified xsi:type="dcterms:W3CDTF">2021-10-13T06:16:45Z</dcterms:modified>
</cp:coreProperties>
</file>