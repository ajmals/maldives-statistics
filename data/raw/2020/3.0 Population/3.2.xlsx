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2" sheetId="2" r:id="rId1"/>
    <sheet name="3.9" sheetId="8" r:id="rId2"/>
    <sheet name="3.18" sheetId="18" r:id="rId3"/>
  </sheets>
  <externalReferences>
    <externalReference r:id="rId4"/>
    <externalReference r:id="rId5"/>
    <externalReference r:id="rId6"/>
  </externalReferences>
  <definedNames>
    <definedName name="_xlnm.Print_Area" localSheetId="0">'3.2'!$A$1:$P$64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18" l="1"/>
  <c r="B47" i="18"/>
  <c r="AQ14" i="8"/>
  <c r="AP14" i="8"/>
  <c r="AQ13" i="8"/>
  <c r="AP13" i="8"/>
  <c r="AQ12" i="8"/>
  <c r="AO10" i="8"/>
  <c r="AO14" i="8" s="1"/>
  <c r="AO9" i="8"/>
  <c r="AR8" i="8"/>
  <c r="AQ8" i="8"/>
  <c r="AP8" i="8"/>
  <c r="AP12" i="8" s="1"/>
  <c r="AO8" i="8"/>
  <c r="AO7" i="8"/>
  <c r="AO6" i="8"/>
  <c r="AO13" i="8" s="1"/>
  <c r="AR5" i="8"/>
  <c r="AQ5" i="8"/>
  <c r="AP5" i="8"/>
  <c r="AO5" i="8" s="1"/>
  <c r="AO12" i="8" l="1"/>
  <c r="Z99" i="18" l="1"/>
  <c r="Y99" i="18"/>
  <c r="X99" i="18"/>
  <c r="W99" i="18"/>
  <c r="V99" i="18"/>
  <c r="U99" i="18"/>
  <c r="T99" i="18"/>
  <c r="S99" i="18"/>
  <c r="Z98" i="18"/>
  <c r="Y98" i="18"/>
  <c r="X98" i="18"/>
  <c r="W98" i="18"/>
  <c r="V98" i="18"/>
  <c r="U98" i="18"/>
  <c r="T98" i="18"/>
  <c r="S98" i="18"/>
  <c r="B84" i="18"/>
  <c r="B83" i="18"/>
  <c r="L81" i="18"/>
  <c r="K81" i="18"/>
  <c r="J81" i="18"/>
  <c r="I81" i="18"/>
  <c r="H81" i="18"/>
  <c r="G81" i="18"/>
  <c r="F81" i="18"/>
  <c r="E81" i="18"/>
  <c r="D81" i="18"/>
  <c r="C81" i="18"/>
  <c r="B81" i="18"/>
  <c r="L80" i="18"/>
  <c r="K80" i="18"/>
  <c r="J80" i="18"/>
  <c r="I80" i="18"/>
  <c r="H80" i="18"/>
  <c r="G80" i="18"/>
  <c r="F80" i="18"/>
  <c r="E80" i="18"/>
  <c r="C80" i="18"/>
  <c r="B80" i="18"/>
  <c r="L78" i="18"/>
  <c r="K78" i="18"/>
  <c r="J78" i="18"/>
  <c r="I78" i="18"/>
  <c r="H78" i="18"/>
  <c r="G78" i="18"/>
  <c r="F78" i="18"/>
  <c r="E78" i="18"/>
  <c r="D78" i="18"/>
  <c r="C78" i="18"/>
  <c r="B78" i="18"/>
  <c r="L77" i="18"/>
  <c r="K77" i="18"/>
  <c r="J77" i="18"/>
  <c r="I77" i="18"/>
  <c r="H77" i="18"/>
  <c r="G77" i="18"/>
  <c r="F77" i="18"/>
  <c r="E77" i="18"/>
  <c r="C77" i="18"/>
  <c r="B77" i="18"/>
  <c r="L75" i="18"/>
  <c r="K75" i="18"/>
  <c r="J75" i="18"/>
  <c r="I75" i="18"/>
  <c r="H75" i="18"/>
  <c r="G75" i="18"/>
  <c r="F75" i="18"/>
  <c r="E75" i="18"/>
  <c r="D75" i="18"/>
  <c r="C75" i="18"/>
  <c r="B75" i="18"/>
  <c r="L74" i="18"/>
  <c r="K74" i="18"/>
  <c r="J74" i="18"/>
  <c r="I74" i="18"/>
  <c r="H74" i="18"/>
  <c r="G74" i="18"/>
  <c r="F74" i="18"/>
  <c r="E74" i="18"/>
  <c r="C74" i="18"/>
  <c r="B74" i="18"/>
  <c r="L72" i="18"/>
  <c r="K72" i="18"/>
  <c r="J72" i="18"/>
  <c r="I72" i="18"/>
  <c r="H72" i="18"/>
  <c r="G72" i="18"/>
  <c r="F72" i="18"/>
  <c r="E72" i="18"/>
  <c r="D72" i="18"/>
  <c r="C72" i="18"/>
  <c r="B72" i="18"/>
  <c r="L71" i="18"/>
  <c r="K71" i="18"/>
  <c r="J71" i="18"/>
  <c r="I71" i="18"/>
  <c r="H71" i="18"/>
  <c r="G71" i="18"/>
  <c r="F71" i="18"/>
  <c r="E71" i="18"/>
  <c r="C71" i="18"/>
  <c r="B71" i="18"/>
  <c r="L69" i="18"/>
  <c r="K69" i="18"/>
  <c r="J69" i="18"/>
  <c r="I69" i="18"/>
  <c r="H69" i="18"/>
  <c r="G69" i="18"/>
  <c r="F69" i="18"/>
  <c r="E69" i="18"/>
  <c r="B69" i="18"/>
  <c r="L68" i="18"/>
  <c r="K68" i="18"/>
  <c r="J68" i="18"/>
  <c r="I68" i="18"/>
  <c r="H68" i="18"/>
  <c r="G68" i="18"/>
  <c r="F68" i="18"/>
  <c r="E68" i="18"/>
  <c r="B68" i="18"/>
  <c r="L66" i="18"/>
  <c r="K66" i="18"/>
  <c r="J66" i="18"/>
  <c r="I66" i="18"/>
  <c r="H66" i="18"/>
  <c r="G66" i="18"/>
  <c r="F66" i="18"/>
  <c r="E66" i="18"/>
  <c r="B66" i="18"/>
  <c r="L65" i="18"/>
  <c r="K65" i="18"/>
  <c r="J65" i="18"/>
  <c r="I65" i="18"/>
  <c r="H65" i="18"/>
  <c r="G65" i="18"/>
  <c r="F65" i="18"/>
  <c r="E65" i="18"/>
  <c r="B65" i="18"/>
  <c r="L63" i="18"/>
  <c r="K63" i="18"/>
  <c r="J63" i="18"/>
  <c r="I63" i="18"/>
  <c r="H63" i="18"/>
  <c r="G63" i="18"/>
  <c r="F63" i="18"/>
  <c r="E63" i="18"/>
  <c r="B63" i="18"/>
  <c r="L62" i="18"/>
  <c r="K62" i="18"/>
  <c r="J62" i="18"/>
  <c r="I62" i="18"/>
  <c r="H62" i="18"/>
  <c r="G62" i="18"/>
  <c r="F62" i="18"/>
  <c r="E62" i="18"/>
  <c r="B62" i="18"/>
  <c r="L60" i="18"/>
  <c r="K60" i="18"/>
  <c r="J60" i="18"/>
  <c r="I60" i="18"/>
  <c r="H60" i="18"/>
  <c r="G60" i="18"/>
  <c r="F60" i="18"/>
  <c r="E60" i="18"/>
  <c r="B60" i="18"/>
  <c r="L59" i="18"/>
  <c r="K59" i="18"/>
  <c r="J59" i="18"/>
  <c r="I59" i="18"/>
  <c r="H59" i="18"/>
  <c r="G59" i="18"/>
  <c r="F59" i="18"/>
  <c r="E59" i="18"/>
  <c r="B59" i="18"/>
  <c r="L57" i="18"/>
  <c r="K57" i="18"/>
  <c r="J57" i="18"/>
  <c r="I57" i="18"/>
  <c r="H57" i="18"/>
  <c r="G57" i="18"/>
  <c r="F57" i="18"/>
  <c r="E57" i="18"/>
  <c r="B57" i="18"/>
  <c r="L56" i="18"/>
  <c r="K56" i="18"/>
  <c r="J56" i="18"/>
  <c r="I56" i="18"/>
  <c r="H56" i="18"/>
  <c r="G56" i="18"/>
  <c r="F56" i="18"/>
  <c r="E56" i="18"/>
  <c r="B56" i="18"/>
  <c r="L54" i="18"/>
  <c r="K54" i="18"/>
  <c r="J54" i="18"/>
  <c r="I54" i="18"/>
  <c r="H54" i="18"/>
  <c r="G54" i="18"/>
  <c r="F54" i="18"/>
  <c r="E54" i="18"/>
  <c r="B54" i="18"/>
  <c r="L53" i="18"/>
  <c r="K53" i="18"/>
  <c r="J53" i="18"/>
  <c r="I53" i="18"/>
  <c r="H53" i="18"/>
  <c r="G53" i="18"/>
  <c r="F53" i="18"/>
  <c r="E53" i="18"/>
  <c r="B53" i="18"/>
  <c r="B45" i="18"/>
  <c r="B96" i="18" s="1"/>
  <c r="B44" i="18"/>
  <c r="B95" i="18" s="1"/>
  <c r="B42" i="18"/>
  <c r="B93" i="18" s="1"/>
  <c r="B41" i="18"/>
  <c r="B92" i="18" s="1"/>
  <c r="B39" i="18"/>
  <c r="B90" i="18" s="1"/>
  <c r="B38" i="18"/>
  <c r="B89" i="18" s="1"/>
  <c r="B36" i="18"/>
  <c r="D35" i="18"/>
  <c r="B35" i="18"/>
  <c r="D32" i="18"/>
  <c r="D80" i="18" s="1"/>
  <c r="D29" i="18"/>
  <c r="D77" i="18" s="1"/>
  <c r="D26" i="18"/>
  <c r="D74" i="18" s="1"/>
  <c r="D23" i="18"/>
  <c r="D71" i="18" s="1"/>
  <c r="E92" i="18" l="1"/>
  <c r="E95" i="18"/>
  <c r="L95" i="18"/>
  <c r="K95" i="18"/>
  <c r="J95" i="18"/>
  <c r="I95" i="18"/>
  <c r="H95" i="18"/>
  <c r="F95" i="18"/>
  <c r="G95" i="18"/>
  <c r="L93" i="18"/>
  <c r="L96" i="18"/>
  <c r="K96" i="18"/>
  <c r="J96" i="18"/>
  <c r="I96" i="18"/>
  <c r="H96" i="18"/>
  <c r="G96" i="18"/>
  <c r="F96" i="18"/>
  <c r="E96" i="18"/>
  <c r="G83" i="18"/>
  <c r="H83" i="18"/>
  <c r="B86" i="18"/>
  <c r="K86" i="18"/>
  <c r="I89" i="18"/>
  <c r="D83" i="18"/>
  <c r="G92" i="18"/>
  <c r="H90" i="18"/>
  <c r="F83" i="18"/>
  <c r="C84" i="18"/>
  <c r="K84" i="18"/>
  <c r="J86" i="18"/>
  <c r="I87" i="18"/>
  <c r="H89" i="18"/>
  <c r="G90" i="18"/>
  <c r="F92" i="18"/>
  <c r="E93" i="18"/>
  <c r="L86" i="18"/>
  <c r="K87" i="18"/>
  <c r="J89" i="18"/>
  <c r="I90" i="18"/>
  <c r="H92" i="18"/>
  <c r="G93" i="18"/>
  <c r="J87" i="18"/>
  <c r="I83" i="18"/>
  <c r="F84" i="18"/>
  <c r="E86" i="18"/>
  <c r="B87" i="18"/>
  <c r="L87" i="18"/>
  <c r="K89" i="18"/>
  <c r="J90" i="18"/>
  <c r="I92" i="18"/>
  <c r="H93" i="18"/>
  <c r="J83" i="18"/>
  <c r="G84" i="18"/>
  <c r="F86" i="18"/>
  <c r="E87" i="18"/>
  <c r="L89" i="18"/>
  <c r="K90" i="18"/>
  <c r="J92" i="18"/>
  <c r="I93" i="18"/>
  <c r="E84" i="18"/>
  <c r="C83" i="18"/>
  <c r="K83" i="18"/>
  <c r="H84" i="18"/>
  <c r="G86" i="18"/>
  <c r="F87" i="18"/>
  <c r="E89" i="18"/>
  <c r="L90" i="18"/>
  <c r="K92" i="18"/>
  <c r="J93" i="18"/>
  <c r="D84" i="18"/>
  <c r="L84" i="18"/>
  <c r="F93" i="18"/>
  <c r="L83" i="18"/>
  <c r="I84" i="18"/>
  <c r="H86" i="18"/>
  <c r="G87" i="18"/>
  <c r="F89" i="18"/>
  <c r="E90" i="18"/>
  <c r="L92" i="18"/>
  <c r="K93" i="18"/>
  <c r="E83" i="18"/>
  <c r="J84" i="18"/>
  <c r="I86" i="18"/>
  <c r="H87" i="18"/>
  <c r="G89" i="18"/>
  <c r="F90" i="18"/>
  <c r="AM14" i="8" l="1"/>
  <c r="AL14" i="8"/>
  <c r="AI14" i="8"/>
  <c r="AH14" i="8"/>
  <c r="W14" i="8"/>
  <c r="V14" i="8"/>
  <c r="U14" i="8"/>
  <c r="R14" i="8"/>
  <c r="Q14" i="8"/>
  <c r="P14" i="8"/>
  <c r="M14" i="8"/>
  <c r="L14" i="8"/>
  <c r="K14" i="8"/>
  <c r="J14" i="8"/>
  <c r="AM13" i="8"/>
  <c r="AL13" i="8"/>
  <c r="AI13" i="8"/>
  <c r="AH13" i="8"/>
  <c r="W13" i="8"/>
  <c r="V13" i="8"/>
  <c r="U13" i="8"/>
  <c r="R13" i="8"/>
  <c r="Q13" i="8"/>
  <c r="P13" i="8"/>
  <c r="M13" i="8"/>
  <c r="L13" i="8"/>
  <c r="K13" i="8"/>
  <c r="J13" i="8"/>
  <c r="AK10" i="8"/>
  <c r="AG10" i="8"/>
  <c r="AC10" i="8"/>
  <c r="Y10" i="8"/>
  <c r="T10" i="8"/>
  <c r="O10" i="8"/>
  <c r="AK9" i="8"/>
  <c r="AG9" i="8"/>
  <c r="AC9" i="8"/>
  <c r="Y9" i="8"/>
  <c r="T9" i="8"/>
  <c r="T13" i="8" s="1"/>
  <c r="O9" i="8"/>
  <c r="O8" i="8" s="1"/>
  <c r="AN8" i="8"/>
  <c r="AM8" i="8"/>
  <c r="AL8" i="8"/>
  <c r="AJ8" i="8"/>
  <c r="AI8" i="8"/>
  <c r="AH8" i="8"/>
  <c r="AF8" i="8"/>
  <c r="AE8" i="8"/>
  <c r="AD8" i="8"/>
  <c r="AB8" i="8"/>
  <c r="AA8" i="8"/>
  <c r="Z8" i="8"/>
  <c r="W8" i="8"/>
  <c r="V8" i="8"/>
  <c r="U8" i="8"/>
  <c r="R8" i="8"/>
  <c r="Q8" i="8"/>
  <c r="P8" i="8"/>
  <c r="AK7" i="8"/>
  <c r="AG7" i="8"/>
  <c r="AC7" i="8"/>
  <c r="Y7" i="8"/>
  <c r="T7" i="8"/>
  <c r="O7" i="8"/>
  <c r="D7" i="8"/>
  <c r="AK6" i="8"/>
  <c r="AG6" i="8"/>
  <c r="AC6" i="8"/>
  <c r="Y6" i="8"/>
  <c r="T6" i="8"/>
  <c r="O6" i="8"/>
  <c r="O13" i="8" s="1"/>
  <c r="D6" i="8"/>
  <c r="D5" i="8" s="1"/>
  <c r="AN5" i="8"/>
  <c r="AM5" i="8"/>
  <c r="AL5" i="8"/>
  <c r="AJ5" i="8"/>
  <c r="AI5" i="8"/>
  <c r="AH5" i="8"/>
  <c r="AF5" i="8"/>
  <c r="AE5" i="8"/>
  <c r="AD5" i="8"/>
  <c r="AB5" i="8"/>
  <c r="AA5" i="8"/>
  <c r="Z5" i="8"/>
  <c r="W5" i="8"/>
  <c r="V5" i="8"/>
  <c r="U5" i="8"/>
  <c r="R5" i="8"/>
  <c r="Q5" i="8"/>
  <c r="P5" i="8"/>
  <c r="M5" i="8"/>
  <c r="M12" i="8" s="1"/>
  <c r="L5" i="8"/>
  <c r="L12" i="8" s="1"/>
  <c r="K5" i="8"/>
  <c r="K12" i="8" s="1"/>
  <c r="J5" i="8"/>
  <c r="J12" i="8" s="1"/>
  <c r="G5" i="8"/>
  <c r="F5" i="8"/>
  <c r="E5" i="8"/>
  <c r="W12" i="8" l="1"/>
  <c r="AI12" i="8"/>
  <c r="BL21" i="8" s="1"/>
  <c r="Y8" i="8"/>
  <c r="AG13" i="8"/>
  <c r="Y5" i="8"/>
  <c r="V12" i="8"/>
  <c r="BI21" i="8" s="1"/>
  <c r="AK8" i="8"/>
  <c r="AK12" i="8" s="1"/>
  <c r="AH12" i="8"/>
  <c r="BL20" i="8" s="1"/>
  <c r="AC5" i="8"/>
  <c r="AG14" i="8"/>
  <c r="AK5" i="8"/>
  <c r="AC13" i="8"/>
  <c r="AK14" i="8"/>
  <c r="P12" i="8"/>
  <c r="BH20" i="8" s="1"/>
  <c r="AK13" i="8"/>
  <c r="Q12" i="8"/>
  <c r="BH21" i="8" s="1"/>
  <c r="AM12" i="8"/>
  <c r="O14" i="8"/>
  <c r="T5" i="8"/>
  <c r="R12" i="8"/>
  <c r="AC8" i="8"/>
  <c r="T14" i="8"/>
  <c r="AG5" i="8"/>
  <c r="U12" i="8"/>
  <c r="BI20" i="8" s="1"/>
  <c r="AE12" i="8"/>
  <c r="BK21" i="8" s="1"/>
  <c r="AC14" i="8"/>
  <c r="AG8" i="8"/>
  <c r="AD12" i="8"/>
  <c r="BK20" i="8" s="1"/>
  <c r="AL12" i="8"/>
  <c r="O5" i="8"/>
  <c r="O12" i="8" s="1"/>
  <c r="T8" i="8"/>
  <c r="T12" i="8" s="1"/>
  <c r="AC12" i="8" l="1"/>
  <c r="AG12" i="8"/>
  <c r="AI96" i="2" l="1"/>
  <c r="AI94" i="2"/>
  <c r="AH94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I80" i="2"/>
  <c r="AH80" i="2"/>
  <c r="AG80" i="2"/>
  <c r="AI79" i="2"/>
  <c r="AH79" i="2"/>
  <c r="AG79" i="2"/>
  <c r="AI72" i="2"/>
  <c r="AG72" i="2" s="1"/>
  <c r="AH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I58" i="2"/>
  <c r="AG58" i="2" s="1"/>
  <c r="AH58" i="2"/>
  <c r="AI57" i="2"/>
  <c r="AH57" i="2"/>
  <c r="AG57" i="2"/>
  <c r="AI55" i="2"/>
  <c r="AI47" i="2"/>
  <c r="AG47" i="2" s="1"/>
  <c r="AH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I33" i="2"/>
  <c r="AG33" i="2" s="1"/>
  <c r="AH33" i="2"/>
  <c r="AI32" i="2"/>
  <c r="AH32" i="2"/>
  <c r="AG32" i="2"/>
  <c r="N32" i="2"/>
  <c r="N31" i="2"/>
  <c r="N30" i="2"/>
  <c r="N29" i="2"/>
  <c r="N28" i="2"/>
  <c r="N27" i="2"/>
  <c r="N26" i="2"/>
  <c r="N25" i="2"/>
  <c r="N24" i="2"/>
  <c r="AI23" i="2"/>
  <c r="AH23" i="2"/>
  <c r="AG23" i="2"/>
  <c r="N23" i="2"/>
  <c r="AG22" i="2"/>
  <c r="N22" i="2"/>
  <c r="AG21" i="2"/>
  <c r="N21" i="2"/>
  <c r="AG20" i="2"/>
  <c r="N20" i="2"/>
  <c r="AG19" i="2"/>
  <c r="N19" i="2"/>
  <c r="AG18" i="2"/>
  <c r="N18" i="2"/>
  <c r="AG17" i="2"/>
  <c r="N17" i="2"/>
  <c r="AG16" i="2"/>
  <c r="N16" i="2"/>
  <c r="AG15" i="2"/>
  <c r="N15" i="2"/>
  <c r="AG14" i="2"/>
  <c r="N14" i="2"/>
  <c r="AG13" i="2"/>
  <c r="N13" i="2"/>
  <c r="AG12" i="2"/>
  <c r="N12" i="2"/>
  <c r="AG11" i="2"/>
  <c r="N11" i="2"/>
  <c r="AG10" i="2"/>
  <c r="N10" i="2"/>
  <c r="AI9" i="2"/>
  <c r="AH9" i="2"/>
  <c r="AG9" i="2"/>
  <c r="AI8" i="2"/>
  <c r="AG8" i="2" s="1"/>
  <c r="AH8" i="2"/>
  <c r="P8" i="2"/>
  <c r="O8" i="2"/>
  <c r="N8" i="2" s="1"/>
  <c r="H8" i="2"/>
  <c r="G8" i="2"/>
  <c r="F8" i="2"/>
  <c r="D8" i="2"/>
  <c r="C8" i="2"/>
  <c r="B8" i="2"/>
</calcChain>
</file>

<file path=xl/sharedStrings.xml><?xml version="1.0" encoding="utf-8"?>
<sst xmlns="http://schemas.openxmlformats.org/spreadsheetml/2006/main" count="366" uniqueCount="91">
  <si>
    <t>cscnijed</t>
  </si>
  <si>
    <t>cnehirif</t>
  </si>
  <si>
    <t>cnehcnwa</t>
  </si>
  <si>
    <t>Both Sexes</t>
  </si>
  <si>
    <t>Male</t>
  </si>
  <si>
    <t>Female</t>
  </si>
  <si>
    <t>Source: National Bureau of Statistics</t>
  </si>
  <si>
    <t>މައުލޫމާތު ދެއްވި ފަރާތް: ނޭޝަނަލް ބިއުރޯ އޮފް ސްޓެޓިސްޓިކްސް</t>
  </si>
  <si>
    <t xml:space="preserve"> 2014 idwa 2006 ، 2000 ,1995 cnunemihOb ,cnutog egcscnij iaWaWrufurumua IdWbWa egcnihevid : 3.2 ulwvWt</t>
  </si>
  <si>
    <t>Table 3.2 : TOTAL MALDIVIAN POPULATION BY AGE AND SEX, CENSUS, 1995, 2000,  2006 AND 2014</t>
  </si>
  <si>
    <t>1995 Census</t>
  </si>
  <si>
    <t>1995 cnunemihOb</t>
  </si>
  <si>
    <t>2000 Census</t>
  </si>
  <si>
    <t>2000 cnunemihOb</t>
  </si>
  <si>
    <t>2006 Census</t>
  </si>
  <si>
    <t>2006 cnunemihOb</t>
  </si>
  <si>
    <t>2014 Census</t>
  </si>
  <si>
    <t>2014 cnunemihOb</t>
  </si>
  <si>
    <t>Wrufurumua</t>
  </si>
  <si>
    <t>Age group</t>
  </si>
  <si>
    <t>wlcmuj</t>
  </si>
  <si>
    <t>Total</t>
  </si>
  <si>
    <t>0-4</t>
  </si>
  <si>
    <t xml:space="preserve">cSwdcnurwhwa 1 </t>
  </si>
  <si>
    <t>5 - 9</t>
  </si>
  <si>
    <t>Less than 1 year</t>
  </si>
  <si>
    <t>10 - 14</t>
  </si>
  <si>
    <t>1 - 4</t>
  </si>
  <si>
    <t>15 - 19</t>
  </si>
  <si>
    <t>5</t>
  </si>
  <si>
    <t>20 - 24</t>
  </si>
  <si>
    <t>6 - 9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</si>
  <si>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</si>
  <si>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</si>
  <si>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</si>
  <si>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</si>
  <si>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</si>
  <si>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</si>
  <si>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</si>
  <si>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</si>
  <si>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</si>
  <si>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</si>
  <si>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75+</t>
  </si>
  <si>
    <t>75 - 79</t>
  </si>
  <si>
    <t>80 - 84</t>
  </si>
  <si>
    <t>85 - 89</t>
  </si>
  <si>
    <t>90 - 94</t>
  </si>
  <si>
    <t>95 years and over</t>
  </si>
  <si>
    <t>Age not stated</t>
  </si>
  <si>
    <t>Republic</t>
  </si>
  <si>
    <t>-</t>
  </si>
  <si>
    <t>Male'</t>
  </si>
  <si>
    <t>Atolls</t>
  </si>
  <si>
    <t xml:space="preserve">މިނިސްޓްރީ އޮފް ހެލްތު </t>
  </si>
  <si>
    <t>Particulars</t>
  </si>
  <si>
    <t>clIBcfwt</t>
  </si>
  <si>
    <t>Abroad</t>
  </si>
  <si>
    <r>
      <t xml:space="preserve">     Live Births </t>
    </r>
    <r>
      <rPr>
        <b/>
        <vertAlign val="superscript"/>
        <sz val="10"/>
        <rFont val="Calibri"/>
        <family val="2"/>
      </rPr>
      <t>1_/</t>
    </r>
  </si>
  <si>
    <t xml:space="preserve"> 1- / cniduk ibitiriduriaivcnwfua   </t>
  </si>
  <si>
    <t xml:space="preserve">     Male</t>
  </si>
  <si>
    <t xml:space="preserve">cnehirif     </t>
  </si>
  <si>
    <t xml:space="preserve">     Female</t>
  </si>
  <si>
    <t xml:space="preserve">cnehcnwa     </t>
  </si>
  <si>
    <t>Infant Deaths</t>
  </si>
  <si>
    <t xml:space="preserve">cnidukwDukivurwm   </t>
  </si>
  <si>
    <t>Infant Mortality (IMR)</t>
  </si>
  <si>
    <t xml:space="preserve">  -uriaivcnwfua ) cTErWvurwm cnidukwDuk   </t>
  </si>
  <si>
    <t xml:space="preserve"> Rate ('000) Live Births</t>
  </si>
  <si>
    <t xml:space="preserve">( cSokctwbcsin cSwkwjcauk / 000 emcnok iruhirid   </t>
  </si>
  <si>
    <r>
      <t xml:space="preserve">Note: </t>
    </r>
    <r>
      <rPr>
        <i/>
        <vertAlign val="superscript"/>
        <sz val="9"/>
        <rFont val="Calibri"/>
        <family val="2"/>
      </rPr>
      <t xml:space="preserve"> 1_/</t>
    </r>
    <r>
      <rPr>
        <i/>
        <sz val="9"/>
        <rFont val="Calibri"/>
        <family val="2"/>
      </rPr>
      <t xml:space="preserve"> Total include Maldivians born abroad</t>
    </r>
  </si>
  <si>
    <t>ނޯޓް: ޖުމްލައިގެތެރޭގައި ރާއްޖެއިން ބޭރުގައި އުފަންވިކުދިން ހިމެނިފައި</t>
  </si>
  <si>
    <r>
      <rPr>
        <b/>
        <i/>
        <sz val="9"/>
        <rFont val="Calibri"/>
        <family val="2"/>
      </rPr>
      <t>Source:</t>
    </r>
    <r>
      <rPr>
        <i/>
        <sz val="9"/>
        <rFont val="Calibri"/>
        <family val="2"/>
      </rPr>
      <t xml:space="preserve"> Ministry of Health </t>
    </r>
  </si>
  <si>
    <t>Age of bride &amp; bridegroom</t>
  </si>
  <si>
    <t>18 &amp; Over</t>
  </si>
  <si>
    <t>18-19</t>
  </si>
  <si>
    <t>50 &amp; Over</t>
  </si>
  <si>
    <t>އަނބިމީހާއާއި ފިރިމީހާގެ ޢުމުރު</t>
  </si>
  <si>
    <t>Persons married</t>
  </si>
  <si>
    <t>ކައިވެނި ކުރި މީހުންގެ ޢަދަދު</t>
  </si>
  <si>
    <t>Persons divorced</t>
  </si>
  <si>
    <t>ވަރިވި މީހުންގެ ޢަދަދު</t>
  </si>
  <si>
    <t>Percentage Share</t>
  </si>
  <si>
    <t>ބެހިހިފައިވާ ގޮތް (އިންސައްތަ)</t>
  </si>
  <si>
    <t>18 - 19</t>
  </si>
  <si>
    <r>
      <t xml:space="preserve">  ނޯޓް: ދިވެހިރާއްޖޭގެ އާއިލާއާއިބެ</t>
    </r>
    <r>
      <rPr>
        <sz val="9"/>
        <color indexed="8"/>
        <rFont val="Faruma"/>
      </rPr>
      <t>ހޭ ގާނޫނުގައިވާ ގޮތުގެ މަތިން ކައިވެނިކުރެވޭ އުމުރަކީ 18 އަހަރެވެ. އަދި މަތީގައިވާ  ތާވަލުގައި ބަޔާންކޮށްފައިވާ 15-19 އަހަރާދެމެދުގައި ކައިވެނި އަދި ވަރިކޮށްފައިވާ މީހުންގެ އުމުރަކީ 18 އަހަރާއި 19 އަހަރެވެ.</t>
    </r>
  </si>
  <si>
    <t>Source: Family Court</t>
  </si>
  <si>
    <t>މަޢުލޫމާތު ދެއްވި ފަރާތް: އާއިލާ އާއިބެހޭ ކޯޓް</t>
  </si>
  <si>
    <t>Table 3.9 :  LIVE BIRTHS AND INFANT DEATHS, 2015 - 2019</t>
  </si>
  <si>
    <t>2019-2015 ,cnidukwDukivurwm iaWncnidukwDuk ibitirid uriaivcnwfua  : 3.9  ulwvWt</t>
  </si>
  <si>
    <t>ތާވަލު 3.18: އަނބިމީހާއާއި ފިރިމީހާގެ ޢުމުރުފުރައިގެ ގޮތުން މާލޭގައި ކައިވެނިކުރި މީހުންނާއި ވަރިކުރި މީހުންގެ ޢަދަދު، 2011 - 2019</t>
  </si>
  <si>
    <t>Table 3.18 :NUMBER OF PERSONS MARRIED AND DIVORCED,IN MALE', BY AGE GROUP OF BRIDE AND GROOM, 2011 - 2019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</si>
</sst>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69" formatCode="_-* #,##0\ _ރ_._-;_-* #,##0\ _ރ_.\-;_-* &quot;-&quot;??\ _ރ_._-;_-@_-"/>
    <numFmt numFmtId="170" formatCode="0.0"/>
    <numFmt numFmtId="172" formatCode="_(* #,##0_);_(* \(#,##0\);_(* &quot;-&quot;??_);_(@_)"/>
    <numFmt numFmtId="176" formatCode="#,##0\ &quot;ރ.&quot;_-;#,##0\ &quot;ރ.&quot;\-"/>
    <numFmt numFmtId="177" formatCode="#,##0.0"/>
    <numFmt numFmtId="178" formatCode="_(* #,##0.0_);_(* \(#,##0.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b/>
      <i/>
      <sz val="9"/>
      <name val="Calibri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10"/>
      <name val="A_Randhoo"/>
    </font>
    <font>
      <sz val="11"/>
      <name val="Courier"/>
      <family val="3"/>
    </font>
    <font>
      <sz val="7"/>
      <name val="Arial"/>
      <family val="2"/>
    </font>
    <font>
      <b/>
      <sz val="8"/>
      <color rgb="FF000000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0"/>
      <name val="Faruma"/>
    </font>
    <font>
      <b/>
      <vertAlign val="superscript"/>
      <sz val="10"/>
      <name val="Calibri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vertAlign val="superscript"/>
      <sz val="9"/>
      <name val="Calibri"/>
      <family val="2"/>
    </font>
    <font>
      <sz val="10"/>
      <name val="Comic Sans MS"/>
      <family val="4"/>
    </font>
    <font>
      <sz val="10"/>
      <color indexed="8"/>
      <name val="Calibri"/>
      <family val="2"/>
    </font>
    <font>
      <sz val="9"/>
      <color indexed="8"/>
      <name val="Faruma"/>
    </font>
    <font>
      <sz val="10"/>
      <color indexed="8"/>
      <name val="Mv Iyyu Nala"/>
    </font>
    <font>
      <sz val="10"/>
      <color indexed="8"/>
      <name val="Courier"/>
      <family val="3"/>
    </font>
    <font>
      <sz val="8"/>
      <name val="Faruma"/>
    </font>
    <font>
      <b/>
      <sz val="10"/>
      <color indexed="10"/>
      <name val="Calibri"/>
      <family val="2"/>
    </font>
    <font>
      <b/>
      <sz val="10"/>
      <color indexed="10"/>
      <name val="Courier"/>
      <family val="3"/>
    </font>
    <font>
      <b/>
      <sz val="10"/>
      <name val="A_Faseyha"/>
    </font>
    <font>
      <sz val="10"/>
      <name val="A_Faseyh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8">
    <xf numFmtId="0" fontId="0" fillId="0" borderId="0"/>
    <xf numFmtId="164" fontId="2" fillId="0" borderId="0"/>
    <xf numFmtId="0" fontId="18" fillId="0" borderId="0"/>
    <xf numFmtId="0" fontId="3" fillId="0" borderId="0"/>
    <xf numFmtId="0" fontId="18" fillId="0" borderId="0"/>
    <xf numFmtId="168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30" fillId="0" borderId="0"/>
    <xf numFmtId="0" fontId="18" fillId="0" borderId="0"/>
    <xf numFmtId="0" fontId="18" fillId="0" borderId="0"/>
    <xf numFmtId="0" fontId="1" fillId="0" borderId="0"/>
    <xf numFmtId="164" fontId="2" fillId="0" borderId="0"/>
    <xf numFmtId="164" fontId="2" fillId="0" borderId="0"/>
    <xf numFmtId="0" fontId="18" fillId="0" borderId="0"/>
    <xf numFmtId="176" fontId="2" fillId="0" borderId="0"/>
    <xf numFmtId="0" fontId="3" fillId="0" borderId="0"/>
    <xf numFmtId="43" fontId="3" fillId="0" borderId="0" applyFont="0" applyFill="0" applyBorder="0" applyAlignment="0" applyProtection="0"/>
  </cellStyleXfs>
  <cellXfs count="261">
    <xf numFmtId="0" fontId="0" fillId="0" borderId="0" xfId="0"/>
    <xf numFmtId="164" fontId="3" fillId="3" borderId="0" xfId="1" applyFont="1" applyFill="1"/>
    <xf numFmtId="2" fontId="17" fillId="3" borderId="0" xfId="1" applyNumberFormat="1" applyFont="1" applyFill="1" applyBorder="1" applyAlignment="1" applyProtection="1">
      <alignment vertical="center"/>
      <protection locked="0"/>
    </xf>
    <xf numFmtId="164" fontId="16" fillId="3" borderId="0" xfId="1" applyFont="1" applyFill="1" applyAlignment="1" applyProtection="1">
      <alignment horizontal="left" vertical="center"/>
    </xf>
    <xf numFmtId="3" fontId="19" fillId="3" borderId="0" xfId="2" applyNumberFormat="1" applyFont="1" applyFill="1" applyBorder="1" applyAlignment="1">
      <alignment horizontal="right" vertical="center"/>
    </xf>
    <xf numFmtId="0" fontId="20" fillId="3" borderId="0" xfId="2" applyFont="1" applyFill="1" applyBorder="1"/>
    <xf numFmtId="37" fontId="11" fillId="3" borderId="0" xfId="1" applyNumberFormat="1" applyFont="1" applyFill="1" applyBorder="1" applyAlignment="1" applyProtection="1">
      <alignment horizontal="right" vertical="center"/>
      <protection locked="0"/>
    </xf>
    <xf numFmtId="4" fontId="11" fillId="3" borderId="0" xfId="1" applyNumberFormat="1" applyFont="1" applyFill="1" applyBorder="1" applyAlignment="1" applyProtection="1">
      <alignment horizontal="right" vertical="center"/>
      <protection locked="0"/>
    </xf>
    <xf numFmtId="164" fontId="3" fillId="3" borderId="0" xfId="1" applyFont="1" applyFill="1" applyBorder="1" applyAlignment="1">
      <alignment horizontal="right" vertical="center"/>
    </xf>
    <xf numFmtId="49" fontId="11" fillId="3" borderId="0" xfId="3" applyNumberFormat="1" applyFont="1" applyFill="1" applyBorder="1" applyAlignment="1">
      <alignment horizontal="center"/>
    </xf>
    <xf numFmtId="3" fontId="11" fillId="3" borderId="0" xfId="3" applyNumberFormat="1" applyFont="1" applyFill="1" applyBorder="1"/>
    <xf numFmtId="49" fontId="11" fillId="3" borderId="0" xfId="3" applyNumberFormat="1" applyFont="1" applyFill="1" applyAlignment="1">
      <alignment horizontal="center"/>
    </xf>
    <xf numFmtId="3" fontId="11" fillId="3" borderId="0" xfId="3" applyNumberFormat="1" applyFont="1" applyFill="1"/>
    <xf numFmtId="0" fontId="3" fillId="3" borderId="0" xfId="3" applyFill="1" applyAlignment="1">
      <alignment horizontal="centerContinuous" vertical="center"/>
    </xf>
    <xf numFmtId="0" fontId="3" fillId="3" borderId="0" xfId="3" applyFill="1"/>
    <xf numFmtId="0" fontId="3" fillId="3" borderId="1" xfId="3" applyFill="1" applyBorder="1"/>
    <xf numFmtId="0" fontId="5" fillId="3" borderId="0" xfId="3" applyFont="1" applyFill="1" applyBorder="1"/>
    <xf numFmtId="0" fontId="21" fillId="3" borderId="6" xfId="3" applyFont="1" applyFill="1" applyBorder="1" applyAlignment="1">
      <alignment horizontal="centerContinuous" vertical="center"/>
    </xf>
    <xf numFmtId="0" fontId="11" fillId="3" borderId="6" xfId="3" applyFont="1" applyFill="1" applyBorder="1" applyAlignment="1">
      <alignment horizontal="left" vertical="center"/>
    </xf>
    <xf numFmtId="0" fontId="8" fillId="3" borderId="0" xfId="3" applyFont="1" applyFill="1" applyBorder="1" applyAlignment="1">
      <alignment horizontal="center" vertical="center"/>
    </xf>
    <xf numFmtId="0" fontId="18" fillId="3" borderId="6" xfId="3" applyFont="1" applyFill="1" applyBorder="1"/>
    <xf numFmtId="0" fontId="3" fillId="3" borderId="0" xfId="3" applyFill="1" applyBorder="1"/>
    <xf numFmtId="0" fontId="4" fillId="3" borderId="1" xfId="3" applyFont="1" applyFill="1" applyBorder="1" applyAlignment="1">
      <alignment horizontal="center"/>
    </xf>
    <xf numFmtId="0" fontId="4" fillId="3" borderId="1" xfId="3" applyFont="1" applyFill="1" applyBorder="1" applyAlignment="1">
      <alignment horizontal="right"/>
    </xf>
    <xf numFmtId="3" fontId="3" fillId="3" borderId="0" xfId="3" applyNumberFormat="1" applyFill="1" applyBorder="1"/>
    <xf numFmtId="0" fontId="10" fillId="3" borderId="0" xfId="3" applyFont="1" applyFill="1" applyBorder="1" applyAlignment="1">
      <alignment horizontal="center" vertical="center"/>
    </xf>
    <xf numFmtId="0" fontId="5" fillId="3" borderId="0" xfId="3" applyFont="1" applyFill="1" applyAlignment="1">
      <alignment vertical="center"/>
    </xf>
    <xf numFmtId="0" fontId="11" fillId="3" borderId="0" xfId="3" applyFont="1" applyFill="1"/>
    <xf numFmtId="0" fontId="18" fillId="3" borderId="0" xfId="3" applyFont="1" applyFill="1" applyBorder="1"/>
    <xf numFmtId="0" fontId="18" fillId="3" borderId="0" xfId="3" applyFont="1" applyFill="1"/>
    <xf numFmtId="0" fontId="21" fillId="3" borderId="0" xfId="3" applyFont="1" applyFill="1" applyAlignment="1">
      <alignment horizontal="center"/>
    </xf>
    <xf numFmtId="3" fontId="4" fillId="3" borderId="0" xfId="3" applyNumberFormat="1" applyFont="1" applyFill="1"/>
    <xf numFmtId="3" fontId="4" fillId="3" borderId="0" xfId="0" applyNumberFormat="1" applyFont="1" applyFill="1"/>
    <xf numFmtId="0" fontId="22" fillId="3" borderId="0" xfId="3" applyFont="1" applyFill="1"/>
    <xf numFmtId="49" fontId="23" fillId="3" borderId="0" xfId="3" applyNumberFormat="1" applyFont="1" applyFill="1" applyAlignment="1">
      <alignment horizontal="center"/>
    </xf>
    <xf numFmtId="164" fontId="11" fillId="3" borderId="0" xfId="1" applyFont="1" applyFill="1"/>
    <xf numFmtId="0" fontId="24" fillId="3" borderId="0" xfId="3" applyFont="1" applyFill="1" applyBorder="1" applyAlignment="1">
      <alignment horizontal="center" vertical="center"/>
    </xf>
    <xf numFmtId="3" fontId="22" fillId="3" borderId="0" xfId="3" applyNumberFormat="1" applyFont="1" applyFill="1"/>
    <xf numFmtId="3" fontId="22" fillId="3" borderId="0" xfId="0" applyNumberFormat="1" applyFont="1" applyFill="1"/>
    <xf numFmtId="0" fontId="23" fillId="3" borderId="0" xfId="3" applyFont="1" applyFill="1" applyAlignment="1">
      <alignment horizontal="center" vertical="top"/>
    </xf>
    <xf numFmtId="3" fontId="13" fillId="3" borderId="0" xfId="3" applyNumberFormat="1" applyFont="1" applyFill="1" applyAlignment="1">
      <alignment horizontal="right" vertical="center"/>
    </xf>
    <xf numFmtId="3" fontId="13" fillId="3" borderId="0" xfId="0" applyNumberFormat="1" applyFont="1" applyFill="1" applyAlignment="1">
      <alignment horizontal="right" vertical="center"/>
    </xf>
    <xf numFmtId="0" fontId="22" fillId="3" borderId="0" xfId="3" applyFont="1" applyFill="1" applyAlignment="1">
      <alignment horizontal="right" vertical="center"/>
    </xf>
    <xf numFmtId="0" fontId="18" fillId="3" borderId="0" xfId="3" applyFont="1" applyFill="1" applyBorder="1" applyAlignment="1">
      <alignment vertical="top"/>
    </xf>
    <xf numFmtId="0" fontId="3" fillId="3" borderId="0" xfId="3" applyFill="1" applyBorder="1" applyAlignment="1">
      <alignment vertical="top"/>
    </xf>
    <xf numFmtId="0" fontId="3" fillId="3" borderId="0" xfId="3" applyFill="1" applyAlignment="1">
      <alignment vertical="top"/>
    </xf>
    <xf numFmtId="0" fontId="4" fillId="3" borderId="0" xfId="2" applyFont="1" applyFill="1" applyBorder="1" applyAlignment="1">
      <alignment horizontal="left" indent="1"/>
    </xf>
    <xf numFmtId="3" fontId="4" fillId="3" borderId="0" xfId="2" applyNumberFormat="1" applyFont="1" applyFill="1" applyBorder="1" applyAlignment="1">
      <alignment horizontal="right" indent="1"/>
    </xf>
    <xf numFmtId="0" fontId="13" fillId="3" borderId="0" xfId="4" applyFont="1" applyFill="1" applyBorder="1"/>
    <xf numFmtId="0" fontId="13" fillId="3" borderId="0" xfId="2" quotePrefix="1" applyFont="1" applyFill="1" applyBorder="1" applyAlignment="1">
      <alignment horizontal="left" indent="2"/>
    </xf>
    <xf numFmtId="3" fontId="13" fillId="3" borderId="0" xfId="2" applyNumberFormat="1" applyFont="1" applyFill="1" applyBorder="1" applyAlignment="1">
      <alignment horizontal="right" indent="1"/>
    </xf>
    <xf numFmtId="3" fontId="13" fillId="3" borderId="0" xfId="2" applyNumberFormat="1" applyFont="1" applyFill="1" applyBorder="1"/>
    <xf numFmtId="169" fontId="20" fillId="3" borderId="0" xfId="5" applyNumberFormat="1" applyFont="1" applyFill="1" applyBorder="1"/>
    <xf numFmtId="0" fontId="22" fillId="3" borderId="0" xfId="3" applyFont="1" applyFill="1" applyBorder="1" applyAlignment="1">
      <alignment horizontal="right" vertical="center"/>
    </xf>
    <xf numFmtId="164" fontId="25" fillId="3" borderId="0" xfId="1" applyFont="1" applyFill="1" applyAlignment="1">
      <alignment horizontal="right" vertical="center"/>
    </xf>
    <xf numFmtId="0" fontId="13" fillId="3" borderId="0" xfId="3" applyFont="1" applyFill="1" applyAlignment="1">
      <alignment horizontal="right" vertical="center"/>
    </xf>
    <xf numFmtId="0" fontId="23" fillId="3" borderId="1" xfId="3" applyFont="1" applyFill="1" applyBorder="1" applyAlignment="1">
      <alignment horizontal="center"/>
    </xf>
    <xf numFmtId="0" fontId="13" fillId="3" borderId="1" xfId="3" applyFont="1" applyFill="1" applyBorder="1" applyAlignment="1">
      <alignment horizontal="right" vertical="center"/>
    </xf>
    <xf numFmtId="3" fontId="13" fillId="3" borderId="1" xfId="3" applyNumberFormat="1" applyFont="1" applyFill="1" applyBorder="1" applyAlignment="1">
      <alignment horizontal="right" vertical="center"/>
    </xf>
    <xf numFmtId="3" fontId="13" fillId="3" borderId="1" xfId="0" applyNumberFormat="1" applyFont="1" applyFill="1" applyBorder="1" applyAlignment="1">
      <alignment horizontal="right" vertical="center"/>
    </xf>
    <xf numFmtId="164" fontId="25" fillId="3" borderId="1" xfId="1" applyFont="1" applyFill="1" applyBorder="1" applyAlignment="1">
      <alignment horizontal="right" vertical="center"/>
    </xf>
    <xf numFmtId="0" fontId="3" fillId="3" borderId="2" xfId="3" applyFill="1" applyBorder="1"/>
    <xf numFmtId="164" fontId="2" fillId="3" borderId="0" xfId="1" applyFill="1" applyBorder="1"/>
    <xf numFmtId="164" fontId="2" fillId="3" borderId="0" xfId="1" applyFill="1"/>
    <xf numFmtId="0" fontId="11" fillId="3" borderId="0" xfId="3" applyFont="1" applyFill="1" applyAlignment="1">
      <alignment vertical="center"/>
    </xf>
    <xf numFmtId="49" fontId="11" fillId="3" borderId="0" xfId="1" applyNumberFormat="1" applyFont="1" applyFill="1" applyBorder="1" applyAlignment="1" applyProtection="1">
      <alignment horizontal="right" vertical="center"/>
    </xf>
    <xf numFmtId="164" fontId="26" fillId="3" borderId="0" xfId="1" applyFont="1" applyFill="1" applyBorder="1" applyAlignment="1">
      <alignment horizontal="right" vertical="center"/>
    </xf>
    <xf numFmtId="37" fontId="9" fillId="3" borderId="0" xfId="1" applyNumberFormat="1" applyFont="1" applyFill="1" applyBorder="1" applyAlignment="1" applyProtection="1">
      <alignment horizontal="right" vertical="center"/>
    </xf>
    <xf numFmtId="164" fontId="5" fillId="3" borderId="0" xfId="1" applyFont="1" applyFill="1" applyBorder="1" applyAlignment="1">
      <alignment horizontal="right" vertical="center"/>
    </xf>
    <xf numFmtId="0" fontId="27" fillId="3" borderId="0" xfId="0" applyFont="1" applyFill="1" applyAlignment="1">
      <alignment horizontal="center" vertical="center" readingOrder="1"/>
    </xf>
    <xf numFmtId="3" fontId="3" fillId="3" borderId="0" xfId="3" applyNumberFormat="1" applyFill="1"/>
    <xf numFmtId="164" fontId="2" fillId="3" borderId="0" xfId="13" applyFill="1"/>
    <xf numFmtId="164" fontId="23" fillId="3" borderId="0" xfId="13" applyFont="1" applyFill="1"/>
    <xf numFmtId="3" fontId="35" fillId="3" borderId="0" xfId="12" applyNumberFormat="1" applyFont="1" applyFill="1" applyBorder="1" applyAlignment="1">
      <alignment horizontal="right" vertical="center"/>
    </xf>
    <xf numFmtId="3" fontId="36" fillId="3" borderId="0" xfId="12" applyNumberFormat="1" applyFont="1" applyFill="1" applyBorder="1" applyAlignment="1">
      <alignment horizontal="right" vertical="center"/>
    </xf>
    <xf numFmtId="1" fontId="36" fillId="3" borderId="0" xfId="12" applyNumberFormat="1" applyFont="1" applyFill="1" applyBorder="1" applyAlignment="1">
      <alignment horizontal="right" vertical="center"/>
    </xf>
    <xf numFmtId="3" fontId="36" fillId="3" borderId="0" xfId="12" applyNumberFormat="1" applyFont="1" applyFill="1" applyBorder="1" applyAlignment="1" applyProtection="1">
      <alignment horizontal="right" vertical="center"/>
      <protection locked="0"/>
    </xf>
    <xf numFmtId="1" fontId="35" fillId="3" borderId="0" xfId="12" applyNumberFormat="1" applyFont="1" applyFill="1" applyBorder="1" applyAlignment="1">
      <alignment horizontal="right" vertical="center"/>
    </xf>
    <xf numFmtId="164" fontId="18" fillId="3" borderId="0" xfId="13" applyFont="1" applyFill="1"/>
    <xf numFmtId="164" fontId="31" fillId="3" borderId="0" xfId="13" applyFont="1" applyFill="1" applyBorder="1" applyAlignment="1" applyProtection="1">
      <alignment horizontal="center" vertical="center"/>
    </xf>
    <xf numFmtId="164" fontId="31" fillId="3" borderId="7" xfId="13" applyFont="1" applyFill="1" applyBorder="1" applyAlignment="1" applyProtection="1">
      <alignment horizontal="center" vertical="center"/>
    </xf>
    <xf numFmtId="164" fontId="31" fillId="3" borderId="9" xfId="13" applyFont="1" applyFill="1" applyBorder="1" applyAlignment="1" applyProtection="1">
      <alignment horizontal="center" vertical="center"/>
    </xf>
    <xf numFmtId="164" fontId="5" fillId="3" borderId="0" xfId="13" applyFont="1" applyFill="1" applyAlignment="1">
      <alignment vertical="center"/>
    </xf>
    <xf numFmtId="164" fontId="31" fillId="3" borderId="1" xfId="13" applyFont="1" applyFill="1" applyBorder="1" applyAlignment="1">
      <alignment horizontal="right" vertical="top"/>
    </xf>
    <xf numFmtId="164" fontId="31" fillId="3" borderId="5" xfId="13" applyFont="1" applyFill="1" applyBorder="1" applyAlignment="1">
      <alignment horizontal="right" vertical="top"/>
    </xf>
    <xf numFmtId="164" fontId="31" fillId="3" borderId="1" xfId="13" applyFont="1" applyFill="1" applyBorder="1" applyAlignment="1">
      <alignment horizontal="right" vertical="center"/>
    </xf>
    <xf numFmtId="164" fontId="31" fillId="3" borderId="10" xfId="13" applyFont="1" applyFill="1" applyBorder="1" applyAlignment="1">
      <alignment horizontal="right" vertical="center"/>
    </xf>
    <xf numFmtId="164" fontId="31" fillId="3" borderId="11" xfId="13" applyFont="1" applyFill="1" applyBorder="1" applyAlignment="1">
      <alignment horizontal="right" vertical="center"/>
    </xf>
    <xf numFmtId="1" fontId="21" fillId="3" borderId="0" xfId="13" applyNumberFormat="1" applyFont="1" applyFill="1" applyAlignment="1" applyProtection="1">
      <alignment vertical="center"/>
    </xf>
    <xf numFmtId="3" fontId="31" fillId="3" borderId="0" xfId="0" applyNumberFormat="1" applyFont="1" applyFill="1" applyBorder="1" applyAlignment="1">
      <alignment horizontal="right" vertical="center"/>
    </xf>
    <xf numFmtId="3" fontId="21" fillId="3" borderId="0" xfId="0" applyNumberFormat="1" applyFont="1" applyFill="1" applyBorder="1" applyAlignment="1">
      <alignment horizontal="right" vertical="center"/>
    </xf>
    <xf numFmtId="3" fontId="21" fillId="3" borderId="4" xfId="0" applyNumberFormat="1" applyFont="1" applyFill="1" applyBorder="1" applyAlignment="1">
      <alignment horizontal="right" vertical="center"/>
    </xf>
    <xf numFmtId="1" fontId="5" fillId="3" borderId="0" xfId="13" applyNumberFormat="1" applyFont="1" applyFill="1" applyAlignment="1">
      <alignment horizontal="center" vertical="center"/>
    </xf>
    <xf numFmtId="1" fontId="23" fillId="3" borderId="0" xfId="13" applyNumberFormat="1" applyFont="1" applyFill="1" applyAlignment="1" applyProtection="1">
      <alignment horizontal="left" vertical="center"/>
    </xf>
    <xf numFmtId="172" fontId="32" fillId="3" borderId="0" xfId="7" applyNumberFormat="1" applyFont="1" applyFill="1" applyAlignment="1">
      <alignment horizontal="right" vertical="center"/>
    </xf>
    <xf numFmtId="172" fontId="23" fillId="3" borderId="0" xfId="7" applyNumberFormat="1" applyFont="1" applyFill="1" applyAlignment="1">
      <alignment horizontal="right" vertical="center"/>
    </xf>
    <xf numFmtId="172" fontId="23" fillId="3" borderId="0" xfId="7" applyNumberFormat="1" applyFont="1" applyFill="1" applyBorder="1" applyAlignment="1">
      <alignment horizontal="right" vertical="center"/>
    </xf>
    <xf numFmtId="3" fontId="23" fillId="3" borderId="0" xfId="12" applyNumberFormat="1" applyFont="1" applyFill="1" applyAlignment="1">
      <alignment horizontal="right" vertical="center"/>
    </xf>
    <xf numFmtId="3" fontId="23" fillId="3" borderId="4" xfId="12" applyNumberFormat="1" applyFont="1" applyFill="1" applyBorder="1" applyAlignment="1">
      <alignment horizontal="right" vertical="center"/>
    </xf>
    <xf numFmtId="3" fontId="23" fillId="3" borderId="0" xfId="12" applyNumberFormat="1" applyFont="1" applyFill="1" applyBorder="1" applyAlignment="1">
      <alignment horizontal="right" vertical="center"/>
    </xf>
    <xf numFmtId="1" fontId="18" fillId="3" borderId="0" xfId="13" applyNumberFormat="1" applyFont="1" applyFill="1" applyAlignment="1">
      <alignment horizontal="center" vertical="center"/>
    </xf>
    <xf numFmtId="1" fontId="21" fillId="3" borderId="0" xfId="13" applyNumberFormat="1" applyFont="1" applyFill="1" applyAlignment="1" applyProtection="1">
      <alignment horizontal="center" vertical="center"/>
    </xf>
    <xf numFmtId="3" fontId="31" fillId="3" borderId="0" xfId="12" applyNumberFormat="1" applyFont="1" applyFill="1" applyBorder="1" applyAlignment="1">
      <alignment horizontal="right" vertical="center"/>
    </xf>
    <xf numFmtId="3" fontId="21" fillId="3" borderId="0" xfId="12" applyNumberFormat="1" applyFont="1" applyFill="1" applyBorder="1" applyAlignment="1">
      <alignment horizontal="right" vertical="center"/>
    </xf>
    <xf numFmtId="3" fontId="21" fillId="3" borderId="4" xfId="12" applyNumberFormat="1" applyFont="1" applyFill="1" applyBorder="1" applyAlignment="1">
      <alignment horizontal="right" vertical="center"/>
    </xf>
    <xf numFmtId="3" fontId="32" fillId="3" borderId="0" xfId="12" applyNumberFormat="1" applyFont="1" applyFill="1" applyBorder="1" applyAlignment="1" applyProtection="1">
      <alignment horizontal="right" vertical="center"/>
      <protection locked="0"/>
    </xf>
    <xf numFmtId="3" fontId="23" fillId="3" borderId="0" xfId="12" applyNumberFormat="1" applyFont="1" applyFill="1" applyBorder="1" applyAlignment="1" applyProtection="1">
      <alignment horizontal="right" vertical="center"/>
      <protection locked="0"/>
    </xf>
    <xf numFmtId="3" fontId="23" fillId="3" borderId="4" xfId="12" applyNumberFormat="1" applyFont="1" applyFill="1" applyBorder="1" applyAlignment="1" applyProtection="1">
      <alignment horizontal="right" vertical="center"/>
      <protection locked="0"/>
    </xf>
    <xf numFmtId="1" fontId="31" fillId="3" borderId="0" xfId="12" applyNumberFormat="1" applyFont="1" applyFill="1" applyBorder="1" applyAlignment="1">
      <alignment horizontal="right" vertical="center"/>
    </xf>
    <xf numFmtId="1" fontId="21" fillId="3" borderId="0" xfId="12" applyNumberFormat="1" applyFont="1" applyFill="1" applyBorder="1" applyAlignment="1">
      <alignment horizontal="right" vertical="center"/>
    </xf>
    <xf numFmtId="1" fontId="21" fillId="3" borderId="4" xfId="12" applyNumberFormat="1" applyFont="1" applyFill="1" applyBorder="1" applyAlignment="1">
      <alignment horizontal="right" vertical="center"/>
    </xf>
    <xf numFmtId="1" fontId="21" fillId="3" borderId="0" xfId="13" applyNumberFormat="1" applyFont="1" applyFill="1" applyAlignment="1" applyProtection="1">
      <alignment horizontal="left" vertical="center"/>
    </xf>
    <xf numFmtId="49" fontId="21" fillId="3" borderId="0" xfId="12" applyNumberFormat="1" applyFont="1" applyFill="1" applyBorder="1" applyAlignment="1">
      <alignment horizontal="right" vertical="center"/>
    </xf>
    <xf numFmtId="49" fontId="21" fillId="3" borderId="4" xfId="12" applyNumberFormat="1" applyFont="1" applyFill="1" applyBorder="1" applyAlignment="1">
      <alignment horizontal="right" vertical="center"/>
    </xf>
    <xf numFmtId="1" fontId="32" fillId="3" borderId="0" xfId="12" applyNumberFormat="1" applyFont="1" applyFill="1" applyBorder="1" applyAlignment="1">
      <alignment horizontal="right" vertical="center"/>
    </xf>
    <xf numFmtId="49" fontId="23" fillId="3" borderId="0" xfId="12" applyNumberFormat="1" applyFont="1" applyFill="1" applyBorder="1" applyAlignment="1">
      <alignment horizontal="right" vertical="center"/>
    </xf>
    <xf numFmtId="1" fontId="23" fillId="3" borderId="0" xfId="12" applyNumberFormat="1" applyFont="1" applyFill="1" applyBorder="1" applyAlignment="1">
      <alignment horizontal="right" vertical="center"/>
    </xf>
    <xf numFmtId="49" fontId="23" fillId="3" borderId="4" xfId="12" applyNumberFormat="1" applyFont="1" applyFill="1" applyBorder="1" applyAlignment="1">
      <alignment horizontal="right" vertical="center"/>
    </xf>
    <xf numFmtId="1" fontId="23" fillId="3" borderId="4" xfId="12" applyNumberFormat="1" applyFont="1" applyFill="1" applyBorder="1" applyAlignment="1">
      <alignment horizontal="right" vertical="center"/>
    </xf>
    <xf numFmtId="1" fontId="29" fillId="3" borderId="0" xfId="12" applyNumberFormat="1" applyFont="1" applyFill="1" applyBorder="1" applyAlignment="1">
      <alignment horizontal="right" vertical="center"/>
    </xf>
    <xf numFmtId="1" fontId="23" fillId="3" borderId="1" xfId="13" applyNumberFormat="1" applyFont="1" applyFill="1" applyBorder="1" applyAlignment="1" applyProtection="1">
      <alignment horizontal="left" vertical="center"/>
    </xf>
    <xf numFmtId="1" fontId="32" fillId="3" borderId="1" xfId="12" applyNumberFormat="1" applyFont="1" applyFill="1" applyBorder="1" applyAlignment="1">
      <alignment horizontal="right" vertical="center"/>
    </xf>
    <xf numFmtId="49" fontId="23" fillId="3" borderId="1" xfId="12" applyNumberFormat="1" applyFont="1" applyFill="1" applyBorder="1" applyAlignment="1">
      <alignment horizontal="right" vertical="center"/>
    </xf>
    <xf numFmtId="1" fontId="23" fillId="3" borderId="1" xfId="12" applyNumberFormat="1" applyFont="1" applyFill="1" applyBorder="1" applyAlignment="1">
      <alignment horizontal="right" vertical="center"/>
    </xf>
    <xf numFmtId="49" fontId="23" fillId="3" borderId="5" xfId="12" applyNumberFormat="1" applyFont="1" applyFill="1" applyBorder="1" applyAlignment="1">
      <alignment horizontal="right" vertical="center"/>
    </xf>
    <xf numFmtId="1" fontId="23" fillId="3" borderId="5" xfId="12" applyNumberFormat="1" applyFont="1" applyFill="1" applyBorder="1" applyAlignment="1">
      <alignment horizontal="right" vertical="center"/>
    </xf>
    <xf numFmtId="164" fontId="16" fillId="3" borderId="0" xfId="12" applyFont="1" applyFill="1" applyAlignment="1" applyProtection="1">
      <alignment vertical="center"/>
    </xf>
    <xf numFmtId="164" fontId="17" fillId="3" borderId="0" xfId="12" applyFont="1" applyFill="1" applyAlignment="1" applyProtection="1">
      <alignment vertical="center"/>
      <protection hidden="1"/>
    </xf>
    <xf numFmtId="164" fontId="11" fillId="3" borderId="0" xfId="13" applyFont="1" applyFill="1" applyAlignment="1">
      <alignment vertical="center"/>
    </xf>
    <xf numFmtId="164" fontId="17" fillId="3" borderId="0" xfId="12" applyFont="1" applyFill="1" applyAlignment="1" applyProtection="1">
      <alignment horizontal="right" vertical="center"/>
      <protection hidden="1"/>
    </xf>
    <xf numFmtId="164" fontId="14" fillId="3" borderId="0" xfId="13" applyFont="1" applyFill="1" applyAlignment="1">
      <alignment vertical="center"/>
    </xf>
    <xf numFmtId="164" fontId="16" fillId="3" borderId="0" xfId="0" applyNumberFormat="1" applyFont="1" applyFill="1" applyAlignment="1" applyProtection="1">
      <alignment horizontal="left" vertical="center"/>
    </xf>
    <xf numFmtId="164" fontId="24" fillId="3" borderId="0" xfId="13" applyFont="1" applyFill="1" applyAlignment="1">
      <alignment vertical="center"/>
    </xf>
    <xf numFmtId="164" fontId="18" fillId="3" borderId="0" xfId="13" applyFont="1" applyFill="1" applyAlignment="1">
      <alignment vertical="center"/>
    </xf>
    <xf numFmtId="164" fontId="15" fillId="3" borderId="0" xfId="13" applyFont="1" applyFill="1"/>
    <xf numFmtId="0" fontId="18" fillId="3" borderId="0" xfId="14" applyFill="1"/>
    <xf numFmtId="0" fontId="18" fillId="3" borderId="0" xfId="14" applyFont="1" applyFill="1"/>
    <xf numFmtId="1" fontId="11" fillId="3" borderId="0" xfId="13" applyNumberFormat="1" applyFont="1" applyFill="1" applyBorder="1" applyAlignment="1">
      <alignment horizontal="right" vertical="center"/>
    </xf>
    <xf numFmtId="1" fontId="18" fillId="3" borderId="0" xfId="13" applyNumberFormat="1" applyFont="1" applyFill="1"/>
    <xf numFmtId="1" fontId="18" fillId="3" borderId="0" xfId="14" applyNumberFormat="1" applyFont="1" applyFill="1"/>
    <xf numFmtId="164" fontId="2" fillId="3" borderId="0" xfId="13" applyFont="1" applyFill="1"/>
    <xf numFmtId="164" fontId="38" fillId="3" borderId="0" xfId="13" applyFont="1" applyFill="1"/>
    <xf numFmtId="3" fontId="23" fillId="3" borderId="0" xfId="15" applyNumberFormat="1" applyFont="1" applyFill="1" applyBorder="1" applyAlignment="1" applyProtection="1">
      <alignment horizontal="right" vertical="center"/>
      <protection locked="0"/>
    </xf>
    <xf numFmtId="164" fontId="2" fillId="2" borderId="0" xfId="15" applyNumberFormat="1" applyFill="1" applyBorder="1" applyProtection="1">
      <protection locked="0"/>
    </xf>
    <xf numFmtId="164" fontId="2" fillId="2" borderId="0" xfId="15" applyNumberFormat="1" applyFill="1" applyProtection="1">
      <protection locked="0"/>
    </xf>
    <xf numFmtId="164" fontId="21" fillId="2" borderId="8" xfId="15" applyNumberFormat="1" applyFont="1" applyFill="1" applyBorder="1" applyAlignment="1" applyProtection="1">
      <alignment vertical="center"/>
      <protection locked="0"/>
    </xf>
    <xf numFmtId="164" fontId="28" fillId="2" borderId="8" xfId="15" quotePrefix="1" applyNumberFormat="1" applyFont="1" applyFill="1" applyBorder="1" applyAlignment="1" applyProtection="1">
      <alignment horizontal="right" vertical="center"/>
      <protection locked="0"/>
    </xf>
    <xf numFmtId="164" fontId="21" fillId="3" borderId="8" xfId="15" quotePrefix="1" applyNumberFormat="1" applyFont="1" applyFill="1" applyBorder="1" applyAlignment="1" applyProtection="1">
      <alignment horizontal="right" vertical="center"/>
      <protection locked="0"/>
    </xf>
    <xf numFmtId="164" fontId="21" fillId="2" borderId="8" xfId="15" quotePrefix="1" applyNumberFormat="1" applyFont="1" applyFill="1" applyBorder="1" applyAlignment="1" applyProtection="1">
      <alignment horizontal="right" vertical="center"/>
      <protection locked="0"/>
    </xf>
    <xf numFmtId="164" fontId="7" fillId="2" borderId="8" xfId="15" applyNumberFormat="1" applyFont="1" applyFill="1" applyBorder="1" applyAlignment="1" applyProtection="1">
      <alignment horizontal="right" vertical="center"/>
      <protection locked="0"/>
    </xf>
    <xf numFmtId="164" fontId="23" fillId="2" borderId="0" xfId="15" applyNumberFormat="1" applyFont="1" applyFill="1" applyBorder="1" applyProtection="1">
      <protection locked="0"/>
    </xf>
    <xf numFmtId="164" fontId="23" fillId="2" borderId="0" xfId="15" applyNumberFormat="1" applyFont="1" applyFill="1" applyProtection="1">
      <protection locked="0"/>
    </xf>
    <xf numFmtId="164" fontId="21" fillId="2" borderId="0" xfId="15" applyNumberFormat="1" applyFont="1" applyFill="1" applyBorder="1" applyAlignment="1" applyProtection="1">
      <alignment horizontal="left" vertical="center"/>
      <protection locked="0"/>
    </xf>
    <xf numFmtId="164" fontId="39" fillId="2" borderId="0" xfId="15" applyNumberFormat="1" applyFont="1" applyFill="1" applyBorder="1" applyAlignment="1" applyProtection="1">
      <alignment horizontal="right" vertical="center"/>
      <protection locked="0"/>
    </xf>
    <xf numFmtId="3" fontId="23" fillId="2" borderId="0" xfId="15" applyNumberFormat="1" applyFont="1" applyFill="1" applyBorder="1" applyAlignment="1" applyProtection="1">
      <alignment horizontal="right" vertical="center"/>
      <protection locked="0"/>
    </xf>
    <xf numFmtId="164" fontId="21" fillId="2" borderId="2" xfId="15" applyNumberFormat="1" applyFont="1" applyFill="1" applyBorder="1" applyAlignment="1" applyProtection="1">
      <alignment horizontal="right" vertical="center"/>
      <protection locked="0"/>
    </xf>
    <xf numFmtId="164" fontId="2" fillId="2" borderId="0" xfId="15" applyNumberFormat="1" applyFont="1" applyFill="1" applyBorder="1" applyProtection="1">
      <protection locked="0"/>
    </xf>
    <xf numFmtId="164" fontId="23" fillId="2" borderId="0" xfId="15" applyNumberFormat="1" applyFont="1" applyFill="1" applyBorder="1" applyAlignment="1" applyProtection="1">
      <alignment horizontal="left" vertical="center" wrapText="1"/>
      <protection locked="0"/>
    </xf>
    <xf numFmtId="172" fontId="28" fillId="2" borderId="0" xfId="7" applyNumberFormat="1" applyFont="1" applyFill="1" applyBorder="1" applyAlignment="1">
      <alignment horizontal="center" vertical="center"/>
    </xf>
    <xf numFmtId="172" fontId="39" fillId="3" borderId="0" xfId="7" applyNumberFormat="1" applyFont="1" applyFill="1" applyBorder="1" applyAlignment="1">
      <alignment horizontal="center" vertical="center"/>
    </xf>
    <xf numFmtId="172" fontId="39" fillId="2" borderId="0" xfId="7" applyNumberFormat="1" applyFont="1" applyFill="1" applyBorder="1" applyAlignment="1">
      <alignment horizontal="center" vertical="center"/>
    </xf>
    <xf numFmtId="164" fontId="33" fillId="2" borderId="0" xfId="15" applyNumberFormat="1" applyFont="1" applyFill="1" applyBorder="1" applyProtection="1">
      <protection locked="0"/>
    </xf>
    <xf numFmtId="164" fontId="2" fillId="2" borderId="0" xfId="15" applyNumberFormat="1" applyFont="1" applyFill="1" applyProtection="1">
      <protection locked="0"/>
    </xf>
    <xf numFmtId="164" fontId="21" fillId="2" borderId="0" xfId="15" applyNumberFormat="1" applyFont="1" applyFill="1" applyBorder="1" applyAlignment="1" applyProtection="1">
      <alignment horizontal="right" vertical="center"/>
      <protection locked="0"/>
    </xf>
    <xf numFmtId="164" fontId="21" fillId="2" borderId="0" xfId="15" applyNumberFormat="1" applyFont="1" applyFill="1" applyBorder="1" applyAlignment="1" applyProtection="1">
      <alignment horizontal="left" vertical="center"/>
      <protection hidden="1"/>
    </xf>
    <xf numFmtId="164" fontId="2" fillId="2" borderId="0" xfId="15" applyNumberFormat="1" applyFont="1" applyFill="1" applyBorder="1"/>
    <xf numFmtId="164" fontId="2" fillId="2" borderId="0" xfId="15" applyNumberFormat="1" applyFont="1" applyFill="1"/>
    <xf numFmtId="164" fontId="23" fillId="2" borderId="0" xfId="15" applyNumberFormat="1" applyFont="1" applyFill="1" applyBorder="1" applyAlignment="1" applyProtection="1">
      <alignment horizontal="left" vertical="center" wrapText="1"/>
      <protection hidden="1"/>
    </xf>
    <xf numFmtId="172" fontId="41" fillId="2" borderId="0" xfId="7" applyNumberFormat="1" applyFont="1" applyFill="1" applyBorder="1" applyAlignment="1">
      <alignment horizontal="center" vertical="center"/>
    </xf>
    <xf numFmtId="164" fontId="23" fillId="2" borderId="3" xfId="15" applyNumberFormat="1" applyFont="1" applyFill="1" applyBorder="1" applyAlignment="1" applyProtection="1">
      <alignment horizontal="left" vertical="center" wrapText="1"/>
      <protection hidden="1"/>
    </xf>
    <xf numFmtId="172" fontId="28" fillId="2" borderId="6" xfId="7" applyNumberFormat="1" applyFont="1" applyFill="1" applyBorder="1" applyAlignment="1">
      <alignment horizontal="center" vertical="center"/>
    </xf>
    <xf numFmtId="172" fontId="39" fillId="3" borderId="6" xfId="7" applyNumberFormat="1" applyFont="1" applyFill="1" applyBorder="1" applyAlignment="1">
      <alignment horizontal="center" vertical="center"/>
    </xf>
    <xf numFmtId="172" fontId="39" fillId="2" borderId="6" xfId="7" applyNumberFormat="1" applyFont="1" applyFill="1" applyBorder="1" applyAlignment="1">
      <alignment horizontal="center" vertical="center"/>
    </xf>
    <xf numFmtId="164" fontId="33" fillId="2" borderId="6" xfId="15" applyNumberFormat="1" applyFont="1" applyFill="1" applyBorder="1" applyProtection="1">
      <protection locked="0"/>
    </xf>
    <xf numFmtId="172" fontId="28" fillId="4" borderId="0" xfId="7" applyNumberFormat="1" applyFont="1" applyFill="1" applyBorder="1" applyAlignment="1">
      <alignment horizontal="center" vertical="center"/>
    </xf>
    <xf numFmtId="172" fontId="39" fillId="4" borderId="0" xfId="7" applyNumberFormat="1" applyFont="1" applyFill="1" applyBorder="1" applyAlignment="1">
      <alignment horizontal="center" vertical="center"/>
    </xf>
    <xf numFmtId="172" fontId="28" fillId="4" borderId="6" xfId="7" applyNumberFormat="1" applyFont="1" applyFill="1" applyBorder="1" applyAlignment="1">
      <alignment horizontal="center" vertical="center"/>
    </xf>
    <xf numFmtId="172" fontId="39" fillId="4" borderId="6" xfId="7" applyNumberFormat="1" applyFont="1" applyFill="1" applyBorder="1" applyAlignment="1">
      <alignment horizontal="center" vertical="center"/>
    </xf>
    <xf numFmtId="172" fontId="41" fillId="4" borderId="0" xfId="7" applyNumberFormat="1" applyFont="1" applyFill="1" applyBorder="1" applyAlignment="1">
      <alignment horizontal="center" vertical="center"/>
    </xf>
    <xf numFmtId="164" fontId="23" fillId="2" borderId="0" xfId="15" applyNumberFormat="1" applyFont="1" applyFill="1" applyBorder="1" applyAlignment="1" applyProtection="1">
      <alignment horizontal="right" vertical="center"/>
      <protection locked="0"/>
    </xf>
    <xf numFmtId="164" fontId="42" fillId="2" borderId="0" xfId="15" applyNumberFormat="1" applyFont="1" applyFill="1" applyBorder="1" applyAlignment="1" applyProtection="1">
      <alignment horizontal="right" vertical="center"/>
      <protection locked="0"/>
    </xf>
    <xf numFmtId="164" fontId="2" fillId="3" borderId="0" xfId="15" applyNumberFormat="1" applyFont="1" applyFill="1" applyBorder="1" applyAlignment="1" applyProtection="1">
      <alignment horizontal="right" vertical="center"/>
      <protection locked="0"/>
    </xf>
    <xf numFmtId="164" fontId="2" fillId="2" borderId="0" xfId="15" applyNumberFormat="1" applyFont="1" applyFill="1" applyBorder="1" applyAlignment="1" applyProtection="1">
      <alignment horizontal="right" vertical="center"/>
      <protection locked="0"/>
    </xf>
    <xf numFmtId="164" fontId="7" fillId="2" borderId="0" xfId="15" applyNumberFormat="1" applyFont="1" applyFill="1" applyAlignment="1" applyProtection="1">
      <alignment vertical="center"/>
      <protection locked="0"/>
    </xf>
    <xf numFmtId="164" fontId="21" fillId="2" borderId="2" xfId="15" applyNumberFormat="1" applyFont="1" applyFill="1" applyBorder="1" applyAlignment="1" applyProtection="1">
      <alignment horizontal="left" vertical="center"/>
      <protection locked="0"/>
    </xf>
    <xf numFmtId="3" fontId="28" fillId="2" borderId="0" xfId="15" applyNumberFormat="1" applyFont="1" applyFill="1" applyAlignment="1" applyProtection="1">
      <alignment horizontal="right" vertical="center"/>
      <protection locked="0"/>
    </xf>
    <xf numFmtId="177" fontId="23" fillId="3" borderId="0" xfId="15" applyNumberFormat="1" applyFont="1" applyFill="1" applyAlignment="1" applyProtection="1">
      <alignment horizontal="right" vertical="center"/>
      <protection locked="0"/>
    </xf>
    <xf numFmtId="177" fontId="23" fillId="2" borderId="0" xfId="15" applyNumberFormat="1" applyFont="1" applyFill="1" applyAlignment="1" applyProtection="1">
      <alignment horizontal="right" vertical="center"/>
      <protection locked="0"/>
    </xf>
    <xf numFmtId="3" fontId="28" fillId="2" borderId="0" xfId="15" applyNumberFormat="1" applyFont="1" applyFill="1" applyBorder="1" applyAlignment="1" applyProtection="1">
      <alignment horizontal="right" vertical="center"/>
      <protection locked="0"/>
    </xf>
    <xf numFmtId="177" fontId="23" fillId="3" borderId="0" xfId="15" applyNumberFormat="1" applyFont="1" applyFill="1" applyBorder="1" applyAlignment="1" applyProtection="1">
      <alignment horizontal="right" vertical="center"/>
      <protection locked="0"/>
    </xf>
    <xf numFmtId="177" fontId="23" fillId="2" borderId="0" xfId="15" applyNumberFormat="1" applyFont="1" applyFill="1" applyBorder="1" applyAlignment="1" applyProtection="1">
      <alignment horizontal="right" vertical="center"/>
      <protection locked="0"/>
    </xf>
    <xf numFmtId="164" fontId="23" fillId="3" borderId="0" xfId="15" applyNumberFormat="1" applyFont="1" applyFill="1" applyBorder="1" applyAlignment="1" applyProtection="1">
      <alignment horizontal="right" vertical="center"/>
      <protection locked="0"/>
    </xf>
    <xf numFmtId="2" fontId="18" fillId="2" borderId="0" xfId="15" applyNumberFormat="1" applyFont="1" applyFill="1" applyBorder="1" applyAlignment="1" applyProtection="1">
      <alignment horizontal="center" vertical="center"/>
      <protection locked="0"/>
    </xf>
    <xf numFmtId="164" fontId="18" fillId="2" borderId="0" xfId="15" applyNumberFormat="1" applyFont="1" applyFill="1" applyAlignment="1" applyProtection="1">
      <alignment vertical="center"/>
      <protection locked="0"/>
    </xf>
    <xf numFmtId="164" fontId="18" fillId="2" borderId="0" xfId="15" applyNumberFormat="1" applyFont="1" applyFill="1" applyBorder="1" applyAlignment="1" applyProtection="1">
      <alignment vertical="center"/>
      <protection locked="0"/>
    </xf>
    <xf numFmtId="178" fontId="23" fillId="3" borderId="0" xfId="7" applyNumberFormat="1" applyFont="1" applyFill="1" applyBorder="1" applyAlignment="1" applyProtection="1">
      <alignment horizontal="right" vertical="center"/>
      <protection locked="0"/>
    </xf>
    <xf numFmtId="178" fontId="23" fillId="2" borderId="0" xfId="7" applyNumberFormat="1" applyFont="1" applyFill="1" applyBorder="1" applyAlignment="1" applyProtection="1">
      <alignment horizontal="right" vertical="center"/>
      <protection locked="0"/>
    </xf>
    <xf numFmtId="177" fontId="23" fillId="3" borderId="0" xfId="15" applyNumberFormat="1" applyFont="1" applyFill="1" applyBorder="1" applyAlignment="1" applyProtection="1">
      <alignment horizontal="right" vertical="center"/>
      <protection locked="0" hidden="1"/>
    </xf>
    <xf numFmtId="177" fontId="23" fillId="2" borderId="0" xfId="15" applyNumberFormat="1" applyFont="1" applyFill="1" applyBorder="1" applyAlignment="1" applyProtection="1">
      <alignment horizontal="right" vertical="center"/>
      <protection locked="0" hidden="1"/>
    </xf>
    <xf numFmtId="170" fontId="23" fillId="3" borderId="0" xfId="7" applyNumberFormat="1" applyFont="1" applyFill="1" applyBorder="1" applyAlignment="1" applyProtection="1">
      <alignment horizontal="right" vertical="center"/>
    </xf>
    <xf numFmtId="170" fontId="23" fillId="2" borderId="0" xfId="7" applyNumberFormat="1" applyFont="1" applyFill="1" applyBorder="1" applyAlignment="1" applyProtection="1">
      <alignment horizontal="right" vertical="center"/>
    </xf>
    <xf numFmtId="164" fontId="23" fillId="2" borderId="1" xfId="15" applyNumberFormat="1" applyFont="1" applyFill="1" applyBorder="1" applyAlignment="1" applyProtection="1">
      <alignment horizontal="left" vertical="center" wrapText="1"/>
      <protection hidden="1"/>
    </xf>
    <xf numFmtId="3" fontId="28" fillId="2" borderId="1" xfId="15" applyNumberFormat="1" applyFont="1" applyFill="1" applyBorder="1" applyAlignment="1" applyProtection="1">
      <alignment horizontal="right" vertical="center"/>
      <protection locked="0"/>
    </xf>
    <xf numFmtId="178" fontId="23" fillId="3" borderId="1" xfId="7" applyNumberFormat="1" applyFont="1" applyFill="1" applyBorder="1" applyAlignment="1" applyProtection="1">
      <alignment horizontal="right" vertical="center"/>
      <protection locked="0"/>
    </xf>
    <xf numFmtId="170" fontId="23" fillId="3" borderId="1" xfId="7" applyNumberFormat="1" applyFont="1" applyFill="1" applyBorder="1" applyAlignment="1" applyProtection="1">
      <alignment horizontal="right" vertical="center"/>
    </xf>
    <xf numFmtId="170" fontId="23" fillId="2" borderId="1" xfId="7" applyNumberFormat="1" applyFont="1" applyFill="1" applyBorder="1" applyAlignment="1" applyProtection="1">
      <alignment horizontal="right" vertical="center"/>
    </xf>
    <xf numFmtId="164" fontId="33" fillId="2" borderId="1" xfId="15" applyNumberFormat="1" applyFont="1" applyFill="1" applyBorder="1" applyProtection="1">
      <protection locked="0"/>
    </xf>
    <xf numFmtId="164" fontId="17" fillId="2" borderId="0" xfId="15" applyNumberFormat="1" applyFont="1" applyFill="1" applyBorder="1" applyProtection="1">
      <protection locked="0"/>
    </xf>
    <xf numFmtId="0" fontId="41" fillId="2" borderId="0" xfId="0" applyFont="1" applyFill="1" applyBorder="1" applyAlignment="1">
      <alignment vertical="center"/>
    </xf>
    <xf numFmtId="164" fontId="16" fillId="2" borderId="0" xfId="15" applyNumberFormat="1" applyFont="1" applyFill="1" applyAlignment="1" applyProtection="1">
      <protection locked="0"/>
    </xf>
    <xf numFmtId="170" fontId="23" fillId="3" borderId="0" xfId="7" applyNumberFormat="1" applyFont="1" applyFill="1" applyBorder="1" applyAlignment="1" applyProtection="1"/>
    <xf numFmtId="170" fontId="23" fillId="2" borderId="0" xfId="7" applyNumberFormat="1" applyFont="1" applyFill="1" applyBorder="1" applyAlignment="1" applyProtection="1"/>
    <xf numFmtId="164" fontId="43" fillId="2" borderId="0" xfId="15" applyNumberFormat="1" applyFont="1" applyFill="1" applyBorder="1" applyAlignment="1" applyProtection="1">
      <protection locked="0"/>
    </xf>
    <xf numFmtId="0" fontId="41" fillId="2" borderId="0" xfId="0" applyFont="1" applyFill="1" applyBorder="1" applyAlignment="1"/>
    <xf numFmtId="164" fontId="2" fillId="2" borderId="0" xfId="15" applyNumberFormat="1" applyFont="1" applyFill="1" applyBorder="1" applyAlignment="1"/>
    <xf numFmtId="164" fontId="2" fillId="2" borderId="0" xfId="15" applyNumberFormat="1" applyFont="1" applyFill="1" applyAlignment="1"/>
    <xf numFmtId="164" fontId="11" fillId="3" borderId="0" xfId="15" applyNumberFormat="1" applyFont="1" applyFill="1" applyAlignment="1" applyProtection="1">
      <alignment horizontal="right" vertical="center"/>
      <protection locked="0"/>
    </xf>
    <xf numFmtId="164" fontId="11" fillId="2" borderId="0" xfId="15" applyNumberFormat="1" applyFont="1" applyFill="1" applyAlignment="1" applyProtection="1">
      <alignment horizontal="right" vertical="center"/>
      <protection locked="0"/>
    </xf>
    <xf numFmtId="164" fontId="44" fillId="2" borderId="0" xfId="15" applyNumberFormat="1" applyFont="1" applyFill="1" applyAlignment="1" applyProtection="1">
      <alignment horizontal="right" vertical="center"/>
      <protection locked="0"/>
    </xf>
    <xf numFmtId="164" fontId="42" fillId="2" borderId="0" xfId="15" applyNumberFormat="1" applyFont="1" applyFill="1" applyProtection="1">
      <protection locked="0"/>
    </xf>
    <xf numFmtId="164" fontId="2" fillId="3" borderId="0" xfId="15" applyNumberFormat="1" applyFill="1" applyAlignment="1" applyProtection="1">
      <alignment horizontal="right" vertical="center"/>
      <protection locked="0"/>
    </xf>
    <xf numFmtId="164" fontId="45" fillId="2" borderId="0" xfId="15" applyNumberFormat="1" applyFont="1" applyFill="1" applyAlignment="1" applyProtection="1">
      <alignment horizontal="right" vertical="center"/>
      <protection locked="0"/>
    </xf>
    <xf numFmtId="164" fontId="2" fillId="2" borderId="0" xfId="15" applyNumberFormat="1" applyFill="1" applyAlignment="1" applyProtection="1">
      <alignment horizontal="right" vertical="center"/>
      <protection locked="0"/>
    </xf>
    <xf numFmtId="164" fontId="23" fillId="2" borderId="0" xfId="15" applyNumberFormat="1" applyFont="1" applyFill="1" applyAlignment="1" applyProtection="1">
      <alignment horizontal="right" vertical="center"/>
      <protection locked="0"/>
    </xf>
    <xf numFmtId="164" fontId="42" fillId="2" borderId="0" xfId="15" applyNumberFormat="1" applyFont="1" applyFill="1" applyAlignment="1" applyProtection="1">
      <alignment horizontal="right" vertical="center"/>
      <protection locked="0"/>
    </xf>
    <xf numFmtId="164" fontId="2" fillId="3" borderId="0" xfId="15" applyNumberFormat="1" applyFill="1" applyProtection="1">
      <protection locked="0"/>
    </xf>
    <xf numFmtId="164" fontId="2" fillId="3" borderId="0" xfId="15" applyNumberFormat="1" applyFont="1" applyFill="1" applyBorder="1" applyProtection="1">
      <protection locked="0"/>
    </xf>
    <xf numFmtId="164" fontId="23" fillId="2" borderId="0" xfId="15" applyNumberFormat="1" applyFont="1" applyFill="1"/>
    <xf numFmtId="164" fontId="42" fillId="2" borderId="0" xfId="15" applyNumberFormat="1" applyFont="1" applyFill="1"/>
    <xf numFmtId="164" fontId="2" fillId="3" borderId="0" xfId="15" applyNumberFormat="1" applyFill="1"/>
    <xf numFmtId="164" fontId="2" fillId="2" borderId="0" xfId="15" applyNumberFormat="1" applyFill="1"/>
    <xf numFmtId="164" fontId="2" fillId="2" borderId="0" xfId="15" applyNumberFormat="1" applyFill="1" applyBorder="1"/>
    <xf numFmtId="3" fontId="23" fillId="5" borderId="0" xfId="12" applyNumberFormat="1" applyFont="1" applyFill="1" applyBorder="1" applyAlignment="1">
      <alignment horizontal="right" vertical="center"/>
    </xf>
    <xf numFmtId="3" fontId="23" fillId="5" borderId="0" xfId="12" applyNumberFormat="1" applyFont="1" applyFill="1" applyBorder="1" applyAlignment="1" applyProtection="1">
      <alignment horizontal="right" vertical="center"/>
      <protection locked="0"/>
    </xf>
    <xf numFmtId="172" fontId="28" fillId="2" borderId="1" xfId="7" applyNumberFormat="1" applyFont="1" applyFill="1" applyBorder="1" applyAlignment="1">
      <alignment horizontal="center" vertical="center"/>
    </xf>
    <xf numFmtId="172" fontId="28" fillId="4" borderId="1" xfId="7" applyNumberFormat="1" applyFont="1" applyFill="1" applyBorder="1" applyAlignment="1">
      <alignment horizontal="center" vertical="center"/>
    </xf>
    <xf numFmtId="172" fontId="39" fillId="4" borderId="1" xfId="7" applyNumberFormat="1" applyFont="1" applyFill="1" applyBorder="1" applyAlignment="1">
      <alignment horizontal="center" vertical="center"/>
    </xf>
    <xf numFmtId="3" fontId="28" fillId="5" borderId="0" xfId="15" applyNumberFormat="1" applyFont="1" applyFill="1" applyBorder="1" applyAlignment="1" applyProtection="1">
      <alignment horizontal="right" vertical="center"/>
      <protection locked="0"/>
    </xf>
    <xf numFmtId="3" fontId="28" fillId="5" borderId="1" xfId="15" applyNumberFormat="1" applyFont="1" applyFill="1" applyBorder="1" applyAlignment="1" applyProtection="1">
      <alignment horizontal="right" vertical="center"/>
      <protection locked="0"/>
    </xf>
    <xf numFmtId="0" fontId="46" fillId="3" borderId="0" xfId="3" applyFont="1" applyFill="1" applyBorder="1" applyAlignment="1">
      <alignment horizontal="right" vertical="center"/>
    </xf>
    <xf numFmtId="0" fontId="46" fillId="3" borderId="0" xfId="3" applyFont="1" applyFill="1" applyBorder="1" applyAlignment="1">
      <alignment horizontal="center" vertical="center"/>
    </xf>
    <xf numFmtId="0" fontId="47" fillId="3" borderId="0" xfId="3" applyFont="1" applyFill="1"/>
    <xf numFmtId="0" fontId="46" fillId="3" borderId="6" xfId="3" applyFont="1" applyFill="1" applyBorder="1" applyAlignment="1">
      <alignment horizontal="right" vertical="center"/>
    </xf>
    <xf numFmtId="1" fontId="46" fillId="3" borderId="0" xfId="12" applyNumberFormat="1" applyFont="1" applyFill="1" applyAlignment="1">
      <alignment horizontal="right" vertical="center"/>
    </xf>
    <xf numFmtId="1" fontId="47" fillId="3" borderId="0" xfId="12" applyNumberFormat="1" applyFont="1" applyFill="1" applyAlignment="1">
      <alignment horizontal="right" vertical="center"/>
    </xf>
    <xf numFmtId="1" fontId="47" fillId="3" borderId="1" xfId="12" applyNumberFormat="1" applyFont="1" applyFill="1" applyBorder="1" applyAlignment="1">
      <alignment horizontal="right" vertical="center"/>
    </xf>
    <xf numFmtId="0" fontId="46" fillId="3" borderId="0" xfId="3" applyFont="1" applyFill="1" applyAlignment="1">
      <alignment horizontal="center" vertical="center"/>
    </xf>
    <xf numFmtId="0" fontId="4" fillId="3" borderId="0" xfId="3" applyFont="1" applyFill="1" applyBorder="1" applyAlignment="1">
      <alignment horizontal="center" vertical="center"/>
    </xf>
    <xf numFmtId="164" fontId="31" fillId="3" borderId="9" xfId="13" applyFont="1" applyFill="1" applyBorder="1" applyAlignment="1" applyProtection="1">
      <alignment horizontal="center" vertical="center"/>
    </xf>
    <xf numFmtId="164" fontId="31" fillId="3" borderId="7" xfId="13" applyFont="1" applyFill="1" applyBorder="1" applyAlignment="1" applyProtection="1">
      <alignment horizontal="center" vertical="center"/>
    </xf>
    <xf numFmtId="164" fontId="46" fillId="3" borderId="0" xfId="12" applyFont="1" applyFill="1" applyBorder="1" applyAlignment="1">
      <alignment horizontal="right" vertical="center"/>
    </xf>
    <xf numFmtId="164" fontId="46" fillId="3" borderId="1" xfId="12" applyFont="1" applyFill="1" applyBorder="1" applyAlignment="1">
      <alignment horizontal="right" vertical="center"/>
    </xf>
    <xf numFmtId="1" fontId="35" fillId="3" borderId="0" xfId="12" applyNumberFormat="1" applyFont="1" applyFill="1" applyBorder="1" applyAlignment="1">
      <alignment horizontal="center" vertical="center"/>
    </xf>
    <xf numFmtId="164" fontId="46" fillId="3" borderId="0" xfId="12" applyFont="1" applyFill="1" applyAlignment="1">
      <alignment horizontal="center" vertical="center" wrapText="1"/>
    </xf>
    <xf numFmtId="164" fontId="4" fillId="3" borderId="1" xfId="13" applyFont="1" applyFill="1" applyBorder="1" applyAlignment="1" applyProtection="1">
      <alignment horizontal="center" vertical="center"/>
    </xf>
    <xf numFmtId="164" fontId="21" fillId="3" borderId="0" xfId="13" applyFont="1" applyFill="1" applyBorder="1" applyAlignment="1" applyProtection="1">
      <alignment horizontal="left" vertical="center"/>
    </xf>
    <xf numFmtId="164" fontId="21" fillId="3" borderId="1" xfId="13" applyFont="1" applyFill="1" applyBorder="1" applyAlignment="1" applyProtection="1">
      <alignment horizontal="left" vertical="center"/>
    </xf>
    <xf numFmtId="164" fontId="6" fillId="3" borderId="0" xfId="15" applyNumberFormat="1" applyFont="1" applyFill="1" applyAlignment="1" applyProtection="1">
      <alignment horizontal="center" vertical="center"/>
      <protection locked="0"/>
    </xf>
    <xf numFmtId="164" fontId="4" fillId="3" borderId="0" xfId="15" applyNumberFormat="1" applyFont="1" applyFill="1" applyBorder="1" applyAlignment="1" applyProtection="1">
      <alignment horizontal="center" vertical="center" wrapText="1"/>
      <protection locked="0"/>
    </xf>
    <xf numFmtId="164" fontId="21" fillId="2" borderId="1" xfId="15" applyNumberFormat="1" applyFont="1" applyFill="1" applyBorder="1" applyAlignment="1" applyProtection="1">
      <alignment horizontal="left" vertical="center"/>
      <protection locked="0"/>
    </xf>
    <xf numFmtId="164" fontId="16" fillId="2" borderId="0" xfId="15" applyNumberFormat="1" applyFont="1" applyFill="1" applyAlignment="1" applyProtection="1">
      <protection locked="0"/>
    </xf>
  </cellXfs>
  <cellStyles count="18">
    <cellStyle name="Comma 2" xfId="17"/>
    <cellStyle name="Comma 3" xfId="7"/>
    <cellStyle name="Comma 4" xfId="5"/>
    <cellStyle name="Normal" xfId="0" builtinId="0"/>
    <cellStyle name="Normal 11" xfId="8"/>
    <cellStyle name="Normal 2" xfId="6"/>
    <cellStyle name="Normal 20" xfId="4"/>
    <cellStyle name="Normal 3" xfId="16"/>
    <cellStyle name="Normal 32" xfId="9"/>
    <cellStyle name="Normal 4" xfId="12"/>
    <cellStyle name="Normal 44" xfId="10"/>
    <cellStyle name="Normal 48" xfId="11"/>
    <cellStyle name="Normal 5" xfId="2"/>
    <cellStyle name="Normal_3 - Population" xfId="15"/>
    <cellStyle name="Normal_3 Population." xfId="1"/>
    <cellStyle name="Normal_fig7" xfId="14"/>
    <cellStyle name="Normal_II-14(Population)" xfId="3"/>
    <cellStyle name="Normal_Stat Year Book 2007 tables" xfId="13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1995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D9B6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'3.2'!$AH$8:$AH$23</c:f>
              <c:numCache>
                <c:formatCode>#,##0</c:formatCode>
                <c:ptCount val="16"/>
                <c:pt idx="0">
                  <c:v>17859</c:v>
                </c:pt>
                <c:pt idx="1">
                  <c:v>19919</c:v>
                </c:pt>
                <c:pt idx="2">
                  <c:v>17584</c:v>
                </c:pt>
                <c:pt idx="3">
                  <c:v>12562</c:v>
                </c:pt>
                <c:pt idx="4">
                  <c:v>11077</c:v>
                </c:pt>
                <c:pt idx="5">
                  <c:v>9389</c:v>
                </c:pt>
                <c:pt idx="6">
                  <c:v>7785</c:v>
                </c:pt>
                <c:pt idx="7">
                  <c:v>6317</c:v>
                </c:pt>
                <c:pt idx="8">
                  <c:v>3297</c:v>
                </c:pt>
                <c:pt idx="9">
                  <c:v>3215</c:v>
                </c:pt>
                <c:pt idx="10">
                  <c:v>3042</c:v>
                </c:pt>
                <c:pt idx="11">
                  <c:v>2722</c:v>
                </c:pt>
                <c:pt idx="12">
                  <c:v>2284</c:v>
                </c:pt>
                <c:pt idx="13">
                  <c:v>1304</c:v>
                </c:pt>
                <c:pt idx="14">
                  <c:v>822</c:v>
                </c:pt>
                <c:pt idx="15">
                  <c:v>862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879-409C-846C-416F5A6AA65A}"/>
            </c:ext>
          </c:extLst>
        </c:ser>
        <c:ser>
          <c:idx val="1"/>
          <c:order val="1"/>
          <c:tx>
            <c:strRef>
              <c:f>'3.2'!$AG$7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'3.2'!$AF$8:$AF$23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'3.2'!$AG$8:$AG$23</c:f>
              <c:numCache>
                <c:formatCode>General_)</c:formatCode>
                <c:ptCount val="16"/>
                <c:pt idx="0">
                  <c:v>-19113</c:v>
                </c:pt>
                <c:pt idx="1">
                  <c:v>-20840</c:v>
                </c:pt>
                <c:pt idx="2">
                  <c:v>-18286</c:v>
                </c:pt>
                <c:pt idx="3">
                  <c:v>-12343</c:v>
                </c:pt>
                <c:pt idx="4">
                  <c:v>-9944</c:v>
                </c:pt>
                <c:pt idx="5">
                  <c:v>-8802</c:v>
                </c:pt>
                <c:pt idx="6">
                  <c:v>-7579</c:v>
                </c:pt>
                <c:pt idx="7">
                  <c:v>-6315</c:v>
                </c:pt>
                <c:pt idx="8">
                  <c:v>-3625</c:v>
                </c:pt>
                <c:pt idx="9">
                  <c:v>-3369</c:v>
                </c:pt>
                <c:pt idx="10">
                  <c:v>-3205</c:v>
                </c:pt>
                <c:pt idx="11">
                  <c:v>-3240</c:v>
                </c:pt>
                <c:pt idx="12">
                  <c:v>-3010</c:v>
                </c:pt>
                <c:pt idx="13">
                  <c:v>-1897</c:v>
                </c:pt>
                <c:pt idx="14">
                  <c:v>-1279</c:v>
                </c:pt>
                <c:pt idx="15">
                  <c:v>-1384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879-409C-846C-416F5A6AA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6586584"/>
        <c:axId val="336590112"/>
      </c:barChart>
      <c:dateAx>
        <c:axId val="336586584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6590112"/>
        <c:crosses val="autoZero"/>
        <c:auto val="0"/>
        <c:lblOffset val="100"/>
        <c:baseTimeUnit val="days"/>
      </c:dateAx>
      <c:valAx>
        <c:axId val="336590112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6586584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1995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[1]Sheet1!$B$61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[1]Sheet1!$B$62:$B$77</c:f>
              <c:numCache>
                <c:formatCode>General</c:formatCode>
                <c:ptCount val="16"/>
                <c:pt idx="0">
                  <c:v>19113</c:v>
                </c:pt>
                <c:pt idx="1">
                  <c:v>20840</c:v>
                </c:pt>
                <c:pt idx="2">
                  <c:v>18286</c:v>
                </c:pt>
                <c:pt idx="3">
                  <c:v>12343</c:v>
                </c:pt>
                <c:pt idx="4">
                  <c:v>9944</c:v>
                </c:pt>
                <c:pt idx="5">
                  <c:v>8802</c:v>
                </c:pt>
                <c:pt idx="6">
                  <c:v>7579</c:v>
                </c:pt>
                <c:pt idx="7">
                  <c:v>6315</c:v>
                </c:pt>
                <c:pt idx="8">
                  <c:v>3625</c:v>
                </c:pt>
                <c:pt idx="9">
                  <c:v>3369</c:v>
                </c:pt>
                <c:pt idx="10">
                  <c:v>3205</c:v>
                </c:pt>
                <c:pt idx="11">
                  <c:v>3240</c:v>
                </c:pt>
                <c:pt idx="12">
                  <c:v>3010</c:v>
                </c:pt>
                <c:pt idx="13">
                  <c:v>1897</c:v>
                </c:pt>
                <c:pt idx="14">
                  <c:v>1279</c:v>
                </c:pt>
                <c:pt idx="15">
                  <c:v>1384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B3-4F0C-89FF-081E252C2486}"/>
            </c:ext>
          </c:extLst>
        </c:ser>
        <c:ser>
          <c:idx val="1"/>
          <c:order val="1"/>
          <c:tx>
            <c:strRef>
              <c:f>[1]Sheet1!$C$61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[1]Sheet1!$A$62:$A$77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[1]Sheet1!$C$62:$C$77</c:f>
              <c:numCache>
                <c:formatCode>General</c:formatCode>
                <c:ptCount val="16"/>
                <c:pt idx="0">
                  <c:v>-17859</c:v>
                </c:pt>
                <c:pt idx="1">
                  <c:v>-19919</c:v>
                </c:pt>
                <c:pt idx="2">
                  <c:v>-17584</c:v>
                </c:pt>
                <c:pt idx="3">
                  <c:v>-12562</c:v>
                </c:pt>
                <c:pt idx="4">
                  <c:v>-11077</c:v>
                </c:pt>
                <c:pt idx="5">
                  <c:v>-9389</c:v>
                </c:pt>
                <c:pt idx="6">
                  <c:v>-7785</c:v>
                </c:pt>
                <c:pt idx="7">
                  <c:v>-6317</c:v>
                </c:pt>
                <c:pt idx="8">
                  <c:v>-3297</c:v>
                </c:pt>
                <c:pt idx="9">
                  <c:v>-3215</c:v>
                </c:pt>
                <c:pt idx="10">
                  <c:v>-3042</c:v>
                </c:pt>
                <c:pt idx="11">
                  <c:v>-2722</c:v>
                </c:pt>
                <c:pt idx="12">
                  <c:v>-2284</c:v>
                </c:pt>
                <c:pt idx="13">
                  <c:v>-1304</c:v>
                </c:pt>
                <c:pt idx="14">
                  <c:v>-822</c:v>
                </c:pt>
                <c:pt idx="15">
                  <c:v>-862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5B3-4F0C-89FF-081E252C2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36592072"/>
        <c:axId val="336590504"/>
      </c:barChart>
      <c:catAx>
        <c:axId val="336592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6590504"/>
        <c:crosses val="autoZero"/>
        <c:auto val="1"/>
        <c:lblAlgn val="ctr"/>
        <c:lblOffset val="100"/>
        <c:tickLblSkip val="9"/>
        <c:tickMarkSkip val="1"/>
        <c:noMultiLvlLbl val="0"/>
      </c:catAx>
      <c:valAx>
        <c:axId val="336590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65920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2000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[1]Sheet1!$B$87</c:f>
              <c:strCache>
                <c:ptCount val="1"/>
                <c:pt idx="0">
                  <c:v>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[1]Sheet1!$B$88:$B$103</c:f>
              <c:numCache>
                <c:formatCode>General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48-4F64-8B0C-E4D03F6886A9}"/>
            </c:ext>
          </c:extLst>
        </c:ser>
        <c:ser>
          <c:idx val="1"/>
          <c:order val="1"/>
          <c:tx>
            <c:strRef>
              <c:f>[1]Sheet1!$C$87</c:f>
              <c:strCache>
                <c:ptCount val="1"/>
                <c:pt idx="0">
                  <c:v>Female</c:v>
                </c:pt>
              </c:strCache>
            </c:strRef>
          </c:tx>
          <c:spPr>
            <a:blipFill dpi="0" rotWithShape="0">
              <a:blip xmlns:r="http://schemas.openxmlformats.org/officeDocument/2006/relationships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[1]Sheet1!$A$88:$A$103</c:f>
              <c:strCache>
                <c:ptCount val="16"/>
                <c:pt idx="0">
                  <c:v>   0-4</c:v>
                </c:pt>
                <c:pt idx="1">
                  <c:v>   5-9</c:v>
                </c:pt>
                <c:pt idx="2">
                  <c:v> 10-14</c:v>
                </c:pt>
                <c:pt idx="3">
                  <c:v> 15-19</c:v>
                </c:pt>
                <c:pt idx="4">
                  <c:v> 20-24</c:v>
                </c:pt>
                <c:pt idx="5">
                  <c:v> 25-29</c:v>
                </c:pt>
                <c:pt idx="6">
                  <c:v> 30-34</c:v>
                </c:pt>
                <c:pt idx="7">
                  <c:v> 35-39</c:v>
                </c:pt>
                <c:pt idx="8">
                  <c:v> 40-44</c:v>
                </c:pt>
                <c:pt idx="9">
                  <c:v> 45-49</c:v>
                </c:pt>
                <c:pt idx="10">
                  <c:v> 50-54</c:v>
                </c:pt>
                <c:pt idx="11">
                  <c:v> 55-59</c:v>
                </c:pt>
                <c:pt idx="12">
                  <c:v> 60-64</c:v>
                </c:pt>
                <c:pt idx="13">
                  <c:v> 65-69</c:v>
                </c:pt>
                <c:pt idx="14">
                  <c:v> 70-74</c:v>
                </c:pt>
                <c:pt idx="15">
                  <c:v>   75+</c:v>
                </c:pt>
              </c:strCache>
            </c:strRef>
          </c:cat>
          <c:val>
            <c:numRef>
              <c:f>[1]Sheet1!$C$88:$C$103</c:f>
              <c:numCache>
                <c:formatCode>General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D48-4F64-8B0C-E4D03F688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36586976"/>
        <c:axId val="336591288"/>
      </c:barChart>
      <c:catAx>
        <c:axId val="3365869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60000" vert="horz"/>
              <a:lstStyle/>
              <a:p>
                <a:pPr algn="ctr"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6591288"/>
        <c:crossesAt val="0"/>
        <c:auto val="0"/>
        <c:lblAlgn val="ctr"/>
        <c:lblOffset val="100"/>
        <c:tickLblSkip val="2"/>
        <c:tickMarkSkip val="1"/>
        <c:noMultiLvlLbl val="0"/>
      </c:catAx>
      <c:valAx>
        <c:axId val="336591288"/>
        <c:scaling>
          <c:orientation val="minMax"/>
          <c:max val="30000"/>
          <c:min val="-30000"/>
        </c:scaling>
        <c:delete val="0"/>
        <c:axPos val="b"/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Population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36586976"/>
        <c:crosses val="autoZero"/>
        <c:crossBetween val="between"/>
        <c:majorUnit val="10000"/>
        <c:minorUnit val="2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4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'3.2'!$AH$78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D9B6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'3.2'!$AH$79:$AH$94</c:f>
              <c:numCache>
                <c:formatCode>#,##0</c:formatCode>
                <c:ptCount val="16"/>
                <c:pt idx="0">
                  <c:v>17223</c:v>
                </c:pt>
                <c:pt idx="1">
                  <c:v>15616</c:v>
                </c:pt>
                <c:pt idx="2">
                  <c:v>12787</c:v>
                </c:pt>
                <c:pt idx="3">
                  <c:v>15461</c:v>
                </c:pt>
                <c:pt idx="4">
                  <c:v>18537</c:v>
                </c:pt>
                <c:pt idx="5">
                  <c:v>19738</c:v>
                </c:pt>
                <c:pt idx="6">
                  <c:v>15868</c:v>
                </c:pt>
                <c:pt idx="7">
                  <c:v>11518</c:v>
                </c:pt>
                <c:pt idx="8">
                  <c:v>10064</c:v>
                </c:pt>
                <c:pt idx="9">
                  <c:v>8795</c:v>
                </c:pt>
                <c:pt idx="10">
                  <c:v>7405</c:v>
                </c:pt>
                <c:pt idx="11">
                  <c:v>5672</c:v>
                </c:pt>
                <c:pt idx="12">
                  <c:v>2922</c:v>
                </c:pt>
                <c:pt idx="13">
                  <c:v>2426</c:v>
                </c:pt>
                <c:pt idx="14">
                  <c:v>2372</c:v>
                </c:pt>
                <c:pt idx="15">
                  <c:v>2953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5FBD-4796-9A8F-2B78C860658C}"/>
            </c:ext>
          </c:extLst>
        </c:ser>
        <c:ser>
          <c:idx val="2"/>
          <c:order val="1"/>
          <c:tx>
            <c:strRef>
              <c:f>'3.2'!$AG$78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'3.2'!$AF$79:$AF$94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'3.2'!$AG$79:$AG$94</c:f>
              <c:numCache>
                <c:formatCode>General_)</c:formatCode>
                <c:ptCount val="16"/>
                <c:pt idx="0">
                  <c:v>-18863</c:v>
                </c:pt>
                <c:pt idx="1">
                  <c:v>-16364</c:v>
                </c:pt>
                <c:pt idx="2">
                  <c:v>-13571</c:v>
                </c:pt>
                <c:pt idx="3">
                  <c:v>-15922</c:v>
                </c:pt>
                <c:pt idx="4">
                  <c:v>-19349</c:v>
                </c:pt>
                <c:pt idx="5">
                  <c:v>-19451</c:v>
                </c:pt>
                <c:pt idx="6">
                  <c:v>-15494</c:v>
                </c:pt>
                <c:pt idx="7">
                  <c:v>-11386</c:v>
                </c:pt>
                <c:pt idx="8">
                  <c:v>-9811</c:v>
                </c:pt>
                <c:pt idx="9">
                  <c:v>-8784</c:v>
                </c:pt>
                <c:pt idx="10">
                  <c:v>-7645</c:v>
                </c:pt>
                <c:pt idx="11">
                  <c:v>-6031</c:v>
                </c:pt>
                <c:pt idx="12">
                  <c:v>-3327</c:v>
                </c:pt>
                <c:pt idx="13">
                  <c:v>-2445</c:v>
                </c:pt>
                <c:pt idx="14">
                  <c:v>-2471</c:v>
                </c:pt>
                <c:pt idx="15">
                  <c:v>-3752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FBD-4796-9A8F-2B78C8606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36585016"/>
        <c:axId val="336585408"/>
      </c:barChart>
      <c:dateAx>
        <c:axId val="33658501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6585408"/>
        <c:crosses val="autoZero"/>
        <c:auto val="0"/>
        <c:lblOffset val="100"/>
        <c:baseTimeUnit val="days"/>
      </c:dateAx>
      <c:valAx>
        <c:axId val="33658540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3658501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3.5: Population Pyramid  of Maldives,  2000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096385542168676"/>
          <c:y val="0.15036088131014688"/>
          <c:w val="0.82020138404859111"/>
          <c:h val="0.70979360121560009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'3.2'!$AH$31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D9B69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'3.2'!$AH$32:$AH$47</c:f>
              <c:numCache>
                <c:formatCode>#,##0</c:formatCode>
                <c:ptCount val="16"/>
                <c:pt idx="0">
                  <c:v>15213</c:v>
                </c:pt>
                <c:pt idx="1">
                  <c:v>18591</c:v>
                </c:pt>
                <c:pt idx="2">
                  <c:v>20192</c:v>
                </c:pt>
                <c:pt idx="3">
                  <c:v>16676</c:v>
                </c:pt>
                <c:pt idx="4">
                  <c:v>11894</c:v>
                </c:pt>
                <c:pt idx="5">
                  <c:v>10285</c:v>
                </c:pt>
                <c:pt idx="6">
                  <c:v>9271</c:v>
                </c:pt>
                <c:pt idx="7">
                  <c:v>7871</c:v>
                </c:pt>
                <c:pt idx="8">
                  <c:v>6130</c:v>
                </c:pt>
                <c:pt idx="9">
                  <c:v>3484</c:v>
                </c:pt>
                <c:pt idx="10">
                  <c:v>2916</c:v>
                </c:pt>
                <c:pt idx="11">
                  <c:v>2865</c:v>
                </c:pt>
                <c:pt idx="12">
                  <c:v>2942</c:v>
                </c:pt>
                <c:pt idx="13">
                  <c:v>1961</c:v>
                </c:pt>
                <c:pt idx="14">
                  <c:v>1136</c:v>
                </c:pt>
                <c:pt idx="15">
                  <c:v>1013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618-44E6-BB45-19C88B456203}"/>
            </c:ext>
          </c:extLst>
        </c:ser>
        <c:ser>
          <c:idx val="0"/>
          <c:order val="1"/>
          <c:tx>
            <c:strRef>
              <c:f>'3.2'!$AG$31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  <a:ln w="9525">
              <a:solidFill>
                <a:schemeClr val="bg1"/>
              </a:solidFill>
            </a:ln>
          </c:spPr>
          <c:invertIfNegative val="0"/>
          <c:cat>
            <c:strRef>
              <c:f>'3.2'!$AF$32:$AF$47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'3.2'!$AG$32:$AG$47</c:f>
              <c:numCache>
                <c:formatCode>General_)</c:formatCode>
                <c:ptCount val="16"/>
                <c:pt idx="0">
                  <c:v>-15699</c:v>
                </c:pt>
                <c:pt idx="1">
                  <c:v>-19336</c:v>
                </c:pt>
                <c:pt idx="2">
                  <c:v>-20897</c:v>
                </c:pt>
                <c:pt idx="3">
                  <c:v>-16590</c:v>
                </c:pt>
                <c:pt idx="4">
                  <c:v>-11620</c:v>
                </c:pt>
                <c:pt idx="5">
                  <c:v>-9805</c:v>
                </c:pt>
                <c:pt idx="6">
                  <c:v>-8890</c:v>
                </c:pt>
                <c:pt idx="7">
                  <c:v>-7828</c:v>
                </c:pt>
                <c:pt idx="8">
                  <c:v>-6272</c:v>
                </c:pt>
                <c:pt idx="9">
                  <c:v>-3977</c:v>
                </c:pt>
                <c:pt idx="10">
                  <c:v>-3051</c:v>
                </c:pt>
                <c:pt idx="11">
                  <c:v>-3131</c:v>
                </c:pt>
                <c:pt idx="12">
                  <c:v>-3370</c:v>
                </c:pt>
                <c:pt idx="13">
                  <c:v>-2650</c:v>
                </c:pt>
                <c:pt idx="14">
                  <c:v>-1737</c:v>
                </c:pt>
                <c:pt idx="15">
                  <c:v>-1532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618-44E6-BB45-19C88B45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8543656"/>
        <c:axId val="408545224"/>
      </c:barChart>
      <c:dateAx>
        <c:axId val="408543656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5224"/>
        <c:crosses val="autoZero"/>
        <c:auto val="0"/>
        <c:lblOffset val="100"/>
        <c:baseTimeUnit val="days"/>
      </c:dateAx>
      <c:valAx>
        <c:axId val="408545224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3656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39329029369"/>
          <c:y val="0.17848566929133858"/>
          <c:w val="0.23959896008259629"/>
          <c:h val="7.907779527559055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3.2: Population Pyramid  of Maldives, 2006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5600416714548"/>
          <c:y val="0.14500046317739695"/>
          <c:w val="0.81058766415771644"/>
          <c:h val="0.715154077864628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'3.2'!$AH$56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D9B69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'3.2'!$AH$57:$AH$72</c:f>
              <c:numCache>
                <c:formatCode>#,##0</c:formatCode>
                <c:ptCount val="16"/>
                <c:pt idx="0">
                  <c:v>12809</c:v>
                </c:pt>
                <c:pt idx="1">
                  <c:v>14515</c:v>
                </c:pt>
                <c:pt idx="2">
                  <c:v>17888</c:v>
                </c:pt>
                <c:pt idx="3">
                  <c:v>19749</c:v>
                </c:pt>
                <c:pt idx="4">
                  <c:v>17876</c:v>
                </c:pt>
                <c:pt idx="5">
                  <c:v>12666</c:v>
                </c:pt>
                <c:pt idx="6">
                  <c:v>10613</c:v>
                </c:pt>
                <c:pt idx="7">
                  <c:v>9394</c:v>
                </c:pt>
                <c:pt idx="8">
                  <c:v>8043</c:v>
                </c:pt>
                <c:pt idx="9">
                  <c:v>6697</c:v>
                </c:pt>
                <c:pt idx="10">
                  <c:v>3789</c:v>
                </c:pt>
                <c:pt idx="11">
                  <c:v>2813</c:v>
                </c:pt>
                <c:pt idx="12">
                  <c:v>2714</c:v>
                </c:pt>
                <c:pt idx="13">
                  <c:v>2664</c:v>
                </c:pt>
                <c:pt idx="14">
                  <c:v>1853</c:v>
                </c:pt>
                <c:pt idx="15">
                  <c:v>1637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FE6-4915-B2C7-EE0CC8C75F93}"/>
            </c:ext>
          </c:extLst>
        </c:ser>
        <c:ser>
          <c:idx val="1"/>
          <c:order val="1"/>
          <c:tx>
            <c:strRef>
              <c:f>'3.2'!$AG$56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  <a:ln>
              <a:solidFill>
                <a:schemeClr val="bg1"/>
              </a:solidFill>
            </a:ln>
          </c:spPr>
          <c:invertIfNegative val="0"/>
          <c:cat>
            <c:strRef>
              <c:f>'3.2'!$AF$57:$AF$72</c:f>
              <c:strCache>
                <c:ptCount val="16"/>
                <c:pt idx="0">
                  <c:v>0-4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75+</c:v>
                </c:pt>
              </c:strCache>
            </c:strRef>
          </c:cat>
          <c:val>
            <c:numRef>
              <c:f>'3.2'!$AG$57:$AG$72</c:f>
              <c:numCache>
                <c:formatCode>General_)</c:formatCode>
                <c:ptCount val="16"/>
                <c:pt idx="0">
                  <c:v>-13362</c:v>
                </c:pt>
                <c:pt idx="1">
                  <c:v>-15352</c:v>
                </c:pt>
                <c:pt idx="2">
                  <c:v>-19111</c:v>
                </c:pt>
                <c:pt idx="3">
                  <c:v>-20155</c:v>
                </c:pt>
                <c:pt idx="4">
                  <c:v>-16933</c:v>
                </c:pt>
                <c:pt idx="5">
                  <c:v>-11915</c:v>
                </c:pt>
                <c:pt idx="6">
                  <c:v>-10022</c:v>
                </c:pt>
                <c:pt idx="7">
                  <c:v>-8780</c:v>
                </c:pt>
                <c:pt idx="8">
                  <c:v>-7828</c:v>
                </c:pt>
                <c:pt idx="9">
                  <c:v>-6872</c:v>
                </c:pt>
                <c:pt idx="10">
                  <c:v>-4147</c:v>
                </c:pt>
                <c:pt idx="11">
                  <c:v>-3046</c:v>
                </c:pt>
                <c:pt idx="12">
                  <c:v>-2852</c:v>
                </c:pt>
                <c:pt idx="13">
                  <c:v>-3014</c:v>
                </c:pt>
                <c:pt idx="14">
                  <c:v>-2333</c:v>
                </c:pt>
                <c:pt idx="15">
                  <c:v>-2443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E6-4915-B2C7-EE0CC8C7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08543264"/>
        <c:axId val="408544048"/>
      </c:barChart>
      <c:dateAx>
        <c:axId val="408543264"/>
        <c:scaling>
          <c:orientation val="minMax"/>
        </c:scaling>
        <c:delete val="0"/>
        <c:axPos val="l"/>
        <c:numFmt formatCode="m/d/yyyy" sourceLinked="0"/>
        <c:majorTickMark val="none"/>
        <c:minorTickMark val="none"/>
        <c:tickLblPos val="low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4048"/>
        <c:crosses val="autoZero"/>
        <c:auto val="0"/>
        <c:lblOffset val="100"/>
        <c:baseTimeUnit val="days"/>
      </c:dateAx>
      <c:valAx>
        <c:axId val="408544048"/>
        <c:scaling>
          <c:orientation val="minMax"/>
          <c:max val="25000"/>
          <c:min val="-25000"/>
        </c:scaling>
        <c:delete val="0"/>
        <c:axPos val="b"/>
        <c:majorGridlines>
          <c:spPr>
            <a:ln>
              <a:solidFill>
                <a:schemeClr val="bg1"/>
              </a:solidFill>
            </a:ln>
          </c:spPr>
        </c:majorGridlines>
        <c:numFmt formatCode="#,##0;[Red]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3264"/>
        <c:crosses val="autoZero"/>
        <c:crossBetween val="between"/>
        <c:majorUnit val="5000"/>
        <c:minorUnit val="100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4631349482269362"/>
          <c:y val="0.1784855128403067"/>
          <c:w val="0.23959884489379157"/>
          <c:h val="7.9077762338531227E-2"/>
        </c:manualLayout>
      </c:layout>
      <c:overlay val="0"/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45117971364692E-2"/>
          <c:y val="0.14806549537179739"/>
          <c:w val="0.93207094822359482"/>
          <c:h val="0.728619011591522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'3.9'!$AX$20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numRef>
              <c:f>'3.9'!$BB$19:$BL$19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</c:numCache>
            </c:numRef>
          </c:cat>
          <c:val>
            <c:numRef>
              <c:f>'3.9'!$BB$20:$BL$20</c:f>
              <c:numCache>
                <c:formatCode>0</c:formatCode>
                <c:ptCount val="11"/>
                <c:pt idx="0">
                  <c:v>9.0820629257216989</c:v>
                </c:pt>
                <c:pt idx="1">
                  <c:v>12</c:v>
                </c:pt>
                <c:pt idx="2">
                  <c:v>14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5.1085568326947639</c:v>
                </c:pt>
                <c:pt idx="7">
                  <c:v>8.4388185654008439</c:v>
                </c:pt>
                <c:pt idx="8">
                  <c:v>9.7949886104783594</c:v>
                </c:pt>
                <c:pt idx="9">
                  <c:v>8.2063305978898011</c:v>
                </c:pt>
                <c:pt idx="10">
                  <c:v>10.526315789473683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22-430D-A178-ABC8C9D55230}"/>
            </c:ext>
          </c:extLst>
        </c:ser>
        <c:ser>
          <c:idx val="1"/>
          <c:order val="1"/>
          <c:tx>
            <c:strRef>
              <c:f>'3.9'!$AX$21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CD9B69"/>
            </a:solidFill>
          </c:spPr>
          <c:invertIfNegative val="1"/>
          <c:cat>
            <c:numRef>
              <c:f>'3.9'!$BB$19:$BL$19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 formatCode="General_)">
                  <c:v>2010</c:v>
                </c:pt>
                <c:pt idx="4" formatCode="General_)">
                  <c:v>2011</c:v>
                </c:pt>
                <c:pt idx="5">
                  <c:v>2012</c:v>
                </c:pt>
                <c:pt idx="6" formatCode="General_)">
                  <c:v>2013</c:v>
                </c:pt>
                <c:pt idx="7" formatCode="General_)">
                  <c:v>2014</c:v>
                </c:pt>
                <c:pt idx="8">
                  <c:v>2015</c:v>
                </c:pt>
                <c:pt idx="9" formatCode="General_)">
                  <c:v>2016</c:v>
                </c:pt>
                <c:pt idx="10" formatCode="General_)">
                  <c:v>2017</c:v>
                </c:pt>
              </c:numCache>
            </c:numRef>
          </c:cat>
          <c:val>
            <c:numRef>
              <c:f>'3.9'!$BB$21:$BL$21</c:f>
              <c:numCache>
                <c:formatCode>0</c:formatCode>
                <c:ptCount val="11"/>
                <c:pt idx="0">
                  <c:v>10.900745840504877</c:v>
                </c:pt>
                <c:pt idx="1">
                  <c:v>10</c:v>
                </c:pt>
                <c:pt idx="2">
                  <c:v>8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6.9060773480662982</c:v>
                </c:pt>
                <c:pt idx="7">
                  <c:v>4.6296296296296298</c:v>
                </c:pt>
                <c:pt idx="8">
                  <c:v>5.84795321637427</c:v>
                </c:pt>
                <c:pt idx="9">
                  <c:v>6.5207265952491849</c:v>
                </c:pt>
                <c:pt idx="10">
                  <c:v>6.381039197812215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022-430D-A178-ABC8C9D55230}"/>
            </c:ex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408547576"/>
        <c:axId val="408547968"/>
      </c:barChart>
      <c:catAx>
        <c:axId val="408547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79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08547968"/>
        <c:scaling>
          <c:orientation val="minMax"/>
        </c:scaling>
        <c:delete val="0"/>
        <c:axPos val="l"/>
        <c:majorGridlines>
          <c:spPr>
            <a:ln>
              <a:solidFill>
                <a:srgbClr val="EDDBC9"/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Per '000 Live Births</a:t>
                </a:r>
              </a:p>
            </c:rich>
          </c:tx>
          <c:layout>
            <c:manualLayout>
              <c:xMode val="edge"/>
              <c:yMode val="edge"/>
              <c:x val="5.5661626367500524E-3"/>
              <c:y val="5.9941528661230509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08547576"/>
        <c:crosses val="autoZero"/>
        <c:crossBetween val="between"/>
        <c:majorUnit val="4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017837150887112"/>
          <c:y val="0.18149458430372259"/>
          <c:w val="0.14873600976869042"/>
          <c:h val="0.17090828435177996"/>
        </c:manualLayout>
      </c:layout>
      <c:overlay val="0"/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357565005347946E-2"/>
          <c:y val="0.17234489305858047"/>
          <c:w val="0.89109418520181483"/>
          <c:h val="0.708017721189106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'[2]3.18'!$R$98</c:f>
              <c:strCache>
                <c:ptCount val="1"/>
                <c:pt idx="0">
                  <c:v>Persons married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'[2]3.18'!$S$97:$Z$97</c:f>
              <c:strCache>
                <c:ptCount val="8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&amp; Over</c:v>
                </c:pt>
              </c:strCache>
            </c:strRef>
          </c:cat>
          <c:val>
            <c:numRef>
              <c:f>'[2]3.18'!$S$98:$Z$98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B0-49C9-A3C2-3A7E90B5E038}"/>
            </c:ext>
          </c:extLst>
        </c:ser>
        <c:ser>
          <c:idx val="1"/>
          <c:order val="1"/>
          <c:tx>
            <c:strRef>
              <c:f>'[2]3.18'!$R$99</c:f>
              <c:strCache>
                <c:ptCount val="1"/>
                <c:pt idx="0">
                  <c:v>Persons divorced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'[2]3.18'!$S$97:$Z$97</c:f>
              <c:strCache>
                <c:ptCount val="8"/>
                <c:pt idx="0">
                  <c:v>15 - 19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&amp; Over</c:v>
                </c:pt>
              </c:strCache>
            </c:strRef>
          </c:cat>
          <c:val>
            <c:numRef>
              <c:f>'[2]3.18'!$S$99:$Z$99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B0-49C9-A3C2-3A7E90B5E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2199856"/>
        <c:axId val="442200640"/>
      </c:barChart>
      <c:catAx>
        <c:axId val="4421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200640"/>
        <c:crosses val="autoZero"/>
        <c:auto val="1"/>
        <c:lblAlgn val="ctr"/>
        <c:lblOffset val="100"/>
        <c:noMultiLvlLbl val="0"/>
      </c:catAx>
      <c:valAx>
        <c:axId val="44220064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99856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2026842659160355"/>
          <c:y val="0.24468159565160738"/>
          <c:w val="0.38338709472910093"/>
          <c:h val="8.747044917257682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orbel"/>
              <a:ea typeface="Corbel"/>
              <a:cs typeface="Corbel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33</xdr:row>
      <xdr:rowOff>171450</xdr:rowOff>
    </xdr:from>
    <xdr:to>
      <xdr:col>6</xdr:col>
      <xdr:colOff>447675</xdr:colOff>
      <xdr:row>46</xdr:row>
      <xdr:rowOff>114300</xdr:rowOff>
    </xdr:to>
    <xdr:graphicFrame macro="">
      <xdr:nvGraphicFramePr>
        <xdr:cNvPr id="2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352425</xdr:colOff>
      <xdr:row>33</xdr:row>
      <xdr:rowOff>0</xdr:rowOff>
    </xdr:from>
    <xdr:to>
      <xdr:col>7</xdr:col>
      <xdr:colOff>457200</xdr:colOff>
      <xdr:row>33</xdr:row>
      <xdr:rowOff>28575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5067300" y="7058025"/>
          <a:ext cx="104775" cy="2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171450</xdr:colOff>
      <xdr:row>26</xdr:row>
      <xdr:rowOff>0</xdr:rowOff>
    </xdr:from>
    <xdr:to>
      <xdr:col>18</xdr:col>
      <xdr:colOff>266700</xdr:colOff>
      <xdr:row>26</xdr:row>
      <xdr:rowOff>38100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1677650" y="5467350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95250</xdr:colOff>
      <xdr:row>33</xdr:row>
      <xdr:rowOff>38100</xdr:rowOff>
    </xdr:to>
    <xdr:sp macro="" textlink="">
      <xdr:nvSpPr>
        <xdr:cNvPr id="5" name="Text Box 4"/>
        <xdr:cNvSpPr txBox="1">
          <a:spLocks noChangeArrowheads="1"/>
        </xdr:cNvSpPr>
      </xdr:nvSpPr>
      <xdr:spPr bwMode="auto">
        <a:xfrm>
          <a:off x="1038225" y="7058025"/>
          <a:ext cx="952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228600</xdr:colOff>
      <xdr:row>33</xdr:row>
      <xdr:rowOff>0</xdr:rowOff>
    </xdr:from>
    <xdr:to>
      <xdr:col>11</xdr:col>
      <xdr:colOff>247650</xdr:colOff>
      <xdr:row>33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26</xdr:row>
      <xdr:rowOff>0</xdr:rowOff>
    </xdr:from>
    <xdr:to>
      <xdr:col>22</xdr:col>
      <xdr:colOff>457200</xdr:colOff>
      <xdr:row>26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160235</xdr:colOff>
      <xdr:row>61</xdr:row>
      <xdr:rowOff>80117</xdr:rowOff>
    </xdr:from>
    <xdr:to>
      <xdr:col>13</xdr:col>
      <xdr:colOff>49025</xdr:colOff>
      <xdr:row>62</xdr:row>
      <xdr:rowOff>63033</xdr:rowOff>
    </xdr:to>
    <xdr:sp macro="" textlink="">
      <xdr:nvSpPr>
        <xdr:cNvPr id="8" name="TextBox 7"/>
        <xdr:cNvSpPr txBox="1"/>
      </xdr:nvSpPr>
      <xdr:spPr>
        <a:xfrm>
          <a:off x="6399110" y="12157817"/>
          <a:ext cx="1450890" cy="17341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700" b="1"/>
            <a:t>Population in Thousands</a:t>
          </a:r>
        </a:p>
      </xdr:txBody>
    </xdr:sp>
    <xdr:clientData/>
  </xdr:twoCellAnchor>
  <xdr:twoCellAnchor>
    <xdr:from>
      <xdr:col>2</xdr:col>
      <xdr:colOff>70036</xdr:colOff>
      <xdr:row>45</xdr:row>
      <xdr:rowOff>161084</xdr:rowOff>
    </xdr:from>
    <xdr:to>
      <xdr:col>3</xdr:col>
      <xdr:colOff>581306</xdr:colOff>
      <xdr:row>46</xdr:row>
      <xdr:rowOff>105054</xdr:rowOff>
    </xdr:to>
    <xdr:sp macro="" textlink="">
      <xdr:nvSpPr>
        <xdr:cNvPr id="9" name="TextBox 8"/>
        <xdr:cNvSpPr txBox="1"/>
      </xdr:nvSpPr>
      <xdr:spPr>
        <a:xfrm>
          <a:off x="1832161" y="9514634"/>
          <a:ext cx="1235170" cy="134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700"/>
        </a:p>
      </xdr:txBody>
    </xdr:sp>
    <xdr:clientData/>
  </xdr:twoCellAnchor>
  <xdr:twoCellAnchor>
    <xdr:from>
      <xdr:col>10</xdr:col>
      <xdr:colOff>70572</xdr:colOff>
      <xdr:row>45</xdr:row>
      <xdr:rowOff>141784</xdr:rowOff>
    </xdr:from>
    <xdr:to>
      <xdr:col>12</xdr:col>
      <xdr:colOff>91584</xdr:colOff>
      <xdr:row>46</xdr:row>
      <xdr:rowOff>138149</xdr:rowOff>
    </xdr:to>
    <xdr:sp macro="" textlink="">
      <xdr:nvSpPr>
        <xdr:cNvPr id="10" name="TextBox 9"/>
        <xdr:cNvSpPr txBox="1"/>
      </xdr:nvSpPr>
      <xdr:spPr>
        <a:xfrm>
          <a:off x="6309447" y="9495334"/>
          <a:ext cx="1392612" cy="186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400"/>
        </a:p>
      </xdr:txBody>
    </xdr:sp>
    <xdr:clientData/>
  </xdr:twoCellAnchor>
  <xdr:twoCellAnchor>
    <xdr:from>
      <xdr:col>7</xdr:col>
      <xdr:colOff>57150</xdr:colOff>
      <xdr:row>49</xdr:row>
      <xdr:rowOff>0</xdr:rowOff>
    </xdr:from>
    <xdr:to>
      <xdr:col>14</xdr:col>
      <xdr:colOff>295275</xdr:colOff>
      <xdr:row>62</xdr:row>
      <xdr:rowOff>142875</xdr:rowOff>
    </xdr:to>
    <xdr:graphicFrame macro="">
      <xdr:nvGraphicFramePr>
        <xdr:cNvPr id="13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</xdr:colOff>
      <xdr:row>34</xdr:row>
      <xdr:rowOff>9525</xdr:rowOff>
    </xdr:from>
    <xdr:to>
      <xdr:col>14</xdr:col>
      <xdr:colOff>257175</xdr:colOff>
      <xdr:row>46</xdr:row>
      <xdr:rowOff>104775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476250</xdr:colOff>
      <xdr:row>48</xdr:row>
      <xdr:rowOff>133350</xdr:rowOff>
    </xdr:from>
    <xdr:to>
      <xdr:col>6</xdr:col>
      <xdr:colOff>428625</xdr:colOff>
      <xdr:row>62</xdr:row>
      <xdr:rowOff>161925</xdr:rowOff>
    </xdr:to>
    <xdr:graphicFrame macro="">
      <xdr:nvGraphicFramePr>
        <xdr:cNvPr id="15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383463</xdr:colOff>
      <xdr:row>61</xdr:row>
      <xdr:rowOff>139589</xdr:rowOff>
    </xdr:from>
    <xdr:to>
      <xdr:col>4</xdr:col>
      <xdr:colOff>94429</xdr:colOff>
      <xdr:row>62</xdr:row>
      <xdr:rowOff>181960</xdr:rowOff>
    </xdr:to>
    <xdr:sp macro="" textlink="">
      <xdr:nvSpPr>
        <xdr:cNvPr id="16" name="TextBox 15"/>
        <xdr:cNvSpPr txBox="1"/>
      </xdr:nvSpPr>
      <xdr:spPr>
        <a:xfrm>
          <a:off x="2144767" y="12189535"/>
          <a:ext cx="1156138" cy="231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4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  <cdr:relSizeAnchor xmlns:cdr="http://schemas.openxmlformats.org/drawingml/2006/chartDrawing">
    <cdr:from>
      <cdr:x>0.31295</cdr:x>
      <cdr:y>0.91739</cdr:y>
    </cdr:from>
    <cdr:to>
      <cdr:x>0.70146</cdr:x>
      <cdr:y>0.9941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52462" y="2177851"/>
          <a:ext cx="1554816" cy="18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>
              <a:effectLst/>
              <a:latin typeface="+mn-lt"/>
              <a:ea typeface="+mn-ea"/>
              <a:cs typeface="+mn-cs"/>
            </a:rPr>
            <a:t>Population in Thousands</a:t>
          </a:r>
          <a:endParaRPr lang="en-US" sz="700">
            <a:effectLst/>
          </a:endParaRPr>
        </a:p>
        <a:p xmlns:a="http://schemas.openxmlformats.org/drawingml/2006/main">
          <a:pPr algn="ctr">
            <a:lnSpc>
              <a:spcPts val="900"/>
            </a:lnSpc>
          </a:pPr>
          <a:endParaRPr lang="en-US" sz="8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0.01332</cdr:x>
      <cdr:y>0.34779</cdr:y>
    </cdr:from>
    <cdr:to>
      <cdr:x>0.05621</cdr:x>
      <cdr:y>0.57189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3374" y="790082"/>
          <a:ext cx="171777" cy="509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r>
            <a:rPr lang="en-US" sz="700" b="1"/>
            <a:t>Age Group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17</xdr:row>
      <xdr:rowOff>9525</xdr:rowOff>
    </xdr:from>
    <xdr:to>
      <xdr:col>44</xdr:col>
      <xdr:colOff>571500</xdr:colOff>
      <xdr:row>31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0.20432</cdr:x>
      <cdr:y>0.02673</cdr:y>
    </cdr:from>
    <cdr:to>
      <cdr:x>0.82671</cdr:x>
      <cdr:y>0.11388</cdr:y>
    </cdr:to>
    <cdr:sp macro="" textlink="">
      <cdr:nvSpPr>
        <cdr:cNvPr id="3789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2045" y="71782"/>
          <a:ext cx="4484172" cy="2340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Figure 3.12: Infant mortality rate, 2007 - 2017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1143000</xdr:colOff>
      <xdr:row>98</xdr:row>
      <xdr:rowOff>133350</xdr:rowOff>
    </xdr:from>
    <xdr:to>
      <xdr:col>12</xdr:col>
      <xdr:colOff>533400</xdr:colOff>
      <xdr:row>112</xdr:row>
      <xdr:rowOff>219075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228600</xdr:colOff>
      <xdr:row>98</xdr:row>
      <xdr:rowOff>228600</xdr:rowOff>
    </xdr:from>
    <xdr:to>
      <xdr:col>11</xdr:col>
      <xdr:colOff>438150</xdr:colOff>
      <xdr:row>100</xdr:row>
      <xdr:rowOff>9525</xdr:rowOff>
    </xdr:to>
    <xdr:sp macro="" textlink="">
      <xdr:nvSpPr>
        <xdr:cNvPr id="3" name="TextBox 2"/>
        <xdr:cNvSpPr txBox="1"/>
      </xdr:nvSpPr>
      <xdr:spPr>
        <a:xfrm>
          <a:off x="2552700" y="9534525"/>
          <a:ext cx="5667375" cy="2190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3.21: Number of persons married and divorced by age group, 2017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219075</xdr:colOff>
      <xdr:row>100</xdr:row>
      <xdr:rowOff>28575</xdr:rowOff>
    </xdr:from>
    <xdr:to>
      <xdr:col>11</xdr:col>
      <xdr:colOff>352426</xdr:colOff>
      <xdr:row>100</xdr:row>
      <xdr:rowOff>28575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543175" y="9772650"/>
          <a:ext cx="5591176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96"/>
  <sheetViews>
    <sheetView tabSelected="1" zoomScale="96" zoomScaleNormal="96" workbookViewId="0">
      <selection activeCell="V26" sqref="V26"/>
    </sheetView>
  </sheetViews>
  <sheetFormatPr defaultRowHeight="12.75"/>
  <cols>
    <col min="1" max="1" width="15.5703125" style="14" customWidth="1"/>
    <col min="2" max="4" width="10.85546875" style="14" customWidth="1"/>
    <col min="5" max="5" width="2.28515625" style="14" customWidth="1"/>
    <col min="6" max="8" width="10.140625" style="14" customWidth="1"/>
    <col min="9" max="9" width="2.42578125" style="14" customWidth="1"/>
    <col min="10" max="12" width="10.28515625" style="14" customWidth="1"/>
    <col min="13" max="13" width="2.85546875" style="14" customWidth="1"/>
    <col min="14" max="16" width="10.42578125" style="14" customWidth="1"/>
    <col min="17" max="18" width="12.140625" style="14" customWidth="1"/>
    <col min="19" max="19" width="11.85546875" style="14" bestFit="1" customWidth="1"/>
    <col min="20" max="21" width="10.5703125" style="14" bestFit="1" customWidth="1"/>
    <col min="22" max="22" width="11.85546875" style="14" bestFit="1" customWidth="1"/>
    <col min="23" max="23" width="10.5703125" style="14" bestFit="1" customWidth="1"/>
    <col min="24" max="25" width="10.5703125" style="14" customWidth="1"/>
    <col min="26" max="33" width="9.140625" style="14"/>
    <col min="34" max="34" width="10.85546875" style="14" customWidth="1"/>
    <col min="35" max="256" width="9.140625" style="14"/>
    <col min="257" max="257" width="15.5703125" style="14" customWidth="1"/>
    <col min="258" max="260" width="10.85546875" style="14" customWidth="1"/>
    <col min="261" max="261" width="2.28515625" style="14" customWidth="1"/>
    <col min="262" max="264" width="10.140625" style="14" customWidth="1"/>
    <col min="265" max="265" width="2.42578125" style="14" customWidth="1"/>
    <col min="266" max="268" width="10.28515625" style="14" customWidth="1"/>
    <col min="269" max="269" width="2.85546875" style="14" customWidth="1"/>
    <col min="270" max="272" width="10.42578125" style="14" customWidth="1"/>
    <col min="273" max="274" width="12.140625" style="14" customWidth="1"/>
    <col min="275" max="275" width="11.85546875" style="14" bestFit="1" customWidth="1"/>
    <col min="276" max="277" width="10.5703125" style="14" bestFit="1" customWidth="1"/>
    <col min="278" max="278" width="11.85546875" style="14" bestFit="1" customWidth="1"/>
    <col min="279" max="279" width="10.5703125" style="14" bestFit="1" customWidth="1"/>
    <col min="280" max="281" width="10.5703125" style="14" customWidth="1"/>
    <col min="282" max="289" width="9.140625" style="14"/>
    <col min="290" max="290" width="10.85546875" style="14" customWidth="1"/>
    <col min="291" max="512" width="9.140625" style="14"/>
    <col min="513" max="513" width="15.5703125" style="14" customWidth="1"/>
    <col min="514" max="516" width="10.85546875" style="14" customWidth="1"/>
    <col min="517" max="517" width="2.28515625" style="14" customWidth="1"/>
    <col min="518" max="520" width="10.140625" style="14" customWidth="1"/>
    <col min="521" max="521" width="2.42578125" style="14" customWidth="1"/>
    <col min="522" max="524" width="10.28515625" style="14" customWidth="1"/>
    <col min="525" max="525" width="2.85546875" style="14" customWidth="1"/>
    <col min="526" max="528" width="10.42578125" style="14" customWidth="1"/>
    <col min="529" max="530" width="12.140625" style="14" customWidth="1"/>
    <col min="531" max="531" width="11.85546875" style="14" bestFit="1" customWidth="1"/>
    <col min="532" max="533" width="10.5703125" style="14" bestFit="1" customWidth="1"/>
    <col min="534" max="534" width="11.85546875" style="14" bestFit="1" customWidth="1"/>
    <col min="535" max="535" width="10.5703125" style="14" bestFit="1" customWidth="1"/>
    <col min="536" max="537" width="10.5703125" style="14" customWidth="1"/>
    <col min="538" max="545" width="9.140625" style="14"/>
    <col min="546" max="546" width="10.85546875" style="14" customWidth="1"/>
    <col min="547" max="768" width="9.140625" style="14"/>
    <col min="769" max="769" width="15.5703125" style="14" customWidth="1"/>
    <col min="770" max="772" width="10.85546875" style="14" customWidth="1"/>
    <col min="773" max="773" width="2.28515625" style="14" customWidth="1"/>
    <col min="774" max="776" width="10.140625" style="14" customWidth="1"/>
    <col min="777" max="777" width="2.42578125" style="14" customWidth="1"/>
    <col min="778" max="780" width="10.28515625" style="14" customWidth="1"/>
    <col min="781" max="781" width="2.85546875" style="14" customWidth="1"/>
    <col min="782" max="784" width="10.42578125" style="14" customWidth="1"/>
    <col min="785" max="786" width="12.140625" style="14" customWidth="1"/>
    <col min="787" max="787" width="11.85546875" style="14" bestFit="1" customWidth="1"/>
    <col min="788" max="789" width="10.5703125" style="14" bestFit="1" customWidth="1"/>
    <col min="790" max="790" width="11.85546875" style="14" bestFit="1" customWidth="1"/>
    <col min="791" max="791" width="10.5703125" style="14" bestFit="1" customWidth="1"/>
    <col min="792" max="793" width="10.5703125" style="14" customWidth="1"/>
    <col min="794" max="801" width="9.140625" style="14"/>
    <col min="802" max="802" width="10.85546875" style="14" customWidth="1"/>
    <col min="803" max="1024" width="9.140625" style="14"/>
    <col min="1025" max="1025" width="15.5703125" style="14" customWidth="1"/>
    <col min="1026" max="1028" width="10.85546875" style="14" customWidth="1"/>
    <col min="1029" max="1029" width="2.28515625" style="14" customWidth="1"/>
    <col min="1030" max="1032" width="10.140625" style="14" customWidth="1"/>
    <col min="1033" max="1033" width="2.42578125" style="14" customWidth="1"/>
    <col min="1034" max="1036" width="10.28515625" style="14" customWidth="1"/>
    <col min="1037" max="1037" width="2.85546875" style="14" customWidth="1"/>
    <col min="1038" max="1040" width="10.42578125" style="14" customWidth="1"/>
    <col min="1041" max="1042" width="12.140625" style="14" customWidth="1"/>
    <col min="1043" max="1043" width="11.85546875" style="14" bestFit="1" customWidth="1"/>
    <col min="1044" max="1045" width="10.5703125" style="14" bestFit="1" customWidth="1"/>
    <col min="1046" max="1046" width="11.85546875" style="14" bestFit="1" customWidth="1"/>
    <col min="1047" max="1047" width="10.5703125" style="14" bestFit="1" customWidth="1"/>
    <col min="1048" max="1049" width="10.5703125" style="14" customWidth="1"/>
    <col min="1050" max="1057" width="9.140625" style="14"/>
    <col min="1058" max="1058" width="10.85546875" style="14" customWidth="1"/>
    <col min="1059" max="1280" width="9.140625" style="14"/>
    <col min="1281" max="1281" width="15.5703125" style="14" customWidth="1"/>
    <col min="1282" max="1284" width="10.85546875" style="14" customWidth="1"/>
    <col min="1285" max="1285" width="2.28515625" style="14" customWidth="1"/>
    <col min="1286" max="1288" width="10.140625" style="14" customWidth="1"/>
    <col min="1289" max="1289" width="2.42578125" style="14" customWidth="1"/>
    <col min="1290" max="1292" width="10.28515625" style="14" customWidth="1"/>
    <col min="1293" max="1293" width="2.85546875" style="14" customWidth="1"/>
    <col min="1294" max="1296" width="10.42578125" style="14" customWidth="1"/>
    <col min="1297" max="1298" width="12.140625" style="14" customWidth="1"/>
    <col min="1299" max="1299" width="11.85546875" style="14" bestFit="1" customWidth="1"/>
    <col min="1300" max="1301" width="10.5703125" style="14" bestFit="1" customWidth="1"/>
    <col min="1302" max="1302" width="11.85546875" style="14" bestFit="1" customWidth="1"/>
    <col min="1303" max="1303" width="10.5703125" style="14" bestFit="1" customWidth="1"/>
    <col min="1304" max="1305" width="10.5703125" style="14" customWidth="1"/>
    <col min="1306" max="1313" width="9.140625" style="14"/>
    <col min="1314" max="1314" width="10.85546875" style="14" customWidth="1"/>
    <col min="1315" max="1536" width="9.140625" style="14"/>
    <col min="1537" max="1537" width="15.5703125" style="14" customWidth="1"/>
    <col min="1538" max="1540" width="10.85546875" style="14" customWidth="1"/>
    <col min="1541" max="1541" width="2.28515625" style="14" customWidth="1"/>
    <col min="1542" max="1544" width="10.140625" style="14" customWidth="1"/>
    <col min="1545" max="1545" width="2.42578125" style="14" customWidth="1"/>
    <col min="1546" max="1548" width="10.28515625" style="14" customWidth="1"/>
    <col min="1549" max="1549" width="2.85546875" style="14" customWidth="1"/>
    <col min="1550" max="1552" width="10.42578125" style="14" customWidth="1"/>
    <col min="1553" max="1554" width="12.140625" style="14" customWidth="1"/>
    <col min="1555" max="1555" width="11.85546875" style="14" bestFit="1" customWidth="1"/>
    <col min="1556" max="1557" width="10.5703125" style="14" bestFit="1" customWidth="1"/>
    <col min="1558" max="1558" width="11.85546875" style="14" bestFit="1" customWidth="1"/>
    <col min="1559" max="1559" width="10.5703125" style="14" bestFit="1" customWidth="1"/>
    <col min="1560" max="1561" width="10.5703125" style="14" customWidth="1"/>
    <col min="1562" max="1569" width="9.140625" style="14"/>
    <col min="1570" max="1570" width="10.85546875" style="14" customWidth="1"/>
    <col min="1571" max="1792" width="9.140625" style="14"/>
    <col min="1793" max="1793" width="15.5703125" style="14" customWidth="1"/>
    <col min="1794" max="1796" width="10.85546875" style="14" customWidth="1"/>
    <col min="1797" max="1797" width="2.28515625" style="14" customWidth="1"/>
    <col min="1798" max="1800" width="10.140625" style="14" customWidth="1"/>
    <col min="1801" max="1801" width="2.42578125" style="14" customWidth="1"/>
    <col min="1802" max="1804" width="10.28515625" style="14" customWidth="1"/>
    <col min="1805" max="1805" width="2.85546875" style="14" customWidth="1"/>
    <col min="1806" max="1808" width="10.42578125" style="14" customWidth="1"/>
    <col min="1809" max="1810" width="12.140625" style="14" customWidth="1"/>
    <col min="1811" max="1811" width="11.85546875" style="14" bestFit="1" customWidth="1"/>
    <col min="1812" max="1813" width="10.5703125" style="14" bestFit="1" customWidth="1"/>
    <col min="1814" max="1814" width="11.85546875" style="14" bestFit="1" customWidth="1"/>
    <col min="1815" max="1815" width="10.5703125" style="14" bestFit="1" customWidth="1"/>
    <col min="1816" max="1817" width="10.5703125" style="14" customWidth="1"/>
    <col min="1818" max="1825" width="9.140625" style="14"/>
    <col min="1826" max="1826" width="10.85546875" style="14" customWidth="1"/>
    <col min="1827" max="2048" width="9.140625" style="14"/>
    <col min="2049" max="2049" width="15.5703125" style="14" customWidth="1"/>
    <col min="2050" max="2052" width="10.85546875" style="14" customWidth="1"/>
    <col min="2053" max="2053" width="2.28515625" style="14" customWidth="1"/>
    <col min="2054" max="2056" width="10.140625" style="14" customWidth="1"/>
    <col min="2057" max="2057" width="2.42578125" style="14" customWidth="1"/>
    <col min="2058" max="2060" width="10.28515625" style="14" customWidth="1"/>
    <col min="2061" max="2061" width="2.85546875" style="14" customWidth="1"/>
    <col min="2062" max="2064" width="10.42578125" style="14" customWidth="1"/>
    <col min="2065" max="2066" width="12.140625" style="14" customWidth="1"/>
    <col min="2067" max="2067" width="11.85546875" style="14" bestFit="1" customWidth="1"/>
    <col min="2068" max="2069" width="10.5703125" style="14" bestFit="1" customWidth="1"/>
    <col min="2070" max="2070" width="11.85546875" style="14" bestFit="1" customWidth="1"/>
    <col min="2071" max="2071" width="10.5703125" style="14" bestFit="1" customWidth="1"/>
    <col min="2072" max="2073" width="10.5703125" style="14" customWidth="1"/>
    <col min="2074" max="2081" width="9.140625" style="14"/>
    <col min="2082" max="2082" width="10.85546875" style="14" customWidth="1"/>
    <col min="2083" max="2304" width="9.140625" style="14"/>
    <col min="2305" max="2305" width="15.5703125" style="14" customWidth="1"/>
    <col min="2306" max="2308" width="10.85546875" style="14" customWidth="1"/>
    <col min="2309" max="2309" width="2.28515625" style="14" customWidth="1"/>
    <col min="2310" max="2312" width="10.140625" style="14" customWidth="1"/>
    <col min="2313" max="2313" width="2.42578125" style="14" customWidth="1"/>
    <col min="2314" max="2316" width="10.28515625" style="14" customWidth="1"/>
    <col min="2317" max="2317" width="2.85546875" style="14" customWidth="1"/>
    <col min="2318" max="2320" width="10.42578125" style="14" customWidth="1"/>
    <col min="2321" max="2322" width="12.140625" style="14" customWidth="1"/>
    <col min="2323" max="2323" width="11.85546875" style="14" bestFit="1" customWidth="1"/>
    <col min="2324" max="2325" width="10.5703125" style="14" bestFit="1" customWidth="1"/>
    <col min="2326" max="2326" width="11.85546875" style="14" bestFit="1" customWidth="1"/>
    <col min="2327" max="2327" width="10.5703125" style="14" bestFit="1" customWidth="1"/>
    <col min="2328" max="2329" width="10.5703125" style="14" customWidth="1"/>
    <col min="2330" max="2337" width="9.140625" style="14"/>
    <col min="2338" max="2338" width="10.85546875" style="14" customWidth="1"/>
    <col min="2339" max="2560" width="9.140625" style="14"/>
    <col min="2561" max="2561" width="15.5703125" style="14" customWidth="1"/>
    <col min="2562" max="2564" width="10.85546875" style="14" customWidth="1"/>
    <col min="2565" max="2565" width="2.28515625" style="14" customWidth="1"/>
    <col min="2566" max="2568" width="10.140625" style="14" customWidth="1"/>
    <col min="2569" max="2569" width="2.42578125" style="14" customWidth="1"/>
    <col min="2570" max="2572" width="10.28515625" style="14" customWidth="1"/>
    <col min="2573" max="2573" width="2.85546875" style="14" customWidth="1"/>
    <col min="2574" max="2576" width="10.42578125" style="14" customWidth="1"/>
    <col min="2577" max="2578" width="12.140625" style="14" customWidth="1"/>
    <col min="2579" max="2579" width="11.85546875" style="14" bestFit="1" customWidth="1"/>
    <col min="2580" max="2581" width="10.5703125" style="14" bestFit="1" customWidth="1"/>
    <col min="2582" max="2582" width="11.85546875" style="14" bestFit="1" customWidth="1"/>
    <col min="2583" max="2583" width="10.5703125" style="14" bestFit="1" customWidth="1"/>
    <col min="2584" max="2585" width="10.5703125" style="14" customWidth="1"/>
    <col min="2586" max="2593" width="9.140625" style="14"/>
    <col min="2594" max="2594" width="10.85546875" style="14" customWidth="1"/>
    <col min="2595" max="2816" width="9.140625" style="14"/>
    <col min="2817" max="2817" width="15.5703125" style="14" customWidth="1"/>
    <col min="2818" max="2820" width="10.85546875" style="14" customWidth="1"/>
    <col min="2821" max="2821" width="2.28515625" style="14" customWidth="1"/>
    <col min="2822" max="2824" width="10.140625" style="14" customWidth="1"/>
    <col min="2825" max="2825" width="2.42578125" style="14" customWidth="1"/>
    <col min="2826" max="2828" width="10.28515625" style="14" customWidth="1"/>
    <col min="2829" max="2829" width="2.85546875" style="14" customWidth="1"/>
    <col min="2830" max="2832" width="10.42578125" style="14" customWidth="1"/>
    <col min="2833" max="2834" width="12.140625" style="14" customWidth="1"/>
    <col min="2835" max="2835" width="11.85546875" style="14" bestFit="1" customWidth="1"/>
    <col min="2836" max="2837" width="10.5703125" style="14" bestFit="1" customWidth="1"/>
    <col min="2838" max="2838" width="11.85546875" style="14" bestFit="1" customWidth="1"/>
    <col min="2839" max="2839" width="10.5703125" style="14" bestFit="1" customWidth="1"/>
    <col min="2840" max="2841" width="10.5703125" style="14" customWidth="1"/>
    <col min="2842" max="2849" width="9.140625" style="14"/>
    <col min="2850" max="2850" width="10.85546875" style="14" customWidth="1"/>
    <col min="2851" max="3072" width="9.140625" style="14"/>
    <col min="3073" max="3073" width="15.5703125" style="14" customWidth="1"/>
    <col min="3074" max="3076" width="10.85546875" style="14" customWidth="1"/>
    <col min="3077" max="3077" width="2.28515625" style="14" customWidth="1"/>
    <col min="3078" max="3080" width="10.140625" style="14" customWidth="1"/>
    <col min="3081" max="3081" width="2.42578125" style="14" customWidth="1"/>
    <col min="3082" max="3084" width="10.28515625" style="14" customWidth="1"/>
    <col min="3085" max="3085" width="2.85546875" style="14" customWidth="1"/>
    <col min="3086" max="3088" width="10.42578125" style="14" customWidth="1"/>
    <col min="3089" max="3090" width="12.140625" style="14" customWidth="1"/>
    <col min="3091" max="3091" width="11.85546875" style="14" bestFit="1" customWidth="1"/>
    <col min="3092" max="3093" width="10.5703125" style="14" bestFit="1" customWidth="1"/>
    <col min="3094" max="3094" width="11.85546875" style="14" bestFit="1" customWidth="1"/>
    <col min="3095" max="3095" width="10.5703125" style="14" bestFit="1" customWidth="1"/>
    <col min="3096" max="3097" width="10.5703125" style="14" customWidth="1"/>
    <col min="3098" max="3105" width="9.140625" style="14"/>
    <col min="3106" max="3106" width="10.85546875" style="14" customWidth="1"/>
    <col min="3107" max="3328" width="9.140625" style="14"/>
    <col min="3329" max="3329" width="15.5703125" style="14" customWidth="1"/>
    <col min="3330" max="3332" width="10.85546875" style="14" customWidth="1"/>
    <col min="3333" max="3333" width="2.28515625" style="14" customWidth="1"/>
    <col min="3334" max="3336" width="10.140625" style="14" customWidth="1"/>
    <col min="3337" max="3337" width="2.42578125" style="14" customWidth="1"/>
    <col min="3338" max="3340" width="10.28515625" style="14" customWidth="1"/>
    <col min="3341" max="3341" width="2.85546875" style="14" customWidth="1"/>
    <col min="3342" max="3344" width="10.42578125" style="14" customWidth="1"/>
    <col min="3345" max="3346" width="12.140625" style="14" customWidth="1"/>
    <col min="3347" max="3347" width="11.85546875" style="14" bestFit="1" customWidth="1"/>
    <col min="3348" max="3349" width="10.5703125" style="14" bestFit="1" customWidth="1"/>
    <col min="3350" max="3350" width="11.85546875" style="14" bestFit="1" customWidth="1"/>
    <col min="3351" max="3351" width="10.5703125" style="14" bestFit="1" customWidth="1"/>
    <col min="3352" max="3353" width="10.5703125" style="14" customWidth="1"/>
    <col min="3354" max="3361" width="9.140625" style="14"/>
    <col min="3362" max="3362" width="10.85546875" style="14" customWidth="1"/>
    <col min="3363" max="3584" width="9.140625" style="14"/>
    <col min="3585" max="3585" width="15.5703125" style="14" customWidth="1"/>
    <col min="3586" max="3588" width="10.85546875" style="14" customWidth="1"/>
    <col min="3589" max="3589" width="2.28515625" style="14" customWidth="1"/>
    <col min="3590" max="3592" width="10.140625" style="14" customWidth="1"/>
    <col min="3593" max="3593" width="2.42578125" style="14" customWidth="1"/>
    <col min="3594" max="3596" width="10.28515625" style="14" customWidth="1"/>
    <col min="3597" max="3597" width="2.85546875" style="14" customWidth="1"/>
    <col min="3598" max="3600" width="10.42578125" style="14" customWidth="1"/>
    <col min="3601" max="3602" width="12.140625" style="14" customWidth="1"/>
    <col min="3603" max="3603" width="11.85546875" style="14" bestFit="1" customWidth="1"/>
    <col min="3604" max="3605" width="10.5703125" style="14" bestFit="1" customWidth="1"/>
    <col min="3606" max="3606" width="11.85546875" style="14" bestFit="1" customWidth="1"/>
    <col min="3607" max="3607" width="10.5703125" style="14" bestFit="1" customWidth="1"/>
    <col min="3608" max="3609" width="10.5703125" style="14" customWidth="1"/>
    <col min="3610" max="3617" width="9.140625" style="14"/>
    <col min="3618" max="3618" width="10.85546875" style="14" customWidth="1"/>
    <col min="3619" max="3840" width="9.140625" style="14"/>
    <col min="3841" max="3841" width="15.5703125" style="14" customWidth="1"/>
    <col min="3842" max="3844" width="10.85546875" style="14" customWidth="1"/>
    <col min="3845" max="3845" width="2.28515625" style="14" customWidth="1"/>
    <col min="3846" max="3848" width="10.140625" style="14" customWidth="1"/>
    <col min="3849" max="3849" width="2.42578125" style="14" customWidth="1"/>
    <col min="3850" max="3852" width="10.28515625" style="14" customWidth="1"/>
    <col min="3853" max="3853" width="2.85546875" style="14" customWidth="1"/>
    <col min="3854" max="3856" width="10.42578125" style="14" customWidth="1"/>
    <col min="3857" max="3858" width="12.140625" style="14" customWidth="1"/>
    <col min="3859" max="3859" width="11.85546875" style="14" bestFit="1" customWidth="1"/>
    <col min="3860" max="3861" width="10.5703125" style="14" bestFit="1" customWidth="1"/>
    <col min="3862" max="3862" width="11.85546875" style="14" bestFit="1" customWidth="1"/>
    <col min="3863" max="3863" width="10.5703125" style="14" bestFit="1" customWidth="1"/>
    <col min="3864" max="3865" width="10.5703125" style="14" customWidth="1"/>
    <col min="3866" max="3873" width="9.140625" style="14"/>
    <col min="3874" max="3874" width="10.85546875" style="14" customWidth="1"/>
    <col min="3875" max="4096" width="9.140625" style="14"/>
    <col min="4097" max="4097" width="15.5703125" style="14" customWidth="1"/>
    <col min="4098" max="4100" width="10.85546875" style="14" customWidth="1"/>
    <col min="4101" max="4101" width="2.28515625" style="14" customWidth="1"/>
    <col min="4102" max="4104" width="10.140625" style="14" customWidth="1"/>
    <col min="4105" max="4105" width="2.42578125" style="14" customWidth="1"/>
    <col min="4106" max="4108" width="10.28515625" style="14" customWidth="1"/>
    <col min="4109" max="4109" width="2.85546875" style="14" customWidth="1"/>
    <col min="4110" max="4112" width="10.42578125" style="14" customWidth="1"/>
    <col min="4113" max="4114" width="12.140625" style="14" customWidth="1"/>
    <col min="4115" max="4115" width="11.85546875" style="14" bestFit="1" customWidth="1"/>
    <col min="4116" max="4117" width="10.5703125" style="14" bestFit="1" customWidth="1"/>
    <col min="4118" max="4118" width="11.85546875" style="14" bestFit="1" customWidth="1"/>
    <col min="4119" max="4119" width="10.5703125" style="14" bestFit="1" customWidth="1"/>
    <col min="4120" max="4121" width="10.5703125" style="14" customWidth="1"/>
    <col min="4122" max="4129" width="9.140625" style="14"/>
    <col min="4130" max="4130" width="10.85546875" style="14" customWidth="1"/>
    <col min="4131" max="4352" width="9.140625" style="14"/>
    <col min="4353" max="4353" width="15.5703125" style="14" customWidth="1"/>
    <col min="4354" max="4356" width="10.85546875" style="14" customWidth="1"/>
    <col min="4357" max="4357" width="2.28515625" style="14" customWidth="1"/>
    <col min="4358" max="4360" width="10.140625" style="14" customWidth="1"/>
    <col min="4361" max="4361" width="2.42578125" style="14" customWidth="1"/>
    <col min="4362" max="4364" width="10.28515625" style="14" customWidth="1"/>
    <col min="4365" max="4365" width="2.85546875" style="14" customWidth="1"/>
    <col min="4366" max="4368" width="10.42578125" style="14" customWidth="1"/>
    <col min="4369" max="4370" width="12.140625" style="14" customWidth="1"/>
    <col min="4371" max="4371" width="11.85546875" style="14" bestFit="1" customWidth="1"/>
    <col min="4372" max="4373" width="10.5703125" style="14" bestFit="1" customWidth="1"/>
    <col min="4374" max="4374" width="11.85546875" style="14" bestFit="1" customWidth="1"/>
    <col min="4375" max="4375" width="10.5703125" style="14" bestFit="1" customWidth="1"/>
    <col min="4376" max="4377" width="10.5703125" style="14" customWidth="1"/>
    <col min="4378" max="4385" width="9.140625" style="14"/>
    <col min="4386" max="4386" width="10.85546875" style="14" customWidth="1"/>
    <col min="4387" max="4608" width="9.140625" style="14"/>
    <col min="4609" max="4609" width="15.5703125" style="14" customWidth="1"/>
    <col min="4610" max="4612" width="10.85546875" style="14" customWidth="1"/>
    <col min="4613" max="4613" width="2.28515625" style="14" customWidth="1"/>
    <col min="4614" max="4616" width="10.140625" style="14" customWidth="1"/>
    <col min="4617" max="4617" width="2.42578125" style="14" customWidth="1"/>
    <col min="4618" max="4620" width="10.28515625" style="14" customWidth="1"/>
    <col min="4621" max="4621" width="2.85546875" style="14" customWidth="1"/>
    <col min="4622" max="4624" width="10.42578125" style="14" customWidth="1"/>
    <col min="4625" max="4626" width="12.140625" style="14" customWidth="1"/>
    <col min="4627" max="4627" width="11.85546875" style="14" bestFit="1" customWidth="1"/>
    <col min="4628" max="4629" width="10.5703125" style="14" bestFit="1" customWidth="1"/>
    <col min="4630" max="4630" width="11.85546875" style="14" bestFit="1" customWidth="1"/>
    <col min="4631" max="4631" width="10.5703125" style="14" bestFit="1" customWidth="1"/>
    <col min="4632" max="4633" width="10.5703125" style="14" customWidth="1"/>
    <col min="4634" max="4641" width="9.140625" style="14"/>
    <col min="4642" max="4642" width="10.85546875" style="14" customWidth="1"/>
    <col min="4643" max="4864" width="9.140625" style="14"/>
    <col min="4865" max="4865" width="15.5703125" style="14" customWidth="1"/>
    <col min="4866" max="4868" width="10.85546875" style="14" customWidth="1"/>
    <col min="4869" max="4869" width="2.28515625" style="14" customWidth="1"/>
    <col min="4870" max="4872" width="10.140625" style="14" customWidth="1"/>
    <col min="4873" max="4873" width="2.42578125" style="14" customWidth="1"/>
    <col min="4874" max="4876" width="10.28515625" style="14" customWidth="1"/>
    <col min="4877" max="4877" width="2.85546875" style="14" customWidth="1"/>
    <col min="4878" max="4880" width="10.42578125" style="14" customWidth="1"/>
    <col min="4881" max="4882" width="12.140625" style="14" customWidth="1"/>
    <col min="4883" max="4883" width="11.85546875" style="14" bestFit="1" customWidth="1"/>
    <col min="4884" max="4885" width="10.5703125" style="14" bestFit="1" customWidth="1"/>
    <col min="4886" max="4886" width="11.85546875" style="14" bestFit="1" customWidth="1"/>
    <col min="4887" max="4887" width="10.5703125" style="14" bestFit="1" customWidth="1"/>
    <col min="4888" max="4889" width="10.5703125" style="14" customWidth="1"/>
    <col min="4890" max="4897" width="9.140625" style="14"/>
    <col min="4898" max="4898" width="10.85546875" style="14" customWidth="1"/>
    <col min="4899" max="5120" width="9.140625" style="14"/>
    <col min="5121" max="5121" width="15.5703125" style="14" customWidth="1"/>
    <col min="5122" max="5124" width="10.85546875" style="14" customWidth="1"/>
    <col min="5125" max="5125" width="2.28515625" style="14" customWidth="1"/>
    <col min="5126" max="5128" width="10.140625" style="14" customWidth="1"/>
    <col min="5129" max="5129" width="2.42578125" style="14" customWidth="1"/>
    <col min="5130" max="5132" width="10.28515625" style="14" customWidth="1"/>
    <col min="5133" max="5133" width="2.85546875" style="14" customWidth="1"/>
    <col min="5134" max="5136" width="10.42578125" style="14" customWidth="1"/>
    <col min="5137" max="5138" width="12.140625" style="14" customWidth="1"/>
    <col min="5139" max="5139" width="11.85546875" style="14" bestFit="1" customWidth="1"/>
    <col min="5140" max="5141" width="10.5703125" style="14" bestFit="1" customWidth="1"/>
    <col min="5142" max="5142" width="11.85546875" style="14" bestFit="1" customWidth="1"/>
    <col min="5143" max="5143" width="10.5703125" style="14" bestFit="1" customWidth="1"/>
    <col min="5144" max="5145" width="10.5703125" style="14" customWidth="1"/>
    <col min="5146" max="5153" width="9.140625" style="14"/>
    <col min="5154" max="5154" width="10.85546875" style="14" customWidth="1"/>
    <col min="5155" max="5376" width="9.140625" style="14"/>
    <col min="5377" max="5377" width="15.5703125" style="14" customWidth="1"/>
    <col min="5378" max="5380" width="10.85546875" style="14" customWidth="1"/>
    <col min="5381" max="5381" width="2.28515625" style="14" customWidth="1"/>
    <col min="5382" max="5384" width="10.140625" style="14" customWidth="1"/>
    <col min="5385" max="5385" width="2.42578125" style="14" customWidth="1"/>
    <col min="5386" max="5388" width="10.28515625" style="14" customWidth="1"/>
    <col min="5389" max="5389" width="2.85546875" style="14" customWidth="1"/>
    <col min="5390" max="5392" width="10.42578125" style="14" customWidth="1"/>
    <col min="5393" max="5394" width="12.140625" style="14" customWidth="1"/>
    <col min="5395" max="5395" width="11.85546875" style="14" bestFit="1" customWidth="1"/>
    <col min="5396" max="5397" width="10.5703125" style="14" bestFit="1" customWidth="1"/>
    <col min="5398" max="5398" width="11.85546875" style="14" bestFit="1" customWidth="1"/>
    <col min="5399" max="5399" width="10.5703125" style="14" bestFit="1" customWidth="1"/>
    <col min="5400" max="5401" width="10.5703125" style="14" customWidth="1"/>
    <col min="5402" max="5409" width="9.140625" style="14"/>
    <col min="5410" max="5410" width="10.85546875" style="14" customWidth="1"/>
    <col min="5411" max="5632" width="9.140625" style="14"/>
    <col min="5633" max="5633" width="15.5703125" style="14" customWidth="1"/>
    <col min="5634" max="5636" width="10.85546875" style="14" customWidth="1"/>
    <col min="5637" max="5637" width="2.28515625" style="14" customWidth="1"/>
    <col min="5638" max="5640" width="10.140625" style="14" customWidth="1"/>
    <col min="5641" max="5641" width="2.42578125" style="14" customWidth="1"/>
    <col min="5642" max="5644" width="10.28515625" style="14" customWidth="1"/>
    <col min="5645" max="5645" width="2.85546875" style="14" customWidth="1"/>
    <col min="5646" max="5648" width="10.42578125" style="14" customWidth="1"/>
    <col min="5649" max="5650" width="12.140625" style="14" customWidth="1"/>
    <col min="5651" max="5651" width="11.85546875" style="14" bestFit="1" customWidth="1"/>
    <col min="5652" max="5653" width="10.5703125" style="14" bestFit="1" customWidth="1"/>
    <col min="5654" max="5654" width="11.85546875" style="14" bestFit="1" customWidth="1"/>
    <col min="5655" max="5655" width="10.5703125" style="14" bestFit="1" customWidth="1"/>
    <col min="5656" max="5657" width="10.5703125" style="14" customWidth="1"/>
    <col min="5658" max="5665" width="9.140625" style="14"/>
    <col min="5666" max="5666" width="10.85546875" style="14" customWidth="1"/>
    <col min="5667" max="5888" width="9.140625" style="14"/>
    <col min="5889" max="5889" width="15.5703125" style="14" customWidth="1"/>
    <col min="5890" max="5892" width="10.85546875" style="14" customWidth="1"/>
    <col min="5893" max="5893" width="2.28515625" style="14" customWidth="1"/>
    <col min="5894" max="5896" width="10.140625" style="14" customWidth="1"/>
    <col min="5897" max="5897" width="2.42578125" style="14" customWidth="1"/>
    <col min="5898" max="5900" width="10.28515625" style="14" customWidth="1"/>
    <col min="5901" max="5901" width="2.85546875" style="14" customWidth="1"/>
    <col min="5902" max="5904" width="10.42578125" style="14" customWidth="1"/>
    <col min="5905" max="5906" width="12.140625" style="14" customWidth="1"/>
    <col min="5907" max="5907" width="11.85546875" style="14" bestFit="1" customWidth="1"/>
    <col min="5908" max="5909" width="10.5703125" style="14" bestFit="1" customWidth="1"/>
    <col min="5910" max="5910" width="11.85546875" style="14" bestFit="1" customWidth="1"/>
    <col min="5911" max="5911" width="10.5703125" style="14" bestFit="1" customWidth="1"/>
    <col min="5912" max="5913" width="10.5703125" style="14" customWidth="1"/>
    <col min="5914" max="5921" width="9.140625" style="14"/>
    <col min="5922" max="5922" width="10.85546875" style="14" customWidth="1"/>
    <col min="5923" max="6144" width="9.140625" style="14"/>
    <col min="6145" max="6145" width="15.5703125" style="14" customWidth="1"/>
    <col min="6146" max="6148" width="10.85546875" style="14" customWidth="1"/>
    <col min="6149" max="6149" width="2.28515625" style="14" customWidth="1"/>
    <col min="6150" max="6152" width="10.140625" style="14" customWidth="1"/>
    <col min="6153" max="6153" width="2.42578125" style="14" customWidth="1"/>
    <col min="6154" max="6156" width="10.28515625" style="14" customWidth="1"/>
    <col min="6157" max="6157" width="2.85546875" style="14" customWidth="1"/>
    <col min="6158" max="6160" width="10.42578125" style="14" customWidth="1"/>
    <col min="6161" max="6162" width="12.140625" style="14" customWidth="1"/>
    <col min="6163" max="6163" width="11.85546875" style="14" bestFit="1" customWidth="1"/>
    <col min="6164" max="6165" width="10.5703125" style="14" bestFit="1" customWidth="1"/>
    <col min="6166" max="6166" width="11.85546875" style="14" bestFit="1" customWidth="1"/>
    <col min="6167" max="6167" width="10.5703125" style="14" bestFit="1" customWidth="1"/>
    <col min="6168" max="6169" width="10.5703125" style="14" customWidth="1"/>
    <col min="6170" max="6177" width="9.140625" style="14"/>
    <col min="6178" max="6178" width="10.85546875" style="14" customWidth="1"/>
    <col min="6179" max="6400" width="9.140625" style="14"/>
    <col min="6401" max="6401" width="15.5703125" style="14" customWidth="1"/>
    <col min="6402" max="6404" width="10.85546875" style="14" customWidth="1"/>
    <col min="6405" max="6405" width="2.28515625" style="14" customWidth="1"/>
    <col min="6406" max="6408" width="10.140625" style="14" customWidth="1"/>
    <col min="6409" max="6409" width="2.42578125" style="14" customWidth="1"/>
    <col min="6410" max="6412" width="10.28515625" style="14" customWidth="1"/>
    <col min="6413" max="6413" width="2.85546875" style="14" customWidth="1"/>
    <col min="6414" max="6416" width="10.42578125" style="14" customWidth="1"/>
    <col min="6417" max="6418" width="12.140625" style="14" customWidth="1"/>
    <col min="6419" max="6419" width="11.85546875" style="14" bestFit="1" customWidth="1"/>
    <col min="6420" max="6421" width="10.5703125" style="14" bestFit="1" customWidth="1"/>
    <col min="6422" max="6422" width="11.85546875" style="14" bestFit="1" customWidth="1"/>
    <col min="6423" max="6423" width="10.5703125" style="14" bestFit="1" customWidth="1"/>
    <col min="6424" max="6425" width="10.5703125" style="14" customWidth="1"/>
    <col min="6426" max="6433" width="9.140625" style="14"/>
    <col min="6434" max="6434" width="10.85546875" style="14" customWidth="1"/>
    <col min="6435" max="6656" width="9.140625" style="14"/>
    <col min="6657" max="6657" width="15.5703125" style="14" customWidth="1"/>
    <col min="6658" max="6660" width="10.85546875" style="14" customWidth="1"/>
    <col min="6661" max="6661" width="2.28515625" style="14" customWidth="1"/>
    <col min="6662" max="6664" width="10.140625" style="14" customWidth="1"/>
    <col min="6665" max="6665" width="2.42578125" style="14" customWidth="1"/>
    <col min="6666" max="6668" width="10.28515625" style="14" customWidth="1"/>
    <col min="6669" max="6669" width="2.85546875" style="14" customWidth="1"/>
    <col min="6670" max="6672" width="10.42578125" style="14" customWidth="1"/>
    <col min="6673" max="6674" width="12.140625" style="14" customWidth="1"/>
    <col min="6675" max="6675" width="11.85546875" style="14" bestFit="1" customWidth="1"/>
    <col min="6676" max="6677" width="10.5703125" style="14" bestFit="1" customWidth="1"/>
    <col min="6678" max="6678" width="11.85546875" style="14" bestFit="1" customWidth="1"/>
    <col min="6679" max="6679" width="10.5703125" style="14" bestFit="1" customWidth="1"/>
    <col min="6680" max="6681" width="10.5703125" style="14" customWidth="1"/>
    <col min="6682" max="6689" width="9.140625" style="14"/>
    <col min="6690" max="6690" width="10.85546875" style="14" customWidth="1"/>
    <col min="6691" max="6912" width="9.140625" style="14"/>
    <col min="6913" max="6913" width="15.5703125" style="14" customWidth="1"/>
    <col min="6914" max="6916" width="10.85546875" style="14" customWidth="1"/>
    <col min="6917" max="6917" width="2.28515625" style="14" customWidth="1"/>
    <col min="6918" max="6920" width="10.140625" style="14" customWidth="1"/>
    <col min="6921" max="6921" width="2.42578125" style="14" customWidth="1"/>
    <col min="6922" max="6924" width="10.28515625" style="14" customWidth="1"/>
    <col min="6925" max="6925" width="2.85546875" style="14" customWidth="1"/>
    <col min="6926" max="6928" width="10.42578125" style="14" customWidth="1"/>
    <col min="6929" max="6930" width="12.140625" style="14" customWidth="1"/>
    <col min="6931" max="6931" width="11.85546875" style="14" bestFit="1" customWidth="1"/>
    <col min="6932" max="6933" width="10.5703125" style="14" bestFit="1" customWidth="1"/>
    <col min="6934" max="6934" width="11.85546875" style="14" bestFit="1" customWidth="1"/>
    <col min="6935" max="6935" width="10.5703125" style="14" bestFit="1" customWidth="1"/>
    <col min="6936" max="6937" width="10.5703125" style="14" customWidth="1"/>
    <col min="6938" max="6945" width="9.140625" style="14"/>
    <col min="6946" max="6946" width="10.85546875" style="14" customWidth="1"/>
    <col min="6947" max="7168" width="9.140625" style="14"/>
    <col min="7169" max="7169" width="15.5703125" style="14" customWidth="1"/>
    <col min="7170" max="7172" width="10.85546875" style="14" customWidth="1"/>
    <col min="7173" max="7173" width="2.28515625" style="14" customWidth="1"/>
    <col min="7174" max="7176" width="10.140625" style="14" customWidth="1"/>
    <col min="7177" max="7177" width="2.42578125" style="14" customWidth="1"/>
    <col min="7178" max="7180" width="10.28515625" style="14" customWidth="1"/>
    <col min="7181" max="7181" width="2.85546875" style="14" customWidth="1"/>
    <col min="7182" max="7184" width="10.42578125" style="14" customWidth="1"/>
    <col min="7185" max="7186" width="12.140625" style="14" customWidth="1"/>
    <col min="7187" max="7187" width="11.85546875" style="14" bestFit="1" customWidth="1"/>
    <col min="7188" max="7189" width="10.5703125" style="14" bestFit="1" customWidth="1"/>
    <col min="7190" max="7190" width="11.85546875" style="14" bestFit="1" customWidth="1"/>
    <col min="7191" max="7191" width="10.5703125" style="14" bestFit="1" customWidth="1"/>
    <col min="7192" max="7193" width="10.5703125" style="14" customWidth="1"/>
    <col min="7194" max="7201" width="9.140625" style="14"/>
    <col min="7202" max="7202" width="10.85546875" style="14" customWidth="1"/>
    <col min="7203" max="7424" width="9.140625" style="14"/>
    <col min="7425" max="7425" width="15.5703125" style="14" customWidth="1"/>
    <col min="7426" max="7428" width="10.85546875" style="14" customWidth="1"/>
    <col min="7429" max="7429" width="2.28515625" style="14" customWidth="1"/>
    <col min="7430" max="7432" width="10.140625" style="14" customWidth="1"/>
    <col min="7433" max="7433" width="2.42578125" style="14" customWidth="1"/>
    <col min="7434" max="7436" width="10.28515625" style="14" customWidth="1"/>
    <col min="7437" max="7437" width="2.85546875" style="14" customWidth="1"/>
    <col min="7438" max="7440" width="10.42578125" style="14" customWidth="1"/>
    <col min="7441" max="7442" width="12.140625" style="14" customWidth="1"/>
    <col min="7443" max="7443" width="11.85546875" style="14" bestFit="1" customWidth="1"/>
    <col min="7444" max="7445" width="10.5703125" style="14" bestFit="1" customWidth="1"/>
    <col min="7446" max="7446" width="11.85546875" style="14" bestFit="1" customWidth="1"/>
    <col min="7447" max="7447" width="10.5703125" style="14" bestFit="1" customWidth="1"/>
    <col min="7448" max="7449" width="10.5703125" style="14" customWidth="1"/>
    <col min="7450" max="7457" width="9.140625" style="14"/>
    <col min="7458" max="7458" width="10.85546875" style="14" customWidth="1"/>
    <col min="7459" max="7680" width="9.140625" style="14"/>
    <col min="7681" max="7681" width="15.5703125" style="14" customWidth="1"/>
    <col min="7682" max="7684" width="10.85546875" style="14" customWidth="1"/>
    <col min="7685" max="7685" width="2.28515625" style="14" customWidth="1"/>
    <col min="7686" max="7688" width="10.140625" style="14" customWidth="1"/>
    <col min="7689" max="7689" width="2.42578125" style="14" customWidth="1"/>
    <col min="7690" max="7692" width="10.28515625" style="14" customWidth="1"/>
    <col min="7693" max="7693" width="2.85546875" style="14" customWidth="1"/>
    <col min="7694" max="7696" width="10.42578125" style="14" customWidth="1"/>
    <col min="7697" max="7698" width="12.140625" style="14" customWidth="1"/>
    <col min="7699" max="7699" width="11.85546875" style="14" bestFit="1" customWidth="1"/>
    <col min="7700" max="7701" width="10.5703125" style="14" bestFit="1" customWidth="1"/>
    <col min="7702" max="7702" width="11.85546875" style="14" bestFit="1" customWidth="1"/>
    <col min="7703" max="7703" width="10.5703125" style="14" bestFit="1" customWidth="1"/>
    <col min="7704" max="7705" width="10.5703125" style="14" customWidth="1"/>
    <col min="7706" max="7713" width="9.140625" style="14"/>
    <col min="7714" max="7714" width="10.85546875" style="14" customWidth="1"/>
    <col min="7715" max="7936" width="9.140625" style="14"/>
    <col min="7937" max="7937" width="15.5703125" style="14" customWidth="1"/>
    <col min="7938" max="7940" width="10.85546875" style="14" customWidth="1"/>
    <col min="7941" max="7941" width="2.28515625" style="14" customWidth="1"/>
    <col min="7942" max="7944" width="10.140625" style="14" customWidth="1"/>
    <col min="7945" max="7945" width="2.42578125" style="14" customWidth="1"/>
    <col min="7946" max="7948" width="10.28515625" style="14" customWidth="1"/>
    <col min="7949" max="7949" width="2.85546875" style="14" customWidth="1"/>
    <col min="7950" max="7952" width="10.42578125" style="14" customWidth="1"/>
    <col min="7953" max="7954" width="12.140625" style="14" customWidth="1"/>
    <col min="7955" max="7955" width="11.85546875" style="14" bestFit="1" customWidth="1"/>
    <col min="7956" max="7957" width="10.5703125" style="14" bestFit="1" customWidth="1"/>
    <col min="7958" max="7958" width="11.85546875" style="14" bestFit="1" customWidth="1"/>
    <col min="7959" max="7959" width="10.5703125" style="14" bestFit="1" customWidth="1"/>
    <col min="7960" max="7961" width="10.5703125" style="14" customWidth="1"/>
    <col min="7962" max="7969" width="9.140625" style="14"/>
    <col min="7970" max="7970" width="10.85546875" style="14" customWidth="1"/>
    <col min="7971" max="8192" width="9.140625" style="14"/>
    <col min="8193" max="8193" width="15.5703125" style="14" customWidth="1"/>
    <col min="8194" max="8196" width="10.85546875" style="14" customWidth="1"/>
    <col min="8197" max="8197" width="2.28515625" style="14" customWidth="1"/>
    <col min="8198" max="8200" width="10.140625" style="14" customWidth="1"/>
    <col min="8201" max="8201" width="2.42578125" style="14" customWidth="1"/>
    <col min="8202" max="8204" width="10.28515625" style="14" customWidth="1"/>
    <col min="8205" max="8205" width="2.85546875" style="14" customWidth="1"/>
    <col min="8206" max="8208" width="10.42578125" style="14" customWidth="1"/>
    <col min="8209" max="8210" width="12.140625" style="14" customWidth="1"/>
    <col min="8211" max="8211" width="11.85546875" style="14" bestFit="1" customWidth="1"/>
    <col min="8212" max="8213" width="10.5703125" style="14" bestFit="1" customWidth="1"/>
    <col min="8214" max="8214" width="11.85546875" style="14" bestFit="1" customWidth="1"/>
    <col min="8215" max="8215" width="10.5703125" style="14" bestFit="1" customWidth="1"/>
    <col min="8216" max="8217" width="10.5703125" style="14" customWidth="1"/>
    <col min="8218" max="8225" width="9.140625" style="14"/>
    <col min="8226" max="8226" width="10.85546875" style="14" customWidth="1"/>
    <col min="8227" max="8448" width="9.140625" style="14"/>
    <col min="8449" max="8449" width="15.5703125" style="14" customWidth="1"/>
    <col min="8450" max="8452" width="10.85546875" style="14" customWidth="1"/>
    <col min="8453" max="8453" width="2.28515625" style="14" customWidth="1"/>
    <col min="8454" max="8456" width="10.140625" style="14" customWidth="1"/>
    <col min="8457" max="8457" width="2.42578125" style="14" customWidth="1"/>
    <col min="8458" max="8460" width="10.28515625" style="14" customWidth="1"/>
    <col min="8461" max="8461" width="2.85546875" style="14" customWidth="1"/>
    <col min="8462" max="8464" width="10.42578125" style="14" customWidth="1"/>
    <col min="8465" max="8466" width="12.140625" style="14" customWidth="1"/>
    <col min="8467" max="8467" width="11.85546875" style="14" bestFit="1" customWidth="1"/>
    <col min="8468" max="8469" width="10.5703125" style="14" bestFit="1" customWidth="1"/>
    <col min="8470" max="8470" width="11.85546875" style="14" bestFit="1" customWidth="1"/>
    <col min="8471" max="8471" width="10.5703125" style="14" bestFit="1" customWidth="1"/>
    <col min="8472" max="8473" width="10.5703125" style="14" customWidth="1"/>
    <col min="8474" max="8481" width="9.140625" style="14"/>
    <col min="8482" max="8482" width="10.85546875" style="14" customWidth="1"/>
    <col min="8483" max="8704" width="9.140625" style="14"/>
    <col min="8705" max="8705" width="15.5703125" style="14" customWidth="1"/>
    <col min="8706" max="8708" width="10.85546875" style="14" customWidth="1"/>
    <col min="8709" max="8709" width="2.28515625" style="14" customWidth="1"/>
    <col min="8710" max="8712" width="10.140625" style="14" customWidth="1"/>
    <col min="8713" max="8713" width="2.42578125" style="14" customWidth="1"/>
    <col min="8714" max="8716" width="10.28515625" style="14" customWidth="1"/>
    <col min="8717" max="8717" width="2.85546875" style="14" customWidth="1"/>
    <col min="8718" max="8720" width="10.42578125" style="14" customWidth="1"/>
    <col min="8721" max="8722" width="12.140625" style="14" customWidth="1"/>
    <col min="8723" max="8723" width="11.85546875" style="14" bestFit="1" customWidth="1"/>
    <col min="8724" max="8725" width="10.5703125" style="14" bestFit="1" customWidth="1"/>
    <col min="8726" max="8726" width="11.85546875" style="14" bestFit="1" customWidth="1"/>
    <col min="8727" max="8727" width="10.5703125" style="14" bestFit="1" customWidth="1"/>
    <col min="8728" max="8729" width="10.5703125" style="14" customWidth="1"/>
    <col min="8730" max="8737" width="9.140625" style="14"/>
    <col min="8738" max="8738" width="10.85546875" style="14" customWidth="1"/>
    <col min="8739" max="8960" width="9.140625" style="14"/>
    <col min="8961" max="8961" width="15.5703125" style="14" customWidth="1"/>
    <col min="8962" max="8964" width="10.85546875" style="14" customWidth="1"/>
    <col min="8965" max="8965" width="2.28515625" style="14" customWidth="1"/>
    <col min="8966" max="8968" width="10.140625" style="14" customWidth="1"/>
    <col min="8969" max="8969" width="2.42578125" style="14" customWidth="1"/>
    <col min="8970" max="8972" width="10.28515625" style="14" customWidth="1"/>
    <col min="8973" max="8973" width="2.85546875" style="14" customWidth="1"/>
    <col min="8974" max="8976" width="10.42578125" style="14" customWidth="1"/>
    <col min="8977" max="8978" width="12.140625" style="14" customWidth="1"/>
    <col min="8979" max="8979" width="11.85546875" style="14" bestFit="1" customWidth="1"/>
    <col min="8980" max="8981" width="10.5703125" style="14" bestFit="1" customWidth="1"/>
    <col min="8982" max="8982" width="11.85546875" style="14" bestFit="1" customWidth="1"/>
    <col min="8983" max="8983" width="10.5703125" style="14" bestFit="1" customWidth="1"/>
    <col min="8984" max="8985" width="10.5703125" style="14" customWidth="1"/>
    <col min="8986" max="8993" width="9.140625" style="14"/>
    <col min="8994" max="8994" width="10.85546875" style="14" customWidth="1"/>
    <col min="8995" max="9216" width="9.140625" style="14"/>
    <col min="9217" max="9217" width="15.5703125" style="14" customWidth="1"/>
    <col min="9218" max="9220" width="10.85546875" style="14" customWidth="1"/>
    <col min="9221" max="9221" width="2.28515625" style="14" customWidth="1"/>
    <col min="9222" max="9224" width="10.140625" style="14" customWidth="1"/>
    <col min="9225" max="9225" width="2.42578125" style="14" customWidth="1"/>
    <col min="9226" max="9228" width="10.28515625" style="14" customWidth="1"/>
    <col min="9229" max="9229" width="2.85546875" style="14" customWidth="1"/>
    <col min="9230" max="9232" width="10.42578125" style="14" customWidth="1"/>
    <col min="9233" max="9234" width="12.140625" style="14" customWidth="1"/>
    <col min="9235" max="9235" width="11.85546875" style="14" bestFit="1" customWidth="1"/>
    <col min="9236" max="9237" width="10.5703125" style="14" bestFit="1" customWidth="1"/>
    <col min="9238" max="9238" width="11.85546875" style="14" bestFit="1" customWidth="1"/>
    <col min="9239" max="9239" width="10.5703125" style="14" bestFit="1" customWidth="1"/>
    <col min="9240" max="9241" width="10.5703125" style="14" customWidth="1"/>
    <col min="9242" max="9249" width="9.140625" style="14"/>
    <col min="9250" max="9250" width="10.85546875" style="14" customWidth="1"/>
    <col min="9251" max="9472" width="9.140625" style="14"/>
    <col min="9473" max="9473" width="15.5703125" style="14" customWidth="1"/>
    <col min="9474" max="9476" width="10.85546875" style="14" customWidth="1"/>
    <col min="9477" max="9477" width="2.28515625" style="14" customWidth="1"/>
    <col min="9478" max="9480" width="10.140625" style="14" customWidth="1"/>
    <col min="9481" max="9481" width="2.42578125" style="14" customWidth="1"/>
    <col min="9482" max="9484" width="10.28515625" style="14" customWidth="1"/>
    <col min="9485" max="9485" width="2.85546875" style="14" customWidth="1"/>
    <col min="9486" max="9488" width="10.42578125" style="14" customWidth="1"/>
    <col min="9489" max="9490" width="12.140625" style="14" customWidth="1"/>
    <col min="9491" max="9491" width="11.85546875" style="14" bestFit="1" customWidth="1"/>
    <col min="9492" max="9493" width="10.5703125" style="14" bestFit="1" customWidth="1"/>
    <col min="9494" max="9494" width="11.85546875" style="14" bestFit="1" customWidth="1"/>
    <col min="9495" max="9495" width="10.5703125" style="14" bestFit="1" customWidth="1"/>
    <col min="9496" max="9497" width="10.5703125" style="14" customWidth="1"/>
    <col min="9498" max="9505" width="9.140625" style="14"/>
    <col min="9506" max="9506" width="10.85546875" style="14" customWidth="1"/>
    <col min="9507" max="9728" width="9.140625" style="14"/>
    <col min="9729" max="9729" width="15.5703125" style="14" customWidth="1"/>
    <col min="9730" max="9732" width="10.85546875" style="14" customWidth="1"/>
    <col min="9733" max="9733" width="2.28515625" style="14" customWidth="1"/>
    <col min="9734" max="9736" width="10.140625" style="14" customWidth="1"/>
    <col min="9737" max="9737" width="2.42578125" style="14" customWidth="1"/>
    <col min="9738" max="9740" width="10.28515625" style="14" customWidth="1"/>
    <col min="9741" max="9741" width="2.85546875" style="14" customWidth="1"/>
    <col min="9742" max="9744" width="10.42578125" style="14" customWidth="1"/>
    <col min="9745" max="9746" width="12.140625" style="14" customWidth="1"/>
    <col min="9747" max="9747" width="11.85546875" style="14" bestFit="1" customWidth="1"/>
    <col min="9748" max="9749" width="10.5703125" style="14" bestFit="1" customWidth="1"/>
    <col min="9750" max="9750" width="11.85546875" style="14" bestFit="1" customWidth="1"/>
    <col min="9751" max="9751" width="10.5703125" style="14" bestFit="1" customWidth="1"/>
    <col min="9752" max="9753" width="10.5703125" style="14" customWidth="1"/>
    <col min="9754" max="9761" width="9.140625" style="14"/>
    <col min="9762" max="9762" width="10.85546875" style="14" customWidth="1"/>
    <col min="9763" max="9984" width="9.140625" style="14"/>
    <col min="9985" max="9985" width="15.5703125" style="14" customWidth="1"/>
    <col min="9986" max="9988" width="10.85546875" style="14" customWidth="1"/>
    <col min="9989" max="9989" width="2.28515625" style="14" customWidth="1"/>
    <col min="9990" max="9992" width="10.140625" style="14" customWidth="1"/>
    <col min="9993" max="9993" width="2.42578125" style="14" customWidth="1"/>
    <col min="9994" max="9996" width="10.28515625" style="14" customWidth="1"/>
    <col min="9997" max="9997" width="2.85546875" style="14" customWidth="1"/>
    <col min="9998" max="10000" width="10.42578125" style="14" customWidth="1"/>
    <col min="10001" max="10002" width="12.140625" style="14" customWidth="1"/>
    <col min="10003" max="10003" width="11.85546875" style="14" bestFit="1" customWidth="1"/>
    <col min="10004" max="10005" width="10.5703125" style="14" bestFit="1" customWidth="1"/>
    <col min="10006" max="10006" width="11.85546875" style="14" bestFit="1" customWidth="1"/>
    <col min="10007" max="10007" width="10.5703125" style="14" bestFit="1" customWidth="1"/>
    <col min="10008" max="10009" width="10.5703125" style="14" customWidth="1"/>
    <col min="10010" max="10017" width="9.140625" style="14"/>
    <col min="10018" max="10018" width="10.85546875" style="14" customWidth="1"/>
    <col min="10019" max="10240" width="9.140625" style="14"/>
    <col min="10241" max="10241" width="15.5703125" style="14" customWidth="1"/>
    <col min="10242" max="10244" width="10.85546875" style="14" customWidth="1"/>
    <col min="10245" max="10245" width="2.28515625" style="14" customWidth="1"/>
    <col min="10246" max="10248" width="10.140625" style="14" customWidth="1"/>
    <col min="10249" max="10249" width="2.42578125" style="14" customWidth="1"/>
    <col min="10250" max="10252" width="10.28515625" style="14" customWidth="1"/>
    <col min="10253" max="10253" width="2.85546875" style="14" customWidth="1"/>
    <col min="10254" max="10256" width="10.42578125" style="14" customWidth="1"/>
    <col min="10257" max="10258" width="12.140625" style="14" customWidth="1"/>
    <col min="10259" max="10259" width="11.85546875" style="14" bestFit="1" customWidth="1"/>
    <col min="10260" max="10261" width="10.5703125" style="14" bestFit="1" customWidth="1"/>
    <col min="10262" max="10262" width="11.85546875" style="14" bestFit="1" customWidth="1"/>
    <col min="10263" max="10263" width="10.5703125" style="14" bestFit="1" customWidth="1"/>
    <col min="10264" max="10265" width="10.5703125" style="14" customWidth="1"/>
    <col min="10266" max="10273" width="9.140625" style="14"/>
    <col min="10274" max="10274" width="10.85546875" style="14" customWidth="1"/>
    <col min="10275" max="10496" width="9.140625" style="14"/>
    <col min="10497" max="10497" width="15.5703125" style="14" customWidth="1"/>
    <col min="10498" max="10500" width="10.85546875" style="14" customWidth="1"/>
    <col min="10501" max="10501" width="2.28515625" style="14" customWidth="1"/>
    <col min="10502" max="10504" width="10.140625" style="14" customWidth="1"/>
    <col min="10505" max="10505" width="2.42578125" style="14" customWidth="1"/>
    <col min="10506" max="10508" width="10.28515625" style="14" customWidth="1"/>
    <col min="10509" max="10509" width="2.85546875" style="14" customWidth="1"/>
    <col min="10510" max="10512" width="10.42578125" style="14" customWidth="1"/>
    <col min="10513" max="10514" width="12.140625" style="14" customWidth="1"/>
    <col min="10515" max="10515" width="11.85546875" style="14" bestFit="1" customWidth="1"/>
    <col min="10516" max="10517" width="10.5703125" style="14" bestFit="1" customWidth="1"/>
    <col min="10518" max="10518" width="11.85546875" style="14" bestFit="1" customWidth="1"/>
    <col min="10519" max="10519" width="10.5703125" style="14" bestFit="1" customWidth="1"/>
    <col min="10520" max="10521" width="10.5703125" style="14" customWidth="1"/>
    <col min="10522" max="10529" width="9.140625" style="14"/>
    <col min="10530" max="10530" width="10.85546875" style="14" customWidth="1"/>
    <col min="10531" max="10752" width="9.140625" style="14"/>
    <col min="10753" max="10753" width="15.5703125" style="14" customWidth="1"/>
    <col min="10754" max="10756" width="10.85546875" style="14" customWidth="1"/>
    <col min="10757" max="10757" width="2.28515625" style="14" customWidth="1"/>
    <col min="10758" max="10760" width="10.140625" style="14" customWidth="1"/>
    <col min="10761" max="10761" width="2.42578125" style="14" customWidth="1"/>
    <col min="10762" max="10764" width="10.28515625" style="14" customWidth="1"/>
    <col min="10765" max="10765" width="2.85546875" style="14" customWidth="1"/>
    <col min="10766" max="10768" width="10.42578125" style="14" customWidth="1"/>
    <col min="10769" max="10770" width="12.140625" style="14" customWidth="1"/>
    <col min="10771" max="10771" width="11.85546875" style="14" bestFit="1" customWidth="1"/>
    <col min="10772" max="10773" width="10.5703125" style="14" bestFit="1" customWidth="1"/>
    <col min="10774" max="10774" width="11.85546875" style="14" bestFit="1" customWidth="1"/>
    <col min="10775" max="10775" width="10.5703125" style="14" bestFit="1" customWidth="1"/>
    <col min="10776" max="10777" width="10.5703125" style="14" customWidth="1"/>
    <col min="10778" max="10785" width="9.140625" style="14"/>
    <col min="10786" max="10786" width="10.85546875" style="14" customWidth="1"/>
    <col min="10787" max="11008" width="9.140625" style="14"/>
    <col min="11009" max="11009" width="15.5703125" style="14" customWidth="1"/>
    <col min="11010" max="11012" width="10.85546875" style="14" customWidth="1"/>
    <col min="11013" max="11013" width="2.28515625" style="14" customWidth="1"/>
    <col min="11014" max="11016" width="10.140625" style="14" customWidth="1"/>
    <col min="11017" max="11017" width="2.42578125" style="14" customWidth="1"/>
    <col min="11018" max="11020" width="10.28515625" style="14" customWidth="1"/>
    <col min="11021" max="11021" width="2.85546875" style="14" customWidth="1"/>
    <col min="11022" max="11024" width="10.42578125" style="14" customWidth="1"/>
    <col min="11025" max="11026" width="12.140625" style="14" customWidth="1"/>
    <col min="11027" max="11027" width="11.85546875" style="14" bestFit="1" customWidth="1"/>
    <col min="11028" max="11029" width="10.5703125" style="14" bestFit="1" customWidth="1"/>
    <col min="11030" max="11030" width="11.85546875" style="14" bestFit="1" customWidth="1"/>
    <col min="11031" max="11031" width="10.5703125" style="14" bestFit="1" customWidth="1"/>
    <col min="11032" max="11033" width="10.5703125" style="14" customWidth="1"/>
    <col min="11034" max="11041" width="9.140625" style="14"/>
    <col min="11042" max="11042" width="10.85546875" style="14" customWidth="1"/>
    <col min="11043" max="11264" width="9.140625" style="14"/>
    <col min="11265" max="11265" width="15.5703125" style="14" customWidth="1"/>
    <col min="11266" max="11268" width="10.85546875" style="14" customWidth="1"/>
    <col min="11269" max="11269" width="2.28515625" style="14" customWidth="1"/>
    <col min="11270" max="11272" width="10.140625" style="14" customWidth="1"/>
    <col min="11273" max="11273" width="2.42578125" style="14" customWidth="1"/>
    <col min="11274" max="11276" width="10.28515625" style="14" customWidth="1"/>
    <col min="11277" max="11277" width="2.85546875" style="14" customWidth="1"/>
    <col min="11278" max="11280" width="10.42578125" style="14" customWidth="1"/>
    <col min="11281" max="11282" width="12.140625" style="14" customWidth="1"/>
    <col min="11283" max="11283" width="11.85546875" style="14" bestFit="1" customWidth="1"/>
    <col min="11284" max="11285" width="10.5703125" style="14" bestFit="1" customWidth="1"/>
    <col min="11286" max="11286" width="11.85546875" style="14" bestFit="1" customWidth="1"/>
    <col min="11287" max="11287" width="10.5703125" style="14" bestFit="1" customWidth="1"/>
    <col min="11288" max="11289" width="10.5703125" style="14" customWidth="1"/>
    <col min="11290" max="11297" width="9.140625" style="14"/>
    <col min="11298" max="11298" width="10.85546875" style="14" customWidth="1"/>
    <col min="11299" max="11520" width="9.140625" style="14"/>
    <col min="11521" max="11521" width="15.5703125" style="14" customWidth="1"/>
    <col min="11522" max="11524" width="10.85546875" style="14" customWidth="1"/>
    <col min="11525" max="11525" width="2.28515625" style="14" customWidth="1"/>
    <col min="11526" max="11528" width="10.140625" style="14" customWidth="1"/>
    <col min="11529" max="11529" width="2.42578125" style="14" customWidth="1"/>
    <col min="11530" max="11532" width="10.28515625" style="14" customWidth="1"/>
    <col min="11533" max="11533" width="2.85546875" style="14" customWidth="1"/>
    <col min="11534" max="11536" width="10.42578125" style="14" customWidth="1"/>
    <col min="11537" max="11538" width="12.140625" style="14" customWidth="1"/>
    <col min="11539" max="11539" width="11.85546875" style="14" bestFit="1" customWidth="1"/>
    <col min="11540" max="11541" width="10.5703125" style="14" bestFit="1" customWidth="1"/>
    <col min="11542" max="11542" width="11.85546875" style="14" bestFit="1" customWidth="1"/>
    <col min="11543" max="11543" width="10.5703125" style="14" bestFit="1" customWidth="1"/>
    <col min="11544" max="11545" width="10.5703125" style="14" customWidth="1"/>
    <col min="11546" max="11553" width="9.140625" style="14"/>
    <col min="11554" max="11554" width="10.85546875" style="14" customWidth="1"/>
    <col min="11555" max="11776" width="9.140625" style="14"/>
    <col min="11777" max="11777" width="15.5703125" style="14" customWidth="1"/>
    <col min="11778" max="11780" width="10.85546875" style="14" customWidth="1"/>
    <col min="11781" max="11781" width="2.28515625" style="14" customWidth="1"/>
    <col min="11782" max="11784" width="10.140625" style="14" customWidth="1"/>
    <col min="11785" max="11785" width="2.42578125" style="14" customWidth="1"/>
    <col min="11786" max="11788" width="10.28515625" style="14" customWidth="1"/>
    <col min="11789" max="11789" width="2.85546875" style="14" customWidth="1"/>
    <col min="11790" max="11792" width="10.42578125" style="14" customWidth="1"/>
    <col min="11793" max="11794" width="12.140625" style="14" customWidth="1"/>
    <col min="11795" max="11795" width="11.85546875" style="14" bestFit="1" customWidth="1"/>
    <col min="11796" max="11797" width="10.5703125" style="14" bestFit="1" customWidth="1"/>
    <col min="11798" max="11798" width="11.85546875" style="14" bestFit="1" customWidth="1"/>
    <col min="11799" max="11799" width="10.5703125" style="14" bestFit="1" customWidth="1"/>
    <col min="11800" max="11801" width="10.5703125" style="14" customWidth="1"/>
    <col min="11802" max="11809" width="9.140625" style="14"/>
    <col min="11810" max="11810" width="10.85546875" style="14" customWidth="1"/>
    <col min="11811" max="12032" width="9.140625" style="14"/>
    <col min="12033" max="12033" width="15.5703125" style="14" customWidth="1"/>
    <col min="12034" max="12036" width="10.85546875" style="14" customWidth="1"/>
    <col min="12037" max="12037" width="2.28515625" style="14" customWidth="1"/>
    <col min="12038" max="12040" width="10.140625" style="14" customWidth="1"/>
    <col min="12041" max="12041" width="2.42578125" style="14" customWidth="1"/>
    <col min="12042" max="12044" width="10.28515625" style="14" customWidth="1"/>
    <col min="12045" max="12045" width="2.85546875" style="14" customWidth="1"/>
    <col min="12046" max="12048" width="10.42578125" style="14" customWidth="1"/>
    <col min="12049" max="12050" width="12.140625" style="14" customWidth="1"/>
    <col min="12051" max="12051" width="11.85546875" style="14" bestFit="1" customWidth="1"/>
    <col min="12052" max="12053" width="10.5703125" style="14" bestFit="1" customWidth="1"/>
    <col min="12054" max="12054" width="11.85546875" style="14" bestFit="1" customWidth="1"/>
    <col min="12055" max="12055" width="10.5703125" style="14" bestFit="1" customWidth="1"/>
    <col min="12056" max="12057" width="10.5703125" style="14" customWidth="1"/>
    <col min="12058" max="12065" width="9.140625" style="14"/>
    <col min="12066" max="12066" width="10.85546875" style="14" customWidth="1"/>
    <col min="12067" max="12288" width="9.140625" style="14"/>
    <col min="12289" max="12289" width="15.5703125" style="14" customWidth="1"/>
    <col min="12290" max="12292" width="10.85546875" style="14" customWidth="1"/>
    <col min="12293" max="12293" width="2.28515625" style="14" customWidth="1"/>
    <col min="12294" max="12296" width="10.140625" style="14" customWidth="1"/>
    <col min="12297" max="12297" width="2.42578125" style="14" customWidth="1"/>
    <col min="12298" max="12300" width="10.28515625" style="14" customWidth="1"/>
    <col min="12301" max="12301" width="2.85546875" style="14" customWidth="1"/>
    <col min="12302" max="12304" width="10.42578125" style="14" customWidth="1"/>
    <col min="12305" max="12306" width="12.140625" style="14" customWidth="1"/>
    <col min="12307" max="12307" width="11.85546875" style="14" bestFit="1" customWidth="1"/>
    <col min="12308" max="12309" width="10.5703125" style="14" bestFit="1" customWidth="1"/>
    <col min="12310" max="12310" width="11.85546875" style="14" bestFit="1" customWidth="1"/>
    <col min="12311" max="12311" width="10.5703125" style="14" bestFit="1" customWidth="1"/>
    <col min="12312" max="12313" width="10.5703125" style="14" customWidth="1"/>
    <col min="12314" max="12321" width="9.140625" style="14"/>
    <col min="12322" max="12322" width="10.85546875" style="14" customWidth="1"/>
    <col min="12323" max="12544" width="9.140625" style="14"/>
    <col min="12545" max="12545" width="15.5703125" style="14" customWidth="1"/>
    <col min="12546" max="12548" width="10.85546875" style="14" customWidth="1"/>
    <col min="12549" max="12549" width="2.28515625" style="14" customWidth="1"/>
    <col min="12550" max="12552" width="10.140625" style="14" customWidth="1"/>
    <col min="12553" max="12553" width="2.42578125" style="14" customWidth="1"/>
    <col min="12554" max="12556" width="10.28515625" style="14" customWidth="1"/>
    <col min="12557" max="12557" width="2.85546875" style="14" customWidth="1"/>
    <col min="12558" max="12560" width="10.42578125" style="14" customWidth="1"/>
    <col min="12561" max="12562" width="12.140625" style="14" customWidth="1"/>
    <col min="12563" max="12563" width="11.85546875" style="14" bestFit="1" customWidth="1"/>
    <col min="12564" max="12565" width="10.5703125" style="14" bestFit="1" customWidth="1"/>
    <col min="12566" max="12566" width="11.85546875" style="14" bestFit="1" customWidth="1"/>
    <col min="12567" max="12567" width="10.5703125" style="14" bestFit="1" customWidth="1"/>
    <col min="12568" max="12569" width="10.5703125" style="14" customWidth="1"/>
    <col min="12570" max="12577" width="9.140625" style="14"/>
    <col min="12578" max="12578" width="10.85546875" style="14" customWidth="1"/>
    <col min="12579" max="12800" width="9.140625" style="14"/>
    <col min="12801" max="12801" width="15.5703125" style="14" customWidth="1"/>
    <col min="12802" max="12804" width="10.85546875" style="14" customWidth="1"/>
    <col min="12805" max="12805" width="2.28515625" style="14" customWidth="1"/>
    <col min="12806" max="12808" width="10.140625" style="14" customWidth="1"/>
    <col min="12809" max="12809" width="2.42578125" style="14" customWidth="1"/>
    <col min="12810" max="12812" width="10.28515625" style="14" customWidth="1"/>
    <col min="12813" max="12813" width="2.85546875" style="14" customWidth="1"/>
    <col min="12814" max="12816" width="10.42578125" style="14" customWidth="1"/>
    <col min="12817" max="12818" width="12.140625" style="14" customWidth="1"/>
    <col min="12819" max="12819" width="11.85546875" style="14" bestFit="1" customWidth="1"/>
    <col min="12820" max="12821" width="10.5703125" style="14" bestFit="1" customWidth="1"/>
    <col min="12822" max="12822" width="11.85546875" style="14" bestFit="1" customWidth="1"/>
    <col min="12823" max="12823" width="10.5703125" style="14" bestFit="1" customWidth="1"/>
    <col min="12824" max="12825" width="10.5703125" style="14" customWidth="1"/>
    <col min="12826" max="12833" width="9.140625" style="14"/>
    <col min="12834" max="12834" width="10.85546875" style="14" customWidth="1"/>
    <col min="12835" max="13056" width="9.140625" style="14"/>
    <col min="13057" max="13057" width="15.5703125" style="14" customWidth="1"/>
    <col min="13058" max="13060" width="10.85546875" style="14" customWidth="1"/>
    <col min="13061" max="13061" width="2.28515625" style="14" customWidth="1"/>
    <col min="13062" max="13064" width="10.140625" style="14" customWidth="1"/>
    <col min="13065" max="13065" width="2.42578125" style="14" customWidth="1"/>
    <col min="13066" max="13068" width="10.28515625" style="14" customWidth="1"/>
    <col min="13069" max="13069" width="2.85546875" style="14" customWidth="1"/>
    <col min="13070" max="13072" width="10.42578125" style="14" customWidth="1"/>
    <col min="13073" max="13074" width="12.140625" style="14" customWidth="1"/>
    <col min="13075" max="13075" width="11.85546875" style="14" bestFit="1" customWidth="1"/>
    <col min="13076" max="13077" width="10.5703125" style="14" bestFit="1" customWidth="1"/>
    <col min="13078" max="13078" width="11.85546875" style="14" bestFit="1" customWidth="1"/>
    <col min="13079" max="13079" width="10.5703125" style="14" bestFit="1" customWidth="1"/>
    <col min="13080" max="13081" width="10.5703125" style="14" customWidth="1"/>
    <col min="13082" max="13089" width="9.140625" style="14"/>
    <col min="13090" max="13090" width="10.85546875" style="14" customWidth="1"/>
    <col min="13091" max="13312" width="9.140625" style="14"/>
    <col min="13313" max="13313" width="15.5703125" style="14" customWidth="1"/>
    <col min="13314" max="13316" width="10.85546875" style="14" customWidth="1"/>
    <col min="13317" max="13317" width="2.28515625" style="14" customWidth="1"/>
    <col min="13318" max="13320" width="10.140625" style="14" customWidth="1"/>
    <col min="13321" max="13321" width="2.42578125" style="14" customWidth="1"/>
    <col min="13322" max="13324" width="10.28515625" style="14" customWidth="1"/>
    <col min="13325" max="13325" width="2.85546875" style="14" customWidth="1"/>
    <col min="13326" max="13328" width="10.42578125" style="14" customWidth="1"/>
    <col min="13329" max="13330" width="12.140625" style="14" customWidth="1"/>
    <col min="13331" max="13331" width="11.85546875" style="14" bestFit="1" customWidth="1"/>
    <col min="13332" max="13333" width="10.5703125" style="14" bestFit="1" customWidth="1"/>
    <col min="13334" max="13334" width="11.85546875" style="14" bestFit="1" customWidth="1"/>
    <col min="13335" max="13335" width="10.5703125" style="14" bestFit="1" customWidth="1"/>
    <col min="13336" max="13337" width="10.5703125" style="14" customWidth="1"/>
    <col min="13338" max="13345" width="9.140625" style="14"/>
    <col min="13346" max="13346" width="10.85546875" style="14" customWidth="1"/>
    <col min="13347" max="13568" width="9.140625" style="14"/>
    <col min="13569" max="13569" width="15.5703125" style="14" customWidth="1"/>
    <col min="13570" max="13572" width="10.85546875" style="14" customWidth="1"/>
    <col min="13573" max="13573" width="2.28515625" style="14" customWidth="1"/>
    <col min="13574" max="13576" width="10.140625" style="14" customWidth="1"/>
    <col min="13577" max="13577" width="2.42578125" style="14" customWidth="1"/>
    <col min="13578" max="13580" width="10.28515625" style="14" customWidth="1"/>
    <col min="13581" max="13581" width="2.85546875" style="14" customWidth="1"/>
    <col min="13582" max="13584" width="10.42578125" style="14" customWidth="1"/>
    <col min="13585" max="13586" width="12.140625" style="14" customWidth="1"/>
    <col min="13587" max="13587" width="11.85546875" style="14" bestFit="1" customWidth="1"/>
    <col min="13588" max="13589" width="10.5703125" style="14" bestFit="1" customWidth="1"/>
    <col min="13590" max="13590" width="11.85546875" style="14" bestFit="1" customWidth="1"/>
    <col min="13591" max="13591" width="10.5703125" style="14" bestFit="1" customWidth="1"/>
    <col min="13592" max="13593" width="10.5703125" style="14" customWidth="1"/>
    <col min="13594" max="13601" width="9.140625" style="14"/>
    <col min="13602" max="13602" width="10.85546875" style="14" customWidth="1"/>
    <col min="13603" max="13824" width="9.140625" style="14"/>
    <col min="13825" max="13825" width="15.5703125" style="14" customWidth="1"/>
    <col min="13826" max="13828" width="10.85546875" style="14" customWidth="1"/>
    <col min="13829" max="13829" width="2.28515625" style="14" customWidth="1"/>
    <col min="13830" max="13832" width="10.140625" style="14" customWidth="1"/>
    <col min="13833" max="13833" width="2.42578125" style="14" customWidth="1"/>
    <col min="13834" max="13836" width="10.28515625" style="14" customWidth="1"/>
    <col min="13837" max="13837" width="2.85546875" style="14" customWidth="1"/>
    <col min="13838" max="13840" width="10.42578125" style="14" customWidth="1"/>
    <col min="13841" max="13842" width="12.140625" style="14" customWidth="1"/>
    <col min="13843" max="13843" width="11.85546875" style="14" bestFit="1" customWidth="1"/>
    <col min="13844" max="13845" width="10.5703125" style="14" bestFit="1" customWidth="1"/>
    <col min="13846" max="13846" width="11.85546875" style="14" bestFit="1" customWidth="1"/>
    <col min="13847" max="13847" width="10.5703125" style="14" bestFit="1" customWidth="1"/>
    <col min="13848" max="13849" width="10.5703125" style="14" customWidth="1"/>
    <col min="13850" max="13857" width="9.140625" style="14"/>
    <col min="13858" max="13858" width="10.85546875" style="14" customWidth="1"/>
    <col min="13859" max="14080" width="9.140625" style="14"/>
    <col min="14081" max="14081" width="15.5703125" style="14" customWidth="1"/>
    <col min="14082" max="14084" width="10.85546875" style="14" customWidth="1"/>
    <col min="14085" max="14085" width="2.28515625" style="14" customWidth="1"/>
    <col min="14086" max="14088" width="10.140625" style="14" customWidth="1"/>
    <col min="14089" max="14089" width="2.42578125" style="14" customWidth="1"/>
    <col min="14090" max="14092" width="10.28515625" style="14" customWidth="1"/>
    <col min="14093" max="14093" width="2.85546875" style="14" customWidth="1"/>
    <col min="14094" max="14096" width="10.42578125" style="14" customWidth="1"/>
    <col min="14097" max="14098" width="12.140625" style="14" customWidth="1"/>
    <col min="14099" max="14099" width="11.85546875" style="14" bestFit="1" customWidth="1"/>
    <col min="14100" max="14101" width="10.5703125" style="14" bestFit="1" customWidth="1"/>
    <col min="14102" max="14102" width="11.85546875" style="14" bestFit="1" customWidth="1"/>
    <col min="14103" max="14103" width="10.5703125" style="14" bestFit="1" customWidth="1"/>
    <col min="14104" max="14105" width="10.5703125" style="14" customWidth="1"/>
    <col min="14106" max="14113" width="9.140625" style="14"/>
    <col min="14114" max="14114" width="10.85546875" style="14" customWidth="1"/>
    <col min="14115" max="14336" width="9.140625" style="14"/>
    <col min="14337" max="14337" width="15.5703125" style="14" customWidth="1"/>
    <col min="14338" max="14340" width="10.85546875" style="14" customWidth="1"/>
    <col min="14341" max="14341" width="2.28515625" style="14" customWidth="1"/>
    <col min="14342" max="14344" width="10.140625" style="14" customWidth="1"/>
    <col min="14345" max="14345" width="2.42578125" style="14" customWidth="1"/>
    <col min="14346" max="14348" width="10.28515625" style="14" customWidth="1"/>
    <col min="14349" max="14349" width="2.85546875" style="14" customWidth="1"/>
    <col min="14350" max="14352" width="10.42578125" style="14" customWidth="1"/>
    <col min="14353" max="14354" width="12.140625" style="14" customWidth="1"/>
    <col min="14355" max="14355" width="11.85546875" style="14" bestFit="1" customWidth="1"/>
    <col min="14356" max="14357" width="10.5703125" style="14" bestFit="1" customWidth="1"/>
    <col min="14358" max="14358" width="11.85546875" style="14" bestFit="1" customWidth="1"/>
    <col min="14359" max="14359" width="10.5703125" style="14" bestFit="1" customWidth="1"/>
    <col min="14360" max="14361" width="10.5703125" style="14" customWidth="1"/>
    <col min="14362" max="14369" width="9.140625" style="14"/>
    <col min="14370" max="14370" width="10.85546875" style="14" customWidth="1"/>
    <col min="14371" max="14592" width="9.140625" style="14"/>
    <col min="14593" max="14593" width="15.5703125" style="14" customWidth="1"/>
    <col min="14594" max="14596" width="10.85546875" style="14" customWidth="1"/>
    <col min="14597" max="14597" width="2.28515625" style="14" customWidth="1"/>
    <col min="14598" max="14600" width="10.140625" style="14" customWidth="1"/>
    <col min="14601" max="14601" width="2.42578125" style="14" customWidth="1"/>
    <col min="14602" max="14604" width="10.28515625" style="14" customWidth="1"/>
    <col min="14605" max="14605" width="2.85546875" style="14" customWidth="1"/>
    <col min="14606" max="14608" width="10.42578125" style="14" customWidth="1"/>
    <col min="14609" max="14610" width="12.140625" style="14" customWidth="1"/>
    <col min="14611" max="14611" width="11.85546875" style="14" bestFit="1" customWidth="1"/>
    <col min="14612" max="14613" width="10.5703125" style="14" bestFit="1" customWidth="1"/>
    <col min="14614" max="14614" width="11.85546875" style="14" bestFit="1" customWidth="1"/>
    <col min="14615" max="14615" width="10.5703125" style="14" bestFit="1" customWidth="1"/>
    <col min="14616" max="14617" width="10.5703125" style="14" customWidth="1"/>
    <col min="14618" max="14625" width="9.140625" style="14"/>
    <col min="14626" max="14626" width="10.85546875" style="14" customWidth="1"/>
    <col min="14627" max="14848" width="9.140625" style="14"/>
    <col min="14849" max="14849" width="15.5703125" style="14" customWidth="1"/>
    <col min="14850" max="14852" width="10.85546875" style="14" customWidth="1"/>
    <col min="14853" max="14853" width="2.28515625" style="14" customWidth="1"/>
    <col min="14854" max="14856" width="10.140625" style="14" customWidth="1"/>
    <col min="14857" max="14857" width="2.42578125" style="14" customWidth="1"/>
    <col min="14858" max="14860" width="10.28515625" style="14" customWidth="1"/>
    <col min="14861" max="14861" width="2.85546875" style="14" customWidth="1"/>
    <col min="14862" max="14864" width="10.42578125" style="14" customWidth="1"/>
    <col min="14865" max="14866" width="12.140625" style="14" customWidth="1"/>
    <col min="14867" max="14867" width="11.85546875" style="14" bestFit="1" customWidth="1"/>
    <col min="14868" max="14869" width="10.5703125" style="14" bestFit="1" customWidth="1"/>
    <col min="14870" max="14870" width="11.85546875" style="14" bestFit="1" customWidth="1"/>
    <col min="14871" max="14871" width="10.5703125" style="14" bestFit="1" customWidth="1"/>
    <col min="14872" max="14873" width="10.5703125" style="14" customWidth="1"/>
    <col min="14874" max="14881" width="9.140625" style="14"/>
    <col min="14882" max="14882" width="10.85546875" style="14" customWidth="1"/>
    <col min="14883" max="15104" width="9.140625" style="14"/>
    <col min="15105" max="15105" width="15.5703125" style="14" customWidth="1"/>
    <col min="15106" max="15108" width="10.85546875" style="14" customWidth="1"/>
    <col min="15109" max="15109" width="2.28515625" style="14" customWidth="1"/>
    <col min="15110" max="15112" width="10.140625" style="14" customWidth="1"/>
    <col min="15113" max="15113" width="2.42578125" style="14" customWidth="1"/>
    <col min="15114" max="15116" width="10.28515625" style="14" customWidth="1"/>
    <col min="15117" max="15117" width="2.85546875" style="14" customWidth="1"/>
    <col min="15118" max="15120" width="10.42578125" style="14" customWidth="1"/>
    <col min="15121" max="15122" width="12.140625" style="14" customWidth="1"/>
    <col min="15123" max="15123" width="11.85546875" style="14" bestFit="1" customWidth="1"/>
    <col min="15124" max="15125" width="10.5703125" style="14" bestFit="1" customWidth="1"/>
    <col min="15126" max="15126" width="11.85546875" style="14" bestFit="1" customWidth="1"/>
    <col min="15127" max="15127" width="10.5703125" style="14" bestFit="1" customWidth="1"/>
    <col min="15128" max="15129" width="10.5703125" style="14" customWidth="1"/>
    <col min="15130" max="15137" width="9.140625" style="14"/>
    <col min="15138" max="15138" width="10.85546875" style="14" customWidth="1"/>
    <col min="15139" max="15360" width="9.140625" style="14"/>
    <col min="15361" max="15361" width="15.5703125" style="14" customWidth="1"/>
    <col min="15362" max="15364" width="10.85546875" style="14" customWidth="1"/>
    <col min="15365" max="15365" width="2.28515625" style="14" customWidth="1"/>
    <col min="15366" max="15368" width="10.140625" style="14" customWidth="1"/>
    <col min="15369" max="15369" width="2.42578125" style="14" customWidth="1"/>
    <col min="15370" max="15372" width="10.28515625" style="14" customWidth="1"/>
    <col min="15373" max="15373" width="2.85546875" style="14" customWidth="1"/>
    <col min="15374" max="15376" width="10.42578125" style="14" customWidth="1"/>
    <col min="15377" max="15378" width="12.140625" style="14" customWidth="1"/>
    <col min="15379" max="15379" width="11.85546875" style="14" bestFit="1" customWidth="1"/>
    <col min="15380" max="15381" width="10.5703125" style="14" bestFit="1" customWidth="1"/>
    <col min="15382" max="15382" width="11.85546875" style="14" bestFit="1" customWidth="1"/>
    <col min="15383" max="15383" width="10.5703125" style="14" bestFit="1" customWidth="1"/>
    <col min="15384" max="15385" width="10.5703125" style="14" customWidth="1"/>
    <col min="15386" max="15393" width="9.140625" style="14"/>
    <col min="15394" max="15394" width="10.85546875" style="14" customWidth="1"/>
    <col min="15395" max="15616" width="9.140625" style="14"/>
    <col min="15617" max="15617" width="15.5703125" style="14" customWidth="1"/>
    <col min="15618" max="15620" width="10.85546875" style="14" customWidth="1"/>
    <col min="15621" max="15621" width="2.28515625" style="14" customWidth="1"/>
    <col min="15622" max="15624" width="10.140625" style="14" customWidth="1"/>
    <col min="15625" max="15625" width="2.42578125" style="14" customWidth="1"/>
    <col min="15626" max="15628" width="10.28515625" style="14" customWidth="1"/>
    <col min="15629" max="15629" width="2.85546875" style="14" customWidth="1"/>
    <col min="15630" max="15632" width="10.42578125" style="14" customWidth="1"/>
    <col min="15633" max="15634" width="12.140625" style="14" customWidth="1"/>
    <col min="15635" max="15635" width="11.85546875" style="14" bestFit="1" customWidth="1"/>
    <col min="15636" max="15637" width="10.5703125" style="14" bestFit="1" customWidth="1"/>
    <col min="15638" max="15638" width="11.85546875" style="14" bestFit="1" customWidth="1"/>
    <col min="15639" max="15639" width="10.5703125" style="14" bestFit="1" customWidth="1"/>
    <col min="15640" max="15641" width="10.5703125" style="14" customWidth="1"/>
    <col min="15642" max="15649" width="9.140625" style="14"/>
    <col min="15650" max="15650" width="10.85546875" style="14" customWidth="1"/>
    <col min="15651" max="15872" width="9.140625" style="14"/>
    <col min="15873" max="15873" width="15.5703125" style="14" customWidth="1"/>
    <col min="15874" max="15876" width="10.85546875" style="14" customWidth="1"/>
    <col min="15877" max="15877" width="2.28515625" style="14" customWidth="1"/>
    <col min="15878" max="15880" width="10.140625" style="14" customWidth="1"/>
    <col min="15881" max="15881" width="2.42578125" style="14" customWidth="1"/>
    <col min="15882" max="15884" width="10.28515625" style="14" customWidth="1"/>
    <col min="15885" max="15885" width="2.85546875" style="14" customWidth="1"/>
    <col min="15886" max="15888" width="10.42578125" style="14" customWidth="1"/>
    <col min="15889" max="15890" width="12.140625" style="14" customWidth="1"/>
    <col min="15891" max="15891" width="11.85546875" style="14" bestFit="1" customWidth="1"/>
    <col min="15892" max="15893" width="10.5703125" style="14" bestFit="1" customWidth="1"/>
    <col min="15894" max="15894" width="11.85546875" style="14" bestFit="1" customWidth="1"/>
    <col min="15895" max="15895" width="10.5703125" style="14" bestFit="1" customWidth="1"/>
    <col min="15896" max="15897" width="10.5703125" style="14" customWidth="1"/>
    <col min="15898" max="15905" width="9.140625" style="14"/>
    <col min="15906" max="15906" width="10.85546875" style="14" customWidth="1"/>
    <col min="15907" max="16128" width="9.140625" style="14"/>
    <col min="16129" max="16129" width="15.5703125" style="14" customWidth="1"/>
    <col min="16130" max="16132" width="10.85546875" style="14" customWidth="1"/>
    <col min="16133" max="16133" width="2.28515625" style="14" customWidth="1"/>
    <col min="16134" max="16136" width="10.140625" style="14" customWidth="1"/>
    <col min="16137" max="16137" width="2.42578125" style="14" customWidth="1"/>
    <col min="16138" max="16140" width="10.28515625" style="14" customWidth="1"/>
    <col min="16141" max="16141" width="2.85546875" style="14" customWidth="1"/>
    <col min="16142" max="16144" width="10.42578125" style="14" customWidth="1"/>
    <col min="16145" max="16146" width="12.140625" style="14" customWidth="1"/>
    <col min="16147" max="16147" width="11.85546875" style="14" bestFit="1" customWidth="1"/>
    <col min="16148" max="16149" width="10.5703125" style="14" bestFit="1" customWidth="1"/>
    <col min="16150" max="16150" width="11.85546875" style="14" bestFit="1" customWidth="1"/>
    <col min="16151" max="16151" width="10.5703125" style="14" bestFit="1" customWidth="1"/>
    <col min="16152" max="16153" width="10.5703125" style="14" customWidth="1"/>
    <col min="16154" max="16161" width="9.140625" style="14"/>
    <col min="16162" max="16162" width="10.85546875" style="14" customWidth="1"/>
    <col min="16163" max="16384" width="9.140625" style="14"/>
  </cols>
  <sheetData>
    <row r="1" spans="1:35" ht="17.25" customHeight="1">
      <c r="A1" s="246" t="s">
        <v>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13"/>
    </row>
    <row r="2" spans="1:35" ht="17.25" customHeight="1">
      <c r="A2" s="247" t="s">
        <v>9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13"/>
    </row>
    <row r="3" spans="1:35" ht="5.2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35" ht="17.25" customHeight="1">
      <c r="A4" s="16"/>
      <c r="B4" s="17" t="s">
        <v>10</v>
      </c>
      <c r="C4" s="18"/>
      <c r="D4" s="242" t="s">
        <v>11</v>
      </c>
      <c r="E4" s="19"/>
      <c r="F4" s="17" t="s">
        <v>12</v>
      </c>
      <c r="G4" s="20"/>
      <c r="H4" s="242" t="s">
        <v>13</v>
      </c>
      <c r="I4" s="19"/>
      <c r="J4" s="17" t="s">
        <v>14</v>
      </c>
      <c r="K4" s="20"/>
      <c r="L4" s="242" t="s">
        <v>15</v>
      </c>
      <c r="N4" s="17" t="s">
        <v>16</v>
      </c>
      <c r="O4" s="20"/>
      <c r="P4" s="242" t="s">
        <v>17</v>
      </c>
      <c r="AF4" s="14">
        <v>1995</v>
      </c>
    </row>
    <row r="5" spans="1:35" ht="17.25" customHeight="1">
      <c r="A5" s="240" t="s">
        <v>18</v>
      </c>
      <c r="B5" s="239" t="s">
        <v>0</v>
      </c>
      <c r="C5" s="239" t="s">
        <v>1</v>
      </c>
      <c r="D5" s="239" t="s">
        <v>2</v>
      </c>
      <c r="E5" s="240"/>
      <c r="F5" s="239" t="s">
        <v>0</v>
      </c>
      <c r="G5" s="239" t="s">
        <v>1</v>
      </c>
      <c r="H5" s="239" t="s">
        <v>2</v>
      </c>
      <c r="I5" s="239"/>
      <c r="J5" s="239" t="s">
        <v>0</v>
      </c>
      <c r="K5" s="239" t="s">
        <v>1</v>
      </c>
      <c r="L5" s="239" t="s">
        <v>2</v>
      </c>
      <c r="M5" s="241"/>
      <c r="N5" s="239" t="s">
        <v>0</v>
      </c>
      <c r="O5" s="239" t="s">
        <v>1</v>
      </c>
      <c r="P5" s="239" t="s">
        <v>2</v>
      </c>
      <c r="AF5" s="21"/>
      <c r="AG5" s="21"/>
      <c r="AH5" s="21"/>
      <c r="AI5" s="21"/>
    </row>
    <row r="6" spans="1:35" ht="16.5" customHeight="1">
      <c r="A6" s="22" t="s">
        <v>19</v>
      </c>
      <c r="B6" s="23" t="s">
        <v>3</v>
      </c>
      <c r="C6" s="23" t="s">
        <v>4</v>
      </c>
      <c r="D6" s="23" t="s">
        <v>5</v>
      </c>
      <c r="E6" s="22"/>
      <c r="F6" s="23" t="s">
        <v>3</v>
      </c>
      <c r="G6" s="23" t="s">
        <v>4</v>
      </c>
      <c r="H6" s="23" t="s">
        <v>5</v>
      </c>
      <c r="I6" s="23"/>
      <c r="J6" s="23" t="s">
        <v>3</v>
      </c>
      <c r="K6" s="23" t="s">
        <v>4</v>
      </c>
      <c r="L6" s="23" t="s">
        <v>5</v>
      </c>
      <c r="M6" s="15"/>
      <c r="N6" s="23" t="s">
        <v>3</v>
      </c>
      <c r="O6" s="23" t="s">
        <v>4</v>
      </c>
      <c r="P6" s="23" t="s">
        <v>5</v>
      </c>
      <c r="Q6" s="21"/>
      <c r="R6" s="21"/>
      <c r="S6" s="21"/>
      <c r="T6" s="21"/>
      <c r="AF6" s="21"/>
      <c r="AG6" s="21"/>
      <c r="AH6" s="21"/>
      <c r="AI6" s="24"/>
    </row>
    <row r="7" spans="1:35" ht="15" customHeight="1">
      <c r="A7" s="25" t="s">
        <v>20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/>
      <c r="N7" s="26"/>
      <c r="O7" s="26"/>
      <c r="P7" s="26"/>
      <c r="Q7" s="21"/>
      <c r="R7" s="21"/>
      <c r="S7" s="21"/>
      <c r="T7" s="21"/>
      <c r="AG7" s="28" t="s">
        <v>4</v>
      </c>
      <c r="AH7" s="29" t="s">
        <v>5</v>
      </c>
    </row>
    <row r="8" spans="1:35" ht="15" customHeight="1">
      <c r="A8" s="30" t="s">
        <v>21</v>
      </c>
      <c r="B8" s="31">
        <f>SUM(B10:B32)</f>
        <v>244814</v>
      </c>
      <c r="C8" s="31">
        <f>SUM(C10:C32)</f>
        <v>124622</v>
      </c>
      <c r="D8" s="31">
        <f>SUM(D10:D32)</f>
        <v>120192</v>
      </c>
      <c r="E8" s="31"/>
      <c r="F8" s="31">
        <f>SUM(F10:F32)</f>
        <v>270101</v>
      </c>
      <c r="G8" s="31">
        <f>SUM(G10:G32)</f>
        <v>137200</v>
      </c>
      <c r="H8" s="31">
        <f>SUM(H10:H32)</f>
        <v>132901</v>
      </c>
      <c r="I8" s="31"/>
      <c r="J8" s="32">
        <v>298968</v>
      </c>
      <c r="K8" s="32">
        <v>151459</v>
      </c>
      <c r="L8" s="32">
        <v>147509</v>
      </c>
      <c r="M8" s="33"/>
      <c r="N8" s="32">
        <f>O8+P8</f>
        <v>344023</v>
      </c>
      <c r="O8" s="32">
        <f>SUM(O10:O32)</f>
        <v>174666</v>
      </c>
      <c r="P8" s="32">
        <f>SUM(P10:P32)</f>
        <v>169357</v>
      </c>
      <c r="Q8" s="4"/>
      <c r="R8" s="5"/>
      <c r="S8" s="5"/>
      <c r="T8" s="21"/>
      <c r="U8" s="21"/>
      <c r="AF8" s="34" t="s">
        <v>22</v>
      </c>
      <c r="AG8" s="35">
        <f>-1*AI8</f>
        <v>-19113</v>
      </c>
      <c r="AH8" s="24">
        <f>D10+D11</f>
        <v>17859</v>
      </c>
      <c r="AI8" s="24">
        <f>C10+C11</f>
        <v>19113</v>
      </c>
    </row>
    <row r="9" spans="1:35" ht="10.5" customHeight="1">
      <c r="A9" s="36" t="s">
        <v>23</v>
      </c>
      <c r="B9" s="37"/>
      <c r="C9" s="37"/>
      <c r="D9" s="37"/>
      <c r="E9" s="37"/>
      <c r="F9" s="37"/>
      <c r="G9" s="37"/>
      <c r="H9" s="37"/>
      <c r="I9" s="37"/>
      <c r="J9" s="38"/>
      <c r="K9" s="38"/>
      <c r="L9" s="38"/>
      <c r="M9" s="33"/>
      <c r="N9" s="38"/>
      <c r="O9" s="38"/>
      <c r="P9" s="38"/>
      <c r="Q9" s="21"/>
      <c r="R9" s="21"/>
      <c r="S9" s="21"/>
      <c r="T9" s="21"/>
      <c r="U9" s="21"/>
      <c r="V9" s="21"/>
      <c r="W9" s="21"/>
      <c r="X9" s="21"/>
      <c r="Y9" s="21"/>
      <c r="Z9" s="21"/>
      <c r="AF9" s="34" t="s">
        <v>24</v>
      </c>
      <c r="AG9" s="35">
        <f t="shared" ref="AG9:AG23" si="0">-1*AI9</f>
        <v>-20840</v>
      </c>
      <c r="AH9" s="24">
        <f>D12+D13</f>
        <v>19919</v>
      </c>
      <c r="AI9" s="24">
        <f>C12+C13</f>
        <v>20840</v>
      </c>
    </row>
    <row r="10" spans="1:35" s="45" customFormat="1" ht="11.25" customHeight="1">
      <c r="A10" s="39" t="s">
        <v>25</v>
      </c>
      <c r="B10" s="40">
        <v>7044</v>
      </c>
      <c r="C10" s="40">
        <v>3593</v>
      </c>
      <c r="D10" s="40">
        <v>3451</v>
      </c>
      <c r="E10" s="40"/>
      <c r="F10" s="40">
        <v>5515</v>
      </c>
      <c r="G10" s="40">
        <v>2780</v>
      </c>
      <c r="H10" s="40">
        <v>2735</v>
      </c>
      <c r="I10" s="40"/>
      <c r="J10" s="41">
        <v>5462</v>
      </c>
      <c r="K10" s="41">
        <v>2777</v>
      </c>
      <c r="L10" s="41">
        <v>2685</v>
      </c>
      <c r="M10" s="42"/>
      <c r="N10" s="41">
        <f>O10+P10</f>
        <v>7017</v>
      </c>
      <c r="O10" s="41">
        <v>3634</v>
      </c>
      <c r="P10" s="41">
        <v>3383</v>
      </c>
      <c r="Q10" s="43"/>
      <c r="R10" s="44"/>
      <c r="S10" s="44"/>
      <c r="T10" s="44"/>
      <c r="U10" s="44"/>
      <c r="V10" s="44"/>
      <c r="W10" s="44"/>
      <c r="X10" s="44"/>
      <c r="Y10" s="44"/>
      <c r="Z10" s="44"/>
      <c r="AF10" s="34" t="s">
        <v>26</v>
      </c>
      <c r="AG10" s="35">
        <f t="shared" si="0"/>
        <v>-18286</v>
      </c>
      <c r="AH10" s="40">
        <v>17584</v>
      </c>
      <c r="AI10" s="40">
        <v>18286</v>
      </c>
    </row>
    <row r="11" spans="1:35" ht="18" customHeight="1">
      <c r="A11" s="34" t="s">
        <v>27</v>
      </c>
      <c r="B11" s="40">
        <v>29928</v>
      </c>
      <c r="C11" s="40">
        <v>15520</v>
      </c>
      <c r="D11" s="40">
        <v>14408</v>
      </c>
      <c r="E11" s="40"/>
      <c r="F11" s="40">
        <v>25397</v>
      </c>
      <c r="G11" s="40">
        <v>12919</v>
      </c>
      <c r="H11" s="40">
        <v>12478</v>
      </c>
      <c r="I11" s="40"/>
      <c r="J11" s="41">
        <v>20709</v>
      </c>
      <c r="K11" s="41">
        <v>10585</v>
      </c>
      <c r="L11" s="41">
        <v>10124</v>
      </c>
      <c r="M11" s="42"/>
      <c r="N11" s="41">
        <f t="shared" ref="N11:N32" si="1">O11+P11</f>
        <v>29069</v>
      </c>
      <c r="O11" s="41">
        <v>15229</v>
      </c>
      <c r="P11" s="41">
        <v>13840</v>
      </c>
      <c r="Q11" s="21"/>
      <c r="R11" s="46"/>
      <c r="S11" s="47"/>
      <c r="T11" s="47"/>
      <c r="U11" s="47"/>
      <c r="V11" s="21"/>
      <c r="W11" s="21"/>
      <c r="X11" s="21"/>
      <c r="Y11" s="21"/>
      <c r="Z11" s="21"/>
      <c r="AF11" s="34" t="s">
        <v>28</v>
      </c>
      <c r="AG11" s="35">
        <f t="shared" si="0"/>
        <v>-12343</v>
      </c>
      <c r="AH11" s="40">
        <v>12562</v>
      </c>
      <c r="AI11" s="40">
        <v>12343</v>
      </c>
    </row>
    <row r="12" spans="1:35" ht="18" customHeight="1">
      <c r="A12" s="34" t="s">
        <v>29</v>
      </c>
      <c r="B12" s="40">
        <v>8625</v>
      </c>
      <c r="C12" s="40">
        <v>4375</v>
      </c>
      <c r="D12" s="40">
        <v>4250</v>
      </c>
      <c r="E12" s="40"/>
      <c r="F12" s="40">
        <v>7114</v>
      </c>
      <c r="G12" s="40">
        <v>3572</v>
      </c>
      <c r="H12" s="40">
        <v>3542</v>
      </c>
      <c r="I12" s="40"/>
      <c r="J12" s="41">
        <v>5514</v>
      </c>
      <c r="K12" s="41">
        <v>2849</v>
      </c>
      <c r="L12" s="41">
        <v>2665</v>
      </c>
      <c r="M12" s="42"/>
      <c r="N12" s="41">
        <f t="shared" si="1"/>
        <v>7302</v>
      </c>
      <c r="O12" s="41">
        <v>3680</v>
      </c>
      <c r="P12" s="41">
        <v>3622</v>
      </c>
      <c r="Q12" s="48"/>
      <c r="R12" s="49"/>
      <c r="S12" s="50"/>
      <c r="T12" s="50"/>
      <c r="U12" s="50"/>
      <c r="V12" s="51"/>
      <c r="W12" s="51"/>
      <c r="X12" s="51"/>
      <c r="Y12" s="51"/>
      <c r="Z12" s="51"/>
      <c r="AF12" s="34" t="s">
        <v>30</v>
      </c>
      <c r="AG12" s="35">
        <f t="shared" si="0"/>
        <v>-9944</v>
      </c>
      <c r="AH12" s="40">
        <v>11077</v>
      </c>
      <c r="AI12" s="40">
        <v>9944</v>
      </c>
    </row>
    <row r="13" spans="1:35" ht="18" customHeight="1">
      <c r="A13" s="34" t="s">
        <v>31</v>
      </c>
      <c r="B13" s="40">
        <v>32134</v>
      </c>
      <c r="C13" s="40">
        <v>16465</v>
      </c>
      <c r="D13" s="40">
        <v>15669</v>
      </c>
      <c r="E13" s="40"/>
      <c r="F13" s="40">
        <v>30813</v>
      </c>
      <c r="G13" s="40">
        <v>15764</v>
      </c>
      <c r="H13" s="40">
        <v>15049</v>
      </c>
      <c r="I13" s="40"/>
      <c r="J13" s="41">
        <v>24353</v>
      </c>
      <c r="K13" s="41">
        <v>12503</v>
      </c>
      <c r="L13" s="41">
        <v>11850</v>
      </c>
      <c r="M13" s="42"/>
      <c r="N13" s="41">
        <f t="shared" si="1"/>
        <v>24678</v>
      </c>
      <c r="O13" s="41">
        <v>12684</v>
      </c>
      <c r="P13" s="41">
        <v>11994</v>
      </c>
      <c r="Q13" s="48"/>
      <c r="R13" s="49"/>
      <c r="S13" s="50"/>
      <c r="T13" s="50"/>
      <c r="U13" s="50"/>
      <c r="V13" s="51"/>
      <c r="W13" s="51"/>
      <c r="X13" s="51"/>
      <c r="Y13" s="51"/>
      <c r="Z13" s="51"/>
      <c r="AF13" s="34" t="s">
        <v>32</v>
      </c>
      <c r="AG13" s="35">
        <f t="shared" si="0"/>
        <v>-8802</v>
      </c>
      <c r="AH13" s="40">
        <v>9389</v>
      </c>
      <c r="AI13" s="40">
        <v>8802</v>
      </c>
    </row>
    <row r="14" spans="1:35" ht="18" customHeight="1">
      <c r="A14" s="34" t="s">
        <v>26</v>
      </c>
      <c r="B14" s="40">
        <v>35870</v>
      </c>
      <c r="C14" s="40">
        <v>18286</v>
      </c>
      <c r="D14" s="40">
        <v>17584</v>
      </c>
      <c r="E14" s="40"/>
      <c r="F14" s="40">
        <v>41089</v>
      </c>
      <c r="G14" s="40">
        <v>20897</v>
      </c>
      <c r="H14" s="40">
        <v>20192</v>
      </c>
      <c r="I14" s="40"/>
      <c r="J14" s="41">
        <v>36999</v>
      </c>
      <c r="K14" s="41">
        <v>19111</v>
      </c>
      <c r="L14" s="41">
        <v>17888</v>
      </c>
      <c r="M14" s="42"/>
      <c r="N14" s="41">
        <f t="shared" si="1"/>
        <v>26358</v>
      </c>
      <c r="O14" s="41">
        <v>13571</v>
      </c>
      <c r="P14" s="41">
        <v>12787</v>
      </c>
      <c r="Q14" s="48"/>
      <c r="R14" s="52"/>
      <c r="S14" s="50"/>
      <c r="T14" s="50"/>
      <c r="U14" s="50"/>
      <c r="V14" s="21"/>
      <c r="W14" s="21"/>
      <c r="X14" s="21"/>
      <c r="Y14" s="21"/>
      <c r="Z14" s="21"/>
      <c r="AF14" s="34" t="s">
        <v>33</v>
      </c>
      <c r="AG14" s="35">
        <f t="shared" si="0"/>
        <v>-7579</v>
      </c>
      <c r="AH14" s="40">
        <v>7785</v>
      </c>
      <c r="AI14" s="40">
        <v>7579</v>
      </c>
    </row>
    <row r="15" spans="1:35" ht="18" customHeight="1">
      <c r="A15" s="34" t="s">
        <v>28</v>
      </c>
      <c r="B15" s="40">
        <v>24905</v>
      </c>
      <c r="C15" s="40">
        <v>12343</v>
      </c>
      <c r="D15" s="40">
        <v>12562</v>
      </c>
      <c r="E15" s="40"/>
      <c r="F15" s="40">
        <v>33266</v>
      </c>
      <c r="G15" s="40">
        <v>16590</v>
      </c>
      <c r="H15" s="40">
        <v>16676</v>
      </c>
      <c r="I15" s="40"/>
      <c r="J15" s="41">
        <v>39904</v>
      </c>
      <c r="K15" s="41">
        <v>20155</v>
      </c>
      <c r="L15" s="41">
        <v>19749</v>
      </c>
      <c r="M15" s="42"/>
      <c r="N15" s="41">
        <f t="shared" si="1"/>
        <v>31383</v>
      </c>
      <c r="O15" s="41">
        <v>15922</v>
      </c>
      <c r="P15" s="41">
        <v>15461</v>
      </c>
      <c r="Q15" s="48"/>
      <c r="R15" s="52"/>
      <c r="S15" s="50"/>
      <c r="T15" s="50"/>
      <c r="U15" s="50"/>
      <c r="V15" s="21"/>
      <c r="AF15" s="34" t="s">
        <v>34</v>
      </c>
      <c r="AG15" s="35">
        <f t="shared" si="0"/>
        <v>-6315</v>
      </c>
      <c r="AH15" s="40">
        <v>6317</v>
      </c>
      <c r="AI15" s="40">
        <v>6315</v>
      </c>
    </row>
    <row r="16" spans="1:35" ht="18" customHeight="1">
      <c r="A16" s="34" t="s">
        <v>30</v>
      </c>
      <c r="B16" s="40">
        <v>21021</v>
      </c>
      <c r="C16" s="40">
        <v>9944</v>
      </c>
      <c r="D16" s="40">
        <v>11077</v>
      </c>
      <c r="E16" s="40"/>
      <c r="F16" s="40">
        <v>23514</v>
      </c>
      <c r="G16" s="40">
        <v>11620</v>
      </c>
      <c r="H16" s="40">
        <v>11894</v>
      </c>
      <c r="I16" s="40"/>
      <c r="J16" s="41">
        <v>34809</v>
      </c>
      <c r="K16" s="41">
        <v>16933</v>
      </c>
      <c r="L16" s="41">
        <v>17876</v>
      </c>
      <c r="M16" s="42"/>
      <c r="N16" s="41">
        <f t="shared" si="1"/>
        <v>37886</v>
      </c>
      <c r="O16" s="41">
        <v>19349</v>
      </c>
      <c r="P16" s="41">
        <v>18537</v>
      </c>
      <c r="Q16" s="48"/>
      <c r="R16" s="52"/>
      <c r="S16" s="50"/>
      <c r="T16" s="50"/>
      <c r="U16" s="50"/>
      <c r="V16" s="21"/>
      <c r="AF16" s="34" t="s">
        <v>35</v>
      </c>
      <c r="AG16" s="35">
        <f t="shared" si="0"/>
        <v>-3625</v>
      </c>
      <c r="AH16" s="40">
        <v>3297</v>
      </c>
      <c r="AI16" s="40">
        <v>3625</v>
      </c>
    </row>
    <row r="17" spans="1:35" ht="18" customHeight="1">
      <c r="A17" s="34" t="s">
        <v>32</v>
      </c>
      <c r="B17" s="40">
        <v>18191</v>
      </c>
      <c r="C17" s="40">
        <v>8802</v>
      </c>
      <c r="D17" s="40">
        <v>9389</v>
      </c>
      <c r="E17" s="40"/>
      <c r="F17" s="40">
        <v>20090</v>
      </c>
      <c r="G17" s="40">
        <v>9805</v>
      </c>
      <c r="H17" s="40">
        <v>10285</v>
      </c>
      <c r="I17" s="40"/>
      <c r="J17" s="41">
        <v>24581</v>
      </c>
      <c r="K17" s="41">
        <v>11915</v>
      </c>
      <c r="L17" s="41">
        <v>12666</v>
      </c>
      <c r="M17" s="42"/>
      <c r="N17" s="41">
        <f t="shared" si="1"/>
        <v>39189</v>
      </c>
      <c r="O17" s="41">
        <v>19451</v>
      </c>
      <c r="P17" s="41">
        <v>19738</v>
      </c>
      <c r="Q17" s="48"/>
      <c r="R17" s="52"/>
      <c r="S17" s="50"/>
      <c r="T17" s="50"/>
      <c r="U17" s="50"/>
      <c r="V17" s="21"/>
      <c r="AF17" s="34" t="s">
        <v>36</v>
      </c>
      <c r="AG17" s="35">
        <f t="shared" si="0"/>
        <v>-3369</v>
      </c>
      <c r="AH17" s="40">
        <v>3215</v>
      </c>
      <c r="AI17" s="40">
        <v>3369</v>
      </c>
    </row>
    <row r="18" spans="1:35" ht="18" customHeight="1">
      <c r="A18" s="34" t="s">
        <v>33</v>
      </c>
      <c r="B18" s="40">
        <v>15364</v>
      </c>
      <c r="C18" s="40">
        <v>7579</v>
      </c>
      <c r="D18" s="40">
        <v>7785</v>
      </c>
      <c r="E18" s="40"/>
      <c r="F18" s="40">
        <v>18161</v>
      </c>
      <c r="G18" s="40">
        <v>8890</v>
      </c>
      <c r="H18" s="40">
        <v>9271</v>
      </c>
      <c r="I18" s="40"/>
      <c r="J18" s="41">
        <v>20635</v>
      </c>
      <c r="K18" s="41">
        <v>10022</v>
      </c>
      <c r="L18" s="41">
        <v>10613</v>
      </c>
      <c r="M18" s="42"/>
      <c r="N18" s="41">
        <f t="shared" si="1"/>
        <v>31362</v>
      </c>
      <c r="O18" s="41">
        <v>15494</v>
      </c>
      <c r="P18" s="41">
        <v>15868</v>
      </c>
      <c r="Q18" s="48"/>
      <c r="R18" s="52"/>
      <c r="S18" s="50"/>
      <c r="T18" s="50"/>
      <c r="U18" s="50"/>
      <c r="V18" s="21"/>
      <c r="AF18" s="34" t="s">
        <v>37</v>
      </c>
      <c r="AG18" s="35">
        <f t="shared" si="0"/>
        <v>-3205</v>
      </c>
      <c r="AH18" s="40">
        <v>3042</v>
      </c>
      <c r="AI18" s="40">
        <v>3205</v>
      </c>
    </row>
    <row r="19" spans="1:35" ht="18" customHeight="1">
      <c r="A19" s="34" t="s">
        <v>34</v>
      </c>
      <c r="B19" s="40">
        <v>12632</v>
      </c>
      <c r="C19" s="40">
        <v>6315</v>
      </c>
      <c r="D19" s="40">
        <v>6317</v>
      </c>
      <c r="E19" s="40"/>
      <c r="F19" s="40">
        <v>15699</v>
      </c>
      <c r="G19" s="40">
        <v>7828</v>
      </c>
      <c r="H19" s="40">
        <v>7871</v>
      </c>
      <c r="I19" s="40"/>
      <c r="J19" s="41">
        <v>18174</v>
      </c>
      <c r="K19" s="41">
        <v>8780</v>
      </c>
      <c r="L19" s="41">
        <v>9394</v>
      </c>
      <c r="M19" s="42"/>
      <c r="N19" s="41">
        <f t="shared" si="1"/>
        <v>22904</v>
      </c>
      <c r="O19" s="41">
        <v>11386</v>
      </c>
      <c r="P19" s="41">
        <v>11518</v>
      </c>
      <c r="Q19" s="48"/>
      <c r="R19" s="52"/>
      <c r="S19" s="50"/>
      <c r="T19" s="50"/>
      <c r="U19" s="50"/>
      <c r="V19" s="21"/>
      <c r="AF19" s="34" t="s">
        <v>38</v>
      </c>
      <c r="AG19" s="35">
        <f t="shared" si="0"/>
        <v>-3240</v>
      </c>
      <c r="AH19" s="40">
        <v>2722</v>
      </c>
      <c r="AI19" s="40">
        <v>3240</v>
      </c>
    </row>
    <row r="20" spans="1:35" ht="18" customHeight="1">
      <c r="A20" s="34" t="s">
        <v>35</v>
      </c>
      <c r="B20" s="40">
        <v>6922</v>
      </c>
      <c r="C20" s="40">
        <v>3625</v>
      </c>
      <c r="D20" s="40">
        <v>3297</v>
      </c>
      <c r="E20" s="40"/>
      <c r="F20" s="40">
        <v>12402</v>
      </c>
      <c r="G20" s="40">
        <v>6272</v>
      </c>
      <c r="H20" s="40">
        <v>6130</v>
      </c>
      <c r="I20" s="40"/>
      <c r="J20" s="41">
        <v>15871</v>
      </c>
      <c r="K20" s="41">
        <v>7828</v>
      </c>
      <c r="L20" s="41">
        <v>8043</v>
      </c>
      <c r="M20" s="42"/>
      <c r="N20" s="41">
        <f t="shared" si="1"/>
        <v>19875</v>
      </c>
      <c r="O20" s="41">
        <v>9811</v>
      </c>
      <c r="P20" s="41">
        <v>10064</v>
      </c>
      <c r="Q20" s="48"/>
      <c r="R20" s="52"/>
      <c r="S20" s="50"/>
      <c r="T20" s="50"/>
      <c r="U20" s="50"/>
      <c r="V20" s="21"/>
      <c r="AF20" s="34" t="s">
        <v>39</v>
      </c>
      <c r="AG20" s="35">
        <f t="shared" si="0"/>
        <v>-3010</v>
      </c>
      <c r="AH20" s="40">
        <v>2284</v>
      </c>
      <c r="AI20" s="40">
        <v>3010</v>
      </c>
    </row>
    <row r="21" spans="1:35" ht="18" customHeight="1">
      <c r="A21" s="34" t="s">
        <v>36</v>
      </c>
      <c r="B21" s="40">
        <v>6584</v>
      </c>
      <c r="C21" s="40">
        <v>3369</v>
      </c>
      <c r="D21" s="40">
        <v>3215</v>
      </c>
      <c r="E21" s="40"/>
      <c r="F21" s="40">
        <v>7461</v>
      </c>
      <c r="G21" s="40">
        <v>3977</v>
      </c>
      <c r="H21" s="40">
        <v>3484</v>
      </c>
      <c r="I21" s="40"/>
      <c r="J21" s="41">
        <v>13569</v>
      </c>
      <c r="K21" s="41">
        <v>6872</v>
      </c>
      <c r="L21" s="41">
        <v>6697</v>
      </c>
      <c r="M21" s="42"/>
      <c r="N21" s="41">
        <f t="shared" si="1"/>
        <v>17579</v>
      </c>
      <c r="O21" s="41">
        <v>8784</v>
      </c>
      <c r="P21" s="41">
        <v>8795</v>
      </c>
      <c r="Q21" s="48"/>
      <c r="R21" s="52"/>
      <c r="S21" s="50"/>
      <c r="T21" s="50"/>
      <c r="U21" s="50"/>
      <c r="V21" s="21"/>
      <c r="AF21" s="34" t="s">
        <v>40</v>
      </c>
      <c r="AG21" s="35">
        <f t="shared" si="0"/>
        <v>-1897</v>
      </c>
      <c r="AH21" s="40">
        <v>1304</v>
      </c>
      <c r="AI21" s="40">
        <v>1897</v>
      </c>
    </row>
    <row r="22" spans="1:35" ht="18" customHeight="1">
      <c r="A22" s="34" t="s">
        <v>37</v>
      </c>
      <c r="B22" s="40">
        <v>6247</v>
      </c>
      <c r="C22" s="40">
        <v>3205</v>
      </c>
      <c r="D22" s="40">
        <v>3042</v>
      </c>
      <c r="E22" s="40"/>
      <c r="F22" s="40">
        <v>5967</v>
      </c>
      <c r="G22" s="40">
        <v>3051</v>
      </c>
      <c r="H22" s="40">
        <v>2916</v>
      </c>
      <c r="I22" s="40"/>
      <c r="J22" s="41">
        <v>7936</v>
      </c>
      <c r="K22" s="41">
        <v>4147</v>
      </c>
      <c r="L22" s="41">
        <v>3789</v>
      </c>
      <c r="M22" s="42"/>
      <c r="N22" s="41">
        <f t="shared" si="1"/>
        <v>15050</v>
      </c>
      <c r="O22" s="41">
        <v>7645</v>
      </c>
      <c r="P22" s="41">
        <v>7405</v>
      </c>
      <c r="Q22" s="48"/>
      <c r="R22" s="52"/>
      <c r="S22" s="50"/>
      <c r="T22" s="50"/>
      <c r="U22" s="50"/>
      <c r="V22" s="21"/>
      <c r="AF22" s="34" t="s">
        <v>41</v>
      </c>
      <c r="AG22" s="35">
        <f t="shared" si="0"/>
        <v>-1279</v>
      </c>
      <c r="AH22" s="40">
        <v>822</v>
      </c>
      <c r="AI22" s="40">
        <v>1279</v>
      </c>
    </row>
    <row r="23" spans="1:35" ht="18" customHeight="1">
      <c r="A23" s="34" t="s">
        <v>38</v>
      </c>
      <c r="B23" s="40">
        <v>5962</v>
      </c>
      <c r="C23" s="40">
        <v>3240</v>
      </c>
      <c r="D23" s="40">
        <v>2722</v>
      </c>
      <c r="E23" s="40"/>
      <c r="F23" s="40">
        <v>5996</v>
      </c>
      <c r="G23" s="40">
        <v>3131</v>
      </c>
      <c r="H23" s="40">
        <v>2865</v>
      </c>
      <c r="I23" s="40"/>
      <c r="J23" s="41">
        <v>5859</v>
      </c>
      <c r="K23" s="41">
        <v>3046</v>
      </c>
      <c r="L23" s="41">
        <v>2813</v>
      </c>
      <c r="M23" s="42"/>
      <c r="N23" s="41">
        <f t="shared" si="1"/>
        <v>11703</v>
      </c>
      <c r="O23" s="41">
        <v>6031</v>
      </c>
      <c r="P23" s="41">
        <v>5672</v>
      </c>
      <c r="Q23" s="48"/>
      <c r="R23" s="52"/>
      <c r="S23" s="50"/>
      <c r="T23" s="50"/>
      <c r="U23" s="50"/>
      <c r="V23" s="21"/>
      <c r="AF23" s="34" t="s">
        <v>42</v>
      </c>
      <c r="AG23" s="35">
        <f t="shared" si="0"/>
        <v>-1384</v>
      </c>
      <c r="AH23" s="24">
        <f>D27+D28+D29+D30+D31</f>
        <v>862</v>
      </c>
      <c r="AI23" s="24">
        <f>C27+C28+C29+C30+C31</f>
        <v>1384</v>
      </c>
    </row>
    <row r="24" spans="1:35" ht="18" customHeight="1">
      <c r="A24" s="34" t="s">
        <v>39</v>
      </c>
      <c r="B24" s="40">
        <v>5294</v>
      </c>
      <c r="C24" s="40">
        <v>3010</v>
      </c>
      <c r="D24" s="40">
        <v>2284</v>
      </c>
      <c r="E24" s="40"/>
      <c r="F24" s="40">
        <v>6312</v>
      </c>
      <c r="G24" s="40">
        <v>3370</v>
      </c>
      <c r="H24" s="40">
        <v>2942</v>
      </c>
      <c r="I24" s="40"/>
      <c r="J24" s="41">
        <v>5566</v>
      </c>
      <c r="K24" s="41">
        <v>2852</v>
      </c>
      <c r="L24" s="41">
        <v>2714</v>
      </c>
      <c r="M24" s="42"/>
      <c r="N24" s="41">
        <f t="shared" si="1"/>
        <v>6249</v>
      </c>
      <c r="O24" s="41">
        <v>3327</v>
      </c>
      <c r="P24" s="41">
        <v>2922</v>
      </c>
      <c r="Q24" s="48"/>
      <c r="R24" s="52"/>
      <c r="S24" s="50"/>
      <c r="T24" s="50"/>
      <c r="U24" s="50"/>
      <c r="V24" s="21"/>
      <c r="AF24" s="34"/>
      <c r="AG24" s="34"/>
      <c r="AH24" s="34"/>
    </row>
    <row r="25" spans="1:35" ht="18" customHeight="1">
      <c r="A25" s="34" t="s">
        <v>40</v>
      </c>
      <c r="B25" s="40">
        <v>3201</v>
      </c>
      <c r="C25" s="40">
        <v>1897</v>
      </c>
      <c r="D25" s="40">
        <v>1304</v>
      </c>
      <c r="E25" s="40"/>
      <c r="F25" s="40">
        <v>4611</v>
      </c>
      <c r="G25" s="40">
        <v>2650</v>
      </c>
      <c r="H25" s="40">
        <v>1961</v>
      </c>
      <c r="I25" s="40"/>
      <c r="J25" s="41">
        <v>5678</v>
      </c>
      <c r="K25" s="41">
        <v>3014</v>
      </c>
      <c r="L25" s="41">
        <v>2664</v>
      </c>
      <c r="M25" s="42"/>
      <c r="N25" s="41">
        <f t="shared" si="1"/>
        <v>4871</v>
      </c>
      <c r="O25" s="41">
        <v>2445</v>
      </c>
      <c r="P25" s="41">
        <v>2426</v>
      </c>
      <c r="Q25" s="48"/>
      <c r="R25" s="52"/>
      <c r="S25" s="50"/>
      <c r="T25" s="50"/>
      <c r="U25" s="50"/>
      <c r="V25" s="21"/>
    </row>
    <row r="26" spans="1:35" ht="18" customHeight="1">
      <c r="A26" s="34" t="s">
        <v>41</v>
      </c>
      <c r="B26" s="40">
        <v>2101</v>
      </c>
      <c r="C26" s="40">
        <v>1279</v>
      </c>
      <c r="D26" s="40">
        <v>822</v>
      </c>
      <c r="E26" s="40"/>
      <c r="F26" s="40">
        <v>2873</v>
      </c>
      <c r="G26" s="40">
        <v>1737</v>
      </c>
      <c r="H26" s="40">
        <v>1136</v>
      </c>
      <c r="I26" s="40"/>
      <c r="J26" s="41">
        <v>4186</v>
      </c>
      <c r="K26" s="41">
        <v>2333</v>
      </c>
      <c r="L26" s="41">
        <v>1853</v>
      </c>
      <c r="M26" s="53"/>
      <c r="N26" s="41">
        <f t="shared" si="1"/>
        <v>4843</v>
      </c>
      <c r="O26" s="41">
        <v>2471</v>
      </c>
      <c r="P26" s="41">
        <v>2372</v>
      </c>
      <c r="Q26" s="48"/>
      <c r="R26" s="52"/>
      <c r="S26" s="50"/>
      <c r="T26" s="50"/>
      <c r="U26" s="50"/>
      <c r="V26" s="21"/>
    </row>
    <row r="27" spans="1:35" ht="18" customHeight="1">
      <c r="A27" s="34" t="s">
        <v>43</v>
      </c>
      <c r="B27" s="40">
        <v>968</v>
      </c>
      <c r="C27" s="40">
        <v>617</v>
      </c>
      <c r="D27" s="40">
        <v>351</v>
      </c>
      <c r="E27" s="40"/>
      <c r="F27" s="40">
        <v>1410</v>
      </c>
      <c r="G27" s="40">
        <v>859</v>
      </c>
      <c r="H27" s="40">
        <v>551</v>
      </c>
      <c r="I27" s="40"/>
      <c r="J27" s="41">
        <v>2377</v>
      </c>
      <c r="K27" s="41">
        <v>1444</v>
      </c>
      <c r="L27" s="41">
        <v>933</v>
      </c>
      <c r="M27" s="54"/>
      <c r="N27" s="41">
        <f t="shared" si="1"/>
        <v>3723</v>
      </c>
      <c r="O27" s="41">
        <v>1968</v>
      </c>
      <c r="P27" s="41">
        <v>1755</v>
      </c>
      <c r="Q27" s="48"/>
      <c r="R27" s="52"/>
      <c r="S27" s="50"/>
      <c r="T27" s="50"/>
      <c r="U27" s="50"/>
      <c r="V27" s="21"/>
    </row>
    <row r="28" spans="1:35" ht="18" customHeight="1">
      <c r="A28" s="34" t="s">
        <v>44</v>
      </c>
      <c r="B28" s="40">
        <v>695</v>
      </c>
      <c r="C28" s="40">
        <v>394</v>
      </c>
      <c r="D28" s="40">
        <v>301</v>
      </c>
      <c r="E28" s="40"/>
      <c r="F28" s="40">
        <v>679</v>
      </c>
      <c r="G28" s="40">
        <v>407</v>
      </c>
      <c r="H28" s="40">
        <v>272</v>
      </c>
      <c r="I28" s="40"/>
      <c r="J28" s="41">
        <v>1064</v>
      </c>
      <c r="K28" s="41">
        <v>617</v>
      </c>
      <c r="L28" s="41">
        <v>447</v>
      </c>
      <c r="M28" s="54"/>
      <c r="N28" s="41">
        <f t="shared" si="1"/>
        <v>1949</v>
      </c>
      <c r="O28" s="41">
        <v>1155</v>
      </c>
      <c r="P28" s="41">
        <v>794</v>
      </c>
      <c r="Q28" s="48"/>
      <c r="R28" s="52"/>
      <c r="S28" s="50"/>
      <c r="T28" s="50"/>
      <c r="U28" s="50"/>
      <c r="V28" s="21"/>
      <c r="AF28" s="14">
        <v>2000</v>
      </c>
    </row>
    <row r="29" spans="1:35" ht="18" customHeight="1">
      <c r="A29" s="34" t="s">
        <v>45</v>
      </c>
      <c r="B29" s="40">
        <v>326</v>
      </c>
      <c r="C29" s="40">
        <v>220</v>
      </c>
      <c r="D29" s="40">
        <v>106</v>
      </c>
      <c r="E29" s="40"/>
      <c r="F29" s="40">
        <v>284</v>
      </c>
      <c r="G29" s="40">
        <v>162</v>
      </c>
      <c r="H29" s="40">
        <v>122</v>
      </c>
      <c r="I29" s="40"/>
      <c r="J29" s="41">
        <v>396</v>
      </c>
      <c r="K29" s="41">
        <v>241</v>
      </c>
      <c r="L29" s="41">
        <v>155</v>
      </c>
      <c r="M29" s="54"/>
      <c r="N29" s="41">
        <f t="shared" si="1"/>
        <v>725</v>
      </c>
      <c r="O29" s="41">
        <v>442</v>
      </c>
      <c r="P29" s="41">
        <v>283</v>
      </c>
      <c r="Q29" s="48"/>
      <c r="R29" s="52"/>
      <c r="S29" s="50"/>
      <c r="T29" s="50"/>
      <c r="U29" s="50"/>
      <c r="V29" s="21"/>
      <c r="AF29" s="21"/>
      <c r="AG29" s="21"/>
      <c r="AH29" s="21"/>
      <c r="AI29" s="21"/>
    </row>
    <row r="30" spans="1:35" ht="18" customHeight="1">
      <c r="A30" s="34" t="s">
        <v>46</v>
      </c>
      <c r="B30" s="40">
        <v>163</v>
      </c>
      <c r="C30" s="40">
        <v>86</v>
      </c>
      <c r="D30" s="40">
        <v>77</v>
      </c>
      <c r="E30" s="40"/>
      <c r="F30" s="40">
        <v>96</v>
      </c>
      <c r="G30" s="40">
        <v>59</v>
      </c>
      <c r="H30" s="40">
        <v>37</v>
      </c>
      <c r="I30" s="40"/>
      <c r="J30" s="41">
        <v>159</v>
      </c>
      <c r="K30" s="41">
        <v>89</v>
      </c>
      <c r="L30" s="41">
        <v>70</v>
      </c>
      <c r="M30" s="54"/>
      <c r="N30" s="41">
        <f t="shared" si="1"/>
        <v>225</v>
      </c>
      <c r="O30" s="41">
        <v>140</v>
      </c>
      <c r="P30" s="41">
        <v>85</v>
      </c>
      <c r="Q30" s="48"/>
      <c r="R30" s="52"/>
      <c r="S30" s="50"/>
      <c r="T30" s="50"/>
      <c r="U30" s="50"/>
      <c r="V30" s="21"/>
      <c r="AF30" s="21"/>
      <c r="AG30" s="21"/>
      <c r="AH30" s="21"/>
      <c r="AI30" s="24"/>
    </row>
    <row r="31" spans="1:35" ht="18" customHeight="1">
      <c r="A31" s="34" t="s">
        <v>47</v>
      </c>
      <c r="B31" s="55">
        <v>94</v>
      </c>
      <c r="C31" s="55">
        <v>67</v>
      </c>
      <c r="D31" s="55">
        <v>27</v>
      </c>
      <c r="E31" s="55"/>
      <c r="F31" s="40">
        <v>76</v>
      </c>
      <c r="G31" s="40">
        <v>45</v>
      </c>
      <c r="H31" s="40">
        <v>31</v>
      </c>
      <c r="I31" s="40"/>
      <c r="J31" s="41">
        <v>84</v>
      </c>
      <c r="K31" s="41">
        <v>52</v>
      </c>
      <c r="L31" s="41">
        <v>32</v>
      </c>
      <c r="M31" s="54"/>
      <c r="N31" s="41">
        <f t="shared" si="1"/>
        <v>83</v>
      </c>
      <c r="O31" s="41">
        <v>47</v>
      </c>
      <c r="P31" s="41">
        <v>36</v>
      </c>
      <c r="Q31" s="48"/>
      <c r="R31" s="52"/>
      <c r="S31" s="50"/>
      <c r="T31" s="50"/>
      <c r="U31" s="50"/>
      <c r="V31" s="21"/>
      <c r="AG31" s="28" t="s">
        <v>4</v>
      </c>
      <c r="AH31" s="29" t="s">
        <v>5</v>
      </c>
    </row>
    <row r="32" spans="1:35" ht="18" customHeight="1">
      <c r="A32" s="56" t="s">
        <v>48</v>
      </c>
      <c r="B32" s="57">
        <v>543</v>
      </c>
      <c r="C32" s="57">
        <v>391</v>
      </c>
      <c r="D32" s="57">
        <v>152</v>
      </c>
      <c r="E32" s="57"/>
      <c r="F32" s="58">
        <v>1276</v>
      </c>
      <c r="G32" s="58">
        <v>815</v>
      </c>
      <c r="H32" s="58">
        <v>461</v>
      </c>
      <c r="I32" s="58"/>
      <c r="J32" s="59">
        <v>5083</v>
      </c>
      <c r="K32" s="59">
        <v>3294</v>
      </c>
      <c r="L32" s="59">
        <v>1789</v>
      </c>
      <c r="M32" s="60"/>
      <c r="N32" s="41">
        <f t="shared" si="1"/>
        <v>0</v>
      </c>
      <c r="O32" s="59">
        <v>0</v>
      </c>
      <c r="P32" s="59">
        <v>0</v>
      </c>
      <c r="Q32" s="48"/>
      <c r="R32" s="52"/>
      <c r="S32" s="10"/>
      <c r="T32" s="10"/>
      <c r="U32" s="10"/>
      <c r="V32" s="10"/>
      <c r="AF32" s="34" t="s">
        <v>22</v>
      </c>
      <c r="AG32" s="35">
        <f>-1*AI32</f>
        <v>-15699</v>
      </c>
      <c r="AH32" s="24">
        <f>H10+H11</f>
        <v>15213</v>
      </c>
      <c r="AI32" s="24">
        <f>G10+G11</f>
        <v>15699</v>
      </c>
    </row>
    <row r="33" spans="1:35" ht="17.25">
      <c r="A33" s="3" t="s">
        <v>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2"/>
      <c r="N33" s="61"/>
      <c r="O33" s="61"/>
      <c r="P33" s="2" t="s">
        <v>7</v>
      </c>
      <c r="Q33" s="9"/>
      <c r="R33" s="10"/>
      <c r="S33" s="10"/>
      <c r="T33" s="10"/>
      <c r="U33" s="10"/>
      <c r="V33" s="12"/>
      <c r="W33" s="34"/>
      <c r="X33" s="34"/>
      <c r="Y33" s="34"/>
      <c r="AF33" s="34" t="s">
        <v>24</v>
      </c>
      <c r="AG33" s="35">
        <f t="shared" ref="AG33:AG47" si="2">-1*AI33</f>
        <v>-19336</v>
      </c>
      <c r="AH33" s="24">
        <f>H12+H13</f>
        <v>18591</v>
      </c>
      <c r="AI33" s="24">
        <f>G12+G13</f>
        <v>19336</v>
      </c>
    </row>
    <row r="34" spans="1:35" ht="15">
      <c r="A34" s="62"/>
      <c r="B34" s="36"/>
      <c r="C34" s="62"/>
      <c r="D34" s="62"/>
      <c r="E34" s="62"/>
      <c r="F34" s="10"/>
      <c r="G34" s="10"/>
      <c r="H34" s="10"/>
      <c r="I34" s="10"/>
      <c r="J34" s="10"/>
      <c r="K34" s="10"/>
      <c r="L34" s="62"/>
      <c r="M34" s="63"/>
      <c r="N34" s="10"/>
      <c r="O34" s="10"/>
      <c r="P34" s="62"/>
      <c r="Q34" s="9"/>
      <c r="R34" s="10"/>
      <c r="S34" s="10"/>
      <c r="T34" s="10"/>
      <c r="U34" s="10"/>
      <c r="V34" s="12"/>
      <c r="W34" s="34"/>
      <c r="X34" s="34"/>
      <c r="Y34" s="34"/>
      <c r="AF34" s="34" t="s">
        <v>26</v>
      </c>
      <c r="AG34" s="35">
        <f t="shared" si="2"/>
        <v>-20897</v>
      </c>
      <c r="AH34" s="40">
        <v>20192</v>
      </c>
      <c r="AI34" s="40">
        <v>20897</v>
      </c>
    </row>
    <row r="35" spans="1:35" ht="1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9"/>
      <c r="R35" s="10"/>
      <c r="S35" s="10"/>
      <c r="T35" s="10"/>
      <c r="U35" s="10"/>
      <c r="V35" s="12"/>
      <c r="W35" s="34"/>
      <c r="X35" s="34"/>
      <c r="Y35" s="34"/>
      <c r="AF35" s="34" t="s">
        <v>28</v>
      </c>
      <c r="AG35" s="35">
        <f t="shared" si="2"/>
        <v>-16590</v>
      </c>
      <c r="AH35" s="40">
        <v>16676</v>
      </c>
      <c r="AI35" s="40">
        <v>16590</v>
      </c>
    </row>
    <row r="36" spans="1:35" ht="1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11"/>
      <c r="R36" s="12"/>
      <c r="S36" s="12"/>
      <c r="T36" s="12"/>
      <c r="U36" s="12"/>
      <c r="V36" s="12"/>
      <c r="W36" s="34"/>
      <c r="X36" s="34"/>
      <c r="Y36" s="34"/>
      <c r="AF36" s="34" t="s">
        <v>30</v>
      </c>
      <c r="AG36" s="35">
        <f t="shared" si="2"/>
        <v>-11620</v>
      </c>
      <c r="AH36" s="40">
        <v>11894</v>
      </c>
      <c r="AI36" s="40">
        <v>11620</v>
      </c>
    </row>
    <row r="37" spans="1:35" ht="1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11"/>
      <c r="R37" s="12"/>
      <c r="S37" s="12"/>
      <c r="T37" s="12"/>
      <c r="U37" s="12"/>
      <c r="V37" s="12"/>
      <c r="W37" s="12"/>
      <c r="X37" s="12"/>
      <c r="Y37" s="12"/>
      <c r="AF37" s="34" t="s">
        <v>32</v>
      </c>
      <c r="AG37" s="35">
        <f t="shared" si="2"/>
        <v>-9805</v>
      </c>
      <c r="AH37" s="40">
        <v>10285</v>
      </c>
      <c r="AI37" s="40">
        <v>9805</v>
      </c>
    </row>
    <row r="38" spans="1:35" ht="1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11"/>
      <c r="R38" s="12"/>
      <c r="S38" s="12"/>
      <c r="T38" s="12"/>
      <c r="U38" s="12"/>
      <c r="V38" s="12"/>
      <c r="W38" s="12"/>
      <c r="X38" s="12"/>
      <c r="Y38" s="12"/>
      <c r="AF38" s="34" t="s">
        <v>33</v>
      </c>
      <c r="AG38" s="35">
        <f t="shared" si="2"/>
        <v>-8890</v>
      </c>
      <c r="AH38" s="40">
        <v>9271</v>
      </c>
      <c r="AI38" s="40">
        <v>8890</v>
      </c>
    </row>
    <row r="39" spans="1:35" ht="1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11"/>
      <c r="R39" s="12"/>
      <c r="S39" s="12"/>
      <c r="T39" s="12"/>
      <c r="U39" s="12"/>
      <c r="V39" s="12"/>
      <c r="W39" s="12"/>
      <c r="X39" s="12"/>
      <c r="Y39" s="12"/>
      <c r="AF39" s="34" t="s">
        <v>34</v>
      </c>
      <c r="AG39" s="35">
        <f t="shared" si="2"/>
        <v>-7828</v>
      </c>
      <c r="AH39" s="40">
        <v>7871</v>
      </c>
      <c r="AI39" s="40">
        <v>7828</v>
      </c>
    </row>
    <row r="40" spans="1:35" ht="1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11"/>
      <c r="R40" s="12"/>
      <c r="S40" s="12"/>
      <c r="T40" s="12"/>
      <c r="U40" s="12"/>
      <c r="V40" s="12"/>
      <c r="W40" s="12"/>
      <c r="X40" s="12"/>
      <c r="Y40" s="12"/>
      <c r="AF40" s="34" t="s">
        <v>35</v>
      </c>
      <c r="AG40" s="35">
        <f t="shared" si="2"/>
        <v>-6272</v>
      </c>
      <c r="AH40" s="40">
        <v>6130</v>
      </c>
      <c r="AI40" s="40">
        <v>6272</v>
      </c>
    </row>
    <row r="41" spans="1:35" ht="1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11"/>
      <c r="R41" s="12"/>
      <c r="S41" s="12"/>
      <c r="T41" s="12"/>
      <c r="U41" s="12"/>
      <c r="V41" s="12"/>
      <c r="W41" s="12"/>
      <c r="X41" s="12"/>
      <c r="Y41" s="12"/>
      <c r="AF41" s="34" t="s">
        <v>36</v>
      </c>
      <c r="AG41" s="35">
        <f t="shared" si="2"/>
        <v>-3977</v>
      </c>
      <c r="AH41" s="40">
        <v>3484</v>
      </c>
      <c r="AI41" s="40">
        <v>3977</v>
      </c>
    </row>
    <row r="42" spans="1:35" ht="1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11"/>
      <c r="R42" s="12"/>
      <c r="S42" s="12"/>
      <c r="T42" s="12"/>
      <c r="U42" s="12"/>
      <c r="V42" s="12"/>
      <c r="W42" s="12"/>
      <c r="X42" s="12"/>
      <c r="Y42" s="12"/>
      <c r="AF42" s="34" t="s">
        <v>37</v>
      </c>
      <c r="AG42" s="35">
        <f t="shared" si="2"/>
        <v>-3051</v>
      </c>
      <c r="AH42" s="40">
        <v>2916</v>
      </c>
      <c r="AI42" s="40">
        <v>3051</v>
      </c>
    </row>
    <row r="43" spans="1:35" ht="1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11"/>
      <c r="R43" s="12"/>
      <c r="S43" s="12"/>
      <c r="T43" s="12"/>
      <c r="U43" s="12"/>
      <c r="V43" s="12"/>
      <c r="W43" s="12"/>
      <c r="X43" s="12"/>
      <c r="Y43" s="12"/>
      <c r="AF43" s="34" t="s">
        <v>38</v>
      </c>
      <c r="AG43" s="35">
        <f t="shared" si="2"/>
        <v>-3131</v>
      </c>
      <c r="AH43" s="40">
        <v>2865</v>
      </c>
      <c r="AI43" s="40">
        <v>3131</v>
      </c>
    </row>
    <row r="44" spans="1:35" ht="1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11"/>
      <c r="R44" s="12"/>
      <c r="S44" s="12"/>
      <c r="T44" s="12"/>
      <c r="U44" s="12"/>
      <c r="V44" s="12"/>
      <c r="W44" s="12"/>
      <c r="X44" s="12"/>
      <c r="Y44" s="12"/>
      <c r="AF44" s="34" t="s">
        <v>39</v>
      </c>
      <c r="AG44" s="35">
        <f t="shared" si="2"/>
        <v>-3370</v>
      </c>
      <c r="AH44" s="40">
        <v>2942</v>
      </c>
      <c r="AI44" s="40">
        <v>3370</v>
      </c>
    </row>
    <row r="45" spans="1:35" ht="1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11"/>
      <c r="R45" s="12"/>
      <c r="S45" s="12"/>
      <c r="T45" s="12"/>
      <c r="U45" s="12"/>
      <c r="V45" s="12"/>
      <c r="W45" s="12"/>
      <c r="X45" s="12"/>
      <c r="Y45" s="12"/>
      <c r="AF45" s="34" t="s">
        <v>40</v>
      </c>
      <c r="AG45" s="35">
        <f t="shared" si="2"/>
        <v>-2650</v>
      </c>
      <c r="AH45" s="40">
        <v>1961</v>
      </c>
      <c r="AI45" s="40">
        <v>2650</v>
      </c>
    </row>
    <row r="46" spans="1:35" ht="1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11"/>
      <c r="R46" s="12"/>
      <c r="S46" s="12"/>
      <c r="T46" s="12"/>
      <c r="U46" s="12"/>
      <c r="V46" s="12"/>
      <c r="W46" s="12"/>
      <c r="X46" s="12"/>
      <c r="Y46" s="12"/>
      <c r="AF46" s="34" t="s">
        <v>41</v>
      </c>
      <c r="AG46" s="35">
        <f t="shared" si="2"/>
        <v>-1737</v>
      </c>
      <c r="AH46" s="40">
        <v>1136</v>
      </c>
      <c r="AI46" s="40">
        <v>1737</v>
      </c>
    </row>
    <row r="47" spans="1:3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11"/>
      <c r="R47" s="12"/>
      <c r="S47" s="12"/>
      <c r="T47" s="12"/>
      <c r="U47" s="12"/>
      <c r="V47" s="12"/>
      <c r="W47" s="12"/>
      <c r="X47" s="12"/>
      <c r="Y47" s="12"/>
      <c r="AF47" s="34" t="s">
        <v>42</v>
      </c>
      <c r="AG47" s="35">
        <f t="shared" si="2"/>
        <v>-1532</v>
      </c>
      <c r="AH47" s="24">
        <f>H27+H28+H29+H30+H31</f>
        <v>1013</v>
      </c>
      <c r="AI47" s="24">
        <f>G27+G28+G29+G30+G31</f>
        <v>1532</v>
      </c>
    </row>
    <row r="48" spans="1:3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AF48" s="34"/>
      <c r="AG48" s="34"/>
      <c r="AH48" s="34"/>
    </row>
    <row r="49" spans="1:3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</row>
    <row r="50" spans="1:3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</row>
    <row r="51" spans="1:3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</row>
    <row r="52" spans="1:35" s="64" customFormat="1" ht="14.2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N52" s="63"/>
      <c r="O52" s="63"/>
      <c r="P52" s="63"/>
    </row>
    <row r="53" spans="1:3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N53" s="63"/>
      <c r="O53" s="63"/>
      <c r="P53" s="63"/>
      <c r="AF53" s="14">
        <v>2006</v>
      </c>
    </row>
    <row r="54" spans="1:3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N54" s="63"/>
      <c r="O54" s="63"/>
      <c r="P54" s="63"/>
      <c r="AF54" s="21"/>
      <c r="AG54" s="21"/>
      <c r="AH54" s="21"/>
      <c r="AI54" s="21"/>
    </row>
    <row r="55" spans="1:3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N55" s="63"/>
      <c r="O55" s="63"/>
      <c r="P55" s="63"/>
      <c r="AF55" s="21"/>
      <c r="AG55" s="21"/>
      <c r="AH55" s="21"/>
      <c r="AI55" s="24">
        <f>W50+W51</f>
        <v>0</v>
      </c>
    </row>
    <row r="56" spans="1:3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N56" s="63"/>
      <c r="O56" s="63"/>
      <c r="P56" s="63"/>
      <c r="AG56" s="28" t="s">
        <v>4</v>
      </c>
      <c r="AH56" s="29" t="s">
        <v>5</v>
      </c>
    </row>
    <row r="57" spans="1:35">
      <c r="B57" s="63"/>
      <c r="C57" s="63"/>
      <c r="D57" s="63"/>
      <c r="E57" s="63"/>
      <c r="F57" s="63"/>
      <c r="G57" s="63"/>
      <c r="H57" s="63"/>
      <c r="I57" s="63"/>
      <c r="J57" s="63"/>
      <c r="K57" s="63"/>
      <c r="N57" s="63"/>
      <c r="O57" s="63"/>
      <c r="AF57" s="34" t="s">
        <v>22</v>
      </c>
      <c r="AG57" s="35">
        <f>-1*AI57</f>
        <v>-13362</v>
      </c>
      <c r="AH57" s="24">
        <f>L10+L11</f>
        <v>12809</v>
      </c>
      <c r="AI57" s="24">
        <f>K10+K11</f>
        <v>13362</v>
      </c>
    </row>
    <row r="58" spans="1:35" s="1" customFormat="1">
      <c r="B58" s="65"/>
      <c r="C58" s="65"/>
      <c r="D58" s="66"/>
      <c r="E58" s="67"/>
      <c r="F58" s="6"/>
      <c r="G58" s="6"/>
      <c r="H58" s="68"/>
      <c r="I58" s="6"/>
      <c r="J58" s="7"/>
      <c r="K58" s="7"/>
      <c r="L58" s="8"/>
      <c r="N58" s="7"/>
      <c r="O58" s="7"/>
      <c r="P58" s="8"/>
      <c r="AF58" s="34" t="s">
        <v>24</v>
      </c>
      <c r="AG58" s="35">
        <f t="shared" ref="AG58:AG72" si="3">-1*AI58</f>
        <v>-15352</v>
      </c>
      <c r="AH58" s="24">
        <f>L12+L13</f>
        <v>14515</v>
      </c>
      <c r="AI58" s="24">
        <f>K12+K13</f>
        <v>15352</v>
      </c>
    </row>
    <row r="59" spans="1:35" ht="15">
      <c r="A59" s="64"/>
      <c r="AF59" s="34" t="s">
        <v>26</v>
      </c>
      <c r="AG59" s="35">
        <f t="shared" si="3"/>
        <v>-19111</v>
      </c>
      <c r="AH59" s="41">
        <v>17888</v>
      </c>
      <c r="AI59" s="41">
        <v>19111</v>
      </c>
    </row>
    <row r="60" spans="1:35" ht="15">
      <c r="AF60" s="34" t="s">
        <v>28</v>
      </c>
      <c r="AG60" s="35">
        <f t="shared" si="3"/>
        <v>-20155</v>
      </c>
      <c r="AH60" s="41">
        <v>19749</v>
      </c>
      <c r="AI60" s="41">
        <v>20155</v>
      </c>
    </row>
    <row r="61" spans="1:35" ht="15">
      <c r="AF61" s="34" t="s">
        <v>30</v>
      </c>
      <c r="AG61" s="35">
        <f t="shared" si="3"/>
        <v>-16933</v>
      </c>
      <c r="AH61" s="41">
        <v>17876</v>
      </c>
      <c r="AI61" s="41">
        <v>16933</v>
      </c>
    </row>
    <row r="62" spans="1:35" ht="15">
      <c r="AF62" s="34" t="s">
        <v>32</v>
      </c>
      <c r="AG62" s="35">
        <f t="shared" si="3"/>
        <v>-11915</v>
      </c>
      <c r="AH62" s="41">
        <v>12666</v>
      </c>
      <c r="AI62" s="41">
        <v>11915</v>
      </c>
    </row>
    <row r="63" spans="1:35" ht="15">
      <c r="AF63" s="34" t="s">
        <v>33</v>
      </c>
      <c r="AG63" s="35">
        <f t="shared" si="3"/>
        <v>-10022</v>
      </c>
      <c r="AH63" s="41">
        <v>10613</v>
      </c>
      <c r="AI63" s="41">
        <v>10022</v>
      </c>
    </row>
    <row r="64" spans="1:35" ht="15">
      <c r="AF64" s="34" t="s">
        <v>34</v>
      </c>
      <c r="AG64" s="35">
        <f t="shared" si="3"/>
        <v>-8780</v>
      </c>
      <c r="AH64" s="41">
        <v>9394</v>
      </c>
      <c r="AI64" s="41">
        <v>8780</v>
      </c>
    </row>
    <row r="65" spans="7:35" ht="15">
      <c r="AF65" s="34" t="s">
        <v>35</v>
      </c>
      <c r="AG65" s="35">
        <f t="shared" si="3"/>
        <v>-7828</v>
      </c>
      <c r="AH65" s="41">
        <v>8043</v>
      </c>
      <c r="AI65" s="41">
        <v>7828</v>
      </c>
    </row>
    <row r="66" spans="7:35" ht="15">
      <c r="G66" s="69"/>
      <c r="AF66" s="34" t="s">
        <v>36</v>
      </c>
      <c r="AG66" s="35">
        <f t="shared" si="3"/>
        <v>-6872</v>
      </c>
      <c r="AH66" s="41">
        <v>6697</v>
      </c>
      <c r="AI66" s="41">
        <v>6872</v>
      </c>
    </row>
    <row r="67" spans="7:35" ht="15">
      <c r="AF67" s="34" t="s">
        <v>37</v>
      </c>
      <c r="AG67" s="35">
        <f t="shared" si="3"/>
        <v>-4147</v>
      </c>
      <c r="AH67" s="41">
        <v>3789</v>
      </c>
      <c r="AI67" s="41">
        <v>4147</v>
      </c>
    </row>
    <row r="68" spans="7:35" ht="15">
      <c r="AF68" s="34" t="s">
        <v>38</v>
      </c>
      <c r="AG68" s="35">
        <f t="shared" si="3"/>
        <v>-3046</v>
      </c>
      <c r="AH68" s="41">
        <v>2813</v>
      </c>
      <c r="AI68" s="41">
        <v>3046</v>
      </c>
    </row>
    <row r="69" spans="7:35" ht="15">
      <c r="AF69" s="34" t="s">
        <v>39</v>
      </c>
      <c r="AG69" s="35">
        <f t="shared" si="3"/>
        <v>-2852</v>
      </c>
      <c r="AH69" s="41">
        <v>2714</v>
      </c>
      <c r="AI69" s="41">
        <v>2852</v>
      </c>
    </row>
    <row r="70" spans="7:35" ht="15">
      <c r="AF70" s="34" t="s">
        <v>40</v>
      </c>
      <c r="AG70" s="35">
        <f t="shared" si="3"/>
        <v>-3014</v>
      </c>
      <c r="AH70" s="41">
        <v>2664</v>
      </c>
      <c r="AI70" s="41">
        <v>3014</v>
      </c>
    </row>
    <row r="71" spans="7:35" ht="15">
      <c r="AF71" s="34" t="s">
        <v>41</v>
      </c>
      <c r="AG71" s="35">
        <f t="shared" si="3"/>
        <v>-2333</v>
      </c>
      <c r="AH71" s="41">
        <v>1853</v>
      </c>
      <c r="AI71" s="41">
        <v>2333</v>
      </c>
    </row>
    <row r="72" spans="7:35">
      <c r="AF72" s="34" t="s">
        <v>42</v>
      </c>
      <c r="AG72" s="35">
        <f t="shared" si="3"/>
        <v>-2443</v>
      </c>
      <c r="AH72" s="24">
        <f>L27+L28+L29+L30+L31</f>
        <v>1637</v>
      </c>
      <c r="AI72" s="24">
        <f>K27+K28+K29+K30+K31</f>
        <v>2443</v>
      </c>
    </row>
    <row r="73" spans="7:35">
      <c r="AF73" s="34"/>
      <c r="AG73" s="34"/>
      <c r="AH73" s="34"/>
    </row>
    <row r="76" spans="7:35">
      <c r="AF76" s="14">
        <v>2014</v>
      </c>
    </row>
    <row r="77" spans="7:35">
      <c r="AF77" s="21"/>
      <c r="AG77" s="21"/>
      <c r="AH77" s="21"/>
      <c r="AI77" s="24"/>
    </row>
    <row r="78" spans="7:35">
      <c r="AG78" s="28" t="s">
        <v>4</v>
      </c>
      <c r="AH78" s="29" t="s">
        <v>5</v>
      </c>
    </row>
    <row r="79" spans="7:35">
      <c r="AF79" s="34" t="s">
        <v>22</v>
      </c>
      <c r="AG79" s="35">
        <f>-1*AI79</f>
        <v>-18863</v>
      </c>
      <c r="AH79" s="24">
        <f>P10+P11</f>
        <v>17223</v>
      </c>
      <c r="AI79" s="24">
        <f>O10+O11</f>
        <v>18863</v>
      </c>
    </row>
    <row r="80" spans="7:35">
      <c r="AF80" s="34" t="s">
        <v>24</v>
      </c>
      <c r="AG80" s="35">
        <f t="shared" ref="AG80:AG94" si="4">-1*AI80</f>
        <v>-16364</v>
      </c>
      <c r="AH80" s="24">
        <f>P12+P13</f>
        <v>15616</v>
      </c>
      <c r="AI80" s="24">
        <f>O12+O13</f>
        <v>16364</v>
      </c>
    </row>
    <row r="81" spans="32:35" ht="15">
      <c r="AF81" s="34" t="s">
        <v>26</v>
      </c>
      <c r="AG81" s="35">
        <f t="shared" si="4"/>
        <v>-13571</v>
      </c>
      <c r="AH81" s="41">
        <v>12787</v>
      </c>
      <c r="AI81" s="41">
        <v>13571</v>
      </c>
    </row>
    <row r="82" spans="32:35" ht="15">
      <c r="AF82" s="34" t="s">
        <v>28</v>
      </c>
      <c r="AG82" s="35">
        <f t="shared" si="4"/>
        <v>-15922</v>
      </c>
      <c r="AH82" s="41">
        <v>15461</v>
      </c>
      <c r="AI82" s="41">
        <v>15922</v>
      </c>
    </row>
    <row r="83" spans="32:35" ht="15">
      <c r="AF83" s="34" t="s">
        <v>30</v>
      </c>
      <c r="AG83" s="35">
        <f t="shared" si="4"/>
        <v>-19349</v>
      </c>
      <c r="AH83" s="41">
        <v>18537</v>
      </c>
      <c r="AI83" s="41">
        <v>19349</v>
      </c>
    </row>
    <row r="84" spans="32:35" ht="15">
      <c r="AF84" s="34" t="s">
        <v>32</v>
      </c>
      <c r="AG84" s="35">
        <f t="shared" si="4"/>
        <v>-19451</v>
      </c>
      <c r="AH84" s="41">
        <v>19738</v>
      </c>
      <c r="AI84" s="41">
        <v>19451</v>
      </c>
    </row>
    <row r="85" spans="32:35" ht="15">
      <c r="AF85" s="34" t="s">
        <v>33</v>
      </c>
      <c r="AG85" s="35">
        <f t="shared" si="4"/>
        <v>-15494</v>
      </c>
      <c r="AH85" s="41">
        <v>15868</v>
      </c>
      <c r="AI85" s="41">
        <v>15494</v>
      </c>
    </row>
    <row r="86" spans="32:35" ht="15">
      <c r="AF86" s="34" t="s">
        <v>34</v>
      </c>
      <c r="AG86" s="35">
        <f t="shared" si="4"/>
        <v>-11386</v>
      </c>
      <c r="AH86" s="41">
        <v>11518</v>
      </c>
      <c r="AI86" s="41">
        <v>11386</v>
      </c>
    </row>
    <row r="87" spans="32:35" ht="15">
      <c r="AF87" s="34" t="s">
        <v>35</v>
      </c>
      <c r="AG87" s="35">
        <f t="shared" si="4"/>
        <v>-9811</v>
      </c>
      <c r="AH87" s="41">
        <v>10064</v>
      </c>
      <c r="AI87" s="41">
        <v>9811</v>
      </c>
    </row>
    <row r="88" spans="32:35" ht="15">
      <c r="AF88" s="34" t="s">
        <v>36</v>
      </c>
      <c r="AG88" s="35">
        <f t="shared" si="4"/>
        <v>-8784</v>
      </c>
      <c r="AH88" s="41">
        <v>8795</v>
      </c>
      <c r="AI88" s="41">
        <v>8784</v>
      </c>
    </row>
    <row r="89" spans="32:35" ht="15">
      <c r="AF89" s="34" t="s">
        <v>37</v>
      </c>
      <c r="AG89" s="35">
        <f t="shared" si="4"/>
        <v>-7645</v>
      </c>
      <c r="AH89" s="41">
        <v>7405</v>
      </c>
      <c r="AI89" s="41">
        <v>7645</v>
      </c>
    </row>
    <row r="90" spans="32:35" ht="15">
      <c r="AF90" s="34" t="s">
        <v>38</v>
      </c>
      <c r="AG90" s="35">
        <f t="shared" si="4"/>
        <v>-6031</v>
      </c>
      <c r="AH90" s="41">
        <v>5672</v>
      </c>
      <c r="AI90" s="41">
        <v>6031</v>
      </c>
    </row>
    <row r="91" spans="32:35" ht="15">
      <c r="AF91" s="34" t="s">
        <v>39</v>
      </c>
      <c r="AG91" s="35">
        <f t="shared" si="4"/>
        <v>-3327</v>
      </c>
      <c r="AH91" s="41">
        <v>2922</v>
      </c>
      <c r="AI91" s="41">
        <v>3327</v>
      </c>
    </row>
    <row r="92" spans="32:35" ht="15">
      <c r="AF92" s="34" t="s">
        <v>40</v>
      </c>
      <c r="AG92" s="35">
        <f t="shared" si="4"/>
        <v>-2445</v>
      </c>
      <c r="AH92" s="41">
        <v>2426</v>
      </c>
      <c r="AI92" s="41">
        <v>2445</v>
      </c>
    </row>
    <row r="93" spans="32:35" ht="15">
      <c r="AF93" s="34" t="s">
        <v>41</v>
      </c>
      <c r="AG93" s="35">
        <f t="shared" si="4"/>
        <v>-2471</v>
      </c>
      <c r="AH93" s="41">
        <v>2372</v>
      </c>
      <c r="AI93" s="41">
        <v>2471</v>
      </c>
    </row>
    <row r="94" spans="32:35">
      <c r="AF94" s="34" t="s">
        <v>42</v>
      </c>
      <c r="AG94" s="35">
        <f t="shared" si="4"/>
        <v>-3752</v>
      </c>
      <c r="AH94" s="24">
        <f>P27+P28+P29+P30+P31+P32</f>
        <v>2953</v>
      </c>
      <c r="AI94" s="24">
        <f>O27+O28+O29+O30+O31+O32</f>
        <v>3752</v>
      </c>
    </row>
    <row r="96" spans="32:35">
      <c r="AI96" s="70">
        <f>SUM(AI92:AI94)</f>
        <v>8668</v>
      </c>
    </row>
  </sheetData>
  <mergeCells count="2">
    <mergeCell ref="A1:P1"/>
    <mergeCell ref="A2:P2"/>
  </mergeCells>
  <pageMargins left="0.7" right="0.7" top="0.75" bottom="0.75" header="0.3" footer="0.3"/>
  <pageSetup scale="6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"/>
  <sheetViews>
    <sheetView workbookViewId="0">
      <selection activeCell="T14" sqref="T14"/>
    </sheetView>
  </sheetViews>
  <sheetFormatPr defaultColWidth="17.85546875" defaultRowHeight="16.5" customHeight="1"/>
  <cols>
    <col min="1" max="1" width="18.7109375" style="78" customWidth="1"/>
    <col min="2" max="2" width="1.7109375" style="78" customWidth="1"/>
    <col min="3" max="3" width="0.85546875" style="78" customWidth="1"/>
    <col min="4" max="7" width="7.140625" style="78" hidden="1" customWidth="1"/>
    <col min="8" max="9" width="0.85546875" style="78" hidden="1" customWidth="1"/>
    <col min="10" max="12" width="8" style="78" hidden="1" customWidth="1"/>
    <col min="13" max="13" width="7.42578125" style="78" hidden="1" customWidth="1"/>
    <col min="14" max="14" width="1.5703125" style="78" hidden="1" customWidth="1"/>
    <col min="15" max="18" width="7.140625" style="78" hidden="1" customWidth="1"/>
    <col min="19" max="19" width="1.7109375" style="78" hidden="1" customWidth="1"/>
    <col min="20" max="23" width="7.140625" style="78" hidden="1" customWidth="1"/>
    <col min="24" max="24" width="1.28515625" style="78" hidden="1" customWidth="1"/>
    <col min="25" max="44" width="8.7109375" style="78" customWidth="1"/>
    <col min="45" max="45" width="45.140625" style="78" customWidth="1"/>
    <col min="46" max="49" width="17.85546875" style="78"/>
    <col min="50" max="58" width="5.42578125" style="78" customWidth="1"/>
    <col min="59" max="63" width="6" style="78" customWidth="1"/>
    <col min="64" max="64" width="6.85546875" style="78" customWidth="1"/>
    <col min="65" max="65" width="5.42578125" style="78" customWidth="1"/>
    <col min="66" max="260" width="17.85546875" style="78"/>
    <col min="261" max="261" width="18.7109375" style="78" customWidth="1"/>
    <col min="262" max="262" width="1.7109375" style="78" customWidth="1"/>
    <col min="263" max="263" width="0.85546875" style="78" customWidth="1"/>
    <col min="264" max="284" width="0" style="78" hidden="1" customWidth="1"/>
    <col min="285" max="296" width="8.7109375" style="78" customWidth="1"/>
    <col min="297" max="300" width="0" style="78" hidden="1" customWidth="1"/>
    <col min="301" max="301" width="45.140625" style="78" customWidth="1"/>
    <col min="302" max="305" width="17.85546875" style="78"/>
    <col min="306" max="314" width="5.42578125" style="78" customWidth="1"/>
    <col min="315" max="319" width="6" style="78" customWidth="1"/>
    <col min="320" max="320" width="6.85546875" style="78" customWidth="1"/>
    <col min="321" max="321" width="5.42578125" style="78" customWidth="1"/>
    <col min="322" max="516" width="17.85546875" style="78"/>
    <col min="517" max="517" width="18.7109375" style="78" customWidth="1"/>
    <col min="518" max="518" width="1.7109375" style="78" customWidth="1"/>
    <col min="519" max="519" width="0.85546875" style="78" customWidth="1"/>
    <col min="520" max="540" width="0" style="78" hidden="1" customWidth="1"/>
    <col min="541" max="552" width="8.7109375" style="78" customWidth="1"/>
    <col min="553" max="556" width="0" style="78" hidden="1" customWidth="1"/>
    <col min="557" max="557" width="45.140625" style="78" customWidth="1"/>
    <col min="558" max="561" width="17.85546875" style="78"/>
    <col min="562" max="570" width="5.42578125" style="78" customWidth="1"/>
    <col min="571" max="575" width="6" style="78" customWidth="1"/>
    <col min="576" max="576" width="6.85546875" style="78" customWidth="1"/>
    <col min="577" max="577" width="5.42578125" style="78" customWidth="1"/>
    <col min="578" max="772" width="17.85546875" style="78"/>
    <col min="773" max="773" width="18.7109375" style="78" customWidth="1"/>
    <col min="774" max="774" width="1.7109375" style="78" customWidth="1"/>
    <col min="775" max="775" width="0.85546875" style="78" customWidth="1"/>
    <col min="776" max="796" width="0" style="78" hidden="1" customWidth="1"/>
    <col min="797" max="808" width="8.7109375" style="78" customWidth="1"/>
    <col min="809" max="812" width="0" style="78" hidden="1" customWidth="1"/>
    <col min="813" max="813" width="45.140625" style="78" customWidth="1"/>
    <col min="814" max="817" width="17.85546875" style="78"/>
    <col min="818" max="826" width="5.42578125" style="78" customWidth="1"/>
    <col min="827" max="831" width="6" style="78" customWidth="1"/>
    <col min="832" max="832" width="6.85546875" style="78" customWidth="1"/>
    <col min="833" max="833" width="5.42578125" style="78" customWidth="1"/>
    <col min="834" max="1028" width="17.85546875" style="78"/>
    <col min="1029" max="1029" width="18.7109375" style="78" customWidth="1"/>
    <col min="1030" max="1030" width="1.7109375" style="78" customWidth="1"/>
    <col min="1031" max="1031" width="0.85546875" style="78" customWidth="1"/>
    <col min="1032" max="1052" width="0" style="78" hidden="1" customWidth="1"/>
    <col min="1053" max="1064" width="8.7109375" style="78" customWidth="1"/>
    <col min="1065" max="1068" width="0" style="78" hidden="1" customWidth="1"/>
    <col min="1069" max="1069" width="45.140625" style="78" customWidth="1"/>
    <col min="1070" max="1073" width="17.85546875" style="78"/>
    <col min="1074" max="1082" width="5.42578125" style="78" customWidth="1"/>
    <col min="1083" max="1087" width="6" style="78" customWidth="1"/>
    <col min="1088" max="1088" width="6.85546875" style="78" customWidth="1"/>
    <col min="1089" max="1089" width="5.42578125" style="78" customWidth="1"/>
    <col min="1090" max="1284" width="17.85546875" style="78"/>
    <col min="1285" max="1285" width="18.7109375" style="78" customWidth="1"/>
    <col min="1286" max="1286" width="1.7109375" style="78" customWidth="1"/>
    <col min="1287" max="1287" width="0.85546875" style="78" customWidth="1"/>
    <col min="1288" max="1308" width="0" style="78" hidden="1" customWidth="1"/>
    <col min="1309" max="1320" width="8.7109375" style="78" customWidth="1"/>
    <col min="1321" max="1324" width="0" style="78" hidden="1" customWidth="1"/>
    <col min="1325" max="1325" width="45.140625" style="78" customWidth="1"/>
    <col min="1326" max="1329" width="17.85546875" style="78"/>
    <col min="1330" max="1338" width="5.42578125" style="78" customWidth="1"/>
    <col min="1339" max="1343" width="6" style="78" customWidth="1"/>
    <col min="1344" max="1344" width="6.85546875" style="78" customWidth="1"/>
    <col min="1345" max="1345" width="5.42578125" style="78" customWidth="1"/>
    <col min="1346" max="1540" width="17.85546875" style="78"/>
    <col min="1541" max="1541" width="18.7109375" style="78" customWidth="1"/>
    <col min="1542" max="1542" width="1.7109375" style="78" customWidth="1"/>
    <col min="1543" max="1543" width="0.85546875" style="78" customWidth="1"/>
    <col min="1544" max="1564" width="0" style="78" hidden="1" customWidth="1"/>
    <col min="1565" max="1576" width="8.7109375" style="78" customWidth="1"/>
    <col min="1577" max="1580" width="0" style="78" hidden="1" customWidth="1"/>
    <col min="1581" max="1581" width="45.140625" style="78" customWidth="1"/>
    <col min="1582" max="1585" width="17.85546875" style="78"/>
    <col min="1586" max="1594" width="5.42578125" style="78" customWidth="1"/>
    <col min="1595" max="1599" width="6" style="78" customWidth="1"/>
    <col min="1600" max="1600" width="6.85546875" style="78" customWidth="1"/>
    <col min="1601" max="1601" width="5.42578125" style="78" customWidth="1"/>
    <col min="1602" max="1796" width="17.85546875" style="78"/>
    <col min="1797" max="1797" width="18.7109375" style="78" customWidth="1"/>
    <col min="1798" max="1798" width="1.7109375" style="78" customWidth="1"/>
    <col min="1799" max="1799" width="0.85546875" style="78" customWidth="1"/>
    <col min="1800" max="1820" width="0" style="78" hidden="1" customWidth="1"/>
    <col min="1821" max="1832" width="8.7109375" style="78" customWidth="1"/>
    <col min="1833" max="1836" width="0" style="78" hidden="1" customWidth="1"/>
    <col min="1837" max="1837" width="45.140625" style="78" customWidth="1"/>
    <col min="1838" max="1841" width="17.85546875" style="78"/>
    <col min="1842" max="1850" width="5.42578125" style="78" customWidth="1"/>
    <col min="1851" max="1855" width="6" style="78" customWidth="1"/>
    <col min="1856" max="1856" width="6.85546875" style="78" customWidth="1"/>
    <col min="1857" max="1857" width="5.42578125" style="78" customWidth="1"/>
    <col min="1858" max="2052" width="17.85546875" style="78"/>
    <col min="2053" max="2053" width="18.7109375" style="78" customWidth="1"/>
    <col min="2054" max="2054" width="1.7109375" style="78" customWidth="1"/>
    <col min="2055" max="2055" width="0.85546875" style="78" customWidth="1"/>
    <col min="2056" max="2076" width="0" style="78" hidden="1" customWidth="1"/>
    <col min="2077" max="2088" width="8.7109375" style="78" customWidth="1"/>
    <col min="2089" max="2092" width="0" style="78" hidden="1" customWidth="1"/>
    <col min="2093" max="2093" width="45.140625" style="78" customWidth="1"/>
    <col min="2094" max="2097" width="17.85546875" style="78"/>
    <col min="2098" max="2106" width="5.42578125" style="78" customWidth="1"/>
    <col min="2107" max="2111" width="6" style="78" customWidth="1"/>
    <col min="2112" max="2112" width="6.85546875" style="78" customWidth="1"/>
    <col min="2113" max="2113" width="5.42578125" style="78" customWidth="1"/>
    <col min="2114" max="2308" width="17.85546875" style="78"/>
    <col min="2309" max="2309" width="18.7109375" style="78" customWidth="1"/>
    <col min="2310" max="2310" width="1.7109375" style="78" customWidth="1"/>
    <col min="2311" max="2311" width="0.85546875" style="78" customWidth="1"/>
    <col min="2312" max="2332" width="0" style="78" hidden="1" customWidth="1"/>
    <col min="2333" max="2344" width="8.7109375" style="78" customWidth="1"/>
    <col min="2345" max="2348" width="0" style="78" hidden="1" customWidth="1"/>
    <col min="2349" max="2349" width="45.140625" style="78" customWidth="1"/>
    <col min="2350" max="2353" width="17.85546875" style="78"/>
    <col min="2354" max="2362" width="5.42578125" style="78" customWidth="1"/>
    <col min="2363" max="2367" width="6" style="78" customWidth="1"/>
    <col min="2368" max="2368" width="6.85546875" style="78" customWidth="1"/>
    <col min="2369" max="2369" width="5.42578125" style="78" customWidth="1"/>
    <col min="2370" max="2564" width="17.85546875" style="78"/>
    <col min="2565" max="2565" width="18.7109375" style="78" customWidth="1"/>
    <col min="2566" max="2566" width="1.7109375" style="78" customWidth="1"/>
    <col min="2567" max="2567" width="0.85546875" style="78" customWidth="1"/>
    <col min="2568" max="2588" width="0" style="78" hidden="1" customWidth="1"/>
    <col min="2589" max="2600" width="8.7109375" style="78" customWidth="1"/>
    <col min="2601" max="2604" width="0" style="78" hidden="1" customWidth="1"/>
    <col min="2605" max="2605" width="45.140625" style="78" customWidth="1"/>
    <col min="2606" max="2609" width="17.85546875" style="78"/>
    <col min="2610" max="2618" width="5.42578125" style="78" customWidth="1"/>
    <col min="2619" max="2623" width="6" style="78" customWidth="1"/>
    <col min="2624" max="2624" width="6.85546875" style="78" customWidth="1"/>
    <col min="2625" max="2625" width="5.42578125" style="78" customWidth="1"/>
    <col min="2626" max="2820" width="17.85546875" style="78"/>
    <col min="2821" max="2821" width="18.7109375" style="78" customWidth="1"/>
    <col min="2822" max="2822" width="1.7109375" style="78" customWidth="1"/>
    <col min="2823" max="2823" width="0.85546875" style="78" customWidth="1"/>
    <col min="2824" max="2844" width="0" style="78" hidden="1" customWidth="1"/>
    <col min="2845" max="2856" width="8.7109375" style="78" customWidth="1"/>
    <col min="2857" max="2860" width="0" style="78" hidden="1" customWidth="1"/>
    <col min="2861" max="2861" width="45.140625" style="78" customWidth="1"/>
    <col min="2862" max="2865" width="17.85546875" style="78"/>
    <col min="2866" max="2874" width="5.42578125" style="78" customWidth="1"/>
    <col min="2875" max="2879" width="6" style="78" customWidth="1"/>
    <col min="2880" max="2880" width="6.85546875" style="78" customWidth="1"/>
    <col min="2881" max="2881" width="5.42578125" style="78" customWidth="1"/>
    <col min="2882" max="3076" width="17.85546875" style="78"/>
    <col min="3077" max="3077" width="18.7109375" style="78" customWidth="1"/>
    <col min="3078" max="3078" width="1.7109375" style="78" customWidth="1"/>
    <col min="3079" max="3079" width="0.85546875" style="78" customWidth="1"/>
    <col min="3080" max="3100" width="0" style="78" hidden="1" customWidth="1"/>
    <col min="3101" max="3112" width="8.7109375" style="78" customWidth="1"/>
    <col min="3113" max="3116" width="0" style="78" hidden="1" customWidth="1"/>
    <col min="3117" max="3117" width="45.140625" style="78" customWidth="1"/>
    <col min="3118" max="3121" width="17.85546875" style="78"/>
    <col min="3122" max="3130" width="5.42578125" style="78" customWidth="1"/>
    <col min="3131" max="3135" width="6" style="78" customWidth="1"/>
    <col min="3136" max="3136" width="6.85546875" style="78" customWidth="1"/>
    <col min="3137" max="3137" width="5.42578125" style="78" customWidth="1"/>
    <col min="3138" max="3332" width="17.85546875" style="78"/>
    <col min="3333" max="3333" width="18.7109375" style="78" customWidth="1"/>
    <col min="3334" max="3334" width="1.7109375" style="78" customWidth="1"/>
    <col min="3335" max="3335" width="0.85546875" style="78" customWidth="1"/>
    <col min="3336" max="3356" width="0" style="78" hidden="1" customWidth="1"/>
    <col min="3357" max="3368" width="8.7109375" style="78" customWidth="1"/>
    <col min="3369" max="3372" width="0" style="78" hidden="1" customWidth="1"/>
    <col min="3373" max="3373" width="45.140625" style="78" customWidth="1"/>
    <col min="3374" max="3377" width="17.85546875" style="78"/>
    <col min="3378" max="3386" width="5.42578125" style="78" customWidth="1"/>
    <col min="3387" max="3391" width="6" style="78" customWidth="1"/>
    <col min="3392" max="3392" width="6.85546875" style="78" customWidth="1"/>
    <col min="3393" max="3393" width="5.42578125" style="78" customWidth="1"/>
    <col min="3394" max="3588" width="17.85546875" style="78"/>
    <col min="3589" max="3589" width="18.7109375" style="78" customWidth="1"/>
    <col min="3590" max="3590" width="1.7109375" style="78" customWidth="1"/>
    <col min="3591" max="3591" width="0.85546875" style="78" customWidth="1"/>
    <col min="3592" max="3612" width="0" style="78" hidden="1" customWidth="1"/>
    <col min="3613" max="3624" width="8.7109375" style="78" customWidth="1"/>
    <col min="3625" max="3628" width="0" style="78" hidden="1" customWidth="1"/>
    <col min="3629" max="3629" width="45.140625" style="78" customWidth="1"/>
    <col min="3630" max="3633" width="17.85546875" style="78"/>
    <col min="3634" max="3642" width="5.42578125" style="78" customWidth="1"/>
    <col min="3643" max="3647" width="6" style="78" customWidth="1"/>
    <col min="3648" max="3648" width="6.85546875" style="78" customWidth="1"/>
    <col min="3649" max="3649" width="5.42578125" style="78" customWidth="1"/>
    <col min="3650" max="3844" width="17.85546875" style="78"/>
    <col min="3845" max="3845" width="18.7109375" style="78" customWidth="1"/>
    <col min="3846" max="3846" width="1.7109375" style="78" customWidth="1"/>
    <col min="3847" max="3847" width="0.85546875" style="78" customWidth="1"/>
    <col min="3848" max="3868" width="0" style="78" hidden="1" customWidth="1"/>
    <col min="3869" max="3880" width="8.7109375" style="78" customWidth="1"/>
    <col min="3881" max="3884" width="0" style="78" hidden="1" customWidth="1"/>
    <col min="3885" max="3885" width="45.140625" style="78" customWidth="1"/>
    <col min="3886" max="3889" width="17.85546875" style="78"/>
    <col min="3890" max="3898" width="5.42578125" style="78" customWidth="1"/>
    <col min="3899" max="3903" width="6" style="78" customWidth="1"/>
    <col min="3904" max="3904" width="6.85546875" style="78" customWidth="1"/>
    <col min="3905" max="3905" width="5.42578125" style="78" customWidth="1"/>
    <col min="3906" max="4100" width="17.85546875" style="78"/>
    <col min="4101" max="4101" width="18.7109375" style="78" customWidth="1"/>
    <col min="4102" max="4102" width="1.7109375" style="78" customWidth="1"/>
    <col min="4103" max="4103" width="0.85546875" style="78" customWidth="1"/>
    <col min="4104" max="4124" width="0" style="78" hidden="1" customWidth="1"/>
    <col min="4125" max="4136" width="8.7109375" style="78" customWidth="1"/>
    <col min="4137" max="4140" width="0" style="78" hidden="1" customWidth="1"/>
    <col min="4141" max="4141" width="45.140625" style="78" customWidth="1"/>
    <col min="4142" max="4145" width="17.85546875" style="78"/>
    <col min="4146" max="4154" width="5.42578125" style="78" customWidth="1"/>
    <col min="4155" max="4159" width="6" style="78" customWidth="1"/>
    <col min="4160" max="4160" width="6.85546875" style="78" customWidth="1"/>
    <col min="4161" max="4161" width="5.42578125" style="78" customWidth="1"/>
    <col min="4162" max="4356" width="17.85546875" style="78"/>
    <col min="4357" max="4357" width="18.7109375" style="78" customWidth="1"/>
    <col min="4358" max="4358" width="1.7109375" style="78" customWidth="1"/>
    <col min="4359" max="4359" width="0.85546875" style="78" customWidth="1"/>
    <col min="4360" max="4380" width="0" style="78" hidden="1" customWidth="1"/>
    <col min="4381" max="4392" width="8.7109375" style="78" customWidth="1"/>
    <col min="4393" max="4396" width="0" style="78" hidden="1" customWidth="1"/>
    <col min="4397" max="4397" width="45.140625" style="78" customWidth="1"/>
    <col min="4398" max="4401" width="17.85546875" style="78"/>
    <col min="4402" max="4410" width="5.42578125" style="78" customWidth="1"/>
    <col min="4411" max="4415" width="6" style="78" customWidth="1"/>
    <col min="4416" max="4416" width="6.85546875" style="78" customWidth="1"/>
    <col min="4417" max="4417" width="5.42578125" style="78" customWidth="1"/>
    <col min="4418" max="4612" width="17.85546875" style="78"/>
    <col min="4613" max="4613" width="18.7109375" style="78" customWidth="1"/>
    <col min="4614" max="4614" width="1.7109375" style="78" customWidth="1"/>
    <col min="4615" max="4615" width="0.85546875" style="78" customWidth="1"/>
    <col min="4616" max="4636" width="0" style="78" hidden="1" customWidth="1"/>
    <col min="4637" max="4648" width="8.7109375" style="78" customWidth="1"/>
    <col min="4649" max="4652" width="0" style="78" hidden="1" customWidth="1"/>
    <col min="4653" max="4653" width="45.140625" style="78" customWidth="1"/>
    <col min="4654" max="4657" width="17.85546875" style="78"/>
    <col min="4658" max="4666" width="5.42578125" style="78" customWidth="1"/>
    <col min="4667" max="4671" width="6" style="78" customWidth="1"/>
    <col min="4672" max="4672" width="6.85546875" style="78" customWidth="1"/>
    <col min="4673" max="4673" width="5.42578125" style="78" customWidth="1"/>
    <col min="4674" max="4868" width="17.85546875" style="78"/>
    <col min="4869" max="4869" width="18.7109375" style="78" customWidth="1"/>
    <col min="4870" max="4870" width="1.7109375" style="78" customWidth="1"/>
    <col min="4871" max="4871" width="0.85546875" style="78" customWidth="1"/>
    <col min="4872" max="4892" width="0" style="78" hidden="1" customWidth="1"/>
    <col min="4893" max="4904" width="8.7109375" style="78" customWidth="1"/>
    <col min="4905" max="4908" width="0" style="78" hidden="1" customWidth="1"/>
    <col min="4909" max="4909" width="45.140625" style="78" customWidth="1"/>
    <col min="4910" max="4913" width="17.85546875" style="78"/>
    <col min="4914" max="4922" width="5.42578125" style="78" customWidth="1"/>
    <col min="4923" max="4927" width="6" style="78" customWidth="1"/>
    <col min="4928" max="4928" width="6.85546875" style="78" customWidth="1"/>
    <col min="4929" max="4929" width="5.42578125" style="78" customWidth="1"/>
    <col min="4930" max="5124" width="17.85546875" style="78"/>
    <col min="5125" max="5125" width="18.7109375" style="78" customWidth="1"/>
    <col min="5126" max="5126" width="1.7109375" style="78" customWidth="1"/>
    <col min="5127" max="5127" width="0.85546875" style="78" customWidth="1"/>
    <col min="5128" max="5148" width="0" style="78" hidden="1" customWidth="1"/>
    <col min="5149" max="5160" width="8.7109375" style="78" customWidth="1"/>
    <col min="5161" max="5164" width="0" style="78" hidden="1" customWidth="1"/>
    <col min="5165" max="5165" width="45.140625" style="78" customWidth="1"/>
    <col min="5166" max="5169" width="17.85546875" style="78"/>
    <col min="5170" max="5178" width="5.42578125" style="78" customWidth="1"/>
    <col min="5179" max="5183" width="6" style="78" customWidth="1"/>
    <col min="5184" max="5184" width="6.85546875" style="78" customWidth="1"/>
    <col min="5185" max="5185" width="5.42578125" style="78" customWidth="1"/>
    <col min="5186" max="5380" width="17.85546875" style="78"/>
    <col min="5381" max="5381" width="18.7109375" style="78" customWidth="1"/>
    <col min="5382" max="5382" width="1.7109375" style="78" customWidth="1"/>
    <col min="5383" max="5383" width="0.85546875" style="78" customWidth="1"/>
    <col min="5384" max="5404" width="0" style="78" hidden="1" customWidth="1"/>
    <col min="5405" max="5416" width="8.7109375" style="78" customWidth="1"/>
    <col min="5417" max="5420" width="0" style="78" hidden="1" customWidth="1"/>
    <col min="5421" max="5421" width="45.140625" style="78" customWidth="1"/>
    <col min="5422" max="5425" width="17.85546875" style="78"/>
    <col min="5426" max="5434" width="5.42578125" style="78" customWidth="1"/>
    <col min="5435" max="5439" width="6" style="78" customWidth="1"/>
    <col min="5440" max="5440" width="6.85546875" style="78" customWidth="1"/>
    <col min="5441" max="5441" width="5.42578125" style="78" customWidth="1"/>
    <col min="5442" max="5636" width="17.85546875" style="78"/>
    <col min="5637" max="5637" width="18.7109375" style="78" customWidth="1"/>
    <col min="5638" max="5638" width="1.7109375" style="78" customWidth="1"/>
    <col min="5639" max="5639" width="0.85546875" style="78" customWidth="1"/>
    <col min="5640" max="5660" width="0" style="78" hidden="1" customWidth="1"/>
    <col min="5661" max="5672" width="8.7109375" style="78" customWidth="1"/>
    <col min="5673" max="5676" width="0" style="78" hidden="1" customWidth="1"/>
    <col min="5677" max="5677" width="45.140625" style="78" customWidth="1"/>
    <col min="5678" max="5681" width="17.85546875" style="78"/>
    <col min="5682" max="5690" width="5.42578125" style="78" customWidth="1"/>
    <col min="5691" max="5695" width="6" style="78" customWidth="1"/>
    <col min="5696" max="5696" width="6.85546875" style="78" customWidth="1"/>
    <col min="5697" max="5697" width="5.42578125" style="78" customWidth="1"/>
    <col min="5698" max="5892" width="17.85546875" style="78"/>
    <col min="5893" max="5893" width="18.7109375" style="78" customWidth="1"/>
    <col min="5894" max="5894" width="1.7109375" style="78" customWidth="1"/>
    <col min="5895" max="5895" width="0.85546875" style="78" customWidth="1"/>
    <col min="5896" max="5916" width="0" style="78" hidden="1" customWidth="1"/>
    <col min="5917" max="5928" width="8.7109375" style="78" customWidth="1"/>
    <col min="5929" max="5932" width="0" style="78" hidden="1" customWidth="1"/>
    <col min="5933" max="5933" width="45.140625" style="78" customWidth="1"/>
    <col min="5934" max="5937" width="17.85546875" style="78"/>
    <col min="5938" max="5946" width="5.42578125" style="78" customWidth="1"/>
    <col min="5947" max="5951" width="6" style="78" customWidth="1"/>
    <col min="5952" max="5952" width="6.85546875" style="78" customWidth="1"/>
    <col min="5953" max="5953" width="5.42578125" style="78" customWidth="1"/>
    <col min="5954" max="6148" width="17.85546875" style="78"/>
    <col min="6149" max="6149" width="18.7109375" style="78" customWidth="1"/>
    <col min="6150" max="6150" width="1.7109375" style="78" customWidth="1"/>
    <col min="6151" max="6151" width="0.85546875" style="78" customWidth="1"/>
    <col min="6152" max="6172" width="0" style="78" hidden="1" customWidth="1"/>
    <col min="6173" max="6184" width="8.7109375" style="78" customWidth="1"/>
    <col min="6185" max="6188" width="0" style="78" hidden="1" customWidth="1"/>
    <col min="6189" max="6189" width="45.140625" style="78" customWidth="1"/>
    <col min="6190" max="6193" width="17.85546875" style="78"/>
    <col min="6194" max="6202" width="5.42578125" style="78" customWidth="1"/>
    <col min="6203" max="6207" width="6" style="78" customWidth="1"/>
    <col min="6208" max="6208" width="6.85546875" style="78" customWidth="1"/>
    <col min="6209" max="6209" width="5.42578125" style="78" customWidth="1"/>
    <col min="6210" max="6404" width="17.85546875" style="78"/>
    <col min="6405" max="6405" width="18.7109375" style="78" customWidth="1"/>
    <col min="6406" max="6406" width="1.7109375" style="78" customWidth="1"/>
    <col min="6407" max="6407" width="0.85546875" style="78" customWidth="1"/>
    <col min="6408" max="6428" width="0" style="78" hidden="1" customWidth="1"/>
    <col min="6429" max="6440" width="8.7109375" style="78" customWidth="1"/>
    <col min="6441" max="6444" width="0" style="78" hidden="1" customWidth="1"/>
    <col min="6445" max="6445" width="45.140625" style="78" customWidth="1"/>
    <col min="6446" max="6449" width="17.85546875" style="78"/>
    <col min="6450" max="6458" width="5.42578125" style="78" customWidth="1"/>
    <col min="6459" max="6463" width="6" style="78" customWidth="1"/>
    <col min="6464" max="6464" width="6.85546875" style="78" customWidth="1"/>
    <col min="6465" max="6465" width="5.42578125" style="78" customWidth="1"/>
    <col min="6466" max="6660" width="17.85546875" style="78"/>
    <col min="6661" max="6661" width="18.7109375" style="78" customWidth="1"/>
    <col min="6662" max="6662" width="1.7109375" style="78" customWidth="1"/>
    <col min="6663" max="6663" width="0.85546875" style="78" customWidth="1"/>
    <col min="6664" max="6684" width="0" style="78" hidden="1" customWidth="1"/>
    <col min="6685" max="6696" width="8.7109375" style="78" customWidth="1"/>
    <col min="6697" max="6700" width="0" style="78" hidden="1" customWidth="1"/>
    <col min="6701" max="6701" width="45.140625" style="78" customWidth="1"/>
    <col min="6702" max="6705" width="17.85546875" style="78"/>
    <col min="6706" max="6714" width="5.42578125" style="78" customWidth="1"/>
    <col min="6715" max="6719" width="6" style="78" customWidth="1"/>
    <col min="6720" max="6720" width="6.85546875" style="78" customWidth="1"/>
    <col min="6721" max="6721" width="5.42578125" style="78" customWidth="1"/>
    <col min="6722" max="6916" width="17.85546875" style="78"/>
    <col min="6917" max="6917" width="18.7109375" style="78" customWidth="1"/>
    <col min="6918" max="6918" width="1.7109375" style="78" customWidth="1"/>
    <col min="6919" max="6919" width="0.85546875" style="78" customWidth="1"/>
    <col min="6920" max="6940" width="0" style="78" hidden="1" customWidth="1"/>
    <col min="6941" max="6952" width="8.7109375" style="78" customWidth="1"/>
    <col min="6953" max="6956" width="0" style="78" hidden="1" customWidth="1"/>
    <col min="6957" max="6957" width="45.140625" style="78" customWidth="1"/>
    <col min="6958" max="6961" width="17.85546875" style="78"/>
    <col min="6962" max="6970" width="5.42578125" style="78" customWidth="1"/>
    <col min="6971" max="6975" width="6" style="78" customWidth="1"/>
    <col min="6976" max="6976" width="6.85546875" style="78" customWidth="1"/>
    <col min="6977" max="6977" width="5.42578125" style="78" customWidth="1"/>
    <col min="6978" max="7172" width="17.85546875" style="78"/>
    <col min="7173" max="7173" width="18.7109375" style="78" customWidth="1"/>
    <col min="7174" max="7174" width="1.7109375" style="78" customWidth="1"/>
    <col min="7175" max="7175" width="0.85546875" style="78" customWidth="1"/>
    <col min="7176" max="7196" width="0" style="78" hidden="1" customWidth="1"/>
    <col min="7197" max="7208" width="8.7109375" style="78" customWidth="1"/>
    <col min="7209" max="7212" width="0" style="78" hidden="1" customWidth="1"/>
    <col min="7213" max="7213" width="45.140625" style="78" customWidth="1"/>
    <col min="7214" max="7217" width="17.85546875" style="78"/>
    <col min="7218" max="7226" width="5.42578125" style="78" customWidth="1"/>
    <col min="7227" max="7231" width="6" style="78" customWidth="1"/>
    <col min="7232" max="7232" width="6.85546875" style="78" customWidth="1"/>
    <col min="7233" max="7233" width="5.42578125" style="78" customWidth="1"/>
    <col min="7234" max="7428" width="17.85546875" style="78"/>
    <col min="7429" max="7429" width="18.7109375" style="78" customWidth="1"/>
    <col min="7430" max="7430" width="1.7109375" style="78" customWidth="1"/>
    <col min="7431" max="7431" width="0.85546875" style="78" customWidth="1"/>
    <col min="7432" max="7452" width="0" style="78" hidden="1" customWidth="1"/>
    <col min="7453" max="7464" width="8.7109375" style="78" customWidth="1"/>
    <col min="7465" max="7468" width="0" style="78" hidden="1" customWidth="1"/>
    <col min="7469" max="7469" width="45.140625" style="78" customWidth="1"/>
    <col min="7470" max="7473" width="17.85546875" style="78"/>
    <col min="7474" max="7482" width="5.42578125" style="78" customWidth="1"/>
    <col min="7483" max="7487" width="6" style="78" customWidth="1"/>
    <col min="7488" max="7488" width="6.85546875" style="78" customWidth="1"/>
    <col min="7489" max="7489" width="5.42578125" style="78" customWidth="1"/>
    <col min="7490" max="7684" width="17.85546875" style="78"/>
    <col min="7685" max="7685" width="18.7109375" style="78" customWidth="1"/>
    <col min="7686" max="7686" width="1.7109375" style="78" customWidth="1"/>
    <col min="7687" max="7687" width="0.85546875" style="78" customWidth="1"/>
    <col min="7688" max="7708" width="0" style="78" hidden="1" customWidth="1"/>
    <col min="7709" max="7720" width="8.7109375" style="78" customWidth="1"/>
    <col min="7721" max="7724" width="0" style="78" hidden="1" customWidth="1"/>
    <col min="7725" max="7725" width="45.140625" style="78" customWidth="1"/>
    <col min="7726" max="7729" width="17.85546875" style="78"/>
    <col min="7730" max="7738" width="5.42578125" style="78" customWidth="1"/>
    <col min="7739" max="7743" width="6" style="78" customWidth="1"/>
    <col min="7744" max="7744" width="6.85546875" style="78" customWidth="1"/>
    <col min="7745" max="7745" width="5.42578125" style="78" customWidth="1"/>
    <col min="7746" max="7940" width="17.85546875" style="78"/>
    <col min="7941" max="7941" width="18.7109375" style="78" customWidth="1"/>
    <col min="7942" max="7942" width="1.7109375" style="78" customWidth="1"/>
    <col min="7943" max="7943" width="0.85546875" style="78" customWidth="1"/>
    <col min="7944" max="7964" width="0" style="78" hidden="1" customWidth="1"/>
    <col min="7965" max="7976" width="8.7109375" style="78" customWidth="1"/>
    <col min="7977" max="7980" width="0" style="78" hidden="1" customWidth="1"/>
    <col min="7981" max="7981" width="45.140625" style="78" customWidth="1"/>
    <col min="7982" max="7985" width="17.85546875" style="78"/>
    <col min="7986" max="7994" width="5.42578125" style="78" customWidth="1"/>
    <col min="7995" max="7999" width="6" style="78" customWidth="1"/>
    <col min="8000" max="8000" width="6.85546875" style="78" customWidth="1"/>
    <col min="8001" max="8001" width="5.42578125" style="78" customWidth="1"/>
    <col min="8002" max="8196" width="17.85546875" style="78"/>
    <col min="8197" max="8197" width="18.7109375" style="78" customWidth="1"/>
    <col min="8198" max="8198" width="1.7109375" style="78" customWidth="1"/>
    <col min="8199" max="8199" width="0.85546875" style="78" customWidth="1"/>
    <col min="8200" max="8220" width="0" style="78" hidden="1" customWidth="1"/>
    <col min="8221" max="8232" width="8.7109375" style="78" customWidth="1"/>
    <col min="8233" max="8236" width="0" style="78" hidden="1" customWidth="1"/>
    <col min="8237" max="8237" width="45.140625" style="78" customWidth="1"/>
    <col min="8238" max="8241" width="17.85546875" style="78"/>
    <col min="8242" max="8250" width="5.42578125" style="78" customWidth="1"/>
    <col min="8251" max="8255" width="6" style="78" customWidth="1"/>
    <col min="8256" max="8256" width="6.85546875" style="78" customWidth="1"/>
    <col min="8257" max="8257" width="5.42578125" style="78" customWidth="1"/>
    <col min="8258" max="8452" width="17.85546875" style="78"/>
    <col min="8453" max="8453" width="18.7109375" style="78" customWidth="1"/>
    <col min="8454" max="8454" width="1.7109375" style="78" customWidth="1"/>
    <col min="8455" max="8455" width="0.85546875" style="78" customWidth="1"/>
    <col min="8456" max="8476" width="0" style="78" hidden="1" customWidth="1"/>
    <col min="8477" max="8488" width="8.7109375" style="78" customWidth="1"/>
    <col min="8489" max="8492" width="0" style="78" hidden="1" customWidth="1"/>
    <col min="8493" max="8493" width="45.140625" style="78" customWidth="1"/>
    <col min="8494" max="8497" width="17.85546875" style="78"/>
    <col min="8498" max="8506" width="5.42578125" style="78" customWidth="1"/>
    <col min="8507" max="8511" width="6" style="78" customWidth="1"/>
    <col min="8512" max="8512" width="6.85546875" style="78" customWidth="1"/>
    <col min="8513" max="8513" width="5.42578125" style="78" customWidth="1"/>
    <col min="8514" max="8708" width="17.85546875" style="78"/>
    <col min="8709" max="8709" width="18.7109375" style="78" customWidth="1"/>
    <col min="8710" max="8710" width="1.7109375" style="78" customWidth="1"/>
    <col min="8711" max="8711" width="0.85546875" style="78" customWidth="1"/>
    <col min="8712" max="8732" width="0" style="78" hidden="1" customWidth="1"/>
    <col min="8733" max="8744" width="8.7109375" style="78" customWidth="1"/>
    <col min="8745" max="8748" width="0" style="78" hidden="1" customWidth="1"/>
    <col min="8749" max="8749" width="45.140625" style="78" customWidth="1"/>
    <col min="8750" max="8753" width="17.85546875" style="78"/>
    <col min="8754" max="8762" width="5.42578125" style="78" customWidth="1"/>
    <col min="8763" max="8767" width="6" style="78" customWidth="1"/>
    <col min="8768" max="8768" width="6.85546875" style="78" customWidth="1"/>
    <col min="8769" max="8769" width="5.42578125" style="78" customWidth="1"/>
    <col min="8770" max="8964" width="17.85546875" style="78"/>
    <col min="8965" max="8965" width="18.7109375" style="78" customWidth="1"/>
    <col min="8966" max="8966" width="1.7109375" style="78" customWidth="1"/>
    <col min="8967" max="8967" width="0.85546875" style="78" customWidth="1"/>
    <col min="8968" max="8988" width="0" style="78" hidden="1" customWidth="1"/>
    <col min="8989" max="9000" width="8.7109375" style="78" customWidth="1"/>
    <col min="9001" max="9004" width="0" style="78" hidden="1" customWidth="1"/>
    <col min="9005" max="9005" width="45.140625" style="78" customWidth="1"/>
    <col min="9006" max="9009" width="17.85546875" style="78"/>
    <col min="9010" max="9018" width="5.42578125" style="78" customWidth="1"/>
    <col min="9019" max="9023" width="6" style="78" customWidth="1"/>
    <col min="9024" max="9024" width="6.85546875" style="78" customWidth="1"/>
    <col min="9025" max="9025" width="5.42578125" style="78" customWidth="1"/>
    <col min="9026" max="9220" width="17.85546875" style="78"/>
    <col min="9221" max="9221" width="18.7109375" style="78" customWidth="1"/>
    <col min="9222" max="9222" width="1.7109375" style="78" customWidth="1"/>
    <col min="9223" max="9223" width="0.85546875" style="78" customWidth="1"/>
    <col min="9224" max="9244" width="0" style="78" hidden="1" customWidth="1"/>
    <col min="9245" max="9256" width="8.7109375" style="78" customWidth="1"/>
    <col min="9257" max="9260" width="0" style="78" hidden="1" customWidth="1"/>
    <col min="9261" max="9261" width="45.140625" style="78" customWidth="1"/>
    <col min="9262" max="9265" width="17.85546875" style="78"/>
    <col min="9266" max="9274" width="5.42578125" style="78" customWidth="1"/>
    <col min="9275" max="9279" width="6" style="78" customWidth="1"/>
    <col min="9280" max="9280" width="6.85546875" style="78" customWidth="1"/>
    <col min="9281" max="9281" width="5.42578125" style="78" customWidth="1"/>
    <col min="9282" max="9476" width="17.85546875" style="78"/>
    <col min="9477" max="9477" width="18.7109375" style="78" customWidth="1"/>
    <col min="9478" max="9478" width="1.7109375" style="78" customWidth="1"/>
    <col min="9479" max="9479" width="0.85546875" style="78" customWidth="1"/>
    <col min="9480" max="9500" width="0" style="78" hidden="1" customWidth="1"/>
    <col min="9501" max="9512" width="8.7109375" style="78" customWidth="1"/>
    <col min="9513" max="9516" width="0" style="78" hidden="1" customWidth="1"/>
    <col min="9517" max="9517" width="45.140625" style="78" customWidth="1"/>
    <col min="9518" max="9521" width="17.85546875" style="78"/>
    <col min="9522" max="9530" width="5.42578125" style="78" customWidth="1"/>
    <col min="9531" max="9535" width="6" style="78" customWidth="1"/>
    <col min="9536" max="9536" width="6.85546875" style="78" customWidth="1"/>
    <col min="9537" max="9537" width="5.42578125" style="78" customWidth="1"/>
    <col min="9538" max="9732" width="17.85546875" style="78"/>
    <col min="9733" max="9733" width="18.7109375" style="78" customWidth="1"/>
    <col min="9734" max="9734" width="1.7109375" style="78" customWidth="1"/>
    <col min="9735" max="9735" width="0.85546875" style="78" customWidth="1"/>
    <col min="9736" max="9756" width="0" style="78" hidden="1" customWidth="1"/>
    <col min="9757" max="9768" width="8.7109375" style="78" customWidth="1"/>
    <col min="9769" max="9772" width="0" style="78" hidden="1" customWidth="1"/>
    <col min="9773" max="9773" width="45.140625" style="78" customWidth="1"/>
    <col min="9774" max="9777" width="17.85546875" style="78"/>
    <col min="9778" max="9786" width="5.42578125" style="78" customWidth="1"/>
    <col min="9787" max="9791" width="6" style="78" customWidth="1"/>
    <col min="9792" max="9792" width="6.85546875" style="78" customWidth="1"/>
    <col min="9793" max="9793" width="5.42578125" style="78" customWidth="1"/>
    <col min="9794" max="9988" width="17.85546875" style="78"/>
    <col min="9989" max="9989" width="18.7109375" style="78" customWidth="1"/>
    <col min="9990" max="9990" width="1.7109375" style="78" customWidth="1"/>
    <col min="9991" max="9991" width="0.85546875" style="78" customWidth="1"/>
    <col min="9992" max="10012" width="0" style="78" hidden="1" customWidth="1"/>
    <col min="10013" max="10024" width="8.7109375" style="78" customWidth="1"/>
    <col min="10025" max="10028" width="0" style="78" hidden="1" customWidth="1"/>
    <col min="10029" max="10029" width="45.140625" style="78" customWidth="1"/>
    <col min="10030" max="10033" width="17.85546875" style="78"/>
    <col min="10034" max="10042" width="5.42578125" style="78" customWidth="1"/>
    <col min="10043" max="10047" width="6" style="78" customWidth="1"/>
    <col min="10048" max="10048" width="6.85546875" style="78" customWidth="1"/>
    <col min="10049" max="10049" width="5.42578125" style="78" customWidth="1"/>
    <col min="10050" max="10244" width="17.85546875" style="78"/>
    <col min="10245" max="10245" width="18.7109375" style="78" customWidth="1"/>
    <col min="10246" max="10246" width="1.7109375" style="78" customWidth="1"/>
    <col min="10247" max="10247" width="0.85546875" style="78" customWidth="1"/>
    <col min="10248" max="10268" width="0" style="78" hidden="1" customWidth="1"/>
    <col min="10269" max="10280" width="8.7109375" style="78" customWidth="1"/>
    <col min="10281" max="10284" width="0" style="78" hidden="1" customWidth="1"/>
    <col min="10285" max="10285" width="45.140625" style="78" customWidth="1"/>
    <col min="10286" max="10289" width="17.85546875" style="78"/>
    <col min="10290" max="10298" width="5.42578125" style="78" customWidth="1"/>
    <col min="10299" max="10303" width="6" style="78" customWidth="1"/>
    <col min="10304" max="10304" width="6.85546875" style="78" customWidth="1"/>
    <col min="10305" max="10305" width="5.42578125" style="78" customWidth="1"/>
    <col min="10306" max="10500" width="17.85546875" style="78"/>
    <col min="10501" max="10501" width="18.7109375" style="78" customWidth="1"/>
    <col min="10502" max="10502" width="1.7109375" style="78" customWidth="1"/>
    <col min="10503" max="10503" width="0.85546875" style="78" customWidth="1"/>
    <col min="10504" max="10524" width="0" style="78" hidden="1" customWidth="1"/>
    <col min="10525" max="10536" width="8.7109375" style="78" customWidth="1"/>
    <col min="10537" max="10540" width="0" style="78" hidden="1" customWidth="1"/>
    <col min="10541" max="10541" width="45.140625" style="78" customWidth="1"/>
    <col min="10542" max="10545" width="17.85546875" style="78"/>
    <col min="10546" max="10554" width="5.42578125" style="78" customWidth="1"/>
    <col min="10555" max="10559" width="6" style="78" customWidth="1"/>
    <col min="10560" max="10560" width="6.85546875" style="78" customWidth="1"/>
    <col min="10561" max="10561" width="5.42578125" style="78" customWidth="1"/>
    <col min="10562" max="10756" width="17.85546875" style="78"/>
    <col min="10757" max="10757" width="18.7109375" style="78" customWidth="1"/>
    <col min="10758" max="10758" width="1.7109375" style="78" customWidth="1"/>
    <col min="10759" max="10759" width="0.85546875" style="78" customWidth="1"/>
    <col min="10760" max="10780" width="0" style="78" hidden="1" customWidth="1"/>
    <col min="10781" max="10792" width="8.7109375" style="78" customWidth="1"/>
    <col min="10793" max="10796" width="0" style="78" hidden="1" customWidth="1"/>
    <col min="10797" max="10797" width="45.140625" style="78" customWidth="1"/>
    <col min="10798" max="10801" width="17.85546875" style="78"/>
    <col min="10802" max="10810" width="5.42578125" style="78" customWidth="1"/>
    <col min="10811" max="10815" width="6" style="78" customWidth="1"/>
    <col min="10816" max="10816" width="6.85546875" style="78" customWidth="1"/>
    <col min="10817" max="10817" width="5.42578125" style="78" customWidth="1"/>
    <col min="10818" max="11012" width="17.85546875" style="78"/>
    <col min="11013" max="11013" width="18.7109375" style="78" customWidth="1"/>
    <col min="11014" max="11014" width="1.7109375" style="78" customWidth="1"/>
    <col min="11015" max="11015" width="0.85546875" style="78" customWidth="1"/>
    <col min="11016" max="11036" width="0" style="78" hidden="1" customWidth="1"/>
    <col min="11037" max="11048" width="8.7109375" style="78" customWidth="1"/>
    <col min="11049" max="11052" width="0" style="78" hidden="1" customWidth="1"/>
    <col min="11053" max="11053" width="45.140625" style="78" customWidth="1"/>
    <col min="11054" max="11057" width="17.85546875" style="78"/>
    <col min="11058" max="11066" width="5.42578125" style="78" customWidth="1"/>
    <col min="11067" max="11071" width="6" style="78" customWidth="1"/>
    <col min="11072" max="11072" width="6.85546875" style="78" customWidth="1"/>
    <col min="11073" max="11073" width="5.42578125" style="78" customWidth="1"/>
    <col min="11074" max="11268" width="17.85546875" style="78"/>
    <col min="11269" max="11269" width="18.7109375" style="78" customWidth="1"/>
    <col min="11270" max="11270" width="1.7109375" style="78" customWidth="1"/>
    <col min="11271" max="11271" width="0.85546875" style="78" customWidth="1"/>
    <col min="11272" max="11292" width="0" style="78" hidden="1" customWidth="1"/>
    <col min="11293" max="11304" width="8.7109375" style="78" customWidth="1"/>
    <col min="11305" max="11308" width="0" style="78" hidden="1" customWidth="1"/>
    <col min="11309" max="11309" width="45.140625" style="78" customWidth="1"/>
    <col min="11310" max="11313" width="17.85546875" style="78"/>
    <col min="11314" max="11322" width="5.42578125" style="78" customWidth="1"/>
    <col min="11323" max="11327" width="6" style="78" customWidth="1"/>
    <col min="11328" max="11328" width="6.85546875" style="78" customWidth="1"/>
    <col min="11329" max="11329" width="5.42578125" style="78" customWidth="1"/>
    <col min="11330" max="11524" width="17.85546875" style="78"/>
    <col min="11525" max="11525" width="18.7109375" style="78" customWidth="1"/>
    <col min="11526" max="11526" width="1.7109375" style="78" customWidth="1"/>
    <col min="11527" max="11527" width="0.85546875" style="78" customWidth="1"/>
    <col min="11528" max="11548" width="0" style="78" hidden="1" customWidth="1"/>
    <col min="11549" max="11560" width="8.7109375" style="78" customWidth="1"/>
    <col min="11561" max="11564" width="0" style="78" hidden="1" customWidth="1"/>
    <col min="11565" max="11565" width="45.140625" style="78" customWidth="1"/>
    <col min="11566" max="11569" width="17.85546875" style="78"/>
    <col min="11570" max="11578" width="5.42578125" style="78" customWidth="1"/>
    <col min="11579" max="11583" width="6" style="78" customWidth="1"/>
    <col min="11584" max="11584" width="6.85546875" style="78" customWidth="1"/>
    <col min="11585" max="11585" width="5.42578125" style="78" customWidth="1"/>
    <col min="11586" max="11780" width="17.85546875" style="78"/>
    <col min="11781" max="11781" width="18.7109375" style="78" customWidth="1"/>
    <col min="11782" max="11782" width="1.7109375" style="78" customWidth="1"/>
    <col min="11783" max="11783" width="0.85546875" style="78" customWidth="1"/>
    <col min="11784" max="11804" width="0" style="78" hidden="1" customWidth="1"/>
    <col min="11805" max="11816" width="8.7109375" style="78" customWidth="1"/>
    <col min="11817" max="11820" width="0" style="78" hidden="1" customWidth="1"/>
    <col min="11821" max="11821" width="45.140625" style="78" customWidth="1"/>
    <col min="11822" max="11825" width="17.85546875" style="78"/>
    <col min="11826" max="11834" width="5.42578125" style="78" customWidth="1"/>
    <col min="11835" max="11839" width="6" style="78" customWidth="1"/>
    <col min="11840" max="11840" width="6.85546875" style="78" customWidth="1"/>
    <col min="11841" max="11841" width="5.42578125" style="78" customWidth="1"/>
    <col min="11842" max="12036" width="17.85546875" style="78"/>
    <col min="12037" max="12037" width="18.7109375" style="78" customWidth="1"/>
    <col min="12038" max="12038" width="1.7109375" style="78" customWidth="1"/>
    <col min="12039" max="12039" width="0.85546875" style="78" customWidth="1"/>
    <col min="12040" max="12060" width="0" style="78" hidden="1" customWidth="1"/>
    <col min="12061" max="12072" width="8.7109375" style="78" customWidth="1"/>
    <col min="12073" max="12076" width="0" style="78" hidden="1" customWidth="1"/>
    <col min="12077" max="12077" width="45.140625" style="78" customWidth="1"/>
    <col min="12078" max="12081" width="17.85546875" style="78"/>
    <col min="12082" max="12090" width="5.42578125" style="78" customWidth="1"/>
    <col min="12091" max="12095" width="6" style="78" customWidth="1"/>
    <col min="12096" max="12096" width="6.85546875" style="78" customWidth="1"/>
    <col min="12097" max="12097" width="5.42578125" style="78" customWidth="1"/>
    <col min="12098" max="12292" width="17.85546875" style="78"/>
    <col min="12293" max="12293" width="18.7109375" style="78" customWidth="1"/>
    <col min="12294" max="12294" width="1.7109375" style="78" customWidth="1"/>
    <col min="12295" max="12295" width="0.85546875" style="78" customWidth="1"/>
    <col min="12296" max="12316" width="0" style="78" hidden="1" customWidth="1"/>
    <col min="12317" max="12328" width="8.7109375" style="78" customWidth="1"/>
    <col min="12329" max="12332" width="0" style="78" hidden="1" customWidth="1"/>
    <col min="12333" max="12333" width="45.140625" style="78" customWidth="1"/>
    <col min="12334" max="12337" width="17.85546875" style="78"/>
    <col min="12338" max="12346" width="5.42578125" style="78" customWidth="1"/>
    <col min="12347" max="12351" width="6" style="78" customWidth="1"/>
    <col min="12352" max="12352" width="6.85546875" style="78" customWidth="1"/>
    <col min="12353" max="12353" width="5.42578125" style="78" customWidth="1"/>
    <col min="12354" max="12548" width="17.85546875" style="78"/>
    <col min="12549" max="12549" width="18.7109375" style="78" customWidth="1"/>
    <col min="12550" max="12550" width="1.7109375" style="78" customWidth="1"/>
    <col min="12551" max="12551" width="0.85546875" style="78" customWidth="1"/>
    <col min="12552" max="12572" width="0" style="78" hidden="1" customWidth="1"/>
    <col min="12573" max="12584" width="8.7109375" style="78" customWidth="1"/>
    <col min="12585" max="12588" width="0" style="78" hidden="1" customWidth="1"/>
    <col min="12589" max="12589" width="45.140625" style="78" customWidth="1"/>
    <col min="12590" max="12593" width="17.85546875" style="78"/>
    <col min="12594" max="12602" width="5.42578125" style="78" customWidth="1"/>
    <col min="12603" max="12607" width="6" style="78" customWidth="1"/>
    <col min="12608" max="12608" width="6.85546875" style="78" customWidth="1"/>
    <col min="12609" max="12609" width="5.42578125" style="78" customWidth="1"/>
    <col min="12610" max="12804" width="17.85546875" style="78"/>
    <col min="12805" max="12805" width="18.7109375" style="78" customWidth="1"/>
    <col min="12806" max="12806" width="1.7109375" style="78" customWidth="1"/>
    <col min="12807" max="12807" width="0.85546875" style="78" customWidth="1"/>
    <col min="12808" max="12828" width="0" style="78" hidden="1" customWidth="1"/>
    <col min="12829" max="12840" width="8.7109375" style="78" customWidth="1"/>
    <col min="12841" max="12844" width="0" style="78" hidden="1" customWidth="1"/>
    <col min="12845" max="12845" width="45.140625" style="78" customWidth="1"/>
    <col min="12846" max="12849" width="17.85546875" style="78"/>
    <col min="12850" max="12858" width="5.42578125" style="78" customWidth="1"/>
    <col min="12859" max="12863" width="6" style="78" customWidth="1"/>
    <col min="12864" max="12864" width="6.85546875" style="78" customWidth="1"/>
    <col min="12865" max="12865" width="5.42578125" style="78" customWidth="1"/>
    <col min="12866" max="13060" width="17.85546875" style="78"/>
    <col min="13061" max="13061" width="18.7109375" style="78" customWidth="1"/>
    <col min="13062" max="13062" width="1.7109375" style="78" customWidth="1"/>
    <col min="13063" max="13063" width="0.85546875" style="78" customWidth="1"/>
    <col min="13064" max="13084" width="0" style="78" hidden="1" customWidth="1"/>
    <col min="13085" max="13096" width="8.7109375" style="78" customWidth="1"/>
    <col min="13097" max="13100" width="0" style="78" hidden="1" customWidth="1"/>
    <col min="13101" max="13101" width="45.140625" style="78" customWidth="1"/>
    <col min="13102" max="13105" width="17.85546875" style="78"/>
    <col min="13106" max="13114" width="5.42578125" style="78" customWidth="1"/>
    <col min="13115" max="13119" width="6" style="78" customWidth="1"/>
    <col min="13120" max="13120" width="6.85546875" style="78" customWidth="1"/>
    <col min="13121" max="13121" width="5.42578125" style="78" customWidth="1"/>
    <col min="13122" max="13316" width="17.85546875" style="78"/>
    <col min="13317" max="13317" width="18.7109375" style="78" customWidth="1"/>
    <col min="13318" max="13318" width="1.7109375" style="78" customWidth="1"/>
    <col min="13319" max="13319" width="0.85546875" style="78" customWidth="1"/>
    <col min="13320" max="13340" width="0" style="78" hidden="1" customWidth="1"/>
    <col min="13341" max="13352" width="8.7109375" style="78" customWidth="1"/>
    <col min="13353" max="13356" width="0" style="78" hidden="1" customWidth="1"/>
    <col min="13357" max="13357" width="45.140625" style="78" customWidth="1"/>
    <col min="13358" max="13361" width="17.85546875" style="78"/>
    <col min="13362" max="13370" width="5.42578125" style="78" customWidth="1"/>
    <col min="13371" max="13375" width="6" style="78" customWidth="1"/>
    <col min="13376" max="13376" width="6.85546875" style="78" customWidth="1"/>
    <col min="13377" max="13377" width="5.42578125" style="78" customWidth="1"/>
    <col min="13378" max="13572" width="17.85546875" style="78"/>
    <col min="13573" max="13573" width="18.7109375" style="78" customWidth="1"/>
    <col min="13574" max="13574" width="1.7109375" style="78" customWidth="1"/>
    <col min="13575" max="13575" width="0.85546875" style="78" customWidth="1"/>
    <col min="13576" max="13596" width="0" style="78" hidden="1" customWidth="1"/>
    <col min="13597" max="13608" width="8.7109375" style="78" customWidth="1"/>
    <col min="13609" max="13612" width="0" style="78" hidden="1" customWidth="1"/>
    <col min="13613" max="13613" width="45.140625" style="78" customWidth="1"/>
    <col min="13614" max="13617" width="17.85546875" style="78"/>
    <col min="13618" max="13626" width="5.42578125" style="78" customWidth="1"/>
    <col min="13627" max="13631" width="6" style="78" customWidth="1"/>
    <col min="13632" max="13632" width="6.85546875" style="78" customWidth="1"/>
    <col min="13633" max="13633" width="5.42578125" style="78" customWidth="1"/>
    <col min="13634" max="13828" width="17.85546875" style="78"/>
    <col min="13829" max="13829" width="18.7109375" style="78" customWidth="1"/>
    <col min="13830" max="13830" width="1.7109375" style="78" customWidth="1"/>
    <col min="13831" max="13831" width="0.85546875" style="78" customWidth="1"/>
    <col min="13832" max="13852" width="0" style="78" hidden="1" customWidth="1"/>
    <col min="13853" max="13864" width="8.7109375" style="78" customWidth="1"/>
    <col min="13865" max="13868" width="0" style="78" hidden="1" customWidth="1"/>
    <col min="13869" max="13869" width="45.140625" style="78" customWidth="1"/>
    <col min="13870" max="13873" width="17.85546875" style="78"/>
    <col min="13874" max="13882" width="5.42578125" style="78" customWidth="1"/>
    <col min="13883" max="13887" width="6" style="78" customWidth="1"/>
    <col min="13888" max="13888" width="6.85546875" style="78" customWidth="1"/>
    <col min="13889" max="13889" width="5.42578125" style="78" customWidth="1"/>
    <col min="13890" max="14084" width="17.85546875" style="78"/>
    <col min="14085" max="14085" width="18.7109375" style="78" customWidth="1"/>
    <col min="14086" max="14086" width="1.7109375" style="78" customWidth="1"/>
    <col min="14087" max="14087" width="0.85546875" style="78" customWidth="1"/>
    <col min="14088" max="14108" width="0" style="78" hidden="1" customWidth="1"/>
    <col min="14109" max="14120" width="8.7109375" style="78" customWidth="1"/>
    <col min="14121" max="14124" width="0" style="78" hidden="1" customWidth="1"/>
    <col min="14125" max="14125" width="45.140625" style="78" customWidth="1"/>
    <col min="14126" max="14129" width="17.85546875" style="78"/>
    <col min="14130" max="14138" width="5.42578125" style="78" customWidth="1"/>
    <col min="14139" max="14143" width="6" style="78" customWidth="1"/>
    <col min="14144" max="14144" width="6.85546875" style="78" customWidth="1"/>
    <col min="14145" max="14145" width="5.42578125" style="78" customWidth="1"/>
    <col min="14146" max="14340" width="17.85546875" style="78"/>
    <col min="14341" max="14341" width="18.7109375" style="78" customWidth="1"/>
    <col min="14342" max="14342" width="1.7109375" style="78" customWidth="1"/>
    <col min="14343" max="14343" width="0.85546875" style="78" customWidth="1"/>
    <col min="14344" max="14364" width="0" style="78" hidden="1" customWidth="1"/>
    <col min="14365" max="14376" width="8.7109375" style="78" customWidth="1"/>
    <col min="14377" max="14380" width="0" style="78" hidden="1" customWidth="1"/>
    <col min="14381" max="14381" width="45.140625" style="78" customWidth="1"/>
    <col min="14382" max="14385" width="17.85546875" style="78"/>
    <col min="14386" max="14394" width="5.42578125" style="78" customWidth="1"/>
    <col min="14395" max="14399" width="6" style="78" customWidth="1"/>
    <col min="14400" max="14400" width="6.85546875" style="78" customWidth="1"/>
    <col min="14401" max="14401" width="5.42578125" style="78" customWidth="1"/>
    <col min="14402" max="14596" width="17.85546875" style="78"/>
    <col min="14597" max="14597" width="18.7109375" style="78" customWidth="1"/>
    <col min="14598" max="14598" width="1.7109375" style="78" customWidth="1"/>
    <col min="14599" max="14599" width="0.85546875" style="78" customWidth="1"/>
    <col min="14600" max="14620" width="0" style="78" hidden="1" customWidth="1"/>
    <col min="14621" max="14632" width="8.7109375" style="78" customWidth="1"/>
    <col min="14633" max="14636" width="0" style="78" hidden="1" customWidth="1"/>
    <col min="14637" max="14637" width="45.140625" style="78" customWidth="1"/>
    <col min="14638" max="14641" width="17.85546875" style="78"/>
    <col min="14642" max="14650" width="5.42578125" style="78" customWidth="1"/>
    <col min="14651" max="14655" width="6" style="78" customWidth="1"/>
    <col min="14656" max="14656" width="6.85546875" style="78" customWidth="1"/>
    <col min="14657" max="14657" width="5.42578125" style="78" customWidth="1"/>
    <col min="14658" max="14852" width="17.85546875" style="78"/>
    <col min="14853" max="14853" width="18.7109375" style="78" customWidth="1"/>
    <col min="14854" max="14854" width="1.7109375" style="78" customWidth="1"/>
    <col min="14855" max="14855" width="0.85546875" style="78" customWidth="1"/>
    <col min="14856" max="14876" width="0" style="78" hidden="1" customWidth="1"/>
    <col min="14877" max="14888" width="8.7109375" style="78" customWidth="1"/>
    <col min="14889" max="14892" width="0" style="78" hidden="1" customWidth="1"/>
    <col min="14893" max="14893" width="45.140625" style="78" customWidth="1"/>
    <col min="14894" max="14897" width="17.85546875" style="78"/>
    <col min="14898" max="14906" width="5.42578125" style="78" customWidth="1"/>
    <col min="14907" max="14911" width="6" style="78" customWidth="1"/>
    <col min="14912" max="14912" width="6.85546875" style="78" customWidth="1"/>
    <col min="14913" max="14913" width="5.42578125" style="78" customWidth="1"/>
    <col min="14914" max="15108" width="17.85546875" style="78"/>
    <col min="15109" max="15109" width="18.7109375" style="78" customWidth="1"/>
    <col min="15110" max="15110" width="1.7109375" style="78" customWidth="1"/>
    <col min="15111" max="15111" width="0.85546875" style="78" customWidth="1"/>
    <col min="15112" max="15132" width="0" style="78" hidden="1" customWidth="1"/>
    <col min="15133" max="15144" width="8.7109375" style="78" customWidth="1"/>
    <col min="15145" max="15148" width="0" style="78" hidden="1" customWidth="1"/>
    <col min="15149" max="15149" width="45.140625" style="78" customWidth="1"/>
    <col min="15150" max="15153" width="17.85546875" style="78"/>
    <col min="15154" max="15162" width="5.42578125" style="78" customWidth="1"/>
    <col min="15163" max="15167" width="6" style="78" customWidth="1"/>
    <col min="15168" max="15168" width="6.85546875" style="78" customWidth="1"/>
    <col min="15169" max="15169" width="5.42578125" style="78" customWidth="1"/>
    <col min="15170" max="15364" width="17.85546875" style="78"/>
    <col min="15365" max="15365" width="18.7109375" style="78" customWidth="1"/>
    <col min="15366" max="15366" width="1.7109375" style="78" customWidth="1"/>
    <col min="15367" max="15367" width="0.85546875" style="78" customWidth="1"/>
    <col min="15368" max="15388" width="0" style="78" hidden="1" customWidth="1"/>
    <col min="15389" max="15400" width="8.7109375" style="78" customWidth="1"/>
    <col min="15401" max="15404" width="0" style="78" hidden="1" customWidth="1"/>
    <col min="15405" max="15405" width="45.140625" style="78" customWidth="1"/>
    <col min="15406" max="15409" width="17.85546875" style="78"/>
    <col min="15410" max="15418" width="5.42578125" style="78" customWidth="1"/>
    <col min="15419" max="15423" width="6" style="78" customWidth="1"/>
    <col min="15424" max="15424" width="6.85546875" style="78" customWidth="1"/>
    <col min="15425" max="15425" width="5.42578125" style="78" customWidth="1"/>
    <col min="15426" max="15620" width="17.85546875" style="78"/>
    <col min="15621" max="15621" width="18.7109375" style="78" customWidth="1"/>
    <col min="15622" max="15622" width="1.7109375" style="78" customWidth="1"/>
    <col min="15623" max="15623" width="0.85546875" style="78" customWidth="1"/>
    <col min="15624" max="15644" width="0" style="78" hidden="1" customWidth="1"/>
    <col min="15645" max="15656" width="8.7109375" style="78" customWidth="1"/>
    <col min="15657" max="15660" width="0" style="78" hidden="1" customWidth="1"/>
    <col min="15661" max="15661" width="45.140625" style="78" customWidth="1"/>
    <col min="15662" max="15665" width="17.85546875" style="78"/>
    <col min="15666" max="15674" width="5.42578125" style="78" customWidth="1"/>
    <col min="15675" max="15679" width="6" style="78" customWidth="1"/>
    <col min="15680" max="15680" width="6.85546875" style="78" customWidth="1"/>
    <col min="15681" max="15681" width="5.42578125" style="78" customWidth="1"/>
    <col min="15682" max="15876" width="17.85546875" style="78"/>
    <col min="15877" max="15877" width="18.7109375" style="78" customWidth="1"/>
    <col min="15878" max="15878" width="1.7109375" style="78" customWidth="1"/>
    <col min="15879" max="15879" width="0.85546875" style="78" customWidth="1"/>
    <col min="15880" max="15900" width="0" style="78" hidden="1" customWidth="1"/>
    <col min="15901" max="15912" width="8.7109375" style="78" customWidth="1"/>
    <col min="15913" max="15916" width="0" style="78" hidden="1" customWidth="1"/>
    <col min="15917" max="15917" width="45.140625" style="78" customWidth="1"/>
    <col min="15918" max="15921" width="17.85546875" style="78"/>
    <col min="15922" max="15930" width="5.42578125" style="78" customWidth="1"/>
    <col min="15931" max="15935" width="6" style="78" customWidth="1"/>
    <col min="15936" max="15936" width="6.85546875" style="78" customWidth="1"/>
    <col min="15937" max="15937" width="5.42578125" style="78" customWidth="1"/>
    <col min="15938" max="16132" width="17.85546875" style="78"/>
    <col min="16133" max="16133" width="18.7109375" style="78" customWidth="1"/>
    <col min="16134" max="16134" width="1.7109375" style="78" customWidth="1"/>
    <col min="16135" max="16135" width="0.85546875" style="78" customWidth="1"/>
    <col min="16136" max="16156" width="0" style="78" hidden="1" customWidth="1"/>
    <col min="16157" max="16168" width="8.7109375" style="78" customWidth="1"/>
    <col min="16169" max="16172" width="0" style="78" hidden="1" customWidth="1"/>
    <col min="16173" max="16173" width="45.140625" style="78" customWidth="1"/>
    <col min="16174" max="16177" width="17.85546875" style="78"/>
    <col min="16178" max="16186" width="5.42578125" style="78" customWidth="1"/>
    <col min="16187" max="16191" width="6" style="78" customWidth="1"/>
    <col min="16192" max="16192" width="6.85546875" style="78" customWidth="1"/>
    <col min="16193" max="16193" width="5.42578125" style="78" customWidth="1"/>
    <col min="16194" max="16384" width="17.85546875" style="78"/>
  </cols>
  <sheetData>
    <row r="1" spans="1:53" ht="15.75">
      <c r="A1" s="253" t="s">
        <v>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</row>
    <row r="2" spans="1:53" ht="21.75" customHeight="1">
      <c r="A2" s="254" t="s">
        <v>87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</row>
    <row r="3" spans="1:53" s="82" customFormat="1" ht="12.75">
      <c r="A3" s="255" t="s">
        <v>54</v>
      </c>
      <c r="B3" s="79"/>
      <c r="C3" s="80"/>
      <c r="D3" s="249">
        <v>2011</v>
      </c>
      <c r="E3" s="249"/>
      <c r="F3" s="249"/>
      <c r="G3" s="249"/>
      <c r="H3" s="80"/>
      <c r="I3" s="81"/>
      <c r="J3" s="249">
        <v>2012</v>
      </c>
      <c r="K3" s="249"/>
      <c r="L3" s="249"/>
      <c r="M3" s="249"/>
      <c r="N3" s="80"/>
      <c r="O3" s="249">
        <v>2013</v>
      </c>
      <c r="P3" s="249"/>
      <c r="Q3" s="249"/>
      <c r="R3" s="249"/>
      <c r="S3" s="80"/>
      <c r="T3" s="249">
        <v>2014</v>
      </c>
      <c r="U3" s="249"/>
      <c r="V3" s="249"/>
      <c r="W3" s="249"/>
      <c r="X3" s="80"/>
      <c r="Y3" s="248">
        <v>2015</v>
      </c>
      <c r="Z3" s="249"/>
      <c r="AA3" s="249"/>
      <c r="AB3" s="249"/>
      <c r="AC3" s="248">
        <v>2016</v>
      </c>
      <c r="AD3" s="249"/>
      <c r="AE3" s="249"/>
      <c r="AF3" s="249"/>
      <c r="AG3" s="248">
        <v>2017</v>
      </c>
      <c r="AH3" s="249"/>
      <c r="AI3" s="249"/>
      <c r="AJ3" s="249"/>
      <c r="AK3" s="248">
        <v>2018</v>
      </c>
      <c r="AL3" s="249"/>
      <c r="AM3" s="249"/>
      <c r="AN3" s="249"/>
      <c r="AO3" s="248">
        <v>2019</v>
      </c>
      <c r="AP3" s="249"/>
      <c r="AQ3" s="249"/>
      <c r="AR3" s="249"/>
      <c r="AS3" s="250" t="s">
        <v>55</v>
      </c>
    </row>
    <row r="4" spans="1:53" s="82" customFormat="1" ht="12.75">
      <c r="A4" s="256"/>
      <c r="B4" s="83"/>
      <c r="C4" s="83"/>
      <c r="D4" s="83" t="s">
        <v>49</v>
      </c>
      <c r="E4" s="83" t="s">
        <v>51</v>
      </c>
      <c r="F4" s="83" t="s">
        <v>52</v>
      </c>
      <c r="G4" s="83" t="s">
        <v>56</v>
      </c>
      <c r="H4" s="83"/>
      <c r="I4" s="84"/>
      <c r="J4" s="85" t="s">
        <v>49</v>
      </c>
      <c r="K4" s="85" t="s">
        <v>51</v>
      </c>
      <c r="L4" s="85" t="s">
        <v>52</v>
      </c>
      <c r="M4" s="85" t="s">
        <v>56</v>
      </c>
      <c r="N4" s="85"/>
      <c r="O4" s="86" t="s">
        <v>49</v>
      </c>
      <c r="P4" s="86" t="s">
        <v>51</v>
      </c>
      <c r="Q4" s="86" t="s">
        <v>52</v>
      </c>
      <c r="R4" s="86" t="s">
        <v>56</v>
      </c>
      <c r="S4" s="86"/>
      <c r="T4" s="86" t="s">
        <v>49</v>
      </c>
      <c r="U4" s="86" t="s">
        <v>51</v>
      </c>
      <c r="V4" s="86" t="s">
        <v>52</v>
      </c>
      <c r="W4" s="86" t="s">
        <v>56</v>
      </c>
      <c r="X4" s="86"/>
      <c r="Y4" s="87" t="s">
        <v>49</v>
      </c>
      <c r="Z4" s="86" t="s">
        <v>51</v>
      </c>
      <c r="AA4" s="86" t="s">
        <v>52</v>
      </c>
      <c r="AB4" s="86" t="s">
        <v>56</v>
      </c>
      <c r="AC4" s="87" t="s">
        <v>49</v>
      </c>
      <c r="AD4" s="86" t="s">
        <v>51</v>
      </c>
      <c r="AE4" s="86" t="s">
        <v>52</v>
      </c>
      <c r="AF4" s="86" t="s">
        <v>56</v>
      </c>
      <c r="AG4" s="87" t="s">
        <v>49</v>
      </c>
      <c r="AH4" s="86" t="s">
        <v>51</v>
      </c>
      <c r="AI4" s="86" t="s">
        <v>52</v>
      </c>
      <c r="AJ4" s="86" t="s">
        <v>56</v>
      </c>
      <c r="AK4" s="87" t="s">
        <v>49</v>
      </c>
      <c r="AL4" s="86" t="s">
        <v>51</v>
      </c>
      <c r="AM4" s="86" t="s">
        <v>52</v>
      </c>
      <c r="AN4" s="86" t="s">
        <v>56</v>
      </c>
      <c r="AO4" s="87" t="s">
        <v>49</v>
      </c>
      <c r="AP4" s="86" t="s">
        <v>51</v>
      </c>
      <c r="AQ4" s="86" t="s">
        <v>52</v>
      </c>
      <c r="AR4" s="86" t="s">
        <v>56</v>
      </c>
      <c r="AS4" s="251"/>
    </row>
    <row r="5" spans="1:53" s="92" customFormat="1" ht="15.75">
      <c r="A5" s="88" t="s">
        <v>57</v>
      </c>
      <c r="B5" s="89"/>
      <c r="C5" s="90"/>
      <c r="D5" s="90">
        <f>SUM(D6:D7)</f>
        <v>7182</v>
      </c>
      <c r="E5" s="90">
        <f>SUM(E6:E7)</f>
        <v>3989</v>
      </c>
      <c r="F5" s="90">
        <f>SUM(F6:F7)</f>
        <v>3156</v>
      </c>
      <c r="G5" s="90">
        <f>SUM(G6:G7)</f>
        <v>37</v>
      </c>
      <c r="H5" s="90"/>
      <c r="I5" s="91"/>
      <c r="J5" s="90">
        <f t="shared" ref="J5:R5" si="0">SUM(J6:J7)</f>
        <v>7431</v>
      </c>
      <c r="K5" s="90">
        <f t="shared" si="0"/>
        <v>4460</v>
      </c>
      <c r="L5" s="90">
        <f t="shared" si="0"/>
        <v>2676</v>
      </c>
      <c r="M5" s="90">
        <f t="shared" si="0"/>
        <v>295</v>
      </c>
      <c r="N5" s="90"/>
      <c r="O5" s="90">
        <f t="shared" si="0"/>
        <v>7153</v>
      </c>
      <c r="P5" s="90">
        <f t="shared" si="0"/>
        <v>4698</v>
      </c>
      <c r="Q5" s="90">
        <f t="shared" si="0"/>
        <v>2172</v>
      </c>
      <c r="R5" s="90">
        <f t="shared" si="0"/>
        <v>283</v>
      </c>
      <c r="S5" s="90"/>
      <c r="T5" s="90">
        <f>SUM(T6:T7)</f>
        <v>7245</v>
      </c>
      <c r="U5" s="90">
        <f>SUM(U6:U7)</f>
        <v>4740</v>
      </c>
      <c r="V5" s="90">
        <f>SUM(V6:V7)</f>
        <v>2160</v>
      </c>
      <c r="W5" s="90">
        <f>SUM(W6:W7)</f>
        <v>345</v>
      </c>
      <c r="X5" s="90"/>
      <c r="Y5" s="91">
        <f>SUM(Y6:Y7)</f>
        <v>6986</v>
      </c>
      <c r="Z5" s="90">
        <f>SUM(Z6:Z7)</f>
        <v>4390</v>
      </c>
      <c r="AA5" s="90">
        <f>SUM(AA6:AA7)</f>
        <v>2223</v>
      </c>
      <c r="AB5" s="90">
        <f>SUM(AB6:AB7)</f>
        <v>373</v>
      </c>
      <c r="AC5" s="91">
        <f t="shared" ref="AC5:AC10" si="1">SUM(AD5:AF5)</f>
        <v>6756</v>
      </c>
      <c r="AD5" s="90">
        <f>SUM(AD6:AD7)</f>
        <v>4265</v>
      </c>
      <c r="AE5" s="90">
        <f>SUM(AE6:AE7)</f>
        <v>2147</v>
      </c>
      <c r="AF5" s="90">
        <f>SUM(AF6:AF7)</f>
        <v>344</v>
      </c>
      <c r="AG5" s="91">
        <f t="shared" ref="AG5:AG10" si="2">SUM(AH5:AJ5)</f>
        <v>6723</v>
      </c>
      <c r="AH5" s="90">
        <f>SUM(AH6:AH7)</f>
        <v>4180</v>
      </c>
      <c r="AI5" s="90">
        <f>SUM(AI6:AI7)</f>
        <v>2194</v>
      </c>
      <c r="AJ5" s="90">
        <f>SUM(AJ6:AJ7)</f>
        <v>349</v>
      </c>
      <c r="AK5" s="91">
        <f t="shared" ref="AK5:AK10" si="3">SUM(AL5:AN5)</f>
        <v>0</v>
      </c>
      <c r="AL5" s="90">
        <f>SUM(AL6:AL7)</f>
        <v>0</v>
      </c>
      <c r="AM5" s="90">
        <f>SUM(AM6:AM7)</f>
        <v>0</v>
      </c>
      <c r="AN5" s="90">
        <f>SUM(AN6:AN7)</f>
        <v>0</v>
      </c>
      <c r="AO5" s="91">
        <f t="shared" ref="AO5:AO10" si="4">SUM(AP5:AR5)</f>
        <v>0</v>
      </c>
      <c r="AP5" s="90">
        <f>SUM(AP6:AP7)</f>
        <v>0</v>
      </c>
      <c r="AQ5" s="90">
        <f>SUM(AQ6:AQ7)</f>
        <v>0</v>
      </c>
      <c r="AR5" s="90">
        <f>SUM(AR6:AR7)</f>
        <v>0</v>
      </c>
      <c r="AS5" s="243" t="s">
        <v>58</v>
      </c>
      <c r="AT5" s="73"/>
      <c r="AU5" s="73"/>
      <c r="AV5" s="73"/>
      <c r="AW5" s="73"/>
    </row>
    <row r="6" spans="1:53" s="100" customFormat="1" ht="15.75">
      <c r="A6" s="93" t="s">
        <v>59</v>
      </c>
      <c r="B6" s="94"/>
      <c r="C6" s="95"/>
      <c r="D6" s="96">
        <f>SUM(E6:G6)</f>
        <v>3797</v>
      </c>
      <c r="E6" s="95">
        <v>2048</v>
      </c>
      <c r="F6" s="95">
        <v>1723</v>
      </c>
      <c r="G6" s="97">
        <v>26</v>
      </c>
      <c r="H6" s="97"/>
      <c r="I6" s="98"/>
      <c r="J6" s="97">
        <v>3890</v>
      </c>
      <c r="K6" s="97">
        <v>2300</v>
      </c>
      <c r="L6" s="97">
        <v>1414</v>
      </c>
      <c r="M6" s="97">
        <v>176</v>
      </c>
      <c r="N6" s="97"/>
      <c r="O6" s="99">
        <f>SUM(P6:R6)</f>
        <v>3720</v>
      </c>
      <c r="P6" s="99">
        <v>2456</v>
      </c>
      <c r="Q6" s="99">
        <v>1118</v>
      </c>
      <c r="R6" s="99">
        <v>146</v>
      </c>
      <c r="S6" s="99"/>
      <c r="T6" s="99">
        <f>SUM(U6:W6)</f>
        <v>3706</v>
      </c>
      <c r="U6" s="99">
        <v>2434</v>
      </c>
      <c r="V6" s="99">
        <v>1092</v>
      </c>
      <c r="W6" s="99">
        <v>180</v>
      </c>
      <c r="X6" s="99"/>
      <c r="Y6" s="98">
        <f>SUM(Z6:AB6)</f>
        <v>3530</v>
      </c>
      <c r="Z6" s="99">
        <v>2205</v>
      </c>
      <c r="AA6" s="99">
        <v>1138</v>
      </c>
      <c r="AB6" s="99">
        <v>187</v>
      </c>
      <c r="AC6" s="98">
        <f t="shared" si="1"/>
        <v>3390</v>
      </c>
      <c r="AD6" s="99">
        <v>2153</v>
      </c>
      <c r="AE6" s="99">
        <v>1068</v>
      </c>
      <c r="AF6" s="99">
        <v>169</v>
      </c>
      <c r="AG6" s="98">
        <f t="shared" si="2"/>
        <v>3403</v>
      </c>
      <c r="AH6" s="74">
        <v>2151</v>
      </c>
      <c r="AI6" s="74">
        <v>1097</v>
      </c>
      <c r="AJ6" s="74">
        <v>155</v>
      </c>
      <c r="AK6" s="98">
        <f t="shared" si="3"/>
        <v>0</v>
      </c>
      <c r="AL6" s="232"/>
      <c r="AM6" s="232"/>
      <c r="AN6" s="232"/>
      <c r="AO6" s="98">
        <f t="shared" si="4"/>
        <v>0</v>
      </c>
      <c r="AP6" s="232"/>
      <c r="AQ6" s="232"/>
      <c r="AR6" s="232"/>
      <c r="AS6" s="244" t="s">
        <v>60</v>
      </c>
      <c r="AT6" s="73"/>
      <c r="AU6" s="74"/>
      <c r="AV6" s="74"/>
      <c r="AW6" s="74"/>
    </row>
    <row r="7" spans="1:53" s="100" customFormat="1" ht="15.75">
      <c r="A7" s="93" t="s">
        <v>61</v>
      </c>
      <c r="B7" s="94"/>
      <c r="C7" s="95"/>
      <c r="D7" s="96">
        <f>SUM(E7:G7)</f>
        <v>3385</v>
      </c>
      <c r="E7" s="95">
        <v>1941</v>
      </c>
      <c r="F7" s="95">
        <v>1433</v>
      </c>
      <c r="G7" s="97">
        <v>11</v>
      </c>
      <c r="H7" s="97"/>
      <c r="I7" s="98"/>
      <c r="J7" s="97">
        <v>3541</v>
      </c>
      <c r="K7" s="97">
        <v>2160</v>
      </c>
      <c r="L7" s="97">
        <v>1262</v>
      </c>
      <c r="M7" s="97">
        <v>119</v>
      </c>
      <c r="N7" s="97"/>
      <c r="O7" s="99">
        <f>SUM(P7:R7)</f>
        <v>3433</v>
      </c>
      <c r="P7" s="99">
        <v>2242</v>
      </c>
      <c r="Q7" s="99">
        <v>1054</v>
      </c>
      <c r="R7" s="99">
        <v>137</v>
      </c>
      <c r="S7" s="99"/>
      <c r="T7" s="99">
        <f>SUM(U7:W7)</f>
        <v>3539</v>
      </c>
      <c r="U7" s="99">
        <v>2306</v>
      </c>
      <c r="V7" s="99">
        <v>1068</v>
      </c>
      <c r="W7" s="99">
        <v>165</v>
      </c>
      <c r="X7" s="99"/>
      <c r="Y7" s="98">
        <f>SUM(Z7:AB7)</f>
        <v>3456</v>
      </c>
      <c r="Z7" s="99">
        <v>2185</v>
      </c>
      <c r="AA7" s="99">
        <v>1085</v>
      </c>
      <c r="AB7" s="99">
        <v>186</v>
      </c>
      <c r="AC7" s="98">
        <f t="shared" si="1"/>
        <v>3366</v>
      </c>
      <c r="AD7" s="99">
        <v>2112</v>
      </c>
      <c r="AE7" s="99">
        <v>1079</v>
      </c>
      <c r="AF7" s="99">
        <v>175</v>
      </c>
      <c r="AG7" s="98">
        <f t="shared" si="2"/>
        <v>3320</v>
      </c>
      <c r="AH7" s="74">
        <v>2029</v>
      </c>
      <c r="AI7" s="74">
        <v>1097</v>
      </c>
      <c r="AJ7" s="74">
        <v>194</v>
      </c>
      <c r="AK7" s="98">
        <f t="shared" si="3"/>
        <v>0</v>
      </c>
      <c r="AL7" s="232"/>
      <c r="AM7" s="232"/>
      <c r="AN7" s="232"/>
      <c r="AO7" s="98">
        <f t="shared" si="4"/>
        <v>0</v>
      </c>
      <c r="AP7" s="232"/>
      <c r="AQ7" s="232"/>
      <c r="AR7" s="232"/>
      <c r="AS7" s="244" t="s">
        <v>62</v>
      </c>
      <c r="AT7" s="73"/>
      <c r="AU7" s="74"/>
      <c r="AV7" s="74"/>
      <c r="AW7" s="74"/>
    </row>
    <row r="8" spans="1:53" s="92" customFormat="1" ht="15.75">
      <c r="A8" s="101" t="s">
        <v>63</v>
      </c>
      <c r="B8" s="102"/>
      <c r="C8" s="103"/>
      <c r="D8" s="103">
        <v>65</v>
      </c>
      <c r="E8" s="103">
        <v>41</v>
      </c>
      <c r="F8" s="103">
        <v>20</v>
      </c>
      <c r="G8" s="103">
        <v>4</v>
      </c>
      <c r="H8" s="103"/>
      <c r="I8" s="104"/>
      <c r="J8" s="103">
        <v>66</v>
      </c>
      <c r="K8" s="103">
        <v>46</v>
      </c>
      <c r="L8" s="103">
        <v>18</v>
      </c>
      <c r="M8" s="103">
        <v>2</v>
      </c>
      <c r="N8" s="103"/>
      <c r="O8" s="103">
        <f t="shared" ref="O8:W8" si="5">SUM(O9:O10)</f>
        <v>46</v>
      </c>
      <c r="P8" s="103">
        <f t="shared" si="5"/>
        <v>24</v>
      </c>
      <c r="Q8" s="103">
        <f t="shared" si="5"/>
        <v>15</v>
      </c>
      <c r="R8" s="103">
        <f t="shared" si="5"/>
        <v>7</v>
      </c>
      <c r="S8" s="103"/>
      <c r="T8" s="103">
        <f t="shared" si="5"/>
        <v>59</v>
      </c>
      <c r="U8" s="103">
        <f t="shared" si="5"/>
        <v>40</v>
      </c>
      <c r="V8" s="103">
        <f t="shared" si="5"/>
        <v>10</v>
      </c>
      <c r="W8" s="103">
        <f t="shared" si="5"/>
        <v>9</v>
      </c>
      <c r="X8" s="103"/>
      <c r="Y8" s="104">
        <f>SUM(Y9:Y10)</f>
        <v>63</v>
      </c>
      <c r="Z8" s="103">
        <f>SUM(Z9:Z10)</f>
        <v>43</v>
      </c>
      <c r="AA8" s="103">
        <f>SUM(AA9:AA10)</f>
        <v>13</v>
      </c>
      <c r="AB8" s="103">
        <f>SUM(AB9:AB10)</f>
        <v>7</v>
      </c>
      <c r="AC8" s="104">
        <f t="shared" si="1"/>
        <v>53</v>
      </c>
      <c r="AD8" s="103">
        <f>SUM(AD9:AD10)</f>
        <v>35</v>
      </c>
      <c r="AE8" s="103">
        <f>SUM(AE9:AE10)</f>
        <v>14</v>
      </c>
      <c r="AF8" s="103">
        <f>SUM(AF9:AF10)</f>
        <v>4</v>
      </c>
      <c r="AG8" s="104">
        <f t="shared" si="2"/>
        <v>64</v>
      </c>
      <c r="AH8" s="103">
        <f>SUM(AH9:AH10)</f>
        <v>44</v>
      </c>
      <c r="AI8" s="103">
        <f>SUM(AI9:AI10)</f>
        <v>14</v>
      </c>
      <c r="AJ8" s="103">
        <f>SUM(AJ9:AJ10)</f>
        <v>6</v>
      </c>
      <c r="AK8" s="104">
        <f t="shared" si="3"/>
        <v>0</v>
      </c>
      <c r="AL8" s="103">
        <f>SUM(AL9:AL10)</f>
        <v>0</v>
      </c>
      <c r="AM8" s="103">
        <f>SUM(AM9:AM10)</f>
        <v>0</v>
      </c>
      <c r="AN8" s="103">
        <f>SUM(AN9:AN10)</f>
        <v>0</v>
      </c>
      <c r="AO8" s="104">
        <f t="shared" si="4"/>
        <v>0</v>
      </c>
      <c r="AP8" s="103">
        <f>SUM(AP9:AP10)</f>
        <v>0</v>
      </c>
      <c r="AQ8" s="103">
        <f>SUM(AQ9:AQ10)</f>
        <v>0</v>
      </c>
      <c r="AR8" s="103">
        <f>SUM(AR9:AR10)</f>
        <v>0</v>
      </c>
      <c r="AS8" s="243" t="s">
        <v>64</v>
      </c>
      <c r="AT8" s="73"/>
      <c r="AU8" s="75"/>
      <c r="AV8" s="75"/>
      <c r="AW8" s="75"/>
    </row>
    <row r="9" spans="1:53" s="92" customFormat="1" ht="15.75">
      <c r="A9" s="93" t="s">
        <v>59</v>
      </c>
      <c r="B9" s="105"/>
      <c r="C9" s="106"/>
      <c r="D9" s="106">
        <v>37</v>
      </c>
      <c r="E9" s="106">
        <v>20</v>
      </c>
      <c r="F9" s="106">
        <v>13</v>
      </c>
      <c r="G9" s="106">
        <v>4</v>
      </c>
      <c r="H9" s="106"/>
      <c r="I9" s="107"/>
      <c r="J9" s="106">
        <v>40</v>
      </c>
      <c r="K9" s="106">
        <v>30</v>
      </c>
      <c r="L9" s="106">
        <v>8</v>
      </c>
      <c r="M9" s="106">
        <v>2</v>
      </c>
      <c r="N9" s="106"/>
      <c r="O9" s="106">
        <f>SUM(P9:R9)</f>
        <v>29</v>
      </c>
      <c r="P9" s="106">
        <v>16</v>
      </c>
      <c r="Q9" s="106">
        <v>9</v>
      </c>
      <c r="R9" s="106">
        <v>4</v>
      </c>
      <c r="S9" s="106"/>
      <c r="T9" s="106">
        <f>SUM(U9:W9)</f>
        <v>32</v>
      </c>
      <c r="U9" s="106">
        <v>23</v>
      </c>
      <c r="V9" s="106">
        <v>6</v>
      </c>
      <c r="W9" s="106">
        <v>3</v>
      </c>
      <c r="X9" s="106"/>
      <c r="Y9" s="107">
        <f>SUM(Z9:AB9)</f>
        <v>34</v>
      </c>
      <c r="Z9" s="106">
        <v>25</v>
      </c>
      <c r="AA9" s="106">
        <v>6</v>
      </c>
      <c r="AB9" s="106">
        <v>3</v>
      </c>
      <c r="AC9" s="107">
        <f t="shared" si="1"/>
        <v>21</v>
      </c>
      <c r="AD9" s="106">
        <v>17</v>
      </c>
      <c r="AE9" s="106">
        <v>2</v>
      </c>
      <c r="AF9" s="106">
        <v>2</v>
      </c>
      <c r="AG9" s="107">
        <f t="shared" si="2"/>
        <v>42</v>
      </c>
      <c r="AH9" s="76">
        <v>31</v>
      </c>
      <c r="AI9" s="76">
        <v>7</v>
      </c>
      <c r="AJ9" s="76">
        <v>4</v>
      </c>
      <c r="AK9" s="107">
        <f t="shared" si="3"/>
        <v>0</v>
      </c>
      <c r="AL9" s="233"/>
      <c r="AM9" s="233"/>
      <c r="AN9" s="233"/>
      <c r="AO9" s="107">
        <f t="shared" si="4"/>
        <v>0</v>
      </c>
      <c r="AP9" s="233"/>
      <c r="AQ9" s="233"/>
      <c r="AR9" s="233"/>
      <c r="AS9" s="244" t="s">
        <v>60</v>
      </c>
      <c r="AT9" s="73"/>
      <c r="AU9" s="73"/>
      <c r="AV9" s="73"/>
      <c r="AW9" s="73"/>
    </row>
    <row r="10" spans="1:53" s="92" customFormat="1" ht="15.75">
      <c r="A10" s="93" t="s">
        <v>61</v>
      </c>
      <c r="B10" s="105"/>
      <c r="C10" s="106"/>
      <c r="D10" s="106">
        <v>28</v>
      </c>
      <c r="E10" s="106">
        <v>21</v>
      </c>
      <c r="F10" s="106">
        <v>7</v>
      </c>
      <c r="G10" s="106">
        <v>0</v>
      </c>
      <c r="H10" s="106"/>
      <c r="I10" s="107"/>
      <c r="J10" s="106">
        <v>26</v>
      </c>
      <c r="K10" s="106">
        <v>16</v>
      </c>
      <c r="L10" s="106">
        <v>10</v>
      </c>
      <c r="M10" s="106">
        <v>0</v>
      </c>
      <c r="N10" s="106"/>
      <c r="O10" s="106">
        <f>SUM(P10:R10)</f>
        <v>17</v>
      </c>
      <c r="P10" s="106">
        <v>8</v>
      </c>
      <c r="Q10" s="106">
        <v>6</v>
      </c>
      <c r="R10" s="106">
        <v>3</v>
      </c>
      <c r="S10" s="106"/>
      <c r="T10" s="106">
        <f>SUM(U10:W10)</f>
        <v>27</v>
      </c>
      <c r="U10" s="106">
        <v>17</v>
      </c>
      <c r="V10" s="106">
        <v>4</v>
      </c>
      <c r="W10" s="106">
        <v>6</v>
      </c>
      <c r="X10" s="106"/>
      <c r="Y10" s="107">
        <f>SUM(Z10:AB10)</f>
        <v>29</v>
      </c>
      <c r="Z10" s="106">
        <v>18</v>
      </c>
      <c r="AA10" s="106">
        <v>7</v>
      </c>
      <c r="AB10" s="106">
        <v>4</v>
      </c>
      <c r="AC10" s="107">
        <f t="shared" si="1"/>
        <v>32</v>
      </c>
      <c r="AD10" s="106">
        <v>18</v>
      </c>
      <c r="AE10" s="106">
        <v>12</v>
      </c>
      <c r="AF10" s="106">
        <v>2</v>
      </c>
      <c r="AG10" s="107">
        <f t="shared" si="2"/>
        <v>22</v>
      </c>
      <c r="AH10" s="76">
        <v>13</v>
      </c>
      <c r="AI10" s="76">
        <v>7</v>
      </c>
      <c r="AJ10" s="76">
        <v>2</v>
      </c>
      <c r="AK10" s="107">
        <f t="shared" si="3"/>
        <v>0</v>
      </c>
      <c r="AL10" s="233"/>
      <c r="AM10" s="233"/>
      <c r="AN10" s="233"/>
      <c r="AO10" s="107">
        <f t="shared" si="4"/>
        <v>0</v>
      </c>
      <c r="AP10" s="233"/>
      <c r="AQ10" s="233"/>
      <c r="AR10" s="233"/>
      <c r="AS10" s="244" t="s">
        <v>62</v>
      </c>
      <c r="AT10" s="73"/>
      <c r="AU10" s="76"/>
      <c r="AV10" s="76"/>
      <c r="AW10" s="76"/>
    </row>
    <row r="11" spans="1:53" s="92" customFormat="1" ht="15.75">
      <c r="A11" s="101" t="s">
        <v>65</v>
      </c>
      <c r="B11" s="108"/>
      <c r="C11" s="109"/>
      <c r="D11" s="109"/>
      <c r="E11" s="109"/>
      <c r="F11" s="109"/>
      <c r="G11" s="109"/>
      <c r="H11" s="109"/>
      <c r="I11" s="110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10"/>
      <c r="Z11" s="109"/>
      <c r="AA11" s="109"/>
      <c r="AB11" s="109"/>
      <c r="AC11" s="110"/>
      <c r="AD11" s="109"/>
      <c r="AE11" s="109"/>
      <c r="AF11" s="109"/>
      <c r="AG11" s="110"/>
      <c r="AH11" s="109"/>
      <c r="AI11" s="109"/>
      <c r="AJ11" s="109"/>
      <c r="AK11" s="110"/>
      <c r="AL11" s="109"/>
      <c r="AM11" s="109"/>
      <c r="AN11" s="109"/>
      <c r="AO11" s="110"/>
      <c r="AP11" s="109"/>
      <c r="AQ11" s="109"/>
      <c r="AR11" s="109"/>
      <c r="AS11" s="243" t="s">
        <v>66</v>
      </c>
      <c r="AT11" s="73"/>
      <c r="AU11" s="76"/>
      <c r="AV11" s="76"/>
      <c r="AW11" s="76"/>
    </row>
    <row r="12" spans="1:53" s="92" customFormat="1" ht="15.75">
      <c r="A12" s="111" t="s">
        <v>67</v>
      </c>
      <c r="B12" s="108"/>
      <c r="C12" s="112"/>
      <c r="D12" s="109">
        <v>9</v>
      </c>
      <c r="E12" s="109">
        <v>10</v>
      </c>
      <c r="F12" s="109">
        <v>6</v>
      </c>
      <c r="G12" s="112" t="s">
        <v>50</v>
      </c>
      <c r="H12" s="112"/>
      <c r="I12" s="113"/>
      <c r="J12" s="109">
        <f t="shared" ref="J12:R14" si="6">J8/J5*1000</f>
        <v>8.8817117480823562</v>
      </c>
      <c r="K12" s="109">
        <f t="shared" si="6"/>
        <v>10.31390134529148</v>
      </c>
      <c r="L12" s="109">
        <f t="shared" si="6"/>
        <v>6.7264573991031398</v>
      </c>
      <c r="M12" s="109">
        <f t="shared" si="6"/>
        <v>6.7796610169491522</v>
      </c>
      <c r="N12" s="109"/>
      <c r="O12" s="109">
        <f t="shared" si="6"/>
        <v>6.430868167202572</v>
      </c>
      <c r="P12" s="109">
        <f t="shared" si="6"/>
        <v>5.1085568326947639</v>
      </c>
      <c r="Q12" s="109">
        <f t="shared" si="6"/>
        <v>6.9060773480662982</v>
      </c>
      <c r="R12" s="109">
        <f t="shared" si="6"/>
        <v>24.734982332155475</v>
      </c>
      <c r="S12" s="109"/>
      <c r="T12" s="109">
        <f t="shared" ref="T12:W14" si="7">T8/T5*1000</f>
        <v>8.1435472739820565</v>
      </c>
      <c r="U12" s="109">
        <f t="shared" si="7"/>
        <v>8.4388185654008439</v>
      </c>
      <c r="V12" s="109">
        <f t="shared" si="7"/>
        <v>4.6296296296296298</v>
      </c>
      <c r="W12" s="109">
        <f t="shared" si="7"/>
        <v>26.086956521739129</v>
      </c>
      <c r="X12" s="109"/>
      <c r="Y12" s="110">
        <v>9.0180360721442892</v>
      </c>
      <c r="Z12" s="109">
        <v>9.7949886104783594</v>
      </c>
      <c r="AA12" s="109">
        <v>5.8479532163742682</v>
      </c>
      <c r="AB12" s="109">
        <v>18.766756032171582</v>
      </c>
      <c r="AC12" s="110">
        <f t="shared" ref="AC12:AE14" si="8">AC8/AC5*1000</f>
        <v>7.8448786264061576</v>
      </c>
      <c r="AD12" s="109">
        <f t="shared" si="8"/>
        <v>8.2063305978898011</v>
      </c>
      <c r="AE12" s="109">
        <f t="shared" si="8"/>
        <v>6.5207265952491849</v>
      </c>
      <c r="AF12" s="109">
        <v>0</v>
      </c>
      <c r="AG12" s="110">
        <f t="shared" ref="AG12:AI14" si="9">AG8/AG5*1000</f>
        <v>9.519559720362933</v>
      </c>
      <c r="AH12" s="109">
        <f t="shared" si="9"/>
        <v>10.526315789473683</v>
      </c>
      <c r="AI12" s="109">
        <f t="shared" si="9"/>
        <v>6.381039197812215</v>
      </c>
      <c r="AJ12" s="109">
        <v>0</v>
      </c>
      <c r="AK12" s="110" t="e">
        <f t="shared" ref="AK12:AM14" si="10">AK8/AK5*1000</f>
        <v>#DIV/0!</v>
      </c>
      <c r="AL12" s="109" t="e">
        <f t="shared" si="10"/>
        <v>#DIV/0!</v>
      </c>
      <c r="AM12" s="109" t="e">
        <f t="shared" si="10"/>
        <v>#DIV/0!</v>
      </c>
      <c r="AN12" s="109">
        <v>0</v>
      </c>
      <c r="AO12" s="110" t="e">
        <f t="shared" ref="AO12:AQ12" si="11">AO8/AO5*1000</f>
        <v>#DIV/0!</v>
      </c>
      <c r="AP12" s="109" t="e">
        <f t="shared" si="11"/>
        <v>#DIV/0!</v>
      </c>
      <c r="AQ12" s="109" t="e">
        <f t="shared" si="11"/>
        <v>#DIV/0!</v>
      </c>
      <c r="AR12" s="109">
        <v>0</v>
      </c>
      <c r="AS12" s="243" t="s">
        <v>68</v>
      </c>
      <c r="AT12" s="77"/>
      <c r="AU12" s="77"/>
      <c r="AV12" s="77"/>
      <c r="AW12" s="77"/>
    </row>
    <row r="13" spans="1:53" s="100" customFormat="1" ht="15.75">
      <c r="A13" s="93" t="s">
        <v>59</v>
      </c>
      <c r="B13" s="114"/>
      <c r="C13" s="115"/>
      <c r="D13" s="116">
        <v>10</v>
      </c>
      <c r="E13" s="116">
        <v>10</v>
      </c>
      <c r="F13" s="116">
        <v>8</v>
      </c>
      <c r="G13" s="115" t="s">
        <v>50</v>
      </c>
      <c r="H13" s="115"/>
      <c r="I13" s="117"/>
      <c r="J13" s="116">
        <f t="shared" si="6"/>
        <v>10.282776349614394</v>
      </c>
      <c r="K13" s="116">
        <f t="shared" si="6"/>
        <v>13.043478260869565</v>
      </c>
      <c r="L13" s="116">
        <f t="shared" si="6"/>
        <v>5.6577086280056577</v>
      </c>
      <c r="M13" s="116">
        <f t="shared" si="6"/>
        <v>11.363636363636363</v>
      </c>
      <c r="N13" s="116"/>
      <c r="O13" s="116">
        <f t="shared" si="6"/>
        <v>7.7956989247311821</v>
      </c>
      <c r="P13" s="116">
        <f t="shared" si="6"/>
        <v>6.5146579804560263</v>
      </c>
      <c r="Q13" s="116">
        <f t="shared" si="6"/>
        <v>8.0500894454382834</v>
      </c>
      <c r="R13" s="116">
        <f t="shared" si="6"/>
        <v>27.397260273972602</v>
      </c>
      <c r="S13" s="116"/>
      <c r="T13" s="116">
        <f t="shared" si="7"/>
        <v>8.6346465191581228</v>
      </c>
      <c r="U13" s="116">
        <f t="shared" si="7"/>
        <v>9.449465899753493</v>
      </c>
      <c r="V13" s="116">
        <f t="shared" si="7"/>
        <v>5.4945054945054945</v>
      </c>
      <c r="W13" s="116">
        <f t="shared" si="7"/>
        <v>16.666666666666668</v>
      </c>
      <c r="X13" s="116"/>
      <c r="Y13" s="118">
        <v>9.6317280453257794</v>
      </c>
      <c r="Z13" s="116">
        <v>11.337868480725623</v>
      </c>
      <c r="AA13" s="116">
        <v>5.272407732864675</v>
      </c>
      <c r="AB13" s="116">
        <v>16.042780748663102</v>
      </c>
      <c r="AC13" s="118">
        <f t="shared" si="8"/>
        <v>6.1946902654867255</v>
      </c>
      <c r="AD13" s="116">
        <v>7.8959591267998146</v>
      </c>
      <c r="AE13" s="116">
        <v>1.8726591760299625</v>
      </c>
      <c r="AF13" s="116">
        <v>0</v>
      </c>
      <c r="AG13" s="118">
        <f t="shared" si="9"/>
        <v>12.342051131354687</v>
      </c>
      <c r="AH13" s="116">
        <f t="shared" si="9"/>
        <v>14.411901441190144</v>
      </c>
      <c r="AI13" s="116">
        <f t="shared" si="9"/>
        <v>6.381039197812215</v>
      </c>
      <c r="AJ13" s="116">
        <v>0</v>
      </c>
      <c r="AK13" s="118" t="e">
        <f t="shared" si="10"/>
        <v>#DIV/0!</v>
      </c>
      <c r="AL13" s="116" t="e">
        <f t="shared" si="10"/>
        <v>#DIV/0!</v>
      </c>
      <c r="AM13" s="116" t="e">
        <f t="shared" si="10"/>
        <v>#DIV/0!</v>
      </c>
      <c r="AN13" s="116">
        <v>0</v>
      </c>
      <c r="AO13" s="118" t="e">
        <f t="shared" ref="AO13:AQ13" si="12">AO9/AO6*1000</f>
        <v>#DIV/0!</v>
      </c>
      <c r="AP13" s="116" t="e">
        <f t="shared" si="12"/>
        <v>#DIV/0!</v>
      </c>
      <c r="AQ13" s="116" t="e">
        <f t="shared" si="12"/>
        <v>#DIV/0!</v>
      </c>
      <c r="AR13" s="116">
        <v>0</v>
      </c>
      <c r="AS13" s="244" t="s">
        <v>60</v>
      </c>
      <c r="AT13" s="119"/>
      <c r="AU13" s="77"/>
      <c r="AV13" s="77"/>
      <c r="AW13" s="252"/>
    </row>
    <row r="14" spans="1:53" s="100" customFormat="1" ht="15.75">
      <c r="A14" s="120" t="s">
        <v>61</v>
      </c>
      <c r="B14" s="121"/>
      <c r="C14" s="122"/>
      <c r="D14" s="123">
        <v>8</v>
      </c>
      <c r="E14" s="123">
        <v>11</v>
      </c>
      <c r="F14" s="123">
        <v>5</v>
      </c>
      <c r="G14" s="122" t="s">
        <v>50</v>
      </c>
      <c r="H14" s="122"/>
      <c r="I14" s="124"/>
      <c r="J14" s="123">
        <f t="shared" si="6"/>
        <v>7.3425585992657449</v>
      </c>
      <c r="K14" s="123">
        <f t="shared" si="6"/>
        <v>7.4074074074074074</v>
      </c>
      <c r="L14" s="123">
        <f t="shared" si="6"/>
        <v>7.9239302694136295</v>
      </c>
      <c r="M14" s="123">
        <f t="shared" si="6"/>
        <v>0</v>
      </c>
      <c r="N14" s="123"/>
      <c r="O14" s="123">
        <f t="shared" si="6"/>
        <v>4.9519370812700263</v>
      </c>
      <c r="P14" s="123">
        <f t="shared" si="6"/>
        <v>3.568242640499554</v>
      </c>
      <c r="Q14" s="123">
        <f t="shared" si="6"/>
        <v>5.6925996204933584</v>
      </c>
      <c r="R14" s="123">
        <f t="shared" si="6"/>
        <v>21.897810218978105</v>
      </c>
      <c r="S14" s="123"/>
      <c r="T14" s="123">
        <f t="shared" si="7"/>
        <v>7.6292738061599321</v>
      </c>
      <c r="U14" s="123">
        <f t="shared" si="7"/>
        <v>7.3720728534258457</v>
      </c>
      <c r="V14" s="123">
        <f t="shared" si="7"/>
        <v>3.7453183520599249</v>
      </c>
      <c r="W14" s="123">
        <f t="shared" si="7"/>
        <v>36.36363636363636</v>
      </c>
      <c r="X14" s="123"/>
      <c r="Y14" s="125">
        <v>8.3912037037037042</v>
      </c>
      <c r="Z14" s="123">
        <v>8.2379862700228834</v>
      </c>
      <c r="AA14" s="123">
        <v>6.4516129032258061</v>
      </c>
      <c r="AB14" s="123">
        <v>21.505376344086024</v>
      </c>
      <c r="AC14" s="125">
        <f t="shared" si="8"/>
        <v>9.5068330362448012</v>
      </c>
      <c r="AD14" s="123">
        <v>8.5227272727272716</v>
      </c>
      <c r="AE14" s="123">
        <v>11.121408711770158</v>
      </c>
      <c r="AF14" s="123">
        <v>0</v>
      </c>
      <c r="AG14" s="125">
        <f t="shared" si="9"/>
        <v>6.6265060240963853</v>
      </c>
      <c r="AH14" s="123">
        <f t="shared" si="9"/>
        <v>6.4070970921636272</v>
      </c>
      <c r="AI14" s="123">
        <f t="shared" si="9"/>
        <v>6.381039197812215</v>
      </c>
      <c r="AJ14" s="123">
        <v>0</v>
      </c>
      <c r="AK14" s="125" t="e">
        <f t="shared" si="10"/>
        <v>#DIV/0!</v>
      </c>
      <c r="AL14" s="123" t="e">
        <f t="shared" si="10"/>
        <v>#DIV/0!</v>
      </c>
      <c r="AM14" s="123" t="e">
        <f t="shared" si="10"/>
        <v>#DIV/0!</v>
      </c>
      <c r="AN14" s="123">
        <v>0</v>
      </c>
      <c r="AO14" s="125" t="e">
        <f t="shared" ref="AO14:AQ14" si="13">AO10/AO7*1000</f>
        <v>#DIV/0!</v>
      </c>
      <c r="AP14" s="123" t="e">
        <f t="shared" si="13"/>
        <v>#DIV/0!</v>
      </c>
      <c r="AQ14" s="123" t="e">
        <f t="shared" si="13"/>
        <v>#DIV/0!</v>
      </c>
      <c r="AR14" s="123">
        <v>0</v>
      </c>
      <c r="AS14" s="245" t="s">
        <v>62</v>
      </c>
      <c r="AT14" s="77"/>
      <c r="AU14" s="77"/>
      <c r="AV14" s="77"/>
      <c r="AW14" s="252"/>
    </row>
    <row r="15" spans="1:53" s="128" customFormat="1" ht="17.25">
      <c r="A15" s="126" t="s">
        <v>69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S15" s="129" t="s">
        <v>70</v>
      </c>
      <c r="AT15" s="77"/>
      <c r="AU15" s="77"/>
      <c r="AV15" s="77"/>
      <c r="AW15" s="252"/>
      <c r="AX15" s="130"/>
      <c r="AY15" s="130"/>
      <c r="AZ15" s="130"/>
      <c r="BA15" s="130"/>
    </row>
    <row r="16" spans="1:53" s="133" customFormat="1" ht="17.25">
      <c r="A16" s="131" t="s">
        <v>71</v>
      </c>
      <c r="B16" s="132"/>
      <c r="C16" s="132"/>
      <c r="D16" s="132"/>
      <c r="E16" s="132"/>
      <c r="F16" s="132"/>
      <c r="G16" s="132"/>
      <c r="H16" s="132"/>
      <c r="I16" s="132"/>
      <c r="AS16" s="129" t="s">
        <v>53</v>
      </c>
      <c r="AT16" s="132"/>
      <c r="AU16" s="132"/>
      <c r="AV16" s="132"/>
      <c r="AW16" s="132"/>
    </row>
    <row r="17" spans="1:64" s="133" customFormat="1" ht="12.75">
      <c r="AT17" s="132"/>
      <c r="AU17" s="132"/>
      <c r="AV17" s="132"/>
      <c r="AW17" s="132"/>
    </row>
    <row r="18" spans="1:64" ht="12.75"/>
    <row r="19" spans="1:64" ht="12.75">
      <c r="A19" s="72"/>
      <c r="AS19" s="134"/>
      <c r="AX19" s="135"/>
      <c r="AY19" s="136">
        <v>2004</v>
      </c>
      <c r="AZ19" s="136">
        <v>2005</v>
      </c>
      <c r="BA19" s="136">
        <v>2006</v>
      </c>
      <c r="BB19" s="136">
        <v>2007</v>
      </c>
      <c r="BC19" s="136">
        <v>2008</v>
      </c>
      <c r="BD19" s="136">
        <v>2009</v>
      </c>
      <c r="BE19" s="78">
        <v>2010</v>
      </c>
      <c r="BF19" s="78">
        <v>2011</v>
      </c>
      <c r="BG19" s="136">
        <v>2012</v>
      </c>
      <c r="BH19" s="78">
        <v>2013</v>
      </c>
      <c r="BI19" s="78">
        <v>2014</v>
      </c>
      <c r="BJ19" s="136">
        <v>2015</v>
      </c>
      <c r="BK19" s="78">
        <v>2016</v>
      </c>
      <c r="BL19" s="78">
        <v>2017</v>
      </c>
    </row>
    <row r="20" spans="1:64" ht="12.75">
      <c r="AX20" s="136" t="s">
        <v>51</v>
      </c>
      <c r="AY20" s="137">
        <v>10</v>
      </c>
      <c r="AZ20" s="138">
        <v>12</v>
      </c>
      <c r="BA20" s="138">
        <v>13</v>
      </c>
      <c r="BB20" s="138">
        <v>9.0820629257216989</v>
      </c>
      <c r="BC20" s="138">
        <v>12</v>
      </c>
      <c r="BD20" s="138">
        <v>14</v>
      </c>
      <c r="BE20" s="138">
        <v>11</v>
      </c>
      <c r="BF20" s="108">
        <v>10</v>
      </c>
      <c r="BG20" s="108">
        <v>10</v>
      </c>
      <c r="BH20" s="138">
        <f>P12</f>
        <v>5.1085568326947639</v>
      </c>
      <c r="BI20" s="138">
        <f>U12</f>
        <v>8.4388185654008439</v>
      </c>
      <c r="BJ20" s="138">
        <v>9.7949886104783594</v>
      </c>
      <c r="BK20" s="138">
        <f>AD12</f>
        <v>8.2063305978898011</v>
      </c>
      <c r="BL20" s="138">
        <f>AH12</f>
        <v>10.526315789473683</v>
      </c>
    </row>
    <row r="21" spans="1:64" ht="12.75">
      <c r="AX21" s="136" t="s">
        <v>52</v>
      </c>
      <c r="AY21" s="139">
        <v>18</v>
      </c>
      <c r="AZ21" s="138">
        <v>12</v>
      </c>
      <c r="BA21" s="138">
        <v>18</v>
      </c>
      <c r="BB21" s="138">
        <v>10.900745840504877</v>
      </c>
      <c r="BC21" s="138">
        <v>10</v>
      </c>
      <c r="BD21" s="138">
        <v>8</v>
      </c>
      <c r="BE21" s="138">
        <v>10</v>
      </c>
      <c r="BF21" s="108">
        <v>6</v>
      </c>
      <c r="BG21" s="108">
        <v>7</v>
      </c>
      <c r="BH21" s="138">
        <f>Q12</f>
        <v>6.9060773480662982</v>
      </c>
      <c r="BI21" s="138">
        <f>V12</f>
        <v>4.6296296296296298</v>
      </c>
      <c r="BJ21" s="138">
        <v>5.84795321637427</v>
      </c>
      <c r="BK21" s="138">
        <f>AE12</f>
        <v>6.5207265952491849</v>
      </c>
      <c r="BL21" s="138">
        <f>AI12</f>
        <v>6.381039197812215</v>
      </c>
    </row>
    <row r="22" spans="1:64" ht="12.75">
      <c r="BK22" s="138"/>
    </row>
    <row r="23" spans="1:64" ht="16.5" customHeight="1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140"/>
      <c r="BB23" s="141"/>
    </row>
    <row r="24" spans="1:64" ht="16.5" customHeight="1">
      <c r="BB24" s="141"/>
    </row>
    <row r="25" spans="1:64" ht="16.5" customHeight="1">
      <c r="AT25" s="136"/>
      <c r="AU25" s="136"/>
      <c r="AV25" s="136"/>
      <c r="AW25" s="136"/>
      <c r="AX25" s="136"/>
      <c r="AY25" s="136"/>
      <c r="AZ25" s="136"/>
      <c r="BA25" s="138"/>
      <c r="BB25" s="141"/>
    </row>
    <row r="26" spans="1:64" ht="16.5" customHeight="1">
      <c r="BB26" s="141"/>
    </row>
    <row r="27" spans="1:64" ht="16.5" customHeight="1">
      <c r="BB27" s="141"/>
    </row>
    <row r="28" spans="1:64" ht="16.5" customHeight="1">
      <c r="BB28" s="141"/>
    </row>
    <row r="29" spans="1:64" ht="16.5" customHeight="1">
      <c r="BB29" s="141"/>
    </row>
    <row r="30" spans="1:64" ht="16.5" customHeight="1">
      <c r="BA30" s="141"/>
      <c r="BB30" s="141"/>
    </row>
  </sheetData>
  <mergeCells count="14">
    <mergeCell ref="AK3:AN3"/>
    <mergeCell ref="AS3:AS4"/>
    <mergeCell ref="AW13:AW15"/>
    <mergeCell ref="A1:AS1"/>
    <mergeCell ref="A2:AS2"/>
    <mergeCell ref="A3:A4"/>
    <mergeCell ref="D3:G3"/>
    <mergeCell ref="J3:M3"/>
    <mergeCell ref="O3:R3"/>
    <mergeCell ref="T3:W3"/>
    <mergeCell ref="Y3:AB3"/>
    <mergeCell ref="AC3:AF3"/>
    <mergeCell ref="AG3:AJ3"/>
    <mergeCell ref="AO3:AR3"/>
  </mergeCells>
  <pageMargins left="0.7" right="0.7" top="0.75" bottom="0.75" header="0.3" footer="0.3"/>
  <ignoredErrors>
    <ignoredError sqref="Y8:AJ8 Y11:AJ11" formula="1"/>
    <ignoredError sqref="Y9:AJ10" formula="1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J2082"/>
  <sheetViews>
    <sheetView topLeftCell="A37" workbookViewId="0">
      <selection activeCell="R77" sqref="R77"/>
    </sheetView>
  </sheetViews>
  <sheetFormatPr defaultRowHeight="21.75" customHeight="1"/>
  <cols>
    <col min="1" max="1" width="23" style="227" customWidth="1"/>
    <col min="2" max="2" width="11.85546875" style="228" bestFit="1" customWidth="1"/>
    <col min="3" max="4" width="8.42578125" style="228" customWidth="1"/>
    <col min="5" max="5" width="9.28515625" style="229" bestFit="1" customWidth="1"/>
    <col min="6" max="11" width="9.28515625" style="230" bestFit="1" customWidth="1"/>
    <col min="12" max="12" width="10.7109375" style="230" customWidth="1"/>
    <col min="13" max="13" width="26.28515625" style="230" customWidth="1"/>
    <col min="14" max="14" width="9.140625" style="231"/>
    <col min="15" max="15" width="8.5703125" style="231" customWidth="1"/>
    <col min="16" max="17" width="9.140625" style="231"/>
    <col min="18" max="26" width="7.28515625" style="231" customWidth="1"/>
    <col min="27" max="36" width="9.140625" style="231"/>
    <col min="37" max="256" width="9.140625" style="230"/>
    <col min="257" max="257" width="23" style="230" customWidth="1"/>
    <col min="258" max="258" width="11.85546875" style="230" bestFit="1" customWidth="1"/>
    <col min="259" max="260" width="8.42578125" style="230" customWidth="1"/>
    <col min="261" max="267" width="9.28515625" style="230" bestFit="1" customWidth="1"/>
    <col min="268" max="268" width="10.7109375" style="230" customWidth="1"/>
    <col min="269" max="269" width="26.28515625" style="230" customWidth="1"/>
    <col min="270" max="270" width="9.140625" style="230"/>
    <col min="271" max="271" width="8.5703125" style="230" customWidth="1"/>
    <col min="272" max="273" width="9.140625" style="230"/>
    <col min="274" max="282" width="7.28515625" style="230" customWidth="1"/>
    <col min="283" max="512" width="9.140625" style="230"/>
    <col min="513" max="513" width="23" style="230" customWidth="1"/>
    <col min="514" max="514" width="11.85546875" style="230" bestFit="1" customWidth="1"/>
    <col min="515" max="516" width="8.42578125" style="230" customWidth="1"/>
    <col min="517" max="523" width="9.28515625" style="230" bestFit="1" customWidth="1"/>
    <col min="524" max="524" width="10.7109375" style="230" customWidth="1"/>
    <col min="525" max="525" width="26.28515625" style="230" customWidth="1"/>
    <col min="526" max="526" width="9.140625" style="230"/>
    <col min="527" max="527" width="8.5703125" style="230" customWidth="1"/>
    <col min="528" max="529" width="9.140625" style="230"/>
    <col min="530" max="538" width="7.28515625" style="230" customWidth="1"/>
    <col min="539" max="768" width="9.140625" style="230"/>
    <col min="769" max="769" width="23" style="230" customWidth="1"/>
    <col min="770" max="770" width="11.85546875" style="230" bestFit="1" customWidth="1"/>
    <col min="771" max="772" width="8.42578125" style="230" customWidth="1"/>
    <col min="773" max="779" width="9.28515625" style="230" bestFit="1" customWidth="1"/>
    <col min="780" max="780" width="10.7109375" style="230" customWidth="1"/>
    <col min="781" max="781" width="26.28515625" style="230" customWidth="1"/>
    <col min="782" max="782" width="9.140625" style="230"/>
    <col min="783" max="783" width="8.5703125" style="230" customWidth="1"/>
    <col min="784" max="785" width="9.140625" style="230"/>
    <col min="786" max="794" width="7.28515625" style="230" customWidth="1"/>
    <col min="795" max="1024" width="9.140625" style="230"/>
    <col min="1025" max="1025" width="23" style="230" customWidth="1"/>
    <col min="1026" max="1026" width="11.85546875" style="230" bestFit="1" customWidth="1"/>
    <col min="1027" max="1028" width="8.42578125" style="230" customWidth="1"/>
    <col min="1029" max="1035" width="9.28515625" style="230" bestFit="1" customWidth="1"/>
    <col min="1036" max="1036" width="10.7109375" style="230" customWidth="1"/>
    <col min="1037" max="1037" width="26.28515625" style="230" customWidth="1"/>
    <col min="1038" max="1038" width="9.140625" style="230"/>
    <col min="1039" max="1039" width="8.5703125" style="230" customWidth="1"/>
    <col min="1040" max="1041" width="9.140625" style="230"/>
    <col min="1042" max="1050" width="7.28515625" style="230" customWidth="1"/>
    <col min="1051" max="1280" width="9.140625" style="230"/>
    <col min="1281" max="1281" width="23" style="230" customWidth="1"/>
    <col min="1282" max="1282" width="11.85546875" style="230" bestFit="1" customWidth="1"/>
    <col min="1283" max="1284" width="8.42578125" style="230" customWidth="1"/>
    <col min="1285" max="1291" width="9.28515625" style="230" bestFit="1" customWidth="1"/>
    <col min="1292" max="1292" width="10.7109375" style="230" customWidth="1"/>
    <col min="1293" max="1293" width="26.28515625" style="230" customWidth="1"/>
    <col min="1294" max="1294" width="9.140625" style="230"/>
    <col min="1295" max="1295" width="8.5703125" style="230" customWidth="1"/>
    <col min="1296" max="1297" width="9.140625" style="230"/>
    <col min="1298" max="1306" width="7.28515625" style="230" customWidth="1"/>
    <col min="1307" max="1536" width="9.140625" style="230"/>
    <col min="1537" max="1537" width="23" style="230" customWidth="1"/>
    <col min="1538" max="1538" width="11.85546875" style="230" bestFit="1" customWidth="1"/>
    <col min="1539" max="1540" width="8.42578125" style="230" customWidth="1"/>
    <col min="1541" max="1547" width="9.28515625" style="230" bestFit="1" customWidth="1"/>
    <col min="1548" max="1548" width="10.7109375" style="230" customWidth="1"/>
    <col min="1549" max="1549" width="26.28515625" style="230" customWidth="1"/>
    <col min="1550" max="1550" width="9.140625" style="230"/>
    <col min="1551" max="1551" width="8.5703125" style="230" customWidth="1"/>
    <col min="1552" max="1553" width="9.140625" style="230"/>
    <col min="1554" max="1562" width="7.28515625" style="230" customWidth="1"/>
    <col min="1563" max="1792" width="9.140625" style="230"/>
    <col min="1793" max="1793" width="23" style="230" customWidth="1"/>
    <col min="1794" max="1794" width="11.85546875" style="230" bestFit="1" customWidth="1"/>
    <col min="1795" max="1796" width="8.42578125" style="230" customWidth="1"/>
    <col min="1797" max="1803" width="9.28515625" style="230" bestFit="1" customWidth="1"/>
    <col min="1804" max="1804" width="10.7109375" style="230" customWidth="1"/>
    <col min="1805" max="1805" width="26.28515625" style="230" customWidth="1"/>
    <col min="1806" max="1806" width="9.140625" style="230"/>
    <col min="1807" max="1807" width="8.5703125" style="230" customWidth="1"/>
    <col min="1808" max="1809" width="9.140625" style="230"/>
    <col min="1810" max="1818" width="7.28515625" style="230" customWidth="1"/>
    <col min="1819" max="2048" width="9.140625" style="230"/>
    <col min="2049" max="2049" width="23" style="230" customWidth="1"/>
    <col min="2050" max="2050" width="11.85546875" style="230" bestFit="1" customWidth="1"/>
    <col min="2051" max="2052" width="8.42578125" style="230" customWidth="1"/>
    <col min="2053" max="2059" width="9.28515625" style="230" bestFit="1" customWidth="1"/>
    <col min="2060" max="2060" width="10.7109375" style="230" customWidth="1"/>
    <col min="2061" max="2061" width="26.28515625" style="230" customWidth="1"/>
    <col min="2062" max="2062" width="9.140625" style="230"/>
    <col min="2063" max="2063" width="8.5703125" style="230" customWidth="1"/>
    <col min="2064" max="2065" width="9.140625" style="230"/>
    <col min="2066" max="2074" width="7.28515625" style="230" customWidth="1"/>
    <col min="2075" max="2304" width="9.140625" style="230"/>
    <col min="2305" max="2305" width="23" style="230" customWidth="1"/>
    <col min="2306" max="2306" width="11.85546875" style="230" bestFit="1" customWidth="1"/>
    <col min="2307" max="2308" width="8.42578125" style="230" customWidth="1"/>
    <col min="2309" max="2315" width="9.28515625" style="230" bestFit="1" customWidth="1"/>
    <col min="2316" max="2316" width="10.7109375" style="230" customWidth="1"/>
    <col min="2317" max="2317" width="26.28515625" style="230" customWidth="1"/>
    <col min="2318" max="2318" width="9.140625" style="230"/>
    <col min="2319" max="2319" width="8.5703125" style="230" customWidth="1"/>
    <col min="2320" max="2321" width="9.140625" style="230"/>
    <col min="2322" max="2330" width="7.28515625" style="230" customWidth="1"/>
    <col min="2331" max="2560" width="9.140625" style="230"/>
    <col min="2561" max="2561" width="23" style="230" customWidth="1"/>
    <col min="2562" max="2562" width="11.85546875" style="230" bestFit="1" customWidth="1"/>
    <col min="2563" max="2564" width="8.42578125" style="230" customWidth="1"/>
    <col min="2565" max="2571" width="9.28515625" style="230" bestFit="1" customWidth="1"/>
    <col min="2572" max="2572" width="10.7109375" style="230" customWidth="1"/>
    <col min="2573" max="2573" width="26.28515625" style="230" customWidth="1"/>
    <col min="2574" max="2574" width="9.140625" style="230"/>
    <col min="2575" max="2575" width="8.5703125" style="230" customWidth="1"/>
    <col min="2576" max="2577" width="9.140625" style="230"/>
    <col min="2578" max="2586" width="7.28515625" style="230" customWidth="1"/>
    <col min="2587" max="2816" width="9.140625" style="230"/>
    <col min="2817" max="2817" width="23" style="230" customWidth="1"/>
    <col min="2818" max="2818" width="11.85546875" style="230" bestFit="1" customWidth="1"/>
    <col min="2819" max="2820" width="8.42578125" style="230" customWidth="1"/>
    <col min="2821" max="2827" width="9.28515625" style="230" bestFit="1" customWidth="1"/>
    <col min="2828" max="2828" width="10.7109375" style="230" customWidth="1"/>
    <col min="2829" max="2829" width="26.28515625" style="230" customWidth="1"/>
    <col min="2830" max="2830" width="9.140625" style="230"/>
    <col min="2831" max="2831" width="8.5703125" style="230" customWidth="1"/>
    <col min="2832" max="2833" width="9.140625" style="230"/>
    <col min="2834" max="2842" width="7.28515625" style="230" customWidth="1"/>
    <col min="2843" max="3072" width="9.140625" style="230"/>
    <col min="3073" max="3073" width="23" style="230" customWidth="1"/>
    <col min="3074" max="3074" width="11.85546875" style="230" bestFit="1" customWidth="1"/>
    <col min="3075" max="3076" width="8.42578125" style="230" customWidth="1"/>
    <col min="3077" max="3083" width="9.28515625" style="230" bestFit="1" customWidth="1"/>
    <col min="3084" max="3084" width="10.7109375" style="230" customWidth="1"/>
    <col min="3085" max="3085" width="26.28515625" style="230" customWidth="1"/>
    <col min="3086" max="3086" width="9.140625" style="230"/>
    <col min="3087" max="3087" width="8.5703125" style="230" customWidth="1"/>
    <col min="3088" max="3089" width="9.140625" style="230"/>
    <col min="3090" max="3098" width="7.28515625" style="230" customWidth="1"/>
    <col min="3099" max="3328" width="9.140625" style="230"/>
    <col min="3329" max="3329" width="23" style="230" customWidth="1"/>
    <col min="3330" max="3330" width="11.85546875" style="230" bestFit="1" customWidth="1"/>
    <col min="3331" max="3332" width="8.42578125" style="230" customWidth="1"/>
    <col min="3333" max="3339" width="9.28515625" style="230" bestFit="1" customWidth="1"/>
    <col min="3340" max="3340" width="10.7109375" style="230" customWidth="1"/>
    <col min="3341" max="3341" width="26.28515625" style="230" customWidth="1"/>
    <col min="3342" max="3342" width="9.140625" style="230"/>
    <col min="3343" max="3343" width="8.5703125" style="230" customWidth="1"/>
    <col min="3344" max="3345" width="9.140625" style="230"/>
    <col min="3346" max="3354" width="7.28515625" style="230" customWidth="1"/>
    <col min="3355" max="3584" width="9.140625" style="230"/>
    <col min="3585" max="3585" width="23" style="230" customWidth="1"/>
    <col min="3586" max="3586" width="11.85546875" style="230" bestFit="1" customWidth="1"/>
    <col min="3587" max="3588" width="8.42578125" style="230" customWidth="1"/>
    <col min="3589" max="3595" width="9.28515625" style="230" bestFit="1" customWidth="1"/>
    <col min="3596" max="3596" width="10.7109375" style="230" customWidth="1"/>
    <col min="3597" max="3597" width="26.28515625" style="230" customWidth="1"/>
    <col min="3598" max="3598" width="9.140625" style="230"/>
    <col min="3599" max="3599" width="8.5703125" style="230" customWidth="1"/>
    <col min="3600" max="3601" width="9.140625" style="230"/>
    <col min="3602" max="3610" width="7.28515625" style="230" customWidth="1"/>
    <col min="3611" max="3840" width="9.140625" style="230"/>
    <col min="3841" max="3841" width="23" style="230" customWidth="1"/>
    <col min="3842" max="3842" width="11.85546875" style="230" bestFit="1" customWidth="1"/>
    <col min="3843" max="3844" width="8.42578125" style="230" customWidth="1"/>
    <col min="3845" max="3851" width="9.28515625" style="230" bestFit="1" customWidth="1"/>
    <col min="3852" max="3852" width="10.7109375" style="230" customWidth="1"/>
    <col min="3853" max="3853" width="26.28515625" style="230" customWidth="1"/>
    <col min="3854" max="3854" width="9.140625" style="230"/>
    <col min="3855" max="3855" width="8.5703125" style="230" customWidth="1"/>
    <col min="3856" max="3857" width="9.140625" style="230"/>
    <col min="3858" max="3866" width="7.28515625" style="230" customWidth="1"/>
    <col min="3867" max="4096" width="9.140625" style="230"/>
    <col min="4097" max="4097" width="23" style="230" customWidth="1"/>
    <col min="4098" max="4098" width="11.85546875" style="230" bestFit="1" customWidth="1"/>
    <col min="4099" max="4100" width="8.42578125" style="230" customWidth="1"/>
    <col min="4101" max="4107" width="9.28515625" style="230" bestFit="1" customWidth="1"/>
    <col min="4108" max="4108" width="10.7109375" style="230" customWidth="1"/>
    <col min="4109" max="4109" width="26.28515625" style="230" customWidth="1"/>
    <col min="4110" max="4110" width="9.140625" style="230"/>
    <col min="4111" max="4111" width="8.5703125" style="230" customWidth="1"/>
    <col min="4112" max="4113" width="9.140625" style="230"/>
    <col min="4114" max="4122" width="7.28515625" style="230" customWidth="1"/>
    <col min="4123" max="4352" width="9.140625" style="230"/>
    <col min="4353" max="4353" width="23" style="230" customWidth="1"/>
    <col min="4354" max="4354" width="11.85546875" style="230" bestFit="1" customWidth="1"/>
    <col min="4355" max="4356" width="8.42578125" style="230" customWidth="1"/>
    <col min="4357" max="4363" width="9.28515625" style="230" bestFit="1" customWidth="1"/>
    <col min="4364" max="4364" width="10.7109375" style="230" customWidth="1"/>
    <col min="4365" max="4365" width="26.28515625" style="230" customWidth="1"/>
    <col min="4366" max="4366" width="9.140625" style="230"/>
    <col min="4367" max="4367" width="8.5703125" style="230" customWidth="1"/>
    <col min="4368" max="4369" width="9.140625" style="230"/>
    <col min="4370" max="4378" width="7.28515625" style="230" customWidth="1"/>
    <col min="4379" max="4608" width="9.140625" style="230"/>
    <col min="4609" max="4609" width="23" style="230" customWidth="1"/>
    <col min="4610" max="4610" width="11.85546875" style="230" bestFit="1" customWidth="1"/>
    <col min="4611" max="4612" width="8.42578125" style="230" customWidth="1"/>
    <col min="4613" max="4619" width="9.28515625" style="230" bestFit="1" customWidth="1"/>
    <col min="4620" max="4620" width="10.7109375" style="230" customWidth="1"/>
    <col min="4621" max="4621" width="26.28515625" style="230" customWidth="1"/>
    <col min="4622" max="4622" width="9.140625" style="230"/>
    <col min="4623" max="4623" width="8.5703125" style="230" customWidth="1"/>
    <col min="4624" max="4625" width="9.140625" style="230"/>
    <col min="4626" max="4634" width="7.28515625" style="230" customWidth="1"/>
    <col min="4635" max="4864" width="9.140625" style="230"/>
    <col min="4865" max="4865" width="23" style="230" customWidth="1"/>
    <col min="4866" max="4866" width="11.85546875" style="230" bestFit="1" customWidth="1"/>
    <col min="4867" max="4868" width="8.42578125" style="230" customWidth="1"/>
    <col min="4869" max="4875" width="9.28515625" style="230" bestFit="1" customWidth="1"/>
    <col min="4876" max="4876" width="10.7109375" style="230" customWidth="1"/>
    <col min="4877" max="4877" width="26.28515625" style="230" customWidth="1"/>
    <col min="4878" max="4878" width="9.140625" style="230"/>
    <col min="4879" max="4879" width="8.5703125" style="230" customWidth="1"/>
    <col min="4880" max="4881" width="9.140625" style="230"/>
    <col min="4882" max="4890" width="7.28515625" style="230" customWidth="1"/>
    <col min="4891" max="5120" width="9.140625" style="230"/>
    <col min="5121" max="5121" width="23" style="230" customWidth="1"/>
    <col min="5122" max="5122" width="11.85546875" style="230" bestFit="1" customWidth="1"/>
    <col min="5123" max="5124" width="8.42578125" style="230" customWidth="1"/>
    <col min="5125" max="5131" width="9.28515625" style="230" bestFit="1" customWidth="1"/>
    <col min="5132" max="5132" width="10.7109375" style="230" customWidth="1"/>
    <col min="5133" max="5133" width="26.28515625" style="230" customWidth="1"/>
    <col min="5134" max="5134" width="9.140625" style="230"/>
    <col min="5135" max="5135" width="8.5703125" style="230" customWidth="1"/>
    <col min="5136" max="5137" width="9.140625" style="230"/>
    <col min="5138" max="5146" width="7.28515625" style="230" customWidth="1"/>
    <col min="5147" max="5376" width="9.140625" style="230"/>
    <col min="5377" max="5377" width="23" style="230" customWidth="1"/>
    <col min="5378" max="5378" width="11.85546875" style="230" bestFit="1" customWidth="1"/>
    <col min="5379" max="5380" width="8.42578125" style="230" customWidth="1"/>
    <col min="5381" max="5387" width="9.28515625" style="230" bestFit="1" customWidth="1"/>
    <col min="5388" max="5388" width="10.7109375" style="230" customWidth="1"/>
    <col min="5389" max="5389" width="26.28515625" style="230" customWidth="1"/>
    <col min="5390" max="5390" width="9.140625" style="230"/>
    <col min="5391" max="5391" width="8.5703125" style="230" customWidth="1"/>
    <col min="5392" max="5393" width="9.140625" style="230"/>
    <col min="5394" max="5402" width="7.28515625" style="230" customWidth="1"/>
    <col min="5403" max="5632" width="9.140625" style="230"/>
    <col min="5633" max="5633" width="23" style="230" customWidth="1"/>
    <col min="5634" max="5634" width="11.85546875" style="230" bestFit="1" customWidth="1"/>
    <col min="5635" max="5636" width="8.42578125" style="230" customWidth="1"/>
    <col min="5637" max="5643" width="9.28515625" style="230" bestFit="1" customWidth="1"/>
    <col min="5644" max="5644" width="10.7109375" style="230" customWidth="1"/>
    <col min="5645" max="5645" width="26.28515625" style="230" customWidth="1"/>
    <col min="5646" max="5646" width="9.140625" style="230"/>
    <col min="5647" max="5647" width="8.5703125" style="230" customWidth="1"/>
    <col min="5648" max="5649" width="9.140625" style="230"/>
    <col min="5650" max="5658" width="7.28515625" style="230" customWidth="1"/>
    <col min="5659" max="5888" width="9.140625" style="230"/>
    <col min="5889" max="5889" width="23" style="230" customWidth="1"/>
    <col min="5890" max="5890" width="11.85546875" style="230" bestFit="1" customWidth="1"/>
    <col min="5891" max="5892" width="8.42578125" style="230" customWidth="1"/>
    <col min="5893" max="5899" width="9.28515625" style="230" bestFit="1" customWidth="1"/>
    <col min="5900" max="5900" width="10.7109375" style="230" customWidth="1"/>
    <col min="5901" max="5901" width="26.28515625" style="230" customWidth="1"/>
    <col min="5902" max="5902" width="9.140625" style="230"/>
    <col min="5903" max="5903" width="8.5703125" style="230" customWidth="1"/>
    <col min="5904" max="5905" width="9.140625" style="230"/>
    <col min="5906" max="5914" width="7.28515625" style="230" customWidth="1"/>
    <col min="5915" max="6144" width="9.140625" style="230"/>
    <col min="6145" max="6145" width="23" style="230" customWidth="1"/>
    <col min="6146" max="6146" width="11.85546875" style="230" bestFit="1" customWidth="1"/>
    <col min="6147" max="6148" width="8.42578125" style="230" customWidth="1"/>
    <col min="6149" max="6155" width="9.28515625" style="230" bestFit="1" customWidth="1"/>
    <col min="6156" max="6156" width="10.7109375" style="230" customWidth="1"/>
    <col min="6157" max="6157" width="26.28515625" style="230" customWidth="1"/>
    <col min="6158" max="6158" width="9.140625" style="230"/>
    <col min="6159" max="6159" width="8.5703125" style="230" customWidth="1"/>
    <col min="6160" max="6161" width="9.140625" style="230"/>
    <col min="6162" max="6170" width="7.28515625" style="230" customWidth="1"/>
    <col min="6171" max="6400" width="9.140625" style="230"/>
    <col min="6401" max="6401" width="23" style="230" customWidth="1"/>
    <col min="6402" max="6402" width="11.85546875" style="230" bestFit="1" customWidth="1"/>
    <col min="6403" max="6404" width="8.42578125" style="230" customWidth="1"/>
    <col min="6405" max="6411" width="9.28515625" style="230" bestFit="1" customWidth="1"/>
    <col min="6412" max="6412" width="10.7109375" style="230" customWidth="1"/>
    <col min="6413" max="6413" width="26.28515625" style="230" customWidth="1"/>
    <col min="6414" max="6414" width="9.140625" style="230"/>
    <col min="6415" max="6415" width="8.5703125" style="230" customWidth="1"/>
    <col min="6416" max="6417" width="9.140625" style="230"/>
    <col min="6418" max="6426" width="7.28515625" style="230" customWidth="1"/>
    <col min="6427" max="6656" width="9.140625" style="230"/>
    <col min="6657" max="6657" width="23" style="230" customWidth="1"/>
    <col min="6658" max="6658" width="11.85546875" style="230" bestFit="1" customWidth="1"/>
    <col min="6659" max="6660" width="8.42578125" style="230" customWidth="1"/>
    <col min="6661" max="6667" width="9.28515625" style="230" bestFit="1" customWidth="1"/>
    <col min="6668" max="6668" width="10.7109375" style="230" customWidth="1"/>
    <col min="6669" max="6669" width="26.28515625" style="230" customWidth="1"/>
    <col min="6670" max="6670" width="9.140625" style="230"/>
    <col min="6671" max="6671" width="8.5703125" style="230" customWidth="1"/>
    <col min="6672" max="6673" width="9.140625" style="230"/>
    <col min="6674" max="6682" width="7.28515625" style="230" customWidth="1"/>
    <col min="6683" max="6912" width="9.140625" style="230"/>
    <col min="6913" max="6913" width="23" style="230" customWidth="1"/>
    <col min="6914" max="6914" width="11.85546875" style="230" bestFit="1" customWidth="1"/>
    <col min="6915" max="6916" width="8.42578125" style="230" customWidth="1"/>
    <col min="6917" max="6923" width="9.28515625" style="230" bestFit="1" customWidth="1"/>
    <col min="6924" max="6924" width="10.7109375" style="230" customWidth="1"/>
    <col min="6925" max="6925" width="26.28515625" style="230" customWidth="1"/>
    <col min="6926" max="6926" width="9.140625" style="230"/>
    <col min="6927" max="6927" width="8.5703125" style="230" customWidth="1"/>
    <col min="6928" max="6929" width="9.140625" style="230"/>
    <col min="6930" max="6938" width="7.28515625" style="230" customWidth="1"/>
    <col min="6939" max="7168" width="9.140625" style="230"/>
    <col min="7169" max="7169" width="23" style="230" customWidth="1"/>
    <col min="7170" max="7170" width="11.85546875" style="230" bestFit="1" customWidth="1"/>
    <col min="7171" max="7172" width="8.42578125" style="230" customWidth="1"/>
    <col min="7173" max="7179" width="9.28515625" style="230" bestFit="1" customWidth="1"/>
    <col min="7180" max="7180" width="10.7109375" style="230" customWidth="1"/>
    <col min="7181" max="7181" width="26.28515625" style="230" customWidth="1"/>
    <col min="7182" max="7182" width="9.140625" style="230"/>
    <col min="7183" max="7183" width="8.5703125" style="230" customWidth="1"/>
    <col min="7184" max="7185" width="9.140625" style="230"/>
    <col min="7186" max="7194" width="7.28515625" style="230" customWidth="1"/>
    <col min="7195" max="7424" width="9.140625" style="230"/>
    <col min="7425" max="7425" width="23" style="230" customWidth="1"/>
    <col min="7426" max="7426" width="11.85546875" style="230" bestFit="1" customWidth="1"/>
    <col min="7427" max="7428" width="8.42578125" style="230" customWidth="1"/>
    <col min="7429" max="7435" width="9.28515625" style="230" bestFit="1" customWidth="1"/>
    <col min="7436" max="7436" width="10.7109375" style="230" customWidth="1"/>
    <col min="7437" max="7437" width="26.28515625" style="230" customWidth="1"/>
    <col min="7438" max="7438" width="9.140625" style="230"/>
    <col min="7439" max="7439" width="8.5703125" style="230" customWidth="1"/>
    <col min="7440" max="7441" width="9.140625" style="230"/>
    <col min="7442" max="7450" width="7.28515625" style="230" customWidth="1"/>
    <col min="7451" max="7680" width="9.140625" style="230"/>
    <col min="7681" max="7681" width="23" style="230" customWidth="1"/>
    <col min="7682" max="7682" width="11.85546875" style="230" bestFit="1" customWidth="1"/>
    <col min="7683" max="7684" width="8.42578125" style="230" customWidth="1"/>
    <col min="7685" max="7691" width="9.28515625" style="230" bestFit="1" customWidth="1"/>
    <col min="7692" max="7692" width="10.7109375" style="230" customWidth="1"/>
    <col min="7693" max="7693" width="26.28515625" style="230" customWidth="1"/>
    <col min="7694" max="7694" width="9.140625" style="230"/>
    <col min="7695" max="7695" width="8.5703125" style="230" customWidth="1"/>
    <col min="7696" max="7697" width="9.140625" style="230"/>
    <col min="7698" max="7706" width="7.28515625" style="230" customWidth="1"/>
    <col min="7707" max="7936" width="9.140625" style="230"/>
    <col min="7937" max="7937" width="23" style="230" customWidth="1"/>
    <col min="7938" max="7938" width="11.85546875" style="230" bestFit="1" customWidth="1"/>
    <col min="7939" max="7940" width="8.42578125" style="230" customWidth="1"/>
    <col min="7941" max="7947" width="9.28515625" style="230" bestFit="1" customWidth="1"/>
    <col min="7948" max="7948" width="10.7109375" style="230" customWidth="1"/>
    <col min="7949" max="7949" width="26.28515625" style="230" customWidth="1"/>
    <col min="7950" max="7950" width="9.140625" style="230"/>
    <col min="7951" max="7951" width="8.5703125" style="230" customWidth="1"/>
    <col min="7952" max="7953" width="9.140625" style="230"/>
    <col min="7954" max="7962" width="7.28515625" style="230" customWidth="1"/>
    <col min="7963" max="8192" width="9.140625" style="230"/>
    <col min="8193" max="8193" width="23" style="230" customWidth="1"/>
    <col min="8194" max="8194" width="11.85546875" style="230" bestFit="1" customWidth="1"/>
    <col min="8195" max="8196" width="8.42578125" style="230" customWidth="1"/>
    <col min="8197" max="8203" width="9.28515625" style="230" bestFit="1" customWidth="1"/>
    <col min="8204" max="8204" width="10.7109375" style="230" customWidth="1"/>
    <col min="8205" max="8205" width="26.28515625" style="230" customWidth="1"/>
    <col min="8206" max="8206" width="9.140625" style="230"/>
    <col min="8207" max="8207" width="8.5703125" style="230" customWidth="1"/>
    <col min="8208" max="8209" width="9.140625" style="230"/>
    <col min="8210" max="8218" width="7.28515625" style="230" customWidth="1"/>
    <col min="8219" max="8448" width="9.140625" style="230"/>
    <col min="8449" max="8449" width="23" style="230" customWidth="1"/>
    <col min="8450" max="8450" width="11.85546875" style="230" bestFit="1" customWidth="1"/>
    <col min="8451" max="8452" width="8.42578125" style="230" customWidth="1"/>
    <col min="8453" max="8459" width="9.28515625" style="230" bestFit="1" customWidth="1"/>
    <col min="8460" max="8460" width="10.7109375" style="230" customWidth="1"/>
    <col min="8461" max="8461" width="26.28515625" style="230" customWidth="1"/>
    <col min="8462" max="8462" width="9.140625" style="230"/>
    <col min="8463" max="8463" width="8.5703125" style="230" customWidth="1"/>
    <col min="8464" max="8465" width="9.140625" style="230"/>
    <col min="8466" max="8474" width="7.28515625" style="230" customWidth="1"/>
    <col min="8475" max="8704" width="9.140625" style="230"/>
    <col min="8705" max="8705" width="23" style="230" customWidth="1"/>
    <col min="8706" max="8706" width="11.85546875" style="230" bestFit="1" customWidth="1"/>
    <col min="8707" max="8708" width="8.42578125" style="230" customWidth="1"/>
    <col min="8709" max="8715" width="9.28515625" style="230" bestFit="1" customWidth="1"/>
    <col min="8716" max="8716" width="10.7109375" style="230" customWidth="1"/>
    <col min="8717" max="8717" width="26.28515625" style="230" customWidth="1"/>
    <col min="8718" max="8718" width="9.140625" style="230"/>
    <col min="8719" max="8719" width="8.5703125" style="230" customWidth="1"/>
    <col min="8720" max="8721" width="9.140625" style="230"/>
    <col min="8722" max="8730" width="7.28515625" style="230" customWidth="1"/>
    <col min="8731" max="8960" width="9.140625" style="230"/>
    <col min="8961" max="8961" width="23" style="230" customWidth="1"/>
    <col min="8962" max="8962" width="11.85546875" style="230" bestFit="1" customWidth="1"/>
    <col min="8963" max="8964" width="8.42578125" style="230" customWidth="1"/>
    <col min="8965" max="8971" width="9.28515625" style="230" bestFit="1" customWidth="1"/>
    <col min="8972" max="8972" width="10.7109375" style="230" customWidth="1"/>
    <col min="8973" max="8973" width="26.28515625" style="230" customWidth="1"/>
    <col min="8974" max="8974" width="9.140625" style="230"/>
    <col min="8975" max="8975" width="8.5703125" style="230" customWidth="1"/>
    <col min="8976" max="8977" width="9.140625" style="230"/>
    <col min="8978" max="8986" width="7.28515625" style="230" customWidth="1"/>
    <col min="8987" max="9216" width="9.140625" style="230"/>
    <col min="9217" max="9217" width="23" style="230" customWidth="1"/>
    <col min="9218" max="9218" width="11.85546875" style="230" bestFit="1" customWidth="1"/>
    <col min="9219" max="9220" width="8.42578125" style="230" customWidth="1"/>
    <col min="9221" max="9227" width="9.28515625" style="230" bestFit="1" customWidth="1"/>
    <col min="9228" max="9228" width="10.7109375" style="230" customWidth="1"/>
    <col min="9229" max="9229" width="26.28515625" style="230" customWidth="1"/>
    <col min="9230" max="9230" width="9.140625" style="230"/>
    <col min="9231" max="9231" width="8.5703125" style="230" customWidth="1"/>
    <col min="9232" max="9233" width="9.140625" style="230"/>
    <col min="9234" max="9242" width="7.28515625" style="230" customWidth="1"/>
    <col min="9243" max="9472" width="9.140625" style="230"/>
    <col min="9473" max="9473" width="23" style="230" customWidth="1"/>
    <col min="9474" max="9474" width="11.85546875" style="230" bestFit="1" customWidth="1"/>
    <col min="9475" max="9476" width="8.42578125" style="230" customWidth="1"/>
    <col min="9477" max="9483" width="9.28515625" style="230" bestFit="1" customWidth="1"/>
    <col min="9484" max="9484" width="10.7109375" style="230" customWidth="1"/>
    <col min="9485" max="9485" width="26.28515625" style="230" customWidth="1"/>
    <col min="9486" max="9486" width="9.140625" style="230"/>
    <col min="9487" max="9487" width="8.5703125" style="230" customWidth="1"/>
    <col min="9488" max="9489" width="9.140625" style="230"/>
    <col min="9490" max="9498" width="7.28515625" style="230" customWidth="1"/>
    <col min="9499" max="9728" width="9.140625" style="230"/>
    <col min="9729" max="9729" width="23" style="230" customWidth="1"/>
    <col min="9730" max="9730" width="11.85546875" style="230" bestFit="1" customWidth="1"/>
    <col min="9731" max="9732" width="8.42578125" style="230" customWidth="1"/>
    <col min="9733" max="9739" width="9.28515625" style="230" bestFit="1" customWidth="1"/>
    <col min="9740" max="9740" width="10.7109375" style="230" customWidth="1"/>
    <col min="9741" max="9741" width="26.28515625" style="230" customWidth="1"/>
    <col min="9742" max="9742" width="9.140625" style="230"/>
    <col min="9743" max="9743" width="8.5703125" style="230" customWidth="1"/>
    <col min="9744" max="9745" width="9.140625" style="230"/>
    <col min="9746" max="9754" width="7.28515625" style="230" customWidth="1"/>
    <col min="9755" max="9984" width="9.140625" style="230"/>
    <col min="9985" max="9985" width="23" style="230" customWidth="1"/>
    <col min="9986" max="9986" width="11.85546875" style="230" bestFit="1" customWidth="1"/>
    <col min="9987" max="9988" width="8.42578125" style="230" customWidth="1"/>
    <col min="9989" max="9995" width="9.28515625" style="230" bestFit="1" customWidth="1"/>
    <col min="9996" max="9996" width="10.7109375" style="230" customWidth="1"/>
    <col min="9997" max="9997" width="26.28515625" style="230" customWidth="1"/>
    <col min="9998" max="9998" width="9.140625" style="230"/>
    <col min="9999" max="9999" width="8.5703125" style="230" customWidth="1"/>
    <col min="10000" max="10001" width="9.140625" style="230"/>
    <col min="10002" max="10010" width="7.28515625" style="230" customWidth="1"/>
    <col min="10011" max="10240" width="9.140625" style="230"/>
    <col min="10241" max="10241" width="23" style="230" customWidth="1"/>
    <col min="10242" max="10242" width="11.85546875" style="230" bestFit="1" customWidth="1"/>
    <col min="10243" max="10244" width="8.42578125" style="230" customWidth="1"/>
    <col min="10245" max="10251" width="9.28515625" style="230" bestFit="1" customWidth="1"/>
    <col min="10252" max="10252" width="10.7109375" style="230" customWidth="1"/>
    <col min="10253" max="10253" width="26.28515625" style="230" customWidth="1"/>
    <col min="10254" max="10254" width="9.140625" style="230"/>
    <col min="10255" max="10255" width="8.5703125" style="230" customWidth="1"/>
    <col min="10256" max="10257" width="9.140625" style="230"/>
    <col min="10258" max="10266" width="7.28515625" style="230" customWidth="1"/>
    <col min="10267" max="10496" width="9.140625" style="230"/>
    <col min="10497" max="10497" width="23" style="230" customWidth="1"/>
    <col min="10498" max="10498" width="11.85546875" style="230" bestFit="1" customWidth="1"/>
    <col min="10499" max="10500" width="8.42578125" style="230" customWidth="1"/>
    <col min="10501" max="10507" width="9.28515625" style="230" bestFit="1" customWidth="1"/>
    <col min="10508" max="10508" width="10.7109375" style="230" customWidth="1"/>
    <col min="10509" max="10509" width="26.28515625" style="230" customWidth="1"/>
    <col min="10510" max="10510" width="9.140625" style="230"/>
    <col min="10511" max="10511" width="8.5703125" style="230" customWidth="1"/>
    <col min="10512" max="10513" width="9.140625" style="230"/>
    <col min="10514" max="10522" width="7.28515625" style="230" customWidth="1"/>
    <col min="10523" max="10752" width="9.140625" style="230"/>
    <col min="10753" max="10753" width="23" style="230" customWidth="1"/>
    <col min="10754" max="10754" width="11.85546875" style="230" bestFit="1" customWidth="1"/>
    <col min="10755" max="10756" width="8.42578125" style="230" customWidth="1"/>
    <col min="10757" max="10763" width="9.28515625" style="230" bestFit="1" customWidth="1"/>
    <col min="10764" max="10764" width="10.7109375" style="230" customWidth="1"/>
    <col min="10765" max="10765" width="26.28515625" style="230" customWidth="1"/>
    <col min="10766" max="10766" width="9.140625" style="230"/>
    <col min="10767" max="10767" width="8.5703125" style="230" customWidth="1"/>
    <col min="10768" max="10769" width="9.140625" style="230"/>
    <col min="10770" max="10778" width="7.28515625" style="230" customWidth="1"/>
    <col min="10779" max="11008" width="9.140625" style="230"/>
    <col min="11009" max="11009" width="23" style="230" customWidth="1"/>
    <col min="11010" max="11010" width="11.85546875" style="230" bestFit="1" customWidth="1"/>
    <col min="11011" max="11012" width="8.42578125" style="230" customWidth="1"/>
    <col min="11013" max="11019" width="9.28515625" style="230" bestFit="1" customWidth="1"/>
    <col min="11020" max="11020" width="10.7109375" style="230" customWidth="1"/>
    <col min="11021" max="11021" width="26.28515625" style="230" customWidth="1"/>
    <col min="11022" max="11022" width="9.140625" style="230"/>
    <col min="11023" max="11023" width="8.5703125" style="230" customWidth="1"/>
    <col min="11024" max="11025" width="9.140625" style="230"/>
    <col min="11026" max="11034" width="7.28515625" style="230" customWidth="1"/>
    <col min="11035" max="11264" width="9.140625" style="230"/>
    <col min="11265" max="11265" width="23" style="230" customWidth="1"/>
    <col min="11266" max="11266" width="11.85546875" style="230" bestFit="1" customWidth="1"/>
    <col min="11267" max="11268" width="8.42578125" style="230" customWidth="1"/>
    <col min="11269" max="11275" width="9.28515625" style="230" bestFit="1" customWidth="1"/>
    <col min="11276" max="11276" width="10.7109375" style="230" customWidth="1"/>
    <col min="11277" max="11277" width="26.28515625" style="230" customWidth="1"/>
    <col min="11278" max="11278" width="9.140625" style="230"/>
    <col min="11279" max="11279" width="8.5703125" style="230" customWidth="1"/>
    <col min="11280" max="11281" width="9.140625" style="230"/>
    <col min="11282" max="11290" width="7.28515625" style="230" customWidth="1"/>
    <col min="11291" max="11520" width="9.140625" style="230"/>
    <col min="11521" max="11521" width="23" style="230" customWidth="1"/>
    <col min="11522" max="11522" width="11.85546875" style="230" bestFit="1" customWidth="1"/>
    <col min="11523" max="11524" width="8.42578125" style="230" customWidth="1"/>
    <col min="11525" max="11531" width="9.28515625" style="230" bestFit="1" customWidth="1"/>
    <col min="11532" max="11532" width="10.7109375" style="230" customWidth="1"/>
    <col min="11533" max="11533" width="26.28515625" style="230" customWidth="1"/>
    <col min="11534" max="11534" width="9.140625" style="230"/>
    <col min="11535" max="11535" width="8.5703125" style="230" customWidth="1"/>
    <col min="11536" max="11537" width="9.140625" style="230"/>
    <col min="11538" max="11546" width="7.28515625" style="230" customWidth="1"/>
    <col min="11547" max="11776" width="9.140625" style="230"/>
    <col min="11777" max="11777" width="23" style="230" customWidth="1"/>
    <col min="11778" max="11778" width="11.85546875" style="230" bestFit="1" customWidth="1"/>
    <col min="11779" max="11780" width="8.42578125" style="230" customWidth="1"/>
    <col min="11781" max="11787" width="9.28515625" style="230" bestFit="1" customWidth="1"/>
    <col min="11788" max="11788" width="10.7109375" style="230" customWidth="1"/>
    <col min="11789" max="11789" width="26.28515625" style="230" customWidth="1"/>
    <col min="11790" max="11790" width="9.140625" style="230"/>
    <col min="11791" max="11791" width="8.5703125" style="230" customWidth="1"/>
    <col min="11792" max="11793" width="9.140625" style="230"/>
    <col min="11794" max="11802" width="7.28515625" style="230" customWidth="1"/>
    <col min="11803" max="12032" width="9.140625" style="230"/>
    <col min="12033" max="12033" width="23" style="230" customWidth="1"/>
    <col min="12034" max="12034" width="11.85546875" style="230" bestFit="1" customWidth="1"/>
    <col min="12035" max="12036" width="8.42578125" style="230" customWidth="1"/>
    <col min="12037" max="12043" width="9.28515625" style="230" bestFit="1" customWidth="1"/>
    <col min="12044" max="12044" width="10.7109375" style="230" customWidth="1"/>
    <col min="12045" max="12045" width="26.28515625" style="230" customWidth="1"/>
    <col min="12046" max="12046" width="9.140625" style="230"/>
    <col min="12047" max="12047" width="8.5703125" style="230" customWidth="1"/>
    <col min="12048" max="12049" width="9.140625" style="230"/>
    <col min="12050" max="12058" width="7.28515625" style="230" customWidth="1"/>
    <col min="12059" max="12288" width="9.140625" style="230"/>
    <col min="12289" max="12289" width="23" style="230" customWidth="1"/>
    <col min="12290" max="12290" width="11.85546875" style="230" bestFit="1" customWidth="1"/>
    <col min="12291" max="12292" width="8.42578125" style="230" customWidth="1"/>
    <col min="12293" max="12299" width="9.28515625" style="230" bestFit="1" customWidth="1"/>
    <col min="12300" max="12300" width="10.7109375" style="230" customWidth="1"/>
    <col min="12301" max="12301" width="26.28515625" style="230" customWidth="1"/>
    <col min="12302" max="12302" width="9.140625" style="230"/>
    <col min="12303" max="12303" width="8.5703125" style="230" customWidth="1"/>
    <col min="12304" max="12305" width="9.140625" style="230"/>
    <col min="12306" max="12314" width="7.28515625" style="230" customWidth="1"/>
    <col min="12315" max="12544" width="9.140625" style="230"/>
    <col min="12545" max="12545" width="23" style="230" customWidth="1"/>
    <col min="12546" max="12546" width="11.85546875" style="230" bestFit="1" customWidth="1"/>
    <col min="12547" max="12548" width="8.42578125" style="230" customWidth="1"/>
    <col min="12549" max="12555" width="9.28515625" style="230" bestFit="1" customWidth="1"/>
    <col min="12556" max="12556" width="10.7109375" style="230" customWidth="1"/>
    <col min="12557" max="12557" width="26.28515625" style="230" customWidth="1"/>
    <col min="12558" max="12558" width="9.140625" style="230"/>
    <col min="12559" max="12559" width="8.5703125" style="230" customWidth="1"/>
    <col min="12560" max="12561" width="9.140625" style="230"/>
    <col min="12562" max="12570" width="7.28515625" style="230" customWidth="1"/>
    <col min="12571" max="12800" width="9.140625" style="230"/>
    <col min="12801" max="12801" width="23" style="230" customWidth="1"/>
    <col min="12802" max="12802" width="11.85546875" style="230" bestFit="1" customWidth="1"/>
    <col min="12803" max="12804" width="8.42578125" style="230" customWidth="1"/>
    <col min="12805" max="12811" width="9.28515625" style="230" bestFit="1" customWidth="1"/>
    <col min="12812" max="12812" width="10.7109375" style="230" customWidth="1"/>
    <col min="12813" max="12813" width="26.28515625" style="230" customWidth="1"/>
    <col min="12814" max="12814" width="9.140625" style="230"/>
    <col min="12815" max="12815" width="8.5703125" style="230" customWidth="1"/>
    <col min="12816" max="12817" width="9.140625" style="230"/>
    <col min="12818" max="12826" width="7.28515625" style="230" customWidth="1"/>
    <col min="12827" max="13056" width="9.140625" style="230"/>
    <col min="13057" max="13057" width="23" style="230" customWidth="1"/>
    <col min="13058" max="13058" width="11.85546875" style="230" bestFit="1" customWidth="1"/>
    <col min="13059" max="13060" width="8.42578125" style="230" customWidth="1"/>
    <col min="13061" max="13067" width="9.28515625" style="230" bestFit="1" customWidth="1"/>
    <col min="13068" max="13068" width="10.7109375" style="230" customWidth="1"/>
    <col min="13069" max="13069" width="26.28515625" style="230" customWidth="1"/>
    <col min="13070" max="13070" width="9.140625" style="230"/>
    <col min="13071" max="13071" width="8.5703125" style="230" customWidth="1"/>
    <col min="13072" max="13073" width="9.140625" style="230"/>
    <col min="13074" max="13082" width="7.28515625" style="230" customWidth="1"/>
    <col min="13083" max="13312" width="9.140625" style="230"/>
    <col min="13313" max="13313" width="23" style="230" customWidth="1"/>
    <col min="13314" max="13314" width="11.85546875" style="230" bestFit="1" customWidth="1"/>
    <col min="13315" max="13316" width="8.42578125" style="230" customWidth="1"/>
    <col min="13317" max="13323" width="9.28515625" style="230" bestFit="1" customWidth="1"/>
    <col min="13324" max="13324" width="10.7109375" style="230" customWidth="1"/>
    <col min="13325" max="13325" width="26.28515625" style="230" customWidth="1"/>
    <col min="13326" max="13326" width="9.140625" style="230"/>
    <col min="13327" max="13327" width="8.5703125" style="230" customWidth="1"/>
    <col min="13328" max="13329" width="9.140625" style="230"/>
    <col min="13330" max="13338" width="7.28515625" style="230" customWidth="1"/>
    <col min="13339" max="13568" width="9.140625" style="230"/>
    <col min="13569" max="13569" width="23" style="230" customWidth="1"/>
    <col min="13570" max="13570" width="11.85546875" style="230" bestFit="1" customWidth="1"/>
    <col min="13571" max="13572" width="8.42578125" style="230" customWidth="1"/>
    <col min="13573" max="13579" width="9.28515625" style="230" bestFit="1" customWidth="1"/>
    <col min="13580" max="13580" width="10.7109375" style="230" customWidth="1"/>
    <col min="13581" max="13581" width="26.28515625" style="230" customWidth="1"/>
    <col min="13582" max="13582" width="9.140625" style="230"/>
    <col min="13583" max="13583" width="8.5703125" style="230" customWidth="1"/>
    <col min="13584" max="13585" width="9.140625" style="230"/>
    <col min="13586" max="13594" width="7.28515625" style="230" customWidth="1"/>
    <col min="13595" max="13824" width="9.140625" style="230"/>
    <col min="13825" max="13825" width="23" style="230" customWidth="1"/>
    <col min="13826" max="13826" width="11.85546875" style="230" bestFit="1" customWidth="1"/>
    <col min="13827" max="13828" width="8.42578125" style="230" customWidth="1"/>
    <col min="13829" max="13835" width="9.28515625" style="230" bestFit="1" customWidth="1"/>
    <col min="13836" max="13836" width="10.7109375" style="230" customWidth="1"/>
    <col min="13837" max="13837" width="26.28515625" style="230" customWidth="1"/>
    <col min="13838" max="13838" width="9.140625" style="230"/>
    <col min="13839" max="13839" width="8.5703125" style="230" customWidth="1"/>
    <col min="13840" max="13841" width="9.140625" style="230"/>
    <col min="13842" max="13850" width="7.28515625" style="230" customWidth="1"/>
    <col min="13851" max="14080" width="9.140625" style="230"/>
    <col min="14081" max="14081" width="23" style="230" customWidth="1"/>
    <col min="14082" max="14082" width="11.85546875" style="230" bestFit="1" customWidth="1"/>
    <col min="14083" max="14084" width="8.42578125" style="230" customWidth="1"/>
    <col min="14085" max="14091" width="9.28515625" style="230" bestFit="1" customWidth="1"/>
    <col min="14092" max="14092" width="10.7109375" style="230" customWidth="1"/>
    <col min="14093" max="14093" width="26.28515625" style="230" customWidth="1"/>
    <col min="14094" max="14094" width="9.140625" style="230"/>
    <col min="14095" max="14095" width="8.5703125" style="230" customWidth="1"/>
    <col min="14096" max="14097" width="9.140625" style="230"/>
    <col min="14098" max="14106" width="7.28515625" style="230" customWidth="1"/>
    <col min="14107" max="14336" width="9.140625" style="230"/>
    <col min="14337" max="14337" width="23" style="230" customWidth="1"/>
    <col min="14338" max="14338" width="11.85546875" style="230" bestFit="1" customWidth="1"/>
    <col min="14339" max="14340" width="8.42578125" style="230" customWidth="1"/>
    <col min="14341" max="14347" width="9.28515625" style="230" bestFit="1" customWidth="1"/>
    <col min="14348" max="14348" width="10.7109375" style="230" customWidth="1"/>
    <col min="14349" max="14349" width="26.28515625" style="230" customWidth="1"/>
    <col min="14350" max="14350" width="9.140625" style="230"/>
    <col min="14351" max="14351" width="8.5703125" style="230" customWidth="1"/>
    <col min="14352" max="14353" width="9.140625" style="230"/>
    <col min="14354" max="14362" width="7.28515625" style="230" customWidth="1"/>
    <col min="14363" max="14592" width="9.140625" style="230"/>
    <col min="14593" max="14593" width="23" style="230" customWidth="1"/>
    <col min="14594" max="14594" width="11.85546875" style="230" bestFit="1" customWidth="1"/>
    <col min="14595" max="14596" width="8.42578125" style="230" customWidth="1"/>
    <col min="14597" max="14603" width="9.28515625" style="230" bestFit="1" customWidth="1"/>
    <col min="14604" max="14604" width="10.7109375" style="230" customWidth="1"/>
    <col min="14605" max="14605" width="26.28515625" style="230" customWidth="1"/>
    <col min="14606" max="14606" width="9.140625" style="230"/>
    <col min="14607" max="14607" width="8.5703125" style="230" customWidth="1"/>
    <col min="14608" max="14609" width="9.140625" style="230"/>
    <col min="14610" max="14618" width="7.28515625" style="230" customWidth="1"/>
    <col min="14619" max="14848" width="9.140625" style="230"/>
    <col min="14849" max="14849" width="23" style="230" customWidth="1"/>
    <col min="14850" max="14850" width="11.85546875" style="230" bestFit="1" customWidth="1"/>
    <col min="14851" max="14852" width="8.42578125" style="230" customWidth="1"/>
    <col min="14853" max="14859" width="9.28515625" style="230" bestFit="1" customWidth="1"/>
    <col min="14860" max="14860" width="10.7109375" style="230" customWidth="1"/>
    <col min="14861" max="14861" width="26.28515625" style="230" customWidth="1"/>
    <col min="14862" max="14862" width="9.140625" style="230"/>
    <col min="14863" max="14863" width="8.5703125" style="230" customWidth="1"/>
    <col min="14864" max="14865" width="9.140625" style="230"/>
    <col min="14866" max="14874" width="7.28515625" style="230" customWidth="1"/>
    <col min="14875" max="15104" width="9.140625" style="230"/>
    <col min="15105" max="15105" width="23" style="230" customWidth="1"/>
    <col min="15106" max="15106" width="11.85546875" style="230" bestFit="1" customWidth="1"/>
    <col min="15107" max="15108" width="8.42578125" style="230" customWidth="1"/>
    <col min="15109" max="15115" width="9.28515625" style="230" bestFit="1" customWidth="1"/>
    <col min="15116" max="15116" width="10.7109375" style="230" customWidth="1"/>
    <col min="15117" max="15117" width="26.28515625" style="230" customWidth="1"/>
    <col min="15118" max="15118" width="9.140625" style="230"/>
    <col min="15119" max="15119" width="8.5703125" style="230" customWidth="1"/>
    <col min="15120" max="15121" width="9.140625" style="230"/>
    <col min="15122" max="15130" width="7.28515625" style="230" customWidth="1"/>
    <col min="15131" max="15360" width="9.140625" style="230"/>
    <col min="15361" max="15361" width="23" style="230" customWidth="1"/>
    <col min="15362" max="15362" width="11.85546875" style="230" bestFit="1" customWidth="1"/>
    <col min="15363" max="15364" width="8.42578125" style="230" customWidth="1"/>
    <col min="15365" max="15371" width="9.28515625" style="230" bestFit="1" customWidth="1"/>
    <col min="15372" max="15372" width="10.7109375" style="230" customWidth="1"/>
    <col min="15373" max="15373" width="26.28515625" style="230" customWidth="1"/>
    <col min="15374" max="15374" width="9.140625" style="230"/>
    <col min="15375" max="15375" width="8.5703125" style="230" customWidth="1"/>
    <col min="15376" max="15377" width="9.140625" style="230"/>
    <col min="15378" max="15386" width="7.28515625" style="230" customWidth="1"/>
    <col min="15387" max="15616" width="9.140625" style="230"/>
    <col min="15617" max="15617" width="23" style="230" customWidth="1"/>
    <col min="15618" max="15618" width="11.85546875" style="230" bestFit="1" customWidth="1"/>
    <col min="15619" max="15620" width="8.42578125" style="230" customWidth="1"/>
    <col min="15621" max="15627" width="9.28515625" style="230" bestFit="1" customWidth="1"/>
    <col min="15628" max="15628" width="10.7109375" style="230" customWidth="1"/>
    <col min="15629" max="15629" width="26.28515625" style="230" customWidth="1"/>
    <col min="15630" max="15630" width="9.140625" style="230"/>
    <col min="15631" max="15631" width="8.5703125" style="230" customWidth="1"/>
    <col min="15632" max="15633" width="9.140625" style="230"/>
    <col min="15634" max="15642" width="7.28515625" style="230" customWidth="1"/>
    <col min="15643" max="15872" width="9.140625" style="230"/>
    <col min="15873" max="15873" width="23" style="230" customWidth="1"/>
    <col min="15874" max="15874" width="11.85546875" style="230" bestFit="1" customWidth="1"/>
    <col min="15875" max="15876" width="8.42578125" style="230" customWidth="1"/>
    <col min="15877" max="15883" width="9.28515625" style="230" bestFit="1" customWidth="1"/>
    <col min="15884" max="15884" width="10.7109375" style="230" customWidth="1"/>
    <col min="15885" max="15885" width="26.28515625" style="230" customWidth="1"/>
    <col min="15886" max="15886" width="9.140625" style="230"/>
    <col min="15887" max="15887" width="8.5703125" style="230" customWidth="1"/>
    <col min="15888" max="15889" width="9.140625" style="230"/>
    <col min="15890" max="15898" width="7.28515625" style="230" customWidth="1"/>
    <col min="15899" max="16128" width="9.140625" style="230"/>
    <col min="16129" max="16129" width="23" style="230" customWidth="1"/>
    <col min="16130" max="16130" width="11.85546875" style="230" bestFit="1" customWidth="1"/>
    <col min="16131" max="16132" width="8.42578125" style="230" customWidth="1"/>
    <col min="16133" max="16139" width="9.28515625" style="230" bestFit="1" customWidth="1"/>
    <col min="16140" max="16140" width="10.7109375" style="230" customWidth="1"/>
    <col min="16141" max="16141" width="26.28515625" style="230" customWidth="1"/>
    <col min="16142" max="16142" width="9.140625" style="230"/>
    <col min="16143" max="16143" width="8.5703125" style="230" customWidth="1"/>
    <col min="16144" max="16145" width="9.140625" style="230"/>
    <col min="16146" max="16154" width="7.28515625" style="230" customWidth="1"/>
    <col min="16155" max="16384" width="9.140625" style="230"/>
  </cols>
  <sheetData>
    <row r="1" spans="1:36" s="144" customFormat="1" ht="17.25" customHeight="1">
      <c r="A1" s="257" t="s">
        <v>89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</row>
    <row r="2" spans="1:36" s="143" customFormat="1" ht="17.25" customHeigh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</row>
    <row r="3" spans="1:36" s="151" customFormat="1" ht="21.75" customHeight="1">
      <c r="A3" s="145" t="s">
        <v>72</v>
      </c>
      <c r="B3" s="146" t="s">
        <v>73</v>
      </c>
      <c r="C3" s="146">
        <v>17</v>
      </c>
      <c r="D3" s="146" t="s">
        <v>74</v>
      </c>
      <c r="E3" s="147" t="s">
        <v>28</v>
      </c>
      <c r="F3" s="148" t="s">
        <v>30</v>
      </c>
      <c r="G3" s="148" t="s">
        <v>32</v>
      </c>
      <c r="H3" s="148" t="s">
        <v>33</v>
      </c>
      <c r="I3" s="148" t="s">
        <v>34</v>
      </c>
      <c r="J3" s="148" t="s">
        <v>35</v>
      </c>
      <c r="K3" s="148" t="s">
        <v>36</v>
      </c>
      <c r="L3" s="148" t="s">
        <v>75</v>
      </c>
      <c r="M3" s="149" t="s">
        <v>76</v>
      </c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</row>
    <row r="4" spans="1:36" s="156" customFormat="1" ht="16.5" hidden="1" customHeight="1">
      <c r="A4" s="152">
        <v>2004</v>
      </c>
      <c r="B4" s="153"/>
      <c r="C4" s="153"/>
      <c r="D4" s="153"/>
      <c r="E4" s="142"/>
      <c r="F4" s="154"/>
      <c r="G4" s="154"/>
      <c r="H4" s="154"/>
      <c r="I4" s="154"/>
      <c r="J4" s="154"/>
      <c r="K4" s="154"/>
      <c r="L4" s="154"/>
      <c r="M4" s="155">
        <v>2004</v>
      </c>
    </row>
    <row r="5" spans="1:36" s="162" customFormat="1" ht="16.5" hidden="1" customHeight="1">
      <c r="A5" s="157" t="s">
        <v>77</v>
      </c>
      <c r="B5" s="158">
        <v>3170</v>
      </c>
      <c r="C5" s="158"/>
      <c r="D5" s="158"/>
      <c r="E5" s="159">
        <v>267</v>
      </c>
      <c r="F5" s="160">
        <v>1264</v>
      </c>
      <c r="G5" s="160">
        <v>871</v>
      </c>
      <c r="H5" s="160">
        <v>343</v>
      </c>
      <c r="I5" s="160">
        <v>195</v>
      </c>
      <c r="J5" s="160">
        <v>111</v>
      </c>
      <c r="K5" s="160">
        <v>58</v>
      </c>
      <c r="L5" s="160">
        <v>61</v>
      </c>
      <c r="M5" s="161" t="s">
        <v>78</v>
      </c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</row>
    <row r="6" spans="1:36" s="156" customFormat="1" ht="16.5" hidden="1" customHeight="1">
      <c r="A6" s="157" t="s">
        <v>79</v>
      </c>
      <c r="B6" s="158">
        <v>1184</v>
      </c>
      <c r="C6" s="158"/>
      <c r="D6" s="158"/>
      <c r="E6" s="159">
        <v>25</v>
      </c>
      <c r="F6" s="160">
        <v>205</v>
      </c>
      <c r="G6" s="160">
        <v>295</v>
      </c>
      <c r="H6" s="160">
        <v>248</v>
      </c>
      <c r="I6" s="160">
        <v>176</v>
      </c>
      <c r="J6" s="160">
        <v>99</v>
      </c>
      <c r="K6" s="160">
        <v>67</v>
      </c>
      <c r="L6" s="160">
        <v>69</v>
      </c>
      <c r="M6" s="161" t="s">
        <v>80</v>
      </c>
    </row>
    <row r="7" spans="1:36" s="156" customFormat="1" ht="16.5" hidden="1" customHeight="1">
      <c r="A7" s="152">
        <v>2005</v>
      </c>
      <c r="B7" s="158"/>
      <c r="C7" s="158"/>
      <c r="D7" s="158"/>
      <c r="E7" s="159"/>
      <c r="F7" s="160"/>
      <c r="G7" s="160"/>
      <c r="H7" s="160"/>
      <c r="I7" s="160"/>
      <c r="J7" s="160"/>
      <c r="K7" s="160"/>
      <c r="L7" s="160"/>
      <c r="M7" s="163">
        <v>2005</v>
      </c>
    </row>
    <row r="8" spans="1:36" s="162" customFormat="1" ht="16.5" hidden="1" customHeight="1">
      <c r="A8" s="157" t="s">
        <v>77</v>
      </c>
      <c r="B8" s="158">
        <v>4300</v>
      </c>
      <c r="C8" s="158"/>
      <c r="D8" s="158"/>
      <c r="E8" s="159">
        <v>316</v>
      </c>
      <c r="F8" s="160">
        <v>1748</v>
      </c>
      <c r="G8" s="160">
        <v>1171</v>
      </c>
      <c r="H8" s="160">
        <v>486</v>
      </c>
      <c r="I8" s="160">
        <v>262</v>
      </c>
      <c r="J8" s="160">
        <v>145</v>
      </c>
      <c r="K8" s="160">
        <v>79</v>
      </c>
      <c r="L8" s="160">
        <v>93</v>
      </c>
      <c r="M8" s="161" t="s">
        <v>78</v>
      </c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</row>
    <row r="9" spans="1:36" s="156" customFormat="1" ht="16.5" hidden="1" customHeight="1">
      <c r="A9" s="157" t="s">
        <v>79</v>
      </c>
      <c r="B9" s="158">
        <v>1870</v>
      </c>
      <c r="C9" s="158"/>
      <c r="D9" s="158"/>
      <c r="E9" s="159">
        <v>33</v>
      </c>
      <c r="F9" s="160">
        <v>350</v>
      </c>
      <c r="G9" s="160">
        <v>464</v>
      </c>
      <c r="H9" s="160">
        <v>382</v>
      </c>
      <c r="I9" s="160">
        <v>251</v>
      </c>
      <c r="J9" s="160">
        <v>150</v>
      </c>
      <c r="K9" s="160">
        <v>114</v>
      </c>
      <c r="L9" s="160">
        <v>126</v>
      </c>
      <c r="M9" s="161" t="s">
        <v>80</v>
      </c>
    </row>
    <row r="10" spans="1:36" s="156" customFormat="1" ht="16.5" hidden="1" customHeight="1">
      <c r="A10" s="152">
        <v>2006</v>
      </c>
      <c r="B10" s="158"/>
      <c r="C10" s="158"/>
      <c r="D10" s="158"/>
      <c r="E10" s="159"/>
      <c r="F10" s="160"/>
      <c r="G10" s="160"/>
      <c r="H10" s="160"/>
      <c r="I10" s="160"/>
      <c r="J10" s="160"/>
      <c r="K10" s="160"/>
      <c r="L10" s="160"/>
      <c r="M10" s="163">
        <v>2006</v>
      </c>
    </row>
    <row r="11" spans="1:36" s="156" customFormat="1" ht="16.5" hidden="1" customHeight="1">
      <c r="A11" s="157" t="s">
        <v>77</v>
      </c>
      <c r="B11" s="158">
        <v>5080</v>
      </c>
      <c r="C11" s="158"/>
      <c r="D11" s="158"/>
      <c r="E11" s="159">
        <v>368</v>
      </c>
      <c r="F11" s="160">
        <v>2157</v>
      </c>
      <c r="G11" s="160">
        <v>1299</v>
      </c>
      <c r="H11" s="160">
        <v>573</v>
      </c>
      <c r="I11" s="160">
        <v>260</v>
      </c>
      <c r="J11" s="160">
        <v>184</v>
      </c>
      <c r="K11" s="160">
        <v>122</v>
      </c>
      <c r="L11" s="160">
        <v>117</v>
      </c>
      <c r="M11" s="161" t="s">
        <v>78</v>
      </c>
    </row>
    <row r="12" spans="1:36" s="162" customFormat="1" ht="16.5" hidden="1" customHeight="1">
      <c r="A12" s="157" t="s">
        <v>79</v>
      </c>
      <c r="B12" s="158">
        <v>2146</v>
      </c>
      <c r="C12" s="158"/>
      <c r="D12" s="158"/>
      <c r="E12" s="159">
        <v>41</v>
      </c>
      <c r="F12" s="160">
        <v>452</v>
      </c>
      <c r="G12" s="160">
        <v>534</v>
      </c>
      <c r="H12" s="160">
        <v>405</v>
      </c>
      <c r="I12" s="160">
        <v>281</v>
      </c>
      <c r="J12" s="160">
        <v>198</v>
      </c>
      <c r="K12" s="160">
        <v>114</v>
      </c>
      <c r="L12" s="160">
        <v>121</v>
      </c>
      <c r="M12" s="161" t="s">
        <v>80</v>
      </c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156"/>
      <c r="AI12" s="156"/>
      <c r="AJ12" s="156"/>
    </row>
    <row r="13" spans="1:36" s="162" customFormat="1" ht="16.5" hidden="1" customHeight="1">
      <c r="A13" s="152">
        <v>2007</v>
      </c>
      <c r="B13" s="158"/>
      <c r="C13" s="158"/>
      <c r="D13" s="158"/>
      <c r="E13" s="159"/>
      <c r="F13" s="160"/>
      <c r="G13" s="160"/>
      <c r="H13" s="160"/>
      <c r="I13" s="160"/>
      <c r="J13" s="160"/>
      <c r="K13" s="160"/>
      <c r="L13" s="160"/>
      <c r="M13" s="163">
        <v>2007</v>
      </c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</row>
    <row r="14" spans="1:36" s="162" customFormat="1" ht="16.5" hidden="1" customHeight="1">
      <c r="A14" s="157" t="s">
        <v>77</v>
      </c>
      <c r="B14" s="158">
        <v>5072</v>
      </c>
      <c r="C14" s="158"/>
      <c r="D14" s="158"/>
      <c r="E14" s="159">
        <v>384</v>
      </c>
      <c r="F14" s="160">
        <v>2237</v>
      </c>
      <c r="G14" s="160">
        <v>1265</v>
      </c>
      <c r="H14" s="160">
        <v>534</v>
      </c>
      <c r="I14" s="160">
        <v>303</v>
      </c>
      <c r="J14" s="160">
        <v>159</v>
      </c>
      <c r="K14" s="160">
        <v>91</v>
      </c>
      <c r="L14" s="160">
        <v>99</v>
      </c>
      <c r="M14" s="161" t="s">
        <v>78</v>
      </c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</row>
    <row r="15" spans="1:36" s="162" customFormat="1" ht="16.5" hidden="1" customHeight="1">
      <c r="A15" s="157" t="s">
        <v>79</v>
      </c>
      <c r="B15" s="158">
        <v>2268</v>
      </c>
      <c r="C15" s="158"/>
      <c r="D15" s="158"/>
      <c r="E15" s="159">
        <v>40</v>
      </c>
      <c r="F15" s="160">
        <v>461</v>
      </c>
      <c r="G15" s="160">
        <v>570</v>
      </c>
      <c r="H15" s="160">
        <v>403</v>
      </c>
      <c r="I15" s="160">
        <v>308</v>
      </c>
      <c r="J15" s="160">
        <v>219</v>
      </c>
      <c r="K15" s="160">
        <v>122</v>
      </c>
      <c r="L15" s="160">
        <v>145</v>
      </c>
      <c r="M15" s="161" t="s">
        <v>80</v>
      </c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6"/>
      <c r="AB15" s="156"/>
      <c r="AC15" s="156"/>
      <c r="AD15" s="156"/>
      <c r="AE15" s="156"/>
      <c r="AF15" s="156"/>
      <c r="AG15" s="156"/>
      <c r="AH15" s="156"/>
      <c r="AI15" s="156"/>
      <c r="AJ15" s="156"/>
    </row>
    <row r="16" spans="1:36" s="162" customFormat="1" ht="16.5" hidden="1" customHeight="1">
      <c r="A16" s="152">
        <v>2008</v>
      </c>
      <c r="B16" s="158"/>
      <c r="C16" s="158"/>
      <c r="D16" s="158"/>
      <c r="E16" s="159"/>
      <c r="F16" s="160"/>
      <c r="G16" s="160"/>
      <c r="H16" s="160"/>
      <c r="I16" s="160"/>
      <c r="J16" s="160"/>
      <c r="K16" s="160"/>
      <c r="L16" s="160"/>
      <c r="M16" s="163">
        <v>2008</v>
      </c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</row>
    <row r="17" spans="1:36" s="162" customFormat="1" ht="16.5" hidden="1" customHeight="1">
      <c r="A17" s="157" t="s">
        <v>77</v>
      </c>
      <c r="B17" s="158">
        <v>5260</v>
      </c>
      <c r="C17" s="158"/>
      <c r="D17" s="158"/>
      <c r="E17" s="159">
        <v>393</v>
      </c>
      <c r="F17" s="160">
        <v>2246</v>
      </c>
      <c r="G17" s="160">
        <v>1357</v>
      </c>
      <c r="H17" s="160">
        <v>550</v>
      </c>
      <c r="I17" s="160">
        <v>328</v>
      </c>
      <c r="J17" s="160">
        <v>183</v>
      </c>
      <c r="K17" s="160">
        <v>115</v>
      </c>
      <c r="L17" s="160">
        <v>88</v>
      </c>
      <c r="M17" s="161" t="s">
        <v>78</v>
      </c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</row>
    <row r="18" spans="1:36" s="162" customFormat="1" ht="16.5" hidden="1" customHeight="1">
      <c r="A18" s="157" t="s">
        <v>79</v>
      </c>
      <c r="B18" s="158">
        <v>2430</v>
      </c>
      <c r="C18" s="158"/>
      <c r="D18" s="158"/>
      <c r="E18" s="159">
        <v>43</v>
      </c>
      <c r="F18" s="160">
        <v>561</v>
      </c>
      <c r="G18" s="160">
        <v>610</v>
      </c>
      <c r="H18" s="160">
        <v>423</v>
      </c>
      <c r="I18" s="160">
        <v>321</v>
      </c>
      <c r="J18" s="160">
        <v>204</v>
      </c>
      <c r="K18" s="160">
        <v>117</v>
      </c>
      <c r="L18" s="160">
        <v>151</v>
      </c>
      <c r="M18" s="161" t="s">
        <v>80</v>
      </c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</row>
    <row r="19" spans="1:36" s="162" customFormat="1" ht="16.5" hidden="1" customHeight="1">
      <c r="A19" s="152">
        <v>2009</v>
      </c>
      <c r="B19" s="158"/>
      <c r="C19" s="158"/>
      <c r="D19" s="158"/>
      <c r="E19" s="159"/>
      <c r="F19" s="160"/>
      <c r="G19" s="160"/>
      <c r="H19" s="160"/>
      <c r="I19" s="160"/>
      <c r="J19" s="160"/>
      <c r="K19" s="160"/>
      <c r="L19" s="160"/>
      <c r="M19" s="163">
        <v>2009</v>
      </c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</row>
    <row r="20" spans="1:36" s="162" customFormat="1" ht="16.5" hidden="1" customHeight="1">
      <c r="A20" s="157" t="s">
        <v>77</v>
      </c>
      <c r="B20" s="158">
        <v>5262</v>
      </c>
      <c r="C20" s="158"/>
      <c r="D20" s="158"/>
      <c r="E20" s="159">
        <v>408</v>
      </c>
      <c r="F20" s="160">
        <v>2179</v>
      </c>
      <c r="G20" s="160">
        <v>1398</v>
      </c>
      <c r="H20" s="160">
        <v>539</v>
      </c>
      <c r="I20" s="160">
        <v>301</v>
      </c>
      <c r="J20" s="160">
        <v>188</v>
      </c>
      <c r="K20" s="160">
        <v>129</v>
      </c>
      <c r="L20" s="160">
        <v>120</v>
      </c>
      <c r="M20" s="161" t="s">
        <v>78</v>
      </c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</row>
    <row r="21" spans="1:36" s="162" customFormat="1" ht="16.5" hidden="1" customHeight="1">
      <c r="A21" s="157" t="s">
        <v>79</v>
      </c>
      <c r="B21" s="158">
        <v>2420</v>
      </c>
      <c r="C21" s="158"/>
      <c r="D21" s="158"/>
      <c r="E21" s="159">
        <v>67</v>
      </c>
      <c r="F21" s="160">
        <v>516</v>
      </c>
      <c r="G21" s="160">
        <v>654</v>
      </c>
      <c r="H21" s="160">
        <v>427</v>
      </c>
      <c r="I21" s="160">
        <v>300</v>
      </c>
      <c r="J21" s="160">
        <v>200</v>
      </c>
      <c r="K21" s="160">
        <v>129</v>
      </c>
      <c r="L21" s="160">
        <v>127</v>
      </c>
      <c r="M21" s="161" t="s">
        <v>80</v>
      </c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</row>
    <row r="22" spans="1:36" s="162" customFormat="1" ht="16.5" hidden="1" customHeight="1">
      <c r="A22" s="152">
        <v>2011</v>
      </c>
      <c r="B22" s="158"/>
      <c r="C22" s="158"/>
      <c r="D22" s="158"/>
      <c r="E22" s="159"/>
      <c r="F22" s="160"/>
      <c r="G22" s="160"/>
      <c r="H22" s="160"/>
      <c r="I22" s="160"/>
      <c r="J22" s="160"/>
      <c r="K22" s="160"/>
      <c r="L22" s="160"/>
      <c r="M22" s="163">
        <v>2011</v>
      </c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</row>
    <row r="23" spans="1:36" s="162" customFormat="1" ht="16.5" hidden="1" customHeight="1">
      <c r="A23" s="157" t="s">
        <v>77</v>
      </c>
      <c r="B23" s="158">
        <v>4686</v>
      </c>
      <c r="C23" s="158">
        <v>26</v>
      </c>
      <c r="D23" s="158">
        <f>E23-C23</f>
        <v>294</v>
      </c>
      <c r="E23" s="159">
        <v>320</v>
      </c>
      <c r="F23" s="160">
        <v>1820</v>
      </c>
      <c r="G23" s="160">
        <v>1328</v>
      </c>
      <c r="H23" s="160">
        <v>542</v>
      </c>
      <c r="I23" s="160">
        <v>279</v>
      </c>
      <c r="J23" s="160">
        <v>158</v>
      </c>
      <c r="K23" s="160">
        <v>117</v>
      </c>
      <c r="L23" s="160">
        <v>122</v>
      </c>
      <c r="M23" s="161" t="s">
        <v>78</v>
      </c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6"/>
      <c r="AH23" s="156"/>
      <c r="AI23" s="156"/>
      <c r="AJ23" s="156"/>
    </row>
    <row r="24" spans="1:36" s="162" customFormat="1" ht="16.5" hidden="1" customHeight="1">
      <c r="A24" s="157" t="s">
        <v>79</v>
      </c>
      <c r="B24" s="158">
        <v>2364</v>
      </c>
      <c r="C24" s="158"/>
      <c r="D24" s="158"/>
      <c r="E24" s="159">
        <v>25</v>
      </c>
      <c r="F24" s="160">
        <v>462</v>
      </c>
      <c r="G24" s="160">
        <v>673</v>
      </c>
      <c r="H24" s="160">
        <v>451</v>
      </c>
      <c r="I24" s="160">
        <v>272</v>
      </c>
      <c r="J24" s="160">
        <v>201</v>
      </c>
      <c r="K24" s="160">
        <v>142</v>
      </c>
      <c r="L24" s="160">
        <v>138</v>
      </c>
      <c r="M24" s="161" t="s">
        <v>80</v>
      </c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</row>
    <row r="25" spans="1:36" s="166" customFormat="1" ht="16.5" hidden="1" customHeight="1">
      <c r="A25" s="164">
        <v>2012</v>
      </c>
      <c r="B25" s="158"/>
      <c r="C25" s="158"/>
      <c r="D25" s="158"/>
      <c r="E25" s="159"/>
      <c r="F25" s="160"/>
      <c r="G25" s="160"/>
      <c r="H25" s="160"/>
      <c r="I25" s="160"/>
      <c r="J25" s="160"/>
      <c r="K25" s="160"/>
      <c r="L25" s="160"/>
      <c r="M25" s="163">
        <v>2012</v>
      </c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</row>
    <row r="26" spans="1:36" s="166" customFormat="1" ht="16.5" hidden="1" customHeight="1">
      <c r="A26" s="167" t="s">
        <v>77</v>
      </c>
      <c r="B26" s="158">
        <v>4652</v>
      </c>
      <c r="C26" s="158">
        <v>24</v>
      </c>
      <c r="D26" s="158">
        <f>E26-C26</f>
        <v>192</v>
      </c>
      <c r="E26" s="159">
        <v>216</v>
      </c>
      <c r="F26" s="160">
        <v>1641</v>
      </c>
      <c r="G26" s="160">
        <v>1405</v>
      </c>
      <c r="H26" s="160">
        <v>603</v>
      </c>
      <c r="I26" s="160">
        <v>307</v>
      </c>
      <c r="J26" s="160">
        <v>204</v>
      </c>
      <c r="K26" s="160">
        <v>137</v>
      </c>
      <c r="L26" s="160">
        <v>139</v>
      </c>
      <c r="M26" s="161" t="s">
        <v>78</v>
      </c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</row>
    <row r="27" spans="1:36" s="165" customFormat="1" ht="16.5" hidden="1" customHeight="1">
      <c r="A27" s="167" t="s">
        <v>79</v>
      </c>
      <c r="B27" s="158">
        <v>2508</v>
      </c>
      <c r="C27" s="158"/>
      <c r="D27" s="158"/>
      <c r="E27" s="159">
        <v>30</v>
      </c>
      <c r="F27" s="160">
        <v>468</v>
      </c>
      <c r="G27" s="160">
        <v>737</v>
      </c>
      <c r="H27" s="160">
        <v>457</v>
      </c>
      <c r="I27" s="160">
        <v>298</v>
      </c>
      <c r="J27" s="160">
        <v>210</v>
      </c>
      <c r="K27" s="160">
        <v>126</v>
      </c>
      <c r="L27" s="160">
        <v>182</v>
      </c>
      <c r="M27" s="161" t="s">
        <v>80</v>
      </c>
    </row>
    <row r="28" spans="1:36" s="166" customFormat="1" ht="16.5" customHeight="1">
      <c r="A28" s="164">
        <v>2013</v>
      </c>
      <c r="B28" s="158"/>
      <c r="C28" s="158"/>
      <c r="D28" s="158"/>
      <c r="E28" s="159"/>
      <c r="F28" s="160"/>
      <c r="G28" s="160"/>
      <c r="H28" s="160"/>
      <c r="I28" s="168"/>
      <c r="J28" s="160"/>
      <c r="K28" s="160"/>
      <c r="L28" s="160"/>
      <c r="M28" s="163">
        <v>2013</v>
      </c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</row>
    <row r="29" spans="1:36" s="166" customFormat="1" ht="16.5" customHeight="1">
      <c r="A29" s="167" t="s">
        <v>77</v>
      </c>
      <c r="B29" s="158">
        <v>4766</v>
      </c>
      <c r="C29" s="158">
        <v>14</v>
      </c>
      <c r="D29" s="158">
        <f>E29-C29</f>
        <v>173</v>
      </c>
      <c r="E29" s="159">
        <v>187</v>
      </c>
      <c r="F29" s="160">
        <v>1580</v>
      </c>
      <c r="G29" s="160">
        <v>1488</v>
      </c>
      <c r="H29" s="160">
        <v>659</v>
      </c>
      <c r="I29" s="160">
        <v>332</v>
      </c>
      <c r="J29" s="160">
        <v>215</v>
      </c>
      <c r="K29" s="160">
        <v>138</v>
      </c>
      <c r="L29" s="160">
        <v>167</v>
      </c>
      <c r="M29" s="161" t="s">
        <v>78</v>
      </c>
      <c r="N29" s="165"/>
      <c r="O29" s="165"/>
      <c r="AD29" s="165"/>
      <c r="AE29" s="165"/>
      <c r="AF29" s="165"/>
      <c r="AG29" s="165"/>
      <c r="AH29" s="165"/>
      <c r="AI29" s="165"/>
      <c r="AJ29" s="165"/>
    </row>
    <row r="30" spans="1:36" s="165" customFormat="1" ht="16.5" customHeight="1">
      <c r="A30" s="167" t="s">
        <v>79</v>
      </c>
      <c r="B30" s="158">
        <v>2810</v>
      </c>
      <c r="C30" s="158"/>
      <c r="D30" s="158"/>
      <c r="E30" s="159">
        <v>35</v>
      </c>
      <c r="F30" s="160">
        <v>490</v>
      </c>
      <c r="G30" s="160">
        <v>845</v>
      </c>
      <c r="H30" s="160">
        <v>533</v>
      </c>
      <c r="I30" s="160">
        <v>302</v>
      </c>
      <c r="J30" s="160">
        <v>253</v>
      </c>
      <c r="K30" s="160">
        <v>169</v>
      </c>
      <c r="L30" s="160">
        <v>183</v>
      </c>
      <c r="M30" s="161" t="s">
        <v>80</v>
      </c>
      <c r="S30" s="166"/>
      <c r="T30" s="166"/>
      <c r="U30" s="166"/>
      <c r="V30" s="166"/>
    </row>
    <row r="31" spans="1:36" s="166" customFormat="1" ht="16.5" customHeight="1">
      <c r="A31" s="164">
        <v>2014</v>
      </c>
      <c r="B31" s="158"/>
      <c r="C31" s="158"/>
      <c r="D31" s="158"/>
      <c r="E31" s="159"/>
      <c r="F31" s="160"/>
      <c r="G31" s="160"/>
      <c r="H31" s="160"/>
      <c r="I31" s="168"/>
      <c r="J31" s="160"/>
      <c r="K31" s="160"/>
      <c r="L31" s="160"/>
      <c r="M31" s="163">
        <v>2014</v>
      </c>
      <c r="N31" s="165"/>
      <c r="O31" s="165"/>
      <c r="AD31" s="165"/>
      <c r="AE31" s="165"/>
      <c r="AF31" s="165"/>
      <c r="AG31" s="165"/>
      <c r="AH31" s="165"/>
      <c r="AI31" s="165"/>
      <c r="AJ31" s="165"/>
    </row>
    <row r="32" spans="1:36" s="166" customFormat="1" ht="16.5" customHeight="1">
      <c r="A32" s="167" t="s">
        <v>77</v>
      </c>
      <c r="B32" s="158">
        <v>4710</v>
      </c>
      <c r="C32" s="158">
        <v>16</v>
      </c>
      <c r="D32" s="158">
        <f>E32-C32</f>
        <v>135</v>
      </c>
      <c r="E32" s="159">
        <v>151</v>
      </c>
      <c r="F32" s="160">
        <v>1599</v>
      </c>
      <c r="G32" s="160">
        <v>1480</v>
      </c>
      <c r="H32" s="160">
        <v>682</v>
      </c>
      <c r="I32" s="160">
        <v>297</v>
      </c>
      <c r="J32" s="160">
        <v>200</v>
      </c>
      <c r="K32" s="160">
        <v>158</v>
      </c>
      <c r="L32" s="160">
        <v>143</v>
      </c>
      <c r="M32" s="161" t="s">
        <v>78</v>
      </c>
      <c r="N32" s="165"/>
      <c r="O32" s="165"/>
      <c r="AD32" s="165"/>
      <c r="AE32" s="165"/>
      <c r="AF32" s="165"/>
      <c r="AG32" s="165"/>
      <c r="AH32" s="165"/>
      <c r="AI32" s="165"/>
      <c r="AJ32" s="165"/>
    </row>
    <row r="33" spans="1:36" s="165" customFormat="1" ht="16.5" customHeight="1">
      <c r="A33" s="167" t="s">
        <v>79</v>
      </c>
      <c r="B33" s="158">
        <v>2852</v>
      </c>
      <c r="C33" s="158"/>
      <c r="D33" s="158"/>
      <c r="E33" s="159">
        <v>31</v>
      </c>
      <c r="F33" s="160">
        <v>453</v>
      </c>
      <c r="G33" s="160">
        <v>827</v>
      </c>
      <c r="H33" s="160">
        <v>580</v>
      </c>
      <c r="I33" s="160">
        <v>338</v>
      </c>
      <c r="J33" s="160">
        <v>238</v>
      </c>
      <c r="K33" s="160">
        <v>178</v>
      </c>
      <c r="L33" s="160">
        <v>207</v>
      </c>
      <c r="M33" s="161" t="s">
        <v>80</v>
      </c>
      <c r="S33" s="166"/>
      <c r="T33" s="166"/>
      <c r="U33" s="166"/>
      <c r="V33" s="166"/>
    </row>
    <row r="34" spans="1:36" s="166" customFormat="1" ht="16.5" customHeight="1">
      <c r="A34" s="164">
        <v>2015</v>
      </c>
      <c r="B34" s="158"/>
      <c r="C34" s="158"/>
      <c r="D34" s="158"/>
      <c r="E34" s="159"/>
      <c r="F34" s="160"/>
      <c r="G34" s="160"/>
      <c r="H34" s="160"/>
      <c r="I34" s="168"/>
      <c r="J34" s="160"/>
      <c r="K34" s="160"/>
      <c r="L34" s="160"/>
      <c r="M34" s="163">
        <v>2015</v>
      </c>
      <c r="N34" s="165"/>
      <c r="O34" s="165"/>
      <c r="AD34" s="165"/>
      <c r="AE34" s="165"/>
      <c r="AF34" s="165"/>
      <c r="AG34" s="165"/>
      <c r="AH34" s="165"/>
      <c r="AI34" s="165"/>
      <c r="AJ34" s="165"/>
    </row>
    <row r="35" spans="1:36" s="166" customFormat="1" ht="16.5" customHeight="1">
      <c r="A35" s="167" t="s">
        <v>77</v>
      </c>
      <c r="B35" s="158">
        <f>SUM(E35:L35)</f>
        <v>4834</v>
      </c>
      <c r="C35" s="158">
        <v>11</v>
      </c>
      <c r="D35" s="158">
        <f>E35-C35</f>
        <v>141</v>
      </c>
      <c r="E35" s="159">
        <v>152</v>
      </c>
      <c r="F35" s="160">
        <v>1457</v>
      </c>
      <c r="G35" s="160">
        <v>1478</v>
      </c>
      <c r="H35" s="160">
        <v>779</v>
      </c>
      <c r="I35" s="160">
        <v>369</v>
      </c>
      <c r="J35" s="160">
        <v>245</v>
      </c>
      <c r="K35" s="160">
        <v>150</v>
      </c>
      <c r="L35" s="160">
        <v>204</v>
      </c>
      <c r="M35" s="161" t="s">
        <v>78</v>
      </c>
      <c r="N35" s="165"/>
      <c r="O35" s="165"/>
      <c r="AD35" s="165"/>
      <c r="AE35" s="165"/>
      <c r="AF35" s="165"/>
      <c r="AG35" s="165"/>
      <c r="AH35" s="165"/>
      <c r="AI35" s="165"/>
      <c r="AJ35" s="165"/>
    </row>
    <row r="36" spans="1:36" s="166" customFormat="1" ht="16.5" customHeight="1">
      <c r="A36" s="169" t="s">
        <v>79</v>
      </c>
      <c r="B36" s="170">
        <f>SUM(E36:L36)</f>
        <v>2576</v>
      </c>
      <c r="C36" s="170"/>
      <c r="D36" s="170"/>
      <c r="E36" s="171">
        <v>25</v>
      </c>
      <c r="F36" s="172">
        <v>335</v>
      </c>
      <c r="G36" s="172">
        <v>696</v>
      </c>
      <c r="H36" s="172">
        <v>576</v>
      </c>
      <c r="I36" s="172">
        <v>351</v>
      </c>
      <c r="J36" s="172">
        <v>250</v>
      </c>
      <c r="K36" s="172">
        <v>145</v>
      </c>
      <c r="L36" s="172">
        <v>198</v>
      </c>
      <c r="M36" s="173" t="s">
        <v>80</v>
      </c>
      <c r="N36" s="165"/>
      <c r="O36" s="165"/>
      <c r="AD36" s="165"/>
      <c r="AE36" s="165"/>
      <c r="AF36" s="165"/>
      <c r="AG36" s="165"/>
      <c r="AH36" s="165"/>
      <c r="AI36" s="165"/>
      <c r="AJ36" s="165"/>
    </row>
    <row r="37" spans="1:36" s="166" customFormat="1" ht="16.5" customHeight="1">
      <c r="A37" s="164">
        <v>2016</v>
      </c>
      <c r="B37" s="158"/>
      <c r="C37" s="158"/>
      <c r="D37" s="158"/>
      <c r="E37" s="159"/>
      <c r="F37" s="160"/>
      <c r="G37" s="160"/>
      <c r="H37" s="160"/>
      <c r="I37" s="168"/>
      <c r="J37" s="160"/>
      <c r="K37" s="160"/>
      <c r="L37" s="160"/>
      <c r="M37" s="163">
        <v>2016</v>
      </c>
      <c r="N37" s="165"/>
      <c r="O37" s="165"/>
      <c r="AD37" s="165"/>
      <c r="AE37" s="165"/>
      <c r="AF37" s="165"/>
      <c r="AG37" s="165"/>
      <c r="AH37" s="165"/>
      <c r="AI37" s="165"/>
      <c r="AJ37" s="165"/>
    </row>
    <row r="38" spans="1:36" s="166" customFormat="1" ht="16.5" customHeight="1">
      <c r="A38" s="167" t="s">
        <v>77</v>
      </c>
      <c r="B38" s="158">
        <f>SUM(E38:L38)</f>
        <v>0</v>
      </c>
      <c r="C38" s="174"/>
      <c r="D38" s="174"/>
      <c r="E38" s="175"/>
      <c r="F38" s="175"/>
      <c r="G38" s="175"/>
      <c r="H38" s="175"/>
      <c r="I38" s="175"/>
      <c r="J38" s="175"/>
      <c r="K38" s="175"/>
      <c r="L38" s="175"/>
      <c r="M38" s="161" t="s">
        <v>78</v>
      </c>
      <c r="N38" s="165"/>
      <c r="O38" s="165"/>
      <c r="AD38" s="165"/>
      <c r="AE38" s="165"/>
      <c r="AF38" s="165"/>
      <c r="AG38" s="165"/>
      <c r="AH38" s="165"/>
      <c r="AI38" s="165"/>
      <c r="AJ38" s="165"/>
    </row>
    <row r="39" spans="1:36" s="166" customFormat="1" ht="16.5" customHeight="1">
      <c r="A39" s="169" t="s">
        <v>79</v>
      </c>
      <c r="B39" s="170">
        <f>SUM(E39:L39)</f>
        <v>0</v>
      </c>
      <c r="C39" s="176"/>
      <c r="D39" s="176"/>
      <c r="E39" s="177"/>
      <c r="F39" s="177"/>
      <c r="G39" s="177"/>
      <c r="H39" s="177"/>
      <c r="I39" s="177"/>
      <c r="J39" s="177"/>
      <c r="K39" s="177"/>
      <c r="L39" s="177"/>
      <c r="M39" s="173" t="s">
        <v>80</v>
      </c>
      <c r="N39" s="165"/>
      <c r="O39" s="165"/>
      <c r="AD39" s="165"/>
      <c r="AE39" s="165"/>
      <c r="AF39" s="165"/>
      <c r="AG39" s="165"/>
      <c r="AH39" s="165"/>
      <c r="AI39" s="165"/>
      <c r="AJ39" s="165"/>
    </row>
    <row r="40" spans="1:36" s="166" customFormat="1" ht="16.5" customHeight="1">
      <c r="A40" s="164">
        <v>2017</v>
      </c>
      <c r="B40" s="158"/>
      <c r="C40" s="174"/>
      <c r="D40" s="174"/>
      <c r="E40" s="175"/>
      <c r="F40" s="175"/>
      <c r="G40" s="175"/>
      <c r="H40" s="175"/>
      <c r="I40" s="178"/>
      <c r="J40" s="175"/>
      <c r="K40" s="175"/>
      <c r="L40" s="175"/>
      <c r="M40" s="163">
        <v>2017</v>
      </c>
      <c r="N40" s="165"/>
      <c r="O40" s="165"/>
      <c r="AD40" s="165"/>
      <c r="AE40" s="165"/>
      <c r="AF40" s="165"/>
      <c r="AG40" s="165"/>
      <c r="AH40" s="165"/>
      <c r="AI40" s="165"/>
      <c r="AJ40" s="165"/>
    </row>
    <row r="41" spans="1:36" s="166" customFormat="1" ht="16.5" customHeight="1">
      <c r="A41" s="167" t="s">
        <v>77</v>
      </c>
      <c r="B41" s="158">
        <f>SUM(E41:L41)</f>
        <v>0</v>
      </c>
      <c r="C41" s="174"/>
      <c r="D41" s="174"/>
      <c r="E41" s="175"/>
      <c r="F41" s="175"/>
      <c r="G41" s="175"/>
      <c r="H41" s="175"/>
      <c r="I41" s="175"/>
      <c r="J41" s="175"/>
      <c r="K41" s="175"/>
      <c r="L41" s="175"/>
      <c r="M41" s="161" t="s">
        <v>78</v>
      </c>
      <c r="N41" s="165"/>
      <c r="O41" s="165"/>
      <c r="AD41" s="165"/>
      <c r="AE41" s="165"/>
      <c r="AF41" s="165"/>
      <c r="AG41" s="165"/>
      <c r="AH41" s="165"/>
      <c r="AI41" s="165"/>
      <c r="AJ41" s="165"/>
    </row>
    <row r="42" spans="1:36" s="166" customFormat="1" ht="16.5" customHeight="1">
      <c r="A42" s="169" t="s">
        <v>79</v>
      </c>
      <c r="B42" s="170">
        <f>SUM(E42:L42)</f>
        <v>0</v>
      </c>
      <c r="C42" s="176"/>
      <c r="D42" s="176"/>
      <c r="E42" s="177"/>
      <c r="F42" s="177"/>
      <c r="G42" s="177"/>
      <c r="H42" s="177"/>
      <c r="I42" s="177"/>
      <c r="J42" s="177"/>
      <c r="K42" s="177"/>
      <c r="L42" s="177"/>
      <c r="M42" s="173" t="s">
        <v>80</v>
      </c>
      <c r="N42" s="165"/>
      <c r="O42" s="165"/>
      <c r="AD42" s="165"/>
      <c r="AE42" s="165"/>
      <c r="AF42" s="165"/>
      <c r="AG42" s="165"/>
      <c r="AH42" s="165"/>
      <c r="AI42" s="165"/>
      <c r="AJ42" s="165"/>
    </row>
    <row r="43" spans="1:36" s="166" customFormat="1" ht="16.5" customHeight="1">
      <c r="A43" s="164">
        <v>2018</v>
      </c>
      <c r="B43" s="158"/>
      <c r="C43" s="174"/>
      <c r="D43" s="174"/>
      <c r="E43" s="175"/>
      <c r="F43" s="175"/>
      <c r="G43" s="175"/>
      <c r="H43" s="175"/>
      <c r="I43" s="178"/>
      <c r="J43" s="175"/>
      <c r="K43" s="175"/>
      <c r="L43" s="175"/>
      <c r="M43" s="163">
        <v>2017</v>
      </c>
      <c r="N43" s="165"/>
      <c r="O43" s="165"/>
      <c r="AD43" s="165"/>
      <c r="AE43" s="165"/>
      <c r="AF43" s="165"/>
      <c r="AG43" s="165"/>
      <c r="AH43" s="165"/>
      <c r="AI43" s="165"/>
      <c r="AJ43" s="165"/>
    </row>
    <row r="44" spans="1:36" s="166" customFormat="1" ht="16.5" customHeight="1">
      <c r="A44" s="167" t="s">
        <v>77</v>
      </c>
      <c r="B44" s="158">
        <f>SUM(E44:L44)</f>
        <v>0</v>
      </c>
      <c r="C44" s="174"/>
      <c r="D44" s="174"/>
      <c r="E44" s="175"/>
      <c r="F44" s="175"/>
      <c r="G44" s="175"/>
      <c r="H44" s="175"/>
      <c r="I44" s="175"/>
      <c r="J44" s="175"/>
      <c r="K44" s="175"/>
      <c r="L44" s="175"/>
      <c r="M44" s="161" t="s">
        <v>78</v>
      </c>
      <c r="N44" s="165"/>
      <c r="O44" s="165"/>
      <c r="AD44" s="165"/>
      <c r="AE44" s="165"/>
      <c r="AF44" s="165"/>
      <c r="AG44" s="165"/>
      <c r="AH44" s="165"/>
      <c r="AI44" s="165"/>
      <c r="AJ44" s="165"/>
    </row>
    <row r="45" spans="1:36" s="166" customFormat="1" ht="16.5" customHeight="1">
      <c r="A45" s="169" t="s">
        <v>79</v>
      </c>
      <c r="B45" s="170">
        <f>SUM(E45:L45)</f>
        <v>0</v>
      </c>
      <c r="C45" s="176"/>
      <c r="D45" s="176"/>
      <c r="E45" s="177"/>
      <c r="F45" s="177"/>
      <c r="G45" s="177"/>
      <c r="H45" s="177"/>
      <c r="I45" s="177"/>
      <c r="J45" s="177"/>
      <c r="K45" s="177"/>
      <c r="L45" s="177"/>
      <c r="M45" s="173" t="s">
        <v>80</v>
      </c>
      <c r="N45" s="165"/>
      <c r="O45" s="165"/>
      <c r="AD45" s="165"/>
      <c r="AE45" s="165"/>
      <c r="AF45" s="165"/>
      <c r="AG45" s="165"/>
      <c r="AH45" s="165"/>
      <c r="AI45" s="165"/>
      <c r="AJ45" s="165"/>
    </row>
    <row r="46" spans="1:36" s="162" customFormat="1" ht="8.25" customHeight="1">
      <c r="A46" s="164">
        <v>2019</v>
      </c>
      <c r="B46" s="158"/>
      <c r="C46" s="174"/>
      <c r="D46" s="174"/>
      <c r="E46" s="175"/>
      <c r="F46" s="175"/>
      <c r="G46" s="175"/>
      <c r="H46" s="175"/>
      <c r="I46" s="178"/>
      <c r="J46" s="175"/>
      <c r="K46" s="175"/>
      <c r="L46" s="175"/>
      <c r="M46" s="163">
        <v>2017</v>
      </c>
      <c r="N46" s="156"/>
      <c r="O46" s="156"/>
      <c r="S46" s="166"/>
      <c r="T46" s="166"/>
      <c r="U46" s="166"/>
      <c r="V46" s="166"/>
      <c r="AD46" s="156"/>
      <c r="AE46" s="156"/>
      <c r="AF46" s="156"/>
      <c r="AG46" s="156"/>
      <c r="AH46" s="156"/>
      <c r="AI46" s="156"/>
      <c r="AJ46" s="156"/>
    </row>
    <row r="47" spans="1:36" s="162" customFormat="1" ht="16.5" customHeight="1">
      <c r="A47" s="167" t="s">
        <v>77</v>
      </c>
      <c r="B47" s="158">
        <f>SUM(E47:L47)</f>
        <v>0</v>
      </c>
      <c r="C47" s="174"/>
      <c r="D47" s="174"/>
      <c r="E47" s="175"/>
      <c r="F47" s="175"/>
      <c r="G47" s="175"/>
      <c r="H47" s="175"/>
      <c r="I47" s="175"/>
      <c r="J47" s="175"/>
      <c r="K47" s="175"/>
      <c r="L47" s="175"/>
      <c r="M47" s="161" t="s">
        <v>78</v>
      </c>
      <c r="N47" s="156"/>
      <c r="O47" s="156"/>
      <c r="S47" s="166"/>
      <c r="T47" s="166"/>
      <c r="U47" s="166"/>
      <c r="V47" s="166"/>
      <c r="AD47" s="156"/>
      <c r="AE47" s="156"/>
      <c r="AF47" s="156"/>
      <c r="AG47" s="156"/>
      <c r="AH47" s="156"/>
      <c r="AI47" s="156"/>
      <c r="AJ47" s="156"/>
    </row>
    <row r="48" spans="1:36" s="151" customFormat="1" ht="21.75" customHeight="1">
      <c r="A48" s="201" t="s">
        <v>79</v>
      </c>
      <c r="B48" s="234">
        <f>SUM(E48:L48)</f>
        <v>0</v>
      </c>
      <c r="C48" s="235"/>
      <c r="D48" s="235"/>
      <c r="E48" s="236"/>
      <c r="F48" s="236"/>
      <c r="G48" s="236"/>
      <c r="H48" s="236"/>
      <c r="I48" s="236"/>
      <c r="J48" s="236"/>
      <c r="K48" s="236"/>
      <c r="L48" s="236"/>
      <c r="M48" s="206" t="s">
        <v>80</v>
      </c>
      <c r="N48" s="150"/>
      <c r="O48" s="150"/>
      <c r="S48" s="166"/>
      <c r="T48" s="166"/>
      <c r="U48" s="166"/>
      <c r="V48" s="166"/>
      <c r="AD48" s="150"/>
      <c r="AE48" s="150"/>
      <c r="AF48" s="150"/>
      <c r="AG48" s="150"/>
      <c r="AH48" s="150"/>
      <c r="AI48" s="150"/>
      <c r="AJ48" s="150"/>
    </row>
    <row r="49" spans="1:36" s="162" customFormat="1" ht="16.5" hidden="1" customHeight="1">
      <c r="A49" s="179"/>
      <c r="B49" s="180"/>
      <c r="C49" s="180"/>
      <c r="D49" s="180"/>
      <c r="E49" s="181"/>
      <c r="F49" s="182"/>
      <c r="G49" s="182"/>
      <c r="H49" s="182"/>
      <c r="I49" s="182"/>
      <c r="J49" s="182"/>
      <c r="K49" s="182"/>
      <c r="L49" s="182"/>
      <c r="N49" s="156"/>
      <c r="O49" s="156"/>
      <c r="S49" s="166"/>
      <c r="T49" s="166"/>
      <c r="U49" s="166"/>
      <c r="V49" s="166"/>
      <c r="AD49" s="156"/>
      <c r="AE49" s="156"/>
      <c r="AF49" s="156"/>
      <c r="AG49" s="156"/>
      <c r="AH49" s="156"/>
      <c r="AI49" s="156"/>
      <c r="AJ49" s="156"/>
    </row>
    <row r="50" spans="1:36" s="162" customFormat="1" ht="16.5" hidden="1" customHeight="1">
      <c r="A50" s="259" t="s">
        <v>81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183" t="s">
        <v>82</v>
      </c>
      <c r="N50" s="156"/>
      <c r="O50" s="156"/>
      <c r="S50" s="166"/>
      <c r="T50" s="166"/>
      <c r="U50" s="166"/>
      <c r="V50" s="166"/>
      <c r="AD50" s="156"/>
      <c r="AE50" s="156"/>
      <c r="AF50" s="156"/>
      <c r="AG50" s="156"/>
      <c r="AH50" s="156"/>
      <c r="AI50" s="156"/>
      <c r="AJ50" s="156"/>
    </row>
    <row r="51" spans="1:36" s="162" customFormat="1" ht="16.5" hidden="1" customHeight="1">
      <c r="A51" s="145" t="s">
        <v>72</v>
      </c>
      <c r="B51" s="146" t="s">
        <v>73</v>
      </c>
      <c r="C51" s="146">
        <v>17</v>
      </c>
      <c r="D51" s="146" t="s">
        <v>74</v>
      </c>
      <c r="E51" s="147" t="s">
        <v>83</v>
      </c>
      <c r="F51" s="148" t="s">
        <v>30</v>
      </c>
      <c r="G51" s="148" t="s">
        <v>32</v>
      </c>
      <c r="H51" s="148" t="s">
        <v>33</v>
      </c>
      <c r="I51" s="148" t="s">
        <v>34</v>
      </c>
      <c r="J51" s="148" t="s">
        <v>35</v>
      </c>
      <c r="K51" s="148" t="s">
        <v>36</v>
      </c>
      <c r="L51" s="148" t="s">
        <v>75</v>
      </c>
      <c r="M51" s="149" t="s">
        <v>76</v>
      </c>
      <c r="N51" s="156"/>
      <c r="O51" s="156"/>
      <c r="S51" s="166"/>
      <c r="T51" s="166"/>
      <c r="U51" s="166"/>
      <c r="V51" s="166"/>
      <c r="AD51" s="156"/>
      <c r="AE51" s="156"/>
      <c r="AF51" s="156"/>
      <c r="AG51" s="156"/>
      <c r="AH51" s="156"/>
      <c r="AI51" s="156"/>
      <c r="AJ51" s="156"/>
    </row>
    <row r="52" spans="1:36" s="162" customFormat="1" ht="16.5" hidden="1" customHeight="1">
      <c r="A52" s="184">
        <v>2004</v>
      </c>
      <c r="B52" s="185"/>
      <c r="C52" s="185"/>
      <c r="D52" s="185"/>
      <c r="E52" s="186"/>
      <c r="F52" s="187"/>
      <c r="G52" s="187"/>
      <c r="H52" s="187"/>
      <c r="I52" s="187"/>
      <c r="J52" s="187"/>
      <c r="K52" s="187"/>
      <c r="L52" s="187"/>
      <c r="M52" s="163">
        <v>2004</v>
      </c>
      <c r="N52" s="156"/>
      <c r="O52" s="156"/>
      <c r="S52" s="166"/>
      <c r="T52" s="166"/>
      <c r="U52" s="166"/>
      <c r="V52" s="166"/>
      <c r="AD52" s="156"/>
      <c r="AE52" s="156"/>
      <c r="AF52" s="156"/>
      <c r="AG52" s="156"/>
      <c r="AH52" s="156"/>
      <c r="AI52" s="156"/>
      <c r="AJ52" s="156"/>
    </row>
    <row r="53" spans="1:36" s="162" customFormat="1" ht="16.5" hidden="1" customHeight="1">
      <c r="A53" s="157" t="s">
        <v>77</v>
      </c>
      <c r="B53" s="188">
        <f>B5/B5*100</f>
        <v>100</v>
      </c>
      <c r="C53" s="188"/>
      <c r="D53" s="188"/>
      <c r="E53" s="189">
        <f t="shared" ref="E53:L53" si="0">(E5/$B$5)*100</f>
        <v>8.4227129337539441</v>
      </c>
      <c r="F53" s="190">
        <f t="shared" si="0"/>
        <v>39.873817034700316</v>
      </c>
      <c r="G53" s="190">
        <f t="shared" si="0"/>
        <v>27.476340694006307</v>
      </c>
      <c r="H53" s="190">
        <f t="shared" si="0"/>
        <v>10.82018927444795</v>
      </c>
      <c r="I53" s="190">
        <f t="shared" si="0"/>
        <v>6.1514195583596214</v>
      </c>
      <c r="J53" s="190">
        <f t="shared" si="0"/>
        <v>3.501577287066246</v>
      </c>
      <c r="K53" s="190">
        <f t="shared" si="0"/>
        <v>1.829652996845426</v>
      </c>
      <c r="L53" s="190">
        <f t="shared" si="0"/>
        <v>1.9242902208201893</v>
      </c>
      <c r="M53" s="161" t="s">
        <v>78</v>
      </c>
      <c r="N53" s="156"/>
      <c r="O53" s="156"/>
      <c r="S53" s="166"/>
      <c r="T53" s="166"/>
      <c r="U53" s="166"/>
      <c r="V53" s="166"/>
      <c r="AD53" s="156"/>
      <c r="AE53" s="156"/>
      <c r="AF53" s="156"/>
      <c r="AG53" s="156"/>
      <c r="AH53" s="156"/>
      <c r="AI53" s="156"/>
      <c r="AJ53" s="156"/>
    </row>
    <row r="54" spans="1:36" s="156" customFormat="1" ht="16.5" hidden="1" customHeight="1">
      <c r="A54" s="157" t="s">
        <v>79</v>
      </c>
      <c r="B54" s="188">
        <f>B6/B6*100</f>
        <v>100</v>
      </c>
      <c r="C54" s="188"/>
      <c r="D54" s="188"/>
      <c r="E54" s="189">
        <f t="shared" ref="E54:L54" si="1">(E6/$B$6)*100</f>
        <v>2.1114864864864864</v>
      </c>
      <c r="F54" s="190">
        <f t="shared" si="1"/>
        <v>17.314189189189189</v>
      </c>
      <c r="G54" s="190">
        <f t="shared" si="1"/>
        <v>24.91554054054054</v>
      </c>
      <c r="H54" s="190">
        <f t="shared" si="1"/>
        <v>20.945945945945947</v>
      </c>
      <c r="I54" s="190">
        <f t="shared" si="1"/>
        <v>14.864864864864865</v>
      </c>
      <c r="J54" s="190">
        <f t="shared" si="1"/>
        <v>8.3614864864864877</v>
      </c>
      <c r="K54" s="190">
        <f t="shared" si="1"/>
        <v>5.6587837837837833</v>
      </c>
      <c r="L54" s="190">
        <f t="shared" si="1"/>
        <v>5.8277027027027026</v>
      </c>
      <c r="M54" s="161" t="s">
        <v>80</v>
      </c>
      <c r="S54" s="166"/>
      <c r="T54" s="166"/>
      <c r="U54" s="166"/>
      <c r="V54" s="166"/>
    </row>
    <row r="55" spans="1:36" s="162" customFormat="1" ht="16.5" hidden="1" customHeight="1">
      <c r="A55" s="152">
        <v>2005</v>
      </c>
      <c r="B55" s="188"/>
      <c r="C55" s="188"/>
      <c r="D55" s="188"/>
      <c r="E55" s="189"/>
      <c r="F55" s="190"/>
      <c r="G55" s="190"/>
      <c r="H55" s="190"/>
      <c r="I55" s="190"/>
      <c r="J55" s="190"/>
      <c r="K55" s="190"/>
      <c r="L55" s="190"/>
      <c r="M55" s="163">
        <v>2005</v>
      </c>
      <c r="N55" s="156"/>
      <c r="O55" s="156"/>
      <c r="S55" s="166"/>
      <c r="T55" s="166"/>
      <c r="U55" s="166"/>
      <c r="V55" s="166"/>
      <c r="AD55" s="156"/>
      <c r="AE55" s="156"/>
      <c r="AF55" s="156"/>
      <c r="AG55" s="156"/>
      <c r="AH55" s="156"/>
      <c r="AI55" s="156"/>
      <c r="AJ55" s="156"/>
    </row>
    <row r="56" spans="1:36" s="193" customFormat="1" ht="16.5" hidden="1" customHeight="1">
      <c r="A56" s="157" t="s">
        <v>77</v>
      </c>
      <c r="B56" s="188">
        <f>B8/B8*100</f>
        <v>100</v>
      </c>
      <c r="C56" s="188"/>
      <c r="D56" s="188"/>
      <c r="E56" s="189">
        <f t="shared" ref="E56:L56" si="2">(E8/$B$8)*100</f>
        <v>7.3488372093023253</v>
      </c>
      <c r="F56" s="190">
        <f t="shared" si="2"/>
        <v>40.651162790697676</v>
      </c>
      <c r="G56" s="190">
        <f t="shared" si="2"/>
        <v>27.232558139534884</v>
      </c>
      <c r="H56" s="190">
        <f t="shared" si="2"/>
        <v>11.302325581395349</v>
      </c>
      <c r="I56" s="190">
        <f t="shared" si="2"/>
        <v>6.0930232558139537</v>
      </c>
      <c r="J56" s="190">
        <f t="shared" si="2"/>
        <v>3.3720930232558142</v>
      </c>
      <c r="K56" s="190">
        <f t="shared" si="2"/>
        <v>1.8372093023255813</v>
      </c>
      <c r="L56" s="190">
        <f t="shared" si="2"/>
        <v>2.1627906976744184</v>
      </c>
      <c r="M56" s="161" t="s">
        <v>78</v>
      </c>
      <c r="N56" s="192"/>
      <c r="O56" s="192"/>
      <c r="S56" s="166"/>
      <c r="T56" s="166"/>
      <c r="U56" s="166"/>
      <c r="V56" s="166"/>
      <c r="AD56" s="194"/>
      <c r="AE56" s="194"/>
      <c r="AF56" s="194"/>
      <c r="AG56" s="194"/>
      <c r="AH56" s="194"/>
      <c r="AI56" s="194"/>
      <c r="AJ56" s="194"/>
    </row>
    <row r="57" spans="1:36" s="162" customFormat="1" ht="16.5" hidden="1" customHeight="1">
      <c r="A57" s="157" t="s">
        <v>79</v>
      </c>
      <c r="B57" s="188">
        <f>B9/B9*100</f>
        <v>100</v>
      </c>
      <c r="C57" s="188"/>
      <c r="D57" s="188"/>
      <c r="E57" s="189">
        <f t="shared" ref="E57:L57" si="3">(E9/$B$9)*100</f>
        <v>1.7647058823529411</v>
      </c>
      <c r="F57" s="190">
        <f t="shared" si="3"/>
        <v>18.71657754010695</v>
      </c>
      <c r="G57" s="190">
        <f t="shared" si="3"/>
        <v>24.81283422459893</v>
      </c>
      <c r="H57" s="190">
        <f t="shared" si="3"/>
        <v>20.427807486631018</v>
      </c>
      <c r="I57" s="190">
        <f t="shared" si="3"/>
        <v>13.422459893048128</v>
      </c>
      <c r="J57" s="190">
        <f t="shared" si="3"/>
        <v>8.0213903743315509</v>
      </c>
      <c r="K57" s="190">
        <f t="shared" si="3"/>
        <v>6.0962566844919781</v>
      </c>
      <c r="L57" s="190">
        <f t="shared" si="3"/>
        <v>6.737967914438503</v>
      </c>
      <c r="M57" s="161" t="s">
        <v>80</v>
      </c>
      <c r="N57" s="156"/>
      <c r="O57" s="156"/>
      <c r="S57" s="166"/>
      <c r="T57" s="166"/>
      <c r="U57" s="166"/>
      <c r="V57" s="166"/>
      <c r="AD57" s="156"/>
      <c r="AE57" s="156"/>
      <c r="AF57" s="156"/>
      <c r="AG57" s="156"/>
      <c r="AH57" s="156"/>
      <c r="AI57" s="156"/>
      <c r="AJ57" s="156"/>
    </row>
    <row r="58" spans="1:36" s="162" customFormat="1" ht="16.5" hidden="1" customHeight="1">
      <c r="A58" s="152">
        <v>2006</v>
      </c>
      <c r="B58" s="188"/>
      <c r="C58" s="188"/>
      <c r="D58" s="188"/>
      <c r="E58" s="191"/>
      <c r="F58" s="179"/>
      <c r="G58" s="179"/>
      <c r="H58" s="179"/>
      <c r="I58" s="179"/>
      <c r="J58" s="179"/>
      <c r="K58" s="179"/>
      <c r="L58" s="179"/>
      <c r="M58" s="163">
        <v>2006</v>
      </c>
      <c r="N58" s="156"/>
      <c r="O58" s="156"/>
      <c r="S58" s="166"/>
      <c r="T58" s="166"/>
      <c r="U58" s="166"/>
      <c r="V58" s="166"/>
      <c r="AD58" s="156"/>
      <c r="AE58" s="156"/>
      <c r="AF58" s="156"/>
      <c r="AG58" s="156"/>
      <c r="AH58" s="156"/>
      <c r="AI58" s="156"/>
      <c r="AJ58" s="156"/>
    </row>
    <row r="59" spans="1:36" s="162" customFormat="1" ht="16.5" hidden="1" customHeight="1">
      <c r="A59" s="157" t="s">
        <v>77</v>
      </c>
      <c r="B59" s="188">
        <f>B11/B11*100</f>
        <v>100</v>
      </c>
      <c r="C59" s="188"/>
      <c r="D59" s="188"/>
      <c r="E59" s="189">
        <f t="shared" ref="E59:L59" si="4">(E11/$B$8)*100</f>
        <v>8.5581395348837219</v>
      </c>
      <c r="F59" s="190">
        <f t="shared" si="4"/>
        <v>50.162790697674417</v>
      </c>
      <c r="G59" s="190">
        <f t="shared" si="4"/>
        <v>30.209302325581394</v>
      </c>
      <c r="H59" s="190">
        <f t="shared" si="4"/>
        <v>13.325581395348838</v>
      </c>
      <c r="I59" s="190">
        <f t="shared" si="4"/>
        <v>6.0465116279069768</v>
      </c>
      <c r="J59" s="190">
        <f t="shared" si="4"/>
        <v>4.279069767441861</v>
      </c>
      <c r="K59" s="190">
        <f t="shared" si="4"/>
        <v>2.8372093023255816</v>
      </c>
      <c r="L59" s="190">
        <f t="shared" si="4"/>
        <v>2.7209302325581395</v>
      </c>
      <c r="M59" s="161" t="s">
        <v>78</v>
      </c>
      <c r="N59" s="156"/>
      <c r="O59" s="156"/>
      <c r="S59" s="166"/>
      <c r="T59" s="166"/>
      <c r="U59" s="166"/>
      <c r="V59" s="166"/>
      <c r="AD59" s="156"/>
      <c r="AE59" s="156"/>
      <c r="AF59" s="156"/>
      <c r="AG59" s="156"/>
      <c r="AH59" s="156"/>
      <c r="AI59" s="156"/>
      <c r="AJ59" s="156"/>
    </row>
    <row r="60" spans="1:36" s="162" customFormat="1" ht="16.5" hidden="1" customHeight="1">
      <c r="A60" s="157" t="s">
        <v>79</v>
      </c>
      <c r="B60" s="188">
        <f>B12/B12*100</f>
        <v>100</v>
      </c>
      <c r="C60" s="188"/>
      <c r="D60" s="188"/>
      <c r="E60" s="189">
        <f t="shared" ref="E60:L60" si="5">(E12/$B$9)*100</f>
        <v>2.1925133689839575</v>
      </c>
      <c r="F60" s="190">
        <f t="shared" si="5"/>
        <v>24.171122994652407</v>
      </c>
      <c r="G60" s="190">
        <f t="shared" si="5"/>
        <v>28.556149732620323</v>
      </c>
      <c r="H60" s="190">
        <f t="shared" si="5"/>
        <v>21.657754010695189</v>
      </c>
      <c r="I60" s="190">
        <f t="shared" si="5"/>
        <v>15.026737967914439</v>
      </c>
      <c r="J60" s="190">
        <f t="shared" si="5"/>
        <v>10.588235294117647</v>
      </c>
      <c r="K60" s="190">
        <f t="shared" si="5"/>
        <v>6.0962566844919781</v>
      </c>
      <c r="L60" s="190">
        <f t="shared" si="5"/>
        <v>6.4705882352941186</v>
      </c>
      <c r="M60" s="161" t="s">
        <v>80</v>
      </c>
      <c r="N60" s="156"/>
      <c r="O60" s="156"/>
      <c r="S60" s="166"/>
      <c r="T60" s="166"/>
      <c r="U60" s="166"/>
      <c r="V60" s="166"/>
      <c r="AD60" s="156"/>
      <c r="AE60" s="156"/>
      <c r="AF60" s="156"/>
      <c r="AG60" s="156"/>
      <c r="AH60" s="156"/>
      <c r="AI60" s="156"/>
      <c r="AJ60" s="156"/>
    </row>
    <row r="61" spans="1:36" s="162" customFormat="1" ht="16.5" hidden="1" customHeight="1">
      <c r="A61" s="152">
        <v>2007</v>
      </c>
      <c r="B61" s="188"/>
      <c r="C61" s="188"/>
      <c r="D61" s="188"/>
      <c r="E61" s="189"/>
      <c r="F61" s="190"/>
      <c r="G61" s="190"/>
      <c r="H61" s="190"/>
      <c r="I61" s="190"/>
      <c r="J61" s="190"/>
      <c r="K61" s="190"/>
      <c r="L61" s="190"/>
      <c r="M61" s="163">
        <v>2007</v>
      </c>
      <c r="N61" s="156"/>
      <c r="O61" s="156"/>
      <c r="S61" s="166"/>
      <c r="T61" s="166"/>
      <c r="U61" s="166"/>
      <c r="V61" s="166"/>
      <c r="AD61" s="156"/>
      <c r="AE61" s="156"/>
      <c r="AF61" s="156"/>
      <c r="AG61" s="156"/>
      <c r="AH61" s="156"/>
      <c r="AI61" s="156"/>
      <c r="AJ61" s="156"/>
    </row>
    <row r="62" spans="1:36" s="162" customFormat="1" ht="16.5" hidden="1" customHeight="1">
      <c r="A62" s="157" t="s">
        <v>77</v>
      </c>
      <c r="B62" s="188">
        <f>B14/B14*100</f>
        <v>100</v>
      </c>
      <c r="C62" s="188"/>
      <c r="D62" s="188"/>
      <c r="E62" s="195">
        <f>E14/B14*100</f>
        <v>7.5709779179810726</v>
      </c>
      <c r="F62" s="196">
        <f>F14/B14*100</f>
        <v>44.104889589905362</v>
      </c>
      <c r="G62" s="196">
        <f>G14/B14*100</f>
        <v>24.940851735015773</v>
      </c>
      <c r="H62" s="196">
        <f>H14/B14*100</f>
        <v>10.528391167192428</v>
      </c>
      <c r="I62" s="196">
        <f>I14/B14*100</f>
        <v>5.9739747634069404</v>
      </c>
      <c r="J62" s="196">
        <f>J14/B14*100</f>
        <v>3.1348580441640377</v>
      </c>
      <c r="K62" s="196">
        <f>K14/B14*100</f>
        <v>1.7941640378548895</v>
      </c>
      <c r="L62" s="196">
        <f>L14/B14*100</f>
        <v>1.9518927444794953</v>
      </c>
      <c r="M62" s="161" t="s">
        <v>78</v>
      </c>
      <c r="N62" s="156"/>
      <c r="O62" s="156"/>
      <c r="S62" s="166"/>
      <c r="T62" s="166"/>
      <c r="U62" s="166"/>
      <c r="V62" s="166"/>
      <c r="AD62" s="156"/>
      <c r="AE62" s="156"/>
      <c r="AF62" s="156"/>
      <c r="AG62" s="156"/>
      <c r="AH62" s="156"/>
      <c r="AI62" s="156"/>
      <c r="AJ62" s="156"/>
    </row>
    <row r="63" spans="1:36" s="162" customFormat="1" ht="16.5" hidden="1" customHeight="1">
      <c r="A63" s="157" t="s">
        <v>79</v>
      </c>
      <c r="B63" s="188">
        <f>B15/B15*100</f>
        <v>100</v>
      </c>
      <c r="C63" s="188"/>
      <c r="D63" s="188"/>
      <c r="E63" s="195">
        <f>E15/B15*100</f>
        <v>1.7636684303350969</v>
      </c>
      <c r="F63" s="196">
        <f>F15/B15*100</f>
        <v>20.326278659611994</v>
      </c>
      <c r="G63" s="196">
        <f>G15/B15*100</f>
        <v>25.132275132275133</v>
      </c>
      <c r="H63" s="196">
        <f>H15/B15*100</f>
        <v>17.768959435626101</v>
      </c>
      <c r="I63" s="196">
        <f>I15/B15*100</f>
        <v>13.580246913580247</v>
      </c>
      <c r="J63" s="196">
        <f>J15/B15*100</f>
        <v>9.6560846560846549</v>
      </c>
      <c r="K63" s="196">
        <f>K15/B15*100</f>
        <v>5.3791887125220459</v>
      </c>
      <c r="L63" s="196">
        <f>L15/B15*100</f>
        <v>6.3932980599647262</v>
      </c>
      <c r="M63" s="161" t="s">
        <v>80</v>
      </c>
      <c r="N63" s="156"/>
      <c r="O63" s="156"/>
      <c r="S63" s="166"/>
      <c r="T63" s="166"/>
      <c r="U63" s="166"/>
      <c r="V63" s="166"/>
      <c r="AD63" s="156"/>
      <c r="AE63" s="156"/>
      <c r="AF63" s="156"/>
      <c r="AG63" s="156"/>
      <c r="AH63" s="156"/>
      <c r="AI63" s="156"/>
      <c r="AJ63" s="156"/>
    </row>
    <row r="64" spans="1:36" s="162" customFormat="1" ht="16.5" hidden="1" customHeight="1">
      <c r="A64" s="152">
        <v>2008</v>
      </c>
      <c r="B64" s="188"/>
      <c r="C64" s="188"/>
      <c r="D64" s="188"/>
      <c r="E64" s="189"/>
      <c r="F64" s="190"/>
      <c r="G64" s="190"/>
      <c r="H64" s="190"/>
      <c r="I64" s="190"/>
      <c r="J64" s="190"/>
      <c r="K64" s="190"/>
      <c r="L64" s="190"/>
      <c r="M64" s="163">
        <v>2008</v>
      </c>
      <c r="N64" s="156"/>
      <c r="O64" s="156"/>
      <c r="S64" s="166"/>
      <c r="T64" s="166"/>
      <c r="U64" s="166"/>
      <c r="V64" s="166"/>
      <c r="AD64" s="156"/>
      <c r="AE64" s="156"/>
      <c r="AF64" s="156"/>
      <c r="AG64" s="156"/>
      <c r="AH64" s="156"/>
      <c r="AI64" s="156"/>
      <c r="AJ64" s="156"/>
    </row>
    <row r="65" spans="1:36" s="162" customFormat="1" ht="16.5" hidden="1" customHeight="1">
      <c r="A65" s="157" t="s">
        <v>77</v>
      </c>
      <c r="B65" s="188">
        <f>B17/B17*100</f>
        <v>100</v>
      </c>
      <c r="C65" s="188"/>
      <c r="D65" s="188"/>
      <c r="E65" s="195">
        <f>E17/B17*100</f>
        <v>7.4714828897338412</v>
      </c>
      <c r="F65" s="196">
        <f>F17/B17*100</f>
        <v>42.699619771863119</v>
      </c>
      <c r="G65" s="196">
        <f>G17/B17*100</f>
        <v>25.798479087452471</v>
      </c>
      <c r="H65" s="196">
        <f>H17/B17*100</f>
        <v>10.456273764258556</v>
      </c>
      <c r="I65" s="196">
        <f>I17/B17*100</f>
        <v>6.2357414448669202</v>
      </c>
      <c r="J65" s="196">
        <f>J17/B17*100</f>
        <v>3.4790874524714828</v>
      </c>
      <c r="K65" s="196">
        <f>K17/B17*100</f>
        <v>2.1863117870722433</v>
      </c>
      <c r="L65" s="196">
        <f>L17/B17*100</f>
        <v>1.6730038022813687</v>
      </c>
      <c r="M65" s="161" t="s">
        <v>78</v>
      </c>
      <c r="N65" s="156"/>
      <c r="O65" s="156"/>
      <c r="S65" s="166"/>
      <c r="T65" s="166"/>
      <c r="U65" s="166"/>
      <c r="V65" s="166"/>
      <c r="AD65" s="156"/>
      <c r="AE65" s="156"/>
      <c r="AF65" s="156"/>
      <c r="AG65" s="156"/>
      <c r="AH65" s="156"/>
      <c r="AI65" s="156"/>
      <c r="AJ65" s="156"/>
    </row>
    <row r="66" spans="1:36" s="162" customFormat="1" ht="16.5" hidden="1" customHeight="1">
      <c r="A66" s="157" t="s">
        <v>79</v>
      </c>
      <c r="B66" s="188">
        <f>B18/B18*100</f>
        <v>100</v>
      </c>
      <c r="C66" s="188"/>
      <c r="D66" s="188"/>
      <c r="E66" s="195">
        <f>E18/B18*100</f>
        <v>1.7695473251028806</v>
      </c>
      <c r="F66" s="196">
        <f>F18/B18*100</f>
        <v>23.086419753086421</v>
      </c>
      <c r="G66" s="196">
        <f>G18/B18*100</f>
        <v>25.102880658436217</v>
      </c>
      <c r="H66" s="196">
        <f>H18/B18*100</f>
        <v>17.407407407407408</v>
      </c>
      <c r="I66" s="196">
        <f>I18/B18*100</f>
        <v>13.209876543209875</v>
      </c>
      <c r="J66" s="196">
        <f>J18/B18*100</f>
        <v>8.3950617283950617</v>
      </c>
      <c r="K66" s="196">
        <f>K18/B18*100</f>
        <v>4.8148148148148149</v>
      </c>
      <c r="L66" s="196">
        <f>L18/B18*100</f>
        <v>6.2139917695473255</v>
      </c>
      <c r="M66" s="161" t="s">
        <v>80</v>
      </c>
      <c r="N66" s="156"/>
      <c r="O66" s="156"/>
      <c r="S66" s="166"/>
      <c r="T66" s="166"/>
      <c r="U66" s="166"/>
      <c r="V66" s="166"/>
      <c r="AD66" s="156"/>
      <c r="AE66" s="156"/>
      <c r="AF66" s="156"/>
      <c r="AG66" s="156"/>
      <c r="AH66" s="156"/>
      <c r="AI66" s="156"/>
      <c r="AJ66" s="156"/>
    </row>
    <row r="67" spans="1:36" s="162" customFormat="1" ht="15" hidden="1" customHeight="1">
      <c r="A67" s="152">
        <v>2009</v>
      </c>
      <c r="B67" s="188"/>
      <c r="C67" s="188"/>
      <c r="D67" s="188"/>
      <c r="E67" s="189"/>
      <c r="F67" s="190"/>
      <c r="G67" s="190"/>
      <c r="H67" s="190"/>
      <c r="I67" s="190"/>
      <c r="J67" s="190"/>
      <c r="K67" s="190"/>
      <c r="L67" s="190"/>
      <c r="M67" s="163">
        <v>2009</v>
      </c>
      <c r="N67" s="156"/>
      <c r="O67" s="156"/>
      <c r="S67" s="166"/>
      <c r="T67" s="166"/>
      <c r="U67" s="166"/>
      <c r="V67" s="166"/>
      <c r="AD67" s="156"/>
      <c r="AE67" s="156"/>
      <c r="AF67" s="156"/>
      <c r="AG67" s="156"/>
      <c r="AH67" s="156"/>
      <c r="AI67" s="156"/>
      <c r="AJ67" s="156"/>
    </row>
    <row r="68" spans="1:36" s="162" customFormat="1" ht="16.5" hidden="1" customHeight="1">
      <c r="A68" s="157" t="s">
        <v>77</v>
      </c>
      <c r="B68" s="188">
        <f>B20/B20*100</f>
        <v>100</v>
      </c>
      <c r="C68" s="188"/>
      <c r="D68" s="188"/>
      <c r="E68" s="195">
        <f>E20/B20*100</f>
        <v>7.7537058152793614</v>
      </c>
      <c r="F68" s="196">
        <f>F20/B20*100</f>
        <v>41.410110224249337</v>
      </c>
      <c r="G68" s="196">
        <f>G20/B20*100</f>
        <v>26.567844925883694</v>
      </c>
      <c r="H68" s="196">
        <f>H20/B20*100</f>
        <v>10.243253515773471</v>
      </c>
      <c r="I68" s="196">
        <f>I20/B20*100</f>
        <v>5.7202584568605097</v>
      </c>
      <c r="J68" s="196">
        <f>J20/B20*100</f>
        <v>3.5727860129228435</v>
      </c>
      <c r="K68" s="196">
        <f>K20/B20*100</f>
        <v>2.4515393386545039</v>
      </c>
      <c r="L68" s="196">
        <f>L20/B20*100</f>
        <v>2.2805017103762828</v>
      </c>
      <c r="M68" s="161" t="s">
        <v>78</v>
      </c>
      <c r="N68" s="156"/>
      <c r="O68" s="156"/>
      <c r="P68" s="156"/>
      <c r="Q68" s="156"/>
      <c r="R68" s="156"/>
      <c r="S68" s="166"/>
      <c r="T68" s="166"/>
      <c r="U68" s="166"/>
      <c r="V68" s="16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</row>
    <row r="69" spans="1:36" s="162" customFormat="1" ht="16.5" hidden="1" customHeight="1">
      <c r="A69" s="157" t="s">
        <v>79</v>
      </c>
      <c r="B69" s="188">
        <f>B21/B21*100</f>
        <v>100</v>
      </c>
      <c r="C69" s="188"/>
      <c r="D69" s="188"/>
      <c r="E69" s="195">
        <f>E21/B21*100</f>
        <v>2.7685950413223139</v>
      </c>
      <c r="F69" s="196">
        <f>F21/B21*100</f>
        <v>21.322314049586776</v>
      </c>
      <c r="G69" s="196">
        <f>G21/B21*100</f>
        <v>27.024793388429753</v>
      </c>
      <c r="H69" s="196">
        <f>H21/B21*100</f>
        <v>17.644628099173552</v>
      </c>
      <c r="I69" s="196">
        <f>I21/B21*100</f>
        <v>12.396694214876034</v>
      </c>
      <c r="J69" s="196">
        <f>J21/B21*100</f>
        <v>8.2644628099173563</v>
      </c>
      <c r="K69" s="196">
        <f>K21/B21*100</f>
        <v>5.330578512396694</v>
      </c>
      <c r="L69" s="196">
        <f>L21/B21*100</f>
        <v>5.2479338842975203</v>
      </c>
      <c r="M69" s="161" t="s">
        <v>80</v>
      </c>
      <c r="N69" s="156"/>
      <c r="O69" s="156"/>
      <c r="P69" s="156"/>
      <c r="Q69" s="156"/>
      <c r="R69" s="156"/>
      <c r="S69" s="166"/>
      <c r="T69" s="166"/>
      <c r="U69" s="166"/>
      <c r="V69" s="166"/>
      <c r="W69" s="156"/>
      <c r="X69" s="156"/>
      <c r="Y69" s="156"/>
      <c r="Z69" s="156"/>
      <c r="AA69" s="156"/>
      <c r="AB69" s="156"/>
      <c r="AC69" s="156"/>
      <c r="AD69" s="156"/>
      <c r="AE69" s="156"/>
      <c r="AF69" s="156"/>
      <c r="AG69" s="156"/>
      <c r="AH69" s="156"/>
      <c r="AI69" s="156"/>
      <c r="AJ69" s="156"/>
    </row>
    <row r="70" spans="1:36" s="166" customFormat="1" ht="16.5" hidden="1" customHeight="1">
      <c r="A70" s="152">
        <v>2011</v>
      </c>
      <c r="B70" s="188"/>
      <c r="C70" s="188"/>
      <c r="D70" s="188"/>
      <c r="E70" s="189"/>
      <c r="F70" s="190"/>
      <c r="G70" s="190"/>
      <c r="H70" s="190"/>
      <c r="I70" s="190"/>
      <c r="J70" s="190"/>
      <c r="K70" s="190"/>
      <c r="L70" s="190"/>
      <c r="M70" s="163">
        <v>2011</v>
      </c>
      <c r="N70" s="165"/>
      <c r="O70" s="165"/>
      <c r="P70" s="165"/>
      <c r="Q70" s="165"/>
      <c r="R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</row>
    <row r="71" spans="1:36" s="166" customFormat="1" ht="16.5" hidden="1" customHeight="1">
      <c r="A71" s="157" t="s">
        <v>77</v>
      </c>
      <c r="B71" s="188">
        <f>B23/B23*100</f>
        <v>100</v>
      </c>
      <c r="C71" s="195">
        <f>C23/B23*100</f>
        <v>0.55484421681604779</v>
      </c>
      <c r="D71" s="195">
        <f>D23/B23*100</f>
        <v>6.2740076824583868</v>
      </c>
      <c r="E71" s="195">
        <f>E23/B23*100</f>
        <v>6.8288518992744347</v>
      </c>
      <c r="F71" s="196">
        <f>F23/B23*100</f>
        <v>38.839095177123347</v>
      </c>
      <c r="G71" s="196">
        <f>G23/B23*100</f>
        <v>28.339735381988902</v>
      </c>
      <c r="H71" s="196">
        <f>H23/B23*100</f>
        <v>11.566367904396072</v>
      </c>
      <c r="I71" s="196">
        <f>I23/B23*100</f>
        <v>5.9539052496798979</v>
      </c>
      <c r="J71" s="196">
        <f>J23/B23*100</f>
        <v>3.3717456252667519</v>
      </c>
      <c r="K71" s="196">
        <f>K23/B23*100</f>
        <v>2.4967989756722151</v>
      </c>
      <c r="L71" s="196">
        <f>L23/B23*100</f>
        <v>2.6034997865983782</v>
      </c>
      <c r="M71" s="161" t="s">
        <v>78</v>
      </c>
      <c r="N71" s="165"/>
      <c r="O71" s="165"/>
      <c r="P71" s="165"/>
      <c r="Q71" s="165"/>
      <c r="R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</row>
    <row r="72" spans="1:36" s="165" customFormat="1" ht="16.5" hidden="1" customHeight="1">
      <c r="A72" s="157" t="s">
        <v>79</v>
      </c>
      <c r="B72" s="188">
        <f>B24/B24*100</f>
        <v>100</v>
      </c>
      <c r="C72" s="195">
        <f>C24/B24*100</f>
        <v>0</v>
      </c>
      <c r="D72" s="195">
        <f>D24/B24*100</f>
        <v>0</v>
      </c>
      <c r="E72" s="195">
        <f>E24/B24*100</f>
        <v>1.0575296108291032</v>
      </c>
      <c r="F72" s="196">
        <f>F24/B24*100</f>
        <v>19.543147208121827</v>
      </c>
      <c r="G72" s="196">
        <f>G24/B24*100</f>
        <v>28.468697123519458</v>
      </c>
      <c r="H72" s="196">
        <f>H24/B24*100</f>
        <v>19.077834179357023</v>
      </c>
      <c r="I72" s="196">
        <f>I24/B24*100</f>
        <v>11.505922165820643</v>
      </c>
      <c r="J72" s="196">
        <f>J24/B24*100</f>
        <v>8.5025380710659899</v>
      </c>
      <c r="K72" s="196">
        <f>K24/B24*100</f>
        <v>6.0067681895093061</v>
      </c>
      <c r="L72" s="196">
        <f>L24/B24*100</f>
        <v>5.8375634517766501</v>
      </c>
      <c r="M72" s="161" t="s">
        <v>80</v>
      </c>
      <c r="S72" s="166"/>
      <c r="T72" s="166"/>
      <c r="U72" s="166"/>
      <c r="V72" s="166"/>
    </row>
    <row r="73" spans="1:36" s="166" customFormat="1" ht="16.5" customHeight="1">
      <c r="A73" s="164">
        <v>2012</v>
      </c>
      <c r="B73" s="188"/>
      <c r="C73" s="195"/>
      <c r="D73" s="195"/>
      <c r="E73" s="197"/>
      <c r="F73" s="198"/>
      <c r="G73" s="198"/>
      <c r="H73" s="198"/>
      <c r="I73" s="198"/>
      <c r="J73" s="198"/>
      <c r="K73" s="198"/>
      <c r="L73" s="198"/>
      <c r="M73" s="163">
        <v>2012</v>
      </c>
      <c r="N73" s="165"/>
      <c r="O73" s="165"/>
      <c r="P73" s="165"/>
      <c r="Q73" s="165"/>
      <c r="R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  <c r="AI73" s="165"/>
      <c r="AJ73" s="165"/>
    </row>
    <row r="74" spans="1:36" s="166" customFormat="1" ht="16.5" customHeight="1">
      <c r="A74" s="167" t="s">
        <v>77</v>
      </c>
      <c r="B74" s="188">
        <f>B26/B26*100</f>
        <v>100</v>
      </c>
      <c r="C74" s="195">
        <f t="shared" ref="C74:C84" si="6">C26/B26*100</f>
        <v>0.51590713671539123</v>
      </c>
      <c r="D74" s="195">
        <f t="shared" ref="D74:D84" si="7">D26/B26*100</f>
        <v>4.1272570937231299</v>
      </c>
      <c r="E74" s="199">
        <f>E26/$B$26*100</f>
        <v>4.6431642304385212</v>
      </c>
      <c r="F74" s="200">
        <f t="shared" ref="F74:K74" si="8">F26/$B$26*100</f>
        <v>35.275150472914873</v>
      </c>
      <c r="G74" s="200">
        <f>G26/$B$26*100</f>
        <v>30.20206362854686</v>
      </c>
      <c r="H74" s="200">
        <f>H26/$B$26*100</f>
        <v>12.962166809974205</v>
      </c>
      <c r="I74" s="200">
        <f t="shared" si="8"/>
        <v>6.5993121238177128</v>
      </c>
      <c r="J74" s="200">
        <f t="shared" si="8"/>
        <v>4.3852106620808255</v>
      </c>
      <c r="K74" s="200">
        <f t="shared" si="8"/>
        <v>2.9449699054170253</v>
      </c>
      <c r="L74" s="200">
        <f>L26/$B$26*100</f>
        <v>2.9879621668099743</v>
      </c>
      <c r="M74" s="161" t="s">
        <v>78</v>
      </c>
      <c r="N74" s="165"/>
      <c r="O74" s="165"/>
      <c r="P74" s="165"/>
      <c r="Q74" s="165"/>
      <c r="R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</row>
    <row r="75" spans="1:36" s="165" customFormat="1" ht="16.5" customHeight="1">
      <c r="A75" s="167" t="s">
        <v>79</v>
      </c>
      <c r="B75" s="188">
        <f>B27/B27*100</f>
        <v>100</v>
      </c>
      <c r="C75" s="195">
        <f t="shared" si="6"/>
        <v>0</v>
      </c>
      <c r="D75" s="195">
        <f t="shared" si="7"/>
        <v>0</v>
      </c>
      <c r="E75" s="199">
        <f t="shared" ref="E75:L75" si="9">E27/$B$27*100</f>
        <v>1.1961722488038278</v>
      </c>
      <c r="F75" s="200">
        <f t="shared" si="9"/>
        <v>18.660287081339714</v>
      </c>
      <c r="G75" s="200">
        <f t="shared" si="9"/>
        <v>29.385964912280706</v>
      </c>
      <c r="H75" s="200">
        <f t="shared" si="9"/>
        <v>18.221690590111642</v>
      </c>
      <c r="I75" s="200">
        <f t="shared" si="9"/>
        <v>11.881977671451356</v>
      </c>
      <c r="J75" s="200">
        <f t="shared" si="9"/>
        <v>8.3732057416267942</v>
      </c>
      <c r="K75" s="200">
        <f t="shared" si="9"/>
        <v>5.0239234449760763</v>
      </c>
      <c r="L75" s="200">
        <f t="shared" si="9"/>
        <v>7.2567783094098877</v>
      </c>
      <c r="M75" s="161" t="s">
        <v>80</v>
      </c>
      <c r="S75" s="166"/>
      <c r="T75" s="166"/>
      <c r="U75" s="166"/>
      <c r="V75" s="166"/>
    </row>
    <row r="76" spans="1:36" s="166" customFormat="1" ht="16.5" customHeight="1">
      <c r="A76" s="164">
        <v>2013</v>
      </c>
      <c r="B76" s="188"/>
      <c r="C76" s="195"/>
      <c r="D76" s="195"/>
      <c r="E76" s="197"/>
      <c r="F76" s="198"/>
      <c r="G76" s="198"/>
      <c r="H76" s="198"/>
      <c r="I76" s="198"/>
      <c r="J76" s="198"/>
      <c r="K76" s="198"/>
      <c r="L76" s="198"/>
      <c r="M76" s="163">
        <v>2013</v>
      </c>
      <c r="N76" s="165"/>
      <c r="O76" s="165"/>
      <c r="P76" s="165"/>
      <c r="Q76" s="165"/>
      <c r="R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  <c r="AI76" s="165"/>
      <c r="AJ76" s="165"/>
    </row>
    <row r="77" spans="1:36" s="166" customFormat="1" ht="16.5" customHeight="1">
      <c r="A77" s="167" t="s">
        <v>77</v>
      </c>
      <c r="B77" s="188">
        <f>B29/B29*100</f>
        <v>100</v>
      </c>
      <c r="C77" s="195">
        <f t="shared" si="6"/>
        <v>0.29374737725556022</v>
      </c>
      <c r="D77" s="195">
        <f t="shared" si="7"/>
        <v>3.6298783046579941</v>
      </c>
      <c r="E77" s="199">
        <f>E29/$B$29*100</f>
        <v>3.923625681913554</v>
      </c>
      <c r="F77" s="200">
        <f t="shared" ref="F77:L77" si="10">F29/$B$29*100</f>
        <v>33.151489718841795</v>
      </c>
      <c r="G77" s="200">
        <f t="shared" si="10"/>
        <v>31.221149811162402</v>
      </c>
      <c r="H77" s="200">
        <f t="shared" si="10"/>
        <v>13.827108686529584</v>
      </c>
      <c r="I77" s="200">
        <f t="shared" si="10"/>
        <v>6.9660092320604283</v>
      </c>
      <c r="J77" s="200">
        <f t="shared" si="10"/>
        <v>4.5111204364246742</v>
      </c>
      <c r="K77" s="200">
        <f t="shared" si="10"/>
        <v>2.8955098615190935</v>
      </c>
      <c r="L77" s="200">
        <f t="shared" si="10"/>
        <v>3.5039865715484684</v>
      </c>
      <c r="M77" s="161" t="s">
        <v>78</v>
      </c>
      <c r="N77" s="165"/>
      <c r="O77" s="165"/>
      <c r="P77" s="165"/>
      <c r="Q77" s="165"/>
      <c r="R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  <c r="AI77" s="165"/>
      <c r="AJ77" s="165"/>
    </row>
    <row r="78" spans="1:36" s="165" customFormat="1" ht="16.5" customHeight="1">
      <c r="A78" s="201" t="s">
        <v>79</v>
      </c>
      <c r="B78" s="202">
        <f>B30/B30*100</f>
        <v>100</v>
      </c>
      <c r="C78" s="203">
        <f t="shared" si="6"/>
        <v>0</v>
      </c>
      <c r="D78" s="203">
        <f t="shared" si="7"/>
        <v>0</v>
      </c>
      <c r="E78" s="204">
        <f t="shared" ref="E78:L78" si="11">E30/$B$30*100</f>
        <v>1.2455516014234875</v>
      </c>
      <c r="F78" s="205">
        <f t="shared" si="11"/>
        <v>17.437722419928825</v>
      </c>
      <c r="G78" s="205">
        <f t="shared" si="11"/>
        <v>30.071174377224196</v>
      </c>
      <c r="H78" s="205">
        <f t="shared" si="11"/>
        <v>18.967971530249113</v>
      </c>
      <c r="I78" s="205">
        <f t="shared" si="11"/>
        <v>10.747330960854093</v>
      </c>
      <c r="J78" s="205">
        <f t="shared" si="11"/>
        <v>9.0035587188612105</v>
      </c>
      <c r="K78" s="205">
        <f t="shared" si="11"/>
        <v>6.0142348754448394</v>
      </c>
      <c r="L78" s="205">
        <f t="shared" si="11"/>
        <v>6.5124555160142341</v>
      </c>
      <c r="M78" s="206" t="s">
        <v>80</v>
      </c>
    </row>
    <row r="79" spans="1:36" s="166" customFormat="1" ht="16.5" customHeight="1">
      <c r="A79" s="164">
        <v>2014</v>
      </c>
      <c r="B79" s="188"/>
      <c r="C79" s="195"/>
      <c r="D79" s="195"/>
      <c r="E79" s="197"/>
      <c r="F79" s="198"/>
      <c r="G79" s="198"/>
      <c r="H79" s="198"/>
      <c r="I79" s="198"/>
      <c r="J79" s="198"/>
      <c r="K79" s="198"/>
      <c r="L79" s="198"/>
      <c r="M79" s="163">
        <v>2014</v>
      </c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  <c r="AI79" s="165"/>
      <c r="AJ79" s="165"/>
    </row>
    <row r="80" spans="1:36" s="166" customFormat="1" ht="16.5" customHeight="1">
      <c r="A80" s="167" t="s">
        <v>77</v>
      </c>
      <c r="B80" s="188">
        <f>B29/B29*100</f>
        <v>100</v>
      </c>
      <c r="C80" s="195">
        <f t="shared" si="6"/>
        <v>0.33970276008492573</v>
      </c>
      <c r="D80" s="195">
        <f t="shared" si="7"/>
        <v>2.8662420382165608</v>
      </c>
      <c r="E80" s="199">
        <f t="shared" ref="E80:L80" si="12">E32/$B$32*100</f>
        <v>3.2059447983014864</v>
      </c>
      <c r="F80" s="200">
        <f t="shared" si="12"/>
        <v>33.949044585987259</v>
      </c>
      <c r="G80" s="200">
        <f t="shared" si="12"/>
        <v>31.422505307855626</v>
      </c>
      <c r="H80" s="200">
        <f t="shared" si="12"/>
        <v>14.479830148619957</v>
      </c>
      <c r="I80" s="200">
        <f t="shared" si="12"/>
        <v>6.3057324840764331</v>
      </c>
      <c r="J80" s="200">
        <f t="shared" si="12"/>
        <v>4.2462845010615711</v>
      </c>
      <c r="K80" s="200">
        <f t="shared" si="12"/>
        <v>3.3545647558386413</v>
      </c>
      <c r="L80" s="200">
        <f t="shared" si="12"/>
        <v>3.0360934182590236</v>
      </c>
      <c r="M80" s="161" t="s">
        <v>78</v>
      </c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  <c r="AI80" s="165"/>
      <c r="AJ80" s="165"/>
    </row>
    <row r="81" spans="1:36" s="166" customFormat="1" ht="16.5" customHeight="1">
      <c r="A81" s="201" t="s">
        <v>79</v>
      </c>
      <c r="B81" s="202">
        <f>B30/B30*100</f>
        <v>100</v>
      </c>
      <c r="C81" s="203">
        <f t="shared" si="6"/>
        <v>0</v>
      </c>
      <c r="D81" s="203">
        <f t="shared" si="7"/>
        <v>0</v>
      </c>
      <c r="E81" s="204">
        <f t="shared" ref="E81:L81" si="13">E33/$B$33*100</f>
        <v>1.0869565217391304</v>
      </c>
      <c r="F81" s="205">
        <f t="shared" si="13"/>
        <v>15.8835904628331</v>
      </c>
      <c r="G81" s="205">
        <f t="shared" si="13"/>
        <v>28.997194950911641</v>
      </c>
      <c r="H81" s="205">
        <f t="shared" si="13"/>
        <v>20.336605890603085</v>
      </c>
      <c r="I81" s="205">
        <f t="shared" si="13"/>
        <v>11.85133239831697</v>
      </c>
      <c r="J81" s="205">
        <f t="shared" si="13"/>
        <v>8.3450210378681628</v>
      </c>
      <c r="K81" s="205">
        <f t="shared" si="13"/>
        <v>6.2412342215988774</v>
      </c>
      <c r="L81" s="205">
        <f t="shared" si="13"/>
        <v>7.2580645161290329</v>
      </c>
      <c r="M81" s="206" t="s">
        <v>80</v>
      </c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</row>
    <row r="82" spans="1:36" s="166" customFormat="1" ht="16.5" customHeight="1">
      <c r="A82" s="164">
        <v>2015</v>
      </c>
      <c r="B82" s="188"/>
      <c r="C82" s="195"/>
      <c r="D82" s="195"/>
      <c r="E82" s="197"/>
      <c r="F82" s="198"/>
      <c r="G82" s="198"/>
      <c r="H82" s="198"/>
      <c r="I82" s="198"/>
      <c r="J82" s="198"/>
      <c r="K82" s="198"/>
      <c r="L82" s="198"/>
      <c r="M82" s="163">
        <v>2015</v>
      </c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  <c r="AI82" s="165"/>
      <c r="AJ82" s="165"/>
    </row>
    <row r="83" spans="1:36" s="166" customFormat="1" ht="16.5" customHeight="1">
      <c r="A83" s="167" t="s">
        <v>77</v>
      </c>
      <c r="B83" s="188">
        <f>B32/B32*100</f>
        <v>100</v>
      </c>
      <c r="C83" s="195">
        <f t="shared" si="6"/>
        <v>0.22755482002482416</v>
      </c>
      <c r="D83" s="195">
        <f t="shared" si="7"/>
        <v>2.916839056681837</v>
      </c>
      <c r="E83" s="199">
        <f t="shared" ref="E83:L83" si="14">E35/$B$35*100</f>
        <v>3.144393876706661</v>
      </c>
      <c r="F83" s="200">
        <f t="shared" si="14"/>
        <v>30.140670252378982</v>
      </c>
      <c r="G83" s="200">
        <f t="shared" si="14"/>
        <v>30.575093090608192</v>
      </c>
      <c r="H83" s="200">
        <f t="shared" si="14"/>
        <v>16.115018618121638</v>
      </c>
      <c r="I83" s="200">
        <f t="shared" si="14"/>
        <v>7.6334298717418285</v>
      </c>
      <c r="J83" s="200">
        <f t="shared" si="14"/>
        <v>5.0682664460074474</v>
      </c>
      <c r="K83" s="200">
        <f t="shared" si="14"/>
        <v>3.1030202730657841</v>
      </c>
      <c r="L83" s="200">
        <f t="shared" si="14"/>
        <v>4.220107571369466</v>
      </c>
      <c r="M83" s="161" t="s">
        <v>78</v>
      </c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  <c r="AI83" s="165"/>
      <c r="AJ83" s="165"/>
    </row>
    <row r="84" spans="1:36" s="166" customFormat="1" ht="16.5" customHeight="1">
      <c r="A84" s="201" t="s">
        <v>79</v>
      </c>
      <c r="B84" s="202">
        <f>B33/B33*100</f>
        <v>100</v>
      </c>
      <c r="C84" s="203">
        <f t="shared" si="6"/>
        <v>0</v>
      </c>
      <c r="D84" s="203">
        <f t="shared" si="7"/>
        <v>0</v>
      </c>
      <c r="E84" s="204">
        <f t="shared" ref="E84:L84" si="15">E36/$B$36*100</f>
        <v>0.9704968944099378</v>
      </c>
      <c r="F84" s="205">
        <f t="shared" si="15"/>
        <v>13.004658385093167</v>
      </c>
      <c r="G84" s="205">
        <f t="shared" si="15"/>
        <v>27.018633540372672</v>
      </c>
      <c r="H84" s="205">
        <f t="shared" si="15"/>
        <v>22.36024844720497</v>
      </c>
      <c r="I84" s="205">
        <f t="shared" si="15"/>
        <v>13.625776397515526</v>
      </c>
      <c r="J84" s="205">
        <f t="shared" si="15"/>
        <v>9.7049689440993792</v>
      </c>
      <c r="K84" s="205">
        <f t="shared" si="15"/>
        <v>5.6288819875776399</v>
      </c>
      <c r="L84" s="205">
        <f t="shared" si="15"/>
        <v>7.6863354037267086</v>
      </c>
      <c r="M84" s="206" t="s">
        <v>80</v>
      </c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  <c r="AI84" s="165"/>
      <c r="AJ84" s="165"/>
    </row>
    <row r="85" spans="1:36" s="166" customFormat="1" ht="16.5" customHeight="1">
      <c r="A85" s="164">
        <v>2016</v>
      </c>
      <c r="B85" s="188"/>
      <c r="C85" s="237"/>
      <c r="D85" s="237"/>
      <c r="E85" s="197"/>
      <c r="F85" s="198"/>
      <c r="G85" s="198"/>
      <c r="H85" s="198"/>
      <c r="I85" s="198"/>
      <c r="J85" s="198"/>
      <c r="K85" s="198"/>
      <c r="L85" s="198"/>
      <c r="M85" s="163">
        <v>2016</v>
      </c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  <c r="AI85" s="165"/>
      <c r="AJ85" s="165"/>
    </row>
    <row r="86" spans="1:36" s="166" customFormat="1" ht="16.5" customHeight="1">
      <c r="A86" s="167" t="s">
        <v>77</v>
      </c>
      <c r="B86" s="188">
        <f>B35/B35*100</f>
        <v>100</v>
      </c>
      <c r="C86" s="237"/>
      <c r="D86" s="237"/>
      <c r="E86" s="199">
        <f t="shared" ref="E86:L86" si="16">E38/$B$35*100</f>
        <v>0</v>
      </c>
      <c r="F86" s="200">
        <f t="shared" si="16"/>
        <v>0</v>
      </c>
      <c r="G86" s="200">
        <f t="shared" si="16"/>
        <v>0</v>
      </c>
      <c r="H86" s="200">
        <f t="shared" si="16"/>
        <v>0</v>
      </c>
      <c r="I86" s="200">
        <f t="shared" si="16"/>
        <v>0</v>
      </c>
      <c r="J86" s="200">
        <f t="shared" si="16"/>
        <v>0</v>
      </c>
      <c r="K86" s="200">
        <f t="shared" si="16"/>
        <v>0</v>
      </c>
      <c r="L86" s="200">
        <f t="shared" si="16"/>
        <v>0</v>
      </c>
      <c r="M86" s="161" t="s">
        <v>78</v>
      </c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</row>
    <row r="87" spans="1:36" s="166" customFormat="1" ht="16.5" customHeight="1">
      <c r="A87" s="201" t="s">
        <v>79</v>
      </c>
      <c r="B87" s="202">
        <f>B36/B36*100</f>
        <v>100</v>
      </c>
      <c r="C87" s="238"/>
      <c r="D87" s="238"/>
      <c r="E87" s="204">
        <f t="shared" ref="E87:L87" si="17">E39/$B$36*100</f>
        <v>0</v>
      </c>
      <c r="F87" s="205">
        <f t="shared" si="17"/>
        <v>0</v>
      </c>
      <c r="G87" s="205">
        <f t="shared" si="17"/>
        <v>0</v>
      </c>
      <c r="H87" s="205">
        <f t="shared" si="17"/>
        <v>0</v>
      </c>
      <c r="I87" s="205">
        <f t="shared" si="17"/>
        <v>0</v>
      </c>
      <c r="J87" s="205">
        <f t="shared" si="17"/>
        <v>0</v>
      </c>
      <c r="K87" s="205">
        <f t="shared" si="17"/>
        <v>0</v>
      </c>
      <c r="L87" s="205">
        <f t="shared" si="17"/>
        <v>0</v>
      </c>
      <c r="M87" s="206" t="s">
        <v>80</v>
      </c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  <c r="AI87" s="165"/>
      <c r="AJ87" s="165"/>
    </row>
    <row r="88" spans="1:36" s="166" customFormat="1" ht="16.5" customHeight="1">
      <c r="A88" s="164">
        <v>2017</v>
      </c>
      <c r="B88" s="188"/>
      <c r="C88" s="237"/>
      <c r="D88" s="237"/>
      <c r="E88" s="197"/>
      <c r="F88" s="198"/>
      <c r="G88" s="198"/>
      <c r="H88" s="198"/>
      <c r="I88" s="198"/>
      <c r="J88" s="198"/>
      <c r="K88" s="198"/>
      <c r="L88" s="198"/>
      <c r="M88" s="163">
        <v>2017</v>
      </c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  <c r="AI88" s="165"/>
      <c r="AJ88" s="165"/>
    </row>
    <row r="89" spans="1:36" s="166" customFormat="1" ht="16.5" customHeight="1">
      <c r="A89" s="167" t="s">
        <v>77</v>
      </c>
      <c r="B89" s="188" t="e">
        <f>B38/B38*100</f>
        <v>#DIV/0!</v>
      </c>
      <c r="C89" s="237"/>
      <c r="D89" s="237"/>
      <c r="E89" s="199">
        <f t="shared" ref="E89:L89" si="18">E41/$B$35*100</f>
        <v>0</v>
      </c>
      <c r="F89" s="200">
        <f t="shared" si="18"/>
        <v>0</v>
      </c>
      <c r="G89" s="200">
        <f t="shared" si="18"/>
        <v>0</v>
      </c>
      <c r="H89" s="200">
        <f t="shared" si="18"/>
        <v>0</v>
      </c>
      <c r="I89" s="200">
        <f t="shared" si="18"/>
        <v>0</v>
      </c>
      <c r="J89" s="200">
        <f t="shared" si="18"/>
        <v>0</v>
      </c>
      <c r="K89" s="200">
        <f t="shared" si="18"/>
        <v>0</v>
      </c>
      <c r="L89" s="200">
        <f t="shared" si="18"/>
        <v>0</v>
      </c>
      <c r="M89" s="161" t="s">
        <v>78</v>
      </c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  <c r="AI89" s="165"/>
      <c r="AJ89" s="165"/>
    </row>
    <row r="90" spans="1:36" s="166" customFormat="1" ht="16.5" customHeight="1">
      <c r="A90" s="201" t="s">
        <v>79</v>
      </c>
      <c r="B90" s="202" t="e">
        <f>B39/B39*100</f>
        <v>#DIV/0!</v>
      </c>
      <c r="C90" s="238"/>
      <c r="D90" s="238"/>
      <c r="E90" s="204">
        <f t="shared" ref="E90:L90" si="19">E42/$B$36*100</f>
        <v>0</v>
      </c>
      <c r="F90" s="205">
        <f t="shared" si="19"/>
        <v>0</v>
      </c>
      <c r="G90" s="205">
        <f t="shared" si="19"/>
        <v>0</v>
      </c>
      <c r="H90" s="205">
        <f t="shared" si="19"/>
        <v>0</v>
      </c>
      <c r="I90" s="205">
        <f t="shared" si="19"/>
        <v>0</v>
      </c>
      <c r="J90" s="205">
        <f t="shared" si="19"/>
        <v>0</v>
      </c>
      <c r="K90" s="205">
        <f t="shared" si="19"/>
        <v>0</v>
      </c>
      <c r="L90" s="205">
        <f t="shared" si="19"/>
        <v>0</v>
      </c>
      <c r="M90" s="206" t="s">
        <v>80</v>
      </c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  <c r="AI90" s="165"/>
      <c r="AJ90" s="165"/>
    </row>
    <row r="91" spans="1:36" s="166" customFormat="1" ht="19.899999999999999" customHeight="1">
      <c r="A91" s="164">
        <v>2018</v>
      </c>
      <c r="B91" s="188"/>
      <c r="C91" s="237"/>
      <c r="D91" s="237"/>
      <c r="E91" s="197"/>
      <c r="F91" s="198"/>
      <c r="G91" s="198"/>
      <c r="H91" s="198"/>
      <c r="I91" s="198"/>
      <c r="J91" s="198"/>
      <c r="K91" s="198"/>
      <c r="L91" s="198"/>
      <c r="M91" s="163">
        <v>2018</v>
      </c>
      <c r="N91" s="208"/>
      <c r="O91" s="208"/>
      <c r="P91" s="208"/>
      <c r="Q91" s="208"/>
      <c r="R91" s="208"/>
      <c r="S91" s="208"/>
      <c r="T91" s="208"/>
      <c r="U91" s="208"/>
      <c r="V91" s="208"/>
      <c r="W91" s="208"/>
      <c r="X91" s="208"/>
      <c r="Y91" s="208"/>
      <c r="Z91" s="208"/>
      <c r="AA91" s="165"/>
      <c r="AB91" s="165"/>
      <c r="AC91" s="165"/>
      <c r="AD91" s="165"/>
      <c r="AE91" s="165"/>
      <c r="AF91" s="165"/>
      <c r="AG91" s="165"/>
      <c r="AH91" s="165"/>
      <c r="AI91" s="165"/>
      <c r="AJ91" s="165"/>
    </row>
    <row r="92" spans="1:36" s="215" customFormat="1" ht="15" customHeight="1">
      <c r="A92" s="167" t="s">
        <v>77</v>
      </c>
      <c r="B92" s="188" t="e">
        <f>B41/B41*100</f>
        <v>#DIV/0!</v>
      </c>
      <c r="C92" s="237"/>
      <c r="D92" s="237"/>
      <c r="E92" s="199">
        <f t="shared" ref="E92:L92" si="20">E44/$B$35*100</f>
        <v>0</v>
      </c>
      <c r="F92" s="200">
        <f t="shared" si="20"/>
        <v>0</v>
      </c>
      <c r="G92" s="200">
        <f t="shared" si="20"/>
        <v>0</v>
      </c>
      <c r="H92" s="200">
        <f t="shared" si="20"/>
        <v>0</v>
      </c>
      <c r="I92" s="200">
        <f t="shared" si="20"/>
        <v>0</v>
      </c>
      <c r="J92" s="200">
        <f t="shared" si="20"/>
        <v>0</v>
      </c>
      <c r="K92" s="200">
        <f t="shared" si="20"/>
        <v>0</v>
      </c>
      <c r="L92" s="200">
        <f t="shared" si="20"/>
        <v>0</v>
      </c>
      <c r="M92" s="161" t="s">
        <v>78</v>
      </c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</row>
    <row r="93" spans="1:36" s="144" customFormat="1" ht="20.25" customHeight="1">
      <c r="A93" s="201" t="s">
        <v>79</v>
      </c>
      <c r="B93" s="202" t="e">
        <f>B42/B42*100</f>
        <v>#DIV/0!</v>
      </c>
      <c r="C93" s="238"/>
      <c r="D93" s="238"/>
      <c r="E93" s="204">
        <f t="shared" ref="E93:L93" si="21">E45/$B$36*100</f>
        <v>0</v>
      </c>
      <c r="F93" s="205">
        <f t="shared" si="21"/>
        <v>0</v>
      </c>
      <c r="G93" s="205">
        <f t="shared" si="21"/>
        <v>0</v>
      </c>
      <c r="H93" s="205">
        <f t="shared" si="21"/>
        <v>0</v>
      </c>
      <c r="I93" s="205">
        <f t="shared" si="21"/>
        <v>0</v>
      </c>
      <c r="J93" s="205">
        <f t="shared" si="21"/>
        <v>0</v>
      </c>
      <c r="K93" s="205">
        <f t="shared" si="21"/>
        <v>0</v>
      </c>
      <c r="L93" s="205">
        <f t="shared" si="21"/>
        <v>0</v>
      </c>
      <c r="M93" s="206" t="s">
        <v>80</v>
      </c>
      <c r="N93" s="208"/>
      <c r="O93" s="208"/>
      <c r="P93" s="208"/>
      <c r="Q93" s="208"/>
      <c r="R93" s="208"/>
      <c r="S93" s="208"/>
      <c r="T93" s="208"/>
      <c r="U93" s="208"/>
      <c r="V93" s="208"/>
      <c r="W93" s="208"/>
      <c r="X93" s="208"/>
      <c r="Y93" s="208"/>
      <c r="Z93" s="208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</row>
    <row r="94" spans="1:36" s="144" customFormat="1" ht="13.15" customHeight="1">
      <c r="A94" s="164">
        <v>2019</v>
      </c>
      <c r="B94" s="188"/>
      <c r="C94" s="237"/>
      <c r="D94" s="237"/>
      <c r="E94" s="197"/>
      <c r="F94" s="198"/>
      <c r="G94" s="198"/>
      <c r="H94" s="198"/>
      <c r="I94" s="198"/>
      <c r="J94" s="198"/>
      <c r="K94" s="198"/>
      <c r="L94" s="198"/>
      <c r="M94" s="163">
        <v>2019</v>
      </c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</row>
    <row r="95" spans="1:36" s="144" customFormat="1" ht="18.75" customHeight="1">
      <c r="A95" s="167" t="s">
        <v>77</v>
      </c>
      <c r="B95" s="188" t="e">
        <f>B44/B44*100</f>
        <v>#DIV/0!</v>
      </c>
      <c r="C95" s="237"/>
      <c r="D95" s="237"/>
      <c r="E95" s="199">
        <f t="shared" ref="E95:L95" si="22">E47/$B$35*100</f>
        <v>0</v>
      </c>
      <c r="F95" s="200">
        <f t="shared" si="22"/>
        <v>0</v>
      </c>
      <c r="G95" s="200">
        <f t="shared" si="22"/>
        <v>0</v>
      </c>
      <c r="H95" s="200">
        <f t="shared" si="22"/>
        <v>0</v>
      </c>
      <c r="I95" s="200">
        <f t="shared" si="22"/>
        <v>0</v>
      </c>
      <c r="J95" s="200">
        <f t="shared" si="22"/>
        <v>0</v>
      </c>
      <c r="K95" s="200">
        <f t="shared" si="22"/>
        <v>0</v>
      </c>
      <c r="L95" s="200">
        <f t="shared" si="22"/>
        <v>0</v>
      </c>
      <c r="M95" s="161" t="s">
        <v>78</v>
      </c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</row>
    <row r="96" spans="1:36" s="144" customFormat="1" ht="18.75" customHeight="1">
      <c r="A96" s="201" t="s">
        <v>79</v>
      </c>
      <c r="B96" s="202" t="e">
        <f>B45/B45*100</f>
        <v>#DIV/0!</v>
      </c>
      <c r="C96" s="238"/>
      <c r="D96" s="238"/>
      <c r="E96" s="204">
        <f t="shared" ref="E96:L96" si="23">E48/$B$36*100</f>
        <v>0</v>
      </c>
      <c r="F96" s="205">
        <f t="shared" si="23"/>
        <v>0</v>
      </c>
      <c r="G96" s="205">
        <f t="shared" si="23"/>
        <v>0</v>
      </c>
      <c r="H96" s="205">
        <f t="shared" si="23"/>
        <v>0</v>
      </c>
      <c r="I96" s="205">
        <f t="shared" si="23"/>
        <v>0</v>
      </c>
      <c r="J96" s="205">
        <f t="shared" si="23"/>
        <v>0</v>
      </c>
      <c r="K96" s="205">
        <f t="shared" si="23"/>
        <v>0</v>
      </c>
      <c r="L96" s="205">
        <f t="shared" si="23"/>
        <v>0</v>
      </c>
      <c r="M96" s="206" t="s">
        <v>80</v>
      </c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</row>
    <row r="97" spans="1:36" s="144" customFormat="1" ht="13.15" customHeight="1">
      <c r="A97" s="167"/>
      <c r="B97" s="188"/>
      <c r="C97" s="188"/>
      <c r="D97" s="188"/>
      <c r="E97" s="199"/>
      <c r="F97" s="200"/>
      <c r="G97" s="200"/>
      <c r="H97" s="200"/>
      <c r="I97" s="200"/>
      <c r="J97" s="200"/>
      <c r="K97" s="200"/>
      <c r="L97" s="200"/>
      <c r="M97" s="207" t="s">
        <v>84</v>
      </c>
      <c r="N97" s="143"/>
      <c r="O97" s="143"/>
      <c r="P97" s="143"/>
      <c r="Q97" s="143"/>
      <c r="R97" s="145"/>
      <c r="S97" s="148" t="s">
        <v>28</v>
      </c>
      <c r="T97" s="148" t="s">
        <v>30</v>
      </c>
      <c r="U97" s="148" t="s">
        <v>32</v>
      </c>
      <c r="V97" s="148" t="s">
        <v>33</v>
      </c>
      <c r="W97" s="148" t="s">
        <v>34</v>
      </c>
      <c r="X97" s="148" t="s">
        <v>35</v>
      </c>
      <c r="Y97" s="148" t="s">
        <v>36</v>
      </c>
      <c r="Z97" s="148" t="s">
        <v>75</v>
      </c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</row>
    <row r="98" spans="1:36" s="144" customFormat="1" ht="13.15" customHeight="1">
      <c r="A98" s="260" t="s">
        <v>85</v>
      </c>
      <c r="B98" s="260"/>
      <c r="C98" s="209"/>
      <c r="D98" s="209"/>
      <c r="E98" s="210"/>
      <c r="F98" s="211"/>
      <c r="G98" s="211"/>
      <c r="H98" s="211"/>
      <c r="I98" s="211"/>
      <c r="J98" s="211"/>
      <c r="K98" s="211"/>
      <c r="L98" s="211"/>
      <c r="M98" s="212" t="s">
        <v>86</v>
      </c>
      <c r="N98" s="143"/>
      <c r="O98" s="143"/>
      <c r="P98" s="143"/>
      <c r="Q98" s="143"/>
      <c r="R98" s="167" t="s">
        <v>77</v>
      </c>
      <c r="S98" s="160">
        <f>E40</f>
        <v>0</v>
      </c>
      <c r="T98" s="160">
        <f t="shared" ref="T98:Z99" si="24">F40</f>
        <v>0</v>
      </c>
      <c r="U98" s="160">
        <f t="shared" si="24"/>
        <v>0</v>
      </c>
      <c r="V98" s="160">
        <f t="shared" si="24"/>
        <v>0</v>
      </c>
      <c r="W98" s="160">
        <f t="shared" si="24"/>
        <v>0</v>
      </c>
      <c r="X98" s="160">
        <f t="shared" si="24"/>
        <v>0</v>
      </c>
      <c r="Y98" s="160">
        <f t="shared" si="24"/>
        <v>0</v>
      </c>
      <c r="Z98" s="160">
        <f t="shared" si="24"/>
        <v>0</v>
      </c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</row>
    <row r="99" spans="1:36" s="144" customFormat="1" ht="13.15" customHeight="1">
      <c r="E99" s="216"/>
      <c r="F99" s="217"/>
      <c r="G99" s="217"/>
      <c r="H99" s="217"/>
      <c r="I99" s="217"/>
      <c r="J99" s="217"/>
      <c r="K99" s="217"/>
      <c r="L99" s="217"/>
      <c r="M99" s="208"/>
      <c r="N99" s="143"/>
      <c r="O99" s="143"/>
      <c r="P99" s="143"/>
      <c r="Q99" s="143"/>
      <c r="R99" s="169" t="s">
        <v>79</v>
      </c>
      <c r="S99" s="160">
        <f>E41</f>
        <v>0</v>
      </c>
      <c r="T99" s="160">
        <f t="shared" si="24"/>
        <v>0</v>
      </c>
      <c r="U99" s="160">
        <f t="shared" si="24"/>
        <v>0</v>
      </c>
      <c r="V99" s="160">
        <f t="shared" si="24"/>
        <v>0</v>
      </c>
      <c r="W99" s="160">
        <f t="shared" si="24"/>
        <v>0</v>
      </c>
      <c r="X99" s="160">
        <f t="shared" si="24"/>
        <v>0</v>
      </c>
      <c r="Y99" s="160">
        <f t="shared" si="24"/>
        <v>0</v>
      </c>
      <c r="Z99" s="160">
        <f t="shared" si="24"/>
        <v>0</v>
      </c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</row>
    <row r="100" spans="1:36" s="144" customFormat="1" ht="13.15" customHeight="1">
      <c r="A100" s="218"/>
      <c r="B100" s="219"/>
      <c r="C100" s="219"/>
      <c r="D100" s="219"/>
      <c r="E100" s="220"/>
      <c r="F100" s="221"/>
      <c r="G100" s="222"/>
      <c r="H100" s="222"/>
      <c r="I100" s="222"/>
      <c r="J100" s="222"/>
      <c r="K100" s="222"/>
      <c r="L100" s="222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</row>
    <row r="101" spans="1:36" s="144" customFormat="1" ht="13.15" customHeight="1">
      <c r="A101" s="223"/>
      <c r="B101" s="224"/>
      <c r="C101" s="224"/>
      <c r="D101" s="224"/>
      <c r="E101" s="220"/>
      <c r="F101" s="222"/>
      <c r="G101" s="222"/>
      <c r="H101" s="222"/>
      <c r="I101" s="222"/>
      <c r="J101" s="222"/>
      <c r="K101" s="222"/>
      <c r="L101" s="222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</row>
    <row r="102" spans="1:36" s="144" customFormat="1" ht="13.15" customHeight="1">
      <c r="E102" s="225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</row>
    <row r="103" spans="1:36" s="144" customFormat="1" ht="13.15" customHeight="1">
      <c r="E103" s="225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</row>
    <row r="104" spans="1:36" s="144" customFormat="1" ht="12" customHeight="1">
      <c r="E104" s="225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  <c r="AF104" s="143"/>
      <c r="AG104" s="143"/>
      <c r="AH104" s="143"/>
      <c r="AI104" s="143"/>
      <c r="AJ104" s="143"/>
    </row>
    <row r="105" spans="1:36" s="144" customFormat="1" ht="21.75" customHeight="1">
      <c r="A105" s="223"/>
      <c r="B105" s="224"/>
      <c r="C105" s="224"/>
      <c r="D105" s="224"/>
      <c r="E105" s="220"/>
      <c r="F105" s="222"/>
      <c r="G105" s="222"/>
      <c r="H105" s="222"/>
      <c r="I105" s="222"/>
      <c r="J105" s="222"/>
      <c r="K105" s="222"/>
      <c r="L105" s="222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  <c r="AF105" s="143"/>
      <c r="AG105" s="143"/>
      <c r="AH105" s="143"/>
      <c r="AI105" s="143"/>
      <c r="AJ105" s="143"/>
    </row>
    <row r="106" spans="1:36" s="144" customFormat="1" ht="21.75" customHeight="1">
      <c r="A106" s="223"/>
      <c r="B106" s="224"/>
      <c r="C106" s="224"/>
      <c r="D106" s="224"/>
      <c r="E106" s="220"/>
      <c r="F106" s="222"/>
      <c r="G106" s="222"/>
      <c r="H106" s="222"/>
      <c r="I106" s="222"/>
      <c r="J106" s="222"/>
      <c r="K106" s="222"/>
      <c r="L106" s="222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</row>
    <row r="107" spans="1:36" s="144" customFormat="1" ht="21.75" customHeight="1">
      <c r="A107" s="223"/>
      <c r="B107" s="224"/>
      <c r="C107" s="224"/>
      <c r="D107" s="224"/>
      <c r="E107" s="220"/>
      <c r="F107" s="222"/>
      <c r="G107" s="222"/>
      <c r="H107" s="222"/>
      <c r="I107" s="222"/>
      <c r="J107" s="222"/>
      <c r="K107" s="222"/>
      <c r="L107" s="222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</row>
    <row r="108" spans="1:36" s="144" customFormat="1" ht="19.149999999999999" customHeight="1">
      <c r="A108" s="223"/>
      <c r="B108" s="224"/>
      <c r="C108" s="224"/>
      <c r="D108" s="224"/>
      <c r="E108" s="220"/>
      <c r="F108" s="222"/>
      <c r="G108" s="222"/>
      <c r="H108" s="222"/>
      <c r="I108" s="222"/>
      <c r="J108" s="222"/>
      <c r="K108" s="222"/>
      <c r="L108" s="222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</row>
    <row r="109" spans="1:36" s="144" customFormat="1" ht="21.75" customHeight="1">
      <c r="A109" s="223"/>
      <c r="B109" s="224"/>
      <c r="C109" s="224"/>
      <c r="D109" s="224"/>
      <c r="E109" s="220"/>
      <c r="F109" s="222"/>
      <c r="G109" s="222"/>
      <c r="H109" s="222"/>
      <c r="I109" s="222"/>
      <c r="J109" s="222"/>
      <c r="K109" s="222"/>
      <c r="L109" s="222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</row>
    <row r="110" spans="1:36" s="144" customFormat="1" ht="21.75" customHeight="1">
      <c r="A110" s="223"/>
      <c r="B110" s="224"/>
      <c r="C110" s="224"/>
      <c r="D110" s="224"/>
      <c r="E110" s="220"/>
      <c r="F110" s="222"/>
      <c r="G110" s="222"/>
      <c r="H110" s="222"/>
      <c r="I110" s="222"/>
      <c r="J110" s="222"/>
      <c r="K110" s="222"/>
      <c r="L110" s="222"/>
      <c r="N110" s="156"/>
      <c r="O110" s="156"/>
      <c r="P110" s="156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</row>
    <row r="111" spans="1:36" s="144" customFormat="1" ht="21.75" customHeight="1">
      <c r="A111" s="223"/>
      <c r="B111" s="224"/>
      <c r="C111" s="224"/>
      <c r="D111" s="224"/>
      <c r="E111" s="220"/>
      <c r="F111" s="222"/>
      <c r="G111" s="222"/>
      <c r="H111" s="222"/>
      <c r="I111" s="222"/>
      <c r="J111" s="222"/>
      <c r="K111" s="222"/>
      <c r="L111" s="222"/>
      <c r="N111" s="156"/>
      <c r="O111" s="156"/>
      <c r="P111" s="156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</row>
    <row r="112" spans="1:36" s="144" customFormat="1" ht="21.75" customHeight="1">
      <c r="A112" s="223"/>
      <c r="B112" s="224"/>
      <c r="C112" s="224"/>
      <c r="D112" s="224"/>
      <c r="E112" s="220"/>
      <c r="F112" s="222"/>
      <c r="G112" s="222"/>
      <c r="H112" s="222"/>
      <c r="I112" s="222"/>
      <c r="J112" s="222"/>
      <c r="K112" s="222"/>
      <c r="L112" s="222"/>
      <c r="N112" s="156"/>
      <c r="O112" s="156"/>
      <c r="P112" s="156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</row>
    <row r="113" spans="1:36" s="144" customFormat="1" ht="21.75" customHeight="1">
      <c r="A113" s="223"/>
      <c r="B113" s="224"/>
      <c r="C113" s="224"/>
      <c r="D113" s="224"/>
      <c r="E113" s="220"/>
      <c r="F113" s="222"/>
      <c r="G113" s="222"/>
      <c r="H113" s="222"/>
      <c r="I113" s="222"/>
      <c r="J113" s="222"/>
      <c r="K113" s="222"/>
      <c r="L113" s="222"/>
      <c r="N113" s="156"/>
      <c r="O113" s="156"/>
      <c r="P113" s="156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</row>
    <row r="114" spans="1:36" s="144" customFormat="1" ht="21.75" customHeight="1">
      <c r="A114" s="223"/>
      <c r="B114" s="224"/>
      <c r="C114" s="224"/>
      <c r="D114" s="224"/>
      <c r="E114" s="220"/>
      <c r="F114" s="222"/>
      <c r="G114" s="222"/>
      <c r="H114" s="222"/>
      <c r="I114" s="222"/>
      <c r="J114" s="222"/>
      <c r="K114" s="222"/>
      <c r="L114" s="222"/>
      <c r="N114" s="156"/>
      <c r="O114" s="156"/>
      <c r="P114" s="156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</row>
    <row r="115" spans="1:36" s="144" customFormat="1" ht="21.75" customHeight="1">
      <c r="A115" s="223"/>
      <c r="B115" s="224"/>
      <c r="C115" s="224"/>
      <c r="D115" s="224"/>
      <c r="E115" s="220"/>
      <c r="F115" s="222"/>
      <c r="G115" s="222"/>
      <c r="H115" s="222"/>
      <c r="I115" s="222"/>
      <c r="J115" s="222"/>
      <c r="K115" s="222"/>
      <c r="L115" s="222"/>
      <c r="N115" s="156"/>
      <c r="O115" s="156"/>
      <c r="P115" s="156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</row>
    <row r="116" spans="1:36" s="144" customFormat="1" ht="21.75" customHeight="1">
      <c r="A116" s="156"/>
      <c r="B116" s="156"/>
      <c r="C116" s="156"/>
      <c r="D116" s="156"/>
      <c r="E116" s="22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</row>
    <row r="117" spans="1:36" s="144" customFormat="1" ht="21.75" customHeight="1">
      <c r="A117" s="156"/>
      <c r="B117" s="156"/>
      <c r="C117" s="156"/>
      <c r="D117" s="156"/>
      <c r="E117" s="22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</row>
    <row r="118" spans="1:36" s="144" customFormat="1" ht="21.75" customHeight="1">
      <c r="A118" s="156"/>
      <c r="B118" s="156"/>
      <c r="C118" s="156"/>
      <c r="D118" s="156"/>
      <c r="E118" s="22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</row>
    <row r="119" spans="1:36" s="144" customFormat="1" ht="21.75" customHeight="1">
      <c r="A119" s="156"/>
      <c r="B119" s="156"/>
      <c r="C119" s="156"/>
      <c r="D119" s="156"/>
      <c r="E119" s="226"/>
      <c r="F119" s="156"/>
      <c r="G119" s="156"/>
      <c r="H119" s="156"/>
      <c r="I119" s="156"/>
      <c r="J119" s="156"/>
      <c r="K119" s="156"/>
      <c r="L119" s="156"/>
      <c r="M119" s="156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</row>
    <row r="120" spans="1:36" s="144" customFormat="1" ht="21.75" customHeight="1">
      <c r="A120" s="156"/>
      <c r="B120" s="156"/>
      <c r="C120" s="156"/>
      <c r="D120" s="156"/>
      <c r="E120" s="226"/>
      <c r="F120" s="156"/>
      <c r="G120" s="156"/>
      <c r="H120" s="156"/>
      <c r="I120" s="156"/>
      <c r="J120" s="156"/>
      <c r="K120" s="156"/>
      <c r="L120" s="156"/>
      <c r="M120" s="156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</row>
    <row r="121" spans="1:36" s="144" customFormat="1" ht="21.75" customHeight="1">
      <c r="A121" s="156"/>
      <c r="B121" s="156"/>
      <c r="C121" s="156"/>
      <c r="D121" s="156"/>
      <c r="E121" s="226"/>
      <c r="F121" s="156"/>
      <c r="G121" s="156"/>
      <c r="H121" s="156"/>
      <c r="I121" s="156"/>
      <c r="J121" s="156"/>
      <c r="K121" s="156"/>
      <c r="L121" s="156"/>
      <c r="M121" s="156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</row>
    <row r="122" spans="1:36" s="144" customFormat="1" ht="21.75" customHeight="1">
      <c r="A122" s="156"/>
      <c r="B122" s="156"/>
      <c r="C122" s="156"/>
      <c r="D122" s="156"/>
      <c r="E122" s="226"/>
      <c r="F122" s="156"/>
      <c r="G122" s="156"/>
      <c r="H122" s="156"/>
      <c r="I122" s="156"/>
      <c r="J122" s="156"/>
      <c r="K122" s="156"/>
      <c r="L122" s="156"/>
      <c r="M122" s="156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</row>
    <row r="123" spans="1:36" s="144" customFormat="1" ht="21.75" customHeight="1">
      <c r="A123" s="156"/>
      <c r="B123" s="156"/>
      <c r="C123" s="156"/>
      <c r="D123" s="156"/>
      <c r="E123" s="226"/>
      <c r="F123" s="156"/>
      <c r="G123" s="156"/>
      <c r="H123" s="156"/>
      <c r="I123" s="156"/>
      <c r="J123" s="156"/>
      <c r="K123" s="156"/>
      <c r="L123" s="156"/>
      <c r="M123" s="156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</row>
    <row r="124" spans="1:36" s="144" customFormat="1" ht="21.75" customHeight="1">
      <c r="A124" s="156"/>
      <c r="B124" s="156"/>
      <c r="C124" s="156"/>
      <c r="D124" s="156"/>
      <c r="E124" s="226"/>
      <c r="F124" s="156"/>
      <c r="G124" s="156"/>
      <c r="H124" s="156"/>
      <c r="I124" s="156"/>
      <c r="J124" s="156"/>
      <c r="K124" s="156"/>
      <c r="L124" s="156"/>
      <c r="M124" s="156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</row>
    <row r="125" spans="1:36" s="144" customFormat="1" ht="21.75" customHeight="1">
      <c r="A125" s="223"/>
      <c r="B125" s="224"/>
      <c r="C125" s="224"/>
      <c r="D125" s="224"/>
      <c r="E125" s="220"/>
      <c r="F125" s="222"/>
      <c r="G125" s="222"/>
      <c r="H125" s="222"/>
      <c r="I125" s="222"/>
      <c r="J125" s="222"/>
      <c r="K125" s="222"/>
      <c r="L125" s="222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</row>
    <row r="126" spans="1:36" s="144" customFormat="1" ht="21.75" customHeight="1">
      <c r="A126" s="223"/>
      <c r="B126" s="224"/>
      <c r="C126" s="224"/>
      <c r="D126" s="224"/>
      <c r="E126" s="220"/>
      <c r="F126" s="222"/>
      <c r="G126" s="222"/>
      <c r="H126" s="222"/>
      <c r="I126" s="222"/>
      <c r="J126" s="222"/>
      <c r="K126" s="222"/>
      <c r="L126" s="222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</row>
    <row r="127" spans="1:36" s="144" customFormat="1" ht="21.75" customHeight="1">
      <c r="A127" s="223"/>
      <c r="B127" s="224"/>
      <c r="C127" s="224"/>
      <c r="D127" s="224"/>
      <c r="E127" s="220"/>
      <c r="F127" s="222"/>
      <c r="G127" s="222"/>
      <c r="H127" s="222"/>
      <c r="I127" s="222"/>
      <c r="J127" s="222"/>
      <c r="K127" s="222"/>
      <c r="L127" s="222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</row>
    <row r="128" spans="1:36" s="144" customFormat="1" ht="21.75" customHeight="1">
      <c r="A128" s="223"/>
      <c r="B128" s="224"/>
      <c r="C128" s="224"/>
      <c r="D128" s="224"/>
      <c r="E128" s="220"/>
      <c r="F128" s="222"/>
      <c r="G128" s="222"/>
      <c r="H128" s="222"/>
      <c r="I128" s="222"/>
      <c r="J128" s="222"/>
      <c r="K128" s="222"/>
      <c r="L128" s="222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</row>
    <row r="129" spans="1:36" s="144" customFormat="1" ht="21.75" customHeight="1">
      <c r="A129" s="223"/>
      <c r="B129" s="224"/>
      <c r="C129" s="224"/>
      <c r="D129" s="224"/>
      <c r="E129" s="220"/>
      <c r="F129" s="222"/>
      <c r="G129" s="222"/>
      <c r="H129" s="222"/>
      <c r="I129" s="222"/>
      <c r="J129" s="222"/>
      <c r="K129" s="222"/>
      <c r="L129" s="222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</row>
    <row r="130" spans="1:36" s="144" customFormat="1" ht="21.75" customHeight="1">
      <c r="A130" s="223"/>
      <c r="B130" s="224"/>
      <c r="C130" s="224"/>
      <c r="D130" s="224"/>
      <c r="E130" s="220"/>
      <c r="F130" s="222"/>
      <c r="G130" s="222"/>
      <c r="H130" s="222"/>
      <c r="I130" s="222"/>
      <c r="J130" s="222"/>
      <c r="K130" s="222"/>
      <c r="L130" s="222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</row>
    <row r="131" spans="1:36" s="144" customFormat="1" ht="21.75" customHeight="1">
      <c r="A131" s="223"/>
      <c r="B131" s="224"/>
      <c r="C131" s="224"/>
      <c r="D131" s="224"/>
      <c r="E131" s="220"/>
      <c r="F131" s="222"/>
      <c r="G131" s="222"/>
      <c r="H131" s="222"/>
      <c r="I131" s="222"/>
      <c r="J131" s="222"/>
      <c r="K131" s="222"/>
      <c r="L131" s="222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</row>
    <row r="132" spans="1:36" s="144" customFormat="1" ht="21.75" customHeight="1">
      <c r="A132" s="223"/>
      <c r="B132" s="224"/>
      <c r="C132" s="224"/>
      <c r="D132" s="224"/>
      <c r="E132" s="220"/>
      <c r="F132" s="222"/>
      <c r="G132" s="222"/>
      <c r="H132" s="222"/>
      <c r="I132" s="222"/>
      <c r="J132" s="222"/>
      <c r="K132" s="222"/>
      <c r="L132" s="222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</row>
    <row r="133" spans="1:36" s="144" customFormat="1" ht="21.75" customHeight="1">
      <c r="A133" s="223"/>
      <c r="B133" s="224"/>
      <c r="C133" s="224"/>
      <c r="D133" s="224"/>
      <c r="E133" s="220"/>
      <c r="F133" s="222"/>
      <c r="G133" s="222"/>
      <c r="H133" s="222"/>
      <c r="I133" s="222"/>
      <c r="J133" s="222"/>
      <c r="K133" s="222"/>
      <c r="L133" s="222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</row>
    <row r="134" spans="1:36" s="144" customFormat="1" ht="21.75" customHeight="1">
      <c r="A134" s="223"/>
      <c r="B134" s="224"/>
      <c r="C134" s="224"/>
      <c r="D134" s="224"/>
      <c r="E134" s="220"/>
      <c r="F134" s="222"/>
      <c r="G134" s="222"/>
      <c r="H134" s="222"/>
      <c r="I134" s="222"/>
      <c r="J134" s="222"/>
      <c r="K134" s="222"/>
      <c r="L134" s="222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</row>
    <row r="135" spans="1:36" s="144" customFormat="1" ht="21.75" customHeight="1">
      <c r="A135" s="223"/>
      <c r="B135" s="224"/>
      <c r="C135" s="224"/>
      <c r="D135" s="224"/>
      <c r="E135" s="220"/>
      <c r="F135" s="222"/>
      <c r="G135" s="222"/>
      <c r="H135" s="222"/>
      <c r="I135" s="222"/>
      <c r="J135" s="222"/>
      <c r="K135" s="222"/>
      <c r="L135" s="222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</row>
    <row r="136" spans="1:36" s="144" customFormat="1" ht="21.75" customHeight="1">
      <c r="A136" s="223"/>
      <c r="B136" s="224"/>
      <c r="C136" s="224"/>
      <c r="D136" s="224"/>
      <c r="E136" s="220"/>
      <c r="F136" s="222"/>
      <c r="G136" s="222"/>
      <c r="H136" s="222"/>
      <c r="I136" s="222"/>
      <c r="J136" s="222"/>
      <c r="K136" s="222"/>
      <c r="L136" s="222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</row>
    <row r="137" spans="1:36" s="144" customFormat="1" ht="21.75" customHeight="1">
      <c r="A137" s="223"/>
      <c r="B137" s="224"/>
      <c r="C137" s="224"/>
      <c r="D137" s="224"/>
      <c r="E137" s="220"/>
      <c r="F137" s="222"/>
      <c r="G137" s="222"/>
      <c r="H137" s="222"/>
      <c r="I137" s="222"/>
      <c r="J137" s="222"/>
      <c r="K137" s="222"/>
      <c r="L137" s="222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</row>
    <row r="138" spans="1:36" s="144" customFormat="1" ht="21.75" customHeight="1">
      <c r="A138" s="223"/>
      <c r="B138" s="224"/>
      <c r="C138" s="224"/>
      <c r="D138" s="224"/>
      <c r="E138" s="220"/>
      <c r="F138" s="222"/>
      <c r="G138" s="222"/>
      <c r="H138" s="222"/>
      <c r="I138" s="222"/>
      <c r="J138" s="222"/>
      <c r="K138" s="222"/>
      <c r="L138" s="222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</row>
    <row r="139" spans="1:36" s="144" customFormat="1" ht="21.75" customHeight="1">
      <c r="A139" s="223"/>
      <c r="B139" s="224"/>
      <c r="C139" s="224"/>
      <c r="D139" s="224"/>
      <c r="E139" s="220"/>
      <c r="F139" s="222"/>
      <c r="G139" s="222"/>
      <c r="H139" s="222"/>
      <c r="I139" s="222"/>
      <c r="J139" s="222"/>
      <c r="K139" s="222"/>
      <c r="L139" s="222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43"/>
      <c r="AJ139" s="143"/>
    </row>
    <row r="140" spans="1:36" s="144" customFormat="1" ht="21.75" customHeight="1">
      <c r="A140" s="223"/>
      <c r="B140" s="224"/>
      <c r="C140" s="224"/>
      <c r="D140" s="224"/>
      <c r="E140" s="220"/>
      <c r="F140" s="222"/>
      <c r="G140" s="222"/>
      <c r="H140" s="222"/>
      <c r="I140" s="222"/>
      <c r="J140" s="222"/>
      <c r="K140" s="222"/>
      <c r="L140" s="222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43"/>
    </row>
    <row r="141" spans="1:36" s="144" customFormat="1" ht="21.75" customHeight="1">
      <c r="A141" s="223"/>
      <c r="B141" s="224"/>
      <c r="C141" s="224"/>
      <c r="D141" s="224"/>
      <c r="E141" s="220"/>
      <c r="F141" s="222"/>
      <c r="G141" s="222"/>
      <c r="H141" s="222"/>
      <c r="I141" s="222"/>
      <c r="J141" s="222"/>
      <c r="K141" s="222"/>
      <c r="L141" s="222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</row>
    <row r="142" spans="1:36" s="144" customFormat="1" ht="21.75" customHeight="1">
      <c r="A142" s="223"/>
      <c r="B142" s="224"/>
      <c r="C142" s="224"/>
      <c r="D142" s="224"/>
      <c r="E142" s="220"/>
      <c r="F142" s="222"/>
      <c r="G142" s="222"/>
      <c r="H142" s="222"/>
      <c r="I142" s="222"/>
      <c r="J142" s="222"/>
      <c r="K142" s="222"/>
      <c r="L142" s="222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</row>
    <row r="143" spans="1:36" s="144" customFormat="1" ht="21.75" customHeight="1">
      <c r="A143" s="223"/>
      <c r="B143" s="224"/>
      <c r="C143" s="224"/>
      <c r="D143" s="224"/>
      <c r="E143" s="220"/>
      <c r="F143" s="222"/>
      <c r="G143" s="222"/>
      <c r="H143" s="222"/>
      <c r="I143" s="222"/>
      <c r="J143" s="222"/>
      <c r="K143" s="222"/>
      <c r="L143" s="222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</row>
    <row r="144" spans="1:36" s="144" customFormat="1" ht="21.75" customHeight="1">
      <c r="A144" s="223"/>
      <c r="B144" s="224"/>
      <c r="C144" s="224"/>
      <c r="D144" s="224"/>
      <c r="E144" s="220"/>
      <c r="F144" s="222"/>
      <c r="G144" s="222"/>
      <c r="H144" s="222"/>
      <c r="I144" s="222"/>
      <c r="J144" s="222"/>
      <c r="K144" s="222"/>
      <c r="L144" s="222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</row>
    <row r="145" spans="1:36" s="144" customFormat="1" ht="21.75" customHeight="1">
      <c r="A145" s="223"/>
      <c r="B145" s="224"/>
      <c r="C145" s="224"/>
      <c r="D145" s="224"/>
      <c r="E145" s="220"/>
      <c r="F145" s="222"/>
      <c r="G145" s="222"/>
      <c r="H145" s="222"/>
      <c r="I145" s="222"/>
      <c r="J145" s="222"/>
      <c r="K145" s="222"/>
      <c r="L145" s="222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</row>
    <row r="146" spans="1:36" s="144" customFormat="1" ht="21.75" customHeight="1">
      <c r="A146" s="223"/>
      <c r="B146" s="224"/>
      <c r="C146" s="224"/>
      <c r="D146" s="224"/>
      <c r="E146" s="220"/>
      <c r="F146" s="222"/>
      <c r="G146" s="222"/>
      <c r="H146" s="222"/>
      <c r="I146" s="222"/>
      <c r="J146" s="222"/>
      <c r="K146" s="222"/>
      <c r="L146" s="222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</row>
    <row r="147" spans="1:36" s="144" customFormat="1" ht="21.75" customHeight="1">
      <c r="A147" s="223"/>
      <c r="B147" s="224"/>
      <c r="C147" s="224"/>
      <c r="D147" s="224"/>
      <c r="E147" s="220"/>
      <c r="F147" s="222"/>
      <c r="G147" s="222"/>
      <c r="H147" s="222"/>
      <c r="I147" s="222"/>
      <c r="J147" s="222"/>
      <c r="K147" s="222"/>
      <c r="L147" s="222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</row>
    <row r="148" spans="1:36" s="144" customFormat="1" ht="21.75" customHeight="1">
      <c r="A148" s="223"/>
      <c r="B148" s="224"/>
      <c r="C148" s="224"/>
      <c r="D148" s="224"/>
      <c r="E148" s="220"/>
      <c r="F148" s="222"/>
      <c r="G148" s="222"/>
      <c r="H148" s="222"/>
      <c r="I148" s="222"/>
      <c r="J148" s="222"/>
      <c r="K148" s="222"/>
      <c r="L148" s="222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</row>
    <row r="149" spans="1:36" s="144" customFormat="1" ht="21.75" customHeight="1">
      <c r="A149" s="223"/>
      <c r="B149" s="224"/>
      <c r="C149" s="224"/>
      <c r="D149" s="224"/>
      <c r="E149" s="220"/>
      <c r="F149" s="222"/>
      <c r="G149" s="222"/>
      <c r="H149" s="222"/>
      <c r="I149" s="222"/>
      <c r="J149" s="222"/>
      <c r="K149" s="222"/>
      <c r="L149" s="222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</row>
    <row r="150" spans="1:36" s="144" customFormat="1" ht="21.75" customHeight="1">
      <c r="A150" s="223"/>
      <c r="B150" s="224"/>
      <c r="C150" s="224"/>
      <c r="D150" s="224"/>
      <c r="E150" s="220"/>
      <c r="F150" s="222"/>
      <c r="G150" s="222"/>
      <c r="H150" s="222"/>
      <c r="I150" s="222"/>
      <c r="J150" s="222"/>
      <c r="K150" s="222"/>
      <c r="L150" s="222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</row>
    <row r="151" spans="1:36" s="144" customFormat="1" ht="21.75" customHeight="1">
      <c r="A151" s="223"/>
      <c r="B151" s="224"/>
      <c r="C151" s="224"/>
      <c r="D151" s="224"/>
      <c r="E151" s="220"/>
      <c r="F151" s="222"/>
      <c r="G151" s="222"/>
      <c r="H151" s="222"/>
      <c r="I151" s="222"/>
      <c r="J151" s="222"/>
      <c r="K151" s="222"/>
      <c r="L151" s="222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</row>
    <row r="152" spans="1:36" s="144" customFormat="1" ht="21.75" customHeight="1">
      <c r="A152" s="223"/>
      <c r="B152" s="224"/>
      <c r="C152" s="224"/>
      <c r="D152" s="224"/>
      <c r="E152" s="220"/>
      <c r="F152" s="222"/>
      <c r="G152" s="222"/>
      <c r="H152" s="222"/>
      <c r="I152" s="222"/>
      <c r="J152" s="222"/>
      <c r="K152" s="222"/>
      <c r="L152" s="222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</row>
    <row r="153" spans="1:36" s="144" customFormat="1" ht="21.75" customHeight="1">
      <c r="A153" s="223"/>
      <c r="B153" s="224"/>
      <c r="C153" s="224"/>
      <c r="D153" s="224"/>
      <c r="E153" s="220"/>
      <c r="F153" s="222"/>
      <c r="G153" s="222"/>
      <c r="H153" s="222"/>
      <c r="I153" s="222"/>
      <c r="J153" s="222"/>
      <c r="K153" s="222"/>
      <c r="L153" s="222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</row>
    <row r="154" spans="1:36" s="144" customFormat="1" ht="21.75" customHeight="1">
      <c r="A154" s="223"/>
      <c r="B154" s="224"/>
      <c r="C154" s="224"/>
      <c r="D154" s="224"/>
      <c r="E154" s="220"/>
      <c r="F154" s="222"/>
      <c r="G154" s="222"/>
      <c r="H154" s="222"/>
      <c r="I154" s="222"/>
      <c r="J154" s="222"/>
      <c r="K154" s="222"/>
      <c r="L154" s="222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</row>
    <row r="155" spans="1:36" s="144" customFormat="1" ht="21.75" customHeight="1">
      <c r="A155" s="223"/>
      <c r="B155" s="224"/>
      <c r="C155" s="224"/>
      <c r="D155" s="224"/>
      <c r="E155" s="220"/>
      <c r="F155" s="222"/>
      <c r="G155" s="222"/>
      <c r="H155" s="222"/>
      <c r="I155" s="222"/>
      <c r="J155" s="222"/>
      <c r="K155" s="222"/>
      <c r="L155" s="222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</row>
    <row r="156" spans="1:36" s="144" customFormat="1" ht="21.75" customHeight="1">
      <c r="A156" s="223"/>
      <c r="B156" s="224"/>
      <c r="C156" s="224"/>
      <c r="D156" s="224"/>
      <c r="E156" s="220"/>
      <c r="F156" s="222"/>
      <c r="G156" s="222"/>
      <c r="H156" s="222"/>
      <c r="I156" s="222"/>
      <c r="J156" s="222"/>
      <c r="K156" s="222"/>
      <c r="L156" s="222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</row>
    <row r="157" spans="1:36" s="144" customFormat="1" ht="21.75" customHeight="1">
      <c r="A157" s="223"/>
      <c r="B157" s="224"/>
      <c r="C157" s="224"/>
      <c r="D157" s="224"/>
      <c r="E157" s="220"/>
      <c r="F157" s="222"/>
      <c r="G157" s="222"/>
      <c r="H157" s="222"/>
      <c r="I157" s="222"/>
      <c r="J157" s="222"/>
      <c r="K157" s="222"/>
      <c r="L157" s="222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</row>
    <row r="158" spans="1:36" s="144" customFormat="1" ht="21.75" customHeight="1">
      <c r="A158" s="223"/>
      <c r="B158" s="224"/>
      <c r="C158" s="224"/>
      <c r="D158" s="224"/>
      <c r="E158" s="220"/>
      <c r="F158" s="222"/>
      <c r="G158" s="222"/>
      <c r="H158" s="222"/>
      <c r="I158" s="222"/>
      <c r="J158" s="222"/>
      <c r="K158" s="222"/>
      <c r="L158" s="222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</row>
    <row r="159" spans="1:36" s="144" customFormat="1" ht="21.75" customHeight="1">
      <c r="A159" s="223"/>
      <c r="B159" s="224"/>
      <c r="C159" s="224"/>
      <c r="D159" s="224"/>
      <c r="E159" s="220"/>
      <c r="F159" s="222"/>
      <c r="G159" s="222"/>
      <c r="H159" s="222"/>
      <c r="I159" s="222"/>
      <c r="J159" s="222"/>
      <c r="K159" s="222"/>
      <c r="L159" s="222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</row>
    <row r="160" spans="1:36" s="144" customFormat="1" ht="21.75" customHeight="1">
      <c r="A160" s="223"/>
      <c r="B160" s="224"/>
      <c r="C160" s="224"/>
      <c r="D160" s="224"/>
      <c r="E160" s="220"/>
      <c r="F160" s="222"/>
      <c r="G160" s="222"/>
      <c r="H160" s="222"/>
      <c r="I160" s="222"/>
      <c r="J160" s="222"/>
      <c r="K160" s="222"/>
      <c r="L160" s="222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</row>
    <row r="161" spans="1:36" s="144" customFormat="1" ht="21.75" customHeight="1">
      <c r="A161" s="223"/>
      <c r="B161" s="224"/>
      <c r="C161" s="224"/>
      <c r="D161" s="224"/>
      <c r="E161" s="220"/>
      <c r="F161" s="222"/>
      <c r="G161" s="222"/>
      <c r="H161" s="222"/>
      <c r="I161" s="222"/>
      <c r="J161" s="222"/>
      <c r="K161" s="222"/>
      <c r="L161" s="222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</row>
    <row r="162" spans="1:36" s="144" customFormat="1" ht="21.75" customHeight="1">
      <c r="A162" s="151"/>
      <c r="B162" s="219"/>
      <c r="C162" s="219"/>
      <c r="D162" s="219"/>
      <c r="E162" s="225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</row>
    <row r="163" spans="1:36" s="144" customFormat="1" ht="21.75" customHeight="1">
      <c r="A163" s="151"/>
      <c r="B163" s="219"/>
      <c r="C163" s="219"/>
      <c r="D163" s="219"/>
      <c r="E163" s="225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</row>
    <row r="164" spans="1:36" s="144" customFormat="1" ht="21.75" customHeight="1">
      <c r="A164" s="151"/>
      <c r="B164" s="219"/>
      <c r="C164" s="219"/>
      <c r="D164" s="219"/>
      <c r="E164" s="225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</row>
    <row r="165" spans="1:36" s="144" customFormat="1" ht="21.75" customHeight="1">
      <c r="A165" s="151"/>
      <c r="B165" s="219"/>
      <c r="C165" s="219"/>
      <c r="D165" s="219"/>
      <c r="E165" s="225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</row>
    <row r="166" spans="1:36" s="144" customFormat="1" ht="21.75" customHeight="1">
      <c r="A166" s="151"/>
      <c r="B166" s="219"/>
      <c r="C166" s="219"/>
      <c r="D166" s="219"/>
      <c r="E166" s="225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</row>
    <row r="167" spans="1:36" s="144" customFormat="1" ht="21.75" customHeight="1">
      <c r="A167" s="151"/>
      <c r="B167" s="219"/>
      <c r="C167" s="219"/>
      <c r="D167" s="219"/>
      <c r="E167" s="225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</row>
    <row r="168" spans="1:36" s="144" customFormat="1" ht="21.75" customHeight="1">
      <c r="A168" s="151"/>
      <c r="B168" s="219"/>
      <c r="C168" s="219"/>
      <c r="D168" s="219"/>
      <c r="E168" s="225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43"/>
    </row>
    <row r="169" spans="1:36" s="144" customFormat="1" ht="21.75" customHeight="1">
      <c r="A169" s="151"/>
      <c r="B169" s="219"/>
      <c r="C169" s="219"/>
      <c r="D169" s="219"/>
      <c r="E169" s="225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43"/>
    </row>
    <row r="170" spans="1:36" s="144" customFormat="1" ht="21.75" customHeight="1">
      <c r="A170" s="151"/>
      <c r="B170" s="219"/>
      <c r="C170" s="219"/>
      <c r="D170" s="219"/>
      <c r="E170" s="225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43"/>
      <c r="AH170" s="143"/>
      <c r="AI170" s="143"/>
      <c r="AJ170" s="143"/>
    </row>
    <row r="171" spans="1:36" s="144" customFormat="1" ht="21.75" customHeight="1">
      <c r="A171" s="151"/>
      <c r="B171" s="219"/>
      <c r="C171" s="219"/>
      <c r="D171" s="219"/>
      <c r="E171" s="225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  <c r="AF171" s="143"/>
      <c r="AG171" s="143"/>
      <c r="AH171" s="143"/>
      <c r="AI171" s="143"/>
      <c r="AJ171" s="143"/>
    </row>
    <row r="172" spans="1:36" s="144" customFormat="1" ht="21.75" customHeight="1">
      <c r="A172" s="151"/>
      <c r="B172" s="219"/>
      <c r="C172" s="219"/>
      <c r="D172" s="219"/>
      <c r="E172" s="225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  <c r="AF172" s="143"/>
      <c r="AG172" s="143"/>
      <c r="AH172" s="143"/>
      <c r="AI172" s="143"/>
      <c r="AJ172" s="143"/>
    </row>
    <row r="173" spans="1:36" s="144" customFormat="1" ht="21.75" customHeight="1">
      <c r="A173" s="151"/>
      <c r="B173" s="219"/>
      <c r="C173" s="219"/>
      <c r="D173" s="219"/>
      <c r="E173" s="225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43"/>
      <c r="AJ173" s="143"/>
    </row>
    <row r="174" spans="1:36" s="144" customFormat="1" ht="21.75" customHeight="1">
      <c r="A174" s="151"/>
      <c r="B174" s="219"/>
      <c r="C174" s="219"/>
      <c r="D174" s="219"/>
      <c r="E174" s="225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</row>
    <row r="175" spans="1:36" s="144" customFormat="1" ht="21.75" customHeight="1">
      <c r="A175" s="151"/>
      <c r="B175" s="219"/>
      <c r="C175" s="219"/>
      <c r="D175" s="219"/>
      <c r="E175" s="225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</row>
    <row r="176" spans="1:36" s="144" customFormat="1" ht="21.75" customHeight="1">
      <c r="A176" s="151"/>
      <c r="B176" s="219"/>
      <c r="C176" s="219"/>
      <c r="D176" s="219"/>
      <c r="E176" s="225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</row>
    <row r="177" spans="1:36" s="144" customFormat="1" ht="21.75" customHeight="1">
      <c r="A177" s="151"/>
      <c r="B177" s="219"/>
      <c r="C177" s="219"/>
      <c r="D177" s="219"/>
      <c r="E177" s="225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</row>
    <row r="178" spans="1:36" s="144" customFormat="1" ht="21.75" customHeight="1">
      <c r="A178" s="151"/>
      <c r="B178" s="219"/>
      <c r="C178" s="219"/>
      <c r="D178" s="219"/>
      <c r="E178" s="225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</row>
    <row r="179" spans="1:36" s="144" customFormat="1" ht="21.75" customHeight="1">
      <c r="A179" s="151"/>
      <c r="B179" s="219"/>
      <c r="C179" s="219"/>
      <c r="D179" s="219"/>
      <c r="E179" s="225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</row>
    <row r="180" spans="1:36" s="144" customFormat="1" ht="21.75" customHeight="1">
      <c r="A180" s="151"/>
      <c r="B180" s="219"/>
      <c r="C180" s="219"/>
      <c r="D180" s="219"/>
      <c r="E180" s="225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</row>
    <row r="181" spans="1:36" s="144" customFormat="1" ht="21.75" customHeight="1">
      <c r="A181" s="151"/>
      <c r="B181" s="219"/>
      <c r="C181" s="219"/>
      <c r="D181" s="219"/>
      <c r="E181" s="225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</row>
    <row r="182" spans="1:36" s="144" customFormat="1" ht="21.75" customHeight="1">
      <c r="A182" s="151"/>
      <c r="B182" s="219"/>
      <c r="C182" s="219"/>
      <c r="D182" s="219"/>
      <c r="E182" s="225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</row>
    <row r="183" spans="1:36" s="144" customFormat="1" ht="21.75" customHeight="1">
      <c r="A183" s="151"/>
      <c r="B183" s="219"/>
      <c r="C183" s="219"/>
      <c r="D183" s="219"/>
      <c r="E183" s="225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</row>
    <row r="184" spans="1:36" s="144" customFormat="1" ht="21.75" customHeight="1">
      <c r="A184" s="151"/>
      <c r="B184" s="219"/>
      <c r="C184" s="219"/>
      <c r="D184" s="219"/>
      <c r="E184" s="225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</row>
    <row r="185" spans="1:36" s="144" customFormat="1" ht="21.75" customHeight="1">
      <c r="A185" s="151"/>
      <c r="B185" s="219"/>
      <c r="C185" s="219"/>
      <c r="D185" s="219"/>
      <c r="E185" s="225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</row>
    <row r="186" spans="1:36" s="144" customFormat="1" ht="21.75" customHeight="1">
      <c r="A186" s="151"/>
      <c r="B186" s="219"/>
      <c r="C186" s="219"/>
      <c r="D186" s="219"/>
      <c r="E186" s="225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</row>
    <row r="187" spans="1:36" s="144" customFormat="1" ht="21.75" customHeight="1">
      <c r="A187" s="151"/>
      <c r="B187" s="219"/>
      <c r="C187" s="219"/>
      <c r="D187" s="219"/>
      <c r="E187" s="225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</row>
    <row r="188" spans="1:36" s="144" customFormat="1" ht="21.75" customHeight="1">
      <c r="A188" s="151"/>
      <c r="B188" s="219"/>
      <c r="C188" s="219"/>
      <c r="D188" s="219"/>
      <c r="E188" s="225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</row>
    <row r="189" spans="1:36" s="144" customFormat="1" ht="21.75" customHeight="1">
      <c r="A189" s="151"/>
      <c r="B189" s="219"/>
      <c r="C189" s="219"/>
      <c r="D189" s="219"/>
      <c r="E189" s="225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</row>
    <row r="190" spans="1:36" s="144" customFormat="1" ht="21.75" customHeight="1">
      <c r="A190" s="151"/>
      <c r="B190" s="219"/>
      <c r="C190" s="219"/>
      <c r="D190" s="219"/>
      <c r="E190" s="225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</row>
    <row r="191" spans="1:36" s="144" customFormat="1" ht="21.75" customHeight="1">
      <c r="A191" s="151"/>
      <c r="B191" s="219"/>
      <c r="C191" s="219"/>
      <c r="D191" s="219"/>
      <c r="E191" s="225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</row>
    <row r="192" spans="1:36" s="144" customFormat="1" ht="21.75" customHeight="1">
      <c r="A192" s="151"/>
      <c r="B192" s="219"/>
      <c r="C192" s="219"/>
      <c r="D192" s="219"/>
      <c r="E192" s="225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</row>
    <row r="193" spans="1:36" s="144" customFormat="1" ht="21.75" customHeight="1">
      <c r="A193" s="151"/>
      <c r="B193" s="219"/>
      <c r="C193" s="219"/>
      <c r="D193" s="219"/>
      <c r="E193" s="225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</row>
    <row r="194" spans="1:36" s="144" customFormat="1" ht="21.75" customHeight="1">
      <c r="A194" s="151"/>
      <c r="B194" s="219"/>
      <c r="C194" s="219"/>
      <c r="D194" s="219"/>
      <c r="E194" s="225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</row>
    <row r="195" spans="1:36" s="144" customFormat="1" ht="21.75" customHeight="1">
      <c r="A195" s="151"/>
      <c r="B195" s="219"/>
      <c r="C195" s="219"/>
      <c r="D195" s="219"/>
      <c r="E195" s="225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</row>
    <row r="196" spans="1:36" s="144" customFormat="1" ht="21.75" customHeight="1">
      <c r="A196" s="151"/>
      <c r="B196" s="219"/>
      <c r="C196" s="219"/>
      <c r="D196" s="219"/>
      <c r="E196" s="225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</row>
    <row r="197" spans="1:36" s="144" customFormat="1" ht="21.75" customHeight="1">
      <c r="A197" s="151"/>
      <c r="B197" s="219"/>
      <c r="C197" s="219"/>
      <c r="D197" s="219"/>
      <c r="E197" s="225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</row>
    <row r="198" spans="1:36" s="144" customFormat="1" ht="21.75" customHeight="1">
      <c r="A198" s="151"/>
      <c r="B198" s="219"/>
      <c r="C198" s="219"/>
      <c r="D198" s="219"/>
      <c r="E198" s="225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</row>
    <row r="199" spans="1:36" s="144" customFormat="1" ht="21.75" customHeight="1">
      <c r="A199" s="151"/>
      <c r="B199" s="219"/>
      <c r="C199" s="219"/>
      <c r="D199" s="219"/>
      <c r="E199" s="225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</row>
    <row r="200" spans="1:36" s="144" customFormat="1" ht="21.75" customHeight="1">
      <c r="A200" s="151"/>
      <c r="B200" s="219"/>
      <c r="C200" s="219"/>
      <c r="D200" s="219"/>
      <c r="E200" s="225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</row>
    <row r="201" spans="1:36" s="144" customFormat="1" ht="21.75" customHeight="1">
      <c r="A201" s="151"/>
      <c r="B201" s="219"/>
      <c r="C201" s="219"/>
      <c r="D201" s="219"/>
      <c r="E201" s="225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</row>
    <row r="202" spans="1:36" s="144" customFormat="1" ht="21.75" customHeight="1">
      <c r="A202" s="151"/>
      <c r="B202" s="219"/>
      <c r="C202" s="219"/>
      <c r="D202" s="219"/>
      <c r="E202" s="225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</row>
    <row r="203" spans="1:36" s="144" customFormat="1" ht="21.75" customHeight="1">
      <c r="A203" s="151"/>
      <c r="B203" s="219"/>
      <c r="C203" s="219"/>
      <c r="D203" s="219"/>
      <c r="E203" s="225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</row>
    <row r="204" spans="1:36" s="144" customFormat="1" ht="21.75" customHeight="1">
      <c r="A204" s="151"/>
      <c r="B204" s="219"/>
      <c r="C204" s="219"/>
      <c r="D204" s="219"/>
      <c r="E204" s="225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43"/>
      <c r="AI204" s="143"/>
      <c r="AJ204" s="143"/>
    </row>
    <row r="205" spans="1:36" s="144" customFormat="1" ht="21.75" customHeight="1">
      <c r="A205" s="151"/>
      <c r="B205" s="219"/>
      <c r="C205" s="219"/>
      <c r="D205" s="219"/>
      <c r="E205" s="225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143"/>
      <c r="AI205" s="143"/>
      <c r="AJ205" s="143"/>
    </row>
    <row r="206" spans="1:36" s="144" customFormat="1" ht="21.75" customHeight="1">
      <c r="A206" s="151"/>
      <c r="B206" s="219"/>
      <c r="C206" s="219"/>
      <c r="D206" s="219"/>
      <c r="E206" s="225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43"/>
      <c r="AJ206" s="143"/>
    </row>
    <row r="207" spans="1:36" s="144" customFormat="1" ht="21.75" customHeight="1">
      <c r="A207" s="151"/>
      <c r="B207" s="219"/>
      <c r="C207" s="219"/>
      <c r="D207" s="219"/>
      <c r="E207" s="225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</row>
    <row r="208" spans="1:36" s="144" customFormat="1" ht="21.75" customHeight="1">
      <c r="A208" s="151"/>
      <c r="B208" s="219"/>
      <c r="C208" s="219"/>
      <c r="D208" s="219"/>
      <c r="E208" s="225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</row>
    <row r="209" spans="1:36" s="144" customFormat="1" ht="21.75" customHeight="1">
      <c r="A209" s="151"/>
      <c r="B209" s="219"/>
      <c r="C209" s="219"/>
      <c r="D209" s="219"/>
      <c r="E209" s="225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</row>
    <row r="210" spans="1:36" s="144" customFormat="1" ht="21.75" customHeight="1">
      <c r="A210" s="151"/>
      <c r="B210" s="219"/>
      <c r="C210" s="219"/>
      <c r="D210" s="219"/>
      <c r="E210" s="225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</row>
    <row r="211" spans="1:36" s="144" customFormat="1" ht="21.75" customHeight="1">
      <c r="A211" s="151"/>
      <c r="B211" s="219"/>
      <c r="C211" s="219"/>
      <c r="D211" s="219"/>
      <c r="E211" s="225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</row>
    <row r="212" spans="1:36" s="144" customFormat="1" ht="21.75" customHeight="1">
      <c r="A212" s="151"/>
      <c r="B212" s="219"/>
      <c r="C212" s="219"/>
      <c r="D212" s="219"/>
      <c r="E212" s="225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</row>
    <row r="213" spans="1:36" s="144" customFormat="1" ht="21.75" customHeight="1">
      <c r="A213" s="151"/>
      <c r="B213" s="219"/>
      <c r="C213" s="219"/>
      <c r="D213" s="219"/>
      <c r="E213" s="225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</row>
    <row r="214" spans="1:36" s="144" customFormat="1" ht="21.75" customHeight="1">
      <c r="A214" s="151"/>
      <c r="B214" s="219"/>
      <c r="C214" s="219"/>
      <c r="D214" s="219"/>
      <c r="E214" s="225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</row>
    <row r="215" spans="1:36" s="144" customFormat="1" ht="21.75" customHeight="1">
      <c r="A215" s="151"/>
      <c r="B215" s="219"/>
      <c r="C215" s="219"/>
      <c r="D215" s="219"/>
      <c r="E215" s="225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</row>
    <row r="216" spans="1:36" s="144" customFormat="1" ht="21.75" customHeight="1">
      <c r="A216" s="151"/>
      <c r="B216" s="219"/>
      <c r="C216" s="219"/>
      <c r="D216" s="219"/>
      <c r="E216" s="225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</row>
    <row r="217" spans="1:36" s="144" customFormat="1" ht="21.75" customHeight="1">
      <c r="A217" s="151"/>
      <c r="B217" s="219"/>
      <c r="C217" s="219"/>
      <c r="D217" s="219"/>
      <c r="E217" s="225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</row>
    <row r="218" spans="1:36" s="144" customFormat="1" ht="21.75" customHeight="1">
      <c r="A218" s="151"/>
      <c r="B218" s="219"/>
      <c r="C218" s="219"/>
      <c r="D218" s="219"/>
      <c r="E218" s="225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</row>
    <row r="219" spans="1:36" s="144" customFormat="1" ht="21.75" customHeight="1">
      <c r="A219" s="151"/>
      <c r="B219" s="219"/>
      <c r="C219" s="219"/>
      <c r="D219" s="219"/>
      <c r="E219" s="225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</row>
    <row r="220" spans="1:36" s="144" customFormat="1" ht="21.75" customHeight="1">
      <c r="A220" s="151"/>
      <c r="B220" s="219"/>
      <c r="C220" s="219"/>
      <c r="D220" s="219"/>
      <c r="E220" s="225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</row>
    <row r="221" spans="1:36" s="144" customFormat="1" ht="21.75" customHeight="1">
      <c r="A221" s="151"/>
      <c r="B221" s="219"/>
      <c r="C221" s="219"/>
      <c r="D221" s="219"/>
      <c r="E221" s="225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</row>
    <row r="222" spans="1:36" s="144" customFormat="1" ht="21.75" customHeight="1">
      <c r="A222" s="151"/>
      <c r="B222" s="219"/>
      <c r="C222" s="219"/>
      <c r="D222" s="219"/>
      <c r="E222" s="225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</row>
    <row r="223" spans="1:36" s="144" customFormat="1" ht="21.75" customHeight="1">
      <c r="A223" s="151"/>
      <c r="B223" s="219"/>
      <c r="C223" s="219"/>
      <c r="D223" s="219"/>
      <c r="E223" s="225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</row>
    <row r="224" spans="1:36" s="144" customFormat="1" ht="21.75" customHeight="1">
      <c r="A224" s="151"/>
      <c r="B224" s="219"/>
      <c r="C224" s="219"/>
      <c r="D224" s="219"/>
      <c r="E224" s="225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</row>
    <row r="225" spans="1:36" s="144" customFormat="1" ht="21.75" customHeight="1">
      <c r="A225" s="151"/>
      <c r="B225" s="219"/>
      <c r="C225" s="219"/>
      <c r="D225" s="219"/>
      <c r="E225" s="225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</row>
    <row r="226" spans="1:36" s="144" customFormat="1" ht="21.75" customHeight="1">
      <c r="A226" s="151"/>
      <c r="B226" s="219"/>
      <c r="C226" s="219"/>
      <c r="D226" s="219"/>
      <c r="E226" s="225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</row>
    <row r="227" spans="1:36" s="144" customFormat="1" ht="21.75" customHeight="1">
      <c r="A227" s="151"/>
      <c r="B227" s="219"/>
      <c r="C227" s="219"/>
      <c r="D227" s="219"/>
      <c r="E227" s="225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</row>
    <row r="228" spans="1:36" s="144" customFormat="1" ht="21.75" customHeight="1">
      <c r="A228" s="151"/>
      <c r="B228" s="219"/>
      <c r="C228" s="219"/>
      <c r="D228" s="219"/>
      <c r="E228" s="225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</row>
    <row r="229" spans="1:36" s="144" customFormat="1" ht="21.75" customHeight="1">
      <c r="A229" s="151"/>
      <c r="B229" s="219"/>
      <c r="C229" s="219"/>
      <c r="D229" s="219"/>
      <c r="E229" s="225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</row>
    <row r="230" spans="1:36" s="144" customFormat="1" ht="21.75" customHeight="1">
      <c r="A230" s="151"/>
      <c r="B230" s="219"/>
      <c r="C230" s="219"/>
      <c r="D230" s="219"/>
      <c r="E230" s="225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</row>
    <row r="231" spans="1:36" s="144" customFormat="1" ht="21.75" customHeight="1">
      <c r="A231" s="151"/>
      <c r="B231" s="219"/>
      <c r="C231" s="219"/>
      <c r="D231" s="219"/>
      <c r="E231" s="225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</row>
    <row r="232" spans="1:36" s="144" customFormat="1" ht="21.75" customHeight="1">
      <c r="A232" s="151"/>
      <c r="B232" s="219"/>
      <c r="C232" s="219"/>
      <c r="D232" s="219"/>
      <c r="E232" s="225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</row>
    <row r="233" spans="1:36" s="144" customFormat="1" ht="21.75" customHeight="1">
      <c r="A233" s="151"/>
      <c r="B233" s="219"/>
      <c r="C233" s="219"/>
      <c r="D233" s="219"/>
      <c r="E233" s="225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</row>
    <row r="234" spans="1:36" s="144" customFormat="1" ht="21.75" customHeight="1">
      <c r="A234" s="151"/>
      <c r="B234" s="219"/>
      <c r="C234" s="219"/>
      <c r="D234" s="219"/>
      <c r="E234" s="225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</row>
    <row r="235" spans="1:36" s="144" customFormat="1" ht="21.75" customHeight="1">
      <c r="A235" s="151"/>
      <c r="B235" s="219"/>
      <c r="C235" s="219"/>
      <c r="D235" s="219"/>
      <c r="E235" s="225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</row>
    <row r="236" spans="1:36" s="144" customFormat="1" ht="21.75" customHeight="1">
      <c r="A236" s="151"/>
      <c r="B236" s="219"/>
      <c r="C236" s="219"/>
      <c r="D236" s="219"/>
      <c r="E236" s="225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</row>
    <row r="237" spans="1:36" s="144" customFormat="1" ht="21.75" customHeight="1">
      <c r="A237" s="151"/>
      <c r="B237" s="219"/>
      <c r="C237" s="219"/>
      <c r="D237" s="219"/>
      <c r="E237" s="225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</row>
    <row r="238" spans="1:36" s="144" customFormat="1" ht="21.75" customHeight="1">
      <c r="A238" s="151"/>
      <c r="B238" s="219"/>
      <c r="C238" s="219"/>
      <c r="D238" s="219"/>
      <c r="E238" s="225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  <c r="AF238" s="143"/>
      <c r="AG238" s="143"/>
      <c r="AH238" s="143"/>
      <c r="AI238" s="143"/>
      <c r="AJ238" s="143"/>
    </row>
    <row r="239" spans="1:36" s="144" customFormat="1" ht="21.75" customHeight="1">
      <c r="A239" s="151"/>
      <c r="B239" s="219"/>
      <c r="C239" s="219"/>
      <c r="D239" s="219"/>
      <c r="E239" s="225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  <c r="AF239" s="143"/>
      <c r="AG239" s="143"/>
      <c r="AH239" s="143"/>
      <c r="AI239" s="143"/>
      <c r="AJ239" s="143"/>
    </row>
    <row r="240" spans="1:36" s="144" customFormat="1" ht="21.75" customHeight="1">
      <c r="A240" s="151"/>
      <c r="B240" s="219"/>
      <c r="C240" s="219"/>
      <c r="D240" s="219"/>
      <c r="E240" s="225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</row>
    <row r="241" spans="1:36" s="144" customFormat="1" ht="21.75" customHeight="1">
      <c r="A241" s="151"/>
      <c r="B241" s="219"/>
      <c r="C241" s="219"/>
      <c r="D241" s="219"/>
      <c r="E241" s="225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</row>
    <row r="242" spans="1:36" s="144" customFormat="1" ht="21.75" customHeight="1">
      <c r="A242" s="151"/>
      <c r="B242" s="219"/>
      <c r="C242" s="219"/>
      <c r="D242" s="219"/>
      <c r="E242" s="225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</row>
    <row r="243" spans="1:36" s="144" customFormat="1" ht="21.75" customHeight="1">
      <c r="A243" s="151"/>
      <c r="B243" s="219"/>
      <c r="C243" s="219"/>
      <c r="D243" s="219"/>
      <c r="E243" s="225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</row>
    <row r="244" spans="1:36" s="144" customFormat="1" ht="21.75" customHeight="1">
      <c r="A244" s="151"/>
      <c r="B244" s="219"/>
      <c r="C244" s="219"/>
      <c r="D244" s="219"/>
      <c r="E244" s="225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</row>
    <row r="245" spans="1:36" s="144" customFormat="1" ht="21.75" customHeight="1">
      <c r="A245" s="151"/>
      <c r="B245" s="219"/>
      <c r="C245" s="219"/>
      <c r="D245" s="219"/>
      <c r="E245" s="225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</row>
    <row r="246" spans="1:36" s="144" customFormat="1" ht="21.75" customHeight="1">
      <c r="A246" s="151"/>
      <c r="B246" s="219"/>
      <c r="C246" s="219"/>
      <c r="D246" s="219"/>
      <c r="E246" s="225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</row>
    <row r="247" spans="1:36" s="144" customFormat="1" ht="21.75" customHeight="1">
      <c r="A247" s="151"/>
      <c r="B247" s="219"/>
      <c r="C247" s="219"/>
      <c r="D247" s="219"/>
      <c r="E247" s="225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</row>
    <row r="248" spans="1:36" s="144" customFormat="1" ht="21.75" customHeight="1">
      <c r="A248" s="151"/>
      <c r="B248" s="219"/>
      <c r="C248" s="219"/>
      <c r="D248" s="219"/>
      <c r="E248" s="225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</row>
    <row r="249" spans="1:36" s="144" customFormat="1" ht="21.75" customHeight="1">
      <c r="A249" s="151"/>
      <c r="B249" s="219"/>
      <c r="C249" s="219"/>
      <c r="D249" s="219"/>
      <c r="E249" s="225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</row>
    <row r="250" spans="1:36" s="144" customFormat="1" ht="21.75" customHeight="1">
      <c r="A250" s="151"/>
      <c r="B250" s="219"/>
      <c r="C250" s="219"/>
      <c r="D250" s="219"/>
      <c r="E250" s="225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</row>
    <row r="251" spans="1:36" s="144" customFormat="1" ht="21.75" customHeight="1">
      <c r="A251" s="151"/>
      <c r="B251" s="219"/>
      <c r="C251" s="219"/>
      <c r="D251" s="219"/>
      <c r="E251" s="225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</row>
    <row r="252" spans="1:36" s="144" customFormat="1" ht="21.75" customHeight="1">
      <c r="A252" s="151"/>
      <c r="B252" s="219"/>
      <c r="C252" s="219"/>
      <c r="D252" s="219"/>
      <c r="E252" s="225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</row>
    <row r="253" spans="1:36" s="144" customFormat="1" ht="21.75" customHeight="1">
      <c r="A253" s="151"/>
      <c r="B253" s="219"/>
      <c r="C253" s="219"/>
      <c r="D253" s="219"/>
      <c r="E253" s="225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</row>
    <row r="254" spans="1:36" s="144" customFormat="1" ht="21.75" customHeight="1">
      <c r="A254" s="151"/>
      <c r="B254" s="219"/>
      <c r="C254" s="219"/>
      <c r="D254" s="219"/>
      <c r="E254" s="225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</row>
    <row r="255" spans="1:36" s="144" customFormat="1" ht="21.75" customHeight="1">
      <c r="A255" s="151"/>
      <c r="B255" s="219"/>
      <c r="C255" s="219"/>
      <c r="D255" s="219"/>
      <c r="E255" s="225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</row>
    <row r="256" spans="1:36" s="144" customFormat="1" ht="21.75" customHeight="1">
      <c r="A256" s="151"/>
      <c r="B256" s="219"/>
      <c r="C256" s="219"/>
      <c r="D256" s="219"/>
      <c r="E256" s="225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</row>
    <row r="257" spans="1:36" s="144" customFormat="1" ht="21.75" customHeight="1">
      <c r="A257" s="151"/>
      <c r="B257" s="219"/>
      <c r="C257" s="219"/>
      <c r="D257" s="219"/>
      <c r="E257" s="225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</row>
    <row r="258" spans="1:36" s="144" customFormat="1" ht="21.75" customHeight="1">
      <c r="A258" s="151"/>
      <c r="B258" s="219"/>
      <c r="C258" s="219"/>
      <c r="D258" s="219"/>
      <c r="E258" s="225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</row>
    <row r="259" spans="1:36" s="144" customFormat="1" ht="21.75" customHeight="1">
      <c r="A259" s="151"/>
      <c r="B259" s="219"/>
      <c r="C259" s="219"/>
      <c r="D259" s="219"/>
      <c r="E259" s="225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</row>
    <row r="260" spans="1:36" s="144" customFormat="1" ht="21.75" customHeight="1">
      <c r="A260" s="151"/>
      <c r="B260" s="219"/>
      <c r="C260" s="219"/>
      <c r="D260" s="219"/>
      <c r="E260" s="225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</row>
    <row r="261" spans="1:36" s="144" customFormat="1" ht="21.75" customHeight="1">
      <c r="A261" s="151"/>
      <c r="B261" s="219"/>
      <c r="C261" s="219"/>
      <c r="D261" s="219"/>
      <c r="E261" s="225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</row>
    <row r="262" spans="1:36" s="144" customFormat="1" ht="21.75" customHeight="1">
      <c r="A262" s="151"/>
      <c r="B262" s="219"/>
      <c r="C262" s="219"/>
      <c r="D262" s="219"/>
      <c r="E262" s="225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</row>
    <row r="263" spans="1:36" s="144" customFormat="1" ht="21.75" customHeight="1">
      <c r="A263" s="151"/>
      <c r="B263" s="219"/>
      <c r="C263" s="219"/>
      <c r="D263" s="219"/>
      <c r="E263" s="225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</row>
    <row r="264" spans="1:36" s="144" customFormat="1" ht="21.75" customHeight="1">
      <c r="A264" s="151"/>
      <c r="B264" s="219"/>
      <c r="C264" s="219"/>
      <c r="D264" s="219"/>
      <c r="E264" s="225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</row>
    <row r="265" spans="1:36" s="144" customFormat="1" ht="21.75" customHeight="1">
      <c r="A265" s="151"/>
      <c r="B265" s="219"/>
      <c r="C265" s="219"/>
      <c r="D265" s="219"/>
      <c r="E265" s="225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</row>
    <row r="266" spans="1:36" s="144" customFormat="1" ht="21.75" customHeight="1">
      <c r="A266" s="151"/>
      <c r="B266" s="219"/>
      <c r="C266" s="219"/>
      <c r="D266" s="219"/>
      <c r="E266" s="225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</row>
    <row r="267" spans="1:36" s="144" customFormat="1" ht="21.75" customHeight="1">
      <c r="A267" s="151"/>
      <c r="B267" s="219"/>
      <c r="C267" s="219"/>
      <c r="D267" s="219"/>
      <c r="E267" s="225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</row>
    <row r="268" spans="1:36" s="144" customFormat="1" ht="21.75" customHeight="1">
      <c r="A268" s="151"/>
      <c r="B268" s="219"/>
      <c r="C268" s="219"/>
      <c r="D268" s="219"/>
      <c r="E268" s="225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</row>
    <row r="269" spans="1:36" s="144" customFormat="1" ht="21.75" customHeight="1">
      <c r="A269" s="151"/>
      <c r="B269" s="219"/>
      <c r="C269" s="219"/>
      <c r="D269" s="219"/>
      <c r="E269" s="225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</row>
    <row r="270" spans="1:36" s="144" customFormat="1" ht="21.75" customHeight="1">
      <c r="A270" s="151"/>
      <c r="B270" s="219"/>
      <c r="C270" s="219"/>
      <c r="D270" s="219"/>
      <c r="E270" s="225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</row>
    <row r="271" spans="1:36" s="144" customFormat="1" ht="21.75" customHeight="1">
      <c r="A271" s="151"/>
      <c r="B271" s="219"/>
      <c r="C271" s="219"/>
      <c r="D271" s="219"/>
      <c r="E271" s="225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43"/>
      <c r="AI271" s="143"/>
      <c r="AJ271" s="143"/>
    </row>
    <row r="272" spans="1:36" s="144" customFormat="1" ht="21.75" customHeight="1">
      <c r="A272" s="151"/>
      <c r="B272" s="219"/>
      <c r="C272" s="219"/>
      <c r="D272" s="219"/>
      <c r="E272" s="225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  <c r="AF272" s="143"/>
      <c r="AG272" s="143"/>
      <c r="AH272" s="143"/>
      <c r="AI272" s="143"/>
      <c r="AJ272" s="143"/>
    </row>
    <row r="273" spans="1:36" s="144" customFormat="1" ht="21.75" customHeight="1">
      <c r="A273" s="151"/>
      <c r="B273" s="219"/>
      <c r="C273" s="219"/>
      <c r="D273" s="219"/>
      <c r="E273" s="225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143"/>
      <c r="AJ273" s="143"/>
    </row>
    <row r="274" spans="1:36" s="144" customFormat="1" ht="21.75" customHeight="1">
      <c r="A274" s="151"/>
      <c r="B274" s="219"/>
      <c r="C274" s="219"/>
      <c r="D274" s="219"/>
      <c r="E274" s="225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</row>
    <row r="275" spans="1:36" s="144" customFormat="1" ht="21.75" customHeight="1">
      <c r="A275" s="151"/>
      <c r="B275" s="219"/>
      <c r="C275" s="219"/>
      <c r="D275" s="219"/>
      <c r="E275" s="225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</row>
    <row r="276" spans="1:36" s="144" customFormat="1" ht="21.75" customHeight="1">
      <c r="A276" s="151"/>
      <c r="B276" s="219"/>
      <c r="C276" s="219"/>
      <c r="D276" s="219"/>
      <c r="E276" s="225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</row>
    <row r="277" spans="1:36" s="144" customFormat="1" ht="21.75" customHeight="1">
      <c r="A277" s="151"/>
      <c r="B277" s="219"/>
      <c r="C277" s="219"/>
      <c r="D277" s="219"/>
      <c r="E277" s="225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</row>
    <row r="278" spans="1:36" s="144" customFormat="1" ht="21.75" customHeight="1">
      <c r="A278" s="151"/>
      <c r="B278" s="219"/>
      <c r="C278" s="219"/>
      <c r="D278" s="219"/>
      <c r="E278" s="225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</row>
    <row r="279" spans="1:36" s="144" customFormat="1" ht="21.75" customHeight="1">
      <c r="A279" s="151"/>
      <c r="B279" s="219"/>
      <c r="C279" s="219"/>
      <c r="D279" s="219"/>
      <c r="E279" s="225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</row>
    <row r="280" spans="1:36" s="144" customFormat="1" ht="21.75" customHeight="1">
      <c r="A280" s="151"/>
      <c r="B280" s="219"/>
      <c r="C280" s="219"/>
      <c r="D280" s="219"/>
      <c r="E280" s="225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</row>
    <row r="281" spans="1:36" s="144" customFormat="1" ht="21.75" customHeight="1">
      <c r="A281" s="151"/>
      <c r="B281" s="219"/>
      <c r="C281" s="219"/>
      <c r="D281" s="219"/>
      <c r="E281" s="225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</row>
    <row r="282" spans="1:36" s="144" customFormat="1" ht="21.75" customHeight="1">
      <c r="A282" s="151"/>
      <c r="B282" s="219"/>
      <c r="C282" s="219"/>
      <c r="D282" s="219"/>
      <c r="E282" s="225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</row>
    <row r="283" spans="1:36" s="144" customFormat="1" ht="21.75" customHeight="1">
      <c r="A283" s="151"/>
      <c r="B283" s="219"/>
      <c r="C283" s="219"/>
      <c r="D283" s="219"/>
      <c r="E283" s="225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</row>
    <row r="284" spans="1:36" s="144" customFormat="1" ht="21.75" customHeight="1">
      <c r="A284" s="151"/>
      <c r="B284" s="219"/>
      <c r="C284" s="219"/>
      <c r="D284" s="219"/>
      <c r="E284" s="225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</row>
    <row r="285" spans="1:36" s="144" customFormat="1" ht="21.75" customHeight="1">
      <c r="A285" s="151"/>
      <c r="B285" s="219"/>
      <c r="C285" s="219"/>
      <c r="D285" s="219"/>
      <c r="E285" s="225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</row>
    <row r="286" spans="1:36" s="144" customFormat="1" ht="21.75" customHeight="1">
      <c r="A286" s="151"/>
      <c r="B286" s="219"/>
      <c r="C286" s="219"/>
      <c r="D286" s="219"/>
      <c r="E286" s="225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</row>
    <row r="287" spans="1:36" s="144" customFormat="1" ht="21.75" customHeight="1">
      <c r="A287" s="151"/>
      <c r="B287" s="219"/>
      <c r="C287" s="219"/>
      <c r="D287" s="219"/>
      <c r="E287" s="225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</row>
    <row r="288" spans="1:36" s="144" customFormat="1" ht="21.75" customHeight="1">
      <c r="A288" s="151"/>
      <c r="B288" s="219"/>
      <c r="C288" s="219"/>
      <c r="D288" s="219"/>
      <c r="E288" s="225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</row>
    <row r="289" spans="1:36" s="144" customFormat="1" ht="21.75" customHeight="1">
      <c r="A289" s="151"/>
      <c r="B289" s="219"/>
      <c r="C289" s="219"/>
      <c r="D289" s="219"/>
      <c r="E289" s="225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</row>
    <row r="290" spans="1:36" s="144" customFormat="1" ht="21.75" customHeight="1">
      <c r="A290" s="151"/>
      <c r="B290" s="219"/>
      <c r="C290" s="219"/>
      <c r="D290" s="219"/>
      <c r="E290" s="225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</row>
    <row r="291" spans="1:36" s="144" customFormat="1" ht="21.75" customHeight="1">
      <c r="A291" s="151"/>
      <c r="B291" s="219"/>
      <c r="C291" s="219"/>
      <c r="D291" s="219"/>
      <c r="E291" s="225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</row>
    <row r="292" spans="1:36" s="144" customFormat="1" ht="21.75" customHeight="1">
      <c r="A292" s="151"/>
      <c r="B292" s="219"/>
      <c r="C292" s="219"/>
      <c r="D292" s="219"/>
      <c r="E292" s="225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</row>
    <row r="293" spans="1:36" s="144" customFormat="1" ht="21.75" customHeight="1">
      <c r="A293" s="151"/>
      <c r="B293" s="219"/>
      <c r="C293" s="219"/>
      <c r="D293" s="219"/>
      <c r="E293" s="225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</row>
    <row r="294" spans="1:36" s="144" customFormat="1" ht="21.75" customHeight="1">
      <c r="A294" s="151"/>
      <c r="B294" s="219"/>
      <c r="C294" s="219"/>
      <c r="D294" s="219"/>
      <c r="E294" s="225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</row>
    <row r="295" spans="1:36" s="144" customFormat="1" ht="21.75" customHeight="1">
      <c r="A295" s="151"/>
      <c r="B295" s="219"/>
      <c r="C295" s="219"/>
      <c r="D295" s="219"/>
      <c r="E295" s="225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</row>
    <row r="296" spans="1:36" s="144" customFormat="1" ht="21.75" customHeight="1">
      <c r="A296" s="151"/>
      <c r="B296" s="219"/>
      <c r="C296" s="219"/>
      <c r="D296" s="219"/>
      <c r="E296" s="225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</row>
    <row r="297" spans="1:36" s="144" customFormat="1" ht="21.75" customHeight="1">
      <c r="A297" s="151"/>
      <c r="B297" s="219"/>
      <c r="C297" s="219"/>
      <c r="D297" s="219"/>
      <c r="E297" s="225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</row>
    <row r="298" spans="1:36" s="144" customFormat="1" ht="21.75" customHeight="1">
      <c r="A298" s="151"/>
      <c r="B298" s="219"/>
      <c r="C298" s="219"/>
      <c r="D298" s="219"/>
      <c r="E298" s="225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</row>
    <row r="299" spans="1:36" s="144" customFormat="1" ht="21.75" customHeight="1">
      <c r="A299" s="151"/>
      <c r="B299" s="219"/>
      <c r="C299" s="219"/>
      <c r="D299" s="219"/>
      <c r="E299" s="225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</row>
    <row r="300" spans="1:36" s="144" customFormat="1" ht="21.75" customHeight="1">
      <c r="A300" s="151"/>
      <c r="B300" s="219"/>
      <c r="C300" s="219"/>
      <c r="D300" s="219"/>
      <c r="E300" s="225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</row>
    <row r="301" spans="1:36" s="144" customFormat="1" ht="21.75" customHeight="1">
      <c r="A301" s="151"/>
      <c r="B301" s="219"/>
      <c r="C301" s="219"/>
      <c r="D301" s="219"/>
      <c r="E301" s="225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</row>
    <row r="302" spans="1:36" s="144" customFormat="1" ht="21.75" customHeight="1">
      <c r="A302" s="151"/>
      <c r="B302" s="219"/>
      <c r="C302" s="219"/>
      <c r="D302" s="219"/>
      <c r="E302" s="225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</row>
    <row r="303" spans="1:36" s="144" customFormat="1" ht="21.75" customHeight="1">
      <c r="A303" s="151"/>
      <c r="B303" s="219"/>
      <c r="C303" s="219"/>
      <c r="D303" s="219"/>
      <c r="E303" s="225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</row>
    <row r="304" spans="1:36" s="144" customFormat="1" ht="21.75" customHeight="1">
      <c r="A304" s="151"/>
      <c r="B304" s="219"/>
      <c r="C304" s="219"/>
      <c r="D304" s="219"/>
      <c r="E304" s="225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</row>
    <row r="305" spans="1:36" s="144" customFormat="1" ht="21.75" customHeight="1">
      <c r="A305" s="151"/>
      <c r="B305" s="219"/>
      <c r="C305" s="219"/>
      <c r="D305" s="219"/>
      <c r="E305" s="225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43"/>
      <c r="AI305" s="143"/>
      <c r="AJ305" s="143"/>
    </row>
    <row r="306" spans="1:36" s="144" customFormat="1" ht="21.75" customHeight="1">
      <c r="A306" s="151"/>
      <c r="B306" s="219"/>
      <c r="C306" s="219"/>
      <c r="D306" s="219"/>
      <c r="E306" s="225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  <c r="AF306" s="143"/>
      <c r="AG306" s="143"/>
      <c r="AH306" s="143"/>
      <c r="AI306" s="143"/>
      <c r="AJ306" s="143"/>
    </row>
    <row r="307" spans="1:36" s="144" customFormat="1" ht="21.75" customHeight="1">
      <c r="A307" s="151"/>
      <c r="B307" s="219"/>
      <c r="C307" s="219"/>
      <c r="D307" s="219"/>
      <c r="E307" s="225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43"/>
      <c r="AJ307" s="143"/>
    </row>
    <row r="308" spans="1:36" s="144" customFormat="1" ht="21.75" customHeight="1">
      <c r="A308" s="151"/>
      <c r="B308" s="219"/>
      <c r="C308" s="219"/>
      <c r="D308" s="219"/>
      <c r="E308" s="225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43"/>
    </row>
    <row r="309" spans="1:36" s="144" customFormat="1" ht="21.75" customHeight="1">
      <c r="A309" s="151"/>
      <c r="B309" s="219"/>
      <c r="C309" s="219"/>
      <c r="D309" s="219"/>
      <c r="E309" s="225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</row>
    <row r="310" spans="1:36" s="144" customFormat="1" ht="21.75" customHeight="1">
      <c r="A310" s="151"/>
      <c r="B310" s="219"/>
      <c r="C310" s="219"/>
      <c r="D310" s="219"/>
      <c r="E310" s="225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</row>
    <row r="311" spans="1:36" s="144" customFormat="1" ht="21.75" customHeight="1">
      <c r="A311" s="151"/>
      <c r="B311" s="219"/>
      <c r="C311" s="219"/>
      <c r="D311" s="219"/>
      <c r="E311" s="225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</row>
    <row r="312" spans="1:36" s="144" customFormat="1" ht="21.75" customHeight="1">
      <c r="A312" s="151"/>
      <c r="B312" s="219"/>
      <c r="C312" s="219"/>
      <c r="D312" s="219"/>
      <c r="E312" s="225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</row>
    <row r="313" spans="1:36" s="144" customFormat="1" ht="21.75" customHeight="1">
      <c r="A313" s="151"/>
      <c r="B313" s="219"/>
      <c r="C313" s="219"/>
      <c r="D313" s="219"/>
      <c r="E313" s="225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</row>
    <row r="314" spans="1:36" s="144" customFormat="1" ht="21.75" customHeight="1">
      <c r="A314" s="151"/>
      <c r="B314" s="219"/>
      <c r="C314" s="219"/>
      <c r="D314" s="219"/>
      <c r="E314" s="225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</row>
    <row r="315" spans="1:36" s="144" customFormat="1" ht="21.75" customHeight="1">
      <c r="A315" s="151"/>
      <c r="B315" s="219"/>
      <c r="C315" s="219"/>
      <c r="D315" s="219"/>
      <c r="E315" s="225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</row>
    <row r="316" spans="1:36" s="144" customFormat="1" ht="21.75" customHeight="1">
      <c r="A316" s="151"/>
      <c r="B316" s="219"/>
      <c r="C316" s="219"/>
      <c r="D316" s="219"/>
      <c r="E316" s="225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</row>
    <row r="317" spans="1:36" s="144" customFormat="1" ht="21.75" customHeight="1">
      <c r="A317" s="151"/>
      <c r="B317" s="219"/>
      <c r="C317" s="219"/>
      <c r="D317" s="219"/>
      <c r="E317" s="225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</row>
    <row r="318" spans="1:36" s="144" customFormat="1" ht="21.75" customHeight="1">
      <c r="A318" s="151"/>
      <c r="B318" s="219"/>
      <c r="C318" s="219"/>
      <c r="D318" s="219"/>
      <c r="E318" s="225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</row>
    <row r="319" spans="1:36" s="144" customFormat="1" ht="21.75" customHeight="1">
      <c r="A319" s="151"/>
      <c r="B319" s="219"/>
      <c r="C319" s="219"/>
      <c r="D319" s="219"/>
      <c r="E319" s="225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</row>
    <row r="320" spans="1:36" s="144" customFormat="1" ht="21.75" customHeight="1">
      <c r="A320" s="151"/>
      <c r="B320" s="219"/>
      <c r="C320" s="219"/>
      <c r="D320" s="219"/>
      <c r="E320" s="225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</row>
    <row r="321" spans="1:36" s="144" customFormat="1" ht="21.75" customHeight="1">
      <c r="A321" s="151"/>
      <c r="B321" s="219"/>
      <c r="C321" s="219"/>
      <c r="D321" s="219"/>
      <c r="E321" s="225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</row>
    <row r="322" spans="1:36" s="144" customFormat="1" ht="21.75" customHeight="1">
      <c r="A322" s="151"/>
      <c r="B322" s="219"/>
      <c r="C322" s="219"/>
      <c r="D322" s="219"/>
      <c r="E322" s="225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</row>
    <row r="323" spans="1:36" s="144" customFormat="1" ht="21.75" customHeight="1">
      <c r="A323" s="151"/>
      <c r="B323" s="219"/>
      <c r="C323" s="219"/>
      <c r="D323" s="219"/>
      <c r="E323" s="225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</row>
    <row r="324" spans="1:36" s="144" customFormat="1" ht="21.75" customHeight="1">
      <c r="A324" s="151"/>
      <c r="B324" s="219"/>
      <c r="C324" s="219"/>
      <c r="D324" s="219"/>
      <c r="E324" s="225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</row>
    <row r="325" spans="1:36" s="144" customFormat="1" ht="21.75" customHeight="1">
      <c r="A325" s="151"/>
      <c r="B325" s="219"/>
      <c r="C325" s="219"/>
      <c r="D325" s="219"/>
      <c r="E325" s="225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</row>
    <row r="326" spans="1:36" s="144" customFormat="1" ht="21.75" customHeight="1">
      <c r="A326" s="151"/>
      <c r="B326" s="219"/>
      <c r="C326" s="219"/>
      <c r="D326" s="219"/>
      <c r="E326" s="225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</row>
    <row r="327" spans="1:36" s="144" customFormat="1" ht="21.75" customHeight="1">
      <c r="A327" s="151"/>
      <c r="B327" s="219"/>
      <c r="C327" s="219"/>
      <c r="D327" s="219"/>
      <c r="E327" s="225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</row>
    <row r="328" spans="1:36" s="144" customFormat="1" ht="21.75" customHeight="1">
      <c r="A328" s="151"/>
      <c r="B328" s="219"/>
      <c r="C328" s="219"/>
      <c r="D328" s="219"/>
      <c r="E328" s="225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</row>
    <row r="329" spans="1:36" s="144" customFormat="1" ht="21.75" customHeight="1">
      <c r="A329" s="151"/>
      <c r="B329" s="219"/>
      <c r="C329" s="219"/>
      <c r="D329" s="219"/>
      <c r="E329" s="225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</row>
    <row r="330" spans="1:36" s="144" customFormat="1" ht="21.75" customHeight="1">
      <c r="A330" s="151"/>
      <c r="B330" s="219"/>
      <c r="C330" s="219"/>
      <c r="D330" s="219"/>
      <c r="E330" s="225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</row>
    <row r="331" spans="1:36" s="144" customFormat="1" ht="21.75" customHeight="1">
      <c r="A331" s="151"/>
      <c r="B331" s="219"/>
      <c r="C331" s="219"/>
      <c r="D331" s="219"/>
      <c r="E331" s="225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</row>
    <row r="332" spans="1:36" s="144" customFormat="1" ht="21.75" customHeight="1">
      <c r="A332" s="151"/>
      <c r="B332" s="219"/>
      <c r="C332" s="219"/>
      <c r="D332" s="219"/>
      <c r="E332" s="225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</row>
    <row r="333" spans="1:36" s="144" customFormat="1" ht="21.75" customHeight="1">
      <c r="A333" s="151"/>
      <c r="B333" s="219"/>
      <c r="C333" s="219"/>
      <c r="D333" s="219"/>
      <c r="E333" s="225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</row>
    <row r="334" spans="1:36" s="144" customFormat="1" ht="21.75" customHeight="1">
      <c r="A334" s="151"/>
      <c r="B334" s="219"/>
      <c r="C334" s="219"/>
      <c r="D334" s="219"/>
      <c r="E334" s="225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</row>
    <row r="335" spans="1:36" s="144" customFormat="1" ht="21.75" customHeight="1">
      <c r="A335" s="151"/>
      <c r="B335" s="219"/>
      <c r="C335" s="219"/>
      <c r="D335" s="219"/>
      <c r="E335" s="225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</row>
    <row r="336" spans="1:36" s="144" customFormat="1" ht="21.75" customHeight="1">
      <c r="A336" s="151"/>
      <c r="B336" s="219"/>
      <c r="C336" s="219"/>
      <c r="D336" s="219"/>
      <c r="E336" s="225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</row>
    <row r="337" spans="1:36" s="144" customFormat="1" ht="21.75" customHeight="1">
      <c r="A337" s="151"/>
      <c r="B337" s="219"/>
      <c r="C337" s="219"/>
      <c r="D337" s="219"/>
      <c r="E337" s="225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</row>
    <row r="338" spans="1:36" s="144" customFormat="1" ht="21.75" customHeight="1">
      <c r="A338" s="151"/>
      <c r="B338" s="219"/>
      <c r="C338" s="219"/>
      <c r="D338" s="219"/>
      <c r="E338" s="225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43"/>
      <c r="AI338" s="143"/>
      <c r="AJ338" s="143"/>
    </row>
    <row r="339" spans="1:36" s="144" customFormat="1" ht="21.75" customHeight="1">
      <c r="A339" s="151"/>
      <c r="B339" s="219"/>
      <c r="C339" s="219"/>
      <c r="D339" s="219"/>
      <c r="E339" s="225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143"/>
      <c r="AI339" s="143"/>
      <c r="AJ339" s="143"/>
    </row>
    <row r="340" spans="1:36" s="144" customFormat="1" ht="21.75" customHeight="1">
      <c r="A340" s="151"/>
      <c r="B340" s="219"/>
      <c r="C340" s="219"/>
      <c r="D340" s="219"/>
      <c r="E340" s="225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143"/>
      <c r="AI340" s="143"/>
      <c r="AJ340" s="143"/>
    </row>
    <row r="341" spans="1:36" s="144" customFormat="1" ht="21.75" customHeight="1">
      <c r="A341" s="151"/>
      <c r="B341" s="219"/>
      <c r="C341" s="219"/>
      <c r="D341" s="219"/>
      <c r="E341" s="225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43"/>
      <c r="AJ341" s="143"/>
    </row>
    <row r="342" spans="1:36" s="144" customFormat="1" ht="21.75" customHeight="1">
      <c r="A342" s="151"/>
      <c r="B342" s="219"/>
      <c r="C342" s="219"/>
      <c r="D342" s="219"/>
      <c r="E342" s="225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43"/>
    </row>
    <row r="343" spans="1:36" s="144" customFormat="1" ht="21.75" customHeight="1">
      <c r="A343" s="151"/>
      <c r="B343" s="219"/>
      <c r="C343" s="219"/>
      <c r="D343" s="219"/>
      <c r="E343" s="225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</row>
    <row r="344" spans="1:36" s="144" customFormat="1" ht="21.75" customHeight="1">
      <c r="A344" s="151"/>
      <c r="B344" s="219"/>
      <c r="C344" s="219"/>
      <c r="D344" s="219"/>
      <c r="E344" s="225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</row>
    <row r="345" spans="1:36" s="144" customFormat="1" ht="21.75" customHeight="1">
      <c r="A345" s="151"/>
      <c r="B345" s="219"/>
      <c r="C345" s="219"/>
      <c r="D345" s="219"/>
      <c r="E345" s="225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</row>
    <row r="346" spans="1:36" s="144" customFormat="1" ht="21.75" customHeight="1">
      <c r="A346" s="151"/>
      <c r="B346" s="219"/>
      <c r="C346" s="219"/>
      <c r="D346" s="219"/>
      <c r="E346" s="225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</row>
    <row r="347" spans="1:36" s="144" customFormat="1" ht="21.75" customHeight="1">
      <c r="A347" s="151"/>
      <c r="B347" s="219"/>
      <c r="C347" s="219"/>
      <c r="D347" s="219"/>
      <c r="E347" s="225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</row>
    <row r="348" spans="1:36" s="144" customFormat="1" ht="21.75" customHeight="1">
      <c r="A348" s="151"/>
      <c r="B348" s="219"/>
      <c r="C348" s="219"/>
      <c r="D348" s="219"/>
      <c r="E348" s="225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</row>
    <row r="349" spans="1:36" s="144" customFormat="1" ht="21.75" customHeight="1">
      <c r="A349" s="151"/>
      <c r="B349" s="219"/>
      <c r="C349" s="219"/>
      <c r="D349" s="219"/>
      <c r="E349" s="225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</row>
    <row r="350" spans="1:36" s="144" customFormat="1" ht="21.75" customHeight="1">
      <c r="A350" s="151"/>
      <c r="B350" s="219"/>
      <c r="C350" s="219"/>
      <c r="D350" s="219"/>
      <c r="E350" s="225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</row>
    <row r="351" spans="1:36" s="144" customFormat="1" ht="21.75" customHeight="1">
      <c r="A351" s="151"/>
      <c r="B351" s="219"/>
      <c r="C351" s="219"/>
      <c r="D351" s="219"/>
      <c r="E351" s="225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</row>
    <row r="352" spans="1:36" s="144" customFormat="1" ht="21.75" customHeight="1">
      <c r="A352" s="151"/>
      <c r="B352" s="219"/>
      <c r="C352" s="219"/>
      <c r="D352" s="219"/>
      <c r="E352" s="225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</row>
    <row r="353" spans="1:36" s="144" customFormat="1" ht="21.75" customHeight="1">
      <c r="A353" s="151"/>
      <c r="B353" s="219"/>
      <c r="C353" s="219"/>
      <c r="D353" s="219"/>
      <c r="E353" s="225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</row>
    <row r="354" spans="1:36" s="144" customFormat="1" ht="21.75" customHeight="1">
      <c r="A354" s="151"/>
      <c r="B354" s="219"/>
      <c r="C354" s="219"/>
      <c r="D354" s="219"/>
      <c r="E354" s="225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</row>
    <row r="355" spans="1:36" s="144" customFormat="1" ht="21.75" customHeight="1">
      <c r="A355" s="151"/>
      <c r="B355" s="219"/>
      <c r="C355" s="219"/>
      <c r="D355" s="219"/>
      <c r="E355" s="225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</row>
    <row r="356" spans="1:36" s="144" customFormat="1" ht="21.75" customHeight="1">
      <c r="A356" s="151"/>
      <c r="B356" s="219"/>
      <c r="C356" s="219"/>
      <c r="D356" s="219"/>
      <c r="E356" s="225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</row>
    <row r="357" spans="1:36" s="144" customFormat="1" ht="21.75" customHeight="1">
      <c r="A357" s="151"/>
      <c r="B357" s="219"/>
      <c r="C357" s="219"/>
      <c r="D357" s="219"/>
      <c r="E357" s="225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</row>
    <row r="358" spans="1:36" s="144" customFormat="1" ht="21.75" customHeight="1">
      <c r="A358" s="151"/>
      <c r="B358" s="219"/>
      <c r="C358" s="219"/>
      <c r="D358" s="219"/>
      <c r="E358" s="225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</row>
    <row r="359" spans="1:36" s="144" customFormat="1" ht="21.75" customHeight="1">
      <c r="A359" s="151"/>
      <c r="B359" s="219"/>
      <c r="C359" s="219"/>
      <c r="D359" s="219"/>
      <c r="E359" s="225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</row>
    <row r="360" spans="1:36" s="144" customFormat="1" ht="21.75" customHeight="1">
      <c r="A360" s="151"/>
      <c r="B360" s="219"/>
      <c r="C360" s="219"/>
      <c r="D360" s="219"/>
      <c r="E360" s="225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</row>
    <row r="361" spans="1:36" s="144" customFormat="1" ht="21.75" customHeight="1">
      <c r="A361" s="151"/>
      <c r="B361" s="219"/>
      <c r="C361" s="219"/>
      <c r="D361" s="219"/>
      <c r="E361" s="225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</row>
    <row r="362" spans="1:36" s="144" customFormat="1" ht="21.75" customHeight="1">
      <c r="A362" s="151"/>
      <c r="B362" s="219"/>
      <c r="C362" s="219"/>
      <c r="D362" s="219"/>
      <c r="E362" s="225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</row>
    <row r="363" spans="1:36" s="144" customFormat="1" ht="21.75" customHeight="1">
      <c r="A363" s="151"/>
      <c r="B363" s="219"/>
      <c r="C363" s="219"/>
      <c r="D363" s="219"/>
      <c r="E363" s="225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</row>
    <row r="364" spans="1:36" s="144" customFormat="1" ht="21.75" customHeight="1">
      <c r="A364" s="151"/>
      <c r="B364" s="219"/>
      <c r="C364" s="219"/>
      <c r="D364" s="219"/>
      <c r="E364" s="225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</row>
    <row r="365" spans="1:36" s="144" customFormat="1" ht="21.75" customHeight="1">
      <c r="A365" s="151"/>
      <c r="B365" s="219"/>
      <c r="C365" s="219"/>
      <c r="D365" s="219"/>
      <c r="E365" s="225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</row>
    <row r="366" spans="1:36" s="144" customFormat="1" ht="21.75" customHeight="1">
      <c r="A366" s="151"/>
      <c r="B366" s="219"/>
      <c r="C366" s="219"/>
      <c r="D366" s="219"/>
      <c r="E366" s="225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</row>
    <row r="367" spans="1:36" s="144" customFormat="1" ht="21.75" customHeight="1">
      <c r="A367" s="151"/>
      <c r="B367" s="219"/>
      <c r="C367" s="219"/>
      <c r="D367" s="219"/>
      <c r="E367" s="225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</row>
    <row r="368" spans="1:36" s="144" customFormat="1" ht="21.75" customHeight="1">
      <c r="A368" s="151"/>
      <c r="B368" s="219"/>
      <c r="C368" s="219"/>
      <c r="D368" s="219"/>
      <c r="E368" s="225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</row>
    <row r="369" spans="1:36" s="144" customFormat="1" ht="21.75" customHeight="1">
      <c r="A369" s="151"/>
      <c r="B369" s="219"/>
      <c r="C369" s="219"/>
      <c r="D369" s="219"/>
      <c r="E369" s="225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</row>
    <row r="370" spans="1:36" s="144" customFormat="1" ht="21.75" customHeight="1">
      <c r="A370" s="151"/>
      <c r="B370" s="219"/>
      <c r="C370" s="219"/>
      <c r="D370" s="219"/>
      <c r="E370" s="225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</row>
    <row r="371" spans="1:36" s="144" customFormat="1" ht="21.75" customHeight="1">
      <c r="A371" s="151"/>
      <c r="B371" s="219"/>
      <c r="C371" s="219"/>
      <c r="D371" s="219"/>
      <c r="E371" s="225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</row>
    <row r="372" spans="1:36" s="144" customFormat="1" ht="21.75" customHeight="1">
      <c r="A372" s="151"/>
      <c r="B372" s="219"/>
      <c r="C372" s="219"/>
      <c r="D372" s="219"/>
      <c r="E372" s="225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43"/>
      <c r="AI372" s="143"/>
      <c r="AJ372" s="143"/>
    </row>
    <row r="373" spans="1:36" s="144" customFormat="1" ht="21.75" customHeight="1">
      <c r="A373" s="151"/>
      <c r="B373" s="219"/>
      <c r="C373" s="219"/>
      <c r="D373" s="219"/>
      <c r="E373" s="225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43"/>
      <c r="AJ373" s="143"/>
    </row>
    <row r="374" spans="1:36" s="144" customFormat="1" ht="21.75" customHeight="1">
      <c r="A374" s="151"/>
      <c r="B374" s="219"/>
      <c r="C374" s="219"/>
      <c r="D374" s="219"/>
      <c r="E374" s="225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</row>
    <row r="375" spans="1:36" s="144" customFormat="1" ht="21.75" customHeight="1">
      <c r="A375" s="151"/>
      <c r="B375" s="219"/>
      <c r="C375" s="219"/>
      <c r="D375" s="219"/>
      <c r="E375" s="225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</row>
    <row r="376" spans="1:36" s="144" customFormat="1" ht="21.75" customHeight="1">
      <c r="A376" s="151"/>
      <c r="B376" s="219"/>
      <c r="C376" s="219"/>
      <c r="D376" s="219"/>
      <c r="E376" s="225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</row>
    <row r="377" spans="1:36" s="144" customFormat="1" ht="21.75" customHeight="1">
      <c r="A377" s="151"/>
      <c r="B377" s="219"/>
      <c r="C377" s="219"/>
      <c r="D377" s="219"/>
      <c r="E377" s="225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</row>
    <row r="378" spans="1:36" s="144" customFormat="1" ht="21.75" customHeight="1">
      <c r="A378" s="151"/>
      <c r="B378" s="219"/>
      <c r="C378" s="219"/>
      <c r="D378" s="219"/>
      <c r="E378" s="225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</row>
    <row r="379" spans="1:36" s="144" customFormat="1" ht="21.75" customHeight="1">
      <c r="A379" s="151"/>
      <c r="B379" s="219"/>
      <c r="C379" s="219"/>
      <c r="D379" s="219"/>
      <c r="E379" s="225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</row>
    <row r="380" spans="1:36" s="144" customFormat="1" ht="21.75" customHeight="1">
      <c r="A380" s="151"/>
      <c r="B380" s="219"/>
      <c r="C380" s="219"/>
      <c r="D380" s="219"/>
      <c r="E380" s="225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</row>
    <row r="381" spans="1:36" s="144" customFormat="1" ht="21.75" customHeight="1">
      <c r="A381" s="151"/>
      <c r="B381" s="219"/>
      <c r="C381" s="219"/>
      <c r="D381" s="219"/>
      <c r="E381" s="225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</row>
    <row r="382" spans="1:36" s="144" customFormat="1" ht="21.75" customHeight="1">
      <c r="A382" s="151"/>
      <c r="B382" s="219"/>
      <c r="C382" s="219"/>
      <c r="D382" s="219"/>
      <c r="E382" s="225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</row>
    <row r="383" spans="1:36" s="144" customFormat="1" ht="21.75" customHeight="1">
      <c r="A383" s="151"/>
      <c r="B383" s="219"/>
      <c r="C383" s="219"/>
      <c r="D383" s="219"/>
      <c r="E383" s="225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</row>
    <row r="384" spans="1:36" s="144" customFormat="1" ht="21.75" customHeight="1">
      <c r="A384" s="151"/>
      <c r="B384" s="219"/>
      <c r="C384" s="219"/>
      <c r="D384" s="219"/>
      <c r="E384" s="225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</row>
    <row r="385" spans="1:36" s="144" customFormat="1" ht="21.75" customHeight="1">
      <c r="A385" s="151"/>
      <c r="B385" s="219"/>
      <c r="C385" s="219"/>
      <c r="D385" s="219"/>
      <c r="E385" s="225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</row>
    <row r="386" spans="1:36" s="144" customFormat="1" ht="21.75" customHeight="1">
      <c r="A386" s="151"/>
      <c r="B386" s="219"/>
      <c r="C386" s="219"/>
      <c r="D386" s="219"/>
      <c r="E386" s="225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</row>
    <row r="387" spans="1:36" s="144" customFormat="1" ht="21.75" customHeight="1">
      <c r="A387" s="151"/>
      <c r="B387" s="219"/>
      <c r="C387" s="219"/>
      <c r="D387" s="219"/>
      <c r="E387" s="225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</row>
    <row r="388" spans="1:36" s="144" customFormat="1" ht="21.75" customHeight="1">
      <c r="A388" s="151"/>
      <c r="B388" s="219"/>
      <c r="C388" s="219"/>
      <c r="D388" s="219"/>
      <c r="E388" s="225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</row>
    <row r="389" spans="1:36" s="144" customFormat="1" ht="21.75" customHeight="1">
      <c r="A389" s="151"/>
      <c r="B389" s="219"/>
      <c r="C389" s="219"/>
      <c r="D389" s="219"/>
      <c r="E389" s="225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</row>
    <row r="390" spans="1:36" s="144" customFormat="1" ht="21.75" customHeight="1">
      <c r="A390" s="151"/>
      <c r="B390" s="219"/>
      <c r="C390" s="219"/>
      <c r="D390" s="219"/>
      <c r="E390" s="225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</row>
    <row r="391" spans="1:36" s="144" customFormat="1" ht="21.75" customHeight="1">
      <c r="A391" s="151"/>
      <c r="B391" s="219"/>
      <c r="C391" s="219"/>
      <c r="D391" s="219"/>
      <c r="E391" s="225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</row>
    <row r="392" spans="1:36" s="144" customFormat="1" ht="21.75" customHeight="1">
      <c r="A392" s="151"/>
      <c r="B392" s="219"/>
      <c r="C392" s="219"/>
      <c r="D392" s="219"/>
      <c r="E392" s="225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</row>
    <row r="393" spans="1:36" s="144" customFormat="1" ht="21.75" customHeight="1">
      <c r="A393" s="151"/>
      <c r="B393" s="219"/>
      <c r="C393" s="219"/>
      <c r="D393" s="219"/>
      <c r="E393" s="225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</row>
    <row r="394" spans="1:36" s="144" customFormat="1" ht="21.75" customHeight="1">
      <c r="A394" s="151"/>
      <c r="B394" s="219"/>
      <c r="C394" s="219"/>
      <c r="D394" s="219"/>
      <c r="E394" s="225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</row>
    <row r="395" spans="1:36" s="144" customFormat="1" ht="21.75" customHeight="1">
      <c r="A395" s="151"/>
      <c r="B395" s="219"/>
      <c r="C395" s="219"/>
      <c r="D395" s="219"/>
      <c r="E395" s="225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</row>
    <row r="396" spans="1:36" s="144" customFormat="1" ht="21.75" customHeight="1">
      <c r="A396" s="151"/>
      <c r="B396" s="219"/>
      <c r="C396" s="219"/>
      <c r="D396" s="219"/>
      <c r="E396" s="225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</row>
    <row r="397" spans="1:36" s="144" customFormat="1" ht="21.75" customHeight="1">
      <c r="A397" s="151"/>
      <c r="B397" s="219"/>
      <c r="C397" s="219"/>
      <c r="D397" s="219"/>
      <c r="E397" s="225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</row>
    <row r="398" spans="1:36" s="144" customFormat="1" ht="21.75" customHeight="1">
      <c r="A398" s="151"/>
      <c r="B398" s="219"/>
      <c r="C398" s="219"/>
      <c r="D398" s="219"/>
      <c r="E398" s="225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</row>
    <row r="399" spans="1:36" s="144" customFormat="1" ht="21.75" customHeight="1">
      <c r="A399" s="151"/>
      <c r="B399" s="219"/>
      <c r="C399" s="219"/>
      <c r="D399" s="219"/>
      <c r="E399" s="225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</row>
    <row r="400" spans="1:36" s="144" customFormat="1" ht="21.75" customHeight="1">
      <c r="A400" s="151"/>
      <c r="B400" s="219"/>
      <c r="C400" s="219"/>
      <c r="D400" s="219"/>
      <c r="E400" s="225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</row>
    <row r="401" spans="1:36" s="144" customFormat="1" ht="21.75" customHeight="1">
      <c r="A401" s="151"/>
      <c r="B401" s="219"/>
      <c r="C401" s="219"/>
      <c r="D401" s="219"/>
      <c r="E401" s="225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</row>
    <row r="402" spans="1:36" s="144" customFormat="1" ht="21.75" customHeight="1">
      <c r="A402" s="151"/>
      <c r="B402" s="219"/>
      <c r="C402" s="219"/>
      <c r="D402" s="219"/>
      <c r="E402" s="225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</row>
    <row r="403" spans="1:36" s="144" customFormat="1" ht="21.75" customHeight="1">
      <c r="A403" s="151"/>
      <c r="B403" s="219"/>
      <c r="C403" s="219"/>
      <c r="D403" s="219"/>
      <c r="E403" s="225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</row>
    <row r="404" spans="1:36" s="144" customFormat="1" ht="21.75" customHeight="1">
      <c r="A404" s="151"/>
      <c r="B404" s="219"/>
      <c r="C404" s="219"/>
      <c r="D404" s="219"/>
      <c r="E404" s="225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</row>
    <row r="405" spans="1:36" s="144" customFormat="1" ht="21.75" customHeight="1">
      <c r="A405" s="151"/>
      <c r="B405" s="219"/>
      <c r="C405" s="219"/>
      <c r="D405" s="219"/>
      <c r="E405" s="225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43"/>
      <c r="AI405" s="143"/>
      <c r="AJ405" s="143"/>
    </row>
    <row r="406" spans="1:36" s="144" customFormat="1" ht="21.75" customHeight="1">
      <c r="A406" s="151"/>
      <c r="B406" s="219"/>
      <c r="C406" s="219"/>
      <c r="D406" s="219"/>
      <c r="E406" s="225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  <c r="AF406" s="143"/>
      <c r="AG406" s="143"/>
      <c r="AH406" s="143"/>
      <c r="AI406" s="143"/>
      <c r="AJ406" s="143"/>
    </row>
    <row r="407" spans="1:36" s="144" customFormat="1" ht="21.75" customHeight="1">
      <c r="A407" s="151"/>
      <c r="B407" s="219"/>
      <c r="C407" s="219"/>
      <c r="D407" s="219"/>
      <c r="E407" s="225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</row>
    <row r="408" spans="1:36" s="144" customFormat="1" ht="21.75" customHeight="1">
      <c r="A408" s="151"/>
      <c r="B408" s="219"/>
      <c r="C408" s="219"/>
      <c r="D408" s="219"/>
      <c r="E408" s="225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</row>
    <row r="409" spans="1:36" s="144" customFormat="1" ht="21.75" customHeight="1">
      <c r="A409" s="151"/>
      <c r="B409" s="219"/>
      <c r="C409" s="219"/>
      <c r="D409" s="219"/>
      <c r="E409" s="225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</row>
    <row r="410" spans="1:36" s="144" customFormat="1" ht="21.75" customHeight="1">
      <c r="A410" s="151"/>
      <c r="B410" s="219"/>
      <c r="C410" s="219"/>
      <c r="D410" s="219"/>
      <c r="E410" s="225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</row>
    <row r="411" spans="1:36" s="144" customFormat="1" ht="21.75" customHeight="1">
      <c r="A411" s="151"/>
      <c r="B411" s="219"/>
      <c r="C411" s="219"/>
      <c r="D411" s="219"/>
      <c r="E411" s="225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  <c r="AF411" s="143"/>
      <c r="AG411" s="143"/>
      <c r="AH411" s="143"/>
      <c r="AI411" s="143"/>
      <c r="AJ411" s="143"/>
    </row>
    <row r="412" spans="1:36" s="144" customFormat="1" ht="21.75" customHeight="1">
      <c r="A412" s="151"/>
      <c r="B412" s="219"/>
      <c r="C412" s="219"/>
      <c r="D412" s="219"/>
      <c r="E412" s="225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</row>
    <row r="413" spans="1:36" s="144" customFormat="1" ht="21.75" customHeight="1">
      <c r="A413" s="151"/>
      <c r="B413" s="219"/>
      <c r="C413" s="219"/>
      <c r="D413" s="219"/>
      <c r="E413" s="225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</row>
    <row r="414" spans="1:36" s="144" customFormat="1" ht="21.75" customHeight="1">
      <c r="A414" s="151"/>
      <c r="B414" s="219"/>
      <c r="C414" s="219"/>
      <c r="D414" s="219"/>
      <c r="E414" s="225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  <c r="AF414" s="143"/>
      <c r="AG414" s="143"/>
      <c r="AH414" s="143"/>
      <c r="AI414" s="143"/>
      <c r="AJ414" s="143"/>
    </row>
    <row r="415" spans="1:36" s="144" customFormat="1" ht="21.75" customHeight="1">
      <c r="A415" s="151"/>
      <c r="B415" s="219"/>
      <c r="C415" s="219"/>
      <c r="D415" s="219"/>
      <c r="E415" s="225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  <c r="AF415" s="143"/>
      <c r="AG415" s="143"/>
      <c r="AH415" s="143"/>
      <c r="AI415" s="143"/>
      <c r="AJ415" s="143"/>
    </row>
    <row r="416" spans="1:36" s="144" customFormat="1" ht="21.75" customHeight="1">
      <c r="A416" s="151"/>
      <c r="B416" s="219"/>
      <c r="C416" s="219"/>
      <c r="D416" s="219"/>
      <c r="E416" s="225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  <c r="AF416" s="143"/>
      <c r="AG416" s="143"/>
      <c r="AH416" s="143"/>
      <c r="AI416" s="143"/>
      <c r="AJ416" s="143"/>
    </row>
    <row r="417" spans="1:36" s="144" customFormat="1" ht="21.75" customHeight="1">
      <c r="A417" s="151"/>
      <c r="B417" s="219"/>
      <c r="C417" s="219"/>
      <c r="D417" s="219"/>
      <c r="E417" s="225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  <c r="AF417" s="143"/>
      <c r="AG417" s="143"/>
      <c r="AH417" s="143"/>
      <c r="AI417" s="143"/>
      <c r="AJ417" s="143"/>
    </row>
    <row r="418" spans="1:36" s="144" customFormat="1" ht="21.75" customHeight="1">
      <c r="A418" s="151"/>
      <c r="B418" s="219"/>
      <c r="C418" s="219"/>
      <c r="D418" s="219"/>
      <c r="E418" s="225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  <c r="AF418" s="143"/>
      <c r="AG418" s="143"/>
      <c r="AH418" s="143"/>
      <c r="AI418" s="143"/>
      <c r="AJ418" s="143"/>
    </row>
    <row r="419" spans="1:36" s="144" customFormat="1" ht="21.75" customHeight="1">
      <c r="A419" s="151"/>
      <c r="B419" s="219"/>
      <c r="C419" s="219"/>
      <c r="D419" s="219"/>
      <c r="E419" s="225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  <c r="AF419" s="143"/>
      <c r="AG419" s="143"/>
      <c r="AH419" s="143"/>
      <c r="AI419" s="143"/>
      <c r="AJ419" s="143"/>
    </row>
    <row r="420" spans="1:36" s="144" customFormat="1" ht="21.75" customHeight="1">
      <c r="A420" s="151"/>
      <c r="B420" s="219"/>
      <c r="C420" s="219"/>
      <c r="D420" s="219"/>
      <c r="E420" s="225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  <c r="AF420" s="143"/>
      <c r="AG420" s="143"/>
      <c r="AH420" s="143"/>
      <c r="AI420" s="143"/>
      <c r="AJ420" s="143"/>
    </row>
    <row r="421" spans="1:36" s="144" customFormat="1" ht="21.75" customHeight="1">
      <c r="A421" s="151"/>
      <c r="B421" s="219"/>
      <c r="C421" s="219"/>
      <c r="D421" s="219"/>
      <c r="E421" s="225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  <c r="AF421" s="143"/>
      <c r="AG421" s="143"/>
      <c r="AH421" s="143"/>
      <c r="AI421" s="143"/>
      <c r="AJ421" s="143"/>
    </row>
    <row r="422" spans="1:36" s="144" customFormat="1" ht="21.75" customHeight="1">
      <c r="A422" s="151"/>
      <c r="B422" s="219"/>
      <c r="C422" s="219"/>
      <c r="D422" s="219"/>
      <c r="E422" s="225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  <c r="AF422" s="143"/>
      <c r="AG422" s="143"/>
      <c r="AH422" s="143"/>
      <c r="AI422" s="143"/>
      <c r="AJ422" s="143"/>
    </row>
    <row r="423" spans="1:36" s="144" customFormat="1" ht="21.75" customHeight="1">
      <c r="A423" s="151"/>
      <c r="B423" s="219"/>
      <c r="C423" s="219"/>
      <c r="D423" s="219"/>
      <c r="E423" s="225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  <c r="AF423" s="143"/>
      <c r="AG423" s="143"/>
      <c r="AH423" s="143"/>
      <c r="AI423" s="143"/>
      <c r="AJ423" s="143"/>
    </row>
    <row r="424" spans="1:36" s="144" customFormat="1" ht="21.75" customHeight="1">
      <c r="A424" s="151"/>
      <c r="B424" s="219"/>
      <c r="C424" s="219"/>
      <c r="D424" s="219"/>
      <c r="E424" s="225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  <c r="AF424" s="143"/>
      <c r="AG424" s="143"/>
      <c r="AH424" s="143"/>
      <c r="AI424" s="143"/>
      <c r="AJ424" s="143"/>
    </row>
    <row r="425" spans="1:36" s="144" customFormat="1" ht="21.75" customHeight="1">
      <c r="A425" s="151"/>
      <c r="B425" s="219"/>
      <c r="C425" s="219"/>
      <c r="D425" s="219"/>
      <c r="E425" s="225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  <c r="AF425" s="143"/>
      <c r="AG425" s="143"/>
      <c r="AH425" s="143"/>
      <c r="AI425" s="143"/>
      <c r="AJ425" s="143"/>
    </row>
    <row r="426" spans="1:36" s="144" customFormat="1" ht="21.75" customHeight="1">
      <c r="A426" s="151"/>
      <c r="B426" s="219"/>
      <c r="C426" s="219"/>
      <c r="D426" s="219"/>
      <c r="E426" s="225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  <c r="AF426" s="143"/>
      <c r="AG426" s="143"/>
      <c r="AH426" s="143"/>
      <c r="AI426" s="143"/>
      <c r="AJ426" s="143"/>
    </row>
    <row r="427" spans="1:36" s="144" customFormat="1" ht="21.75" customHeight="1">
      <c r="A427" s="151"/>
      <c r="B427" s="219"/>
      <c r="C427" s="219"/>
      <c r="D427" s="219"/>
      <c r="E427" s="225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  <c r="AF427" s="143"/>
      <c r="AG427" s="143"/>
      <c r="AH427" s="143"/>
      <c r="AI427" s="143"/>
      <c r="AJ427" s="143"/>
    </row>
    <row r="428" spans="1:36" s="144" customFormat="1" ht="21.75" customHeight="1">
      <c r="A428" s="151"/>
      <c r="B428" s="219"/>
      <c r="C428" s="219"/>
      <c r="D428" s="219"/>
      <c r="E428" s="225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  <c r="AF428" s="143"/>
      <c r="AG428" s="143"/>
      <c r="AH428" s="143"/>
      <c r="AI428" s="143"/>
      <c r="AJ428" s="143"/>
    </row>
    <row r="429" spans="1:36" s="144" customFormat="1" ht="21.75" customHeight="1">
      <c r="A429" s="151"/>
      <c r="B429" s="219"/>
      <c r="C429" s="219"/>
      <c r="D429" s="219"/>
      <c r="E429" s="225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  <c r="AF429" s="143"/>
      <c r="AG429" s="143"/>
      <c r="AH429" s="143"/>
      <c r="AI429" s="143"/>
      <c r="AJ429" s="143"/>
    </row>
    <row r="430" spans="1:36" s="144" customFormat="1" ht="21.75" customHeight="1">
      <c r="A430" s="151"/>
      <c r="B430" s="219"/>
      <c r="C430" s="219"/>
      <c r="D430" s="219"/>
      <c r="E430" s="225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  <c r="AF430" s="143"/>
      <c r="AG430" s="143"/>
      <c r="AH430" s="143"/>
      <c r="AI430" s="143"/>
      <c r="AJ430" s="143"/>
    </row>
    <row r="431" spans="1:36" s="144" customFormat="1" ht="21.75" customHeight="1">
      <c r="A431" s="151"/>
      <c r="B431" s="219"/>
      <c r="C431" s="219"/>
      <c r="D431" s="219"/>
      <c r="E431" s="225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  <c r="AF431" s="143"/>
      <c r="AG431" s="143"/>
      <c r="AH431" s="143"/>
      <c r="AI431" s="143"/>
      <c r="AJ431" s="143"/>
    </row>
    <row r="432" spans="1:36" s="144" customFormat="1" ht="21.75" customHeight="1">
      <c r="A432" s="151"/>
      <c r="B432" s="219"/>
      <c r="C432" s="219"/>
      <c r="D432" s="219"/>
      <c r="E432" s="225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  <c r="AF432" s="143"/>
      <c r="AG432" s="143"/>
      <c r="AH432" s="143"/>
      <c r="AI432" s="143"/>
      <c r="AJ432" s="143"/>
    </row>
    <row r="433" spans="1:36" s="144" customFormat="1" ht="21.75" customHeight="1">
      <c r="A433" s="151"/>
      <c r="B433" s="219"/>
      <c r="C433" s="219"/>
      <c r="D433" s="219"/>
      <c r="E433" s="225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  <c r="AF433" s="143"/>
      <c r="AG433" s="143"/>
      <c r="AH433" s="143"/>
      <c r="AI433" s="143"/>
      <c r="AJ433" s="143"/>
    </row>
    <row r="434" spans="1:36" s="144" customFormat="1" ht="21.75" customHeight="1">
      <c r="A434" s="151"/>
      <c r="B434" s="219"/>
      <c r="C434" s="219"/>
      <c r="D434" s="219"/>
      <c r="E434" s="225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  <c r="AF434" s="143"/>
      <c r="AG434" s="143"/>
      <c r="AH434" s="143"/>
      <c r="AI434" s="143"/>
      <c r="AJ434" s="143"/>
    </row>
    <row r="435" spans="1:36" s="144" customFormat="1" ht="21.75" customHeight="1">
      <c r="A435" s="151"/>
      <c r="B435" s="219"/>
      <c r="C435" s="219"/>
      <c r="D435" s="219"/>
      <c r="E435" s="225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  <c r="AF435" s="143"/>
      <c r="AG435" s="143"/>
      <c r="AH435" s="143"/>
      <c r="AI435" s="143"/>
      <c r="AJ435" s="143"/>
    </row>
    <row r="436" spans="1:36" s="144" customFormat="1" ht="21.75" customHeight="1">
      <c r="A436" s="151"/>
      <c r="B436" s="219"/>
      <c r="C436" s="219"/>
      <c r="D436" s="219"/>
      <c r="E436" s="225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  <c r="AF436" s="143"/>
      <c r="AG436" s="143"/>
      <c r="AH436" s="143"/>
      <c r="AI436" s="143"/>
      <c r="AJ436" s="143"/>
    </row>
    <row r="437" spans="1:36" s="144" customFormat="1" ht="21.75" customHeight="1">
      <c r="A437" s="151"/>
      <c r="B437" s="219"/>
      <c r="C437" s="219"/>
      <c r="D437" s="219"/>
      <c r="E437" s="225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  <c r="AF437" s="143"/>
      <c r="AG437" s="143"/>
      <c r="AH437" s="143"/>
      <c r="AI437" s="143"/>
      <c r="AJ437" s="143"/>
    </row>
    <row r="438" spans="1:36" s="144" customFormat="1" ht="21.75" customHeight="1">
      <c r="A438" s="151"/>
      <c r="B438" s="219"/>
      <c r="C438" s="219"/>
      <c r="D438" s="219"/>
      <c r="E438" s="225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  <c r="AF438" s="143"/>
      <c r="AG438" s="143"/>
      <c r="AH438" s="143"/>
      <c r="AI438" s="143"/>
      <c r="AJ438" s="143"/>
    </row>
    <row r="439" spans="1:36" s="144" customFormat="1" ht="21.75" customHeight="1">
      <c r="A439" s="151"/>
      <c r="B439" s="219"/>
      <c r="C439" s="219"/>
      <c r="D439" s="219"/>
      <c r="E439" s="225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  <c r="AF439" s="143"/>
      <c r="AG439" s="143"/>
      <c r="AH439" s="143"/>
      <c r="AI439" s="143"/>
      <c r="AJ439" s="143"/>
    </row>
    <row r="440" spans="1:36" s="144" customFormat="1" ht="21.75" customHeight="1">
      <c r="A440" s="151"/>
      <c r="B440" s="219"/>
      <c r="C440" s="219"/>
      <c r="D440" s="219"/>
      <c r="E440" s="225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  <c r="AF440" s="143"/>
      <c r="AG440" s="143"/>
      <c r="AH440" s="143"/>
      <c r="AI440" s="143"/>
      <c r="AJ440" s="143"/>
    </row>
    <row r="441" spans="1:36" s="144" customFormat="1" ht="21.75" customHeight="1">
      <c r="A441" s="151"/>
      <c r="B441" s="219"/>
      <c r="C441" s="219"/>
      <c r="D441" s="219"/>
      <c r="E441" s="225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  <c r="AF441" s="143"/>
      <c r="AG441" s="143"/>
      <c r="AH441" s="143"/>
      <c r="AI441" s="143"/>
      <c r="AJ441" s="143"/>
    </row>
    <row r="442" spans="1:36" s="144" customFormat="1" ht="21.75" customHeight="1">
      <c r="A442" s="151"/>
      <c r="B442" s="219"/>
      <c r="C442" s="219"/>
      <c r="D442" s="219"/>
      <c r="E442" s="225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  <c r="AF442" s="143"/>
      <c r="AG442" s="143"/>
      <c r="AH442" s="143"/>
      <c r="AI442" s="143"/>
      <c r="AJ442" s="143"/>
    </row>
    <row r="443" spans="1:36" s="144" customFormat="1" ht="21.75" customHeight="1">
      <c r="A443" s="151"/>
      <c r="B443" s="219"/>
      <c r="C443" s="219"/>
      <c r="D443" s="219"/>
      <c r="E443" s="225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  <c r="AF443" s="143"/>
      <c r="AG443" s="143"/>
      <c r="AH443" s="143"/>
      <c r="AI443" s="143"/>
      <c r="AJ443" s="143"/>
    </row>
    <row r="444" spans="1:36" s="144" customFormat="1" ht="21.75" customHeight="1">
      <c r="A444" s="151"/>
      <c r="B444" s="219"/>
      <c r="C444" s="219"/>
      <c r="D444" s="219"/>
      <c r="E444" s="225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  <c r="AF444" s="143"/>
      <c r="AG444" s="143"/>
      <c r="AH444" s="143"/>
      <c r="AI444" s="143"/>
      <c r="AJ444" s="143"/>
    </row>
    <row r="445" spans="1:36" s="144" customFormat="1" ht="21.75" customHeight="1">
      <c r="A445" s="151"/>
      <c r="B445" s="219"/>
      <c r="C445" s="219"/>
      <c r="D445" s="219"/>
      <c r="E445" s="225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  <c r="AF445" s="143"/>
      <c r="AG445" s="143"/>
      <c r="AH445" s="143"/>
      <c r="AI445" s="143"/>
      <c r="AJ445" s="143"/>
    </row>
    <row r="446" spans="1:36" s="144" customFormat="1" ht="21.75" customHeight="1">
      <c r="A446" s="151"/>
      <c r="B446" s="219"/>
      <c r="C446" s="219"/>
      <c r="D446" s="219"/>
      <c r="E446" s="225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  <c r="AF446" s="143"/>
      <c r="AG446" s="143"/>
      <c r="AH446" s="143"/>
      <c r="AI446" s="143"/>
      <c r="AJ446" s="143"/>
    </row>
    <row r="447" spans="1:36" s="144" customFormat="1" ht="21.75" customHeight="1">
      <c r="A447" s="151"/>
      <c r="B447" s="219"/>
      <c r="C447" s="219"/>
      <c r="D447" s="219"/>
      <c r="E447" s="225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  <c r="AF447" s="143"/>
      <c r="AG447" s="143"/>
      <c r="AH447" s="143"/>
      <c r="AI447" s="143"/>
      <c r="AJ447" s="143"/>
    </row>
    <row r="448" spans="1:36" s="144" customFormat="1" ht="21.75" customHeight="1">
      <c r="A448" s="151"/>
      <c r="B448" s="219"/>
      <c r="C448" s="219"/>
      <c r="D448" s="219"/>
      <c r="E448" s="225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  <c r="AF448" s="143"/>
      <c r="AG448" s="143"/>
      <c r="AH448" s="143"/>
      <c r="AI448" s="143"/>
      <c r="AJ448" s="143"/>
    </row>
    <row r="449" spans="1:36" s="144" customFormat="1" ht="21.75" customHeight="1">
      <c r="A449" s="151"/>
      <c r="B449" s="219"/>
      <c r="C449" s="219"/>
      <c r="D449" s="219"/>
      <c r="E449" s="225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  <c r="AF449" s="143"/>
      <c r="AG449" s="143"/>
      <c r="AH449" s="143"/>
      <c r="AI449" s="143"/>
      <c r="AJ449" s="143"/>
    </row>
    <row r="450" spans="1:36" s="144" customFormat="1" ht="21.75" customHeight="1">
      <c r="A450" s="151"/>
      <c r="B450" s="219"/>
      <c r="C450" s="219"/>
      <c r="D450" s="219"/>
      <c r="E450" s="225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  <c r="AF450" s="143"/>
      <c r="AG450" s="143"/>
      <c r="AH450" s="143"/>
      <c r="AI450" s="143"/>
      <c r="AJ450" s="143"/>
    </row>
    <row r="451" spans="1:36" s="144" customFormat="1" ht="21.75" customHeight="1">
      <c r="A451" s="151"/>
      <c r="B451" s="219"/>
      <c r="C451" s="219"/>
      <c r="D451" s="219"/>
      <c r="E451" s="225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  <c r="AF451" s="143"/>
      <c r="AG451" s="143"/>
      <c r="AH451" s="143"/>
      <c r="AI451" s="143"/>
      <c r="AJ451" s="143"/>
    </row>
    <row r="452" spans="1:36" s="144" customFormat="1" ht="21.75" customHeight="1">
      <c r="A452" s="151"/>
      <c r="B452" s="219"/>
      <c r="C452" s="219"/>
      <c r="D452" s="219"/>
      <c r="E452" s="225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  <c r="AF452" s="143"/>
      <c r="AG452" s="143"/>
      <c r="AH452" s="143"/>
      <c r="AI452" s="143"/>
      <c r="AJ452" s="143"/>
    </row>
    <row r="453" spans="1:36" s="144" customFormat="1" ht="21.75" customHeight="1">
      <c r="A453" s="151"/>
      <c r="B453" s="219"/>
      <c r="C453" s="219"/>
      <c r="D453" s="219"/>
      <c r="E453" s="225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  <c r="AF453" s="143"/>
      <c r="AG453" s="143"/>
      <c r="AH453" s="143"/>
      <c r="AI453" s="143"/>
      <c r="AJ453" s="143"/>
    </row>
    <row r="454" spans="1:36" s="144" customFormat="1" ht="21.75" customHeight="1">
      <c r="A454" s="151"/>
      <c r="B454" s="219"/>
      <c r="C454" s="219"/>
      <c r="D454" s="219"/>
      <c r="E454" s="225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  <c r="AF454" s="143"/>
      <c r="AG454" s="143"/>
      <c r="AH454" s="143"/>
      <c r="AI454" s="143"/>
      <c r="AJ454" s="143"/>
    </row>
    <row r="455" spans="1:36" s="144" customFormat="1" ht="21.75" customHeight="1">
      <c r="A455" s="151"/>
      <c r="B455" s="219"/>
      <c r="C455" s="219"/>
      <c r="D455" s="219"/>
      <c r="E455" s="225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  <c r="AF455" s="143"/>
      <c r="AG455" s="143"/>
      <c r="AH455" s="143"/>
      <c r="AI455" s="143"/>
      <c r="AJ455" s="143"/>
    </row>
    <row r="456" spans="1:36" s="144" customFormat="1" ht="21.75" customHeight="1">
      <c r="A456" s="151"/>
      <c r="B456" s="219"/>
      <c r="C456" s="219"/>
      <c r="D456" s="219"/>
      <c r="E456" s="225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  <c r="AF456" s="143"/>
      <c r="AG456" s="143"/>
      <c r="AH456" s="143"/>
      <c r="AI456" s="143"/>
      <c r="AJ456" s="143"/>
    </row>
    <row r="457" spans="1:36" s="144" customFormat="1" ht="21.75" customHeight="1">
      <c r="A457" s="151"/>
      <c r="B457" s="219"/>
      <c r="C457" s="219"/>
      <c r="D457" s="219"/>
      <c r="E457" s="225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  <c r="AF457" s="143"/>
      <c r="AG457" s="143"/>
      <c r="AH457" s="143"/>
      <c r="AI457" s="143"/>
      <c r="AJ457" s="143"/>
    </row>
    <row r="458" spans="1:36" s="144" customFormat="1" ht="21.75" customHeight="1">
      <c r="A458" s="151"/>
      <c r="B458" s="219"/>
      <c r="C458" s="219"/>
      <c r="D458" s="219"/>
      <c r="E458" s="225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  <c r="AF458" s="143"/>
      <c r="AG458" s="143"/>
      <c r="AH458" s="143"/>
      <c r="AI458" s="143"/>
      <c r="AJ458" s="143"/>
    </row>
    <row r="459" spans="1:36" s="144" customFormat="1" ht="21.75" customHeight="1">
      <c r="A459" s="151"/>
      <c r="B459" s="219"/>
      <c r="C459" s="219"/>
      <c r="D459" s="219"/>
      <c r="E459" s="225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  <c r="AF459" s="143"/>
      <c r="AG459" s="143"/>
      <c r="AH459" s="143"/>
      <c r="AI459" s="143"/>
      <c r="AJ459" s="143"/>
    </row>
    <row r="460" spans="1:36" s="144" customFormat="1" ht="21.75" customHeight="1">
      <c r="A460" s="151"/>
      <c r="B460" s="219"/>
      <c r="C460" s="219"/>
      <c r="D460" s="219"/>
      <c r="E460" s="225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  <c r="AF460" s="143"/>
      <c r="AG460" s="143"/>
      <c r="AH460" s="143"/>
      <c r="AI460" s="143"/>
      <c r="AJ460" s="143"/>
    </row>
    <row r="461" spans="1:36" s="144" customFormat="1" ht="21.75" customHeight="1">
      <c r="A461" s="151"/>
      <c r="B461" s="219"/>
      <c r="C461" s="219"/>
      <c r="D461" s="219"/>
      <c r="E461" s="225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  <c r="AF461" s="143"/>
      <c r="AG461" s="143"/>
      <c r="AH461" s="143"/>
      <c r="AI461" s="143"/>
      <c r="AJ461" s="143"/>
    </row>
    <row r="462" spans="1:36" s="144" customFormat="1" ht="21.75" customHeight="1">
      <c r="A462" s="151"/>
      <c r="B462" s="219"/>
      <c r="C462" s="219"/>
      <c r="D462" s="219"/>
      <c r="E462" s="225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  <c r="AF462" s="143"/>
      <c r="AG462" s="143"/>
      <c r="AH462" s="143"/>
      <c r="AI462" s="143"/>
      <c r="AJ462" s="143"/>
    </row>
    <row r="463" spans="1:36" s="144" customFormat="1" ht="21.75" customHeight="1">
      <c r="A463" s="151"/>
      <c r="B463" s="219"/>
      <c r="C463" s="219"/>
      <c r="D463" s="219"/>
      <c r="E463" s="225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  <c r="AF463" s="143"/>
      <c r="AG463" s="143"/>
      <c r="AH463" s="143"/>
      <c r="AI463" s="143"/>
      <c r="AJ463" s="143"/>
    </row>
    <row r="464" spans="1:36" s="144" customFormat="1" ht="21.75" customHeight="1">
      <c r="A464" s="151"/>
      <c r="B464" s="219"/>
      <c r="C464" s="219"/>
      <c r="D464" s="219"/>
      <c r="E464" s="225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  <c r="AF464" s="143"/>
      <c r="AG464" s="143"/>
      <c r="AH464" s="143"/>
      <c r="AI464" s="143"/>
      <c r="AJ464" s="143"/>
    </row>
    <row r="465" spans="1:36" s="144" customFormat="1" ht="21.75" customHeight="1">
      <c r="A465" s="151"/>
      <c r="B465" s="219"/>
      <c r="C465" s="219"/>
      <c r="D465" s="219"/>
      <c r="E465" s="225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  <c r="AF465" s="143"/>
      <c r="AG465" s="143"/>
      <c r="AH465" s="143"/>
      <c r="AI465" s="143"/>
      <c r="AJ465" s="143"/>
    </row>
    <row r="466" spans="1:36" s="144" customFormat="1" ht="21.75" customHeight="1">
      <c r="A466" s="151"/>
      <c r="B466" s="219"/>
      <c r="C466" s="219"/>
      <c r="D466" s="219"/>
      <c r="E466" s="225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  <c r="AF466" s="143"/>
      <c r="AG466" s="143"/>
      <c r="AH466" s="143"/>
      <c r="AI466" s="143"/>
      <c r="AJ466" s="143"/>
    </row>
    <row r="467" spans="1:36" s="144" customFormat="1" ht="21.75" customHeight="1">
      <c r="A467" s="151"/>
      <c r="B467" s="219"/>
      <c r="C467" s="219"/>
      <c r="D467" s="219"/>
      <c r="E467" s="225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  <c r="AF467" s="143"/>
      <c r="AG467" s="143"/>
      <c r="AH467" s="143"/>
      <c r="AI467" s="143"/>
      <c r="AJ467" s="143"/>
    </row>
    <row r="468" spans="1:36" s="144" customFormat="1" ht="21.75" customHeight="1">
      <c r="A468" s="151"/>
      <c r="B468" s="219"/>
      <c r="C468" s="219"/>
      <c r="D468" s="219"/>
      <c r="E468" s="225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  <c r="AF468" s="143"/>
      <c r="AG468" s="143"/>
      <c r="AH468" s="143"/>
      <c r="AI468" s="143"/>
      <c r="AJ468" s="143"/>
    </row>
    <row r="469" spans="1:36" s="144" customFormat="1" ht="21.75" customHeight="1">
      <c r="A469" s="151"/>
      <c r="B469" s="219"/>
      <c r="C469" s="219"/>
      <c r="D469" s="219"/>
      <c r="E469" s="225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  <c r="AF469" s="143"/>
      <c r="AG469" s="143"/>
      <c r="AH469" s="143"/>
      <c r="AI469" s="143"/>
      <c r="AJ469" s="143"/>
    </row>
    <row r="470" spans="1:36" s="144" customFormat="1" ht="21.75" customHeight="1">
      <c r="A470" s="151"/>
      <c r="B470" s="219"/>
      <c r="C470" s="219"/>
      <c r="D470" s="219"/>
      <c r="E470" s="225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  <c r="AF470" s="143"/>
      <c r="AG470" s="143"/>
      <c r="AH470" s="143"/>
      <c r="AI470" s="143"/>
      <c r="AJ470" s="143"/>
    </row>
    <row r="471" spans="1:36" s="144" customFormat="1" ht="21.75" customHeight="1">
      <c r="A471" s="151"/>
      <c r="B471" s="219"/>
      <c r="C471" s="219"/>
      <c r="D471" s="219"/>
      <c r="E471" s="225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  <c r="AF471" s="143"/>
      <c r="AG471" s="143"/>
      <c r="AH471" s="143"/>
      <c r="AI471" s="143"/>
      <c r="AJ471" s="143"/>
    </row>
    <row r="472" spans="1:36" s="144" customFormat="1" ht="21.75" customHeight="1">
      <c r="A472" s="151"/>
      <c r="B472" s="219"/>
      <c r="C472" s="219"/>
      <c r="D472" s="219"/>
      <c r="E472" s="225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  <c r="AF472" s="143"/>
      <c r="AG472" s="143"/>
      <c r="AH472" s="143"/>
      <c r="AI472" s="143"/>
      <c r="AJ472" s="143"/>
    </row>
    <row r="473" spans="1:36" s="144" customFormat="1" ht="21.75" customHeight="1">
      <c r="A473" s="151"/>
      <c r="B473" s="219"/>
      <c r="C473" s="219"/>
      <c r="D473" s="219"/>
      <c r="E473" s="225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  <c r="AF473" s="143"/>
      <c r="AG473" s="143"/>
      <c r="AH473" s="143"/>
      <c r="AI473" s="143"/>
      <c r="AJ473" s="143"/>
    </row>
    <row r="474" spans="1:36" s="144" customFormat="1" ht="21.75" customHeight="1">
      <c r="A474" s="151"/>
      <c r="B474" s="219"/>
      <c r="C474" s="219"/>
      <c r="D474" s="219"/>
      <c r="E474" s="225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  <c r="AF474" s="143"/>
      <c r="AG474" s="143"/>
      <c r="AH474" s="143"/>
      <c r="AI474" s="143"/>
      <c r="AJ474" s="143"/>
    </row>
    <row r="475" spans="1:36" s="144" customFormat="1" ht="21.75" customHeight="1">
      <c r="A475" s="151"/>
      <c r="B475" s="219"/>
      <c r="C475" s="219"/>
      <c r="D475" s="219"/>
      <c r="E475" s="225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  <c r="AF475" s="143"/>
      <c r="AG475" s="143"/>
      <c r="AH475" s="143"/>
      <c r="AI475" s="143"/>
      <c r="AJ475" s="143"/>
    </row>
    <row r="476" spans="1:36" s="144" customFormat="1" ht="21.75" customHeight="1">
      <c r="A476" s="151"/>
      <c r="B476" s="219"/>
      <c r="C476" s="219"/>
      <c r="D476" s="219"/>
      <c r="E476" s="225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  <c r="AF476" s="143"/>
      <c r="AG476" s="143"/>
      <c r="AH476" s="143"/>
      <c r="AI476" s="143"/>
      <c r="AJ476" s="143"/>
    </row>
    <row r="477" spans="1:36" s="144" customFormat="1" ht="21.75" customHeight="1">
      <c r="A477" s="151"/>
      <c r="B477" s="219"/>
      <c r="C477" s="219"/>
      <c r="D477" s="219"/>
      <c r="E477" s="225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  <c r="AF477" s="143"/>
      <c r="AG477" s="143"/>
      <c r="AH477" s="143"/>
      <c r="AI477" s="143"/>
      <c r="AJ477" s="143"/>
    </row>
    <row r="478" spans="1:36" s="144" customFormat="1" ht="21.75" customHeight="1">
      <c r="A478" s="151"/>
      <c r="B478" s="219"/>
      <c r="C478" s="219"/>
      <c r="D478" s="219"/>
      <c r="E478" s="225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  <c r="AF478" s="143"/>
      <c r="AG478" s="143"/>
      <c r="AH478" s="143"/>
      <c r="AI478" s="143"/>
      <c r="AJ478" s="143"/>
    </row>
    <row r="479" spans="1:36" s="144" customFormat="1" ht="21.75" customHeight="1">
      <c r="A479" s="151"/>
      <c r="B479" s="219"/>
      <c r="C479" s="219"/>
      <c r="D479" s="219"/>
      <c r="E479" s="225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  <c r="AF479" s="143"/>
      <c r="AG479" s="143"/>
      <c r="AH479" s="143"/>
      <c r="AI479" s="143"/>
      <c r="AJ479" s="143"/>
    </row>
    <row r="480" spans="1:36" s="144" customFormat="1" ht="21.75" customHeight="1">
      <c r="A480" s="151"/>
      <c r="B480" s="219"/>
      <c r="C480" s="219"/>
      <c r="D480" s="219"/>
      <c r="E480" s="225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  <c r="AF480" s="143"/>
      <c r="AG480" s="143"/>
      <c r="AH480" s="143"/>
      <c r="AI480" s="143"/>
      <c r="AJ480" s="143"/>
    </row>
    <row r="481" spans="1:36" s="144" customFormat="1" ht="21.75" customHeight="1">
      <c r="A481" s="151"/>
      <c r="B481" s="219"/>
      <c r="C481" s="219"/>
      <c r="D481" s="219"/>
      <c r="E481" s="225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  <c r="AF481" s="143"/>
      <c r="AG481" s="143"/>
      <c r="AH481" s="143"/>
      <c r="AI481" s="143"/>
      <c r="AJ481" s="143"/>
    </row>
    <row r="482" spans="1:36" s="144" customFormat="1" ht="21.75" customHeight="1">
      <c r="A482" s="151"/>
      <c r="B482" s="219"/>
      <c r="C482" s="219"/>
      <c r="D482" s="219"/>
      <c r="E482" s="225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  <c r="AF482" s="143"/>
      <c r="AG482" s="143"/>
      <c r="AH482" s="143"/>
      <c r="AI482" s="143"/>
      <c r="AJ482" s="143"/>
    </row>
    <row r="483" spans="1:36" s="144" customFormat="1" ht="21.75" customHeight="1">
      <c r="A483" s="151"/>
      <c r="B483" s="219"/>
      <c r="C483" s="219"/>
      <c r="D483" s="219"/>
      <c r="E483" s="225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  <c r="AF483" s="143"/>
      <c r="AG483" s="143"/>
      <c r="AH483" s="143"/>
      <c r="AI483" s="143"/>
      <c r="AJ483" s="143"/>
    </row>
    <row r="484" spans="1:36" s="144" customFormat="1" ht="21.75" customHeight="1">
      <c r="A484" s="151"/>
      <c r="B484" s="219"/>
      <c r="C484" s="219"/>
      <c r="D484" s="219"/>
      <c r="E484" s="225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  <c r="AF484" s="143"/>
      <c r="AG484" s="143"/>
      <c r="AH484" s="143"/>
      <c r="AI484" s="143"/>
      <c r="AJ484" s="143"/>
    </row>
    <row r="485" spans="1:36" s="144" customFormat="1" ht="21.75" customHeight="1">
      <c r="A485" s="151"/>
      <c r="B485" s="219"/>
      <c r="C485" s="219"/>
      <c r="D485" s="219"/>
      <c r="E485" s="225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  <c r="AF485" s="143"/>
      <c r="AG485" s="143"/>
      <c r="AH485" s="143"/>
      <c r="AI485" s="143"/>
      <c r="AJ485" s="143"/>
    </row>
    <row r="486" spans="1:36" s="144" customFormat="1" ht="21.75" customHeight="1">
      <c r="A486" s="151"/>
      <c r="B486" s="219"/>
      <c r="C486" s="219"/>
      <c r="D486" s="219"/>
      <c r="E486" s="225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  <c r="AF486" s="143"/>
      <c r="AG486" s="143"/>
      <c r="AH486" s="143"/>
      <c r="AI486" s="143"/>
      <c r="AJ486" s="143"/>
    </row>
    <row r="487" spans="1:36" s="144" customFormat="1" ht="21.75" customHeight="1">
      <c r="A487" s="151"/>
      <c r="B487" s="219"/>
      <c r="C487" s="219"/>
      <c r="D487" s="219"/>
      <c r="E487" s="225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  <c r="AF487" s="143"/>
      <c r="AG487" s="143"/>
      <c r="AH487" s="143"/>
      <c r="AI487" s="143"/>
      <c r="AJ487" s="143"/>
    </row>
    <row r="488" spans="1:36" s="144" customFormat="1" ht="21.75" customHeight="1">
      <c r="A488" s="151"/>
      <c r="B488" s="219"/>
      <c r="C488" s="219"/>
      <c r="D488" s="219"/>
      <c r="E488" s="225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  <c r="AF488" s="143"/>
      <c r="AG488" s="143"/>
      <c r="AH488" s="143"/>
      <c r="AI488" s="143"/>
      <c r="AJ488" s="143"/>
    </row>
    <row r="489" spans="1:36" s="144" customFormat="1" ht="21.75" customHeight="1">
      <c r="A489" s="151"/>
      <c r="B489" s="219"/>
      <c r="C489" s="219"/>
      <c r="D489" s="219"/>
      <c r="E489" s="225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  <c r="AF489" s="143"/>
      <c r="AG489" s="143"/>
      <c r="AH489" s="143"/>
      <c r="AI489" s="143"/>
      <c r="AJ489" s="143"/>
    </row>
    <row r="490" spans="1:36" s="144" customFormat="1" ht="21.75" customHeight="1">
      <c r="A490" s="151"/>
      <c r="B490" s="219"/>
      <c r="C490" s="219"/>
      <c r="D490" s="219"/>
      <c r="E490" s="225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  <c r="AF490" s="143"/>
      <c r="AG490" s="143"/>
      <c r="AH490" s="143"/>
      <c r="AI490" s="143"/>
      <c r="AJ490" s="143"/>
    </row>
    <row r="491" spans="1:36" s="144" customFormat="1" ht="21.75" customHeight="1">
      <c r="A491" s="151"/>
      <c r="B491" s="219"/>
      <c r="C491" s="219"/>
      <c r="D491" s="219"/>
      <c r="E491" s="225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  <c r="AF491" s="143"/>
      <c r="AG491" s="143"/>
      <c r="AH491" s="143"/>
      <c r="AI491" s="143"/>
      <c r="AJ491" s="143"/>
    </row>
    <row r="492" spans="1:36" s="144" customFormat="1" ht="21.75" customHeight="1">
      <c r="A492" s="151"/>
      <c r="B492" s="219"/>
      <c r="C492" s="219"/>
      <c r="D492" s="219"/>
      <c r="E492" s="225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  <c r="AF492" s="143"/>
      <c r="AG492" s="143"/>
      <c r="AH492" s="143"/>
      <c r="AI492" s="143"/>
      <c r="AJ492" s="143"/>
    </row>
    <row r="493" spans="1:36" s="144" customFormat="1" ht="21.75" customHeight="1">
      <c r="A493" s="151"/>
      <c r="B493" s="219"/>
      <c r="C493" s="219"/>
      <c r="D493" s="219"/>
      <c r="E493" s="225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  <c r="AF493" s="143"/>
      <c r="AG493" s="143"/>
      <c r="AH493" s="143"/>
      <c r="AI493" s="143"/>
      <c r="AJ493" s="143"/>
    </row>
    <row r="494" spans="1:36" s="144" customFormat="1" ht="21.75" customHeight="1">
      <c r="A494" s="151"/>
      <c r="B494" s="219"/>
      <c r="C494" s="219"/>
      <c r="D494" s="219"/>
      <c r="E494" s="225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  <c r="AF494" s="143"/>
      <c r="AG494" s="143"/>
      <c r="AH494" s="143"/>
      <c r="AI494" s="143"/>
      <c r="AJ494" s="143"/>
    </row>
    <row r="495" spans="1:36" s="144" customFormat="1" ht="21.75" customHeight="1">
      <c r="A495" s="151"/>
      <c r="B495" s="219"/>
      <c r="C495" s="219"/>
      <c r="D495" s="219"/>
      <c r="E495" s="225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  <c r="AF495" s="143"/>
      <c r="AG495" s="143"/>
      <c r="AH495" s="143"/>
      <c r="AI495" s="143"/>
      <c r="AJ495" s="143"/>
    </row>
    <row r="496" spans="1:36" s="144" customFormat="1" ht="21.75" customHeight="1">
      <c r="A496" s="151"/>
      <c r="B496" s="219"/>
      <c r="C496" s="219"/>
      <c r="D496" s="219"/>
      <c r="E496" s="225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  <c r="AF496" s="143"/>
      <c r="AG496" s="143"/>
      <c r="AH496" s="143"/>
      <c r="AI496" s="143"/>
      <c r="AJ496" s="143"/>
    </row>
    <row r="497" spans="1:36" s="144" customFormat="1" ht="21.75" customHeight="1">
      <c r="A497" s="151"/>
      <c r="B497" s="219"/>
      <c r="C497" s="219"/>
      <c r="D497" s="219"/>
      <c r="E497" s="225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  <c r="AF497" s="143"/>
      <c r="AG497" s="143"/>
      <c r="AH497" s="143"/>
      <c r="AI497" s="143"/>
      <c r="AJ497" s="143"/>
    </row>
    <row r="498" spans="1:36" s="144" customFormat="1" ht="21.75" customHeight="1">
      <c r="A498" s="151"/>
      <c r="B498" s="219"/>
      <c r="C498" s="219"/>
      <c r="D498" s="219"/>
      <c r="E498" s="225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  <c r="AF498" s="143"/>
      <c r="AG498" s="143"/>
      <c r="AH498" s="143"/>
      <c r="AI498" s="143"/>
      <c r="AJ498" s="143"/>
    </row>
    <row r="499" spans="1:36" s="144" customFormat="1" ht="21.75" customHeight="1">
      <c r="A499" s="151"/>
      <c r="B499" s="219"/>
      <c r="C499" s="219"/>
      <c r="D499" s="219"/>
      <c r="E499" s="225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  <c r="AF499" s="143"/>
      <c r="AG499" s="143"/>
      <c r="AH499" s="143"/>
      <c r="AI499" s="143"/>
      <c r="AJ499" s="143"/>
    </row>
    <row r="500" spans="1:36" s="144" customFormat="1" ht="21.75" customHeight="1">
      <c r="A500" s="151"/>
      <c r="B500" s="219"/>
      <c r="C500" s="219"/>
      <c r="D500" s="219"/>
      <c r="E500" s="225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  <c r="AF500" s="143"/>
      <c r="AG500" s="143"/>
      <c r="AH500" s="143"/>
      <c r="AI500" s="143"/>
      <c r="AJ500" s="143"/>
    </row>
    <row r="501" spans="1:36" s="144" customFormat="1" ht="21.75" customHeight="1">
      <c r="A501" s="151"/>
      <c r="B501" s="219"/>
      <c r="C501" s="219"/>
      <c r="D501" s="219"/>
      <c r="E501" s="225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  <c r="AF501" s="143"/>
      <c r="AG501" s="143"/>
      <c r="AH501" s="143"/>
      <c r="AI501" s="143"/>
      <c r="AJ501" s="143"/>
    </row>
    <row r="502" spans="1:36" s="144" customFormat="1" ht="21.75" customHeight="1">
      <c r="A502" s="151"/>
      <c r="B502" s="219"/>
      <c r="C502" s="219"/>
      <c r="D502" s="219"/>
      <c r="E502" s="225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  <c r="AF502" s="143"/>
      <c r="AG502" s="143"/>
      <c r="AH502" s="143"/>
      <c r="AI502" s="143"/>
      <c r="AJ502" s="143"/>
    </row>
    <row r="503" spans="1:36" s="144" customFormat="1" ht="21.75" customHeight="1">
      <c r="A503" s="151"/>
      <c r="B503" s="219"/>
      <c r="C503" s="219"/>
      <c r="D503" s="219"/>
      <c r="E503" s="225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  <c r="AF503" s="143"/>
      <c r="AG503" s="143"/>
      <c r="AH503" s="143"/>
      <c r="AI503" s="143"/>
      <c r="AJ503" s="143"/>
    </row>
    <row r="504" spans="1:36" s="144" customFormat="1" ht="21.75" customHeight="1">
      <c r="A504" s="151"/>
      <c r="B504" s="219"/>
      <c r="C504" s="219"/>
      <c r="D504" s="219"/>
      <c r="E504" s="225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  <c r="AF504" s="143"/>
      <c r="AG504" s="143"/>
      <c r="AH504" s="143"/>
      <c r="AI504" s="143"/>
      <c r="AJ504" s="143"/>
    </row>
    <row r="505" spans="1:36" s="144" customFormat="1" ht="21.75" customHeight="1">
      <c r="A505" s="151"/>
      <c r="B505" s="219"/>
      <c r="C505" s="219"/>
      <c r="D505" s="219"/>
      <c r="E505" s="225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  <c r="AF505" s="143"/>
      <c r="AG505" s="143"/>
      <c r="AH505" s="143"/>
      <c r="AI505" s="143"/>
      <c r="AJ505" s="143"/>
    </row>
    <row r="506" spans="1:36" s="144" customFormat="1" ht="21.75" customHeight="1">
      <c r="A506" s="151"/>
      <c r="B506" s="219"/>
      <c r="C506" s="219"/>
      <c r="D506" s="219"/>
      <c r="E506" s="225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  <c r="AF506" s="143"/>
      <c r="AG506" s="143"/>
      <c r="AH506" s="143"/>
      <c r="AI506" s="143"/>
      <c r="AJ506" s="143"/>
    </row>
    <row r="507" spans="1:36" s="144" customFormat="1" ht="21.75" customHeight="1">
      <c r="A507" s="151"/>
      <c r="B507" s="219"/>
      <c r="C507" s="219"/>
      <c r="D507" s="219"/>
      <c r="E507" s="225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  <c r="AF507" s="143"/>
      <c r="AG507" s="143"/>
      <c r="AH507" s="143"/>
      <c r="AI507" s="143"/>
      <c r="AJ507" s="143"/>
    </row>
    <row r="508" spans="1:36" s="144" customFormat="1" ht="21.75" customHeight="1">
      <c r="A508" s="151"/>
      <c r="B508" s="219"/>
      <c r="C508" s="219"/>
      <c r="D508" s="219"/>
      <c r="E508" s="225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  <c r="AF508" s="143"/>
      <c r="AG508" s="143"/>
      <c r="AH508" s="143"/>
      <c r="AI508" s="143"/>
      <c r="AJ508" s="143"/>
    </row>
    <row r="509" spans="1:36" s="144" customFormat="1" ht="21.75" customHeight="1">
      <c r="A509" s="151"/>
      <c r="B509" s="219"/>
      <c r="C509" s="219"/>
      <c r="D509" s="219"/>
      <c r="E509" s="225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  <c r="AF509" s="143"/>
      <c r="AG509" s="143"/>
      <c r="AH509" s="143"/>
      <c r="AI509" s="143"/>
      <c r="AJ509" s="143"/>
    </row>
    <row r="510" spans="1:36" s="144" customFormat="1" ht="21.75" customHeight="1">
      <c r="A510" s="151"/>
      <c r="B510" s="219"/>
      <c r="C510" s="219"/>
      <c r="D510" s="219"/>
      <c r="E510" s="225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  <c r="AF510" s="143"/>
      <c r="AG510" s="143"/>
      <c r="AH510" s="143"/>
      <c r="AI510" s="143"/>
      <c r="AJ510" s="143"/>
    </row>
    <row r="511" spans="1:36" s="144" customFormat="1" ht="21.75" customHeight="1">
      <c r="A511" s="151"/>
      <c r="B511" s="219"/>
      <c r="C511" s="219"/>
      <c r="D511" s="219"/>
      <c r="E511" s="225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  <c r="AF511" s="143"/>
      <c r="AG511" s="143"/>
      <c r="AH511" s="143"/>
      <c r="AI511" s="143"/>
      <c r="AJ511" s="143"/>
    </row>
    <row r="512" spans="1:36" s="144" customFormat="1" ht="21.75" customHeight="1">
      <c r="A512" s="151"/>
      <c r="B512" s="219"/>
      <c r="C512" s="219"/>
      <c r="D512" s="219"/>
      <c r="E512" s="225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  <c r="AF512" s="143"/>
      <c r="AG512" s="143"/>
      <c r="AH512" s="143"/>
      <c r="AI512" s="143"/>
      <c r="AJ512" s="143"/>
    </row>
    <row r="513" spans="1:36" s="144" customFormat="1" ht="21.75" customHeight="1">
      <c r="A513" s="151"/>
      <c r="B513" s="219"/>
      <c r="C513" s="219"/>
      <c r="D513" s="219"/>
      <c r="E513" s="225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  <c r="AF513" s="143"/>
      <c r="AG513" s="143"/>
      <c r="AH513" s="143"/>
      <c r="AI513" s="143"/>
      <c r="AJ513" s="143"/>
    </row>
    <row r="514" spans="1:36" s="144" customFormat="1" ht="21.75" customHeight="1">
      <c r="A514" s="151"/>
      <c r="B514" s="219"/>
      <c r="C514" s="219"/>
      <c r="D514" s="219"/>
      <c r="E514" s="225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  <c r="AF514" s="143"/>
      <c r="AG514" s="143"/>
      <c r="AH514" s="143"/>
      <c r="AI514" s="143"/>
      <c r="AJ514" s="143"/>
    </row>
    <row r="515" spans="1:36" s="144" customFormat="1" ht="21.75" customHeight="1">
      <c r="A515" s="151"/>
      <c r="B515" s="219"/>
      <c r="C515" s="219"/>
      <c r="D515" s="219"/>
      <c r="E515" s="225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  <c r="AF515" s="143"/>
      <c r="AG515" s="143"/>
      <c r="AH515" s="143"/>
      <c r="AI515" s="143"/>
      <c r="AJ515" s="143"/>
    </row>
    <row r="516" spans="1:36" s="144" customFormat="1" ht="21.75" customHeight="1">
      <c r="A516" s="151"/>
      <c r="B516" s="219"/>
      <c r="C516" s="219"/>
      <c r="D516" s="219"/>
      <c r="E516" s="225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  <c r="AF516" s="143"/>
      <c r="AG516" s="143"/>
      <c r="AH516" s="143"/>
      <c r="AI516" s="143"/>
      <c r="AJ516" s="143"/>
    </row>
    <row r="517" spans="1:36" s="144" customFormat="1" ht="21.75" customHeight="1">
      <c r="A517" s="151"/>
      <c r="B517" s="219"/>
      <c r="C517" s="219"/>
      <c r="D517" s="219"/>
      <c r="E517" s="225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  <c r="AF517" s="143"/>
      <c r="AG517" s="143"/>
      <c r="AH517" s="143"/>
      <c r="AI517" s="143"/>
      <c r="AJ517" s="143"/>
    </row>
    <row r="518" spans="1:36" s="144" customFormat="1" ht="21.75" customHeight="1">
      <c r="A518" s="151"/>
      <c r="B518" s="219"/>
      <c r="C518" s="219"/>
      <c r="D518" s="219"/>
      <c r="E518" s="225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  <c r="AF518" s="143"/>
      <c r="AG518" s="143"/>
      <c r="AH518" s="143"/>
      <c r="AI518" s="143"/>
      <c r="AJ518" s="143"/>
    </row>
    <row r="519" spans="1:36" s="144" customFormat="1" ht="21.75" customHeight="1">
      <c r="A519" s="151"/>
      <c r="B519" s="219"/>
      <c r="C519" s="219"/>
      <c r="D519" s="219"/>
      <c r="E519" s="225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  <c r="AF519" s="143"/>
      <c r="AG519" s="143"/>
      <c r="AH519" s="143"/>
      <c r="AI519" s="143"/>
      <c r="AJ519" s="143"/>
    </row>
    <row r="520" spans="1:36" s="144" customFormat="1" ht="21.75" customHeight="1">
      <c r="A520" s="151"/>
      <c r="B520" s="219"/>
      <c r="C520" s="219"/>
      <c r="D520" s="219"/>
      <c r="E520" s="225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  <c r="AF520" s="143"/>
      <c r="AG520" s="143"/>
      <c r="AH520" s="143"/>
      <c r="AI520" s="143"/>
      <c r="AJ520" s="143"/>
    </row>
    <row r="521" spans="1:36" s="144" customFormat="1" ht="21.75" customHeight="1">
      <c r="A521" s="151"/>
      <c r="B521" s="219"/>
      <c r="C521" s="219"/>
      <c r="D521" s="219"/>
      <c r="E521" s="225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  <c r="AF521" s="143"/>
      <c r="AG521" s="143"/>
      <c r="AH521" s="143"/>
      <c r="AI521" s="143"/>
      <c r="AJ521" s="143"/>
    </row>
    <row r="522" spans="1:36" s="144" customFormat="1" ht="21.75" customHeight="1">
      <c r="A522" s="151"/>
      <c r="B522" s="219"/>
      <c r="C522" s="219"/>
      <c r="D522" s="219"/>
      <c r="E522" s="225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  <c r="AF522" s="143"/>
      <c r="AG522" s="143"/>
      <c r="AH522" s="143"/>
      <c r="AI522" s="143"/>
      <c r="AJ522" s="143"/>
    </row>
    <row r="523" spans="1:36" s="144" customFormat="1" ht="21.75" customHeight="1">
      <c r="A523" s="151"/>
      <c r="B523" s="219"/>
      <c r="C523" s="219"/>
      <c r="D523" s="219"/>
      <c r="E523" s="225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  <c r="AF523" s="143"/>
      <c r="AG523" s="143"/>
      <c r="AH523" s="143"/>
      <c r="AI523" s="143"/>
      <c r="AJ523" s="143"/>
    </row>
    <row r="524" spans="1:36" s="144" customFormat="1" ht="21.75" customHeight="1">
      <c r="A524" s="151"/>
      <c r="B524" s="219"/>
      <c r="C524" s="219"/>
      <c r="D524" s="219"/>
      <c r="E524" s="225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  <c r="AF524" s="143"/>
      <c r="AG524" s="143"/>
      <c r="AH524" s="143"/>
      <c r="AI524" s="143"/>
      <c r="AJ524" s="143"/>
    </row>
    <row r="525" spans="1:36" s="144" customFormat="1" ht="21.75" customHeight="1">
      <c r="A525" s="151"/>
      <c r="B525" s="219"/>
      <c r="C525" s="219"/>
      <c r="D525" s="219"/>
      <c r="E525" s="225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  <c r="AF525" s="143"/>
      <c r="AG525" s="143"/>
      <c r="AH525" s="143"/>
      <c r="AI525" s="143"/>
      <c r="AJ525" s="143"/>
    </row>
    <row r="526" spans="1:36" s="144" customFormat="1" ht="21.75" customHeight="1">
      <c r="A526" s="151"/>
      <c r="B526" s="219"/>
      <c r="C526" s="219"/>
      <c r="D526" s="219"/>
      <c r="E526" s="225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  <c r="AF526" s="143"/>
      <c r="AG526" s="143"/>
      <c r="AH526" s="143"/>
      <c r="AI526" s="143"/>
      <c r="AJ526" s="143"/>
    </row>
    <row r="527" spans="1:36" s="144" customFormat="1" ht="21.75" customHeight="1">
      <c r="A527" s="151"/>
      <c r="B527" s="219"/>
      <c r="C527" s="219"/>
      <c r="D527" s="219"/>
      <c r="E527" s="225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  <c r="AF527" s="143"/>
      <c r="AG527" s="143"/>
      <c r="AH527" s="143"/>
      <c r="AI527" s="143"/>
      <c r="AJ527" s="143"/>
    </row>
    <row r="528" spans="1:36" s="144" customFormat="1" ht="21.75" customHeight="1">
      <c r="A528" s="151"/>
      <c r="B528" s="219"/>
      <c r="C528" s="219"/>
      <c r="D528" s="219"/>
      <c r="E528" s="225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  <c r="AF528" s="143"/>
      <c r="AG528" s="143"/>
      <c r="AH528" s="143"/>
      <c r="AI528" s="143"/>
      <c r="AJ528" s="143"/>
    </row>
    <row r="529" spans="1:36" s="144" customFormat="1" ht="21.75" customHeight="1">
      <c r="A529" s="151"/>
      <c r="B529" s="219"/>
      <c r="C529" s="219"/>
      <c r="D529" s="219"/>
      <c r="E529" s="225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  <c r="AF529" s="143"/>
      <c r="AG529" s="143"/>
      <c r="AH529" s="143"/>
      <c r="AI529" s="143"/>
      <c r="AJ529" s="143"/>
    </row>
    <row r="530" spans="1:36" s="144" customFormat="1" ht="21.75" customHeight="1">
      <c r="A530" s="151"/>
      <c r="B530" s="219"/>
      <c r="C530" s="219"/>
      <c r="D530" s="219"/>
      <c r="E530" s="225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  <c r="AF530" s="143"/>
      <c r="AG530" s="143"/>
      <c r="AH530" s="143"/>
      <c r="AI530" s="143"/>
      <c r="AJ530" s="143"/>
    </row>
    <row r="531" spans="1:36" s="144" customFormat="1" ht="21.75" customHeight="1">
      <c r="A531" s="151"/>
      <c r="B531" s="219"/>
      <c r="C531" s="219"/>
      <c r="D531" s="219"/>
      <c r="E531" s="225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  <c r="AF531" s="143"/>
      <c r="AG531" s="143"/>
      <c r="AH531" s="143"/>
      <c r="AI531" s="143"/>
      <c r="AJ531" s="143"/>
    </row>
    <row r="532" spans="1:36" s="144" customFormat="1" ht="21.75" customHeight="1">
      <c r="A532" s="151"/>
      <c r="B532" s="219"/>
      <c r="C532" s="219"/>
      <c r="D532" s="219"/>
      <c r="E532" s="225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  <c r="AF532" s="143"/>
      <c r="AG532" s="143"/>
      <c r="AH532" s="143"/>
      <c r="AI532" s="143"/>
      <c r="AJ532" s="143"/>
    </row>
    <row r="533" spans="1:36" s="144" customFormat="1" ht="21.75" customHeight="1">
      <c r="A533" s="151"/>
      <c r="B533" s="219"/>
      <c r="C533" s="219"/>
      <c r="D533" s="219"/>
      <c r="E533" s="225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  <c r="AF533" s="143"/>
      <c r="AG533" s="143"/>
      <c r="AH533" s="143"/>
      <c r="AI533" s="143"/>
      <c r="AJ533" s="143"/>
    </row>
    <row r="534" spans="1:36" s="144" customFormat="1" ht="21.75" customHeight="1">
      <c r="A534" s="151"/>
      <c r="B534" s="219"/>
      <c r="C534" s="219"/>
      <c r="D534" s="219"/>
      <c r="E534" s="225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  <c r="AF534" s="143"/>
      <c r="AG534" s="143"/>
      <c r="AH534" s="143"/>
      <c r="AI534" s="143"/>
      <c r="AJ534" s="143"/>
    </row>
    <row r="535" spans="1:36" s="144" customFormat="1" ht="21.75" customHeight="1">
      <c r="A535" s="151"/>
      <c r="B535" s="219"/>
      <c r="C535" s="219"/>
      <c r="D535" s="219"/>
      <c r="E535" s="225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  <c r="AF535" s="143"/>
      <c r="AG535" s="143"/>
      <c r="AH535" s="143"/>
      <c r="AI535" s="143"/>
      <c r="AJ535" s="143"/>
    </row>
    <row r="536" spans="1:36" s="144" customFormat="1" ht="21.75" customHeight="1">
      <c r="A536" s="151"/>
      <c r="B536" s="219"/>
      <c r="C536" s="219"/>
      <c r="D536" s="219"/>
      <c r="E536" s="225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  <c r="AF536" s="143"/>
      <c r="AG536" s="143"/>
      <c r="AH536" s="143"/>
      <c r="AI536" s="143"/>
      <c r="AJ536" s="143"/>
    </row>
    <row r="537" spans="1:36" s="144" customFormat="1" ht="21.75" customHeight="1">
      <c r="A537" s="151"/>
      <c r="B537" s="219"/>
      <c r="C537" s="219"/>
      <c r="D537" s="219"/>
      <c r="E537" s="225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  <c r="AF537" s="143"/>
      <c r="AG537" s="143"/>
      <c r="AH537" s="143"/>
      <c r="AI537" s="143"/>
      <c r="AJ537" s="143"/>
    </row>
    <row r="538" spans="1:36" s="144" customFormat="1" ht="21.75" customHeight="1">
      <c r="A538" s="151"/>
      <c r="B538" s="219"/>
      <c r="C538" s="219"/>
      <c r="D538" s="219"/>
      <c r="E538" s="225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  <c r="AF538" s="143"/>
      <c r="AG538" s="143"/>
      <c r="AH538" s="143"/>
      <c r="AI538" s="143"/>
      <c r="AJ538" s="143"/>
    </row>
    <row r="539" spans="1:36" s="144" customFormat="1" ht="21.75" customHeight="1">
      <c r="A539" s="151"/>
      <c r="B539" s="219"/>
      <c r="C539" s="219"/>
      <c r="D539" s="219"/>
      <c r="E539" s="225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  <c r="AF539" s="143"/>
      <c r="AG539" s="143"/>
      <c r="AH539" s="143"/>
      <c r="AI539" s="143"/>
      <c r="AJ539" s="143"/>
    </row>
    <row r="540" spans="1:36" s="144" customFormat="1" ht="21.75" customHeight="1">
      <c r="A540" s="151"/>
      <c r="B540" s="219"/>
      <c r="C540" s="219"/>
      <c r="D540" s="219"/>
      <c r="E540" s="225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  <c r="AF540" s="143"/>
      <c r="AG540" s="143"/>
      <c r="AH540" s="143"/>
      <c r="AI540" s="143"/>
      <c r="AJ540" s="143"/>
    </row>
    <row r="541" spans="1:36" s="144" customFormat="1" ht="21.75" customHeight="1">
      <c r="A541" s="151"/>
      <c r="B541" s="219"/>
      <c r="C541" s="219"/>
      <c r="D541" s="219"/>
      <c r="E541" s="225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  <c r="AF541" s="143"/>
      <c r="AG541" s="143"/>
      <c r="AH541" s="143"/>
      <c r="AI541" s="143"/>
      <c r="AJ541" s="143"/>
    </row>
    <row r="542" spans="1:36" s="144" customFormat="1" ht="21.75" customHeight="1">
      <c r="A542" s="151"/>
      <c r="B542" s="219"/>
      <c r="C542" s="219"/>
      <c r="D542" s="219"/>
      <c r="E542" s="225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  <c r="AF542" s="143"/>
      <c r="AG542" s="143"/>
      <c r="AH542" s="143"/>
      <c r="AI542" s="143"/>
      <c r="AJ542" s="143"/>
    </row>
    <row r="543" spans="1:36" s="144" customFormat="1" ht="21.75" customHeight="1">
      <c r="A543" s="151"/>
      <c r="B543" s="219"/>
      <c r="C543" s="219"/>
      <c r="D543" s="219"/>
      <c r="E543" s="225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  <c r="AF543" s="143"/>
      <c r="AG543" s="143"/>
      <c r="AH543" s="143"/>
      <c r="AI543" s="143"/>
      <c r="AJ543" s="143"/>
    </row>
    <row r="544" spans="1:36" s="144" customFormat="1" ht="21.75" customHeight="1">
      <c r="A544" s="151"/>
      <c r="B544" s="219"/>
      <c r="C544" s="219"/>
      <c r="D544" s="219"/>
      <c r="E544" s="225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  <c r="AF544" s="143"/>
      <c r="AG544" s="143"/>
      <c r="AH544" s="143"/>
      <c r="AI544" s="143"/>
      <c r="AJ544" s="143"/>
    </row>
    <row r="545" spans="1:36" s="144" customFormat="1" ht="21.75" customHeight="1">
      <c r="A545" s="151"/>
      <c r="B545" s="219"/>
      <c r="C545" s="219"/>
      <c r="D545" s="219"/>
      <c r="E545" s="225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  <c r="AF545" s="143"/>
      <c r="AG545" s="143"/>
      <c r="AH545" s="143"/>
      <c r="AI545" s="143"/>
      <c r="AJ545" s="143"/>
    </row>
    <row r="546" spans="1:36" s="144" customFormat="1" ht="21.75" customHeight="1">
      <c r="A546" s="151"/>
      <c r="B546" s="219"/>
      <c r="C546" s="219"/>
      <c r="D546" s="219"/>
      <c r="E546" s="225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  <c r="AF546" s="143"/>
      <c r="AG546" s="143"/>
      <c r="AH546" s="143"/>
      <c r="AI546" s="143"/>
      <c r="AJ546" s="143"/>
    </row>
    <row r="547" spans="1:36" s="144" customFormat="1" ht="21.75" customHeight="1">
      <c r="A547" s="151"/>
      <c r="B547" s="219"/>
      <c r="C547" s="219"/>
      <c r="D547" s="219"/>
      <c r="E547" s="225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  <c r="AF547" s="143"/>
      <c r="AG547" s="143"/>
      <c r="AH547" s="143"/>
      <c r="AI547" s="143"/>
      <c r="AJ547" s="143"/>
    </row>
    <row r="548" spans="1:36" s="144" customFormat="1" ht="21.75" customHeight="1">
      <c r="A548" s="151"/>
      <c r="B548" s="219"/>
      <c r="C548" s="219"/>
      <c r="D548" s="219"/>
      <c r="E548" s="225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  <c r="AF548" s="143"/>
      <c r="AG548" s="143"/>
      <c r="AH548" s="143"/>
      <c r="AI548" s="143"/>
      <c r="AJ548" s="143"/>
    </row>
    <row r="549" spans="1:36" s="144" customFormat="1" ht="21.75" customHeight="1">
      <c r="A549" s="151"/>
      <c r="B549" s="219"/>
      <c r="C549" s="219"/>
      <c r="D549" s="219"/>
      <c r="E549" s="225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  <c r="AF549" s="143"/>
      <c r="AG549" s="143"/>
      <c r="AH549" s="143"/>
      <c r="AI549" s="143"/>
      <c r="AJ549" s="143"/>
    </row>
    <row r="550" spans="1:36" s="144" customFormat="1" ht="21.75" customHeight="1">
      <c r="A550" s="151"/>
      <c r="B550" s="219"/>
      <c r="C550" s="219"/>
      <c r="D550" s="219"/>
      <c r="E550" s="225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  <c r="AF550" s="143"/>
      <c r="AG550" s="143"/>
      <c r="AH550" s="143"/>
      <c r="AI550" s="143"/>
      <c r="AJ550" s="143"/>
    </row>
    <row r="551" spans="1:36" s="144" customFormat="1" ht="21.75" customHeight="1">
      <c r="A551" s="151"/>
      <c r="B551" s="219"/>
      <c r="C551" s="219"/>
      <c r="D551" s="219"/>
      <c r="E551" s="225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  <c r="AF551" s="143"/>
      <c r="AG551" s="143"/>
      <c r="AH551" s="143"/>
      <c r="AI551" s="143"/>
      <c r="AJ551" s="143"/>
    </row>
    <row r="552" spans="1:36" s="144" customFormat="1" ht="21.75" customHeight="1">
      <c r="A552" s="151"/>
      <c r="B552" s="219"/>
      <c r="C552" s="219"/>
      <c r="D552" s="219"/>
      <c r="E552" s="225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  <c r="AF552" s="143"/>
      <c r="AG552" s="143"/>
      <c r="AH552" s="143"/>
      <c r="AI552" s="143"/>
      <c r="AJ552" s="143"/>
    </row>
    <row r="553" spans="1:36" s="144" customFormat="1" ht="21.75" customHeight="1">
      <c r="A553" s="151"/>
      <c r="B553" s="219"/>
      <c r="C553" s="219"/>
      <c r="D553" s="219"/>
      <c r="E553" s="225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  <c r="AF553" s="143"/>
      <c r="AG553" s="143"/>
      <c r="AH553" s="143"/>
      <c r="AI553" s="143"/>
      <c r="AJ553" s="143"/>
    </row>
    <row r="554" spans="1:36" s="144" customFormat="1" ht="21.75" customHeight="1">
      <c r="A554" s="151"/>
      <c r="B554" s="219"/>
      <c r="C554" s="219"/>
      <c r="D554" s="219"/>
      <c r="E554" s="225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  <c r="AF554" s="143"/>
      <c r="AG554" s="143"/>
      <c r="AH554" s="143"/>
      <c r="AI554" s="143"/>
      <c r="AJ554" s="143"/>
    </row>
    <row r="555" spans="1:36" s="144" customFormat="1" ht="21.75" customHeight="1">
      <c r="A555" s="151"/>
      <c r="B555" s="219"/>
      <c r="C555" s="219"/>
      <c r="D555" s="219"/>
      <c r="E555" s="225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  <c r="AF555" s="143"/>
      <c r="AG555" s="143"/>
      <c r="AH555" s="143"/>
      <c r="AI555" s="143"/>
      <c r="AJ555" s="143"/>
    </row>
    <row r="556" spans="1:36" s="144" customFormat="1" ht="21.75" customHeight="1">
      <c r="A556" s="151"/>
      <c r="B556" s="219"/>
      <c r="C556" s="219"/>
      <c r="D556" s="219"/>
      <c r="E556" s="225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  <c r="AF556" s="143"/>
      <c r="AG556" s="143"/>
      <c r="AH556" s="143"/>
      <c r="AI556" s="143"/>
      <c r="AJ556" s="143"/>
    </row>
    <row r="557" spans="1:36" s="144" customFormat="1" ht="21.75" customHeight="1">
      <c r="A557" s="151"/>
      <c r="B557" s="219"/>
      <c r="C557" s="219"/>
      <c r="D557" s="219"/>
      <c r="E557" s="225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  <c r="AF557" s="143"/>
      <c r="AG557" s="143"/>
      <c r="AH557" s="143"/>
      <c r="AI557" s="143"/>
      <c r="AJ557" s="143"/>
    </row>
    <row r="558" spans="1:36" s="144" customFormat="1" ht="21.75" customHeight="1">
      <c r="A558" s="151"/>
      <c r="B558" s="219"/>
      <c r="C558" s="219"/>
      <c r="D558" s="219"/>
      <c r="E558" s="225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  <c r="AF558" s="143"/>
      <c r="AG558" s="143"/>
      <c r="AH558" s="143"/>
      <c r="AI558" s="143"/>
      <c r="AJ558" s="143"/>
    </row>
    <row r="559" spans="1:36" s="144" customFormat="1" ht="21.75" customHeight="1">
      <c r="A559" s="151"/>
      <c r="B559" s="219"/>
      <c r="C559" s="219"/>
      <c r="D559" s="219"/>
      <c r="E559" s="225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  <c r="AF559" s="143"/>
      <c r="AG559" s="143"/>
      <c r="AH559" s="143"/>
      <c r="AI559" s="143"/>
      <c r="AJ559" s="143"/>
    </row>
    <row r="560" spans="1:36" s="144" customFormat="1" ht="21.75" customHeight="1">
      <c r="A560" s="151"/>
      <c r="B560" s="219"/>
      <c r="C560" s="219"/>
      <c r="D560" s="219"/>
      <c r="E560" s="225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  <c r="AF560" s="143"/>
      <c r="AG560" s="143"/>
      <c r="AH560" s="143"/>
      <c r="AI560" s="143"/>
      <c r="AJ560" s="143"/>
    </row>
    <row r="561" spans="1:36" s="144" customFormat="1" ht="21.75" customHeight="1">
      <c r="A561" s="151"/>
      <c r="B561" s="219"/>
      <c r="C561" s="219"/>
      <c r="D561" s="219"/>
      <c r="E561" s="225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  <c r="AF561" s="143"/>
      <c r="AG561" s="143"/>
      <c r="AH561" s="143"/>
      <c r="AI561" s="143"/>
      <c r="AJ561" s="143"/>
    </row>
    <row r="562" spans="1:36" s="144" customFormat="1" ht="21.75" customHeight="1">
      <c r="A562" s="151"/>
      <c r="B562" s="219"/>
      <c r="C562" s="219"/>
      <c r="D562" s="219"/>
      <c r="E562" s="225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  <c r="AF562" s="143"/>
      <c r="AG562" s="143"/>
      <c r="AH562" s="143"/>
      <c r="AI562" s="143"/>
      <c r="AJ562" s="143"/>
    </row>
    <row r="563" spans="1:36" s="144" customFormat="1" ht="21.75" customHeight="1">
      <c r="A563" s="151"/>
      <c r="B563" s="219"/>
      <c r="C563" s="219"/>
      <c r="D563" s="219"/>
      <c r="E563" s="225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  <c r="AF563" s="143"/>
      <c r="AG563" s="143"/>
      <c r="AH563" s="143"/>
      <c r="AI563" s="143"/>
      <c r="AJ563" s="143"/>
    </row>
    <row r="564" spans="1:36" s="144" customFormat="1" ht="21.75" customHeight="1">
      <c r="A564" s="151"/>
      <c r="B564" s="219"/>
      <c r="C564" s="219"/>
      <c r="D564" s="219"/>
      <c r="E564" s="225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  <c r="AF564" s="143"/>
      <c r="AG564" s="143"/>
      <c r="AH564" s="143"/>
      <c r="AI564" s="143"/>
      <c r="AJ564" s="143"/>
    </row>
    <row r="565" spans="1:36" s="144" customFormat="1" ht="21.75" customHeight="1">
      <c r="A565" s="151"/>
      <c r="B565" s="219"/>
      <c r="C565" s="219"/>
      <c r="D565" s="219"/>
      <c r="E565" s="225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  <c r="AF565" s="143"/>
      <c r="AG565" s="143"/>
      <c r="AH565" s="143"/>
      <c r="AI565" s="143"/>
      <c r="AJ565" s="143"/>
    </row>
    <row r="566" spans="1:36" s="144" customFormat="1" ht="21.75" customHeight="1">
      <c r="A566" s="151"/>
      <c r="B566" s="219"/>
      <c r="C566" s="219"/>
      <c r="D566" s="219"/>
      <c r="E566" s="225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  <c r="AF566" s="143"/>
      <c r="AG566" s="143"/>
      <c r="AH566" s="143"/>
      <c r="AI566" s="143"/>
      <c r="AJ566" s="143"/>
    </row>
    <row r="567" spans="1:36" s="144" customFormat="1" ht="21.75" customHeight="1">
      <c r="A567" s="151"/>
      <c r="B567" s="219"/>
      <c r="C567" s="219"/>
      <c r="D567" s="219"/>
      <c r="E567" s="225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  <c r="AF567" s="143"/>
      <c r="AG567" s="143"/>
      <c r="AH567" s="143"/>
      <c r="AI567" s="143"/>
      <c r="AJ567" s="143"/>
    </row>
    <row r="568" spans="1:36" s="144" customFormat="1" ht="21.75" customHeight="1">
      <c r="A568" s="151"/>
      <c r="B568" s="219"/>
      <c r="C568" s="219"/>
      <c r="D568" s="219"/>
      <c r="E568" s="225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  <c r="AF568" s="143"/>
      <c r="AG568" s="143"/>
      <c r="AH568" s="143"/>
      <c r="AI568" s="143"/>
      <c r="AJ568" s="143"/>
    </row>
    <row r="569" spans="1:36" s="144" customFormat="1" ht="21.75" customHeight="1">
      <c r="A569" s="151"/>
      <c r="B569" s="219"/>
      <c r="C569" s="219"/>
      <c r="D569" s="219"/>
      <c r="E569" s="225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  <c r="AF569" s="143"/>
      <c r="AG569" s="143"/>
      <c r="AH569" s="143"/>
      <c r="AI569" s="143"/>
      <c r="AJ569" s="143"/>
    </row>
    <row r="570" spans="1:36" s="144" customFormat="1" ht="21.75" customHeight="1">
      <c r="A570" s="151"/>
      <c r="B570" s="219"/>
      <c r="C570" s="219"/>
      <c r="D570" s="219"/>
      <c r="E570" s="225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  <c r="AF570" s="143"/>
      <c r="AG570" s="143"/>
      <c r="AH570" s="143"/>
      <c r="AI570" s="143"/>
      <c r="AJ570" s="143"/>
    </row>
    <row r="571" spans="1:36" s="144" customFormat="1" ht="21.75" customHeight="1">
      <c r="A571" s="151"/>
      <c r="B571" s="219"/>
      <c r="C571" s="219"/>
      <c r="D571" s="219"/>
      <c r="E571" s="225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  <c r="AF571" s="143"/>
      <c r="AG571" s="143"/>
      <c r="AH571" s="143"/>
      <c r="AI571" s="143"/>
      <c r="AJ571" s="143"/>
    </row>
    <row r="572" spans="1:36" s="144" customFormat="1" ht="21.75" customHeight="1">
      <c r="A572" s="151"/>
      <c r="B572" s="219"/>
      <c r="C572" s="219"/>
      <c r="D572" s="219"/>
      <c r="E572" s="225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  <c r="AF572" s="143"/>
      <c r="AG572" s="143"/>
      <c r="AH572" s="143"/>
      <c r="AI572" s="143"/>
      <c r="AJ572" s="143"/>
    </row>
    <row r="573" spans="1:36" s="144" customFormat="1" ht="21.75" customHeight="1">
      <c r="A573" s="151"/>
      <c r="B573" s="219"/>
      <c r="C573" s="219"/>
      <c r="D573" s="219"/>
      <c r="E573" s="225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  <c r="AF573" s="143"/>
      <c r="AG573" s="143"/>
      <c r="AH573" s="143"/>
      <c r="AI573" s="143"/>
      <c r="AJ573" s="143"/>
    </row>
    <row r="574" spans="1:36" s="144" customFormat="1" ht="21.75" customHeight="1">
      <c r="A574" s="151"/>
      <c r="B574" s="219"/>
      <c r="C574" s="219"/>
      <c r="D574" s="219"/>
      <c r="E574" s="225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  <c r="AF574" s="143"/>
      <c r="AG574" s="143"/>
      <c r="AH574" s="143"/>
      <c r="AI574" s="143"/>
      <c r="AJ574" s="143"/>
    </row>
    <row r="575" spans="1:36" s="144" customFormat="1" ht="21.75" customHeight="1">
      <c r="A575" s="151"/>
      <c r="B575" s="219"/>
      <c r="C575" s="219"/>
      <c r="D575" s="219"/>
      <c r="E575" s="225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  <c r="AF575" s="143"/>
      <c r="AG575" s="143"/>
      <c r="AH575" s="143"/>
      <c r="AI575" s="143"/>
      <c r="AJ575" s="143"/>
    </row>
    <row r="576" spans="1:36" s="144" customFormat="1" ht="21.75" customHeight="1">
      <c r="A576" s="151"/>
      <c r="B576" s="219"/>
      <c r="C576" s="219"/>
      <c r="D576" s="219"/>
      <c r="E576" s="225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  <c r="AF576" s="143"/>
      <c r="AG576" s="143"/>
      <c r="AH576" s="143"/>
      <c r="AI576" s="143"/>
      <c r="AJ576" s="143"/>
    </row>
    <row r="577" spans="1:36" s="144" customFormat="1" ht="21.75" customHeight="1">
      <c r="A577" s="151"/>
      <c r="B577" s="219"/>
      <c r="C577" s="219"/>
      <c r="D577" s="219"/>
      <c r="E577" s="225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  <c r="AF577" s="143"/>
      <c r="AG577" s="143"/>
      <c r="AH577" s="143"/>
      <c r="AI577" s="143"/>
      <c r="AJ577" s="143"/>
    </row>
    <row r="578" spans="1:36" s="144" customFormat="1" ht="21.75" customHeight="1">
      <c r="A578" s="151"/>
      <c r="B578" s="219"/>
      <c r="C578" s="219"/>
      <c r="D578" s="219"/>
      <c r="E578" s="225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  <c r="AF578" s="143"/>
      <c r="AG578" s="143"/>
      <c r="AH578" s="143"/>
      <c r="AI578" s="143"/>
      <c r="AJ578" s="143"/>
    </row>
    <row r="579" spans="1:36" s="144" customFormat="1" ht="21.75" customHeight="1">
      <c r="A579" s="151"/>
      <c r="B579" s="219"/>
      <c r="C579" s="219"/>
      <c r="D579" s="219"/>
      <c r="E579" s="225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  <c r="AF579" s="143"/>
      <c r="AG579" s="143"/>
      <c r="AH579" s="143"/>
      <c r="AI579" s="143"/>
      <c r="AJ579" s="143"/>
    </row>
    <row r="580" spans="1:36" s="144" customFormat="1" ht="21.75" customHeight="1">
      <c r="A580" s="151"/>
      <c r="B580" s="219"/>
      <c r="C580" s="219"/>
      <c r="D580" s="219"/>
      <c r="E580" s="225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  <c r="AF580" s="143"/>
      <c r="AG580" s="143"/>
      <c r="AH580" s="143"/>
      <c r="AI580" s="143"/>
      <c r="AJ580" s="143"/>
    </row>
    <row r="581" spans="1:36" s="144" customFormat="1" ht="21.75" customHeight="1">
      <c r="A581" s="151"/>
      <c r="B581" s="219"/>
      <c r="C581" s="219"/>
      <c r="D581" s="219"/>
      <c r="E581" s="225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  <c r="AF581" s="143"/>
      <c r="AG581" s="143"/>
      <c r="AH581" s="143"/>
      <c r="AI581" s="143"/>
      <c r="AJ581" s="143"/>
    </row>
    <row r="582" spans="1:36" s="144" customFormat="1" ht="21.75" customHeight="1">
      <c r="A582" s="151"/>
      <c r="B582" s="219"/>
      <c r="C582" s="219"/>
      <c r="D582" s="219"/>
      <c r="E582" s="225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  <c r="AF582" s="143"/>
      <c r="AG582" s="143"/>
      <c r="AH582" s="143"/>
      <c r="AI582" s="143"/>
      <c r="AJ582" s="143"/>
    </row>
    <row r="583" spans="1:36" s="144" customFormat="1" ht="21.75" customHeight="1">
      <c r="A583" s="151"/>
      <c r="B583" s="219"/>
      <c r="C583" s="219"/>
      <c r="D583" s="219"/>
      <c r="E583" s="225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  <c r="AF583" s="143"/>
      <c r="AG583" s="143"/>
      <c r="AH583" s="143"/>
      <c r="AI583" s="143"/>
      <c r="AJ583" s="143"/>
    </row>
    <row r="584" spans="1:36" s="144" customFormat="1" ht="21.75" customHeight="1">
      <c r="A584" s="151"/>
      <c r="B584" s="219"/>
      <c r="C584" s="219"/>
      <c r="D584" s="219"/>
      <c r="E584" s="225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  <c r="AF584" s="143"/>
      <c r="AG584" s="143"/>
      <c r="AH584" s="143"/>
      <c r="AI584" s="143"/>
      <c r="AJ584" s="143"/>
    </row>
    <row r="585" spans="1:36" s="144" customFormat="1" ht="21.75" customHeight="1">
      <c r="A585" s="151"/>
      <c r="B585" s="219"/>
      <c r="C585" s="219"/>
      <c r="D585" s="219"/>
      <c r="E585" s="225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  <c r="AF585" s="143"/>
      <c r="AG585" s="143"/>
      <c r="AH585" s="143"/>
      <c r="AI585" s="143"/>
      <c r="AJ585" s="143"/>
    </row>
    <row r="586" spans="1:36" s="144" customFormat="1" ht="21.75" customHeight="1">
      <c r="A586" s="151"/>
      <c r="B586" s="219"/>
      <c r="C586" s="219"/>
      <c r="D586" s="219"/>
      <c r="E586" s="225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  <c r="AF586" s="143"/>
      <c r="AG586" s="143"/>
      <c r="AH586" s="143"/>
      <c r="AI586" s="143"/>
      <c r="AJ586" s="143"/>
    </row>
    <row r="587" spans="1:36" s="144" customFormat="1" ht="21.75" customHeight="1">
      <c r="A587" s="151"/>
      <c r="B587" s="219"/>
      <c r="C587" s="219"/>
      <c r="D587" s="219"/>
      <c r="E587" s="225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  <c r="AF587" s="143"/>
      <c r="AG587" s="143"/>
      <c r="AH587" s="143"/>
      <c r="AI587" s="143"/>
      <c r="AJ587" s="143"/>
    </row>
    <row r="588" spans="1:36" s="144" customFormat="1" ht="21.75" customHeight="1">
      <c r="A588" s="151"/>
      <c r="B588" s="219"/>
      <c r="C588" s="219"/>
      <c r="D588" s="219"/>
      <c r="E588" s="225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  <c r="AF588" s="143"/>
      <c r="AG588" s="143"/>
      <c r="AH588" s="143"/>
      <c r="AI588" s="143"/>
      <c r="AJ588" s="143"/>
    </row>
    <row r="589" spans="1:36" s="144" customFormat="1" ht="21.75" customHeight="1">
      <c r="A589" s="151"/>
      <c r="B589" s="219"/>
      <c r="C589" s="219"/>
      <c r="D589" s="219"/>
      <c r="E589" s="225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  <c r="AF589" s="143"/>
      <c r="AG589" s="143"/>
      <c r="AH589" s="143"/>
      <c r="AI589" s="143"/>
      <c r="AJ589" s="143"/>
    </row>
    <row r="590" spans="1:36" s="144" customFormat="1" ht="21.75" customHeight="1">
      <c r="A590" s="151"/>
      <c r="B590" s="219"/>
      <c r="C590" s="219"/>
      <c r="D590" s="219"/>
      <c r="E590" s="225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  <c r="AF590" s="143"/>
      <c r="AG590" s="143"/>
      <c r="AH590" s="143"/>
      <c r="AI590" s="143"/>
      <c r="AJ590" s="143"/>
    </row>
    <row r="591" spans="1:36" s="144" customFormat="1" ht="21.75" customHeight="1">
      <c r="A591" s="151"/>
      <c r="B591" s="219"/>
      <c r="C591" s="219"/>
      <c r="D591" s="219"/>
      <c r="E591" s="225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  <c r="AF591" s="143"/>
      <c r="AG591" s="143"/>
      <c r="AH591" s="143"/>
      <c r="AI591" s="143"/>
      <c r="AJ591" s="143"/>
    </row>
    <row r="592" spans="1:36" s="144" customFormat="1" ht="21.75" customHeight="1">
      <c r="A592" s="151"/>
      <c r="B592" s="219"/>
      <c r="C592" s="219"/>
      <c r="D592" s="219"/>
      <c r="E592" s="225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  <c r="AF592" s="143"/>
      <c r="AG592" s="143"/>
      <c r="AH592" s="143"/>
      <c r="AI592" s="143"/>
      <c r="AJ592" s="143"/>
    </row>
    <row r="593" spans="1:36" s="144" customFormat="1" ht="21.75" customHeight="1">
      <c r="A593" s="151"/>
      <c r="B593" s="219"/>
      <c r="C593" s="219"/>
      <c r="D593" s="219"/>
      <c r="E593" s="225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  <c r="AF593" s="143"/>
      <c r="AG593" s="143"/>
      <c r="AH593" s="143"/>
      <c r="AI593" s="143"/>
      <c r="AJ593" s="143"/>
    </row>
    <row r="594" spans="1:36" s="144" customFormat="1" ht="21.75" customHeight="1">
      <c r="A594" s="151"/>
      <c r="B594" s="219"/>
      <c r="C594" s="219"/>
      <c r="D594" s="219"/>
      <c r="E594" s="225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  <c r="AF594" s="143"/>
      <c r="AG594" s="143"/>
      <c r="AH594" s="143"/>
      <c r="AI594" s="143"/>
      <c r="AJ594" s="143"/>
    </row>
    <row r="595" spans="1:36" s="144" customFormat="1" ht="21.75" customHeight="1">
      <c r="A595" s="151"/>
      <c r="B595" s="219"/>
      <c r="C595" s="219"/>
      <c r="D595" s="219"/>
      <c r="E595" s="225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  <c r="AF595" s="143"/>
      <c r="AG595" s="143"/>
      <c r="AH595" s="143"/>
      <c r="AI595" s="143"/>
      <c r="AJ595" s="143"/>
    </row>
    <row r="596" spans="1:36" s="144" customFormat="1" ht="21.75" customHeight="1">
      <c r="A596" s="151"/>
      <c r="B596" s="219"/>
      <c r="C596" s="219"/>
      <c r="D596" s="219"/>
      <c r="E596" s="225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  <c r="AF596" s="143"/>
      <c r="AG596" s="143"/>
      <c r="AH596" s="143"/>
      <c r="AI596" s="143"/>
      <c r="AJ596" s="143"/>
    </row>
    <row r="597" spans="1:36" s="144" customFormat="1" ht="21.75" customHeight="1">
      <c r="A597" s="151"/>
      <c r="B597" s="219"/>
      <c r="C597" s="219"/>
      <c r="D597" s="219"/>
      <c r="E597" s="225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  <c r="AF597" s="143"/>
      <c r="AG597" s="143"/>
      <c r="AH597" s="143"/>
      <c r="AI597" s="143"/>
      <c r="AJ597" s="143"/>
    </row>
    <row r="598" spans="1:36" s="144" customFormat="1" ht="21.75" customHeight="1">
      <c r="A598" s="151"/>
      <c r="B598" s="219"/>
      <c r="C598" s="219"/>
      <c r="D598" s="219"/>
      <c r="E598" s="225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  <c r="AF598" s="143"/>
      <c r="AG598" s="143"/>
      <c r="AH598" s="143"/>
      <c r="AI598" s="143"/>
      <c r="AJ598" s="143"/>
    </row>
    <row r="599" spans="1:36" s="144" customFormat="1" ht="21.75" customHeight="1">
      <c r="A599" s="151"/>
      <c r="B599" s="219"/>
      <c r="C599" s="219"/>
      <c r="D599" s="219"/>
      <c r="E599" s="225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  <c r="AF599" s="143"/>
      <c r="AG599" s="143"/>
      <c r="AH599" s="143"/>
      <c r="AI599" s="143"/>
      <c r="AJ599" s="143"/>
    </row>
    <row r="600" spans="1:36" s="144" customFormat="1" ht="21.75" customHeight="1">
      <c r="A600" s="151"/>
      <c r="B600" s="219"/>
      <c r="C600" s="219"/>
      <c r="D600" s="219"/>
      <c r="E600" s="225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  <c r="AF600" s="143"/>
      <c r="AG600" s="143"/>
      <c r="AH600" s="143"/>
      <c r="AI600" s="143"/>
      <c r="AJ600" s="143"/>
    </row>
    <row r="601" spans="1:36" s="144" customFormat="1" ht="21.75" customHeight="1">
      <c r="A601" s="151"/>
      <c r="B601" s="219"/>
      <c r="C601" s="219"/>
      <c r="D601" s="219"/>
      <c r="E601" s="225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  <c r="AF601" s="143"/>
      <c r="AG601" s="143"/>
      <c r="AH601" s="143"/>
      <c r="AI601" s="143"/>
      <c r="AJ601" s="143"/>
    </row>
    <row r="602" spans="1:36" s="144" customFormat="1" ht="21.75" customHeight="1">
      <c r="A602" s="151"/>
      <c r="B602" s="219"/>
      <c r="C602" s="219"/>
      <c r="D602" s="219"/>
      <c r="E602" s="225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  <c r="AF602" s="143"/>
      <c r="AG602" s="143"/>
      <c r="AH602" s="143"/>
      <c r="AI602" s="143"/>
      <c r="AJ602" s="143"/>
    </row>
    <row r="603" spans="1:36" s="144" customFormat="1" ht="21.75" customHeight="1">
      <c r="A603" s="151"/>
      <c r="B603" s="219"/>
      <c r="C603" s="219"/>
      <c r="D603" s="219"/>
      <c r="E603" s="225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  <c r="AF603" s="143"/>
      <c r="AG603" s="143"/>
      <c r="AH603" s="143"/>
      <c r="AI603" s="143"/>
      <c r="AJ603" s="143"/>
    </row>
    <row r="604" spans="1:36" s="144" customFormat="1" ht="21.75" customHeight="1">
      <c r="A604" s="151"/>
      <c r="B604" s="219"/>
      <c r="C604" s="219"/>
      <c r="D604" s="219"/>
      <c r="E604" s="225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  <c r="AF604" s="143"/>
      <c r="AG604" s="143"/>
      <c r="AH604" s="143"/>
      <c r="AI604" s="143"/>
      <c r="AJ604" s="143"/>
    </row>
    <row r="605" spans="1:36" s="144" customFormat="1" ht="21.75" customHeight="1">
      <c r="A605" s="151"/>
      <c r="B605" s="219"/>
      <c r="C605" s="219"/>
      <c r="D605" s="219"/>
      <c r="E605" s="225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  <c r="AF605" s="143"/>
      <c r="AG605" s="143"/>
      <c r="AH605" s="143"/>
      <c r="AI605" s="143"/>
      <c r="AJ605" s="143"/>
    </row>
    <row r="606" spans="1:36" s="144" customFormat="1" ht="21.75" customHeight="1">
      <c r="A606" s="151"/>
      <c r="B606" s="219"/>
      <c r="C606" s="219"/>
      <c r="D606" s="219"/>
      <c r="E606" s="225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  <c r="AF606" s="143"/>
      <c r="AG606" s="143"/>
      <c r="AH606" s="143"/>
      <c r="AI606" s="143"/>
      <c r="AJ606" s="143"/>
    </row>
    <row r="607" spans="1:36" s="144" customFormat="1" ht="21.75" customHeight="1">
      <c r="A607" s="151"/>
      <c r="B607" s="219"/>
      <c r="C607" s="219"/>
      <c r="D607" s="219"/>
      <c r="E607" s="225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  <c r="AF607" s="143"/>
      <c r="AG607" s="143"/>
      <c r="AH607" s="143"/>
      <c r="AI607" s="143"/>
      <c r="AJ607" s="143"/>
    </row>
    <row r="608" spans="1:36" s="144" customFormat="1" ht="21.75" customHeight="1">
      <c r="A608" s="151"/>
      <c r="B608" s="219"/>
      <c r="C608" s="219"/>
      <c r="D608" s="219"/>
      <c r="E608" s="225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  <c r="AF608" s="143"/>
      <c r="AG608" s="143"/>
      <c r="AH608" s="143"/>
      <c r="AI608" s="143"/>
      <c r="AJ608" s="143"/>
    </row>
    <row r="609" spans="1:36" s="144" customFormat="1" ht="21.75" customHeight="1">
      <c r="A609" s="151"/>
      <c r="B609" s="219"/>
      <c r="C609" s="219"/>
      <c r="D609" s="219"/>
      <c r="E609" s="225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  <c r="AF609" s="143"/>
      <c r="AG609" s="143"/>
      <c r="AH609" s="143"/>
      <c r="AI609" s="143"/>
      <c r="AJ609" s="143"/>
    </row>
    <row r="610" spans="1:36" s="144" customFormat="1" ht="21.75" customHeight="1">
      <c r="A610" s="151"/>
      <c r="B610" s="219"/>
      <c r="C610" s="219"/>
      <c r="D610" s="219"/>
      <c r="E610" s="225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  <c r="AF610" s="143"/>
      <c r="AG610" s="143"/>
      <c r="AH610" s="143"/>
      <c r="AI610" s="143"/>
      <c r="AJ610" s="143"/>
    </row>
    <row r="611" spans="1:36" s="144" customFormat="1" ht="21.75" customHeight="1">
      <c r="A611" s="151"/>
      <c r="B611" s="219"/>
      <c r="C611" s="219"/>
      <c r="D611" s="219"/>
      <c r="E611" s="225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  <c r="AF611" s="143"/>
      <c r="AG611" s="143"/>
      <c r="AH611" s="143"/>
      <c r="AI611" s="143"/>
      <c r="AJ611" s="143"/>
    </row>
    <row r="612" spans="1:36" s="144" customFormat="1" ht="21.75" customHeight="1">
      <c r="A612" s="151"/>
      <c r="B612" s="219"/>
      <c r="C612" s="219"/>
      <c r="D612" s="219"/>
      <c r="E612" s="225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  <c r="AF612" s="143"/>
      <c r="AG612" s="143"/>
      <c r="AH612" s="143"/>
      <c r="AI612" s="143"/>
      <c r="AJ612" s="143"/>
    </row>
    <row r="613" spans="1:36" s="144" customFormat="1" ht="21.75" customHeight="1">
      <c r="A613" s="151"/>
      <c r="B613" s="219"/>
      <c r="C613" s="219"/>
      <c r="D613" s="219"/>
      <c r="E613" s="225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  <c r="AF613" s="143"/>
      <c r="AG613" s="143"/>
      <c r="AH613" s="143"/>
      <c r="AI613" s="143"/>
      <c r="AJ613" s="143"/>
    </row>
    <row r="614" spans="1:36" s="144" customFormat="1" ht="21.75" customHeight="1">
      <c r="A614" s="151"/>
      <c r="B614" s="219"/>
      <c r="C614" s="219"/>
      <c r="D614" s="219"/>
      <c r="E614" s="225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  <c r="AF614" s="143"/>
      <c r="AG614" s="143"/>
      <c r="AH614" s="143"/>
      <c r="AI614" s="143"/>
      <c r="AJ614" s="143"/>
    </row>
    <row r="615" spans="1:36" s="144" customFormat="1" ht="21.75" customHeight="1">
      <c r="A615" s="151"/>
      <c r="B615" s="219"/>
      <c r="C615" s="219"/>
      <c r="D615" s="219"/>
      <c r="E615" s="225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  <c r="AF615" s="143"/>
      <c r="AG615" s="143"/>
      <c r="AH615" s="143"/>
      <c r="AI615" s="143"/>
      <c r="AJ615" s="143"/>
    </row>
    <row r="616" spans="1:36" s="144" customFormat="1" ht="21.75" customHeight="1">
      <c r="A616" s="151"/>
      <c r="B616" s="219"/>
      <c r="C616" s="219"/>
      <c r="D616" s="219"/>
      <c r="E616" s="225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  <c r="AF616" s="143"/>
      <c r="AG616" s="143"/>
      <c r="AH616" s="143"/>
      <c r="AI616" s="143"/>
      <c r="AJ616" s="143"/>
    </row>
    <row r="617" spans="1:36" s="144" customFormat="1" ht="21.75" customHeight="1">
      <c r="A617" s="151"/>
      <c r="B617" s="219"/>
      <c r="C617" s="219"/>
      <c r="D617" s="219"/>
      <c r="E617" s="225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  <c r="AF617" s="143"/>
      <c r="AG617" s="143"/>
      <c r="AH617" s="143"/>
      <c r="AI617" s="143"/>
      <c r="AJ617" s="143"/>
    </row>
    <row r="618" spans="1:36" s="144" customFormat="1" ht="21.75" customHeight="1">
      <c r="A618" s="151"/>
      <c r="B618" s="219"/>
      <c r="C618" s="219"/>
      <c r="D618" s="219"/>
      <c r="E618" s="225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  <c r="AF618" s="143"/>
      <c r="AG618" s="143"/>
      <c r="AH618" s="143"/>
      <c r="AI618" s="143"/>
      <c r="AJ618" s="143"/>
    </row>
    <row r="619" spans="1:36" s="144" customFormat="1" ht="21.75" customHeight="1">
      <c r="A619" s="151"/>
      <c r="B619" s="219"/>
      <c r="C619" s="219"/>
      <c r="D619" s="219"/>
      <c r="E619" s="225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  <c r="AF619" s="143"/>
      <c r="AG619" s="143"/>
      <c r="AH619" s="143"/>
      <c r="AI619" s="143"/>
      <c r="AJ619" s="143"/>
    </row>
    <row r="620" spans="1:36" s="144" customFormat="1" ht="21.75" customHeight="1">
      <c r="A620" s="151"/>
      <c r="B620" s="219"/>
      <c r="C620" s="219"/>
      <c r="D620" s="219"/>
      <c r="E620" s="225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  <c r="AF620" s="143"/>
      <c r="AG620" s="143"/>
      <c r="AH620" s="143"/>
      <c r="AI620" s="143"/>
      <c r="AJ620" s="143"/>
    </row>
    <row r="621" spans="1:36" s="144" customFormat="1" ht="21.75" customHeight="1">
      <c r="A621" s="151"/>
      <c r="B621" s="219"/>
      <c r="C621" s="219"/>
      <c r="D621" s="219"/>
      <c r="E621" s="225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  <c r="AF621" s="143"/>
      <c r="AG621" s="143"/>
      <c r="AH621" s="143"/>
      <c r="AI621" s="143"/>
      <c r="AJ621" s="143"/>
    </row>
    <row r="622" spans="1:36" s="144" customFormat="1" ht="21.75" customHeight="1">
      <c r="A622" s="151"/>
      <c r="B622" s="219"/>
      <c r="C622" s="219"/>
      <c r="D622" s="219"/>
      <c r="E622" s="225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  <c r="AF622" s="143"/>
      <c r="AG622" s="143"/>
      <c r="AH622" s="143"/>
      <c r="AI622" s="143"/>
      <c r="AJ622" s="143"/>
    </row>
    <row r="623" spans="1:36" s="144" customFormat="1" ht="21.75" customHeight="1">
      <c r="A623" s="151"/>
      <c r="B623" s="219"/>
      <c r="C623" s="219"/>
      <c r="D623" s="219"/>
      <c r="E623" s="225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  <c r="AF623" s="143"/>
      <c r="AG623" s="143"/>
      <c r="AH623" s="143"/>
      <c r="AI623" s="143"/>
      <c r="AJ623" s="143"/>
    </row>
    <row r="624" spans="1:36" s="144" customFormat="1" ht="21.75" customHeight="1">
      <c r="A624" s="151"/>
      <c r="B624" s="219"/>
      <c r="C624" s="219"/>
      <c r="D624" s="219"/>
      <c r="E624" s="225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  <c r="AF624" s="143"/>
      <c r="AG624" s="143"/>
      <c r="AH624" s="143"/>
      <c r="AI624" s="143"/>
      <c r="AJ624" s="143"/>
    </row>
    <row r="625" spans="1:36" s="144" customFormat="1" ht="21.75" customHeight="1">
      <c r="A625" s="151"/>
      <c r="B625" s="219"/>
      <c r="C625" s="219"/>
      <c r="D625" s="219"/>
      <c r="E625" s="225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  <c r="AF625" s="143"/>
      <c r="AG625" s="143"/>
      <c r="AH625" s="143"/>
      <c r="AI625" s="143"/>
      <c r="AJ625" s="143"/>
    </row>
    <row r="626" spans="1:36" s="144" customFormat="1" ht="21.75" customHeight="1">
      <c r="A626" s="151"/>
      <c r="B626" s="219"/>
      <c r="C626" s="219"/>
      <c r="D626" s="219"/>
      <c r="E626" s="225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  <c r="AF626" s="143"/>
      <c r="AG626" s="143"/>
      <c r="AH626" s="143"/>
      <c r="AI626" s="143"/>
      <c r="AJ626" s="143"/>
    </row>
    <row r="627" spans="1:36" s="144" customFormat="1" ht="21.75" customHeight="1">
      <c r="A627" s="151"/>
      <c r="B627" s="219"/>
      <c r="C627" s="219"/>
      <c r="D627" s="219"/>
      <c r="E627" s="225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  <c r="AF627" s="143"/>
      <c r="AG627" s="143"/>
      <c r="AH627" s="143"/>
      <c r="AI627" s="143"/>
      <c r="AJ627" s="143"/>
    </row>
    <row r="628" spans="1:36" s="144" customFormat="1" ht="21.75" customHeight="1">
      <c r="A628" s="151"/>
      <c r="B628" s="219"/>
      <c r="C628" s="219"/>
      <c r="D628" s="219"/>
      <c r="E628" s="225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  <c r="AF628" s="143"/>
      <c r="AG628" s="143"/>
      <c r="AH628" s="143"/>
      <c r="AI628" s="143"/>
      <c r="AJ628" s="143"/>
    </row>
    <row r="629" spans="1:36" s="144" customFormat="1" ht="21.75" customHeight="1">
      <c r="A629" s="151"/>
      <c r="B629" s="219"/>
      <c r="C629" s="219"/>
      <c r="D629" s="219"/>
      <c r="E629" s="225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  <c r="AF629" s="143"/>
      <c r="AG629" s="143"/>
      <c r="AH629" s="143"/>
      <c r="AI629" s="143"/>
      <c r="AJ629" s="143"/>
    </row>
    <row r="630" spans="1:36" s="144" customFormat="1" ht="21.75" customHeight="1">
      <c r="A630" s="151"/>
      <c r="B630" s="219"/>
      <c r="C630" s="219"/>
      <c r="D630" s="219"/>
      <c r="E630" s="225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  <c r="AF630" s="143"/>
      <c r="AG630" s="143"/>
      <c r="AH630" s="143"/>
      <c r="AI630" s="143"/>
      <c r="AJ630" s="143"/>
    </row>
    <row r="631" spans="1:36" s="144" customFormat="1" ht="21.75" customHeight="1">
      <c r="A631" s="151"/>
      <c r="B631" s="219"/>
      <c r="C631" s="219"/>
      <c r="D631" s="219"/>
      <c r="E631" s="225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  <c r="AF631" s="143"/>
      <c r="AG631" s="143"/>
      <c r="AH631" s="143"/>
      <c r="AI631" s="143"/>
      <c r="AJ631" s="143"/>
    </row>
    <row r="632" spans="1:36" s="144" customFormat="1" ht="21.75" customHeight="1">
      <c r="A632" s="151"/>
      <c r="B632" s="219"/>
      <c r="C632" s="219"/>
      <c r="D632" s="219"/>
      <c r="E632" s="225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  <c r="AF632" s="143"/>
      <c r="AG632" s="143"/>
      <c r="AH632" s="143"/>
      <c r="AI632" s="143"/>
      <c r="AJ632" s="143"/>
    </row>
    <row r="633" spans="1:36" s="144" customFormat="1" ht="21.75" customHeight="1">
      <c r="A633" s="151"/>
      <c r="B633" s="219"/>
      <c r="C633" s="219"/>
      <c r="D633" s="219"/>
      <c r="E633" s="225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  <c r="AF633" s="143"/>
      <c r="AG633" s="143"/>
      <c r="AH633" s="143"/>
      <c r="AI633" s="143"/>
      <c r="AJ633" s="143"/>
    </row>
    <row r="634" spans="1:36" s="144" customFormat="1" ht="21.75" customHeight="1">
      <c r="A634" s="151"/>
      <c r="B634" s="219"/>
      <c r="C634" s="219"/>
      <c r="D634" s="219"/>
      <c r="E634" s="225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  <c r="AF634" s="143"/>
      <c r="AG634" s="143"/>
      <c r="AH634" s="143"/>
      <c r="AI634" s="143"/>
      <c r="AJ634" s="143"/>
    </row>
    <row r="635" spans="1:36" s="144" customFormat="1" ht="21.75" customHeight="1">
      <c r="A635" s="151"/>
      <c r="B635" s="219"/>
      <c r="C635" s="219"/>
      <c r="D635" s="219"/>
      <c r="E635" s="225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  <c r="AF635" s="143"/>
      <c r="AG635" s="143"/>
      <c r="AH635" s="143"/>
      <c r="AI635" s="143"/>
      <c r="AJ635" s="143"/>
    </row>
    <row r="636" spans="1:36" s="144" customFormat="1" ht="21.75" customHeight="1">
      <c r="A636" s="151"/>
      <c r="B636" s="219"/>
      <c r="C636" s="219"/>
      <c r="D636" s="219"/>
      <c r="E636" s="225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  <c r="AF636" s="143"/>
      <c r="AG636" s="143"/>
      <c r="AH636" s="143"/>
      <c r="AI636" s="143"/>
      <c r="AJ636" s="143"/>
    </row>
    <row r="637" spans="1:36" s="144" customFormat="1" ht="21.75" customHeight="1">
      <c r="A637" s="151"/>
      <c r="B637" s="219"/>
      <c r="C637" s="219"/>
      <c r="D637" s="219"/>
      <c r="E637" s="225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  <c r="AF637" s="143"/>
      <c r="AG637" s="143"/>
      <c r="AH637" s="143"/>
      <c r="AI637" s="143"/>
      <c r="AJ637" s="143"/>
    </row>
    <row r="638" spans="1:36" s="144" customFormat="1" ht="21.75" customHeight="1">
      <c r="A638" s="151"/>
      <c r="B638" s="219"/>
      <c r="C638" s="219"/>
      <c r="D638" s="219"/>
      <c r="E638" s="225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  <c r="AF638" s="143"/>
      <c r="AG638" s="143"/>
      <c r="AH638" s="143"/>
      <c r="AI638" s="143"/>
      <c r="AJ638" s="143"/>
    </row>
    <row r="639" spans="1:36" s="144" customFormat="1" ht="21.75" customHeight="1">
      <c r="A639" s="151"/>
      <c r="B639" s="219"/>
      <c r="C639" s="219"/>
      <c r="D639" s="219"/>
      <c r="E639" s="225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  <c r="AF639" s="143"/>
      <c r="AG639" s="143"/>
      <c r="AH639" s="143"/>
      <c r="AI639" s="143"/>
      <c r="AJ639" s="143"/>
    </row>
    <row r="640" spans="1:36" s="144" customFormat="1" ht="21.75" customHeight="1">
      <c r="A640" s="151"/>
      <c r="B640" s="219"/>
      <c r="C640" s="219"/>
      <c r="D640" s="219"/>
      <c r="E640" s="225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  <c r="AF640" s="143"/>
      <c r="AG640" s="143"/>
      <c r="AH640" s="143"/>
      <c r="AI640" s="143"/>
      <c r="AJ640" s="143"/>
    </row>
    <row r="641" spans="1:36" s="144" customFormat="1" ht="21.75" customHeight="1">
      <c r="A641" s="151"/>
      <c r="B641" s="219"/>
      <c r="C641" s="219"/>
      <c r="D641" s="219"/>
      <c r="E641" s="225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  <c r="AF641" s="143"/>
      <c r="AG641" s="143"/>
      <c r="AH641" s="143"/>
      <c r="AI641" s="143"/>
      <c r="AJ641" s="143"/>
    </row>
    <row r="642" spans="1:36" s="144" customFormat="1" ht="21.75" customHeight="1">
      <c r="A642" s="151"/>
      <c r="B642" s="219"/>
      <c r="C642" s="219"/>
      <c r="D642" s="219"/>
      <c r="E642" s="225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  <c r="AF642" s="143"/>
      <c r="AG642" s="143"/>
      <c r="AH642" s="143"/>
      <c r="AI642" s="143"/>
      <c r="AJ642" s="143"/>
    </row>
    <row r="643" spans="1:36" s="144" customFormat="1" ht="21.75" customHeight="1">
      <c r="A643" s="151"/>
      <c r="B643" s="219"/>
      <c r="C643" s="219"/>
      <c r="D643" s="219"/>
      <c r="E643" s="225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  <c r="AF643" s="143"/>
      <c r="AG643" s="143"/>
      <c r="AH643" s="143"/>
      <c r="AI643" s="143"/>
      <c r="AJ643" s="143"/>
    </row>
    <row r="644" spans="1:36" s="144" customFormat="1" ht="21.75" customHeight="1">
      <c r="A644" s="151"/>
      <c r="B644" s="219"/>
      <c r="C644" s="219"/>
      <c r="D644" s="219"/>
      <c r="E644" s="225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  <c r="AF644" s="143"/>
      <c r="AG644" s="143"/>
      <c r="AH644" s="143"/>
      <c r="AI644" s="143"/>
      <c r="AJ644" s="143"/>
    </row>
    <row r="645" spans="1:36" s="144" customFormat="1" ht="21.75" customHeight="1">
      <c r="A645" s="151"/>
      <c r="B645" s="219"/>
      <c r="C645" s="219"/>
      <c r="D645" s="219"/>
      <c r="E645" s="225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  <c r="AF645" s="143"/>
      <c r="AG645" s="143"/>
      <c r="AH645" s="143"/>
      <c r="AI645" s="143"/>
      <c r="AJ645" s="143"/>
    </row>
    <row r="646" spans="1:36" s="144" customFormat="1" ht="21.75" customHeight="1">
      <c r="A646" s="151"/>
      <c r="B646" s="219"/>
      <c r="C646" s="219"/>
      <c r="D646" s="219"/>
      <c r="E646" s="225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  <c r="AF646" s="143"/>
      <c r="AG646" s="143"/>
      <c r="AH646" s="143"/>
      <c r="AI646" s="143"/>
      <c r="AJ646" s="143"/>
    </row>
    <row r="647" spans="1:36" s="144" customFormat="1" ht="21.75" customHeight="1">
      <c r="A647" s="151"/>
      <c r="B647" s="219"/>
      <c r="C647" s="219"/>
      <c r="D647" s="219"/>
      <c r="E647" s="225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  <c r="AF647" s="143"/>
      <c r="AG647" s="143"/>
      <c r="AH647" s="143"/>
      <c r="AI647" s="143"/>
      <c r="AJ647" s="143"/>
    </row>
    <row r="648" spans="1:36" s="144" customFormat="1" ht="21.75" customHeight="1">
      <c r="A648" s="151"/>
      <c r="B648" s="219"/>
      <c r="C648" s="219"/>
      <c r="D648" s="219"/>
      <c r="E648" s="225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  <c r="AF648" s="143"/>
      <c r="AG648" s="143"/>
      <c r="AH648" s="143"/>
      <c r="AI648" s="143"/>
      <c r="AJ648" s="143"/>
    </row>
    <row r="649" spans="1:36" s="144" customFormat="1" ht="21.75" customHeight="1">
      <c r="A649" s="151"/>
      <c r="B649" s="219"/>
      <c r="C649" s="219"/>
      <c r="D649" s="219"/>
      <c r="E649" s="225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  <c r="AF649" s="143"/>
      <c r="AG649" s="143"/>
      <c r="AH649" s="143"/>
      <c r="AI649" s="143"/>
      <c r="AJ649" s="143"/>
    </row>
    <row r="650" spans="1:36" s="144" customFormat="1" ht="21.75" customHeight="1">
      <c r="A650" s="151"/>
      <c r="B650" s="219"/>
      <c r="C650" s="219"/>
      <c r="D650" s="219"/>
      <c r="E650" s="225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  <c r="AF650" s="143"/>
      <c r="AG650" s="143"/>
      <c r="AH650" s="143"/>
      <c r="AI650" s="143"/>
      <c r="AJ650" s="143"/>
    </row>
    <row r="651" spans="1:36" s="144" customFormat="1" ht="21.75" customHeight="1">
      <c r="A651" s="151"/>
      <c r="B651" s="219"/>
      <c r="C651" s="219"/>
      <c r="D651" s="219"/>
      <c r="E651" s="225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  <c r="AF651" s="143"/>
      <c r="AG651" s="143"/>
      <c r="AH651" s="143"/>
      <c r="AI651" s="143"/>
      <c r="AJ651" s="143"/>
    </row>
    <row r="652" spans="1:36" s="144" customFormat="1" ht="21.75" customHeight="1">
      <c r="A652" s="151"/>
      <c r="B652" s="219"/>
      <c r="C652" s="219"/>
      <c r="D652" s="219"/>
      <c r="E652" s="225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  <c r="AF652" s="143"/>
      <c r="AG652" s="143"/>
      <c r="AH652" s="143"/>
      <c r="AI652" s="143"/>
      <c r="AJ652" s="143"/>
    </row>
    <row r="653" spans="1:36" s="144" customFormat="1" ht="21.75" customHeight="1">
      <c r="A653" s="151"/>
      <c r="B653" s="219"/>
      <c r="C653" s="219"/>
      <c r="D653" s="219"/>
      <c r="E653" s="225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  <c r="AF653" s="143"/>
      <c r="AG653" s="143"/>
      <c r="AH653" s="143"/>
      <c r="AI653" s="143"/>
      <c r="AJ653" s="143"/>
    </row>
    <row r="654" spans="1:36" s="144" customFormat="1" ht="21.75" customHeight="1">
      <c r="A654" s="151"/>
      <c r="B654" s="219"/>
      <c r="C654" s="219"/>
      <c r="D654" s="219"/>
      <c r="E654" s="225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  <c r="AF654" s="143"/>
      <c r="AG654" s="143"/>
      <c r="AH654" s="143"/>
      <c r="AI654" s="143"/>
      <c r="AJ654" s="143"/>
    </row>
    <row r="655" spans="1:36" s="144" customFormat="1" ht="21.75" customHeight="1">
      <c r="A655" s="151"/>
      <c r="B655" s="219"/>
      <c r="C655" s="219"/>
      <c r="D655" s="219"/>
      <c r="E655" s="225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  <c r="AF655" s="143"/>
      <c r="AG655" s="143"/>
      <c r="AH655" s="143"/>
      <c r="AI655" s="143"/>
      <c r="AJ655" s="143"/>
    </row>
    <row r="656" spans="1:36" s="144" customFormat="1" ht="21.75" customHeight="1">
      <c r="A656" s="151"/>
      <c r="B656" s="219"/>
      <c r="C656" s="219"/>
      <c r="D656" s="219"/>
      <c r="E656" s="225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  <c r="AF656" s="143"/>
      <c r="AG656" s="143"/>
      <c r="AH656" s="143"/>
      <c r="AI656" s="143"/>
      <c r="AJ656" s="143"/>
    </row>
    <row r="657" spans="1:36" s="144" customFormat="1" ht="21.75" customHeight="1">
      <c r="A657" s="151"/>
      <c r="B657" s="219"/>
      <c r="C657" s="219"/>
      <c r="D657" s="219"/>
      <c r="E657" s="225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  <c r="AF657" s="143"/>
      <c r="AG657" s="143"/>
      <c r="AH657" s="143"/>
      <c r="AI657" s="143"/>
      <c r="AJ657" s="143"/>
    </row>
    <row r="658" spans="1:36" s="144" customFormat="1" ht="21.75" customHeight="1">
      <c r="A658" s="151"/>
      <c r="B658" s="219"/>
      <c r="C658" s="219"/>
      <c r="D658" s="219"/>
      <c r="E658" s="225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  <c r="AF658" s="143"/>
      <c r="AG658" s="143"/>
      <c r="AH658" s="143"/>
      <c r="AI658" s="143"/>
      <c r="AJ658" s="143"/>
    </row>
    <row r="659" spans="1:36" s="144" customFormat="1" ht="21.75" customHeight="1">
      <c r="A659" s="151"/>
      <c r="B659" s="219"/>
      <c r="C659" s="219"/>
      <c r="D659" s="219"/>
      <c r="E659" s="225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  <c r="AF659" s="143"/>
      <c r="AG659" s="143"/>
      <c r="AH659" s="143"/>
      <c r="AI659" s="143"/>
      <c r="AJ659" s="143"/>
    </row>
    <row r="660" spans="1:36" s="144" customFormat="1" ht="21.75" customHeight="1">
      <c r="A660" s="151"/>
      <c r="B660" s="219"/>
      <c r="C660" s="219"/>
      <c r="D660" s="219"/>
      <c r="E660" s="225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  <c r="AF660" s="143"/>
      <c r="AG660" s="143"/>
      <c r="AH660" s="143"/>
      <c r="AI660" s="143"/>
      <c r="AJ660" s="143"/>
    </row>
    <row r="661" spans="1:36" s="144" customFormat="1" ht="21.75" customHeight="1">
      <c r="A661" s="151"/>
      <c r="B661" s="219"/>
      <c r="C661" s="219"/>
      <c r="D661" s="219"/>
      <c r="E661" s="225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  <c r="AF661" s="143"/>
      <c r="AG661" s="143"/>
      <c r="AH661" s="143"/>
      <c r="AI661" s="143"/>
      <c r="AJ661" s="143"/>
    </row>
    <row r="662" spans="1:36" s="144" customFormat="1" ht="21.75" customHeight="1">
      <c r="A662" s="151"/>
      <c r="B662" s="219"/>
      <c r="C662" s="219"/>
      <c r="D662" s="219"/>
      <c r="E662" s="225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  <c r="AF662" s="143"/>
      <c r="AG662" s="143"/>
      <c r="AH662" s="143"/>
      <c r="AI662" s="143"/>
      <c r="AJ662" s="143"/>
    </row>
    <row r="663" spans="1:36" s="144" customFormat="1" ht="21.75" customHeight="1">
      <c r="A663" s="151"/>
      <c r="B663" s="219"/>
      <c r="C663" s="219"/>
      <c r="D663" s="219"/>
      <c r="E663" s="225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  <c r="AF663" s="143"/>
      <c r="AG663" s="143"/>
      <c r="AH663" s="143"/>
      <c r="AI663" s="143"/>
      <c r="AJ663" s="143"/>
    </row>
    <row r="664" spans="1:36" s="144" customFormat="1" ht="21.75" customHeight="1">
      <c r="A664" s="151"/>
      <c r="B664" s="219"/>
      <c r="C664" s="219"/>
      <c r="D664" s="219"/>
      <c r="E664" s="225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  <c r="AF664" s="143"/>
      <c r="AG664" s="143"/>
      <c r="AH664" s="143"/>
      <c r="AI664" s="143"/>
      <c r="AJ664" s="143"/>
    </row>
    <row r="665" spans="1:36" s="144" customFormat="1" ht="21.75" customHeight="1">
      <c r="A665" s="151"/>
      <c r="B665" s="219"/>
      <c r="C665" s="219"/>
      <c r="D665" s="219"/>
      <c r="E665" s="225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  <c r="AF665" s="143"/>
      <c r="AG665" s="143"/>
      <c r="AH665" s="143"/>
      <c r="AI665" s="143"/>
      <c r="AJ665" s="143"/>
    </row>
    <row r="666" spans="1:36" s="144" customFormat="1" ht="21.75" customHeight="1">
      <c r="A666" s="151"/>
      <c r="B666" s="219"/>
      <c r="C666" s="219"/>
      <c r="D666" s="219"/>
      <c r="E666" s="225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  <c r="AF666" s="143"/>
      <c r="AG666" s="143"/>
      <c r="AH666" s="143"/>
      <c r="AI666" s="143"/>
      <c r="AJ666" s="143"/>
    </row>
    <row r="667" spans="1:36" s="144" customFormat="1" ht="21.75" customHeight="1">
      <c r="A667" s="151"/>
      <c r="B667" s="219"/>
      <c r="C667" s="219"/>
      <c r="D667" s="219"/>
      <c r="E667" s="225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  <c r="AF667" s="143"/>
      <c r="AG667" s="143"/>
      <c r="AH667" s="143"/>
      <c r="AI667" s="143"/>
      <c r="AJ667" s="143"/>
    </row>
    <row r="668" spans="1:36" s="144" customFormat="1" ht="21.75" customHeight="1">
      <c r="A668" s="151"/>
      <c r="B668" s="219"/>
      <c r="C668" s="219"/>
      <c r="D668" s="219"/>
      <c r="E668" s="225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  <c r="AF668" s="143"/>
      <c r="AG668" s="143"/>
      <c r="AH668" s="143"/>
      <c r="AI668" s="143"/>
      <c r="AJ668" s="143"/>
    </row>
    <row r="669" spans="1:36" s="144" customFormat="1" ht="21.75" customHeight="1">
      <c r="A669" s="151"/>
      <c r="B669" s="219"/>
      <c r="C669" s="219"/>
      <c r="D669" s="219"/>
      <c r="E669" s="225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  <c r="AF669" s="143"/>
      <c r="AG669" s="143"/>
      <c r="AH669" s="143"/>
      <c r="AI669" s="143"/>
      <c r="AJ669" s="143"/>
    </row>
    <row r="670" spans="1:36" s="144" customFormat="1" ht="21.75" customHeight="1">
      <c r="A670" s="151"/>
      <c r="B670" s="219"/>
      <c r="C670" s="219"/>
      <c r="D670" s="219"/>
      <c r="E670" s="225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  <c r="AF670" s="143"/>
      <c r="AG670" s="143"/>
      <c r="AH670" s="143"/>
      <c r="AI670" s="143"/>
      <c r="AJ670" s="143"/>
    </row>
    <row r="671" spans="1:36" s="144" customFormat="1" ht="21.75" customHeight="1">
      <c r="A671" s="151"/>
      <c r="B671" s="219"/>
      <c r="C671" s="219"/>
      <c r="D671" s="219"/>
      <c r="E671" s="225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  <c r="AF671" s="143"/>
      <c r="AG671" s="143"/>
      <c r="AH671" s="143"/>
      <c r="AI671" s="143"/>
      <c r="AJ671" s="143"/>
    </row>
    <row r="672" spans="1:36" s="144" customFormat="1" ht="21.75" customHeight="1">
      <c r="A672" s="151"/>
      <c r="B672" s="219"/>
      <c r="C672" s="219"/>
      <c r="D672" s="219"/>
      <c r="E672" s="225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  <c r="AF672" s="143"/>
      <c r="AG672" s="143"/>
      <c r="AH672" s="143"/>
      <c r="AI672" s="143"/>
      <c r="AJ672" s="143"/>
    </row>
    <row r="673" spans="1:36" s="144" customFormat="1" ht="21.75" customHeight="1">
      <c r="A673" s="151"/>
      <c r="B673" s="219"/>
      <c r="C673" s="219"/>
      <c r="D673" s="219"/>
      <c r="E673" s="225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  <c r="AF673" s="143"/>
      <c r="AG673" s="143"/>
      <c r="AH673" s="143"/>
      <c r="AI673" s="143"/>
      <c r="AJ673" s="143"/>
    </row>
    <row r="674" spans="1:36" s="144" customFormat="1" ht="21.75" customHeight="1">
      <c r="A674" s="151"/>
      <c r="B674" s="219"/>
      <c r="C674" s="219"/>
      <c r="D674" s="219"/>
      <c r="E674" s="225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  <c r="AF674" s="143"/>
      <c r="AG674" s="143"/>
      <c r="AH674" s="143"/>
      <c r="AI674" s="143"/>
      <c r="AJ674" s="143"/>
    </row>
    <row r="675" spans="1:36" s="144" customFormat="1" ht="21.75" customHeight="1">
      <c r="A675" s="151"/>
      <c r="B675" s="219"/>
      <c r="C675" s="219"/>
      <c r="D675" s="219"/>
      <c r="E675" s="225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  <c r="AF675" s="143"/>
      <c r="AG675" s="143"/>
      <c r="AH675" s="143"/>
      <c r="AI675" s="143"/>
      <c r="AJ675" s="143"/>
    </row>
    <row r="676" spans="1:36" s="144" customFormat="1" ht="21.75" customHeight="1">
      <c r="A676" s="151"/>
      <c r="B676" s="219"/>
      <c r="C676" s="219"/>
      <c r="D676" s="219"/>
      <c r="E676" s="225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  <c r="AF676" s="143"/>
      <c r="AG676" s="143"/>
      <c r="AH676" s="143"/>
      <c r="AI676" s="143"/>
      <c r="AJ676" s="143"/>
    </row>
    <row r="677" spans="1:36" s="144" customFormat="1" ht="21.75" customHeight="1">
      <c r="A677" s="151"/>
      <c r="B677" s="219"/>
      <c r="C677" s="219"/>
      <c r="D677" s="219"/>
      <c r="E677" s="225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  <c r="AF677" s="143"/>
      <c r="AG677" s="143"/>
      <c r="AH677" s="143"/>
      <c r="AI677" s="143"/>
      <c r="AJ677" s="143"/>
    </row>
    <row r="678" spans="1:36" s="144" customFormat="1" ht="21.75" customHeight="1">
      <c r="A678" s="151"/>
      <c r="B678" s="219"/>
      <c r="C678" s="219"/>
      <c r="D678" s="219"/>
      <c r="E678" s="225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  <c r="AF678" s="143"/>
      <c r="AG678" s="143"/>
      <c r="AH678" s="143"/>
      <c r="AI678" s="143"/>
      <c r="AJ678" s="143"/>
    </row>
    <row r="679" spans="1:36" s="144" customFormat="1" ht="21.75" customHeight="1">
      <c r="A679" s="151"/>
      <c r="B679" s="219"/>
      <c r="C679" s="219"/>
      <c r="D679" s="219"/>
      <c r="E679" s="225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  <c r="AF679" s="143"/>
      <c r="AG679" s="143"/>
      <c r="AH679" s="143"/>
      <c r="AI679" s="143"/>
      <c r="AJ679" s="143"/>
    </row>
    <row r="680" spans="1:36" s="144" customFormat="1" ht="21.75" customHeight="1">
      <c r="A680" s="151"/>
      <c r="B680" s="219"/>
      <c r="C680" s="219"/>
      <c r="D680" s="219"/>
      <c r="E680" s="225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  <c r="AF680" s="143"/>
      <c r="AG680" s="143"/>
      <c r="AH680" s="143"/>
      <c r="AI680" s="143"/>
      <c r="AJ680" s="143"/>
    </row>
    <row r="681" spans="1:36" s="144" customFormat="1" ht="21.75" customHeight="1">
      <c r="A681" s="151"/>
      <c r="B681" s="219"/>
      <c r="C681" s="219"/>
      <c r="D681" s="219"/>
      <c r="E681" s="225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  <c r="AF681" s="143"/>
      <c r="AG681" s="143"/>
      <c r="AH681" s="143"/>
      <c r="AI681" s="143"/>
      <c r="AJ681" s="143"/>
    </row>
    <row r="682" spans="1:36" s="144" customFormat="1" ht="21.75" customHeight="1">
      <c r="A682" s="151"/>
      <c r="B682" s="219"/>
      <c r="C682" s="219"/>
      <c r="D682" s="219"/>
      <c r="E682" s="225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  <c r="AF682" s="143"/>
      <c r="AG682" s="143"/>
      <c r="AH682" s="143"/>
      <c r="AI682" s="143"/>
      <c r="AJ682" s="143"/>
    </row>
    <row r="683" spans="1:36" s="144" customFormat="1" ht="21.75" customHeight="1">
      <c r="A683" s="151"/>
      <c r="B683" s="219"/>
      <c r="C683" s="219"/>
      <c r="D683" s="219"/>
      <c r="E683" s="225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  <c r="AF683" s="143"/>
      <c r="AG683" s="143"/>
      <c r="AH683" s="143"/>
      <c r="AI683" s="143"/>
      <c r="AJ683" s="143"/>
    </row>
    <row r="684" spans="1:36" s="144" customFormat="1" ht="21.75" customHeight="1">
      <c r="A684" s="151"/>
      <c r="B684" s="219"/>
      <c r="C684" s="219"/>
      <c r="D684" s="219"/>
      <c r="E684" s="225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  <c r="AF684" s="143"/>
      <c r="AG684" s="143"/>
      <c r="AH684" s="143"/>
      <c r="AI684" s="143"/>
      <c r="AJ684" s="143"/>
    </row>
    <row r="685" spans="1:36" s="144" customFormat="1" ht="21.75" customHeight="1">
      <c r="A685" s="151"/>
      <c r="B685" s="219"/>
      <c r="C685" s="219"/>
      <c r="D685" s="219"/>
      <c r="E685" s="225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  <c r="AF685" s="143"/>
      <c r="AG685" s="143"/>
      <c r="AH685" s="143"/>
      <c r="AI685" s="143"/>
      <c r="AJ685" s="143"/>
    </row>
    <row r="686" spans="1:36" s="144" customFormat="1" ht="21.75" customHeight="1">
      <c r="A686" s="151"/>
      <c r="B686" s="219"/>
      <c r="C686" s="219"/>
      <c r="D686" s="219"/>
      <c r="E686" s="225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  <c r="AF686" s="143"/>
      <c r="AG686" s="143"/>
      <c r="AH686" s="143"/>
      <c r="AI686" s="143"/>
      <c r="AJ686" s="143"/>
    </row>
    <row r="687" spans="1:36" s="144" customFormat="1" ht="21.75" customHeight="1">
      <c r="A687" s="151"/>
      <c r="B687" s="219"/>
      <c r="C687" s="219"/>
      <c r="D687" s="219"/>
      <c r="E687" s="225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  <c r="AF687" s="143"/>
      <c r="AG687" s="143"/>
      <c r="AH687" s="143"/>
      <c r="AI687" s="143"/>
      <c r="AJ687" s="143"/>
    </row>
    <row r="688" spans="1:36" s="144" customFormat="1" ht="21.75" customHeight="1">
      <c r="A688" s="151"/>
      <c r="B688" s="219"/>
      <c r="C688" s="219"/>
      <c r="D688" s="219"/>
      <c r="E688" s="225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  <c r="AF688" s="143"/>
      <c r="AG688" s="143"/>
      <c r="AH688" s="143"/>
      <c r="AI688" s="143"/>
      <c r="AJ688" s="143"/>
    </row>
    <row r="689" spans="1:36" s="144" customFormat="1" ht="21.75" customHeight="1">
      <c r="A689" s="151"/>
      <c r="B689" s="219"/>
      <c r="C689" s="219"/>
      <c r="D689" s="219"/>
      <c r="E689" s="225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  <c r="AF689" s="143"/>
      <c r="AG689" s="143"/>
      <c r="AH689" s="143"/>
      <c r="AI689" s="143"/>
      <c r="AJ689" s="143"/>
    </row>
    <row r="690" spans="1:36" s="144" customFormat="1" ht="21.75" customHeight="1">
      <c r="A690" s="151"/>
      <c r="B690" s="219"/>
      <c r="C690" s="219"/>
      <c r="D690" s="219"/>
      <c r="E690" s="225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  <c r="AF690" s="143"/>
      <c r="AG690" s="143"/>
      <c r="AH690" s="143"/>
      <c r="AI690" s="143"/>
      <c r="AJ690" s="143"/>
    </row>
    <row r="691" spans="1:36" s="144" customFormat="1" ht="21.75" customHeight="1">
      <c r="A691" s="151"/>
      <c r="B691" s="219"/>
      <c r="C691" s="219"/>
      <c r="D691" s="219"/>
      <c r="E691" s="225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  <c r="AF691" s="143"/>
      <c r="AG691" s="143"/>
      <c r="AH691" s="143"/>
      <c r="AI691" s="143"/>
      <c r="AJ691" s="143"/>
    </row>
    <row r="692" spans="1:36" s="144" customFormat="1" ht="21.75" customHeight="1">
      <c r="A692" s="151"/>
      <c r="B692" s="219"/>
      <c r="C692" s="219"/>
      <c r="D692" s="219"/>
      <c r="E692" s="225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  <c r="AF692" s="143"/>
      <c r="AG692" s="143"/>
      <c r="AH692" s="143"/>
      <c r="AI692" s="143"/>
      <c r="AJ692" s="143"/>
    </row>
    <row r="693" spans="1:36" s="144" customFormat="1" ht="21.75" customHeight="1">
      <c r="A693" s="151"/>
      <c r="B693" s="219"/>
      <c r="C693" s="219"/>
      <c r="D693" s="219"/>
      <c r="E693" s="225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  <c r="AF693" s="143"/>
      <c r="AG693" s="143"/>
      <c r="AH693" s="143"/>
      <c r="AI693" s="143"/>
      <c r="AJ693" s="143"/>
    </row>
    <row r="694" spans="1:36" s="144" customFormat="1" ht="21.75" customHeight="1">
      <c r="A694" s="151"/>
      <c r="B694" s="219"/>
      <c r="C694" s="219"/>
      <c r="D694" s="219"/>
      <c r="E694" s="225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  <c r="AF694" s="143"/>
      <c r="AG694" s="143"/>
      <c r="AH694" s="143"/>
      <c r="AI694" s="143"/>
      <c r="AJ694" s="143"/>
    </row>
    <row r="695" spans="1:36" s="144" customFormat="1" ht="21.75" customHeight="1">
      <c r="A695" s="151"/>
      <c r="B695" s="219"/>
      <c r="C695" s="219"/>
      <c r="D695" s="219"/>
      <c r="E695" s="225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  <c r="AF695" s="143"/>
      <c r="AG695" s="143"/>
      <c r="AH695" s="143"/>
      <c r="AI695" s="143"/>
      <c r="AJ695" s="143"/>
    </row>
    <row r="696" spans="1:36" s="144" customFormat="1" ht="21.75" customHeight="1">
      <c r="A696" s="151"/>
      <c r="B696" s="219"/>
      <c r="C696" s="219"/>
      <c r="D696" s="219"/>
      <c r="E696" s="225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  <c r="AF696" s="143"/>
      <c r="AG696" s="143"/>
      <c r="AH696" s="143"/>
      <c r="AI696" s="143"/>
      <c r="AJ696" s="143"/>
    </row>
    <row r="697" spans="1:36" s="144" customFormat="1" ht="21.75" customHeight="1">
      <c r="A697" s="151"/>
      <c r="B697" s="219"/>
      <c r="C697" s="219"/>
      <c r="D697" s="219"/>
      <c r="E697" s="225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  <c r="AF697" s="143"/>
      <c r="AG697" s="143"/>
      <c r="AH697" s="143"/>
      <c r="AI697" s="143"/>
      <c r="AJ697" s="143"/>
    </row>
    <row r="698" spans="1:36" s="144" customFormat="1" ht="21.75" customHeight="1">
      <c r="A698" s="151"/>
      <c r="B698" s="219"/>
      <c r="C698" s="219"/>
      <c r="D698" s="219"/>
      <c r="E698" s="225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  <c r="AF698" s="143"/>
      <c r="AG698" s="143"/>
      <c r="AH698" s="143"/>
      <c r="AI698" s="143"/>
      <c r="AJ698" s="143"/>
    </row>
    <row r="699" spans="1:36" s="144" customFormat="1" ht="21.75" customHeight="1">
      <c r="A699" s="151"/>
      <c r="B699" s="219"/>
      <c r="C699" s="219"/>
      <c r="D699" s="219"/>
      <c r="E699" s="225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  <c r="AF699" s="143"/>
      <c r="AG699" s="143"/>
      <c r="AH699" s="143"/>
      <c r="AI699" s="143"/>
      <c r="AJ699" s="143"/>
    </row>
    <row r="700" spans="1:36" s="144" customFormat="1" ht="21.75" customHeight="1">
      <c r="A700" s="151"/>
      <c r="B700" s="219"/>
      <c r="C700" s="219"/>
      <c r="D700" s="219"/>
      <c r="E700" s="225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  <c r="AF700" s="143"/>
      <c r="AG700" s="143"/>
      <c r="AH700" s="143"/>
      <c r="AI700" s="143"/>
      <c r="AJ700" s="143"/>
    </row>
    <row r="701" spans="1:36" s="144" customFormat="1" ht="21.75" customHeight="1">
      <c r="A701" s="151"/>
      <c r="B701" s="219"/>
      <c r="C701" s="219"/>
      <c r="D701" s="219"/>
      <c r="E701" s="225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  <c r="AF701" s="143"/>
      <c r="AG701" s="143"/>
      <c r="AH701" s="143"/>
      <c r="AI701" s="143"/>
      <c r="AJ701" s="143"/>
    </row>
    <row r="702" spans="1:36" s="144" customFormat="1" ht="21.75" customHeight="1">
      <c r="A702" s="151"/>
      <c r="B702" s="219"/>
      <c r="C702" s="219"/>
      <c r="D702" s="219"/>
      <c r="E702" s="225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  <c r="AF702" s="143"/>
      <c r="AG702" s="143"/>
      <c r="AH702" s="143"/>
      <c r="AI702" s="143"/>
      <c r="AJ702" s="143"/>
    </row>
    <row r="703" spans="1:36" s="144" customFormat="1" ht="21.75" customHeight="1">
      <c r="A703" s="151"/>
      <c r="B703" s="219"/>
      <c r="C703" s="219"/>
      <c r="D703" s="219"/>
      <c r="E703" s="225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  <c r="AF703" s="143"/>
      <c r="AG703" s="143"/>
      <c r="AH703" s="143"/>
      <c r="AI703" s="143"/>
      <c r="AJ703" s="143"/>
    </row>
    <row r="704" spans="1:36" s="144" customFormat="1" ht="21.75" customHeight="1">
      <c r="A704" s="151"/>
      <c r="B704" s="219"/>
      <c r="C704" s="219"/>
      <c r="D704" s="219"/>
      <c r="E704" s="225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  <c r="AF704" s="143"/>
      <c r="AG704" s="143"/>
      <c r="AH704" s="143"/>
      <c r="AI704" s="143"/>
      <c r="AJ704" s="143"/>
    </row>
    <row r="705" spans="1:36" s="144" customFormat="1" ht="21.75" customHeight="1">
      <c r="A705" s="151"/>
      <c r="B705" s="219"/>
      <c r="C705" s="219"/>
      <c r="D705" s="219"/>
      <c r="E705" s="225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  <c r="AF705" s="143"/>
      <c r="AG705" s="143"/>
      <c r="AH705" s="143"/>
      <c r="AI705" s="143"/>
      <c r="AJ705" s="143"/>
    </row>
    <row r="706" spans="1:36" s="144" customFormat="1" ht="21.75" customHeight="1">
      <c r="A706" s="151"/>
      <c r="B706" s="219"/>
      <c r="C706" s="219"/>
      <c r="D706" s="219"/>
      <c r="E706" s="225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  <c r="AF706" s="143"/>
      <c r="AG706" s="143"/>
      <c r="AH706" s="143"/>
      <c r="AI706" s="143"/>
      <c r="AJ706" s="143"/>
    </row>
    <row r="707" spans="1:36" s="144" customFormat="1" ht="21.75" customHeight="1">
      <c r="A707" s="151"/>
      <c r="B707" s="219"/>
      <c r="C707" s="219"/>
      <c r="D707" s="219"/>
      <c r="E707" s="225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  <c r="AF707" s="143"/>
      <c r="AG707" s="143"/>
      <c r="AH707" s="143"/>
      <c r="AI707" s="143"/>
      <c r="AJ707" s="143"/>
    </row>
    <row r="708" spans="1:36" s="144" customFormat="1" ht="21.75" customHeight="1">
      <c r="A708" s="151"/>
      <c r="B708" s="219"/>
      <c r="C708" s="219"/>
      <c r="D708" s="219"/>
      <c r="E708" s="225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  <c r="AF708" s="143"/>
      <c r="AG708" s="143"/>
      <c r="AH708" s="143"/>
      <c r="AI708" s="143"/>
      <c r="AJ708" s="143"/>
    </row>
    <row r="709" spans="1:36" s="144" customFormat="1" ht="21.75" customHeight="1">
      <c r="A709" s="151"/>
      <c r="B709" s="219"/>
      <c r="C709" s="219"/>
      <c r="D709" s="219"/>
      <c r="E709" s="225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  <c r="AF709" s="143"/>
      <c r="AG709" s="143"/>
      <c r="AH709" s="143"/>
      <c r="AI709" s="143"/>
      <c r="AJ709" s="143"/>
    </row>
    <row r="710" spans="1:36" s="144" customFormat="1" ht="21.75" customHeight="1">
      <c r="A710" s="151"/>
      <c r="B710" s="219"/>
      <c r="C710" s="219"/>
      <c r="D710" s="219"/>
      <c r="E710" s="225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  <c r="AF710" s="143"/>
      <c r="AG710" s="143"/>
      <c r="AH710" s="143"/>
      <c r="AI710" s="143"/>
      <c r="AJ710" s="143"/>
    </row>
    <row r="711" spans="1:36" s="144" customFormat="1" ht="21.75" customHeight="1">
      <c r="A711" s="151"/>
      <c r="B711" s="219"/>
      <c r="C711" s="219"/>
      <c r="D711" s="219"/>
      <c r="E711" s="225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  <c r="AF711" s="143"/>
      <c r="AG711" s="143"/>
      <c r="AH711" s="143"/>
      <c r="AI711" s="143"/>
      <c r="AJ711" s="143"/>
    </row>
    <row r="712" spans="1:36" s="144" customFormat="1" ht="21.75" customHeight="1">
      <c r="A712" s="151"/>
      <c r="B712" s="219"/>
      <c r="C712" s="219"/>
      <c r="D712" s="219"/>
      <c r="E712" s="225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  <c r="AF712" s="143"/>
      <c r="AG712" s="143"/>
      <c r="AH712" s="143"/>
      <c r="AI712" s="143"/>
      <c r="AJ712" s="143"/>
    </row>
    <row r="713" spans="1:36" s="144" customFormat="1" ht="21.75" customHeight="1">
      <c r="A713" s="151"/>
      <c r="B713" s="219"/>
      <c r="C713" s="219"/>
      <c r="D713" s="219"/>
      <c r="E713" s="225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  <c r="AF713" s="143"/>
      <c r="AG713" s="143"/>
      <c r="AH713" s="143"/>
      <c r="AI713" s="143"/>
      <c r="AJ713" s="143"/>
    </row>
    <row r="714" spans="1:36" s="144" customFormat="1" ht="21.75" customHeight="1">
      <c r="A714" s="151"/>
      <c r="B714" s="219"/>
      <c r="C714" s="219"/>
      <c r="D714" s="219"/>
      <c r="E714" s="225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  <c r="AF714" s="143"/>
      <c r="AG714" s="143"/>
      <c r="AH714" s="143"/>
      <c r="AI714" s="143"/>
      <c r="AJ714" s="143"/>
    </row>
    <row r="715" spans="1:36" s="144" customFormat="1" ht="21.75" customHeight="1">
      <c r="A715" s="151"/>
      <c r="B715" s="219"/>
      <c r="C715" s="219"/>
      <c r="D715" s="219"/>
      <c r="E715" s="225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  <c r="AF715" s="143"/>
      <c r="AG715" s="143"/>
      <c r="AH715" s="143"/>
      <c r="AI715" s="143"/>
      <c r="AJ715" s="143"/>
    </row>
    <row r="716" spans="1:36" s="144" customFormat="1" ht="21.75" customHeight="1">
      <c r="A716" s="151"/>
      <c r="B716" s="219"/>
      <c r="C716" s="219"/>
      <c r="D716" s="219"/>
      <c r="E716" s="225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  <c r="AF716" s="143"/>
      <c r="AG716" s="143"/>
      <c r="AH716" s="143"/>
      <c r="AI716" s="143"/>
      <c r="AJ716" s="143"/>
    </row>
    <row r="717" spans="1:36" s="144" customFormat="1" ht="21.75" customHeight="1">
      <c r="A717" s="151"/>
      <c r="B717" s="219"/>
      <c r="C717" s="219"/>
      <c r="D717" s="219"/>
      <c r="E717" s="225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  <c r="AF717" s="143"/>
      <c r="AG717" s="143"/>
      <c r="AH717" s="143"/>
      <c r="AI717" s="143"/>
      <c r="AJ717" s="143"/>
    </row>
    <row r="718" spans="1:36" s="144" customFormat="1" ht="21.75" customHeight="1">
      <c r="A718" s="151"/>
      <c r="B718" s="219"/>
      <c r="C718" s="219"/>
      <c r="D718" s="219"/>
      <c r="E718" s="225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  <c r="AF718" s="143"/>
      <c r="AG718" s="143"/>
      <c r="AH718" s="143"/>
      <c r="AI718" s="143"/>
      <c r="AJ718" s="143"/>
    </row>
    <row r="719" spans="1:36" s="144" customFormat="1" ht="21.75" customHeight="1">
      <c r="A719" s="151"/>
      <c r="B719" s="219"/>
      <c r="C719" s="219"/>
      <c r="D719" s="219"/>
      <c r="E719" s="225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  <c r="AF719" s="143"/>
      <c r="AG719" s="143"/>
      <c r="AH719" s="143"/>
      <c r="AI719" s="143"/>
      <c r="AJ719" s="143"/>
    </row>
    <row r="720" spans="1:36" s="144" customFormat="1" ht="21.75" customHeight="1">
      <c r="A720" s="151"/>
      <c r="B720" s="219"/>
      <c r="C720" s="219"/>
      <c r="D720" s="219"/>
      <c r="E720" s="225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  <c r="AF720" s="143"/>
      <c r="AG720" s="143"/>
      <c r="AH720" s="143"/>
      <c r="AI720" s="143"/>
      <c r="AJ720" s="143"/>
    </row>
    <row r="721" spans="1:36" s="144" customFormat="1" ht="21.75" customHeight="1">
      <c r="A721" s="151"/>
      <c r="B721" s="219"/>
      <c r="C721" s="219"/>
      <c r="D721" s="219"/>
      <c r="E721" s="225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  <c r="AF721" s="143"/>
      <c r="AG721" s="143"/>
      <c r="AH721" s="143"/>
      <c r="AI721" s="143"/>
      <c r="AJ721" s="143"/>
    </row>
    <row r="722" spans="1:36" s="144" customFormat="1" ht="21.75" customHeight="1">
      <c r="A722" s="151"/>
      <c r="B722" s="219"/>
      <c r="C722" s="219"/>
      <c r="D722" s="219"/>
      <c r="E722" s="225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  <c r="AF722" s="143"/>
      <c r="AG722" s="143"/>
      <c r="AH722" s="143"/>
      <c r="AI722" s="143"/>
      <c r="AJ722" s="143"/>
    </row>
    <row r="723" spans="1:36" s="144" customFormat="1" ht="21.75" customHeight="1">
      <c r="A723" s="151"/>
      <c r="B723" s="219"/>
      <c r="C723" s="219"/>
      <c r="D723" s="219"/>
      <c r="E723" s="225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  <c r="AF723" s="143"/>
      <c r="AG723" s="143"/>
      <c r="AH723" s="143"/>
      <c r="AI723" s="143"/>
      <c r="AJ723" s="143"/>
    </row>
    <row r="724" spans="1:36" s="144" customFormat="1" ht="21.75" customHeight="1">
      <c r="A724" s="151"/>
      <c r="B724" s="219"/>
      <c r="C724" s="219"/>
      <c r="D724" s="219"/>
      <c r="E724" s="225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  <c r="AF724" s="143"/>
      <c r="AG724" s="143"/>
      <c r="AH724" s="143"/>
      <c r="AI724" s="143"/>
      <c r="AJ724" s="143"/>
    </row>
    <row r="725" spans="1:36" s="144" customFormat="1" ht="21.75" customHeight="1">
      <c r="A725" s="151"/>
      <c r="B725" s="219"/>
      <c r="C725" s="219"/>
      <c r="D725" s="219"/>
      <c r="E725" s="225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  <c r="AF725" s="143"/>
      <c r="AG725" s="143"/>
      <c r="AH725" s="143"/>
      <c r="AI725" s="143"/>
      <c r="AJ725" s="143"/>
    </row>
    <row r="726" spans="1:36" s="144" customFormat="1" ht="21.75" customHeight="1">
      <c r="A726" s="151"/>
      <c r="B726" s="219"/>
      <c r="C726" s="219"/>
      <c r="D726" s="219"/>
      <c r="E726" s="225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  <c r="AF726" s="143"/>
      <c r="AG726" s="143"/>
      <c r="AH726" s="143"/>
      <c r="AI726" s="143"/>
      <c r="AJ726" s="143"/>
    </row>
    <row r="727" spans="1:36" s="144" customFormat="1" ht="21.75" customHeight="1">
      <c r="A727" s="151"/>
      <c r="B727" s="219"/>
      <c r="C727" s="219"/>
      <c r="D727" s="219"/>
      <c r="E727" s="225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  <c r="AF727" s="143"/>
      <c r="AG727" s="143"/>
      <c r="AH727" s="143"/>
      <c r="AI727" s="143"/>
      <c r="AJ727" s="143"/>
    </row>
    <row r="728" spans="1:36" s="144" customFormat="1" ht="21.75" customHeight="1">
      <c r="A728" s="151"/>
      <c r="B728" s="219"/>
      <c r="C728" s="219"/>
      <c r="D728" s="219"/>
      <c r="E728" s="225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  <c r="AF728" s="143"/>
      <c r="AG728" s="143"/>
      <c r="AH728" s="143"/>
      <c r="AI728" s="143"/>
      <c r="AJ728" s="143"/>
    </row>
    <row r="729" spans="1:36" s="144" customFormat="1" ht="21.75" customHeight="1">
      <c r="A729" s="151"/>
      <c r="B729" s="219"/>
      <c r="C729" s="219"/>
      <c r="D729" s="219"/>
      <c r="E729" s="225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  <c r="AF729" s="143"/>
      <c r="AG729" s="143"/>
      <c r="AH729" s="143"/>
      <c r="AI729" s="143"/>
      <c r="AJ729" s="143"/>
    </row>
    <row r="730" spans="1:36" s="144" customFormat="1" ht="21.75" customHeight="1">
      <c r="A730" s="151"/>
      <c r="B730" s="219"/>
      <c r="C730" s="219"/>
      <c r="D730" s="219"/>
      <c r="E730" s="225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  <c r="AF730" s="143"/>
      <c r="AG730" s="143"/>
      <c r="AH730" s="143"/>
      <c r="AI730" s="143"/>
      <c r="AJ730" s="143"/>
    </row>
    <row r="731" spans="1:36" s="144" customFormat="1" ht="21.75" customHeight="1">
      <c r="A731" s="151"/>
      <c r="B731" s="219"/>
      <c r="C731" s="219"/>
      <c r="D731" s="219"/>
      <c r="E731" s="225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  <c r="AF731" s="143"/>
      <c r="AG731" s="143"/>
      <c r="AH731" s="143"/>
      <c r="AI731" s="143"/>
      <c r="AJ731" s="143"/>
    </row>
    <row r="732" spans="1:36" s="144" customFormat="1" ht="21.75" customHeight="1">
      <c r="A732" s="151"/>
      <c r="B732" s="219"/>
      <c r="C732" s="219"/>
      <c r="D732" s="219"/>
      <c r="E732" s="225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  <c r="AF732" s="143"/>
      <c r="AG732" s="143"/>
      <c r="AH732" s="143"/>
      <c r="AI732" s="143"/>
      <c r="AJ732" s="143"/>
    </row>
    <row r="733" spans="1:36" s="144" customFormat="1" ht="21.75" customHeight="1">
      <c r="A733" s="151"/>
      <c r="B733" s="219"/>
      <c r="C733" s="219"/>
      <c r="D733" s="219"/>
      <c r="E733" s="225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  <c r="AF733" s="143"/>
      <c r="AG733" s="143"/>
      <c r="AH733" s="143"/>
      <c r="AI733" s="143"/>
      <c r="AJ733" s="143"/>
    </row>
    <row r="734" spans="1:36" s="144" customFormat="1" ht="21.75" customHeight="1">
      <c r="A734" s="151"/>
      <c r="B734" s="219"/>
      <c r="C734" s="219"/>
      <c r="D734" s="219"/>
      <c r="E734" s="225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  <c r="AF734" s="143"/>
      <c r="AG734" s="143"/>
      <c r="AH734" s="143"/>
      <c r="AI734" s="143"/>
      <c r="AJ734" s="143"/>
    </row>
    <row r="735" spans="1:36" s="144" customFormat="1" ht="21.75" customHeight="1">
      <c r="A735" s="151"/>
      <c r="B735" s="219"/>
      <c r="C735" s="219"/>
      <c r="D735" s="219"/>
      <c r="E735" s="225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  <c r="AF735" s="143"/>
      <c r="AG735" s="143"/>
      <c r="AH735" s="143"/>
      <c r="AI735" s="143"/>
      <c r="AJ735" s="143"/>
    </row>
    <row r="736" spans="1:36" s="144" customFormat="1" ht="21.75" customHeight="1">
      <c r="A736" s="151"/>
      <c r="B736" s="219"/>
      <c r="C736" s="219"/>
      <c r="D736" s="219"/>
      <c r="E736" s="225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  <c r="AF736" s="143"/>
      <c r="AG736" s="143"/>
      <c r="AH736" s="143"/>
      <c r="AI736" s="143"/>
      <c r="AJ736" s="143"/>
    </row>
    <row r="737" spans="1:36" s="144" customFormat="1" ht="21.75" customHeight="1">
      <c r="A737" s="151"/>
      <c r="B737" s="219"/>
      <c r="C737" s="219"/>
      <c r="D737" s="219"/>
      <c r="E737" s="225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  <c r="AF737" s="143"/>
      <c r="AG737" s="143"/>
      <c r="AH737" s="143"/>
      <c r="AI737" s="143"/>
      <c r="AJ737" s="143"/>
    </row>
    <row r="738" spans="1:36" s="144" customFormat="1" ht="21.75" customHeight="1">
      <c r="A738" s="151"/>
      <c r="B738" s="219"/>
      <c r="C738" s="219"/>
      <c r="D738" s="219"/>
      <c r="E738" s="225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  <c r="AF738" s="143"/>
      <c r="AG738" s="143"/>
      <c r="AH738" s="143"/>
      <c r="AI738" s="143"/>
      <c r="AJ738" s="143"/>
    </row>
    <row r="739" spans="1:36" s="144" customFormat="1" ht="21.75" customHeight="1">
      <c r="A739" s="151"/>
      <c r="B739" s="219"/>
      <c r="C739" s="219"/>
      <c r="D739" s="219"/>
      <c r="E739" s="225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  <c r="AF739" s="143"/>
      <c r="AG739" s="143"/>
      <c r="AH739" s="143"/>
      <c r="AI739" s="143"/>
      <c r="AJ739" s="143"/>
    </row>
    <row r="740" spans="1:36" s="144" customFormat="1" ht="21.75" customHeight="1">
      <c r="A740" s="151"/>
      <c r="B740" s="219"/>
      <c r="C740" s="219"/>
      <c r="D740" s="219"/>
      <c r="E740" s="225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  <c r="AF740" s="143"/>
      <c r="AG740" s="143"/>
      <c r="AH740" s="143"/>
      <c r="AI740" s="143"/>
      <c r="AJ740" s="143"/>
    </row>
    <row r="741" spans="1:36" s="144" customFormat="1" ht="21.75" customHeight="1">
      <c r="A741" s="151"/>
      <c r="B741" s="219"/>
      <c r="C741" s="219"/>
      <c r="D741" s="219"/>
      <c r="E741" s="225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  <c r="AF741" s="143"/>
      <c r="AG741" s="143"/>
      <c r="AH741" s="143"/>
      <c r="AI741" s="143"/>
      <c r="AJ741" s="143"/>
    </row>
    <row r="742" spans="1:36" s="144" customFormat="1" ht="21.75" customHeight="1">
      <c r="A742" s="151"/>
      <c r="B742" s="219"/>
      <c r="C742" s="219"/>
      <c r="D742" s="219"/>
      <c r="E742" s="225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  <c r="AF742" s="143"/>
      <c r="AG742" s="143"/>
      <c r="AH742" s="143"/>
      <c r="AI742" s="143"/>
      <c r="AJ742" s="143"/>
    </row>
    <row r="743" spans="1:36" s="144" customFormat="1" ht="21.75" customHeight="1">
      <c r="A743" s="151"/>
      <c r="B743" s="219"/>
      <c r="C743" s="219"/>
      <c r="D743" s="219"/>
      <c r="E743" s="225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  <c r="AF743" s="143"/>
      <c r="AG743" s="143"/>
      <c r="AH743" s="143"/>
      <c r="AI743" s="143"/>
      <c r="AJ743" s="143"/>
    </row>
    <row r="744" spans="1:36" s="144" customFormat="1" ht="21.75" customHeight="1">
      <c r="A744" s="151"/>
      <c r="B744" s="219"/>
      <c r="C744" s="219"/>
      <c r="D744" s="219"/>
      <c r="E744" s="225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  <c r="AF744" s="143"/>
      <c r="AG744" s="143"/>
      <c r="AH744" s="143"/>
      <c r="AI744" s="143"/>
      <c r="AJ744" s="143"/>
    </row>
    <row r="745" spans="1:36" s="144" customFormat="1" ht="21.75" customHeight="1">
      <c r="A745" s="151"/>
      <c r="B745" s="219"/>
      <c r="C745" s="219"/>
      <c r="D745" s="219"/>
      <c r="E745" s="225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  <c r="AF745" s="143"/>
      <c r="AG745" s="143"/>
      <c r="AH745" s="143"/>
      <c r="AI745" s="143"/>
      <c r="AJ745" s="143"/>
    </row>
    <row r="746" spans="1:36" s="144" customFormat="1" ht="21.75" customHeight="1">
      <c r="A746" s="151"/>
      <c r="B746" s="219"/>
      <c r="C746" s="219"/>
      <c r="D746" s="219"/>
      <c r="E746" s="225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  <c r="AF746" s="143"/>
      <c r="AG746" s="143"/>
      <c r="AH746" s="143"/>
      <c r="AI746" s="143"/>
      <c r="AJ746" s="143"/>
    </row>
    <row r="747" spans="1:36" s="144" customFormat="1" ht="21.75" customHeight="1">
      <c r="A747" s="151"/>
      <c r="B747" s="219"/>
      <c r="C747" s="219"/>
      <c r="D747" s="219"/>
      <c r="E747" s="225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  <c r="AF747" s="143"/>
      <c r="AG747" s="143"/>
      <c r="AH747" s="143"/>
      <c r="AI747" s="143"/>
      <c r="AJ747" s="143"/>
    </row>
    <row r="748" spans="1:36" s="144" customFormat="1" ht="21.75" customHeight="1">
      <c r="A748" s="151"/>
      <c r="B748" s="219"/>
      <c r="C748" s="219"/>
      <c r="D748" s="219"/>
      <c r="E748" s="225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  <c r="AF748" s="143"/>
      <c r="AG748" s="143"/>
      <c r="AH748" s="143"/>
      <c r="AI748" s="143"/>
      <c r="AJ748" s="143"/>
    </row>
    <row r="749" spans="1:36" s="144" customFormat="1" ht="21.75" customHeight="1">
      <c r="A749" s="151"/>
      <c r="B749" s="219"/>
      <c r="C749" s="219"/>
      <c r="D749" s="219"/>
      <c r="E749" s="225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  <c r="AF749" s="143"/>
      <c r="AG749" s="143"/>
      <c r="AH749" s="143"/>
      <c r="AI749" s="143"/>
      <c r="AJ749" s="143"/>
    </row>
    <row r="750" spans="1:36" s="144" customFormat="1" ht="21.75" customHeight="1">
      <c r="A750" s="151"/>
      <c r="B750" s="219"/>
      <c r="C750" s="219"/>
      <c r="D750" s="219"/>
      <c r="E750" s="225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  <c r="AF750" s="143"/>
      <c r="AG750" s="143"/>
      <c r="AH750" s="143"/>
      <c r="AI750" s="143"/>
      <c r="AJ750" s="143"/>
    </row>
    <row r="751" spans="1:36" s="144" customFormat="1" ht="21.75" customHeight="1">
      <c r="A751" s="151"/>
      <c r="B751" s="219"/>
      <c r="C751" s="219"/>
      <c r="D751" s="219"/>
      <c r="E751" s="225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  <c r="AF751" s="143"/>
      <c r="AG751" s="143"/>
      <c r="AH751" s="143"/>
      <c r="AI751" s="143"/>
      <c r="AJ751" s="143"/>
    </row>
    <row r="752" spans="1:36" s="144" customFormat="1" ht="21.75" customHeight="1">
      <c r="A752" s="151"/>
      <c r="B752" s="219"/>
      <c r="C752" s="219"/>
      <c r="D752" s="219"/>
      <c r="E752" s="225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  <c r="AF752" s="143"/>
      <c r="AG752" s="143"/>
      <c r="AH752" s="143"/>
      <c r="AI752" s="143"/>
      <c r="AJ752" s="143"/>
    </row>
    <row r="753" spans="1:36" s="144" customFormat="1" ht="21.75" customHeight="1">
      <c r="A753" s="151"/>
      <c r="B753" s="219"/>
      <c r="C753" s="219"/>
      <c r="D753" s="219"/>
      <c r="E753" s="225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  <c r="AF753" s="143"/>
      <c r="AG753" s="143"/>
      <c r="AH753" s="143"/>
      <c r="AI753" s="143"/>
      <c r="AJ753" s="143"/>
    </row>
    <row r="754" spans="1:36" s="144" customFormat="1" ht="21.75" customHeight="1">
      <c r="A754" s="151"/>
      <c r="B754" s="219"/>
      <c r="C754" s="219"/>
      <c r="D754" s="219"/>
      <c r="E754" s="225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  <c r="AF754" s="143"/>
      <c r="AG754" s="143"/>
      <c r="AH754" s="143"/>
      <c r="AI754" s="143"/>
      <c r="AJ754" s="143"/>
    </row>
    <row r="755" spans="1:36" s="144" customFormat="1" ht="21.75" customHeight="1">
      <c r="A755" s="151"/>
      <c r="B755" s="219"/>
      <c r="C755" s="219"/>
      <c r="D755" s="219"/>
      <c r="E755" s="225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  <c r="AF755" s="143"/>
      <c r="AG755" s="143"/>
      <c r="AH755" s="143"/>
      <c r="AI755" s="143"/>
      <c r="AJ755" s="143"/>
    </row>
    <row r="756" spans="1:36" s="144" customFormat="1" ht="21.75" customHeight="1">
      <c r="A756" s="151"/>
      <c r="B756" s="219"/>
      <c r="C756" s="219"/>
      <c r="D756" s="219"/>
      <c r="E756" s="225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  <c r="AF756" s="143"/>
      <c r="AG756" s="143"/>
      <c r="AH756" s="143"/>
      <c r="AI756" s="143"/>
      <c r="AJ756" s="143"/>
    </row>
    <row r="757" spans="1:36" s="144" customFormat="1" ht="21.75" customHeight="1">
      <c r="A757" s="151"/>
      <c r="B757" s="219"/>
      <c r="C757" s="219"/>
      <c r="D757" s="219"/>
      <c r="E757" s="225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  <c r="AF757" s="143"/>
      <c r="AG757" s="143"/>
      <c r="AH757" s="143"/>
      <c r="AI757" s="143"/>
      <c r="AJ757" s="143"/>
    </row>
    <row r="758" spans="1:36" s="144" customFormat="1" ht="21.75" customHeight="1">
      <c r="A758" s="151"/>
      <c r="B758" s="219"/>
      <c r="C758" s="219"/>
      <c r="D758" s="219"/>
      <c r="E758" s="225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  <c r="AF758" s="143"/>
      <c r="AG758" s="143"/>
      <c r="AH758" s="143"/>
      <c r="AI758" s="143"/>
      <c r="AJ758" s="143"/>
    </row>
    <row r="759" spans="1:36" s="144" customFormat="1" ht="21.75" customHeight="1">
      <c r="A759" s="151"/>
      <c r="B759" s="219"/>
      <c r="C759" s="219"/>
      <c r="D759" s="219"/>
      <c r="E759" s="225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  <c r="AF759" s="143"/>
      <c r="AG759" s="143"/>
      <c r="AH759" s="143"/>
      <c r="AI759" s="143"/>
      <c r="AJ759" s="143"/>
    </row>
    <row r="760" spans="1:36" s="144" customFormat="1" ht="21.75" customHeight="1">
      <c r="A760" s="151"/>
      <c r="B760" s="219"/>
      <c r="C760" s="219"/>
      <c r="D760" s="219"/>
      <c r="E760" s="225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  <c r="AF760" s="143"/>
      <c r="AG760" s="143"/>
      <c r="AH760" s="143"/>
      <c r="AI760" s="143"/>
      <c r="AJ760" s="143"/>
    </row>
    <row r="761" spans="1:36" s="144" customFormat="1" ht="21.75" customHeight="1">
      <c r="A761" s="151"/>
      <c r="B761" s="219"/>
      <c r="C761" s="219"/>
      <c r="D761" s="219"/>
      <c r="E761" s="225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  <c r="AF761" s="143"/>
      <c r="AG761" s="143"/>
      <c r="AH761" s="143"/>
      <c r="AI761" s="143"/>
      <c r="AJ761" s="143"/>
    </row>
    <row r="762" spans="1:36" s="144" customFormat="1" ht="21.75" customHeight="1">
      <c r="A762" s="151"/>
      <c r="B762" s="219"/>
      <c r="C762" s="219"/>
      <c r="D762" s="219"/>
      <c r="E762" s="225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  <c r="AF762" s="143"/>
      <c r="AG762" s="143"/>
      <c r="AH762" s="143"/>
      <c r="AI762" s="143"/>
      <c r="AJ762" s="143"/>
    </row>
    <row r="763" spans="1:36" s="144" customFormat="1" ht="21.75" customHeight="1">
      <c r="A763" s="151"/>
      <c r="B763" s="219"/>
      <c r="C763" s="219"/>
      <c r="D763" s="219"/>
      <c r="E763" s="225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  <c r="AF763" s="143"/>
      <c r="AG763" s="143"/>
      <c r="AH763" s="143"/>
      <c r="AI763" s="143"/>
      <c r="AJ763" s="143"/>
    </row>
    <row r="764" spans="1:36" s="144" customFormat="1" ht="21.75" customHeight="1">
      <c r="A764" s="151"/>
      <c r="B764" s="219"/>
      <c r="C764" s="219"/>
      <c r="D764" s="219"/>
      <c r="E764" s="225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  <c r="AF764" s="143"/>
      <c r="AG764" s="143"/>
      <c r="AH764" s="143"/>
      <c r="AI764" s="143"/>
      <c r="AJ764" s="143"/>
    </row>
    <row r="765" spans="1:36" s="144" customFormat="1" ht="21.75" customHeight="1">
      <c r="A765" s="151"/>
      <c r="B765" s="219"/>
      <c r="C765" s="219"/>
      <c r="D765" s="219"/>
      <c r="E765" s="225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  <c r="AF765" s="143"/>
      <c r="AG765" s="143"/>
      <c r="AH765" s="143"/>
      <c r="AI765" s="143"/>
      <c r="AJ765" s="143"/>
    </row>
    <row r="766" spans="1:36" s="144" customFormat="1" ht="21.75" customHeight="1">
      <c r="A766" s="151"/>
      <c r="B766" s="219"/>
      <c r="C766" s="219"/>
      <c r="D766" s="219"/>
      <c r="E766" s="225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  <c r="AF766" s="143"/>
      <c r="AG766" s="143"/>
      <c r="AH766" s="143"/>
      <c r="AI766" s="143"/>
      <c r="AJ766" s="143"/>
    </row>
    <row r="767" spans="1:36" s="144" customFormat="1" ht="21.75" customHeight="1">
      <c r="A767" s="151"/>
      <c r="B767" s="219"/>
      <c r="C767" s="219"/>
      <c r="D767" s="219"/>
      <c r="E767" s="225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  <c r="AF767" s="143"/>
      <c r="AG767" s="143"/>
      <c r="AH767" s="143"/>
      <c r="AI767" s="143"/>
      <c r="AJ767" s="143"/>
    </row>
    <row r="768" spans="1:36" s="144" customFormat="1" ht="21.75" customHeight="1">
      <c r="A768" s="151"/>
      <c r="B768" s="219"/>
      <c r="C768" s="219"/>
      <c r="D768" s="219"/>
      <c r="E768" s="225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  <c r="AF768" s="143"/>
      <c r="AG768" s="143"/>
      <c r="AH768" s="143"/>
      <c r="AI768" s="143"/>
      <c r="AJ768" s="143"/>
    </row>
    <row r="769" spans="1:36" s="144" customFormat="1" ht="21.75" customHeight="1">
      <c r="A769" s="151"/>
      <c r="B769" s="219"/>
      <c r="C769" s="219"/>
      <c r="D769" s="219"/>
      <c r="E769" s="225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  <c r="AF769" s="143"/>
      <c r="AG769" s="143"/>
      <c r="AH769" s="143"/>
      <c r="AI769" s="143"/>
      <c r="AJ769" s="143"/>
    </row>
    <row r="770" spans="1:36" s="144" customFormat="1" ht="21.75" customHeight="1">
      <c r="A770" s="151"/>
      <c r="B770" s="219"/>
      <c r="C770" s="219"/>
      <c r="D770" s="219"/>
      <c r="E770" s="225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  <c r="AF770" s="143"/>
      <c r="AG770" s="143"/>
      <c r="AH770" s="143"/>
      <c r="AI770" s="143"/>
      <c r="AJ770" s="143"/>
    </row>
    <row r="771" spans="1:36" s="144" customFormat="1" ht="21.75" customHeight="1">
      <c r="A771" s="151"/>
      <c r="B771" s="219"/>
      <c r="C771" s="219"/>
      <c r="D771" s="219"/>
      <c r="E771" s="225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  <c r="AF771" s="143"/>
      <c r="AG771" s="143"/>
      <c r="AH771" s="143"/>
      <c r="AI771" s="143"/>
      <c r="AJ771" s="143"/>
    </row>
    <row r="772" spans="1:36" s="144" customFormat="1" ht="21.75" customHeight="1">
      <c r="A772" s="151"/>
      <c r="B772" s="219"/>
      <c r="C772" s="219"/>
      <c r="D772" s="219"/>
      <c r="E772" s="225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  <c r="AF772" s="143"/>
      <c r="AG772" s="143"/>
      <c r="AH772" s="143"/>
      <c r="AI772" s="143"/>
      <c r="AJ772" s="143"/>
    </row>
    <row r="773" spans="1:36" s="144" customFormat="1" ht="21.75" customHeight="1">
      <c r="A773" s="151"/>
      <c r="B773" s="219"/>
      <c r="C773" s="219"/>
      <c r="D773" s="219"/>
      <c r="E773" s="225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  <c r="AF773" s="143"/>
      <c r="AG773" s="143"/>
      <c r="AH773" s="143"/>
      <c r="AI773" s="143"/>
      <c r="AJ773" s="143"/>
    </row>
    <row r="774" spans="1:36" s="144" customFormat="1" ht="21.75" customHeight="1">
      <c r="A774" s="151"/>
      <c r="B774" s="219"/>
      <c r="C774" s="219"/>
      <c r="D774" s="219"/>
      <c r="E774" s="225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  <c r="AF774" s="143"/>
      <c r="AG774" s="143"/>
      <c r="AH774" s="143"/>
      <c r="AI774" s="143"/>
      <c r="AJ774" s="143"/>
    </row>
    <row r="775" spans="1:36" s="144" customFormat="1" ht="21.75" customHeight="1">
      <c r="A775" s="151"/>
      <c r="B775" s="219"/>
      <c r="C775" s="219"/>
      <c r="D775" s="219"/>
      <c r="E775" s="225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  <c r="AF775" s="143"/>
      <c r="AG775" s="143"/>
      <c r="AH775" s="143"/>
      <c r="AI775" s="143"/>
      <c r="AJ775" s="143"/>
    </row>
    <row r="776" spans="1:36" s="144" customFormat="1" ht="21.75" customHeight="1">
      <c r="A776" s="151"/>
      <c r="B776" s="219"/>
      <c r="C776" s="219"/>
      <c r="D776" s="219"/>
      <c r="E776" s="225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  <c r="AF776" s="143"/>
      <c r="AG776" s="143"/>
      <c r="AH776" s="143"/>
      <c r="AI776" s="143"/>
      <c r="AJ776" s="143"/>
    </row>
    <row r="777" spans="1:36" s="144" customFormat="1" ht="21.75" customHeight="1">
      <c r="A777" s="151"/>
      <c r="B777" s="219"/>
      <c r="C777" s="219"/>
      <c r="D777" s="219"/>
      <c r="E777" s="225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  <c r="AF777" s="143"/>
      <c r="AG777" s="143"/>
      <c r="AH777" s="143"/>
      <c r="AI777" s="143"/>
      <c r="AJ777" s="143"/>
    </row>
    <row r="778" spans="1:36" s="144" customFormat="1" ht="21.75" customHeight="1">
      <c r="A778" s="151"/>
      <c r="B778" s="219"/>
      <c r="C778" s="219"/>
      <c r="D778" s="219"/>
      <c r="E778" s="225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  <c r="AF778" s="143"/>
      <c r="AG778" s="143"/>
      <c r="AH778" s="143"/>
      <c r="AI778" s="143"/>
      <c r="AJ778" s="143"/>
    </row>
    <row r="779" spans="1:36" s="144" customFormat="1" ht="21.75" customHeight="1">
      <c r="A779" s="151"/>
      <c r="B779" s="219"/>
      <c r="C779" s="219"/>
      <c r="D779" s="219"/>
      <c r="E779" s="225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  <c r="AF779" s="143"/>
      <c r="AG779" s="143"/>
      <c r="AH779" s="143"/>
      <c r="AI779" s="143"/>
      <c r="AJ779" s="143"/>
    </row>
    <row r="780" spans="1:36" s="144" customFormat="1" ht="21.75" customHeight="1">
      <c r="A780" s="151"/>
      <c r="B780" s="219"/>
      <c r="C780" s="219"/>
      <c r="D780" s="219"/>
      <c r="E780" s="225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  <c r="AF780" s="143"/>
      <c r="AG780" s="143"/>
      <c r="AH780" s="143"/>
      <c r="AI780" s="143"/>
      <c r="AJ780" s="143"/>
    </row>
    <row r="781" spans="1:36" s="144" customFormat="1" ht="21.75" customHeight="1">
      <c r="A781" s="151"/>
      <c r="B781" s="219"/>
      <c r="C781" s="219"/>
      <c r="D781" s="219"/>
      <c r="E781" s="225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  <c r="AF781" s="143"/>
      <c r="AG781" s="143"/>
      <c r="AH781" s="143"/>
      <c r="AI781" s="143"/>
      <c r="AJ781" s="143"/>
    </row>
    <row r="782" spans="1:36" s="144" customFormat="1" ht="21.75" customHeight="1">
      <c r="A782" s="151"/>
      <c r="B782" s="219"/>
      <c r="C782" s="219"/>
      <c r="D782" s="219"/>
      <c r="E782" s="225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  <c r="AF782" s="143"/>
      <c r="AG782" s="143"/>
      <c r="AH782" s="143"/>
      <c r="AI782" s="143"/>
      <c r="AJ782" s="143"/>
    </row>
    <row r="783" spans="1:36" s="144" customFormat="1" ht="21.75" customHeight="1">
      <c r="A783" s="151"/>
      <c r="B783" s="219"/>
      <c r="C783" s="219"/>
      <c r="D783" s="219"/>
      <c r="E783" s="225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  <c r="AF783" s="143"/>
      <c r="AG783" s="143"/>
      <c r="AH783" s="143"/>
      <c r="AI783" s="143"/>
      <c r="AJ783" s="143"/>
    </row>
    <row r="784" spans="1:36" s="144" customFormat="1" ht="21.75" customHeight="1">
      <c r="A784" s="151"/>
      <c r="B784" s="219"/>
      <c r="C784" s="219"/>
      <c r="D784" s="219"/>
      <c r="E784" s="225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  <c r="AF784" s="143"/>
      <c r="AG784" s="143"/>
      <c r="AH784" s="143"/>
      <c r="AI784" s="143"/>
      <c r="AJ784" s="143"/>
    </row>
    <row r="785" spans="1:36" s="144" customFormat="1" ht="21.75" customHeight="1">
      <c r="A785" s="151"/>
      <c r="B785" s="219"/>
      <c r="C785" s="219"/>
      <c r="D785" s="219"/>
      <c r="E785" s="225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  <c r="AF785" s="143"/>
      <c r="AG785" s="143"/>
      <c r="AH785" s="143"/>
      <c r="AI785" s="143"/>
      <c r="AJ785" s="143"/>
    </row>
    <row r="786" spans="1:36" s="144" customFormat="1" ht="21.75" customHeight="1">
      <c r="A786" s="151"/>
      <c r="B786" s="219"/>
      <c r="C786" s="219"/>
      <c r="D786" s="219"/>
      <c r="E786" s="225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  <c r="AF786" s="143"/>
      <c r="AG786" s="143"/>
      <c r="AH786" s="143"/>
      <c r="AI786" s="143"/>
      <c r="AJ786" s="143"/>
    </row>
    <row r="787" spans="1:36" s="144" customFormat="1" ht="21.75" customHeight="1">
      <c r="A787" s="151"/>
      <c r="B787" s="219"/>
      <c r="C787" s="219"/>
      <c r="D787" s="219"/>
      <c r="E787" s="225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  <c r="AF787" s="143"/>
      <c r="AG787" s="143"/>
      <c r="AH787" s="143"/>
      <c r="AI787" s="143"/>
      <c r="AJ787" s="143"/>
    </row>
    <row r="788" spans="1:36" s="144" customFormat="1" ht="21.75" customHeight="1">
      <c r="A788" s="151"/>
      <c r="B788" s="219"/>
      <c r="C788" s="219"/>
      <c r="D788" s="219"/>
      <c r="E788" s="225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  <c r="AF788" s="143"/>
      <c r="AG788" s="143"/>
      <c r="AH788" s="143"/>
      <c r="AI788" s="143"/>
      <c r="AJ788" s="143"/>
    </row>
    <row r="789" spans="1:36" s="144" customFormat="1" ht="21.75" customHeight="1">
      <c r="A789" s="151"/>
      <c r="B789" s="219"/>
      <c r="C789" s="219"/>
      <c r="D789" s="219"/>
      <c r="E789" s="225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  <c r="AF789" s="143"/>
      <c r="AG789" s="143"/>
      <c r="AH789" s="143"/>
      <c r="AI789" s="143"/>
      <c r="AJ789" s="143"/>
    </row>
    <row r="790" spans="1:36" s="144" customFormat="1" ht="21.75" customHeight="1">
      <c r="A790" s="151"/>
      <c r="B790" s="219"/>
      <c r="C790" s="219"/>
      <c r="D790" s="219"/>
      <c r="E790" s="225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  <c r="AF790" s="143"/>
      <c r="AG790" s="143"/>
      <c r="AH790" s="143"/>
      <c r="AI790" s="143"/>
      <c r="AJ790" s="143"/>
    </row>
    <row r="791" spans="1:36" s="144" customFormat="1" ht="21.75" customHeight="1">
      <c r="A791" s="151"/>
      <c r="B791" s="219"/>
      <c r="C791" s="219"/>
      <c r="D791" s="219"/>
      <c r="E791" s="225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  <c r="AF791" s="143"/>
      <c r="AG791" s="143"/>
      <c r="AH791" s="143"/>
      <c r="AI791" s="143"/>
      <c r="AJ791" s="143"/>
    </row>
    <row r="792" spans="1:36" s="144" customFormat="1" ht="21.75" customHeight="1">
      <c r="A792" s="151"/>
      <c r="B792" s="219"/>
      <c r="C792" s="219"/>
      <c r="D792" s="219"/>
      <c r="E792" s="225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  <c r="AF792" s="143"/>
      <c r="AG792" s="143"/>
      <c r="AH792" s="143"/>
      <c r="AI792" s="143"/>
      <c r="AJ792" s="143"/>
    </row>
    <row r="793" spans="1:36" s="144" customFormat="1" ht="21.75" customHeight="1">
      <c r="A793" s="151"/>
      <c r="B793" s="219"/>
      <c r="C793" s="219"/>
      <c r="D793" s="219"/>
      <c r="E793" s="225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  <c r="AF793" s="143"/>
      <c r="AG793" s="143"/>
      <c r="AH793" s="143"/>
      <c r="AI793" s="143"/>
      <c r="AJ793" s="143"/>
    </row>
    <row r="794" spans="1:36" s="144" customFormat="1" ht="21.75" customHeight="1">
      <c r="A794" s="151"/>
      <c r="B794" s="219"/>
      <c r="C794" s="219"/>
      <c r="D794" s="219"/>
      <c r="E794" s="225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  <c r="AF794" s="143"/>
      <c r="AG794" s="143"/>
      <c r="AH794" s="143"/>
      <c r="AI794" s="143"/>
      <c r="AJ794" s="143"/>
    </row>
    <row r="795" spans="1:36" s="144" customFormat="1" ht="21.75" customHeight="1">
      <c r="A795" s="151"/>
      <c r="B795" s="219"/>
      <c r="C795" s="219"/>
      <c r="D795" s="219"/>
      <c r="E795" s="225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  <c r="AF795" s="143"/>
      <c r="AG795" s="143"/>
      <c r="AH795" s="143"/>
      <c r="AI795" s="143"/>
      <c r="AJ795" s="143"/>
    </row>
    <row r="796" spans="1:36" s="144" customFormat="1" ht="21.75" customHeight="1">
      <c r="A796" s="151"/>
      <c r="B796" s="219"/>
      <c r="C796" s="219"/>
      <c r="D796" s="219"/>
      <c r="E796" s="225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  <c r="AF796" s="143"/>
      <c r="AG796" s="143"/>
      <c r="AH796" s="143"/>
      <c r="AI796" s="143"/>
      <c r="AJ796" s="143"/>
    </row>
    <row r="797" spans="1:36" s="144" customFormat="1" ht="21.75" customHeight="1">
      <c r="A797" s="151"/>
      <c r="B797" s="219"/>
      <c r="C797" s="219"/>
      <c r="D797" s="219"/>
      <c r="E797" s="225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  <c r="AF797" s="143"/>
      <c r="AG797" s="143"/>
      <c r="AH797" s="143"/>
      <c r="AI797" s="143"/>
      <c r="AJ797" s="143"/>
    </row>
    <row r="798" spans="1:36" s="144" customFormat="1" ht="21.75" customHeight="1">
      <c r="A798" s="151"/>
      <c r="B798" s="219"/>
      <c r="C798" s="219"/>
      <c r="D798" s="219"/>
      <c r="E798" s="225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  <c r="AF798" s="143"/>
      <c r="AG798" s="143"/>
      <c r="AH798" s="143"/>
      <c r="AI798" s="143"/>
      <c r="AJ798" s="143"/>
    </row>
    <row r="799" spans="1:36" s="144" customFormat="1" ht="21.75" customHeight="1">
      <c r="A799" s="151"/>
      <c r="B799" s="219"/>
      <c r="C799" s="219"/>
      <c r="D799" s="219"/>
      <c r="E799" s="225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  <c r="AF799" s="143"/>
      <c r="AG799" s="143"/>
      <c r="AH799" s="143"/>
      <c r="AI799" s="143"/>
      <c r="AJ799" s="143"/>
    </row>
    <row r="800" spans="1:36" s="144" customFormat="1" ht="21.75" customHeight="1">
      <c r="A800" s="151"/>
      <c r="B800" s="219"/>
      <c r="C800" s="219"/>
      <c r="D800" s="219"/>
      <c r="E800" s="225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  <c r="AF800" s="143"/>
      <c r="AG800" s="143"/>
      <c r="AH800" s="143"/>
      <c r="AI800" s="143"/>
      <c r="AJ800" s="143"/>
    </row>
    <row r="801" spans="1:36" s="144" customFormat="1" ht="21.75" customHeight="1">
      <c r="A801" s="151"/>
      <c r="B801" s="219"/>
      <c r="C801" s="219"/>
      <c r="D801" s="219"/>
      <c r="E801" s="225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  <c r="AF801" s="143"/>
      <c r="AG801" s="143"/>
      <c r="AH801" s="143"/>
      <c r="AI801" s="143"/>
      <c r="AJ801" s="143"/>
    </row>
    <row r="802" spans="1:36" s="144" customFormat="1" ht="21.75" customHeight="1">
      <c r="A802" s="151"/>
      <c r="B802" s="219"/>
      <c r="C802" s="219"/>
      <c r="D802" s="219"/>
      <c r="E802" s="225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  <c r="AF802" s="143"/>
      <c r="AG802" s="143"/>
      <c r="AH802" s="143"/>
      <c r="AI802" s="143"/>
      <c r="AJ802" s="143"/>
    </row>
    <row r="803" spans="1:36" s="144" customFormat="1" ht="21.75" customHeight="1">
      <c r="A803" s="151"/>
      <c r="B803" s="219"/>
      <c r="C803" s="219"/>
      <c r="D803" s="219"/>
      <c r="E803" s="225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  <c r="AF803" s="143"/>
      <c r="AG803" s="143"/>
      <c r="AH803" s="143"/>
      <c r="AI803" s="143"/>
      <c r="AJ803" s="143"/>
    </row>
    <row r="804" spans="1:36" s="144" customFormat="1" ht="21.75" customHeight="1">
      <c r="A804" s="151"/>
      <c r="B804" s="219"/>
      <c r="C804" s="219"/>
      <c r="D804" s="219"/>
      <c r="E804" s="225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  <c r="AF804" s="143"/>
      <c r="AG804" s="143"/>
      <c r="AH804" s="143"/>
      <c r="AI804" s="143"/>
      <c r="AJ804" s="143"/>
    </row>
    <row r="805" spans="1:36" s="144" customFormat="1" ht="21.75" customHeight="1">
      <c r="A805" s="151"/>
      <c r="B805" s="219"/>
      <c r="C805" s="219"/>
      <c r="D805" s="219"/>
      <c r="E805" s="225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  <c r="AF805" s="143"/>
      <c r="AG805" s="143"/>
      <c r="AH805" s="143"/>
      <c r="AI805" s="143"/>
      <c r="AJ805" s="143"/>
    </row>
    <row r="806" spans="1:36" s="144" customFormat="1" ht="21.75" customHeight="1">
      <c r="A806" s="151"/>
      <c r="B806" s="219"/>
      <c r="C806" s="219"/>
      <c r="D806" s="219"/>
      <c r="E806" s="225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  <c r="AF806" s="143"/>
      <c r="AG806" s="143"/>
      <c r="AH806" s="143"/>
      <c r="AI806" s="143"/>
      <c r="AJ806" s="143"/>
    </row>
    <row r="807" spans="1:36" s="144" customFormat="1" ht="21.75" customHeight="1">
      <c r="A807" s="151"/>
      <c r="B807" s="219"/>
      <c r="C807" s="219"/>
      <c r="D807" s="219"/>
      <c r="E807" s="225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  <c r="AF807" s="143"/>
      <c r="AG807" s="143"/>
      <c r="AH807" s="143"/>
      <c r="AI807" s="143"/>
      <c r="AJ807" s="143"/>
    </row>
    <row r="808" spans="1:36" s="144" customFormat="1" ht="21.75" customHeight="1">
      <c r="A808" s="151"/>
      <c r="B808" s="219"/>
      <c r="C808" s="219"/>
      <c r="D808" s="219"/>
      <c r="E808" s="225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  <c r="AF808" s="143"/>
      <c r="AG808" s="143"/>
      <c r="AH808" s="143"/>
      <c r="AI808" s="143"/>
      <c r="AJ808" s="143"/>
    </row>
    <row r="809" spans="1:36" s="144" customFormat="1" ht="21.75" customHeight="1">
      <c r="A809" s="151"/>
      <c r="B809" s="219"/>
      <c r="C809" s="219"/>
      <c r="D809" s="219"/>
      <c r="E809" s="225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  <c r="AF809" s="143"/>
      <c r="AG809" s="143"/>
      <c r="AH809" s="143"/>
      <c r="AI809" s="143"/>
      <c r="AJ809" s="143"/>
    </row>
    <row r="810" spans="1:36" s="144" customFormat="1" ht="21.75" customHeight="1">
      <c r="A810" s="151"/>
      <c r="B810" s="219"/>
      <c r="C810" s="219"/>
      <c r="D810" s="219"/>
      <c r="E810" s="225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  <c r="AF810" s="143"/>
      <c r="AG810" s="143"/>
      <c r="AH810" s="143"/>
      <c r="AI810" s="143"/>
      <c r="AJ810" s="143"/>
    </row>
    <row r="811" spans="1:36" s="144" customFormat="1" ht="21.75" customHeight="1">
      <c r="A811" s="151"/>
      <c r="B811" s="219"/>
      <c r="C811" s="219"/>
      <c r="D811" s="219"/>
      <c r="E811" s="225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  <c r="AF811" s="143"/>
      <c r="AG811" s="143"/>
      <c r="AH811" s="143"/>
      <c r="AI811" s="143"/>
      <c r="AJ811" s="143"/>
    </row>
    <row r="812" spans="1:36" s="144" customFormat="1" ht="21.75" customHeight="1">
      <c r="A812" s="151"/>
      <c r="B812" s="219"/>
      <c r="C812" s="219"/>
      <c r="D812" s="219"/>
      <c r="E812" s="225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  <c r="AF812" s="143"/>
      <c r="AG812" s="143"/>
      <c r="AH812" s="143"/>
      <c r="AI812" s="143"/>
      <c r="AJ812" s="143"/>
    </row>
    <row r="813" spans="1:36" s="144" customFormat="1" ht="21.75" customHeight="1">
      <c r="A813" s="151"/>
      <c r="B813" s="219"/>
      <c r="C813" s="219"/>
      <c r="D813" s="219"/>
      <c r="E813" s="225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  <c r="AF813" s="143"/>
      <c r="AG813" s="143"/>
      <c r="AH813" s="143"/>
      <c r="AI813" s="143"/>
      <c r="AJ813" s="143"/>
    </row>
    <row r="814" spans="1:36" s="144" customFormat="1" ht="21.75" customHeight="1">
      <c r="A814" s="151"/>
      <c r="B814" s="219"/>
      <c r="C814" s="219"/>
      <c r="D814" s="219"/>
      <c r="E814" s="225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  <c r="AF814" s="143"/>
      <c r="AG814" s="143"/>
      <c r="AH814" s="143"/>
      <c r="AI814" s="143"/>
      <c r="AJ814" s="143"/>
    </row>
    <row r="815" spans="1:36" s="144" customFormat="1" ht="21.75" customHeight="1">
      <c r="A815" s="151"/>
      <c r="B815" s="219"/>
      <c r="C815" s="219"/>
      <c r="D815" s="219"/>
      <c r="E815" s="225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  <c r="AF815" s="143"/>
      <c r="AG815" s="143"/>
      <c r="AH815" s="143"/>
      <c r="AI815" s="143"/>
      <c r="AJ815" s="143"/>
    </row>
    <row r="816" spans="1:36" s="144" customFormat="1" ht="21.75" customHeight="1">
      <c r="A816" s="151"/>
      <c r="B816" s="219"/>
      <c r="C816" s="219"/>
      <c r="D816" s="219"/>
      <c r="E816" s="225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  <c r="AF816" s="143"/>
      <c r="AG816" s="143"/>
      <c r="AH816" s="143"/>
      <c r="AI816" s="143"/>
      <c r="AJ816" s="143"/>
    </row>
    <row r="817" spans="1:36" s="144" customFormat="1" ht="21.75" customHeight="1">
      <c r="A817" s="151"/>
      <c r="B817" s="219"/>
      <c r="C817" s="219"/>
      <c r="D817" s="219"/>
      <c r="E817" s="225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  <c r="AF817" s="143"/>
      <c r="AG817" s="143"/>
      <c r="AH817" s="143"/>
      <c r="AI817" s="143"/>
      <c r="AJ817" s="143"/>
    </row>
    <row r="818" spans="1:36" s="144" customFormat="1" ht="21.75" customHeight="1">
      <c r="A818" s="151"/>
      <c r="B818" s="219"/>
      <c r="C818" s="219"/>
      <c r="D818" s="219"/>
      <c r="E818" s="225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  <c r="AF818" s="143"/>
      <c r="AG818" s="143"/>
      <c r="AH818" s="143"/>
      <c r="AI818" s="143"/>
      <c r="AJ818" s="143"/>
    </row>
    <row r="819" spans="1:36" s="144" customFormat="1" ht="21.75" customHeight="1">
      <c r="A819" s="151"/>
      <c r="B819" s="219"/>
      <c r="C819" s="219"/>
      <c r="D819" s="219"/>
      <c r="E819" s="225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  <c r="AF819" s="143"/>
      <c r="AG819" s="143"/>
      <c r="AH819" s="143"/>
      <c r="AI819" s="143"/>
      <c r="AJ819" s="143"/>
    </row>
    <row r="820" spans="1:36" s="144" customFormat="1" ht="21.75" customHeight="1">
      <c r="A820" s="151"/>
      <c r="B820" s="219"/>
      <c r="C820" s="219"/>
      <c r="D820" s="219"/>
      <c r="E820" s="225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  <c r="AF820" s="143"/>
      <c r="AG820" s="143"/>
      <c r="AH820" s="143"/>
      <c r="AI820" s="143"/>
      <c r="AJ820" s="143"/>
    </row>
    <row r="821" spans="1:36" s="144" customFormat="1" ht="21.75" customHeight="1">
      <c r="A821" s="151"/>
      <c r="B821" s="219"/>
      <c r="C821" s="219"/>
      <c r="D821" s="219"/>
      <c r="E821" s="225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  <c r="AF821" s="143"/>
      <c r="AG821" s="143"/>
      <c r="AH821" s="143"/>
      <c r="AI821" s="143"/>
      <c r="AJ821" s="143"/>
    </row>
    <row r="822" spans="1:36" s="144" customFormat="1" ht="21.75" customHeight="1">
      <c r="A822" s="151"/>
      <c r="B822" s="219"/>
      <c r="C822" s="219"/>
      <c r="D822" s="219"/>
      <c r="E822" s="225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  <c r="AF822" s="143"/>
      <c r="AG822" s="143"/>
      <c r="AH822" s="143"/>
      <c r="AI822" s="143"/>
      <c r="AJ822" s="143"/>
    </row>
    <row r="823" spans="1:36" s="144" customFormat="1" ht="21.75" customHeight="1">
      <c r="A823" s="151"/>
      <c r="B823" s="219"/>
      <c r="C823" s="219"/>
      <c r="D823" s="219"/>
      <c r="E823" s="225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  <c r="AF823" s="143"/>
      <c r="AG823" s="143"/>
      <c r="AH823" s="143"/>
      <c r="AI823" s="143"/>
      <c r="AJ823" s="143"/>
    </row>
    <row r="824" spans="1:36" s="144" customFormat="1" ht="21.75" customHeight="1">
      <c r="A824" s="151"/>
      <c r="B824" s="219"/>
      <c r="C824" s="219"/>
      <c r="D824" s="219"/>
      <c r="E824" s="225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  <c r="AF824" s="143"/>
      <c r="AG824" s="143"/>
      <c r="AH824" s="143"/>
      <c r="AI824" s="143"/>
      <c r="AJ824" s="143"/>
    </row>
    <row r="825" spans="1:36" s="144" customFormat="1" ht="21.75" customHeight="1">
      <c r="A825" s="151"/>
      <c r="B825" s="219"/>
      <c r="C825" s="219"/>
      <c r="D825" s="219"/>
      <c r="E825" s="225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  <c r="AF825" s="143"/>
      <c r="AG825" s="143"/>
      <c r="AH825" s="143"/>
      <c r="AI825" s="143"/>
      <c r="AJ825" s="143"/>
    </row>
    <row r="826" spans="1:36" s="144" customFormat="1" ht="21.75" customHeight="1">
      <c r="A826" s="151"/>
      <c r="B826" s="219"/>
      <c r="C826" s="219"/>
      <c r="D826" s="219"/>
      <c r="E826" s="225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  <c r="AF826" s="143"/>
      <c r="AG826" s="143"/>
      <c r="AH826" s="143"/>
      <c r="AI826" s="143"/>
      <c r="AJ826" s="143"/>
    </row>
    <row r="827" spans="1:36" s="144" customFormat="1" ht="21.75" customHeight="1">
      <c r="A827" s="151"/>
      <c r="B827" s="219"/>
      <c r="C827" s="219"/>
      <c r="D827" s="219"/>
      <c r="E827" s="225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  <c r="AF827" s="143"/>
      <c r="AG827" s="143"/>
      <c r="AH827" s="143"/>
      <c r="AI827" s="143"/>
      <c r="AJ827" s="143"/>
    </row>
    <row r="828" spans="1:36" s="144" customFormat="1" ht="21.75" customHeight="1">
      <c r="A828" s="151"/>
      <c r="B828" s="219"/>
      <c r="C828" s="219"/>
      <c r="D828" s="219"/>
      <c r="E828" s="225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  <c r="AF828" s="143"/>
      <c r="AG828" s="143"/>
      <c r="AH828" s="143"/>
      <c r="AI828" s="143"/>
      <c r="AJ828" s="143"/>
    </row>
    <row r="829" spans="1:36" s="144" customFormat="1" ht="21.75" customHeight="1">
      <c r="A829" s="151"/>
      <c r="B829" s="219"/>
      <c r="C829" s="219"/>
      <c r="D829" s="219"/>
      <c r="E829" s="225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  <c r="AF829" s="143"/>
      <c r="AG829" s="143"/>
      <c r="AH829" s="143"/>
      <c r="AI829" s="143"/>
      <c r="AJ829" s="143"/>
    </row>
    <row r="830" spans="1:36" s="144" customFormat="1" ht="21.75" customHeight="1">
      <c r="A830" s="151"/>
      <c r="B830" s="219"/>
      <c r="C830" s="219"/>
      <c r="D830" s="219"/>
      <c r="E830" s="225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  <c r="AF830" s="143"/>
      <c r="AG830" s="143"/>
      <c r="AH830" s="143"/>
      <c r="AI830" s="143"/>
      <c r="AJ830" s="143"/>
    </row>
    <row r="831" spans="1:36" s="144" customFormat="1" ht="21.75" customHeight="1">
      <c r="A831" s="151"/>
      <c r="B831" s="219"/>
      <c r="C831" s="219"/>
      <c r="D831" s="219"/>
      <c r="E831" s="225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  <c r="AF831" s="143"/>
      <c r="AG831" s="143"/>
      <c r="AH831" s="143"/>
      <c r="AI831" s="143"/>
      <c r="AJ831" s="143"/>
    </row>
    <row r="832" spans="1:36" s="144" customFormat="1" ht="21.75" customHeight="1">
      <c r="A832" s="151"/>
      <c r="B832" s="219"/>
      <c r="C832" s="219"/>
      <c r="D832" s="219"/>
      <c r="E832" s="225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  <c r="AF832" s="143"/>
      <c r="AG832" s="143"/>
      <c r="AH832" s="143"/>
      <c r="AI832" s="143"/>
      <c r="AJ832" s="143"/>
    </row>
    <row r="833" spans="1:36" s="144" customFormat="1" ht="21.75" customHeight="1">
      <c r="A833" s="151"/>
      <c r="B833" s="219"/>
      <c r="C833" s="219"/>
      <c r="D833" s="219"/>
      <c r="E833" s="225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  <c r="AF833" s="143"/>
      <c r="AG833" s="143"/>
      <c r="AH833" s="143"/>
      <c r="AI833" s="143"/>
      <c r="AJ833" s="143"/>
    </row>
    <row r="834" spans="1:36" s="144" customFormat="1" ht="21.75" customHeight="1">
      <c r="A834" s="151"/>
      <c r="B834" s="219"/>
      <c r="C834" s="219"/>
      <c r="D834" s="219"/>
      <c r="E834" s="225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  <c r="AF834" s="143"/>
      <c r="AG834" s="143"/>
      <c r="AH834" s="143"/>
      <c r="AI834" s="143"/>
      <c r="AJ834" s="143"/>
    </row>
    <row r="835" spans="1:36" s="144" customFormat="1" ht="21.75" customHeight="1">
      <c r="A835" s="151"/>
      <c r="B835" s="219"/>
      <c r="C835" s="219"/>
      <c r="D835" s="219"/>
      <c r="E835" s="225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  <c r="AF835" s="143"/>
      <c r="AG835" s="143"/>
      <c r="AH835" s="143"/>
      <c r="AI835" s="143"/>
      <c r="AJ835" s="143"/>
    </row>
    <row r="836" spans="1:36" s="144" customFormat="1" ht="21.75" customHeight="1">
      <c r="A836" s="151"/>
      <c r="B836" s="219"/>
      <c r="C836" s="219"/>
      <c r="D836" s="219"/>
      <c r="E836" s="225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  <c r="AF836" s="143"/>
      <c r="AG836" s="143"/>
      <c r="AH836" s="143"/>
      <c r="AI836" s="143"/>
      <c r="AJ836" s="143"/>
    </row>
    <row r="837" spans="1:36" s="144" customFormat="1" ht="21.75" customHeight="1">
      <c r="A837" s="151"/>
      <c r="B837" s="219"/>
      <c r="C837" s="219"/>
      <c r="D837" s="219"/>
      <c r="E837" s="225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  <c r="AF837" s="143"/>
      <c r="AG837" s="143"/>
      <c r="AH837" s="143"/>
      <c r="AI837" s="143"/>
      <c r="AJ837" s="143"/>
    </row>
    <row r="838" spans="1:36" s="144" customFormat="1" ht="21.75" customHeight="1">
      <c r="A838" s="151"/>
      <c r="B838" s="219"/>
      <c r="C838" s="219"/>
      <c r="D838" s="219"/>
      <c r="E838" s="225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  <c r="AF838" s="143"/>
      <c r="AG838" s="143"/>
      <c r="AH838" s="143"/>
      <c r="AI838" s="143"/>
      <c r="AJ838" s="143"/>
    </row>
    <row r="839" spans="1:36" s="144" customFormat="1" ht="21.75" customHeight="1">
      <c r="A839" s="151"/>
      <c r="B839" s="219"/>
      <c r="C839" s="219"/>
      <c r="D839" s="219"/>
      <c r="E839" s="225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  <c r="AF839" s="143"/>
      <c r="AG839" s="143"/>
      <c r="AH839" s="143"/>
      <c r="AI839" s="143"/>
      <c r="AJ839" s="143"/>
    </row>
    <row r="840" spans="1:36" s="144" customFormat="1" ht="21.75" customHeight="1">
      <c r="A840" s="151"/>
      <c r="B840" s="219"/>
      <c r="C840" s="219"/>
      <c r="D840" s="219"/>
      <c r="E840" s="225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  <c r="AF840" s="143"/>
      <c r="AG840" s="143"/>
      <c r="AH840" s="143"/>
      <c r="AI840" s="143"/>
      <c r="AJ840" s="143"/>
    </row>
    <row r="841" spans="1:36" s="144" customFormat="1" ht="21.75" customHeight="1">
      <c r="A841" s="151"/>
      <c r="B841" s="219"/>
      <c r="C841" s="219"/>
      <c r="D841" s="219"/>
      <c r="E841" s="225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  <c r="AF841" s="143"/>
      <c r="AG841" s="143"/>
      <c r="AH841" s="143"/>
      <c r="AI841" s="143"/>
      <c r="AJ841" s="143"/>
    </row>
    <row r="842" spans="1:36" s="144" customFormat="1" ht="21.75" customHeight="1">
      <c r="A842" s="151"/>
      <c r="B842" s="219"/>
      <c r="C842" s="219"/>
      <c r="D842" s="219"/>
      <c r="E842" s="225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  <c r="AF842" s="143"/>
      <c r="AG842" s="143"/>
      <c r="AH842" s="143"/>
      <c r="AI842" s="143"/>
      <c r="AJ842" s="143"/>
    </row>
    <row r="843" spans="1:36" s="144" customFormat="1" ht="21.75" customHeight="1">
      <c r="A843" s="151"/>
      <c r="B843" s="219"/>
      <c r="C843" s="219"/>
      <c r="D843" s="219"/>
      <c r="E843" s="225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  <c r="AF843" s="143"/>
      <c r="AG843" s="143"/>
      <c r="AH843" s="143"/>
      <c r="AI843" s="143"/>
      <c r="AJ843" s="143"/>
    </row>
    <row r="844" spans="1:36" s="144" customFormat="1" ht="21.75" customHeight="1">
      <c r="A844" s="151"/>
      <c r="B844" s="219"/>
      <c r="C844" s="219"/>
      <c r="D844" s="219"/>
      <c r="E844" s="225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  <c r="AF844" s="143"/>
      <c r="AG844" s="143"/>
      <c r="AH844" s="143"/>
      <c r="AI844" s="143"/>
      <c r="AJ844" s="143"/>
    </row>
    <row r="845" spans="1:36" s="144" customFormat="1" ht="21.75" customHeight="1">
      <c r="A845" s="151"/>
      <c r="B845" s="219"/>
      <c r="C845" s="219"/>
      <c r="D845" s="219"/>
      <c r="E845" s="225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  <c r="AF845" s="143"/>
      <c r="AG845" s="143"/>
      <c r="AH845" s="143"/>
      <c r="AI845" s="143"/>
      <c r="AJ845" s="143"/>
    </row>
    <row r="846" spans="1:36" s="144" customFormat="1" ht="21.75" customHeight="1">
      <c r="A846" s="151"/>
      <c r="B846" s="219"/>
      <c r="C846" s="219"/>
      <c r="D846" s="219"/>
      <c r="E846" s="225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  <c r="AF846" s="143"/>
      <c r="AG846" s="143"/>
      <c r="AH846" s="143"/>
      <c r="AI846" s="143"/>
      <c r="AJ846" s="143"/>
    </row>
    <row r="847" spans="1:36" s="144" customFormat="1" ht="21.75" customHeight="1">
      <c r="A847" s="151"/>
      <c r="B847" s="219"/>
      <c r="C847" s="219"/>
      <c r="D847" s="219"/>
      <c r="E847" s="225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  <c r="AF847" s="143"/>
      <c r="AG847" s="143"/>
      <c r="AH847" s="143"/>
      <c r="AI847" s="143"/>
      <c r="AJ847" s="143"/>
    </row>
    <row r="848" spans="1:36" s="144" customFormat="1" ht="21.75" customHeight="1">
      <c r="A848" s="151"/>
      <c r="B848" s="219"/>
      <c r="C848" s="219"/>
      <c r="D848" s="219"/>
      <c r="E848" s="225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  <c r="AF848" s="143"/>
      <c r="AG848" s="143"/>
      <c r="AH848" s="143"/>
      <c r="AI848" s="143"/>
      <c r="AJ848" s="143"/>
    </row>
    <row r="849" spans="1:36" s="144" customFormat="1" ht="21.75" customHeight="1">
      <c r="A849" s="151"/>
      <c r="B849" s="219"/>
      <c r="C849" s="219"/>
      <c r="D849" s="219"/>
      <c r="E849" s="225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  <c r="AF849" s="143"/>
      <c r="AG849" s="143"/>
      <c r="AH849" s="143"/>
      <c r="AI849" s="143"/>
      <c r="AJ849" s="143"/>
    </row>
    <row r="850" spans="1:36" s="144" customFormat="1" ht="21.75" customHeight="1">
      <c r="A850" s="151"/>
      <c r="B850" s="219"/>
      <c r="C850" s="219"/>
      <c r="D850" s="219"/>
      <c r="E850" s="225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  <c r="AF850" s="143"/>
      <c r="AG850" s="143"/>
      <c r="AH850" s="143"/>
      <c r="AI850" s="143"/>
      <c r="AJ850" s="143"/>
    </row>
    <row r="851" spans="1:36" s="144" customFormat="1" ht="21.75" customHeight="1">
      <c r="A851" s="151"/>
      <c r="B851" s="219"/>
      <c r="C851" s="219"/>
      <c r="D851" s="219"/>
      <c r="E851" s="225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  <c r="AF851" s="143"/>
      <c r="AG851" s="143"/>
      <c r="AH851" s="143"/>
      <c r="AI851" s="143"/>
      <c r="AJ851" s="143"/>
    </row>
    <row r="852" spans="1:36" s="144" customFormat="1" ht="21.75" customHeight="1">
      <c r="A852" s="151"/>
      <c r="B852" s="219"/>
      <c r="C852" s="219"/>
      <c r="D852" s="219"/>
      <c r="E852" s="225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143"/>
      <c r="AI852" s="143"/>
      <c r="AJ852" s="143"/>
    </row>
    <row r="853" spans="1:36" s="144" customFormat="1" ht="21.75" customHeight="1">
      <c r="A853" s="151"/>
      <c r="B853" s="219"/>
      <c r="C853" s="219"/>
      <c r="D853" s="219"/>
      <c r="E853" s="225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143"/>
      <c r="AI853" s="143"/>
      <c r="AJ853" s="143"/>
    </row>
    <row r="854" spans="1:36" s="144" customFormat="1" ht="21.75" customHeight="1">
      <c r="A854" s="151"/>
      <c r="B854" s="219"/>
      <c r="C854" s="219"/>
      <c r="D854" s="219"/>
      <c r="E854" s="225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143"/>
      <c r="AI854" s="143"/>
      <c r="AJ854" s="143"/>
    </row>
    <row r="855" spans="1:36" s="144" customFormat="1" ht="21.75" customHeight="1">
      <c r="A855" s="151"/>
      <c r="B855" s="219"/>
      <c r="C855" s="219"/>
      <c r="D855" s="219"/>
      <c r="E855" s="225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143"/>
      <c r="AI855" s="143"/>
      <c r="AJ855" s="143"/>
    </row>
    <row r="856" spans="1:36" s="144" customFormat="1" ht="21.75" customHeight="1">
      <c r="A856" s="151"/>
      <c r="B856" s="219"/>
      <c r="C856" s="219"/>
      <c r="D856" s="219"/>
      <c r="E856" s="225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143"/>
      <c r="AI856" s="143"/>
      <c r="AJ856" s="143"/>
    </row>
    <row r="857" spans="1:36" s="144" customFormat="1" ht="21.75" customHeight="1">
      <c r="A857" s="151"/>
      <c r="B857" s="219"/>
      <c r="C857" s="219"/>
      <c r="D857" s="219"/>
      <c r="E857" s="225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143"/>
      <c r="AI857" s="143"/>
      <c r="AJ857" s="143"/>
    </row>
    <row r="858" spans="1:36" s="144" customFormat="1" ht="21.75" customHeight="1">
      <c r="A858" s="151"/>
      <c r="B858" s="219"/>
      <c r="C858" s="219"/>
      <c r="D858" s="219"/>
      <c r="E858" s="225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143"/>
      <c r="AI858" s="143"/>
      <c r="AJ858" s="143"/>
    </row>
    <row r="859" spans="1:36" s="144" customFormat="1" ht="21.75" customHeight="1">
      <c r="A859" s="151"/>
      <c r="B859" s="219"/>
      <c r="C859" s="219"/>
      <c r="D859" s="219"/>
      <c r="E859" s="225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  <c r="AF859" s="143"/>
      <c r="AG859" s="143"/>
      <c r="AH859" s="143"/>
      <c r="AI859" s="143"/>
      <c r="AJ859" s="143"/>
    </row>
    <row r="860" spans="1:36" s="144" customFormat="1" ht="21.75" customHeight="1">
      <c r="A860" s="151"/>
      <c r="B860" s="219"/>
      <c r="C860" s="219"/>
      <c r="D860" s="219"/>
      <c r="E860" s="225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  <c r="AF860" s="143"/>
      <c r="AG860" s="143"/>
      <c r="AH860" s="143"/>
      <c r="AI860" s="143"/>
      <c r="AJ860" s="143"/>
    </row>
    <row r="861" spans="1:36" s="144" customFormat="1" ht="21.75" customHeight="1">
      <c r="A861" s="151"/>
      <c r="B861" s="219"/>
      <c r="C861" s="219"/>
      <c r="D861" s="219"/>
      <c r="E861" s="225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  <c r="AF861" s="143"/>
      <c r="AG861" s="143"/>
      <c r="AH861" s="143"/>
      <c r="AI861" s="143"/>
      <c r="AJ861" s="143"/>
    </row>
    <row r="862" spans="1:36" s="144" customFormat="1" ht="21.75" customHeight="1">
      <c r="A862" s="151"/>
      <c r="B862" s="219"/>
      <c r="C862" s="219"/>
      <c r="D862" s="219"/>
      <c r="E862" s="225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  <c r="AF862" s="143"/>
      <c r="AG862" s="143"/>
      <c r="AH862" s="143"/>
      <c r="AI862" s="143"/>
      <c r="AJ862" s="143"/>
    </row>
    <row r="863" spans="1:36" s="144" customFormat="1" ht="21.75" customHeight="1">
      <c r="A863" s="151"/>
      <c r="B863" s="219"/>
      <c r="C863" s="219"/>
      <c r="D863" s="219"/>
      <c r="E863" s="225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  <c r="AF863" s="143"/>
      <c r="AG863" s="143"/>
      <c r="AH863" s="143"/>
      <c r="AI863" s="143"/>
      <c r="AJ863" s="143"/>
    </row>
    <row r="864" spans="1:36" s="144" customFormat="1" ht="21.75" customHeight="1">
      <c r="A864" s="151"/>
      <c r="B864" s="219"/>
      <c r="C864" s="219"/>
      <c r="D864" s="219"/>
      <c r="E864" s="225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  <c r="AF864" s="143"/>
      <c r="AG864" s="143"/>
      <c r="AH864" s="143"/>
      <c r="AI864" s="143"/>
      <c r="AJ864" s="143"/>
    </row>
    <row r="865" spans="1:36" s="144" customFormat="1" ht="21.75" customHeight="1">
      <c r="A865" s="151"/>
      <c r="B865" s="219"/>
      <c r="C865" s="219"/>
      <c r="D865" s="219"/>
      <c r="E865" s="225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  <c r="AF865" s="143"/>
      <c r="AG865" s="143"/>
      <c r="AH865" s="143"/>
      <c r="AI865" s="143"/>
      <c r="AJ865" s="143"/>
    </row>
    <row r="866" spans="1:36" s="144" customFormat="1" ht="21.75" customHeight="1">
      <c r="A866" s="151"/>
      <c r="B866" s="219"/>
      <c r="C866" s="219"/>
      <c r="D866" s="219"/>
      <c r="E866" s="225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  <c r="AF866" s="143"/>
      <c r="AG866" s="143"/>
      <c r="AH866" s="143"/>
      <c r="AI866" s="143"/>
      <c r="AJ866" s="143"/>
    </row>
    <row r="867" spans="1:36" s="144" customFormat="1" ht="21.75" customHeight="1">
      <c r="A867" s="151"/>
      <c r="B867" s="219"/>
      <c r="C867" s="219"/>
      <c r="D867" s="219"/>
      <c r="E867" s="225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  <c r="AF867" s="143"/>
      <c r="AG867" s="143"/>
      <c r="AH867" s="143"/>
      <c r="AI867" s="143"/>
      <c r="AJ867" s="143"/>
    </row>
    <row r="868" spans="1:36" s="144" customFormat="1" ht="21.75" customHeight="1">
      <c r="A868" s="151"/>
      <c r="B868" s="219"/>
      <c r="C868" s="219"/>
      <c r="D868" s="219"/>
      <c r="E868" s="225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  <c r="AF868" s="143"/>
      <c r="AG868" s="143"/>
      <c r="AH868" s="143"/>
      <c r="AI868" s="143"/>
      <c r="AJ868" s="143"/>
    </row>
    <row r="869" spans="1:36" s="144" customFormat="1" ht="21.75" customHeight="1">
      <c r="A869" s="151"/>
      <c r="B869" s="219"/>
      <c r="C869" s="219"/>
      <c r="D869" s="219"/>
      <c r="E869" s="225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  <c r="AF869" s="143"/>
      <c r="AG869" s="143"/>
      <c r="AH869" s="143"/>
      <c r="AI869" s="143"/>
      <c r="AJ869" s="143"/>
    </row>
    <row r="870" spans="1:36" s="144" customFormat="1" ht="21.75" customHeight="1">
      <c r="A870" s="151"/>
      <c r="B870" s="219"/>
      <c r="C870" s="219"/>
      <c r="D870" s="219"/>
      <c r="E870" s="225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  <c r="AF870" s="143"/>
      <c r="AG870" s="143"/>
      <c r="AH870" s="143"/>
      <c r="AI870" s="143"/>
      <c r="AJ870" s="143"/>
    </row>
    <row r="871" spans="1:36" s="144" customFormat="1" ht="21.75" customHeight="1">
      <c r="A871" s="151"/>
      <c r="B871" s="219"/>
      <c r="C871" s="219"/>
      <c r="D871" s="219"/>
      <c r="E871" s="225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  <c r="AF871" s="143"/>
      <c r="AG871" s="143"/>
      <c r="AH871" s="143"/>
      <c r="AI871" s="143"/>
      <c r="AJ871" s="143"/>
    </row>
    <row r="872" spans="1:36" s="144" customFormat="1" ht="21.75" customHeight="1">
      <c r="A872" s="151"/>
      <c r="B872" s="219"/>
      <c r="C872" s="219"/>
      <c r="D872" s="219"/>
      <c r="E872" s="225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  <c r="AF872" s="143"/>
      <c r="AG872" s="143"/>
      <c r="AH872" s="143"/>
      <c r="AI872" s="143"/>
      <c r="AJ872" s="143"/>
    </row>
    <row r="873" spans="1:36" s="144" customFormat="1" ht="21.75" customHeight="1">
      <c r="A873" s="151"/>
      <c r="B873" s="219"/>
      <c r="C873" s="219"/>
      <c r="D873" s="219"/>
      <c r="E873" s="225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  <c r="AF873" s="143"/>
      <c r="AG873" s="143"/>
      <c r="AH873" s="143"/>
      <c r="AI873" s="143"/>
      <c r="AJ873" s="143"/>
    </row>
    <row r="874" spans="1:36" s="144" customFormat="1" ht="21.75" customHeight="1">
      <c r="A874" s="151"/>
      <c r="B874" s="219"/>
      <c r="C874" s="219"/>
      <c r="D874" s="219"/>
      <c r="E874" s="225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  <c r="AF874" s="143"/>
      <c r="AG874" s="143"/>
      <c r="AH874" s="143"/>
      <c r="AI874" s="143"/>
      <c r="AJ874" s="143"/>
    </row>
    <row r="875" spans="1:36" s="144" customFormat="1" ht="21.75" customHeight="1">
      <c r="A875" s="151"/>
      <c r="B875" s="219"/>
      <c r="C875" s="219"/>
      <c r="D875" s="219"/>
      <c r="E875" s="225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  <c r="AF875" s="143"/>
      <c r="AG875" s="143"/>
      <c r="AH875" s="143"/>
      <c r="AI875" s="143"/>
      <c r="AJ875" s="143"/>
    </row>
    <row r="876" spans="1:36" s="144" customFormat="1" ht="21.75" customHeight="1">
      <c r="A876" s="151"/>
      <c r="B876" s="219"/>
      <c r="C876" s="219"/>
      <c r="D876" s="219"/>
      <c r="E876" s="225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  <c r="AF876" s="143"/>
      <c r="AG876" s="143"/>
      <c r="AH876" s="143"/>
      <c r="AI876" s="143"/>
      <c r="AJ876" s="143"/>
    </row>
    <row r="877" spans="1:36" s="144" customFormat="1" ht="21.75" customHeight="1">
      <c r="A877" s="151"/>
      <c r="B877" s="219"/>
      <c r="C877" s="219"/>
      <c r="D877" s="219"/>
      <c r="E877" s="225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  <c r="AF877" s="143"/>
      <c r="AG877" s="143"/>
      <c r="AH877" s="143"/>
      <c r="AI877" s="143"/>
      <c r="AJ877" s="143"/>
    </row>
    <row r="878" spans="1:36" s="144" customFormat="1" ht="21.75" customHeight="1">
      <c r="A878" s="151"/>
      <c r="B878" s="219"/>
      <c r="C878" s="219"/>
      <c r="D878" s="219"/>
      <c r="E878" s="225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  <c r="AF878" s="143"/>
      <c r="AG878" s="143"/>
      <c r="AH878" s="143"/>
      <c r="AI878" s="143"/>
      <c r="AJ878" s="143"/>
    </row>
    <row r="879" spans="1:36" s="144" customFormat="1" ht="21.75" customHeight="1">
      <c r="A879" s="151"/>
      <c r="B879" s="219"/>
      <c r="C879" s="219"/>
      <c r="D879" s="219"/>
      <c r="E879" s="225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  <c r="AF879" s="143"/>
      <c r="AG879" s="143"/>
      <c r="AH879" s="143"/>
      <c r="AI879" s="143"/>
      <c r="AJ879" s="143"/>
    </row>
    <row r="880" spans="1:36" s="144" customFormat="1" ht="21.75" customHeight="1">
      <c r="A880" s="151"/>
      <c r="B880" s="219"/>
      <c r="C880" s="219"/>
      <c r="D880" s="219"/>
      <c r="E880" s="225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  <c r="AF880" s="143"/>
      <c r="AG880" s="143"/>
      <c r="AH880" s="143"/>
      <c r="AI880" s="143"/>
      <c r="AJ880" s="143"/>
    </row>
    <row r="881" spans="1:36" s="144" customFormat="1" ht="21.75" customHeight="1">
      <c r="A881" s="151"/>
      <c r="B881" s="219"/>
      <c r="C881" s="219"/>
      <c r="D881" s="219"/>
      <c r="E881" s="225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  <c r="AF881" s="143"/>
      <c r="AG881" s="143"/>
      <c r="AH881" s="143"/>
      <c r="AI881" s="143"/>
      <c r="AJ881" s="143"/>
    </row>
    <row r="882" spans="1:36" s="144" customFormat="1" ht="21.75" customHeight="1">
      <c r="A882" s="151"/>
      <c r="B882" s="219"/>
      <c r="C882" s="219"/>
      <c r="D882" s="219"/>
      <c r="E882" s="225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  <c r="AF882" s="143"/>
      <c r="AG882" s="143"/>
      <c r="AH882" s="143"/>
      <c r="AI882" s="143"/>
      <c r="AJ882" s="143"/>
    </row>
    <row r="883" spans="1:36" s="144" customFormat="1" ht="21.75" customHeight="1">
      <c r="A883" s="151"/>
      <c r="B883" s="219"/>
      <c r="C883" s="219"/>
      <c r="D883" s="219"/>
      <c r="E883" s="225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  <c r="AF883" s="143"/>
      <c r="AG883" s="143"/>
      <c r="AH883" s="143"/>
      <c r="AI883" s="143"/>
      <c r="AJ883" s="143"/>
    </row>
    <row r="884" spans="1:36" s="144" customFormat="1" ht="21.75" customHeight="1">
      <c r="A884" s="151"/>
      <c r="B884" s="219"/>
      <c r="C884" s="219"/>
      <c r="D884" s="219"/>
      <c r="E884" s="225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  <c r="AF884" s="143"/>
      <c r="AG884" s="143"/>
      <c r="AH884" s="143"/>
      <c r="AI884" s="143"/>
      <c r="AJ884" s="143"/>
    </row>
    <row r="885" spans="1:36" s="144" customFormat="1" ht="21.75" customHeight="1">
      <c r="A885" s="151"/>
      <c r="B885" s="219"/>
      <c r="C885" s="219"/>
      <c r="D885" s="219"/>
      <c r="E885" s="225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  <c r="AF885" s="143"/>
      <c r="AG885" s="143"/>
      <c r="AH885" s="143"/>
      <c r="AI885" s="143"/>
      <c r="AJ885" s="143"/>
    </row>
    <row r="886" spans="1:36" s="144" customFormat="1" ht="21.75" customHeight="1">
      <c r="A886" s="151"/>
      <c r="B886" s="219"/>
      <c r="C886" s="219"/>
      <c r="D886" s="219"/>
      <c r="E886" s="225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  <c r="AF886" s="143"/>
      <c r="AG886" s="143"/>
      <c r="AH886" s="143"/>
      <c r="AI886" s="143"/>
      <c r="AJ886" s="143"/>
    </row>
    <row r="887" spans="1:36" s="144" customFormat="1" ht="21.75" customHeight="1">
      <c r="A887" s="151"/>
      <c r="B887" s="219"/>
      <c r="C887" s="219"/>
      <c r="D887" s="219"/>
      <c r="E887" s="225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  <c r="AF887" s="143"/>
      <c r="AG887" s="143"/>
      <c r="AH887" s="143"/>
      <c r="AI887" s="143"/>
      <c r="AJ887" s="143"/>
    </row>
    <row r="888" spans="1:36" s="144" customFormat="1" ht="21.75" customHeight="1">
      <c r="A888" s="151"/>
      <c r="B888" s="219"/>
      <c r="C888" s="219"/>
      <c r="D888" s="219"/>
      <c r="E888" s="225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  <c r="AF888" s="143"/>
      <c r="AG888" s="143"/>
      <c r="AH888" s="143"/>
      <c r="AI888" s="143"/>
      <c r="AJ888" s="143"/>
    </row>
    <row r="889" spans="1:36" s="144" customFormat="1" ht="21.75" customHeight="1">
      <c r="A889" s="151"/>
      <c r="B889" s="219"/>
      <c r="C889" s="219"/>
      <c r="D889" s="219"/>
      <c r="E889" s="225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  <c r="AF889" s="143"/>
      <c r="AG889" s="143"/>
      <c r="AH889" s="143"/>
      <c r="AI889" s="143"/>
      <c r="AJ889" s="143"/>
    </row>
    <row r="890" spans="1:36" s="144" customFormat="1" ht="21.75" customHeight="1">
      <c r="A890" s="151"/>
      <c r="B890" s="219"/>
      <c r="C890" s="219"/>
      <c r="D890" s="219"/>
      <c r="E890" s="225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  <c r="AF890" s="143"/>
      <c r="AG890" s="143"/>
      <c r="AH890" s="143"/>
      <c r="AI890" s="143"/>
      <c r="AJ890" s="143"/>
    </row>
    <row r="891" spans="1:36" s="144" customFormat="1" ht="21.75" customHeight="1">
      <c r="A891" s="151"/>
      <c r="B891" s="219"/>
      <c r="C891" s="219"/>
      <c r="D891" s="219"/>
      <c r="E891" s="225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  <c r="AF891" s="143"/>
      <c r="AG891" s="143"/>
      <c r="AH891" s="143"/>
      <c r="AI891" s="143"/>
      <c r="AJ891" s="143"/>
    </row>
    <row r="892" spans="1:36" s="144" customFormat="1" ht="21.75" customHeight="1">
      <c r="A892" s="151"/>
      <c r="B892" s="219"/>
      <c r="C892" s="219"/>
      <c r="D892" s="219"/>
      <c r="E892" s="225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  <c r="AF892" s="143"/>
      <c r="AG892" s="143"/>
      <c r="AH892" s="143"/>
      <c r="AI892" s="143"/>
      <c r="AJ892" s="143"/>
    </row>
    <row r="893" spans="1:36" s="144" customFormat="1" ht="21.75" customHeight="1">
      <c r="A893" s="151"/>
      <c r="B893" s="219"/>
      <c r="C893" s="219"/>
      <c r="D893" s="219"/>
      <c r="E893" s="225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  <c r="AF893" s="143"/>
      <c r="AG893" s="143"/>
      <c r="AH893" s="143"/>
      <c r="AI893" s="143"/>
      <c r="AJ893" s="143"/>
    </row>
    <row r="894" spans="1:36" s="144" customFormat="1" ht="21.75" customHeight="1">
      <c r="A894" s="151"/>
      <c r="B894" s="219"/>
      <c r="C894" s="219"/>
      <c r="D894" s="219"/>
      <c r="E894" s="225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  <c r="AF894" s="143"/>
      <c r="AG894" s="143"/>
      <c r="AH894" s="143"/>
      <c r="AI894" s="143"/>
      <c r="AJ894" s="143"/>
    </row>
    <row r="895" spans="1:36" s="144" customFormat="1" ht="21.75" customHeight="1">
      <c r="A895" s="151"/>
      <c r="B895" s="219"/>
      <c r="C895" s="219"/>
      <c r="D895" s="219"/>
      <c r="E895" s="225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  <c r="AF895" s="143"/>
      <c r="AG895" s="143"/>
      <c r="AH895" s="143"/>
      <c r="AI895" s="143"/>
      <c r="AJ895" s="143"/>
    </row>
    <row r="896" spans="1:36" s="144" customFormat="1" ht="21.75" customHeight="1">
      <c r="A896" s="151"/>
      <c r="B896" s="219"/>
      <c r="C896" s="219"/>
      <c r="D896" s="219"/>
      <c r="E896" s="225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  <c r="AF896" s="143"/>
      <c r="AG896" s="143"/>
      <c r="AH896" s="143"/>
      <c r="AI896" s="143"/>
      <c r="AJ896" s="143"/>
    </row>
    <row r="897" spans="1:36" s="144" customFormat="1" ht="21.75" customHeight="1">
      <c r="A897" s="151"/>
      <c r="B897" s="219"/>
      <c r="C897" s="219"/>
      <c r="D897" s="219"/>
      <c r="E897" s="225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  <c r="AF897" s="143"/>
      <c r="AG897" s="143"/>
      <c r="AH897" s="143"/>
      <c r="AI897" s="143"/>
      <c r="AJ897" s="143"/>
    </row>
    <row r="898" spans="1:36" s="144" customFormat="1" ht="21.75" customHeight="1">
      <c r="A898" s="151"/>
      <c r="B898" s="219"/>
      <c r="C898" s="219"/>
      <c r="D898" s="219"/>
      <c r="E898" s="225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  <c r="AF898" s="143"/>
      <c r="AG898" s="143"/>
      <c r="AH898" s="143"/>
      <c r="AI898" s="143"/>
      <c r="AJ898" s="143"/>
    </row>
    <row r="899" spans="1:36" s="144" customFormat="1" ht="21.75" customHeight="1">
      <c r="A899" s="151"/>
      <c r="B899" s="219"/>
      <c r="C899" s="219"/>
      <c r="D899" s="219"/>
      <c r="E899" s="225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  <c r="AF899" s="143"/>
      <c r="AG899" s="143"/>
      <c r="AH899" s="143"/>
      <c r="AI899" s="143"/>
      <c r="AJ899" s="143"/>
    </row>
    <row r="900" spans="1:36" s="144" customFormat="1" ht="21.75" customHeight="1">
      <c r="A900" s="151"/>
      <c r="B900" s="219"/>
      <c r="C900" s="219"/>
      <c r="D900" s="219"/>
      <c r="E900" s="225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  <c r="AF900" s="143"/>
      <c r="AG900" s="143"/>
      <c r="AH900" s="143"/>
      <c r="AI900" s="143"/>
      <c r="AJ900" s="143"/>
    </row>
    <row r="901" spans="1:36" s="144" customFormat="1" ht="21.75" customHeight="1">
      <c r="A901" s="151"/>
      <c r="B901" s="219"/>
      <c r="C901" s="219"/>
      <c r="D901" s="219"/>
      <c r="E901" s="225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  <c r="AF901" s="143"/>
      <c r="AG901" s="143"/>
      <c r="AH901" s="143"/>
      <c r="AI901" s="143"/>
      <c r="AJ901" s="143"/>
    </row>
    <row r="902" spans="1:36" s="144" customFormat="1" ht="21.75" customHeight="1">
      <c r="A902" s="151"/>
      <c r="B902" s="219"/>
      <c r="C902" s="219"/>
      <c r="D902" s="219"/>
      <c r="E902" s="225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  <c r="AF902" s="143"/>
      <c r="AG902" s="143"/>
      <c r="AH902" s="143"/>
      <c r="AI902" s="143"/>
      <c r="AJ902" s="143"/>
    </row>
    <row r="903" spans="1:36" s="144" customFormat="1" ht="21.75" customHeight="1">
      <c r="A903" s="151"/>
      <c r="B903" s="219"/>
      <c r="C903" s="219"/>
      <c r="D903" s="219"/>
      <c r="E903" s="225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  <c r="AF903" s="143"/>
      <c r="AG903" s="143"/>
      <c r="AH903" s="143"/>
      <c r="AI903" s="143"/>
      <c r="AJ903" s="143"/>
    </row>
    <row r="904" spans="1:36" s="144" customFormat="1" ht="21.75" customHeight="1">
      <c r="A904" s="151"/>
      <c r="B904" s="219"/>
      <c r="C904" s="219"/>
      <c r="D904" s="219"/>
      <c r="E904" s="225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  <c r="AF904" s="143"/>
      <c r="AG904" s="143"/>
      <c r="AH904" s="143"/>
      <c r="AI904" s="143"/>
      <c r="AJ904" s="143"/>
    </row>
    <row r="905" spans="1:36" s="144" customFormat="1" ht="21.75" customHeight="1">
      <c r="A905" s="151"/>
      <c r="B905" s="219"/>
      <c r="C905" s="219"/>
      <c r="D905" s="219"/>
      <c r="E905" s="225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  <c r="AF905" s="143"/>
      <c r="AG905" s="143"/>
      <c r="AH905" s="143"/>
      <c r="AI905" s="143"/>
      <c r="AJ905" s="143"/>
    </row>
    <row r="906" spans="1:36" s="144" customFormat="1" ht="21.75" customHeight="1">
      <c r="A906" s="151"/>
      <c r="B906" s="219"/>
      <c r="C906" s="219"/>
      <c r="D906" s="219"/>
      <c r="E906" s="225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  <c r="AF906" s="143"/>
      <c r="AG906" s="143"/>
      <c r="AH906" s="143"/>
      <c r="AI906" s="143"/>
      <c r="AJ906" s="143"/>
    </row>
    <row r="907" spans="1:36" s="144" customFormat="1" ht="21.75" customHeight="1">
      <c r="A907" s="151"/>
      <c r="B907" s="219"/>
      <c r="C907" s="219"/>
      <c r="D907" s="219"/>
      <c r="E907" s="225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  <c r="AF907" s="143"/>
      <c r="AG907" s="143"/>
      <c r="AH907" s="143"/>
      <c r="AI907" s="143"/>
      <c r="AJ907" s="143"/>
    </row>
    <row r="908" spans="1:36" s="144" customFormat="1" ht="21.75" customHeight="1">
      <c r="A908" s="151"/>
      <c r="B908" s="219"/>
      <c r="C908" s="219"/>
      <c r="D908" s="219"/>
      <c r="E908" s="225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  <c r="AF908" s="143"/>
      <c r="AG908" s="143"/>
      <c r="AH908" s="143"/>
      <c r="AI908" s="143"/>
      <c r="AJ908" s="143"/>
    </row>
    <row r="909" spans="1:36" s="144" customFormat="1" ht="21.75" customHeight="1">
      <c r="A909" s="151"/>
      <c r="B909" s="219"/>
      <c r="C909" s="219"/>
      <c r="D909" s="219"/>
      <c r="E909" s="225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  <c r="AF909" s="143"/>
      <c r="AG909" s="143"/>
      <c r="AH909" s="143"/>
      <c r="AI909" s="143"/>
      <c r="AJ909" s="143"/>
    </row>
    <row r="910" spans="1:36" s="144" customFormat="1" ht="21.75" customHeight="1">
      <c r="A910" s="151"/>
      <c r="B910" s="219"/>
      <c r="C910" s="219"/>
      <c r="D910" s="219"/>
      <c r="E910" s="225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  <c r="AF910" s="143"/>
      <c r="AG910" s="143"/>
      <c r="AH910" s="143"/>
      <c r="AI910" s="143"/>
      <c r="AJ910" s="143"/>
    </row>
    <row r="911" spans="1:36" s="144" customFormat="1" ht="21.75" customHeight="1">
      <c r="A911" s="151"/>
      <c r="B911" s="219"/>
      <c r="C911" s="219"/>
      <c r="D911" s="219"/>
      <c r="E911" s="225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  <c r="AF911" s="143"/>
      <c r="AG911" s="143"/>
      <c r="AH911" s="143"/>
      <c r="AI911" s="143"/>
      <c r="AJ911" s="143"/>
    </row>
    <row r="912" spans="1:36" s="144" customFormat="1" ht="21.75" customHeight="1">
      <c r="A912" s="151"/>
      <c r="B912" s="219"/>
      <c r="C912" s="219"/>
      <c r="D912" s="219"/>
      <c r="E912" s="225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  <c r="AF912" s="143"/>
      <c r="AG912" s="143"/>
      <c r="AH912" s="143"/>
      <c r="AI912" s="143"/>
      <c r="AJ912" s="143"/>
    </row>
    <row r="913" spans="1:36" s="144" customFormat="1" ht="21.75" customHeight="1">
      <c r="A913" s="151"/>
      <c r="B913" s="219"/>
      <c r="C913" s="219"/>
      <c r="D913" s="219"/>
      <c r="E913" s="225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  <c r="AF913" s="143"/>
      <c r="AG913" s="143"/>
      <c r="AH913" s="143"/>
      <c r="AI913" s="143"/>
      <c r="AJ913" s="143"/>
    </row>
    <row r="914" spans="1:36" s="144" customFormat="1" ht="21.75" customHeight="1">
      <c r="A914" s="151"/>
      <c r="B914" s="219"/>
      <c r="C914" s="219"/>
      <c r="D914" s="219"/>
      <c r="E914" s="225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  <c r="AF914" s="143"/>
      <c r="AG914" s="143"/>
      <c r="AH914" s="143"/>
      <c r="AI914" s="143"/>
      <c r="AJ914" s="143"/>
    </row>
    <row r="915" spans="1:36" s="144" customFormat="1" ht="21.75" customHeight="1">
      <c r="A915" s="151"/>
      <c r="B915" s="219"/>
      <c r="C915" s="219"/>
      <c r="D915" s="219"/>
      <c r="E915" s="225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  <c r="AF915" s="143"/>
      <c r="AG915" s="143"/>
      <c r="AH915" s="143"/>
      <c r="AI915" s="143"/>
      <c r="AJ915" s="143"/>
    </row>
    <row r="916" spans="1:36" s="144" customFormat="1" ht="21.75" customHeight="1">
      <c r="A916" s="151"/>
      <c r="B916" s="219"/>
      <c r="C916" s="219"/>
      <c r="D916" s="219"/>
      <c r="E916" s="225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  <c r="AF916" s="143"/>
      <c r="AG916" s="143"/>
      <c r="AH916" s="143"/>
      <c r="AI916" s="143"/>
      <c r="AJ916" s="143"/>
    </row>
    <row r="917" spans="1:36" s="144" customFormat="1" ht="21.75" customHeight="1">
      <c r="A917" s="151"/>
      <c r="B917" s="219"/>
      <c r="C917" s="219"/>
      <c r="D917" s="219"/>
      <c r="E917" s="225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  <c r="AF917" s="143"/>
      <c r="AG917" s="143"/>
      <c r="AH917" s="143"/>
      <c r="AI917" s="143"/>
      <c r="AJ917" s="143"/>
    </row>
    <row r="918" spans="1:36" s="144" customFormat="1" ht="21.75" customHeight="1">
      <c r="A918" s="151"/>
      <c r="B918" s="219"/>
      <c r="C918" s="219"/>
      <c r="D918" s="219"/>
      <c r="E918" s="225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  <c r="AF918" s="143"/>
      <c r="AG918" s="143"/>
      <c r="AH918" s="143"/>
      <c r="AI918" s="143"/>
      <c r="AJ918" s="143"/>
    </row>
    <row r="919" spans="1:36" s="144" customFormat="1" ht="21.75" customHeight="1">
      <c r="A919" s="151"/>
      <c r="B919" s="219"/>
      <c r="C919" s="219"/>
      <c r="D919" s="219"/>
      <c r="E919" s="225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  <c r="AF919" s="143"/>
      <c r="AG919" s="143"/>
      <c r="AH919" s="143"/>
      <c r="AI919" s="143"/>
      <c r="AJ919" s="143"/>
    </row>
    <row r="920" spans="1:36" s="144" customFormat="1" ht="21.75" customHeight="1">
      <c r="A920" s="151"/>
      <c r="B920" s="219"/>
      <c r="C920" s="219"/>
      <c r="D920" s="219"/>
      <c r="E920" s="225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  <c r="AF920" s="143"/>
      <c r="AG920" s="143"/>
      <c r="AH920" s="143"/>
      <c r="AI920" s="143"/>
      <c r="AJ920" s="143"/>
    </row>
    <row r="921" spans="1:36" s="144" customFormat="1" ht="21.75" customHeight="1">
      <c r="A921" s="151"/>
      <c r="B921" s="219"/>
      <c r="C921" s="219"/>
      <c r="D921" s="219"/>
      <c r="E921" s="225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  <c r="AF921" s="143"/>
      <c r="AG921" s="143"/>
      <c r="AH921" s="143"/>
      <c r="AI921" s="143"/>
      <c r="AJ921" s="143"/>
    </row>
    <row r="922" spans="1:36" s="144" customFormat="1" ht="21.75" customHeight="1">
      <c r="A922" s="151"/>
      <c r="B922" s="219"/>
      <c r="C922" s="219"/>
      <c r="D922" s="219"/>
      <c r="E922" s="225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  <c r="AF922" s="143"/>
      <c r="AG922" s="143"/>
      <c r="AH922" s="143"/>
      <c r="AI922" s="143"/>
      <c r="AJ922" s="143"/>
    </row>
    <row r="923" spans="1:36" s="144" customFormat="1" ht="21.75" customHeight="1">
      <c r="A923" s="151"/>
      <c r="B923" s="219"/>
      <c r="C923" s="219"/>
      <c r="D923" s="219"/>
      <c r="E923" s="225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  <c r="AF923" s="143"/>
      <c r="AG923" s="143"/>
      <c r="AH923" s="143"/>
      <c r="AI923" s="143"/>
      <c r="AJ923" s="143"/>
    </row>
    <row r="924" spans="1:36" s="144" customFormat="1" ht="21.75" customHeight="1">
      <c r="A924" s="151"/>
      <c r="B924" s="219"/>
      <c r="C924" s="219"/>
      <c r="D924" s="219"/>
      <c r="E924" s="225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  <c r="AF924" s="143"/>
      <c r="AG924" s="143"/>
      <c r="AH924" s="143"/>
      <c r="AI924" s="143"/>
      <c r="AJ924" s="143"/>
    </row>
    <row r="925" spans="1:36" s="144" customFormat="1" ht="21.75" customHeight="1">
      <c r="A925" s="151"/>
      <c r="B925" s="219"/>
      <c r="C925" s="219"/>
      <c r="D925" s="219"/>
      <c r="E925" s="225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  <c r="AF925" s="143"/>
      <c r="AG925" s="143"/>
      <c r="AH925" s="143"/>
      <c r="AI925" s="143"/>
      <c r="AJ925" s="143"/>
    </row>
    <row r="926" spans="1:36" s="144" customFormat="1" ht="21.75" customHeight="1">
      <c r="A926" s="151"/>
      <c r="B926" s="219"/>
      <c r="C926" s="219"/>
      <c r="D926" s="219"/>
      <c r="E926" s="225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  <c r="AF926" s="143"/>
      <c r="AG926" s="143"/>
      <c r="AH926" s="143"/>
      <c r="AI926" s="143"/>
      <c r="AJ926" s="143"/>
    </row>
    <row r="927" spans="1:36" s="144" customFormat="1" ht="21.75" customHeight="1">
      <c r="A927" s="151"/>
      <c r="B927" s="219"/>
      <c r="C927" s="219"/>
      <c r="D927" s="219"/>
      <c r="E927" s="225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  <c r="AF927" s="143"/>
      <c r="AG927" s="143"/>
      <c r="AH927" s="143"/>
      <c r="AI927" s="143"/>
      <c r="AJ927" s="143"/>
    </row>
    <row r="928" spans="1:36" s="144" customFormat="1" ht="21.75" customHeight="1">
      <c r="A928" s="151"/>
      <c r="B928" s="219"/>
      <c r="C928" s="219"/>
      <c r="D928" s="219"/>
      <c r="E928" s="225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  <c r="AF928" s="143"/>
      <c r="AG928" s="143"/>
      <c r="AH928" s="143"/>
      <c r="AI928" s="143"/>
      <c r="AJ928" s="143"/>
    </row>
    <row r="929" spans="1:36" s="144" customFormat="1" ht="21.75" customHeight="1">
      <c r="A929" s="151"/>
      <c r="B929" s="219"/>
      <c r="C929" s="219"/>
      <c r="D929" s="219"/>
      <c r="E929" s="225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  <c r="AF929" s="143"/>
      <c r="AG929" s="143"/>
      <c r="AH929" s="143"/>
      <c r="AI929" s="143"/>
      <c r="AJ929" s="143"/>
    </row>
    <row r="930" spans="1:36" s="144" customFormat="1" ht="21.75" customHeight="1">
      <c r="A930" s="151"/>
      <c r="B930" s="219"/>
      <c r="C930" s="219"/>
      <c r="D930" s="219"/>
      <c r="E930" s="225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  <c r="AF930" s="143"/>
      <c r="AG930" s="143"/>
      <c r="AH930" s="143"/>
      <c r="AI930" s="143"/>
      <c r="AJ930" s="143"/>
    </row>
    <row r="931" spans="1:36" s="144" customFormat="1" ht="21.75" customHeight="1">
      <c r="A931" s="151"/>
      <c r="B931" s="219"/>
      <c r="C931" s="219"/>
      <c r="D931" s="219"/>
      <c r="E931" s="225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  <c r="AF931" s="143"/>
      <c r="AG931" s="143"/>
      <c r="AH931" s="143"/>
      <c r="AI931" s="143"/>
      <c r="AJ931" s="143"/>
    </row>
    <row r="932" spans="1:36" s="144" customFormat="1" ht="21.75" customHeight="1">
      <c r="A932" s="151"/>
      <c r="B932" s="219"/>
      <c r="C932" s="219"/>
      <c r="D932" s="219"/>
      <c r="E932" s="225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  <c r="AF932" s="143"/>
      <c r="AG932" s="143"/>
      <c r="AH932" s="143"/>
      <c r="AI932" s="143"/>
      <c r="AJ932" s="143"/>
    </row>
    <row r="933" spans="1:36" s="144" customFormat="1" ht="21.75" customHeight="1">
      <c r="A933" s="151"/>
      <c r="B933" s="219"/>
      <c r="C933" s="219"/>
      <c r="D933" s="219"/>
      <c r="E933" s="225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  <c r="AF933" s="143"/>
      <c r="AG933" s="143"/>
      <c r="AH933" s="143"/>
      <c r="AI933" s="143"/>
      <c r="AJ933" s="143"/>
    </row>
    <row r="934" spans="1:36" s="144" customFormat="1" ht="21.75" customHeight="1">
      <c r="A934" s="151"/>
      <c r="B934" s="219"/>
      <c r="C934" s="219"/>
      <c r="D934" s="219"/>
      <c r="E934" s="225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  <c r="AF934" s="143"/>
      <c r="AG934" s="143"/>
      <c r="AH934" s="143"/>
      <c r="AI934" s="143"/>
      <c r="AJ934" s="143"/>
    </row>
    <row r="935" spans="1:36" s="144" customFormat="1" ht="21.75" customHeight="1">
      <c r="A935" s="151"/>
      <c r="B935" s="219"/>
      <c r="C935" s="219"/>
      <c r="D935" s="219"/>
      <c r="E935" s="225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  <c r="AF935" s="143"/>
      <c r="AG935" s="143"/>
      <c r="AH935" s="143"/>
      <c r="AI935" s="143"/>
      <c r="AJ935" s="143"/>
    </row>
    <row r="936" spans="1:36" s="144" customFormat="1" ht="21.75" customHeight="1">
      <c r="A936" s="151"/>
      <c r="B936" s="219"/>
      <c r="C936" s="219"/>
      <c r="D936" s="219"/>
      <c r="E936" s="225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  <c r="AF936" s="143"/>
      <c r="AG936" s="143"/>
      <c r="AH936" s="143"/>
      <c r="AI936" s="143"/>
      <c r="AJ936" s="143"/>
    </row>
    <row r="937" spans="1:36" s="144" customFormat="1" ht="21.75" customHeight="1">
      <c r="A937" s="151"/>
      <c r="B937" s="219"/>
      <c r="C937" s="219"/>
      <c r="D937" s="219"/>
      <c r="E937" s="225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  <c r="AF937" s="143"/>
      <c r="AG937" s="143"/>
      <c r="AH937" s="143"/>
      <c r="AI937" s="143"/>
      <c r="AJ937" s="143"/>
    </row>
    <row r="938" spans="1:36" s="144" customFormat="1" ht="21.75" customHeight="1">
      <c r="A938" s="151"/>
      <c r="B938" s="219"/>
      <c r="C938" s="219"/>
      <c r="D938" s="219"/>
      <c r="E938" s="225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  <c r="AF938" s="143"/>
      <c r="AG938" s="143"/>
      <c r="AH938" s="143"/>
      <c r="AI938" s="143"/>
      <c r="AJ938" s="143"/>
    </row>
    <row r="939" spans="1:36" s="144" customFormat="1" ht="21.75" customHeight="1">
      <c r="A939" s="151"/>
      <c r="B939" s="219"/>
      <c r="C939" s="219"/>
      <c r="D939" s="219"/>
      <c r="E939" s="225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  <c r="AF939" s="143"/>
      <c r="AG939" s="143"/>
      <c r="AH939" s="143"/>
      <c r="AI939" s="143"/>
      <c r="AJ939" s="143"/>
    </row>
    <row r="940" spans="1:36" s="144" customFormat="1" ht="21.75" customHeight="1">
      <c r="A940" s="151"/>
      <c r="B940" s="219"/>
      <c r="C940" s="219"/>
      <c r="D940" s="219"/>
      <c r="E940" s="225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  <c r="AF940" s="143"/>
      <c r="AG940" s="143"/>
      <c r="AH940" s="143"/>
      <c r="AI940" s="143"/>
      <c r="AJ940" s="143"/>
    </row>
    <row r="941" spans="1:36" s="144" customFormat="1" ht="21.75" customHeight="1">
      <c r="A941" s="151"/>
      <c r="B941" s="219"/>
      <c r="C941" s="219"/>
      <c r="D941" s="219"/>
      <c r="E941" s="225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  <c r="AF941" s="143"/>
      <c r="AG941" s="143"/>
      <c r="AH941" s="143"/>
      <c r="AI941" s="143"/>
      <c r="AJ941" s="143"/>
    </row>
    <row r="942" spans="1:36" s="144" customFormat="1" ht="21.75" customHeight="1">
      <c r="A942" s="151"/>
      <c r="B942" s="219"/>
      <c r="C942" s="219"/>
      <c r="D942" s="219"/>
      <c r="E942" s="225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  <c r="AF942" s="143"/>
      <c r="AG942" s="143"/>
      <c r="AH942" s="143"/>
      <c r="AI942" s="143"/>
      <c r="AJ942" s="143"/>
    </row>
    <row r="943" spans="1:36" s="144" customFormat="1" ht="21.75" customHeight="1">
      <c r="A943" s="151"/>
      <c r="B943" s="219"/>
      <c r="C943" s="219"/>
      <c r="D943" s="219"/>
      <c r="E943" s="225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  <c r="AF943" s="143"/>
      <c r="AG943" s="143"/>
      <c r="AH943" s="143"/>
      <c r="AI943" s="143"/>
      <c r="AJ943" s="143"/>
    </row>
    <row r="944" spans="1:36" s="144" customFormat="1" ht="21.75" customHeight="1">
      <c r="A944" s="151"/>
      <c r="B944" s="219"/>
      <c r="C944" s="219"/>
      <c r="D944" s="219"/>
      <c r="E944" s="225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  <c r="AF944" s="143"/>
      <c r="AG944" s="143"/>
      <c r="AH944" s="143"/>
      <c r="AI944" s="143"/>
      <c r="AJ944" s="143"/>
    </row>
    <row r="945" spans="1:36" s="144" customFormat="1" ht="21.75" customHeight="1">
      <c r="A945" s="151"/>
      <c r="B945" s="219"/>
      <c r="C945" s="219"/>
      <c r="D945" s="219"/>
      <c r="E945" s="225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  <c r="AF945" s="143"/>
      <c r="AG945" s="143"/>
      <c r="AH945" s="143"/>
      <c r="AI945" s="143"/>
      <c r="AJ945" s="143"/>
    </row>
    <row r="946" spans="1:36" s="144" customFormat="1" ht="21.75" customHeight="1">
      <c r="A946" s="151"/>
      <c r="B946" s="219"/>
      <c r="C946" s="219"/>
      <c r="D946" s="219"/>
      <c r="E946" s="225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  <c r="AF946" s="143"/>
      <c r="AG946" s="143"/>
      <c r="AH946" s="143"/>
      <c r="AI946" s="143"/>
      <c r="AJ946" s="143"/>
    </row>
    <row r="947" spans="1:36" s="144" customFormat="1" ht="21.75" customHeight="1">
      <c r="A947" s="151"/>
      <c r="B947" s="219"/>
      <c r="C947" s="219"/>
      <c r="D947" s="219"/>
      <c r="E947" s="225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  <c r="AF947" s="143"/>
      <c r="AG947" s="143"/>
      <c r="AH947" s="143"/>
      <c r="AI947" s="143"/>
      <c r="AJ947" s="143"/>
    </row>
    <row r="948" spans="1:36" s="144" customFormat="1" ht="21.75" customHeight="1">
      <c r="A948" s="151"/>
      <c r="B948" s="219"/>
      <c r="C948" s="219"/>
      <c r="D948" s="219"/>
      <c r="E948" s="225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  <c r="AF948" s="143"/>
      <c r="AG948" s="143"/>
      <c r="AH948" s="143"/>
      <c r="AI948" s="143"/>
      <c r="AJ948" s="143"/>
    </row>
    <row r="949" spans="1:36" s="144" customFormat="1" ht="21.75" customHeight="1">
      <c r="A949" s="151"/>
      <c r="B949" s="219"/>
      <c r="C949" s="219"/>
      <c r="D949" s="219"/>
      <c r="E949" s="225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  <c r="AF949" s="143"/>
      <c r="AG949" s="143"/>
      <c r="AH949" s="143"/>
      <c r="AI949" s="143"/>
      <c r="AJ949" s="143"/>
    </row>
    <row r="950" spans="1:36" s="144" customFormat="1" ht="21.75" customHeight="1">
      <c r="A950" s="151"/>
      <c r="B950" s="219"/>
      <c r="C950" s="219"/>
      <c r="D950" s="219"/>
      <c r="E950" s="225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  <c r="AF950" s="143"/>
      <c r="AG950" s="143"/>
      <c r="AH950" s="143"/>
      <c r="AI950" s="143"/>
      <c r="AJ950" s="143"/>
    </row>
    <row r="951" spans="1:36" s="144" customFormat="1" ht="21.75" customHeight="1">
      <c r="A951" s="151"/>
      <c r="B951" s="219"/>
      <c r="C951" s="219"/>
      <c r="D951" s="219"/>
      <c r="E951" s="225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  <c r="AF951" s="143"/>
      <c r="AG951" s="143"/>
      <c r="AH951" s="143"/>
      <c r="AI951" s="143"/>
      <c r="AJ951" s="143"/>
    </row>
    <row r="952" spans="1:36" s="144" customFormat="1" ht="21.75" customHeight="1">
      <c r="A952" s="151"/>
      <c r="B952" s="219"/>
      <c r="C952" s="219"/>
      <c r="D952" s="219"/>
      <c r="E952" s="225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  <c r="AF952" s="143"/>
      <c r="AG952" s="143"/>
      <c r="AH952" s="143"/>
      <c r="AI952" s="143"/>
      <c r="AJ952" s="143"/>
    </row>
    <row r="953" spans="1:36" s="144" customFormat="1" ht="21.75" customHeight="1">
      <c r="A953" s="151"/>
      <c r="B953" s="219"/>
      <c r="C953" s="219"/>
      <c r="D953" s="219"/>
      <c r="E953" s="225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  <c r="AF953" s="143"/>
      <c r="AG953" s="143"/>
      <c r="AH953" s="143"/>
      <c r="AI953" s="143"/>
      <c r="AJ953" s="143"/>
    </row>
    <row r="954" spans="1:36" s="144" customFormat="1" ht="21.75" customHeight="1">
      <c r="A954" s="151"/>
      <c r="B954" s="219"/>
      <c r="C954" s="219"/>
      <c r="D954" s="219"/>
      <c r="E954" s="225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  <c r="AF954" s="143"/>
      <c r="AG954" s="143"/>
      <c r="AH954" s="143"/>
      <c r="AI954" s="143"/>
      <c r="AJ954" s="143"/>
    </row>
    <row r="955" spans="1:36" s="144" customFormat="1" ht="21.75" customHeight="1">
      <c r="A955" s="151"/>
      <c r="B955" s="219"/>
      <c r="C955" s="219"/>
      <c r="D955" s="219"/>
      <c r="E955" s="225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  <c r="AF955" s="143"/>
      <c r="AG955" s="143"/>
      <c r="AH955" s="143"/>
      <c r="AI955" s="143"/>
      <c r="AJ955" s="143"/>
    </row>
    <row r="956" spans="1:36" s="144" customFormat="1" ht="21.75" customHeight="1">
      <c r="A956" s="151"/>
      <c r="B956" s="219"/>
      <c r="C956" s="219"/>
      <c r="D956" s="219"/>
      <c r="E956" s="225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  <c r="AF956" s="143"/>
      <c r="AG956" s="143"/>
      <c r="AH956" s="143"/>
      <c r="AI956" s="143"/>
      <c r="AJ956" s="143"/>
    </row>
    <row r="957" spans="1:36" s="144" customFormat="1" ht="21.75" customHeight="1">
      <c r="A957" s="151"/>
      <c r="B957" s="219"/>
      <c r="C957" s="219"/>
      <c r="D957" s="219"/>
      <c r="E957" s="225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  <c r="AF957" s="143"/>
      <c r="AG957" s="143"/>
      <c r="AH957" s="143"/>
      <c r="AI957" s="143"/>
      <c r="AJ957" s="143"/>
    </row>
    <row r="958" spans="1:36" s="144" customFormat="1" ht="21.75" customHeight="1">
      <c r="A958" s="151"/>
      <c r="B958" s="219"/>
      <c r="C958" s="219"/>
      <c r="D958" s="219"/>
      <c r="E958" s="225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  <c r="AF958" s="143"/>
      <c r="AG958" s="143"/>
      <c r="AH958" s="143"/>
      <c r="AI958" s="143"/>
      <c r="AJ958" s="143"/>
    </row>
    <row r="959" spans="1:36" s="144" customFormat="1" ht="21.75" customHeight="1">
      <c r="A959" s="151"/>
      <c r="B959" s="219"/>
      <c r="C959" s="219"/>
      <c r="D959" s="219"/>
      <c r="E959" s="225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  <c r="AF959" s="143"/>
      <c r="AG959" s="143"/>
      <c r="AH959" s="143"/>
      <c r="AI959" s="143"/>
      <c r="AJ959" s="143"/>
    </row>
    <row r="960" spans="1:36" s="144" customFormat="1" ht="21.75" customHeight="1">
      <c r="A960" s="151"/>
      <c r="B960" s="219"/>
      <c r="C960" s="219"/>
      <c r="D960" s="219"/>
      <c r="E960" s="225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  <c r="AF960" s="143"/>
      <c r="AG960" s="143"/>
      <c r="AH960" s="143"/>
      <c r="AI960" s="143"/>
      <c r="AJ960" s="143"/>
    </row>
    <row r="961" spans="1:36" s="144" customFormat="1" ht="21.75" customHeight="1">
      <c r="A961" s="151"/>
      <c r="B961" s="219"/>
      <c r="C961" s="219"/>
      <c r="D961" s="219"/>
      <c r="E961" s="225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  <c r="AF961" s="143"/>
      <c r="AG961" s="143"/>
      <c r="AH961" s="143"/>
      <c r="AI961" s="143"/>
      <c r="AJ961" s="143"/>
    </row>
    <row r="962" spans="1:36" s="144" customFormat="1" ht="21.75" customHeight="1">
      <c r="A962" s="151"/>
      <c r="B962" s="219"/>
      <c r="C962" s="219"/>
      <c r="D962" s="219"/>
      <c r="E962" s="225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  <c r="AF962" s="143"/>
      <c r="AG962" s="143"/>
      <c r="AH962" s="143"/>
      <c r="AI962" s="143"/>
      <c r="AJ962" s="143"/>
    </row>
    <row r="963" spans="1:36" s="144" customFormat="1" ht="21.75" customHeight="1">
      <c r="A963" s="151"/>
      <c r="B963" s="219"/>
      <c r="C963" s="219"/>
      <c r="D963" s="219"/>
      <c r="E963" s="225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  <c r="AF963" s="143"/>
      <c r="AG963" s="143"/>
      <c r="AH963" s="143"/>
      <c r="AI963" s="143"/>
      <c r="AJ963" s="143"/>
    </row>
    <row r="964" spans="1:36" s="144" customFormat="1" ht="21.75" customHeight="1">
      <c r="A964" s="151"/>
      <c r="B964" s="219"/>
      <c r="C964" s="219"/>
      <c r="D964" s="219"/>
      <c r="E964" s="225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  <c r="AF964" s="143"/>
      <c r="AG964" s="143"/>
      <c r="AH964" s="143"/>
      <c r="AI964" s="143"/>
      <c r="AJ964" s="143"/>
    </row>
    <row r="965" spans="1:36" s="144" customFormat="1" ht="21.75" customHeight="1">
      <c r="A965" s="151"/>
      <c r="B965" s="219"/>
      <c r="C965" s="219"/>
      <c r="D965" s="219"/>
      <c r="E965" s="225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  <c r="AF965" s="143"/>
      <c r="AG965" s="143"/>
      <c r="AH965" s="143"/>
      <c r="AI965" s="143"/>
      <c r="AJ965" s="143"/>
    </row>
    <row r="966" spans="1:36" s="144" customFormat="1" ht="21.75" customHeight="1">
      <c r="A966" s="151"/>
      <c r="B966" s="219"/>
      <c r="C966" s="219"/>
      <c r="D966" s="219"/>
      <c r="E966" s="225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  <c r="AF966" s="143"/>
      <c r="AG966" s="143"/>
      <c r="AH966" s="143"/>
      <c r="AI966" s="143"/>
      <c r="AJ966" s="143"/>
    </row>
    <row r="967" spans="1:36" s="144" customFormat="1" ht="21.75" customHeight="1">
      <c r="A967" s="151"/>
      <c r="B967" s="219"/>
      <c r="C967" s="219"/>
      <c r="D967" s="219"/>
      <c r="E967" s="225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  <c r="AF967" s="143"/>
      <c r="AG967" s="143"/>
      <c r="AH967" s="143"/>
      <c r="AI967" s="143"/>
      <c r="AJ967" s="143"/>
    </row>
    <row r="968" spans="1:36" s="144" customFormat="1" ht="21.75" customHeight="1">
      <c r="A968" s="151"/>
      <c r="B968" s="219"/>
      <c r="C968" s="219"/>
      <c r="D968" s="219"/>
      <c r="E968" s="225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  <c r="AF968" s="143"/>
      <c r="AG968" s="143"/>
      <c r="AH968" s="143"/>
      <c r="AI968" s="143"/>
      <c r="AJ968" s="143"/>
    </row>
    <row r="969" spans="1:36" s="144" customFormat="1" ht="21.75" customHeight="1">
      <c r="A969" s="151"/>
      <c r="B969" s="219"/>
      <c r="C969" s="219"/>
      <c r="D969" s="219"/>
      <c r="E969" s="225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  <c r="AF969" s="143"/>
      <c r="AG969" s="143"/>
      <c r="AH969" s="143"/>
      <c r="AI969" s="143"/>
      <c r="AJ969" s="143"/>
    </row>
    <row r="970" spans="1:36" s="144" customFormat="1" ht="21.75" customHeight="1">
      <c r="A970" s="151"/>
      <c r="B970" s="219"/>
      <c r="C970" s="219"/>
      <c r="D970" s="219"/>
      <c r="E970" s="225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  <c r="AF970" s="143"/>
      <c r="AG970" s="143"/>
      <c r="AH970" s="143"/>
      <c r="AI970" s="143"/>
      <c r="AJ970" s="143"/>
    </row>
    <row r="971" spans="1:36" s="144" customFormat="1" ht="21.75" customHeight="1">
      <c r="A971" s="151"/>
      <c r="B971" s="219"/>
      <c r="C971" s="219"/>
      <c r="D971" s="219"/>
      <c r="E971" s="225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  <c r="AF971" s="143"/>
      <c r="AG971" s="143"/>
      <c r="AH971" s="143"/>
      <c r="AI971" s="143"/>
      <c r="AJ971" s="143"/>
    </row>
    <row r="972" spans="1:36" s="144" customFormat="1" ht="21.75" customHeight="1">
      <c r="A972" s="151"/>
      <c r="B972" s="219"/>
      <c r="C972" s="219"/>
      <c r="D972" s="219"/>
      <c r="E972" s="225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  <c r="AF972" s="143"/>
      <c r="AG972" s="143"/>
      <c r="AH972" s="143"/>
      <c r="AI972" s="143"/>
      <c r="AJ972" s="143"/>
    </row>
    <row r="973" spans="1:36" s="144" customFormat="1" ht="21.75" customHeight="1">
      <c r="A973" s="151"/>
      <c r="B973" s="219"/>
      <c r="C973" s="219"/>
      <c r="D973" s="219"/>
      <c r="E973" s="225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  <c r="AF973" s="143"/>
      <c r="AG973" s="143"/>
      <c r="AH973" s="143"/>
      <c r="AI973" s="143"/>
      <c r="AJ973" s="143"/>
    </row>
    <row r="974" spans="1:36" s="144" customFormat="1" ht="21.75" customHeight="1">
      <c r="A974" s="151"/>
      <c r="B974" s="219"/>
      <c r="C974" s="219"/>
      <c r="D974" s="219"/>
      <c r="E974" s="225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  <c r="AF974" s="143"/>
      <c r="AG974" s="143"/>
      <c r="AH974" s="143"/>
      <c r="AI974" s="143"/>
      <c r="AJ974" s="143"/>
    </row>
    <row r="975" spans="1:36" s="144" customFormat="1" ht="21.75" customHeight="1">
      <c r="A975" s="151"/>
      <c r="B975" s="219"/>
      <c r="C975" s="219"/>
      <c r="D975" s="219"/>
      <c r="E975" s="225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  <c r="AE975" s="143"/>
      <c r="AF975" s="143"/>
      <c r="AG975" s="143"/>
      <c r="AH975" s="143"/>
      <c r="AI975" s="143"/>
      <c r="AJ975" s="143"/>
    </row>
    <row r="976" spans="1:36" s="144" customFormat="1" ht="21.75" customHeight="1">
      <c r="A976" s="151"/>
      <c r="B976" s="219"/>
      <c r="C976" s="219"/>
      <c r="D976" s="219"/>
      <c r="E976" s="225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  <c r="AE976" s="143"/>
      <c r="AF976" s="143"/>
      <c r="AG976" s="143"/>
      <c r="AH976" s="143"/>
      <c r="AI976" s="143"/>
      <c r="AJ976" s="143"/>
    </row>
    <row r="977" spans="1:36" s="144" customFormat="1" ht="21.75" customHeight="1">
      <c r="A977" s="151"/>
      <c r="B977" s="219"/>
      <c r="C977" s="219"/>
      <c r="D977" s="219"/>
      <c r="E977" s="225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  <c r="AE977" s="143"/>
      <c r="AF977" s="143"/>
      <c r="AG977" s="143"/>
      <c r="AH977" s="143"/>
      <c r="AI977" s="143"/>
      <c r="AJ977" s="143"/>
    </row>
    <row r="978" spans="1:36" s="144" customFormat="1" ht="21.75" customHeight="1">
      <c r="A978" s="151"/>
      <c r="B978" s="219"/>
      <c r="C978" s="219"/>
      <c r="D978" s="219"/>
      <c r="E978" s="225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  <c r="AE978" s="143"/>
      <c r="AF978" s="143"/>
      <c r="AG978" s="143"/>
      <c r="AH978" s="143"/>
      <c r="AI978" s="143"/>
      <c r="AJ978" s="143"/>
    </row>
    <row r="979" spans="1:36" s="144" customFormat="1" ht="21.75" customHeight="1">
      <c r="A979" s="151"/>
      <c r="B979" s="219"/>
      <c r="C979" s="219"/>
      <c r="D979" s="219"/>
      <c r="E979" s="225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  <c r="AE979" s="143"/>
      <c r="AF979" s="143"/>
      <c r="AG979" s="143"/>
      <c r="AH979" s="143"/>
      <c r="AI979" s="143"/>
      <c r="AJ979" s="143"/>
    </row>
    <row r="980" spans="1:36" s="144" customFormat="1" ht="21.75" customHeight="1">
      <c r="A980" s="151"/>
      <c r="B980" s="219"/>
      <c r="C980" s="219"/>
      <c r="D980" s="219"/>
      <c r="E980" s="225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  <c r="AE980" s="143"/>
      <c r="AF980" s="143"/>
      <c r="AG980" s="143"/>
      <c r="AH980" s="143"/>
      <c r="AI980" s="143"/>
      <c r="AJ980" s="143"/>
    </row>
    <row r="981" spans="1:36" s="144" customFormat="1" ht="21.75" customHeight="1">
      <c r="A981" s="151"/>
      <c r="B981" s="219"/>
      <c r="C981" s="219"/>
      <c r="D981" s="219"/>
      <c r="E981" s="225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  <c r="AE981" s="143"/>
      <c r="AF981" s="143"/>
      <c r="AG981" s="143"/>
      <c r="AH981" s="143"/>
      <c r="AI981" s="143"/>
      <c r="AJ981" s="143"/>
    </row>
    <row r="982" spans="1:36" s="144" customFormat="1" ht="21.75" customHeight="1">
      <c r="A982" s="151"/>
      <c r="B982" s="219"/>
      <c r="C982" s="219"/>
      <c r="D982" s="219"/>
      <c r="E982" s="225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  <c r="AE982" s="143"/>
      <c r="AF982" s="143"/>
      <c r="AG982" s="143"/>
      <c r="AH982" s="143"/>
      <c r="AI982" s="143"/>
      <c r="AJ982" s="143"/>
    </row>
    <row r="983" spans="1:36" s="144" customFormat="1" ht="21.75" customHeight="1">
      <c r="A983" s="151"/>
      <c r="B983" s="219"/>
      <c r="C983" s="219"/>
      <c r="D983" s="219"/>
      <c r="E983" s="225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  <c r="AE983" s="143"/>
      <c r="AF983" s="143"/>
      <c r="AG983" s="143"/>
      <c r="AH983" s="143"/>
      <c r="AI983" s="143"/>
      <c r="AJ983" s="143"/>
    </row>
    <row r="984" spans="1:36" s="144" customFormat="1" ht="21.75" customHeight="1">
      <c r="A984" s="151"/>
      <c r="B984" s="219"/>
      <c r="C984" s="219"/>
      <c r="D984" s="219"/>
      <c r="E984" s="225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  <c r="AE984" s="143"/>
      <c r="AF984" s="143"/>
      <c r="AG984" s="143"/>
      <c r="AH984" s="143"/>
      <c r="AI984" s="143"/>
      <c r="AJ984" s="143"/>
    </row>
    <row r="985" spans="1:36" s="144" customFormat="1" ht="21.75" customHeight="1">
      <c r="A985" s="151"/>
      <c r="B985" s="219"/>
      <c r="C985" s="219"/>
      <c r="D985" s="219"/>
      <c r="E985" s="225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  <c r="AE985" s="143"/>
      <c r="AF985" s="143"/>
      <c r="AG985" s="143"/>
      <c r="AH985" s="143"/>
      <c r="AI985" s="143"/>
      <c r="AJ985" s="143"/>
    </row>
    <row r="986" spans="1:36" s="144" customFormat="1" ht="21.75" customHeight="1">
      <c r="A986" s="151"/>
      <c r="B986" s="219"/>
      <c r="C986" s="219"/>
      <c r="D986" s="219"/>
      <c r="E986" s="225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  <c r="AE986" s="143"/>
      <c r="AF986" s="143"/>
      <c r="AG986" s="143"/>
      <c r="AH986" s="143"/>
      <c r="AI986" s="143"/>
      <c r="AJ986" s="143"/>
    </row>
    <row r="987" spans="1:36" s="144" customFormat="1" ht="21.75" customHeight="1">
      <c r="A987" s="151"/>
      <c r="B987" s="219"/>
      <c r="C987" s="219"/>
      <c r="D987" s="219"/>
      <c r="E987" s="225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  <c r="AE987" s="143"/>
      <c r="AF987" s="143"/>
      <c r="AG987" s="143"/>
      <c r="AH987" s="143"/>
      <c r="AI987" s="143"/>
      <c r="AJ987" s="143"/>
    </row>
    <row r="988" spans="1:36" s="144" customFormat="1" ht="21.75" customHeight="1">
      <c r="A988" s="151"/>
      <c r="B988" s="219"/>
      <c r="C988" s="219"/>
      <c r="D988" s="219"/>
      <c r="E988" s="225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  <c r="AE988" s="143"/>
      <c r="AF988" s="143"/>
      <c r="AG988" s="143"/>
      <c r="AH988" s="143"/>
      <c r="AI988" s="143"/>
      <c r="AJ988" s="143"/>
    </row>
    <row r="989" spans="1:36" s="144" customFormat="1" ht="21.75" customHeight="1">
      <c r="A989" s="151"/>
      <c r="B989" s="219"/>
      <c r="C989" s="219"/>
      <c r="D989" s="219"/>
      <c r="E989" s="225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  <c r="AE989" s="143"/>
      <c r="AF989" s="143"/>
      <c r="AG989" s="143"/>
      <c r="AH989" s="143"/>
      <c r="AI989" s="143"/>
      <c r="AJ989" s="143"/>
    </row>
    <row r="990" spans="1:36" s="144" customFormat="1" ht="21.75" customHeight="1">
      <c r="A990" s="151"/>
      <c r="B990" s="219"/>
      <c r="C990" s="219"/>
      <c r="D990" s="219"/>
      <c r="E990" s="225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  <c r="AE990" s="143"/>
      <c r="AF990" s="143"/>
      <c r="AG990" s="143"/>
      <c r="AH990" s="143"/>
      <c r="AI990" s="143"/>
      <c r="AJ990" s="143"/>
    </row>
    <row r="991" spans="1:36" s="144" customFormat="1" ht="21.75" customHeight="1">
      <c r="A991" s="151"/>
      <c r="B991" s="219"/>
      <c r="C991" s="219"/>
      <c r="D991" s="219"/>
      <c r="E991" s="225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  <c r="AE991" s="143"/>
      <c r="AF991" s="143"/>
      <c r="AG991" s="143"/>
      <c r="AH991" s="143"/>
      <c r="AI991" s="143"/>
      <c r="AJ991" s="143"/>
    </row>
    <row r="992" spans="1:36" s="144" customFormat="1" ht="21.75" customHeight="1">
      <c r="A992" s="151"/>
      <c r="B992" s="219"/>
      <c r="C992" s="219"/>
      <c r="D992" s="219"/>
      <c r="E992" s="225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  <c r="AE992" s="143"/>
      <c r="AF992" s="143"/>
      <c r="AG992" s="143"/>
      <c r="AH992" s="143"/>
      <c r="AI992" s="143"/>
      <c r="AJ992" s="143"/>
    </row>
    <row r="993" spans="1:36" s="144" customFormat="1" ht="21.75" customHeight="1">
      <c r="A993" s="151"/>
      <c r="B993" s="219"/>
      <c r="C993" s="219"/>
      <c r="D993" s="219"/>
      <c r="E993" s="225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  <c r="AE993" s="143"/>
      <c r="AF993" s="143"/>
      <c r="AG993" s="143"/>
      <c r="AH993" s="143"/>
      <c r="AI993" s="143"/>
      <c r="AJ993" s="143"/>
    </row>
    <row r="994" spans="1:36" s="144" customFormat="1" ht="21.75" customHeight="1">
      <c r="A994" s="151"/>
      <c r="B994" s="219"/>
      <c r="C994" s="219"/>
      <c r="D994" s="219"/>
      <c r="E994" s="225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  <c r="AE994" s="143"/>
      <c r="AF994" s="143"/>
      <c r="AG994" s="143"/>
      <c r="AH994" s="143"/>
      <c r="AI994" s="143"/>
      <c r="AJ994" s="143"/>
    </row>
    <row r="995" spans="1:36" s="144" customFormat="1" ht="21.75" customHeight="1">
      <c r="A995" s="151"/>
      <c r="B995" s="219"/>
      <c r="C995" s="219"/>
      <c r="D995" s="219"/>
      <c r="E995" s="225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  <c r="AE995" s="143"/>
      <c r="AF995" s="143"/>
      <c r="AG995" s="143"/>
      <c r="AH995" s="143"/>
      <c r="AI995" s="143"/>
      <c r="AJ995" s="143"/>
    </row>
    <row r="996" spans="1:36" s="144" customFormat="1" ht="21.75" customHeight="1">
      <c r="A996" s="151"/>
      <c r="B996" s="219"/>
      <c r="C996" s="219"/>
      <c r="D996" s="219"/>
      <c r="E996" s="225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3"/>
      <c r="AF996" s="143"/>
      <c r="AG996" s="143"/>
      <c r="AH996" s="143"/>
      <c r="AI996" s="143"/>
      <c r="AJ996" s="143"/>
    </row>
    <row r="997" spans="1:36" s="144" customFormat="1" ht="21.75" customHeight="1">
      <c r="A997" s="151"/>
      <c r="B997" s="219"/>
      <c r="C997" s="219"/>
      <c r="D997" s="219"/>
      <c r="E997" s="225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  <c r="AE997" s="143"/>
      <c r="AF997" s="143"/>
      <c r="AG997" s="143"/>
      <c r="AH997" s="143"/>
      <c r="AI997" s="143"/>
      <c r="AJ997" s="143"/>
    </row>
    <row r="998" spans="1:36" s="144" customFormat="1" ht="21.75" customHeight="1">
      <c r="A998" s="151"/>
      <c r="B998" s="219"/>
      <c r="C998" s="219"/>
      <c r="D998" s="219"/>
      <c r="E998" s="225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3"/>
      <c r="AF998" s="143"/>
      <c r="AG998" s="143"/>
      <c r="AH998" s="143"/>
      <c r="AI998" s="143"/>
      <c r="AJ998" s="143"/>
    </row>
    <row r="999" spans="1:36" s="144" customFormat="1" ht="21.75" customHeight="1">
      <c r="A999" s="151"/>
      <c r="B999" s="219"/>
      <c r="C999" s="219"/>
      <c r="D999" s="219"/>
      <c r="E999" s="225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3"/>
      <c r="AF999" s="143"/>
      <c r="AG999" s="143"/>
      <c r="AH999" s="143"/>
      <c r="AI999" s="143"/>
      <c r="AJ999" s="143"/>
    </row>
    <row r="1000" spans="1:36" s="144" customFormat="1" ht="21.75" customHeight="1">
      <c r="A1000" s="151"/>
      <c r="B1000" s="219"/>
      <c r="C1000" s="219"/>
      <c r="D1000" s="219"/>
      <c r="E1000" s="225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  <c r="AE1000" s="143"/>
      <c r="AF1000" s="143"/>
      <c r="AG1000" s="143"/>
      <c r="AH1000" s="143"/>
      <c r="AI1000" s="143"/>
      <c r="AJ1000" s="143"/>
    </row>
    <row r="1001" spans="1:36" s="144" customFormat="1" ht="21.75" customHeight="1">
      <c r="A1001" s="151"/>
      <c r="B1001" s="219"/>
      <c r="C1001" s="219"/>
      <c r="D1001" s="219"/>
      <c r="E1001" s="225"/>
      <c r="N1001" s="143"/>
      <c r="O1001" s="143"/>
      <c r="P1001" s="143"/>
      <c r="Q1001" s="143"/>
      <c r="R1001" s="143"/>
      <c r="S1001" s="143"/>
      <c r="T1001" s="143"/>
      <c r="U1001" s="143"/>
      <c r="V1001" s="143"/>
      <c r="W1001" s="143"/>
      <c r="X1001" s="143"/>
      <c r="Y1001" s="143"/>
      <c r="Z1001" s="143"/>
      <c r="AA1001" s="143"/>
      <c r="AB1001" s="143"/>
      <c r="AC1001" s="143"/>
      <c r="AD1001" s="143"/>
      <c r="AE1001" s="143"/>
      <c r="AF1001" s="143"/>
      <c r="AG1001" s="143"/>
      <c r="AH1001" s="143"/>
      <c r="AI1001" s="143"/>
      <c r="AJ1001" s="143"/>
    </row>
    <row r="1002" spans="1:36" s="144" customFormat="1" ht="21.75" customHeight="1">
      <c r="A1002" s="151"/>
      <c r="B1002" s="219"/>
      <c r="C1002" s="219"/>
      <c r="D1002" s="219"/>
      <c r="E1002" s="225"/>
      <c r="N1002" s="143"/>
      <c r="O1002" s="143"/>
      <c r="P1002" s="143"/>
      <c r="Q1002" s="143"/>
      <c r="R1002" s="143"/>
      <c r="S1002" s="143"/>
      <c r="T1002" s="143"/>
      <c r="U1002" s="143"/>
      <c r="V1002" s="143"/>
      <c r="W1002" s="143"/>
      <c r="X1002" s="143"/>
      <c r="Y1002" s="143"/>
      <c r="Z1002" s="143"/>
      <c r="AA1002" s="143"/>
      <c r="AB1002" s="143"/>
      <c r="AC1002" s="143"/>
      <c r="AD1002" s="143"/>
      <c r="AE1002" s="143"/>
      <c r="AF1002" s="143"/>
      <c r="AG1002" s="143"/>
      <c r="AH1002" s="143"/>
      <c r="AI1002" s="143"/>
      <c r="AJ1002" s="143"/>
    </row>
    <row r="1003" spans="1:36" s="144" customFormat="1" ht="21.75" customHeight="1">
      <c r="A1003" s="151"/>
      <c r="B1003" s="219"/>
      <c r="C1003" s="219"/>
      <c r="D1003" s="219"/>
      <c r="E1003" s="225"/>
      <c r="N1003" s="143"/>
      <c r="O1003" s="143"/>
      <c r="P1003" s="143"/>
      <c r="Q1003" s="143"/>
      <c r="R1003" s="143"/>
      <c r="S1003" s="143"/>
      <c r="T1003" s="143"/>
      <c r="U1003" s="143"/>
      <c r="V1003" s="143"/>
      <c r="W1003" s="143"/>
      <c r="X1003" s="143"/>
      <c r="Y1003" s="143"/>
      <c r="Z1003" s="143"/>
      <c r="AA1003" s="143"/>
      <c r="AB1003" s="143"/>
      <c r="AC1003" s="143"/>
      <c r="AD1003" s="143"/>
      <c r="AE1003" s="143"/>
      <c r="AF1003" s="143"/>
      <c r="AG1003" s="143"/>
      <c r="AH1003" s="143"/>
      <c r="AI1003" s="143"/>
      <c r="AJ1003" s="143"/>
    </row>
    <row r="1004" spans="1:36" s="144" customFormat="1" ht="21.75" customHeight="1">
      <c r="A1004" s="151"/>
      <c r="B1004" s="219"/>
      <c r="C1004" s="219"/>
      <c r="D1004" s="219"/>
      <c r="E1004" s="225"/>
      <c r="N1004" s="143"/>
      <c r="O1004" s="143"/>
      <c r="P1004" s="143"/>
      <c r="Q1004" s="143"/>
      <c r="R1004" s="143"/>
      <c r="S1004" s="143"/>
      <c r="T1004" s="143"/>
      <c r="U1004" s="143"/>
      <c r="V1004" s="143"/>
      <c r="W1004" s="143"/>
      <c r="X1004" s="143"/>
      <c r="Y1004" s="143"/>
      <c r="Z1004" s="143"/>
      <c r="AA1004" s="143"/>
      <c r="AB1004" s="143"/>
      <c r="AC1004" s="143"/>
      <c r="AD1004" s="143"/>
      <c r="AE1004" s="143"/>
      <c r="AF1004" s="143"/>
      <c r="AG1004" s="143"/>
      <c r="AH1004" s="143"/>
      <c r="AI1004" s="143"/>
      <c r="AJ1004" s="143"/>
    </row>
    <row r="1005" spans="1:36" s="144" customFormat="1" ht="21.75" customHeight="1">
      <c r="A1005" s="151"/>
      <c r="B1005" s="219"/>
      <c r="C1005" s="219"/>
      <c r="D1005" s="219"/>
      <c r="E1005" s="225"/>
      <c r="N1005" s="143"/>
      <c r="O1005" s="143"/>
      <c r="P1005" s="143"/>
      <c r="Q1005" s="143"/>
      <c r="R1005" s="143"/>
      <c r="S1005" s="143"/>
      <c r="T1005" s="143"/>
      <c r="U1005" s="143"/>
      <c r="V1005" s="143"/>
      <c r="W1005" s="143"/>
      <c r="X1005" s="143"/>
      <c r="Y1005" s="143"/>
      <c r="Z1005" s="143"/>
      <c r="AA1005" s="143"/>
      <c r="AB1005" s="143"/>
      <c r="AC1005" s="143"/>
      <c r="AD1005" s="143"/>
      <c r="AE1005" s="143"/>
      <c r="AF1005" s="143"/>
      <c r="AG1005" s="143"/>
      <c r="AH1005" s="143"/>
      <c r="AI1005" s="143"/>
      <c r="AJ1005" s="143"/>
    </row>
    <row r="1006" spans="1:36" s="144" customFormat="1" ht="21.75" customHeight="1">
      <c r="A1006" s="151"/>
      <c r="B1006" s="219"/>
      <c r="C1006" s="219"/>
      <c r="D1006" s="219"/>
      <c r="E1006" s="225"/>
      <c r="N1006" s="143"/>
      <c r="O1006" s="143"/>
      <c r="P1006" s="143"/>
      <c r="Q1006" s="143"/>
      <c r="R1006" s="143"/>
      <c r="S1006" s="143"/>
      <c r="T1006" s="143"/>
      <c r="U1006" s="143"/>
      <c r="V1006" s="143"/>
      <c r="W1006" s="143"/>
      <c r="X1006" s="143"/>
      <c r="Y1006" s="143"/>
      <c r="Z1006" s="143"/>
      <c r="AA1006" s="143"/>
      <c r="AB1006" s="143"/>
      <c r="AC1006" s="143"/>
      <c r="AD1006" s="143"/>
      <c r="AE1006" s="143"/>
      <c r="AF1006" s="143"/>
      <c r="AG1006" s="143"/>
      <c r="AH1006" s="143"/>
      <c r="AI1006" s="143"/>
      <c r="AJ1006" s="143"/>
    </row>
    <row r="1007" spans="1:36" s="144" customFormat="1" ht="21.75" customHeight="1">
      <c r="A1007" s="151"/>
      <c r="B1007" s="219"/>
      <c r="C1007" s="219"/>
      <c r="D1007" s="219"/>
      <c r="E1007" s="225"/>
      <c r="N1007" s="143"/>
      <c r="O1007" s="143"/>
      <c r="P1007" s="143"/>
      <c r="Q1007" s="143"/>
      <c r="R1007" s="143"/>
      <c r="S1007" s="143"/>
      <c r="T1007" s="143"/>
      <c r="U1007" s="143"/>
      <c r="V1007" s="143"/>
      <c r="W1007" s="143"/>
      <c r="X1007" s="143"/>
      <c r="Y1007" s="143"/>
      <c r="Z1007" s="143"/>
      <c r="AA1007" s="143"/>
      <c r="AB1007" s="143"/>
      <c r="AC1007" s="143"/>
      <c r="AD1007" s="143"/>
      <c r="AE1007" s="143"/>
      <c r="AF1007" s="143"/>
      <c r="AG1007" s="143"/>
      <c r="AH1007" s="143"/>
      <c r="AI1007" s="143"/>
      <c r="AJ1007" s="143"/>
    </row>
    <row r="1008" spans="1:36" s="144" customFormat="1" ht="21.75" customHeight="1">
      <c r="A1008" s="151"/>
      <c r="B1008" s="219"/>
      <c r="C1008" s="219"/>
      <c r="D1008" s="219"/>
      <c r="E1008" s="225"/>
      <c r="N1008" s="143"/>
      <c r="O1008" s="143"/>
      <c r="P1008" s="143"/>
      <c r="Q1008" s="143"/>
      <c r="R1008" s="143"/>
      <c r="S1008" s="143"/>
      <c r="T1008" s="143"/>
      <c r="U1008" s="143"/>
      <c r="V1008" s="143"/>
      <c r="W1008" s="143"/>
      <c r="X1008" s="143"/>
      <c r="Y1008" s="143"/>
      <c r="Z1008" s="143"/>
      <c r="AA1008" s="143"/>
      <c r="AB1008" s="143"/>
      <c r="AC1008" s="143"/>
      <c r="AD1008" s="143"/>
      <c r="AE1008" s="143"/>
      <c r="AF1008" s="143"/>
      <c r="AG1008" s="143"/>
      <c r="AH1008" s="143"/>
      <c r="AI1008" s="143"/>
      <c r="AJ1008" s="143"/>
    </row>
    <row r="1009" spans="1:36" s="144" customFormat="1" ht="21.75" customHeight="1">
      <c r="A1009" s="151"/>
      <c r="B1009" s="219"/>
      <c r="C1009" s="219"/>
      <c r="D1009" s="219"/>
      <c r="E1009" s="225"/>
      <c r="N1009" s="143"/>
      <c r="O1009" s="143"/>
      <c r="P1009" s="143"/>
      <c r="Q1009" s="143"/>
      <c r="R1009" s="143"/>
      <c r="S1009" s="143"/>
      <c r="T1009" s="143"/>
      <c r="U1009" s="143"/>
      <c r="V1009" s="143"/>
      <c r="W1009" s="143"/>
      <c r="X1009" s="143"/>
      <c r="Y1009" s="143"/>
      <c r="Z1009" s="143"/>
      <c r="AA1009" s="143"/>
      <c r="AB1009" s="143"/>
      <c r="AC1009" s="143"/>
      <c r="AD1009" s="143"/>
      <c r="AE1009" s="143"/>
      <c r="AF1009" s="143"/>
      <c r="AG1009" s="143"/>
      <c r="AH1009" s="143"/>
      <c r="AI1009" s="143"/>
      <c r="AJ1009" s="143"/>
    </row>
    <row r="1010" spans="1:36" s="144" customFormat="1" ht="21.75" customHeight="1">
      <c r="A1010" s="151"/>
      <c r="B1010" s="219"/>
      <c r="C1010" s="219"/>
      <c r="D1010" s="219"/>
      <c r="E1010" s="225"/>
      <c r="N1010" s="143"/>
      <c r="O1010" s="143"/>
      <c r="P1010" s="143"/>
      <c r="Q1010" s="143"/>
      <c r="R1010" s="143"/>
      <c r="S1010" s="143"/>
      <c r="T1010" s="143"/>
      <c r="U1010" s="143"/>
      <c r="V1010" s="143"/>
      <c r="W1010" s="143"/>
      <c r="X1010" s="143"/>
      <c r="Y1010" s="143"/>
      <c r="Z1010" s="143"/>
      <c r="AA1010" s="143"/>
      <c r="AB1010" s="143"/>
      <c r="AC1010" s="143"/>
      <c r="AD1010" s="143"/>
      <c r="AE1010" s="143"/>
      <c r="AF1010" s="143"/>
      <c r="AG1010" s="143"/>
      <c r="AH1010" s="143"/>
      <c r="AI1010" s="143"/>
      <c r="AJ1010" s="143"/>
    </row>
    <row r="1011" spans="1:36" s="144" customFormat="1" ht="21.75" customHeight="1">
      <c r="A1011" s="151"/>
      <c r="B1011" s="219"/>
      <c r="C1011" s="219"/>
      <c r="D1011" s="219"/>
      <c r="E1011" s="225"/>
      <c r="N1011" s="143"/>
      <c r="O1011" s="143"/>
      <c r="P1011" s="143"/>
      <c r="Q1011" s="143"/>
      <c r="R1011" s="143"/>
      <c r="S1011" s="143"/>
      <c r="T1011" s="143"/>
      <c r="U1011" s="143"/>
      <c r="V1011" s="143"/>
      <c r="W1011" s="143"/>
      <c r="X1011" s="143"/>
      <c r="Y1011" s="143"/>
      <c r="Z1011" s="143"/>
      <c r="AA1011" s="143"/>
      <c r="AB1011" s="143"/>
      <c r="AC1011" s="143"/>
      <c r="AD1011" s="143"/>
      <c r="AE1011" s="143"/>
      <c r="AF1011" s="143"/>
      <c r="AG1011" s="143"/>
      <c r="AH1011" s="143"/>
      <c r="AI1011" s="143"/>
      <c r="AJ1011" s="143"/>
    </row>
    <row r="1012" spans="1:36" s="144" customFormat="1" ht="21.75" customHeight="1">
      <c r="A1012" s="151"/>
      <c r="B1012" s="219"/>
      <c r="C1012" s="219"/>
      <c r="D1012" s="219"/>
      <c r="E1012" s="225"/>
      <c r="N1012" s="143"/>
      <c r="O1012" s="143"/>
      <c r="P1012" s="143"/>
      <c r="Q1012" s="143"/>
      <c r="R1012" s="143"/>
      <c r="S1012" s="143"/>
      <c r="T1012" s="143"/>
      <c r="U1012" s="143"/>
      <c r="V1012" s="143"/>
      <c r="W1012" s="143"/>
      <c r="X1012" s="143"/>
      <c r="Y1012" s="143"/>
      <c r="Z1012" s="143"/>
      <c r="AA1012" s="143"/>
      <c r="AB1012" s="143"/>
      <c r="AC1012" s="143"/>
      <c r="AD1012" s="143"/>
      <c r="AE1012" s="143"/>
      <c r="AF1012" s="143"/>
      <c r="AG1012" s="143"/>
      <c r="AH1012" s="143"/>
      <c r="AI1012" s="143"/>
      <c r="AJ1012" s="143"/>
    </row>
    <row r="1013" spans="1:36" s="144" customFormat="1" ht="21.75" customHeight="1">
      <c r="A1013" s="151"/>
      <c r="B1013" s="219"/>
      <c r="C1013" s="219"/>
      <c r="D1013" s="219"/>
      <c r="E1013" s="225"/>
      <c r="N1013" s="143"/>
      <c r="O1013" s="143"/>
      <c r="P1013" s="143"/>
      <c r="Q1013" s="143"/>
      <c r="R1013" s="143"/>
      <c r="S1013" s="143"/>
      <c r="T1013" s="143"/>
      <c r="U1013" s="143"/>
      <c r="V1013" s="143"/>
      <c r="W1013" s="143"/>
      <c r="X1013" s="143"/>
      <c r="Y1013" s="143"/>
      <c r="Z1013" s="143"/>
      <c r="AA1013" s="143"/>
      <c r="AB1013" s="143"/>
      <c r="AC1013" s="143"/>
      <c r="AD1013" s="143"/>
      <c r="AE1013" s="143"/>
      <c r="AF1013" s="143"/>
      <c r="AG1013" s="143"/>
      <c r="AH1013" s="143"/>
      <c r="AI1013" s="143"/>
      <c r="AJ1013" s="143"/>
    </row>
    <row r="1014" spans="1:36" s="144" customFormat="1" ht="21.75" customHeight="1">
      <c r="A1014" s="151"/>
      <c r="B1014" s="219"/>
      <c r="C1014" s="219"/>
      <c r="D1014" s="219"/>
      <c r="E1014" s="225"/>
      <c r="N1014" s="143"/>
      <c r="O1014" s="143"/>
      <c r="P1014" s="143"/>
      <c r="Q1014" s="143"/>
      <c r="R1014" s="143"/>
      <c r="S1014" s="143"/>
      <c r="T1014" s="143"/>
      <c r="U1014" s="143"/>
      <c r="V1014" s="143"/>
      <c r="W1014" s="143"/>
      <c r="X1014" s="143"/>
      <c r="Y1014" s="143"/>
      <c r="Z1014" s="143"/>
      <c r="AA1014" s="143"/>
      <c r="AB1014" s="143"/>
      <c r="AC1014" s="143"/>
      <c r="AD1014" s="143"/>
      <c r="AE1014" s="143"/>
      <c r="AF1014" s="143"/>
      <c r="AG1014" s="143"/>
      <c r="AH1014" s="143"/>
      <c r="AI1014" s="143"/>
      <c r="AJ1014" s="143"/>
    </row>
    <row r="1015" spans="1:36" s="144" customFormat="1" ht="21.75" customHeight="1">
      <c r="A1015" s="151"/>
      <c r="B1015" s="219"/>
      <c r="C1015" s="219"/>
      <c r="D1015" s="219"/>
      <c r="E1015" s="225"/>
      <c r="N1015" s="143"/>
      <c r="O1015" s="143"/>
      <c r="P1015" s="143"/>
      <c r="Q1015" s="143"/>
      <c r="R1015" s="143"/>
      <c r="S1015" s="143"/>
      <c r="T1015" s="143"/>
      <c r="U1015" s="143"/>
      <c r="V1015" s="143"/>
      <c r="W1015" s="143"/>
      <c r="X1015" s="143"/>
      <c r="Y1015" s="143"/>
      <c r="Z1015" s="143"/>
      <c r="AA1015" s="143"/>
      <c r="AB1015" s="143"/>
      <c r="AC1015" s="143"/>
      <c r="AD1015" s="143"/>
      <c r="AE1015" s="143"/>
      <c r="AF1015" s="143"/>
      <c r="AG1015" s="143"/>
      <c r="AH1015" s="143"/>
      <c r="AI1015" s="143"/>
      <c r="AJ1015" s="143"/>
    </row>
    <row r="1016" spans="1:36" s="144" customFormat="1" ht="21.75" customHeight="1">
      <c r="A1016" s="151"/>
      <c r="B1016" s="219"/>
      <c r="C1016" s="219"/>
      <c r="D1016" s="219"/>
      <c r="E1016" s="225"/>
      <c r="N1016" s="143"/>
      <c r="O1016" s="143"/>
      <c r="P1016" s="143"/>
      <c r="Q1016" s="143"/>
      <c r="R1016" s="143"/>
      <c r="S1016" s="143"/>
      <c r="T1016" s="143"/>
      <c r="U1016" s="143"/>
      <c r="V1016" s="143"/>
      <c r="W1016" s="143"/>
      <c r="X1016" s="143"/>
      <c r="Y1016" s="143"/>
      <c r="Z1016" s="143"/>
      <c r="AA1016" s="143"/>
      <c r="AB1016" s="143"/>
      <c r="AC1016" s="143"/>
      <c r="AD1016" s="143"/>
      <c r="AE1016" s="143"/>
      <c r="AF1016" s="143"/>
      <c r="AG1016" s="143"/>
      <c r="AH1016" s="143"/>
      <c r="AI1016" s="143"/>
      <c r="AJ1016" s="143"/>
    </row>
    <row r="1017" spans="1:36" s="144" customFormat="1" ht="21.75" customHeight="1">
      <c r="A1017" s="151"/>
      <c r="B1017" s="219"/>
      <c r="C1017" s="219"/>
      <c r="D1017" s="219"/>
      <c r="E1017" s="225"/>
      <c r="N1017" s="143"/>
      <c r="O1017" s="143"/>
      <c r="P1017" s="143"/>
      <c r="Q1017" s="143"/>
      <c r="R1017" s="143"/>
      <c r="S1017" s="143"/>
      <c r="T1017" s="143"/>
      <c r="U1017" s="143"/>
      <c r="V1017" s="143"/>
      <c r="W1017" s="143"/>
      <c r="X1017" s="143"/>
      <c r="Y1017" s="143"/>
      <c r="Z1017" s="143"/>
      <c r="AA1017" s="143"/>
      <c r="AB1017" s="143"/>
      <c r="AC1017" s="143"/>
      <c r="AD1017" s="143"/>
      <c r="AE1017" s="143"/>
      <c r="AF1017" s="143"/>
      <c r="AG1017" s="143"/>
      <c r="AH1017" s="143"/>
      <c r="AI1017" s="143"/>
      <c r="AJ1017" s="143"/>
    </row>
    <row r="1018" spans="1:36" s="144" customFormat="1" ht="21.75" customHeight="1">
      <c r="A1018" s="151"/>
      <c r="B1018" s="219"/>
      <c r="C1018" s="219"/>
      <c r="D1018" s="219"/>
      <c r="E1018" s="225"/>
      <c r="N1018" s="143"/>
      <c r="O1018" s="143"/>
      <c r="P1018" s="143"/>
      <c r="Q1018" s="143"/>
      <c r="R1018" s="143"/>
      <c r="S1018" s="143"/>
      <c r="T1018" s="143"/>
      <c r="U1018" s="143"/>
      <c r="V1018" s="143"/>
      <c r="W1018" s="143"/>
      <c r="X1018" s="143"/>
      <c r="Y1018" s="143"/>
      <c r="Z1018" s="143"/>
      <c r="AA1018" s="143"/>
      <c r="AB1018" s="143"/>
      <c r="AC1018" s="143"/>
      <c r="AD1018" s="143"/>
      <c r="AE1018" s="143"/>
      <c r="AF1018" s="143"/>
      <c r="AG1018" s="143"/>
      <c r="AH1018" s="143"/>
      <c r="AI1018" s="143"/>
      <c r="AJ1018" s="143"/>
    </row>
    <row r="1019" spans="1:36" s="144" customFormat="1" ht="21.75" customHeight="1">
      <c r="A1019" s="151"/>
      <c r="B1019" s="219"/>
      <c r="C1019" s="219"/>
      <c r="D1019" s="219"/>
      <c r="E1019" s="225"/>
      <c r="N1019" s="143"/>
      <c r="O1019" s="143"/>
      <c r="P1019" s="143"/>
      <c r="Q1019" s="143"/>
      <c r="R1019" s="143"/>
      <c r="S1019" s="143"/>
      <c r="T1019" s="143"/>
      <c r="U1019" s="143"/>
      <c r="V1019" s="143"/>
      <c r="W1019" s="143"/>
      <c r="X1019" s="143"/>
      <c r="Y1019" s="143"/>
      <c r="Z1019" s="143"/>
      <c r="AA1019" s="143"/>
      <c r="AB1019" s="143"/>
      <c r="AC1019" s="143"/>
      <c r="AD1019" s="143"/>
      <c r="AE1019" s="143"/>
      <c r="AF1019" s="143"/>
      <c r="AG1019" s="143"/>
      <c r="AH1019" s="143"/>
      <c r="AI1019" s="143"/>
      <c r="AJ1019" s="143"/>
    </row>
    <row r="1020" spans="1:36" s="144" customFormat="1" ht="21.75" customHeight="1">
      <c r="A1020" s="151"/>
      <c r="B1020" s="219"/>
      <c r="C1020" s="219"/>
      <c r="D1020" s="219"/>
      <c r="E1020" s="225"/>
      <c r="N1020" s="143"/>
      <c r="O1020" s="143"/>
      <c r="P1020" s="143"/>
      <c r="Q1020" s="143"/>
      <c r="R1020" s="143"/>
      <c r="S1020" s="143"/>
      <c r="T1020" s="143"/>
      <c r="U1020" s="143"/>
      <c r="V1020" s="143"/>
      <c r="W1020" s="143"/>
      <c r="X1020" s="143"/>
      <c r="Y1020" s="143"/>
      <c r="Z1020" s="143"/>
      <c r="AA1020" s="143"/>
      <c r="AB1020" s="143"/>
      <c r="AC1020" s="143"/>
      <c r="AD1020" s="143"/>
      <c r="AE1020" s="143"/>
      <c r="AF1020" s="143"/>
      <c r="AG1020" s="143"/>
      <c r="AH1020" s="143"/>
      <c r="AI1020" s="143"/>
      <c r="AJ1020" s="143"/>
    </row>
    <row r="1021" spans="1:36" s="144" customFormat="1" ht="21.75" customHeight="1">
      <c r="A1021" s="151"/>
      <c r="B1021" s="219"/>
      <c r="C1021" s="219"/>
      <c r="D1021" s="219"/>
      <c r="E1021" s="225"/>
      <c r="N1021" s="143"/>
      <c r="O1021" s="143"/>
      <c r="P1021" s="143"/>
      <c r="Q1021" s="143"/>
      <c r="R1021" s="143"/>
      <c r="S1021" s="143"/>
      <c r="T1021" s="143"/>
      <c r="U1021" s="143"/>
      <c r="V1021" s="143"/>
      <c r="W1021" s="143"/>
      <c r="X1021" s="143"/>
      <c r="Y1021" s="143"/>
      <c r="Z1021" s="143"/>
      <c r="AA1021" s="143"/>
      <c r="AB1021" s="143"/>
      <c r="AC1021" s="143"/>
      <c r="AD1021" s="143"/>
      <c r="AE1021" s="143"/>
      <c r="AF1021" s="143"/>
      <c r="AG1021" s="143"/>
      <c r="AH1021" s="143"/>
      <c r="AI1021" s="143"/>
      <c r="AJ1021" s="143"/>
    </row>
    <row r="1022" spans="1:36" s="144" customFormat="1" ht="21.75" customHeight="1">
      <c r="A1022" s="151"/>
      <c r="B1022" s="219"/>
      <c r="C1022" s="219"/>
      <c r="D1022" s="219"/>
      <c r="E1022" s="225"/>
      <c r="N1022" s="143"/>
      <c r="O1022" s="143"/>
      <c r="P1022" s="143"/>
      <c r="Q1022" s="143"/>
      <c r="R1022" s="143"/>
      <c r="S1022" s="143"/>
      <c r="T1022" s="143"/>
      <c r="U1022" s="143"/>
      <c r="V1022" s="143"/>
      <c r="W1022" s="143"/>
      <c r="X1022" s="143"/>
      <c r="Y1022" s="143"/>
      <c r="Z1022" s="143"/>
      <c r="AA1022" s="143"/>
      <c r="AB1022" s="143"/>
      <c r="AC1022" s="143"/>
      <c r="AD1022" s="143"/>
      <c r="AE1022" s="143"/>
      <c r="AF1022" s="143"/>
      <c r="AG1022" s="143"/>
      <c r="AH1022" s="143"/>
      <c r="AI1022" s="143"/>
      <c r="AJ1022" s="143"/>
    </row>
    <row r="1023" spans="1:36" s="144" customFormat="1" ht="21.75" customHeight="1">
      <c r="A1023" s="151"/>
      <c r="B1023" s="219"/>
      <c r="C1023" s="219"/>
      <c r="D1023" s="219"/>
      <c r="E1023" s="225"/>
      <c r="N1023" s="143"/>
      <c r="O1023" s="143"/>
      <c r="P1023" s="143"/>
      <c r="Q1023" s="143"/>
      <c r="R1023" s="143"/>
      <c r="S1023" s="143"/>
      <c r="T1023" s="143"/>
      <c r="U1023" s="143"/>
      <c r="V1023" s="143"/>
      <c r="W1023" s="143"/>
      <c r="X1023" s="143"/>
      <c r="Y1023" s="143"/>
      <c r="Z1023" s="143"/>
      <c r="AA1023" s="143"/>
      <c r="AB1023" s="143"/>
      <c r="AC1023" s="143"/>
      <c r="AD1023" s="143"/>
      <c r="AE1023" s="143"/>
      <c r="AF1023" s="143"/>
      <c r="AG1023" s="143"/>
      <c r="AH1023" s="143"/>
      <c r="AI1023" s="143"/>
      <c r="AJ1023" s="143"/>
    </row>
    <row r="1024" spans="1:36" s="144" customFormat="1" ht="21.75" customHeight="1">
      <c r="A1024" s="151"/>
      <c r="B1024" s="219"/>
      <c r="C1024" s="219"/>
      <c r="D1024" s="219"/>
      <c r="E1024" s="225"/>
      <c r="N1024" s="143"/>
      <c r="O1024" s="143"/>
      <c r="P1024" s="143"/>
      <c r="Q1024" s="143"/>
      <c r="R1024" s="143"/>
      <c r="S1024" s="143"/>
      <c r="T1024" s="143"/>
      <c r="U1024" s="143"/>
      <c r="V1024" s="143"/>
      <c r="W1024" s="143"/>
      <c r="X1024" s="143"/>
      <c r="Y1024" s="143"/>
      <c r="Z1024" s="143"/>
      <c r="AA1024" s="143"/>
      <c r="AB1024" s="143"/>
      <c r="AC1024" s="143"/>
      <c r="AD1024" s="143"/>
      <c r="AE1024" s="143"/>
      <c r="AF1024" s="143"/>
      <c r="AG1024" s="143"/>
      <c r="AH1024" s="143"/>
      <c r="AI1024" s="143"/>
      <c r="AJ1024" s="143"/>
    </row>
    <row r="1025" spans="1:36" s="144" customFormat="1" ht="21.75" customHeight="1">
      <c r="A1025" s="151"/>
      <c r="B1025" s="219"/>
      <c r="C1025" s="219"/>
      <c r="D1025" s="219"/>
      <c r="E1025" s="225"/>
      <c r="N1025" s="143"/>
      <c r="O1025" s="143"/>
      <c r="P1025" s="143"/>
      <c r="Q1025" s="143"/>
      <c r="R1025" s="143"/>
      <c r="S1025" s="143"/>
      <c r="T1025" s="143"/>
      <c r="U1025" s="143"/>
      <c r="V1025" s="143"/>
      <c r="W1025" s="143"/>
      <c r="X1025" s="143"/>
      <c r="Y1025" s="143"/>
      <c r="Z1025" s="143"/>
      <c r="AA1025" s="143"/>
      <c r="AB1025" s="143"/>
      <c r="AC1025" s="143"/>
      <c r="AD1025" s="143"/>
      <c r="AE1025" s="143"/>
      <c r="AF1025" s="143"/>
      <c r="AG1025" s="143"/>
      <c r="AH1025" s="143"/>
      <c r="AI1025" s="143"/>
      <c r="AJ1025" s="143"/>
    </row>
    <row r="1026" spans="1:36" s="144" customFormat="1" ht="21.75" customHeight="1">
      <c r="A1026" s="151"/>
      <c r="B1026" s="219"/>
      <c r="C1026" s="219"/>
      <c r="D1026" s="219"/>
      <c r="E1026" s="225"/>
      <c r="N1026" s="143"/>
      <c r="O1026" s="143"/>
      <c r="P1026" s="143"/>
      <c r="Q1026" s="143"/>
      <c r="R1026" s="143"/>
      <c r="S1026" s="143"/>
      <c r="T1026" s="143"/>
      <c r="U1026" s="143"/>
      <c r="V1026" s="143"/>
      <c r="W1026" s="143"/>
      <c r="X1026" s="143"/>
      <c r="Y1026" s="143"/>
      <c r="Z1026" s="143"/>
      <c r="AA1026" s="143"/>
      <c r="AB1026" s="143"/>
      <c r="AC1026" s="143"/>
      <c r="AD1026" s="143"/>
      <c r="AE1026" s="143"/>
      <c r="AF1026" s="143"/>
      <c r="AG1026" s="143"/>
      <c r="AH1026" s="143"/>
      <c r="AI1026" s="143"/>
      <c r="AJ1026" s="143"/>
    </row>
    <row r="1027" spans="1:36" s="144" customFormat="1" ht="21.75" customHeight="1">
      <c r="A1027" s="151"/>
      <c r="B1027" s="219"/>
      <c r="C1027" s="219"/>
      <c r="D1027" s="219"/>
      <c r="E1027" s="225"/>
      <c r="N1027" s="143"/>
      <c r="O1027" s="143"/>
      <c r="P1027" s="143"/>
      <c r="Q1027" s="143"/>
      <c r="R1027" s="143"/>
      <c r="S1027" s="143"/>
      <c r="T1027" s="143"/>
      <c r="U1027" s="143"/>
      <c r="V1027" s="143"/>
      <c r="W1027" s="143"/>
      <c r="X1027" s="143"/>
      <c r="Y1027" s="143"/>
      <c r="Z1027" s="143"/>
      <c r="AA1027" s="143"/>
      <c r="AB1027" s="143"/>
      <c r="AC1027" s="143"/>
      <c r="AD1027" s="143"/>
      <c r="AE1027" s="143"/>
      <c r="AF1027" s="143"/>
      <c r="AG1027" s="143"/>
      <c r="AH1027" s="143"/>
      <c r="AI1027" s="143"/>
      <c r="AJ1027" s="143"/>
    </row>
    <row r="1028" spans="1:36" s="144" customFormat="1" ht="21.75" customHeight="1">
      <c r="A1028" s="151"/>
      <c r="B1028" s="219"/>
      <c r="C1028" s="219"/>
      <c r="D1028" s="219"/>
      <c r="E1028" s="225"/>
      <c r="N1028" s="143"/>
      <c r="O1028" s="143"/>
      <c r="P1028" s="143"/>
      <c r="Q1028" s="143"/>
      <c r="R1028" s="143"/>
      <c r="S1028" s="143"/>
      <c r="T1028" s="143"/>
      <c r="U1028" s="143"/>
      <c r="V1028" s="143"/>
      <c r="W1028" s="143"/>
      <c r="X1028" s="143"/>
      <c r="Y1028" s="143"/>
      <c r="Z1028" s="143"/>
      <c r="AA1028" s="143"/>
      <c r="AB1028" s="143"/>
      <c r="AC1028" s="143"/>
      <c r="AD1028" s="143"/>
      <c r="AE1028" s="143"/>
      <c r="AF1028" s="143"/>
      <c r="AG1028" s="143"/>
      <c r="AH1028" s="143"/>
      <c r="AI1028" s="143"/>
      <c r="AJ1028" s="143"/>
    </row>
    <row r="1029" spans="1:36" s="144" customFormat="1" ht="21.75" customHeight="1">
      <c r="A1029" s="151"/>
      <c r="B1029" s="219"/>
      <c r="C1029" s="219"/>
      <c r="D1029" s="219"/>
      <c r="E1029" s="225"/>
      <c r="N1029" s="143"/>
      <c r="O1029" s="143"/>
      <c r="P1029" s="143"/>
      <c r="Q1029" s="143"/>
      <c r="R1029" s="143"/>
      <c r="S1029" s="143"/>
      <c r="T1029" s="143"/>
      <c r="U1029" s="143"/>
      <c r="V1029" s="143"/>
      <c r="W1029" s="143"/>
      <c r="X1029" s="143"/>
      <c r="Y1029" s="143"/>
      <c r="Z1029" s="143"/>
      <c r="AA1029" s="143"/>
      <c r="AB1029" s="143"/>
      <c r="AC1029" s="143"/>
      <c r="AD1029" s="143"/>
      <c r="AE1029" s="143"/>
      <c r="AF1029" s="143"/>
      <c r="AG1029" s="143"/>
      <c r="AH1029" s="143"/>
      <c r="AI1029" s="143"/>
      <c r="AJ1029" s="143"/>
    </row>
    <row r="1030" spans="1:36" s="144" customFormat="1" ht="21.75" customHeight="1">
      <c r="A1030" s="151"/>
      <c r="B1030" s="219"/>
      <c r="C1030" s="219"/>
      <c r="D1030" s="219"/>
      <c r="E1030" s="225"/>
      <c r="N1030" s="143"/>
      <c r="O1030" s="143"/>
      <c r="P1030" s="143"/>
      <c r="Q1030" s="143"/>
      <c r="R1030" s="143"/>
      <c r="S1030" s="143"/>
      <c r="T1030" s="143"/>
      <c r="U1030" s="143"/>
      <c r="V1030" s="143"/>
      <c r="W1030" s="143"/>
      <c r="X1030" s="143"/>
      <c r="Y1030" s="143"/>
      <c r="Z1030" s="143"/>
      <c r="AA1030" s="143"/>
      <c r="AB1030" s="143"/>
      <c r="AC1030" s="143"/>
      <c r="AD1030" s="143"/>
      <c r="AE1030" s="143"/>
      <c r="AF1030" s="143"/>
      <c r="AG1030" s="143"/>
      <c r="AH1030" s="143"/>
      <c r="AI1030" s="143"/>
      <c r="AJ1030" s="143"/>
    </row>
    <row r="1031" spans="1:36" s="144" customFormat="1" ht="21.75" customHeight="1">
      <c r="A1031" s="151"/>
      <c r="B1031" s="219"/>
      <c r="C1031" s="219"/>
      <c r="D1031" s="219"/>
      <c r="E1031" s="225"/>
      <c r="N1031" s="143"/>
      <c r="O1031" s="143"/>
      <c r="P1031" s="143"/>
      <c r="Q1031" s="143"/>
      <c r="R1031" s="143"/>
      <c r="S1031" s="143"/>
      <c r="T1031" s="143"/>
      <c r="U1031" s="143"/>
      <c r="V1031" s="143"/>
      <c r="W1031" s="143"/>
      <c r="X1031" s="143"/>
      <c r="Y1031" s="143"/>
      <c r="Z1031" s="143"/>
      <c r="AA1031" s="143"/>
      <c r="AB1031" s="143"/>
      <c r="AC1031" s="143"/>
      <c r="AD1031" s="143"/>
      <c r="AE1031" s="143"/>
      <c r="AF1031" s="143"/>
      <c r="AG1031" s="143"/>
      <c r="AH1031" s="143"/>
      <c r="AI1031" s="143"/>
      <c r="AJ1031" s="143"/>
    </row>
    <row r="1032" spans="1:36" s="144" customFormat="1" ht="21.75" customHeight="1">
      <c r="A1032" s="151"/>
      <c r="B1032" s="219"/>
      <c r="C1032" s="219"/>
      <c r="D1032" s="219"/>
      <c r="E1032" s="225"/>
      <c r="N1032" s="143"/>
      <c r="O1032" s="143"/>
      <c r="P1032" s="143"/>
      <c r="Q1032" s="143"/>
      <c r="R1032" s="143"/>
      <c r="S1032" s="143"/>
      <c r="T1032" s="143"/>
      <c r="U1032" s="143"/>
      <c r="V1032" s="143"/>
      <c r="W1032" s="143"/>
      <c r="X1032" s="143"/>
      <c r="Y1032" s="143"/>
      <c r="Z1032" s="143"/>
      <c r="AA1032" s="143"/>
      <c r="AB1032" s="143"/>
      <c r="AC1032" s="143"/>
      <c r="AD1032" s="143"/>
      <c r="AE1032" s="143"/>
      <c r="AF1032" s="143"/>
      <c r="AG1032" s="143"/>
      <c r="AH1032" s="143"/>
      <c r="AI1032" s="143"/>
      <c r="AJ1032" s="143"/>
    </row>
    <row r="1033" spans="1:36" s="144" customFormat="1" ht="21.75" customHeight="1">
      <c r="A1033" s="151"/>
      <c r="B1033" s="219"/>
      <c r="C1033" s="219"/>
      <c r="D1033" s="219"/>
      <c r="E1033" s="225"/>
      <c r="N1033" s="143"/>
      <c r="O1033" s="143"/>
      <c r="P1033" s="143"/>
      <c r="Q1033" s="143"/>
      <c r="R1033" s="143"/>
      <c r="S1033" s="143"/>
      <c r="T1033" s="143"/>
      <c r="U1033" s="143"/>
      <c r="V1033" s="143"/>
      <c r="W1033" s="143"/>
      <c r="X1033" s="143"/>
      <c r="Y1033" s="143"/>
      <c r="Z1033" s="143"/>
      <c r="AA1033" s="143"/>
      <c r="AB1033" s="143"/>
      <c r="AC1033" s="143"/>
      <c r="AD1033" s="143"/>
      <c r="AE1033" s="143"/>
      <c r="AF1033" s="143"/>
      <c r="AG1033" s="143"/>
      <c r="AH1033" s="143"/>
      <c r="AI1033" s="143"/>
      <c r="AJ1033" s="143"/>
    </row>
    <row r="1034" spans="1:36" s="144" customFormat="1" ht="21.75" customHeight="1">
      <c r="A1034" s="151"/>
      <c r="B1034" s="219"/>
      <c r="C1034" s="219"/>
      <c r="D1034" s="219"/>
      <c r="E1034" s="225"/>
      <c r="N1034" s="143"/>
      <c r="O1034" s="143"/>
      <c r="P1034" s="143"/>
      <c r="Q1034" s="143"/>
      <c r="R1034" s="143"/>
      <c r="S1034" s="143"/>
      <c r="T1034" s="143"/>
      <c r="U1034" s="143"/>
      <c r="V1034" s="143"/>
      <c r="W1034" s="143"/>
      <c r="X1034" s="143"/>
      <c r="Y1034" s="143"/>
      <c r="Z1034" s="143"/>
      <c r="AA1034" s="143"/>
      <c r="AB1034" s="143"/>
      <c r="AC1034" s="143"/>
      <c r="AD1034" s="143"/>
      <c r="AE1034" s="143"/>
      <c r="AF1034" s="143"/>
      <c r="AG1034" s="143"/>
      <c r="AH1034" s="143"/>
      <c r="AI1034" s="143"/>
      <c r="AJ1034" s="143"/>
    </row>
    <row r="1035" spans="1:36" s="144" customFormat="1" ht="21.75" customHeight="1">
      <c r="A1035" s="151"/>
      <c r="B1035" s="219"/>
      <c r="C1035" s="219"/>
      <c r="D1035" s="219"/>
      <c r="E1035" s="225"/>
      <c r="N1035" s="143"/>
      <c r="O1035" s="143"/>
      <c r="P1035" s="143"/>
      <c r="Q1035" s="143"/>
      <c r="R1035" s="143"/>
      <c r="S1035" s="143"/>
      <c r="T1035" s="143"/>
      <c r="U1035" s="143"/>
      <c r="V1035" s="143"/>
      <c r="W1035" s="143"/>
      <c r="X1035" s="143"/>
      <c r="Y1035" s="143"/>
      <c r="Z1035" s="143"/>
      <c r="AA1035" s="143"/>
      <c r="AB1035" s="143"/>
      <c r="AC1035" s="143"/>
      <c r="AD1035" s="143"/>
      <c r="AE1035" s="143"/>
      <c r="AF1035" s="143"/>
      <c r="AG1035" s="143"/>
      <c r="AH1035" s="143"/>
      <c r="AI1035" s="143"/>
      <c r="AJ1035" s="143"/>
    </row>
    <row r="1036" spans="1:36" s="144" customFormat="1" ht="21.75" customHeight="1">
      <c r="A1036" s="151"/>
      <c r="B1036" s="219"/>
      <c r="C1036" s="219"/>
      <c r="D1036" s="219"/>
      <c r="E1036" s="225"/>
      <c r="N1036" s="143"/>
      <c r="O1036" s="143"/>
      <c r="P1036" s="143"/>
      <c r="Q1036" s="143"/>
      <c r="R1036" s="143"/>
      <c r="S1036" s="143"/>
      <c r="T1036" s="143"/>
      <c r="U1036" s="143"/>
      <c r="V1036" s="143"/>
      <c r="W1036" s="143"/>
      <c r="X1036" s="143"/>
      <c r="Y1036" s="143"/>
      <c r="Z1036" s="143"/>
      <c r="AA1036" s="143"/>
      <c r="AB1036" s="143"/>
      <c r="AC1036" s="143"/>
      <c r="AD1036" s="143"/>
      <c r="AE1036" s="143"/>
      <c r="AF1036" s="143"/>
      <c r="AG1036" s="143"/>
      <c r="AH1036" s="143"/>
      <c r="AI1036" s="143"/>
      <c r="AJ1036" s="143"/>
    </row>
    <row r="1037" spans="1:36" s="144" customFormat="1" ht="21.75" customHeight="1">
      <c r="A1037" s="151"/>
      <c r="B1037" s="219"/>
      <c r="C1037" s="219"/>
      <c r="D1037" s="219"/>
      <c r="E1037" s="225"/>
      <c r="N1037" s="143"/>
      <c r="O1037" s="143"/>
      <c r="P1037" s="143"/>
      <c r="Q1037" s="143"/>
      <c r="R1037" s="143"/>
      <c r="S1037" s="143"/>
      <c r="T1037" s="143"/>
      <c r="U1037" s="143"/>
      <c r="V1037" s="143"/>
      <c r="W1037" s="143"/>
      <c r="X1037" s="143"/>
      <c r="Y1037" s="143"/>
      <c r="Z1037" s="143"/>
      <c r="AA1037" s="143"/>
      <c r="AB1037" s="143"/>
      <c r="AC1037" s="143"/>
      <c r="AD1037" s="143"/>
      <c r="AE1037" s="143"/>
      <c r="AF1037" s="143"/>
      <c r="AG1037" s="143"/>
      <c r="AH1037" s="143"/>
      <c r="AI1037" s="143"/>
      <c r="AJ1037" s="143"/>
    </row>
    <row r="1038" spans="1:36" s="144" customFormat="1" ht="21.75" customHeight="1">
      <c r="A1038" s="151"/>
      <c r="B1038" s="219"/>
      <c r="C1038" s="219"/>
      <c r="D1038" s="219"/>
      <c r="E1038" s="225"/>
      <c r="N1038" s="143"/>
      <c r="O1038" s="143"/>
      <c r="P1038" s="143"/>
      <c r="Q1038" s="143"/>
      <c r="R1038" s="143"/>
      <c r="S1038" s="143"/>
      <c r="T1038" s="143"/>
      <c r="U1038" s="143"/>
      <c r="V1038" s="143"/>
      <c r="W1038" s="143"/>
      <c r="X1038" s="143"/>
      <c r="Y1038" s="143"/>
      <c r="Z1038" s="143"/>
      <c r="AA1038" s="143"/>
      <c r="AB1038" s="143"/>
      <c r="AC1038" s="143"/>
      <c r="AD1038" s="143"/>
      <c r="AE1038" s="143"/>
      <c r="AF1038" s="143"/>
      <c r="AG1038" s="143"/>
      <c r="AH1038" s="143"/>
      <c r="AI1038" s="143"/>
      <c r="AJ1038" s="143"/>
    </row>
    <row r="1039" spans="1:36" s="144" customFormat="1" ht="21.75" customHeight="1">
      <c r="A1039" s="151"/>
      <c r="B1039" s="219"/>
      <c r="C1039" s="219"/>
      <c r="D1039" s="219"/>
      <c r="E1039" s="225"/>
      <c r="N1039" s="143"/>
      <c r="O1039" s="143"/>
      <c r="P1039" s="143"/>
      <c r="Q1039" s="143"/>
      <c r="R1039" s="143"/>
      <c r="S1039" s="143"/>
      <c r="T1039" s="143"/>
      <c r="U1039" s="143"/>
      <c r="V1039" s="143"/>
      <c r="W1039" s="143"/>
      <c r="X1039" s="143"/>
      <c r="Y1039" s="143"/>
      <c r="Z1039" s="143"/>
      <c r="AA1039" s="143"/>
      <c r="AB1039" s="143"/>
      <c r="AC1039" s="143"/>
      <c r="AD1039" s="143"/>
      <c r="AE1039" s="143"/>
      <c r="AF1039" s="143"/>
      <c r="AG1039" s="143"/>
      <c r="AH1039" s="143"/>
      <c r="AI1039" s="143"/>
      <c r="AJ1039" s="143"/>
    </row>
    <row r="1040" spans="1:36" s="144" customFormat="1" ht="21.75" customHeight="1">
      <c r="A1040" s="151"/>
      <c r="B1040" s="219"/>
      <c r="C1040" s="219"/>
      <c r="D1040" s="219"/>
      <c r="E1040" s="225"/>
      <c r="N1040" s="143"/>
      <c r="O1040" s="143"/>
      <c r="P1040" s="143"/>
      <c r="Q1040" s="143"/>
      <c r="R1040" s="143"/>
      <c r="S1040" s="143"/>
      <c r="T1040" s="143"/>
      <c r="U1040" s="143"/>
      <c r="V1040" s="143"/>
      <c r="W1040" s="143"/>
      <c r="X1040" s="143"/>
      <c r="Y1040" s="143"/>
      <c r="Z1040" s="143"/>
      <c r="AA1040" s="143"/>
      <c r="AB1040" s="143"/>
      <c r="AC1040" s="143"/>
      <c r="AD1040" s="143"/>
      <c r="AE1040" s="143"/>
      <c r="AF1040" s="143"/>
      <c r="AG1040" s="143"/>
      <c r="AH1040" s="143"/>
      <c r="AI1040" s="143"/>
      <c r="AJ1040" s="143"/>
    </row>
    <row r="1041" spans="1:36" s="144" customFormat="1" ht="21.75" customHeight="1">
      <c r="A1041" s="151"/>
      <c r="B1041" s="219"/>
      <c r="C1041" s="219"/>
      <c r="D1041" s="219"/>
      <c r="E1041" s="225"/>
      <c r="N1041" s="143"/>
      <c r="O1041" s="143"/>
      <c r="P1041" s="143"/>
      <c r="Q1041" s="143"/>
      <c r="R1041" s="143"/>
      <c r="S1041" s="143"/>
      <c r="T1041" s="143"/>
      <c r="U1041" s="143"/>
      <c r="V1041" s="143"/>
      <c r="W1041" s="143"/>
      <c r="X1041" s="143"/>
      <c r="Y1041" s="143"/>
      <c r="Z1041" s="143"/>
      <c r="AA1041" s="143"/>
      <c r="AB1041" s="143"/>
      <c r="AC1041" s="143"/>
      <c r="AD1041" s="143"/>
      <c r="AE1041" s="143"/>
      <c r="AF1041" s="143"/>
      <c r="AG1041" s="143"/>
      <c r="AH1041" s="143"/>
      <c r="AI1041" s="143"/>
      <c r="AJ1041" s="143"/>
    </row>
    <row r="1042" spans="1:36" s="144" customFormat="1" ht="21.75" customHeight="1">
      <c r="A1042" s="151"/>
      <c r="B1042" s="219"/>
      <c r="C1042" s="219"/>
      <c r="D1042" s="219"/>
      <c r="E1042" s="225"/>
      <c r="N1042" s="143"/>
      <c r="O1042" s="143"/>
      <c r="P1042" s="143"/>
      <c r="Q1042" s="143"/>
      <c r="R1042" s="143"/>
      <c r="S1042" s="143"/>
      <c r="T1042" s="143"/>
      <c r="U1042" s="143"/>
      <c r="V1042" s="143"/>
      <c r="W1042" s="143"/>
      <c r="X1042" s="143"/>
      <c r="Y1042" s="143"/>
      <c r="Z1042" s="143"/>
      <c r="AA1042" s="143"/>
      <c r="AB1042" s="143"/>
      <c r="AC1042" s="143"/>
      <c r="AD1042" s="143"/>
      <c r="AE1042" s="143"/>
      <c r="AF1042" s="143"/>
      <c r="AG1042" s="143"/>
      <c r="AH1042" s="143"/>
      <c r="AI1042" s="143"/>
      <c r="AJ1042" s="143"/>
    </row>
    <row r="1043" spans="1:36" s="144" customFormat="1" ht="21.75" customHeight="1">
      <c r="A1043" s="151"/>
      <c r="B1043" s="219"/>
      <c r="C1043" s="219"/>
      <c r="D1043" s="219"/>
      <c r="E1043" s="225"/>
      <c r="N1043" s="143"/>
      <c r="O1043" s="143"/>
      <c r="P1043" s="143"/>
      <c r="Q1043" s="143"/>
      <c r="R1043" s="143"/>
      <c r="S1043" s="143"/>
      <c r="T1043" s="143"/>
      <c r="U1043" s="143"/>
      <c r="V1043" s="143"/>
      <c r="W1043" s="143"/>
      <c r="X1043" s="143"/>
      <c r="Y1043" s="143"/>
      <c r="Z1043" s="143"/>
      <c r="AA1043" s="143"/>
      <c r="AB1043" s="143"/>
      <c r="AC1043" s="143"/>
      <c r="AD1043" s="143"/>
      <c r="AE1043" s="143"/>
      <c r="AF1043" s="143"/>
      <c r="AG1043" s="143"/>
      <c r="AH1043" s="143"/>
      <c r="AI1043" s="143"/>
      <c r="AJ1043" s="143"/>
    </row>
    <row r="1044" spans="1:36" s="144" customFormat="1" ht="21.75" customHeight="1">
      <c r="A1044" s="151"/>
      <c r="B1044" s="219"/>
      <c r="C1044" s="219"/>
      <c r="D1044" s="219"/>
      <c r="E1044" s="225"/>
      <c r="N1044" s="143"/>
      <c r="O1044" s="143"/>
      <c r="P1044" s="143"/>
      <c r="Q1044" s="143"/>
      <c r="R1044" s="143"/>
      <c r="S1044" s="143"/>
      <c r="T1044" s="143"/>
      <c r="U1044" s="143"/>
      <c r="V1044" s="143"/>
      <c r="W1044" s="143"/>
      <c r="X1044" s="143"/>
      <c r="Y1044" s="143"/>
      <c r="Z1044" s="143"/>
      <c r="AA1044" s="143"/>
      <c r="AB1044" s="143"/>
      <c r="AC1044" s="143"/>
      <c r="AD1044" s="143"/>
      <c r="AE1044" s="143"/>
      <c r="AF1044" s="143"/>
      <c r="AG1044" s="143"/>
      <c r="AH1044" s="143"/>
      <c r="AI1044" s="143"/>
      <c r="AJ1044" s="143"/>
    </row>
    <row r="1045" spans="1:36" s="144" customFormat="1" ht="21.75" customHeight="1">
      <c r="A1045" s="151"/>
      <c r="B1045" s="219"/>
      <c r="C1045" s="219"/>
      <c r="D1045" s="219"/>
      <c r="E1045" s="225"/>
      <c r="N1045" s="143"/>
      <c r="O1045" s="143"/>
      <c r="P1045" s="143"/>
      <c r="Q1045" s="143"/>
      <c r="R1045" s="143"/>
      <c r="S1045" s="143"/>
      <c r="T1045" s="143"/>
      <c r="U1045" s="143"/>
      <c r="V1045" s="143"/>
      <c r="W1045" s="143"/>
      <c r="X1045" s="143"/>
      <c r="Y1045" s="143"/>
      <c r="Z1045" s="143"/>
      <c r="AA1045" s="143"/>
      <c r="AB1045" s="143"/>
      <c r="AC1045" s="143"/>
      <c r="AD1045" s="143"/>
      <c r="AE1045" s="143"/>
      <c r="AF1045" s="143"/>
      <c r="AG1045" s="143"/>
      <c r="AH1045" s="143"/>
      <c r="AI1045" s="143"/>
      <c r="AJ1045" s="143"/>
    </row>
    <row r="1046" spans="1:36" s="144" customFormat="1" ht="21.75" customHeight="1">
      <c r="A1046" s="151"/>
      <c r="B1046" s="219"/>
      <c r="C1046" s="219"/>
      <c r="D1046" s="219"/>
      <c r="E1046" s="225"/>
      <c r="N1046" s="143"/>
      <c r="O1046" s="143"/>
      <c r="P1046" s="143"/>
      <c r="Q1046" s="143"/>
      <c r="R1046" s="143"/>
      <c r="S1046" s="143"/>
      <c r="T1046" s="143"/>
      <c r="U1046" s="143"/>
      <c r="V1046" s="143"/>
      <c r="W1046" s="143"/>
      <c r="X1046" s="143"/>
      <c r="Y1046" s="143"/>
      <c r="Z1046" s="143"/>
      <c r="AA1046" s="143"/>
      <c r="AB1046" s="143"/>
      <c r="AC1046" s="143"/>
      <c r="AD1046" s="143"/>
      <c r="AE1046" s="143"/>
      <c r="AF1046" s="143"/>
      <c r="AG1046" s="143"/>
      <c r="AH1046" s="143"/>
      <c r="AI1046" s="143"/>
      <c r="AJ1046" s="143"/>
    </row>
    <row r="1047" spans="1:36" s="144" customFormat="1" ht="21.75" customHeight="1">
      <c r="A1047" s="151"/>
      <c r="B1047" s="219"/>
      <c r="C1047" s="219"/>
      <c r="D1047" s="219"/>
      <c r="E1047" s="225"/>
      <c r="N1047" s="143"/>
      <c r="O1047" s="143"/>
      <c r="P1047" s="143"/>
      <c r="Q1047" s="143"/>
      <c r="R1047" s="143"/>
      <c r="S1047" s="143"/>
      <c r="T1047" s="143"/>
      <c r="U1047" s="143"/>
      <c r="V1047" s="143"/>
      <c r="W1047" s="143"/>
      <c r="X1047" s="143"/>
      <c r="Y1047" s="143"/>
      <c r="Z1047" s="143"/>
      <c r="AA1047" s="143"/>
      <c r="AB1047" s="143"/>
      <c r="AC1047" s="143"/>
      <c r="AD1047" s="143"/>
      <c r="AE1047" s="143"/>
      <c r="AF1047" s="143"/>
      <c r="AG1047" s="143"/>
      <c r="AH1047" s="143"/>
      <c r="AI1047" s="143"/>
      <c r="AJ1047" s="143"/>
    </row>
    <row r="1048" spans="1:36" s="144" customFormat="1" ht="21.75" customHeight="1">
      <c r="A1048" s="151"/>
      <c r="B1048" s="219"/>
      <c r="C1048" s="219"/>
      <c r="D1048" s="219"/>
      <c r="E1048" s="225"/>
      <c r="N1048" s="143"/>
      <c r="O1048" s="143"/>
      <c r="P1048" s="143"/>
      <c r="Q1048" s="143"/>
      <c r="R1048" s="143"/>
      <c r="S1048" s="143"/>
      <c r="T1048" s="143"/>
      <c r="U1048" s="143"/>
      <c r="V1048" s="143"/>
      <c r="W1048" s="143"/>
      <c r="X1048" s="143"/>
      <c r="Y1048" s="143"/>
      <c r="Z1048" s="143"/>
      <c r="AA1048" s="143"/>
      <c r="AB1048" s="143"/>
      <c r="AC1048" s="143"/>
      <c r="AD1048" s="143"/>
      <c r="AE1048" s="143"/>
      <c r="AF1048" s="143"/>
      <c r="AG1048" s="143"/>
      <c r="AH1048" s="143"/>
      <c r="AI1048" s="143"/>
      <c r="AJ1048" s="143"/>
    </row>
    <row r="1049" spans="1:36" s="144" customFormat="1" ht="21.75" customHeight="1">
      <c r="A1049" s="151"/>
      <c r="B1049" s="219"/>
      <c r="C1049" s="219"/>
      <c r="D1049" s="219"/>
      <c r="E1049" s="225"/>
      <c r="N1049" s="143"/>
      <c r="O1049" s="143"/>
      <c r="P1049" s="143"/>
      <c r="Q1049" s="143"/>
      <c r="R1049" s="143"/>
      <c r="S1049" s="143"/>
      <c r="T1049" s="143"/>
      <c r="U1049" s="143"/>
      <c r="V1049" s="143"/>
      <c r="W1049" s="143"/>
      <c r="X1049" s="143"/>
      <c r="Y1049" s="143"/>
      <c r="Z1049" s="143"/>
      <c r="AA1049" s="143"/>
      <c r="AB1049" s="143"/>
      <c r="AC1049" s="143"/>
      <c r="AD1049" s="143"/>
      <c r="AE1049" s="143"/>
      <c r="AF1049" s="143"/>
      <c r="AG1049" s="143"/>
      <c r="AH1049" s="143"/>
      <c r="AI1049" s="143"/>
      <c r="AJ1049" s="143"/>
    </row>
    <row r="1050" spans="1:36" s="144" customFormat="1" ht="21.75" customHeight="1">
      <c r="A1050" s="151"/>
      <c r="B1050" s="219"/>
      <c r="C1050" s="219"/>
      <c r="D1050" s="219"/>
      <c r="E1050" s="225"/>
      <c r="N1050" s="143"/>
      <c r="O1050" s="143"/>
      <c r="P1050" s="143"/>
      <c r="Q1050" s="143"/>
      <c r="R1050" s="143"/>
      <c r="S1050" s="143"/>
      <c r="T1050" s="143"/>
      <c r="U1050" s="143"/>
      <c r="V1050" s="143"/>
      <c r="W1050" s="143"/>
      <c r="X1050" s="143"/>
      <c r="Y1050" s="143"/>
      <c r="Z1050" s="143"/>
      <c r="AA1050" s="143"/>
      <c r="AB1050" s="143"/>
      <c r="AC1050" s="143"/>
      <c r="AD1050" s="143"/>
      <c r="AE1050" s="143"/>
      <c r="AF1050" s="143"/>
      <c r="AG1050" s="143"/>
      <c r="AH1050" s="143"/>
      <c r="AI1050" s="143"/>
      <c r="AJ1050" s="143"/>
    </row>
    <row r="1051" spans="1:36" s="144" customFormat="1" ht="21.75" customHeight="1">
      <c r="A1051" s="151"/>
      <c r="B1051" s="219"/>
      <c r="C1051" s="219"/>
      <c r="D1051" s="219"/>
      <c r="E1051" s="225"/>
      <c r="N1051" s="143"/>
      <c r="O1051" s="143"/>
      <c r="P1051" s="143"/>
      <c r="Q1051" s="143"/>
      <c r="R1051" s="143"/>
      <c r="S1051" s="143"/>
      <c r="T1051" s="143"/>
      <c r="U1051" s="143"/>
      <c r="V1051" s="143"/>
      <c r="W1051" s="143"/>
      <c r="X1051" s="143"/>
      <c r="Y1051" s="143"/>
      <c r="Z1051" s="143"/>
      <c r="AA1051" s="143"/>
      <c r="AB1051" s="143"/>
      <c r="AC1051" s="143"/>
      <c r="AD1051" s="143"/>
      <c r="AE1051" s="143"/>
      <c r="AF1051" s="143"/>
      <c r="AG1051" s="143"/>
      <c r="AH1051" s="143"/>
      <c r="AI1051" s="143"/>
      <c r="AJ1051" s="143"/>
    </row>
    <row r="1052" spans="1:36" s="144" customFormat="1" ht="21.75" customHeight="1">
      <c r="A1052" s="151"/>
      <c r="B1052" s="219"/>
      <c r="C1052" s="219"/>
      <c r="D1052" s="219"/>
      <c r="E1052" s="225"/>
      <c r="N1052" s="143"/>
      <c r="O1052" s="143"/>
      <c r="P1052" s="143"/>
      <c r="Q1052" s="143"/>
      <c r="R1052" s="143"/>
      <c r="S1052" s="143"/>
      <c r="T1052" s="143"/>
      <c r="U1052" s="143"/>
      <c r="V1052" s="143"/>
      <c r="W1052" s="143"/>
      <c r="X1052" s="143"/>
      <c r="Y1052" s="143"/>
      <c r="Z1052" s="143"/>
      <c r="AA1052" s="143"/>
      <c r="AB1052" s="143"/>
      <c r="AC1052" s="143"/>
      <c r="AD1052" s="143"/>
      <c r="AE1052" s="143"/>
      <c r="AF1052" s="143"/>
      <c r="AG1052" s="143"/>
      <c r="AH1052" s="143"/>
      <c r="AI1052" s="143"/>
      <c r="AJ1052" s="143"/>
    </row>
    <row r="1053" spans="1:36" s="144" customFormat="1" ht="21.75" customHeight="1">
      <c r="A1053" s="151"/>
      <c r="B1053" s="219"/>
      <c r="C1053" s="219"/>
      <c r="D1053" s="219"/>
      <c r="E1053" s="225"/>
      <c r="N1053" s="143"/>
      <c r="O1053" s="143"/>
      <c r="P1053" s="143"/>
      <c r="Q1053" s="143"/>
      <c r="R1053" s="143"/>
      <c r="S1053" s="143"/>
      <c r="T1053" s="143"/>
      <c r="U1053" s="143"/>
      <c r="V1053" s="143"/>
      <c r="W1053" s="143"/>
      <c r="X1053" s="143"/>
      <c r="Y1053" s="143"/>
      <c r="Z1053" s="143"/>
      <c r="AA1053" s="143"/>
      <c r="AB1053" s="143"/>
      <c r="AC1053" s="143"/>
      <c r="AD1053" s="143"/>
      <c r="AE1053" s="143"/>
      <c r="AF1053" s="143"/>
      <c r="AG1053" s="143"/>
      <c r="AH1053" s="143"/>
      <c r="AI1053" s="143"/>
      <c r="AJ1053" s="143"/>
    </row>
    <row r="1054" spans="1:36" s="144" customFormat="1" ht="21.75" customHeight="1">
      <c r="A1054" s="151"/>
      <c r="B1054" s="219"/>
      <c r="C1054" s="219"/>
      <c r="D1054" s="219"/>
      <c r="E1054" s="225"/>
      <c r="N1054" s="143"/>
      <c r="O1054" s="143"/>
      <c r="P1054" s="143"/>
      <c r="Q1054" s="143"/>
      <c r="R1054" s="143"/>
      <c r="S1054" s="143"/>
      <c r="T1054" s="143"/>
      <c r="U1054" s="143"/>
      <c r="V1054" s="143"/>
      <c r="W1054" s="143"/>
      <c r="X1054" s="143"/>
      <c r="Y1054" s="143"/>
      <c r="Z1054" s="143"/>
      <c r="AA1054" s="143"/>
      <c r="AB1054" s="143"/>
      <c r="AC1054" s="143"/>
      <c r="AD1054" s="143"/>
      <c r="AE1054" s="143"/>
      <c r="AF1054" s="143"/>
      <c r="AG1054" s="143"/>
      <c r="AH1054" s="143"/>
      <c r="AI1054" s="143"/>
      <c r="AJ1054" s="143"/>
    </row>
    <row r="1055" spans="1:36" s="144" customFormat="1" ht="21.75" customHeight="1">
      <c r="A1055" s="151"/>
      <c r="B1055" s="219"/>
      <c r="C1055" s="219"/>
      <c r="D1055" s="219"/>
      <c r="E1055" s="225"/>
      <c r="N1055" s="143"/>
      <c r="O1055" s="143"/>
      <c r="P1055" s="143"/>
      <c r="Q1055" s="143"/>
      <c r="R1055" s="143"/>
      <c r="S1055" s="143"/>
      <c r="T1055" s="143"/>
      <c r="U1055" s="143"/>
      <c r="V1055" s="143"/>
      <c r="W1055" s="143"/>
      <c r="X1055" s="143"/>
      <c r="Y1055" s="143"/>
      <c r="Z1055" s="143"/>
      <c r="AA1055" s="143"/>
      <c r="AB1055" s="143"/>
      <c r="AC1055" s="143"/>
      <c r="AD1055" s="143"/>
      <c r="AE1055" s="143"/>
      <c r="AF1055" s="143"/>
      <c r="AG1055" s="143"/>
      <c r="AH1055" s="143"/>
      <c r="AI1055" s="143"/>
      <c r="AJ1055" s="143"/>
    </row>
    <row r="1056" spans="1:36" s="144" customFormat="1" ht="21.75" customHeight="1">
      <c r="A1056" s="151"/>
      <c r="B1056" s="219"/>
      <c r="C1056" s="219"/>
      <c r="D1056" s="219"/>
      <c r="E1056" s="225"/>
      <c r="N1056" s="143"/>
      <c r="O1056" s="143"/>
      <c r="P1056" s="143"/>
      <c r="Q1056" s="143"/>
      <c r="R1056" s="143"/>
      <c r="S1056" s="143"/>
      <c r="T1056" s="143"/>
      <c r="U1056" s="143"/>
      <c r="V1056" s="143"/>
      <c r="W1056" s="143"/>
      <c r="X1056" s="143"/>
      <c r="Y1056" s="143"/>
      <c r="Z1056" s="143"/>
      <c r="AA1056" s="143"/>
      <c r="AB1056" s="143"/>
      <c r="AC1056" s="143"/>
      <c r="AD1056" s="143"/>
      <c r="AE1056" s="143"/>
      <c r="AF1056" s="143"/>
      <c r="AG1056" s="143"/>
      <c r="AH1056" s="143"/>
      <c r="AI1056" s="143"/>
      <c r="AJ1056" s="143"/>
    </row>
    <row r="1057" spans="1:36" s="144" customFormat="1" ht="21.75" customHeight="1">
      <c r="A1057" s="151"/>
      <c r="B1057" s="219"/>
      <c r="C1057" s="219"/>
      <c r="D1057" s="219"/>
      <c r="E1057" s="225"/>
      <c r="N1057" s="143"/>
      <c r="O1057" s="143"/>
      <c r="P1057" s="143"/>
      <c r="Q1057" s="143"/>
      <c r="R1057" s="143"/>
      <c r="S1057" s="143"/>
      <c r="T1057" s="143"/>
      <c r="U1057" s="143"/>
      <c r="V1057" s="143"/>
      <c r="W1057" s="143"/>
      <c r="X1057" s="143"/>
      <c r="Y1057" s="143"/>
      <c r="Z1057" s="143"/>
      <c r="AA1057" s="143"/>
      <c r="AB1057" s="143"/>
      <c r="AC1057" s="143"/>
      <c r="AD1057" s="143"/>
      <c r="AE1057" s="143"/>
      <c r="AF1057" s="143"/>
      <c r="AG1057" s="143"/>
      <c r="AH1057" s="143"/>
      <c r="AI1057" s="143"/>
      <c r="AJ1057" s="143"/>
    </row>
    <row r="1058" spans="1:36" s="144" customFormat="1" ht="21.75" customHeight="1">
      <c r="A1058" s="151"/>
      <c r="B1058" s="219"/>
      <c r="C1058" s="219"/>
      <c r="D1058" s="219"/>
      <c r="E1058" s="225"/>
      <c r="N1058" s="143"/>
      <c r="O1058" s="143"/>
      <c r="P1058" s="143"/>
      <c r="Q1058" s="143"/>
      <c r="R1058" s="143"/>
      <c r="S1058" s="143"/>
      <c r="T1058" s="143"/>
      <c r="U1058" s="143"/>
      <c r="V1058" s="143"/>
      <c r="W1058" s="143"/>
      <c r="X1058" s="143"/>
      <c r="Y1058" s="143"/>
      <c r="Z1058" s="143"/>
      <c r="AA1058" s="143"/>
      <c r="AB1058" s="143"/>
      <c r="AC1058" s="143"/>
      <c r="AD1058" s="143"/>
      <c r="AE1058" s="143"/>
      <c r="AF1058" s="143"/>
      <c r="AG1058" s="143"/>
      <c r="AH1058" s="143"/>
      <c r="AI1058" s="143"/>
      <c r="AJ1058" s="143"/>
    </row>
    <row r="1059" spans="1:36" s="144" customFormat="1" ht="21.75" customHeight="1">
      <c r="A1059" s="151"/>
      <c r="B1059" s="219"/>
      <c r="C1059" s="219"/>
      <c r="D1059" s="219"/>
      <c r="E1059" s="225"/>
      <c r="N1059" s="143"/>
      <c r="O1059" s="143"/>
      <c r="P1059" s="143"/>
      <c r="Q1059" s="143"/>
      <c r="R1059" s="143"/>
      <c r="S1059" s="143"/>
      <c r="T1059" s="143"/>
      <c r="U1059" s="143"/>
      <c r="V1059" s="143"/>
      <c r="W1059" s="143"/>
      <c r="X1059" s="143"/>
      <c r="Y1059" s="143"/>
      <c r="Z1059" s="143"/>
      <c r="AA1059" s="143"/>
      <c r="AB1059" s="143"/>
      <c r="AC1059" s="143"/>
      <c r="AD1059" s="143"/>
      <c r="AE1059" s="143"/>
      <c r="AF1059" s="143"/>
      <c r="AG1059" s="143"/>
      <c r="AH1059" s="143"/>
      <c r="AI1059" s="143"/>
      <c r="AJ1059" s="143"/>
    </row>
    <row r="1060" spans="1:36" s="144" customFormat="1" ht="21.75" customHeight="1">
      <c r="A1060" s="151"/>
      <c r="B1060" s="219"/>
      <c r="C1060" s="219"/>
      <c r="D1060" s="219"/>
      <c r="E1060" s="225"/>
      <c r="N1060" s="143"/>
      <c r="O1060" s="143"/>
      <c r="P1060" s="143"/>
      <c r="Q1060" s="143"/>
      <c r="R1060" s="143"/>
      <c r="S1060" s="143"/>
      <c r="T1060" s="143"/>
      <c r="U1060" s="143"/>
      <c r="V1060" s="143"/>
      <c r="W1060" s="143"/>
      <c r="X1060" s="143"/>
      <c r="Y1060" s="143"/>
      <c r="Z1060" s="143"/>
      <c r="AA1060" s="143"/>
      <c r="AB1060" s="143"/>
      <c r="AC1060" s="143"/>
      <c r="AD1060" s="143"/>
      <c r="AE1060" s="143"/>
      <c r="AF1060" s="143"/>
      <c r="AG1060" s="143"/>
      <c r="AH1060" s="143"/>
      <c r="AI1060" s="143"/>
      <c r="AJ1060" s="143"/>
    </row>
    <row r="1061" spans="1:36" s="144" customFormat="1" ht="21.75" customHeight="1">
      <c r="A1061" s="151"/>
      <c r="B1061" s="219"/>
      <c r="C1061" s="219"/>
      <c r="D1061" s="219"/>
      <c r="E1061" s="225"/>
      <c r="N1061" s="143"/>
      <c r="O1061" s="143"/>
      <c r="P1061" s="143"/>
      <c r="Q1061" s="143"/>
      <c r="R1061" s="143"/>
      <c r="S1061" s="143"/>
      <c r="T1061" s="143"/>
      <c r="U1061" s="143"/>
      <c r="V1061" s="143"/>
      <c r="W1061" s="143"/>
      <c r="X1061" s="143"/>
      <c r="Y1061" s="143"/>
      <c r="Z1061" s="143"/>
      <c r="AA1061" s="143"/>
      <c r="AB1061" s="143"/>
      <c r="AC1061" s="143"/>
      <c r="AD1061" s="143"/>
      <c r="AE1061" s="143"/>
      <c r="AF1061" s="143"/>
      <c r="AG1061" s="143"/>
      <c r="AH1061" s="143"/>
      <c r="AI1061" s="143"/>
      <c r="AJ1061" s="143"/>
    </row>
    <row r="1062" spans="1:36" s="144" customFormat="1" ht="21.75" customHeight="1">
      <c r="A1062" s="151"/>
      <c r="B1062" s="219"/>
      <c r="C1062" s="219"/>
      <c r="D1062" s="219"/>
      <c r="E1062" s="225"/>
      <c r="N1062" s="143"/>
      <c r="O1062" s="143"/>
      <c r="P1062" s="143"/>
      <c r="Q1062" s="143"/>
      <c r="R1062" s="143"/>
      <c r="S1062" s="143"/>
      <c r="T1062" s="143"/>
      <c r="U1062" s="143"/>
      <c r="V1062" s="143"/>
      <c r="W1062" s="143"/>
      <c r="X1062" s="143"/>
      <c r="Y1062" s="143"/>
      <c r="Z1062" s="143"/>
      <c r="AA1062" s="143"/>
      <c r="AB1062" s="143"/>
      <c r="AC1062" s="143"/>
      <c r="AD1062" s="143"/>
      <c r="AE1062" s="143"/>
      <c r="AF1062" s="143"/>
      <c r="AG1062" s="143"/>
      <c r="AH1062" s="143"/>
      <c r="AI1062" s="143"/>
      <c r="AJ1062" s="143"/>
    </row>
    <row r="1063" spans="1:36" s="144" customFormat="1" ht="21.75" customHeight="1">
      <c r="A1063" s="151"/>
      <c r="B1063" s="219"/>
      <c r="C1063" s="219"/>
      <c r="D1063" s="219"/>
      <c r="E1063" s="225"/>
      <c r="N1063" s="143"/>
      <c r="O1063" s="143"/>
      <c r="P1063" s="143"/>
      <c r="Q1063" s="143"/>
      <c r="R1063" s="143"/>
      <c r="S1063" s="143"/>
      <c r="T1063" s="143"/>
      <c r="U1063" s="143"/>
      <c r="V1063" s="143"/>
      <c r="W1063" s="143"/>
      <c r="X1063" s="143"/>
      <c r="Y1063" s="143"/>
      <c r="Z1063" s="143"/>
      <c r="AA1063" s="143"/>
      <c r="AB1063" s="143"/>
      <c r="AC1063" s="143"/>
      <c r="AD1063" s="143"/>
      <c r="AE1063" s="143"/>
      <c r="AF1063" s="143"/>
      <c r="AG1063" s="143"/>
      <c r="AH1063" s="143"/>
      <c r="AI1063" s="143"/>
      <c r="AJ1063" s="143"/>
    </row>
    <row r="1064" spans="1:36" s="144" customFormat="1" ht="21.75" customHeight="1">
      <c r="A1064" s="151"/>
      <c r="B1064" s="219"/>
      <c r="C1064" s="219"/>
      <c r="D1064" s="219"/>
      <c r="E1064" s="225"/>
      <c r="N1064" s="143"/>
      <c r="O1064" s="143"/>
      <c r="P1064" s="143"/>
      <c r="Q1064" s="143"/>
      <c r="R1064" s="143"/>
      <c r="S1064" s="143"/>
      <c r="T1064" s="143"/>
      <c r="U1064" s="143"/>
      <c r="V1064" s="143"/>
      <c r="W1064" s="143"/>
      <c r="X1064" s="143"/>
      <c r="Y1064" s="143"/>
      <c r="Z1064" s="143"/>
      <c r="AA1064" s="143"/>
      <c r="AB1064" s="143"/>
      <c r="AC1064" s="143"/>
      <c r="AD1064" s="143"/>
      <c r="AE1064" s="143"/>
      <c r="AF1064" s="143"/>
      <c r="AG1064" s="143"/>
      <c r="AH1064" s="143"/>
      <c r="AI1064" s="143"/>
      <c r="AJ1064" s="143"/>
    </row>
    <row r="1065" spans="1:36" s="144" customFormat="1" ht="21.75" customHeight="1">
      <c r="A1065" s="151"/>
      <c r="B1065" s="219"/>
      <c r="C1065" s="219"/>
      <c r="D1065" s="219"/>
      <c r="E1065" s="225"/>
      <c r="N1065" s="143"/>
      <c r="O1065" s="143"/>
      <c r="P1065" s="143"/>
      <c r="Q1065" s="143"/>
      <c r="R1065" s="143"/>
      <c r="S1065" s="143"/>
      <c r="T1065" s="143"/>
      <c r="U1065" s="143"/>
      <c r="V1065" s="143"/>
      <c r="W1065" s="143"/>
      <c r="X1065" s="143"/>
      <c r="Y1065" s="143"/>
      <c r="Z1065" s="143"/>
      <c r="AA1065" s="143"/>
      <c r="AB1065" s="143"/>
      <c r="AC1065" s="143"/>
      <c r="AD1065" s="143"/>
      <c r="AE1065" s="143"/>
      <c r="AF1065" s="143"/>
      <c r="AG1065" s="143"/>
      <c r="AH1065" s="143"/>
      <c r="AI1065" s="143"/>
      <c r="AJ1065" s="143"/>
    </row>
    <row r="1066" spans="1:36" s="144" customFormat="1" ht="21.75" customHeight="1">
      <c r="A1066" s="151"/>
      <c r="B1066" s="219"/>
      <c r="C1066" s="219"/>
      <c r="D1066" s="219"/>
      <c r="E1066" s="225"/>
      <c r="N1066" s="143"/>
      <c r="O1066" s="143"/>
      <c r="P1066" s="143"/>
      <c r="Q1066" s="143"/>
      <c r="R1066" s="143"/>
      <c r="S1066" s="143"/>
      <c r="T1066" s="143"/>
      <c r="U1066" s="143"/>
      <c r="V1066" s="143"/>
      <c r="W1066" s="143"/>
      <c r="X1066" s="143"/>
      <c r="Y1066" s="143"/>
      <c r="Z1066" s="143"/>
      <c r="AA1066" s="143"/>
      <c r="AB1066" s="143"/>
      <c r="AC1066" s="143"/>
      <c r="AD1066" s="143"/>
      <c r="AE1066" s="143"/>
      <c r="AF1066" s="143"/>
      <c r="AG1066" s="143"/>
      <c r="AH1066" s="143"/>
      <c r="AI1066" s="143"/>
      <c r="AJ1066" s="143"/>
    </row>
    <row r="1067" spans="1:36" s="144" customFormat="1" ht="21.75" customHeight="1">
      <c r="A1067" s="151"/>
      <c r="B1067" s="219"/>
      <c r="C1067" s="219"/>
      <c r="D1067" s="219"/>
      <c r="E1067" s="225"/>
      <c r="N1067" s="143"/>
      <c r="O1067" s="143"/>
      <c r="P1067" s="143"/>
      <c r="Q1067" s="143"/>
      <c r="R1067" s="143"/>
      <c r="S1067" s="143"/>
      <c r="T1067" s="143"/>
      <c r="U1067" s="143"/>
      <c r="V1067" s="143"/>
      <c r="W1067" s="143"/>
      <c r="X1067" s="143"/>
      <c r="Y1067" s="143"/>
      <c r="Z1067" s="143"/>
      <c r="AA1067" s="143"/>
      <c r="AB1067" s="143"/>
      <c r="AC1067" s="143"/>
      <c r="AD1067" s="143"/>
      <c r="AE1067" s="143"/>
      <c r="AF1067" s="143"/>
      <c r="AG1067" s="143"/>
      <c r="AH1067" s="143"/>
      <c r="AI1067" s="143"/>
      <c r="AJ1067" s="143"/>
    </row>
    <row r="1068" spans="1:36" s="144" customFormat="1" ht="21.75" customHeight="1">
      <c r="A1068" s="151"/>
      <c r="B1068" s="219"/>
      <c r="C1068" s="219"/>
      <c r="D1068" s="219"/>
      <c r="E1068" s="225"/>
      <c r="N1068" s="143"/>
      <c r="O1068" s="143"/>
      <c r="P1068" s="143"/>
      <c r="Q1068" s="143"/>
      <c r="R1068" s="143"/>
      <c r="S1068" s="143"/>
      <c r="T1068" s="143"/>
      <c r="U1068" s="143"/>
      <c r="V1068" s="143"/>
      <c r="W1068" s="143"/>
      <c r="X1068" s="143"/>
      <c r="Y1068" s="143"/>
      <c r="Z1068" s="143"/>
      <c r="AA1068" s="143"/>
      <c r="AB1068" s="143"/>
      <c r="AC1068" s="143"/>
      <c r="AD1068" s="143"/>
      <c r="AE1068" s="143"/>
      <c r="AF1068" s="143"/>
      <c r="AG1068" s="143"/>
      <c r="AH1068" s="143"/>
      <c r="AI1068" s="143"/>
      <c r="AJ1068" s="143"/>
    </row>
    <row r="1069" spans="1:36" s="144" customFormat="1" ht="21.75" customHeight="1">
      <c r="A1069" s="151"/>
      <c r="B1069" s="219"/>
      <c r="C1069" s="219"/>
      <c r="D1069" s="219"/>
      <c r="E1069" s="225"/>
      <c r="N1069" s="143"/>
      <c r="O1069" s="143"/>
      <c r="P1069" s="143"/>
      <c r="Q1069" s="143"/>
      <c r="R1069" s="143"/>
      <c r="S1069" s="143"/>
      <c r="T1069" s="143"/>
      <c r="U1069" s="143"/>
      <c r="V1069" s="143"/>
      <c r="W1069" s="143"/>
      <c r="X1069" s="143"/>
      <c r="Y1069" s="143"/>
      <c r="Z1069" s="143"/>
      <c r="AA1069" s="143"/>
      <c r="AB1069" s="143"/>
      <c r="AC1069" s="143"/>
      <c r="AD1069" s="143"/>
      <c r="AE1069" s="143"/>
      <c r="AF1069" s="143"/>
      <c r="AG1069" s="143"/>
      <c r="AH1069" s="143"/>
      <c r="AI1069" s="143"/>
      <c r="AJ1069" s="143"/>
    </row>
    <row r="1070" spans="1:36" s="144" customFormat="1" ht="21.75" customHeight="1">
      <c r="A1070" s="151"/>
      <c r="B1070" s="219"/>
      <c r="C1070" s="219"/>
      <c r="D1070" s="219"/>
      <c r="E1070" s="225"/>
      <c r="N1070" s="143"/>
      <c r="O1070" s="143"/>
      <c r="P1070" s="143"/>
      <c r="Q1070" s="143"/>
      <c r="R1070" s="143"/>
      <c r="S1070" s="143"/>
      <c r="T1070" s="143"/>
      <c r="U1070" s="143"/>
      <c r="V1070" s="143"/>
      <c r="W1070" s="143"/>
      <c r="X1070" s="143"/>
      <c r="Y1070" s="143"/>
      <c r="Z1070" s="143"/>
      <c r="AA1070" s="143"/>
      <c r="AB1070" s="143"/>
      <c r="AC1070" s="143"/>
      <c r="AD1070" s="143"/>
      <c r="AE1070" s="143"/>
      <c r="AF1070" s="143"/>
      <c r="AG1070" s="143"/>
      <c r="AH1070" s="143"/>
      <c r="AI1070" s="143"/>
      <c r="AJ1070" s="143"/>
    </row>
    <row r="1071" spans="1:36" s="144" customFormat="1" ht="21.75" customHeight="1">
      <c r="A1071" s="151"/>
      <c r="B1071" s="219"/>
      <c r="C1071" s="219"/>
      <c r="D1071" s="219"/>
      <c r="E1071" s="225"/>
      <c r="N1071" s="143"/>
      <c r="O1071" s="143"/>
      <c r="P1071" s="143"/>
      <c r="Q1071" s="143"/>
      <c r="R1071" s="143"/>
      <c r="S1071" s="143"/>
      <c r="T1071" s="143"/>
      <c r="U1071" s="143"/>
      <c r="V1071" s="143"/>
      <c r="W1071" s="143"/>
      <c r="X1071" s="143"/>
      <c r="Y1071" s="143"/>
      <c r="Z1071" s="143"/>
      <c r="AA1071" s="143"/>
      <c r="AB1071" s="143"/>
      <c r="AC1071" s="143"/>
      <c r="AD1071" s="143"/>
      <c r="AE1071" s="143"/>
      <c r="AF1071" s="143"/>
      <c r="AG1071" s="143"/>
      <c r="AH1071" s="143"/>
      <c r="AI1071" s="143"/>
      <c r="AJ1071" s="143"/>
    </row>
    <row r="1072" spans="1:36" s="144" customFormat="1" ht="21.75" customHeight="1">
      <c r="A1072" s="151"/>
      <c r="B1072" s="219"/>
      <c r="C1072" s="219"/>
      <c r="D1072" s="219"/>
      <c r="E1072" s="225"/>
      <c r="N1072" s="143"/>
      <c r="O1072" s="143"/>
      <c r="P1072" s="143"/>
      <c r="Q1072" s="143"/>
      <c r="R1072" s="143"/>
      <c r="S1072" s="143"/>
      <c r="T1072" s="143"/>
      <c r="U1072" s="143"/>
      <c r="V1072" s="143"/>
      <c r="W1072" s="143"/>
      <c r="X1072" s="143"/>
      <c r="Y1072" s="143"/>
      <c r="Z1072" s="143"/>
      <c r="AA1072" s="143"/>
      <c r="AB1072" s="143"/>
      <c r="AC1072" s="143"/>
      <c r="AD1072" s="143"/>
      <c r="AE1072" s="143"/>
      <c r="AF1072" s="143"/>
      <c r="AG1072" s="143"/>
      <c r="AH1072" s="143"/>
      <c r="AI1072" s="143"/>
      <c r="AJ1072" s="143"/>
    </row>
    <row r="1073" spans="1:36" s="144" customFormat="1" ht="21.75" customHeight="1">
      <c r="A1073" s="151"/>
      <c r="B1073" s="219"/>
      <c r="C1073" s="219"/>
      <c r="D1073" s="219"/>
      <c r="E1073" s="225"/>
      <c r="N1073" s="143"/>
      <c r="O1073" s="143"/>
      <c r="P1073" s="143"/>
      <c r="Q1073" s="143"/>
      <c r="R1073" s="143"/>
      <c r="S1073" s="143"/>
      <c r="T1073" s="143"/>
      <c r="U1073" s="143"/>
      <c r="V1073" s="143"/>
      <c r="W1073" s="143"/>
      <c r="X1073" s="143"/>
      <c r="Y1073" s="143"/>
      <c r="Z1073" s="143"/>
      <c r="AA1073" s="143"/>
      <c r="AB1073" s="143"/>
      <c r="AC1073" s="143"/>
      <c r="AD1073" s="143"/>
      <c r="AE1073" s="143"/>
      <c r="AF1073" s="143"/>
      <c r="AG1073" s="143"/>
      <c r="AH1073" s="143"/>
      <c r="AI1073" s="143"/>
      <c r="AJ1073" s="143"/>
    </row>
    <row r="1074" spans="1:36" s="144" customFormat="1" ht="21.75" customHeight="1">
      <c r="A1074" s="151"/>
      <c r="B1074" s="219"/>
      <c r="C1074" s="219"/>
      <c r="D1074" s="219"/>
      <c r="E1074" s="225"/>
      <c r="N1074" s="143"/>
      <c r="O1074" s="143"/>
      <c r="P1074" s="143"/>
      <c r="Q1074" s="143"/>
      <c r="R1074" s="143"/>
      <c r="S1074" s="143"/>
      <c r="T1074" s="143"/>
      <c r="U1074" s="143"/>
      <c r="V1074" s="143"/>
      <c r="W1074" s="143"/>
      <c r="X1074" s="143"/>
      <c r="Y1074" s="143"/>
      <c r="Z1074" s="143"/>
      <c r="AA1074" s="143"/>
      <c r="AB1074" s="143"/>
      <c r="AC1074" s="143"/>
      <c r="AD1074" s="143"/>
      <c r="AE1074" s="143"/>
      <c r="AF1074" s="143"/>
      <c r="AG1074" s="143"/>
      <c r="AH1074" s="143"/>
      <c r="AI1074" s="143"/>
      <c r="AJ1074" s="143"/>
    </row>
    <row r="1075" spans="1:36" s="144" customFormat="1" ht="21.75" customHeight="1">
      <c r="A1075" s="151"/>
      <c r="B1075" s="219"/>
      <c r="C1075" s="219"/>
      <c r="D1075" s="219"/>
      <c r="E1075" s="225"/>
      <c r="N1075" s="143"/>
      <c r="O1075" s="143"/>
      <c r="P1075" s="143"/>
      <c r="Q1075" s="143"/>
      <c r="R1075" s="143"/>
      <c r="S1075" s="143"/>
      <c r="T1075" s="143"/>
      <c r="U1075" s="143"/>
      <c r="V1075" s="143"/>
      <c r="W1075" s="143"/>
      <c r="X1075" s="143"/>
      <c r="Y1075" s="143"/>
      <c r="Z1075" s="143"/>
      <c r="AA1075" s="143"/>
      <c r="AB1075" s="143"/>
      <c r="AC1075" s="143"/>
      <c r="AD1075" s="143"/>
      <c r="AE1075" s="143"/>
      <c r="AF1075" s="143"/>
      <c r="AG1075" s="143"/>
      <c r="AH1075" s="143"/>
      <c r="AI1075" s="143"/>
      <c r="AJ1075" s="143"/>
    </row>
    <row r="1076" spans="1:36" s="144" customFormat="1" ht="21.75" customHeight="1">
      <c r="A1076" s="151"/>
      <c r="B1076" s="219"/>
      <c r="C1076" s="219"/>
      <c r="D1076" s="219"/>
      <c r="E1076" s="225"/>
      <c r="N1076" s="143"/>
      <c r="O1076" s="143"/>
      <c r="P1076" s="143"/>
      <c r="Q1076" s="143"/>
      <c r="R1076" s="143"/>
      <c r="S1076" s="143"/>
      <c r="T1076" s="143"/>
      <c r="U1076" s="143"/>
      <c r="V1076" s="143"/>
      <c r="W1076" s="143"/>
      <c r="X1076" s="143"/>
      <c r="Y1076" s="143"/>
      <c r="Z1076" s="143"/>
      <c r="AA1076" s="143"/>
      <c r="AB1076" s="143"/>
      <c r="AC1076" s="143"/>
      <c r="AD1076" s="143"/>
      <c r="AE1076" s="143"/>
      <c r="AF1076" s="143"/>
      <c r="AG1076" s="143"/>
      <c r="AH1076" s="143"/>
      <c r="AI1076" s="143"/>
      <c r="AJ1076" s="143"/>
    </row>
    <row r="1077" spans="1:36" s="144" customFormat="1" ht="21.75" customHeight="1">
      <c r="A1077" s="151"/>
      <c r="B1077" s="219"/>
      <c r="C1077" s="219"/>
      <c r="D1077" s="219"/>
      <c r="E1077" s="225"/>
      <c r="N1077" s="143"/>
      <c r="O1077" s="143"/>
      <c r="P1077" s="143"/>
      <c r="Q1077" s="143"/>
      <c r="R1077" s="143"/>
      <c r="S1077" s="143"/>
      <c r="T1077" s="143"/>
      <c r="U1077" s="143"/>
      <c r="V1077" s="143"/>
      <c r="W1077" s="143"/>
      <c r="X1077" s="143"/>
      <c r="Y1077" s="143"/>
      <c r="Z1077" s="143"/>
      <c r="AA1077" s="143"/>
      <c r="AB1077" s="143"/>
      <c r="AC1077" s="143"/>
      <c r="AD1077" s="143"/>
      <c r="AE1077" s="143"/>
      <c r="AF1077" s="143"/>
      <c r="AG1077" s="143"/>
      <c r="AH1077" s="143"/>
      <c r="AI1077" s="143"/>
      <c r="AJ1077" s="143"/>
    </row>
    <row r="1078" spans="1:36" s="144" customFormat="1" ht="21.75" customHeight="1">
      <c r="A1078" s="151"/>
      <c r="B1078" s="219"/>
      <c r="C1078" s="219"/>
      <c r="D1078" s="219"/>
      <c r="E1078" s="225"/>
      <c r="N1078" s="143"/>
      <c r="O1078" s="143"/>
      <c r="P1078" s="143"/>
      <c r="Q1078" s="143"/>
      <c r="R1078" s="143"/>
      <c r="S1078" s="143"/>
      <c r="T1078" s="143"/>
      <c r="U1078" s="143"/>
      <c r="V1078" s="143"/>
      <c r="W1078" s="143"/>
      <c r="X1078" s="143"/>
      <c r="Y1078" s="143"/>
      <c r="Z1078" s="143"/>
      <c r="AA1078" s="143"/>
      <c r="AB1078" s="143"/>
      <c r="AC1078" s="143"/>
      <c r="AD1078" s="143"/>
      <c r="AE1078" s="143"/>
      <c r="AF1078" s="143"/>
      <c r="AG1078" s="143"/>
      <c r="AH1078" s="143"/>
      <c r="AI1078" s="143"/>
      <c r="AJ1078" s="143"/>
    </row>
    <row r="1079" spans="1:36" s="144" customFormat="1" ht="21.75" customHeight="1">
      <c r="A1079" s="151"/>
      <c r="B1079" s="219"/>
      <c r="C1079" s="219"/>
      <c r="D1079" s="219"/>
      <c r="E1079" s="225"/>
      <c r="N1079" s="143"/>
      <c r="O1079" s="143"/>
      <c r="P1079" s="143"/>
      <c r="Q1079" s="143"/>
      <c r="R1079" s="143"/>
      <c r="S1079" s="143"/>
      <c r="T1079" s="143"/>
      <c r="U1079" s="143"/>
      <c r="V1079" s="143"/>
      <c r="W1079" s="143"/>
      <c r="X1079" s="143"/>
      <c r="Y1079" s="143"/>
      <c r="Z1079" s="143"/>
      <c r="AA1079" s="143"/>
      <c r="AB1079" s="143"/>
      <c r="AC1079" s="143"/>
      <c r="AD1079" s="143"/>
      <c r="AE1079" s="143"/>
      <c r="AF1079" s="143"/>
      <c r="AG1079" s="143"/>
      <c r="AH1079" s="143"/>
      <c r="AI1079" s="143"/>
      <c r="AJ1079" s="143"/>
    </row>
    <row r="1080" spans="1:36" s="144" customFormat="1" ht="21.75" customHeight="1">
      <c r="A1080" s="151"/>
      <c r="B1080" s="219"/>
      <c r="C1080" s="219"/>
      <c r="D1080" s="219"/>
      <c r="E1080" s="225"/>
      <c r="N1080" s="143"/>
      <c r="O1080" s="143"/>
      <c r="P1080" s="143"/>
      <c r="Q1080" s="143"/>
      <c r="R1080" s="143"/>
      <c r="S1080" s="143"/>
      <c r="T1080" s="143"/>
      <c r="U1080" s="143"/>
      <c r="V1080" s="143"/>
      <c r="W1080" s="143"/>
      <c r="X1080" s="143"/>
      <c r="Y1080" s="143"/>
      <c r="Z1080" s="143"/>
      <c r="AA1080" s="143"/>
      <c r="AB1080" s="143"/>
      <c r="AC1080" s="143"/>
      <c r="AD1080" s="143"/>
      <c r="AE1080" s="143"/>
      <c r="AF1080" s="143"/>
      <c r="AG1080" s="143"/>
      <c r="AH1080" s="143"/>
      <c r="AI1080" s="143"/>
      <c r="AJ1080" s="143"/>
    </row>
    <row r="1081" spans="1:36" s="144" customFormat="1" ht="21.75" customHeight="1">
      <c r="A1081" s="151"/>
      <c r="B1081" s="219"/>
      <c r="C1081" s="219"/>
      <c r="D1081" s="219"/>
      <c r="E1081" s="225"/>
      <c r="N1081" s="143"/>
      <c r="O1081" s="143"/>
      <c r="P1081" s="143"/>
      <c r="Q1081" s="143"/>
      <c r="R1081" s="143"/>
      <c r="S1081" s="143"/>
      <c r="T1081" s="143"/>
      <c r="U1081" s="143"/>
      <c r="V1081" s="143"/>
      <c r="W1081" s="143"/>
      <c r="X1081" s="143"/>
      <c r="Y1081" s="143"/>
      <c r="Z1081" s="143"/>
      <c r="AA1081" s="143"/>
      <c r="AB1081" s="143"/>
      <c r="AC1081" s="143"/>
      <c r="AD1081" s="143"/>
      <c r="AE1081" s="143"/>
      <c r="AF1081" s="143"/>
      <c r="AG1081" s="143"/>
      <c r="AH1081" s="143"/>
      <c r="AI1081" s="143"/>
      <c r="AJ1081" s="143"/>
    </row>
    <row r="1082" spans="1:36" s="144" customFormat="1" ht="21.75" customHeight="1">
      <c r="A1082" s="151"/>
      <c r="B1082" s="219"/>
      <c r="C1082" s="219"/>
      <c r="D1082" s="219"/>
      <c r="E1082" s="225"/>
      <c r="N1082" s="143"/>
      <c r="O1082" s="143"/>
      <c r="P1082" s="143"/>
      <c r="Q1082" s="143"/>
      <c r="R1082" s="143"/>
      <c r="S1082" s="143"/>
      <c r="T1082" s="143"/>
      <c r="U1082" s="143"/>
      <c r="V1082" s="143"/>
      <c r="W1082" s="143"/>
      <c r="X1082" s="143"/>
      <c r="Y1082" s="143"/>
      <c r="Z1082" s="143"/>
      <c r="AA1082" s="143"/>
      <c r="AB1082" s="143"/>
      <c r="AC1082" s="143"/>
      <c r="AD1082" s="143"/>
      <c r="AE1082" s="143"/>
      <c r="AF1082" s="143"/>
      <c r="AG1082" s="143"/>
      <c r="AH1082" s="143"/>
      <c r="AI1082" s="143"/>
      <c r="AJ1082" s="143"/>
    </row>
    <row r="1083" spans="1:36" s="144" customFormat="1" ht="21.75" customHeight="1">
      <c r="A1083" s="151"/>
      <c r="B1083" s="219"/>
      <c r="C1083" s="219"/>
      <c r="D1083" s="219"/>
      <c r="E1083" s="225"/>
      <c r="N1083" s="143"/>
      <c r="O1083" s="143"/>
      <c r="P1083" s="143"/>
      <c r="Q1083" s="143"/>
      <c r="R1083" s="143"/>
      <c r="S1083" s="143"/>
      <c r="T1083" s="143"/>
      <c r="U1083" s="143"/>
      <c r="V1083" s="143"/>
      <c r="W1083" s="143"/>
      <c r="X1083" s="143"/>
      <c r="Y1083" s="143"/>
      <c r="Z1083" s="143"/>
      <c r="AA1083" s="143"/>
      <c r="AB1083" s="143"/>
      <c r="AC1083" s="143"/>
      <c r="AD1083" s="143"/>
      <c r="AE1083" s="143"/>
      <c r="AF1083" s="143"/>
      <c r="AG1083" s="143"/>
      <c r="AH1083" s="143"/>
      <c r="AI1083" s="143"/>
      <c r="AJ1083" s="143"/>
    </row>
    <row r="1084" spans="1:36" s="144" customFormat="1" ht="21.75" customHeight="1">
      <c r="A1084" s="151"/>
      <c r="B1084" s="219"/>
      <c r="C1084" s="219"/>
      <c r="D1084" s="219"/>
      <c r="E1084" s="225"/>
      <c r="N1084" s="143"/>
      <c r="O1084" s="143"/>
      <c r="P1084" s="143"/>
      <c r="Q1084" s="143"/>
      <c r="R1084" s="143"/>
      <c r="S1084" s="143"/>
      <c r="T1084" s="143"/>
      <c r="U1084" s="143"/>
      <c r="V1084" s="143"/>
      <c r="W1084" s="143"/>
      <c r="X1084" s="143"/>
      <c r="Y1084" s="143"/>
      <c r="Z1084" s="143"/>
      <c r="AA1084" s="143"/>
      <c r="AB1084" s="143"/>
      <c r="AC1084" s="143"/>
      <c r="AD1084" s="143"/>
      <c r="AE1084" s="143"/>
      <c r="AF1084" s="143"/>
      <c r="AG1084" s="143"/>
      <c r="AH1084" s="143"/>
      <c r="AI1084" s="143"/>
      <c r="AJ1084" s="143"/>
    </row>
    <row r="1085" spans="1:36" s="144" customFormat="1" ht="21.75" customHeight="1">
      <c r="A1085" s="151"/>
      <c r="B1085" s="219"/>
      <c r="C1085" s="219"/>
      <c r="D1085" s="219"/>
      <c r="E1085" s="225"/>
      <c r="N1085" s="143"/>
      <c r="O1085" s="143"/>
      <c r="P1085" s="143"/>
      <c r="Q1085" s="143"/>
      <c r="R1085" s="143"/>
      <c r="S1085" s="143"/>
      <c r="T1085" s="143"/>
      <c r="U1085" s="143"/>
      <c r="V1085" s="143"/>
      <c r="W1085" s="143"/>
      <c r="X1085" s="143"/>
      <c r="Y1085" s="143"/>
      <c r="Z1085" s="143"/>
      <c r="AA1085" s="143"/>
      <c r="AB1085" s="143"/>
      <c r="AC1085" s="143"/>
      <c r="AD1085" s="143"/>
      <c r="AE1085" s="143"/>
      <c r="AF1085" s="143"/>
      <c r="AG1085" s="143"/>
      <c r="AH1085" s="143"/>
      <c r="AI1085" s="143"/>
      <c r="AJ1085" s="143"/>
    </row>
    <row r="1086" spans="1:36" s="144" customFormat="1" ht="21.75" customHeight="1">
      <c r="A1086" s="151"/>
      <c r="B1086" s="219"/>
      <c r="C1086" s="219"/>
      <c r="D1086" s="219"/>
      <c r="E1086" s="225"/>
      <c r="N1086" s="143"/>
      <c r="O1086" s="143"/>
      <c r="P1086" s="143"/>
      <c r="Q1086" s="143"/>
      <c r="R1086" s="143"/>
      <c r="S1086" s="143"/>
      <c r="T1086" s="143"/>
      <c r="U1086" s="143"/>
      <c r="V1086" s="143"/>
      <c r="W1086" s="143"/>
      <c r="X1086" s="143"/>
      <c r="Y1086" s="143"/>
      <c r="Z1086" s="143"/>
      <c r="AA1086" s="143"/>
      <c r="AB1086" s="143"/>
      <c r="AC1086" s="143"/>
      <c r="AD1086" s="143"/>
      <c r="AE1086" s="143"/>
      <c r="AF1086" s="143"/>
      <c r="AG1086" s="143"/>
      <c r="AH1086" s="143"/>
      <c r="AI1086" s="143"/>
      <c r="AJ1086" s="143"/>
    </row>
    <row r="1087" spans="1:36" s="144" customFormat="1" ht="21.75" customHeight="1">
      <c r="A1087" s="151"/>
      <c r="B1087" s="219"/>
      <c r="C1087" s="219"/>
      <c r="D1087" s="219"/>
      <c r="E1087" s="225"/>
      <c r="N1087" s="143"/>
      <c r="O1087" s="143"/>
      <c r="P1087" s="143"/>
      <c r="Q1087" s="143"/>
      <c r="R1087" s="143"/>
      <c r="S1087" s="143"/>
      <c r="T1087" s="143"/>
      <c r="U1087" s="143"/>
      <c r="V1087" s="143"/>
      <c r="W1087" s="143"/>
      <c r="X1087" s="143"/>
      <c r="Y1087" s="143"/>
      <c r="Z1087" s="143"/>
      <c r="AA1087" s="143"/>
      <c r="AB1087" s="143"/>
      <c r="AC1087" s="143"/>
      <c r="AD1087" s="143"/>
      <c r="AE1087" s="143"/>
      <c r="AF1087" s="143"/>
      <c r="AG1087" s="143"/>
      <c r="AH1087" s="143"/>
      <c r="AI1087" s="143"/>
      <c r="AJ1087" s="143"/>
    </row>
    <row r="1088" spans="1:36" s="144" customFormat="1" ht="21.75" customHeight="1">
      <c r="A1088" s="151"/>
      <c r="B1088" s="219"/>
      <c r="C1088" s="219"/>
      <c r="D1088" s="219"/>
      <c r="E1088" s="225"/>
      <c r="N1088" s="143"/>
      <c r="O1088" s="143"/>
      <c r="P1088" s="143"/>
      <c r="Q1088" s="143"/>
      <c r="R1088" s="143"/>
      <c r="S1088" s="143"/>
      <c r="T1088" s="143"/>
      <c r="U1088" s="143"/>
      <c r="V1088" s="143"/>
      <c r="W1088" s="143"/>
      <c r="X1088" s="143"/>
      <c r="Y1088" s="143"/>
      <c r="Z1088" s="143"/>
      <c r="AA1088" s="143"/>
      <c r="AB1088" s="143"/>
      <c r="AC1088" s="143"/>
      <c r="AD1088" s="143"/>
      <c r="AE1088" s="143"/>
      <c r="AF1088" s="143"/>
      <c r="AG1088" s="143"/>
      <c r="AH1088" s="143"/>
      <c r="AI1088" s="143"/>
      <c r="AJ1088" s="143"/>
    </row>
    <row r="1089" spans="1:36" s="144" customFormat="1" ht="21.75" customHeight="1">
      <c r="A1089" s="151"/>
      <c r="B1089" s="219"/>
      <c r="C1089" s="219"/>
      <c r="D1089" s="219"/>
      <c r="E1089" s="225"/>
      <c r="N1089" s="143"/>
      <c r="O1089" s="143"/>
      <c r="P1089" s="143"/>
      <c r="Q1089" s="143"/>
      <c r="R1089" s="143"/>
      <c r="S1089" s="143"/>
      <c r="T1089" s="143"/>
      <c r="U1089" s="143"/>
      <c r="V1089" s="143"/>
      <c r="W1089" s="143"/>
      <c r="X1089" s="143"/>
      <c r="Y1089" s="143"/>
      <c r="Z1089" s="143"/>
      <c r="AA1089" s="143"/>
      <c r="AB1089" s="143"/>
      <c r="AC1089" s="143"/>
      <c r="AD1089" s="143"/>
      <c r="AE1089" s="143"/>
      <c r="AF1089" s="143"/>
      <c r="AG1089" s="143"/>
      <c r="AH1089" s="143"/>
      <c r="AI1089" s="143"/>
      <c r="AJ1089" s="143"/>
    </row>
    <row r="1090" spans="1:36" s="144" customFormat="1" ht="21.75" customHeight="1">
      <c r="A1090" s="151"/>
      <c r="B1090" s="219"/>
      <c r="C1090" s="219"/>
      <c r="D1090" s="219"/>
      <c r="E1090" s="225"/>
      <c r="N1090" s="143"/>
      <c r="O1090" s="143"/>
      <c r="P1090" s="143"/>
      <c r="Q1090" s="143"/>
      <c r="R1090" s="143"/>
      <c r="S1090" s="143"/>
      <c r="T1090" s="143"/>
      <c r="U1090" s="143"/>
      <c r="V1090" s="143"/>
      <c r="W1090" s="143"/>
      <c r="X1090" s="143"/>
      <c r="Y1090" s="143"/>
      <c r="Z1090" s="143"/>
      <c r="AA1090" s="143"/>
      <c r="AB1090" s="143"/>
      <c r="AC1090" s="143"/>
      <c r="AD1090" s="143"/>
      <c r="AE1090" s="143"/>
      <c r="AF1090" s="143"/>
      <c r="AG1090" s="143"/>
      <c r="AH1090" s="143"/>
      <c r="AI1090" s="143"/>
      <c r="AJ1090" s="143"/>
    </row>
    <row r="1091" spans="1:36" s="144" customFormat="1" ht="21.75" customHeight="1">
      <c r="A1091" s="151"/>
      <c r="B1091" s="219"/>
      <c r="C1091" s="219"/>
      <c r="D1091" s="219"/>
      <c r="E1091" s="225"/>
      <c r="N1091" s="143"/>
      <c r="O1091" s="143"/>
      <c r="P1091" s="143"/>
      <c r="Q1091" s="143"/>
      <c r="R1091" s="143"/>
      <c r="S1091" s="143"/>
      <c r="T1091" s="143"/>
      <c r="U1091" s="143"/>
      <c r="V1091" s="143"/>
      <c r="W1091" s="143"/>
      <c r="X1091" s="143"/>
      <c r="Y1091" s="143"/>
      <c r="Z1091" s="143"/>
      <c r="AA1091" s="143"/>
      <c r="AB1091" s="143"/>
      <c r="AC1091" s="143"/>
      <c r="AD1091" s="143"/>
      <c r="AE1091" s="143"/>
      <c r="AF1091" s="143"/>
      <c r="AG1091" s="143"/>
      <c r="AH1091" s="143"/>
      <c r="AI1091" s="143"/>
      <c r="AJ1091" s="143"/>
    </row>
    <row r="1092" spans="1:36" s="144" customFormat="1" ht="21.75" customHeight="1">
      <c r="A1092" s="151"/>
      <c r="B1092" s="219"/>
      <c r="C1092" s="219"/>
      <c r="D1092" s="219"/>
      <c r="E1092" s="225"/>
      <c r="N1092" s="143"/>
      <c r="O1092" s="143"/>
      <c r="P1092" s="143"/>
      <c r="Q1092" s="143"/>
      <c r="R1092" s="143"/>
      <c r="S1092" s="143"/>
      <c r="T1092" s="143"/>
      <c r="U1092" s="143"/>
      <c r="V1092" s="143"/>
      <c r="W1092" s="143"/>
      <c r="X1092" s="143"/>
      <c r="Y1092" s="143"/>
      <c r="Z1092" s="143"/>
      <c r="AA1092" s="143"/>
      <c r="AB1092" s="143"/>
      <c r="AC1092" s="143"/>
      <c r="AD1092" s="143"/>
      <c r="AE1092" s="143"/>
      <c r="AF1092" s="143"/>
      <c r="AG1092" s="143"/>
      <c r="AH1092" s="143"/>
      <c r="AI1092" s="143"/>
      <c r="AJ1092" s="143"/>
    </row>
    <row r="1093" spans="1:36" s="144" customFormat="1" ht="21.75" customHeight="1">
      <c r="A1093" s="151"/>
      <c r="B1093" s="219"/>
      <c r="C1093" s="219"/>
      <c r="D1093" s="219"/>
      <c r="E1093" s="225"/>
      <c r="N1093" s="143"/>
      <c r="O1093" s="143"/>
      <c r="P1093" s="143"/>
      <c r="Q1093" s="143"/>
      <c r="R1093" s="143"/>
      <c r="S1093" s="143"/>
      <c r="T1093" s="143"/>
      <c r="U1093" s="143"/>
      <c r="V1093" s="143"/>
      <c r="W1093" s="143"/>
      <c r="X1093" s="143"/>
      <c r="Y1093" s="143"/>
      <c r="Z1093" s="143"/>
      <c r="AA1093" s="143"/>
      <c r="AB1093" s="143"/>
      <c r="AC1093" s="143"/>
      <c r="AD1093" s="143"/>
      <c r="AE1093" s="143"/>
      <c r="AF1093" s="143"/>
      <c r="AG1093" s="143"/>
      <c r="AH1093" s="143"/>
      <c r="AI1093" s="143"/>
      <c r="AJ1093" s="143"/>
    </row>
    <row r="1094" spans="1:36" s="144" customFormat="1" ht="21.75" customHeight="1">
      <c r="A1094" s="151"/>
      <c r="B1094" s="219"/>
      <c r="C1094" s="219"/>
      <c r="D1094" s="219"/>
      <c r="E1094" s="225"/>
      <c r="N1094" s="143"/>
      <c r="O1094" s="143"/>
      <c r="P1094" s="143"/>
      <c r="Q1094" s="143"/>
      <c r="R1094" s="143"/>
      <c r="S1094" s="143"/>
      <c r="T1094" s="143"/>
      <c r="U1094" s="143"/>
      <c r="V1094" s="143"/>
      <c r="W1094" s="143"/>
      <c r="X1094" s="143"/>
      <c r="Y1094" s="143"/>
      <c r="Z1094" s="143"/>
      <c r="AA1094" s="143"/>
      <c r="AB1094" s="143"/>
      <c r="AC1094" s="143"/>
      <c r="AD1094" s="143"/>
      <c r="AE1094" s="143"/>
      <c r="AF1094" s="143"/>
      <c r="AG1094" s="143"/>
      <c r="AH1094" s="143"/>
      <c r="AI1094" s="143"/>
      <c r="AJ1094" s="143"/>
    </row>
    <row r="1095" spans="1:36" s="144" customFormat="1" ht="21.75" customHeight="1">
      <c r="A1095" s="151"/>
      <c r="B1095" s="219"/>
      <c r="C1095" s="219"/>
      <c r="D1095" s="219"/>
      <c r="E1095" s="225"/>
      <c r="N1095" s="143"/>
      <c r="O1095" s="143"/>
      <c r="P1095" s="143"/>
      <c r="Q1095" s="143"/>
      <c r="R1095" s="143"/>
      <c r="S1095" s="143"/>
      <c r="T1095" s="143"/>
      <c r="U1095" s="143"/>
      <c r="V1095" s="143"/>
      <c r="W1095" s="143"/>
      <c r="X1095" s="143"/>
      <c r="Y1095" s="143"/>
      <c r="Z1095" s="143"/>
      <c r="AA1095" s="143"/>
      <c r="AB1095" s="143"/>
      <c r="AC1095" s="143"/>
      <c r="AD1095" s="143"/>
      <c r="AE1095" s="143"/>
      <c r="AF1095" s="143"/>
      <c r="AG1095" s="143"/>
      <c r="AH1095" s="143"/>
      <c r="AI1095" s="143"/>
      <c r="AJ1095" s="143"/>
    </row>
    <row r="1096" spans="1:36" s="144" customFormat="1" ht="21.75" customHeight="1">
      <c r="A1096" s="151"/>
      <c r="B1096" s="219"/>
      <c r="C1096" s="219"/>
      <c r="D1096" s="219"/>
      <c r="E1096" s="225"/>
      <c r="N1096" s="143"/>
      <c r="O1096" s="143"/>
      <c r="P1096" s="143"/>
      <c r="Q1096" s="143"/>
      <c r="R1096" s="143"/>
      <c r="S1096" s="143"/>
      <c r="T1096" s="143"/>
      <c r="U1096" s="143"/>
      <c r="V1096" s="143"/>
      <c r="W1096" s="143"/>
      <c r="X1096" s="143"/>
      <c r="Y1096" s="143"/>
      <c r="Z1096" s="143"/>
      <c r="AA1096" s="143"/>
      <c r="AB1096" s="143"/>
      <c r="AC1096" s="143"/>
      <c r="AD1096" s="143"/>
      <c r="AE1096" s="143"/>
      <c r="AF1096" s="143"/>
      <c r="AG1096" s="143"/>
      <c r="AH1096" s="143"/>
      <c r="AI1096" s="143"/>
      <c r="AJ1096" s="143"/>
    </row>
    <row r="1097" spans="1:36" s="144" customFormat="1" ht="21.75" customHeight="1">
      <c r="A1097" s="151"/>
      <c r="B1097" s="219"/>
      <c r="C1097" s="219"/>
      <c r="D1097" s="219"/>
      <c r="E1097" s="225"/>
      <c r="N1097" s="143"/>
      <c r="O1097" s="143"/>
      <c r="P1097" s="143"/>
      <c r="Q1097" s="143"/>
      <c r="R1097" s="143"/>
      <c r="S1097" s="143"/>
      <c r="T1097" s="143"/>
      <c r="U1097" s="143"/>
      <c r="V1097" s="143"/>
      <c r="W1097" s="143"/>
      <c r="X1097" s="143"/>
      <c r="Y1097" s="143"/>
      <c r="Z1097" s="143"/>
      <c r="AA1097" s="143"/>
      <c r="AB1097" s="143"/>
      <c r="AC1097" s="143"/>
      <c r="AD1097" s="143"/>
      <c r="AE1097" s="143"/>
      <c r="AF1097" s="143"/>
      <c r="AG1097" s="143"/>
      <c r="AH1097" s="143"/>
      <c r="AI1097" s="143"/>
      <c r="AJ1097" s="143"/>
    </row>
    <row r="1098" spans="1:36" s="144" customFormat="1" ht="21.75" customHeight="1">
      <c r="A1098" s="151"/>
      <c r="B1098" s="219"/>
      <c r="C1098" s="219"/>
      <c r="D1098" s="219"/>
      <c r="E1098" s="225"/>
      <c r="N1098" s="143"/>
      <c r="O1098" s="143"/>
      <c r="P1098" s="143"/>
      <c r="Q1098" s="143"/>
      <c r="R1098" s="143"/>
      <c r="S1098" s="143"/>
      <c r="T1098" s="143"/>
      <c r="U1098" s="143"/>
      <c r="V1098" s="143"/>
      <c r="W1098" s="143"/>
      <c r="X1098" s="143"/>
      <c r="Y1098" s="143"/>
      <c r="Z1098" s="143"/>
      <c r="AA1098" s="143"/>
      <c r="AB1098" s="143"/>
      <c r="AC1098" s="143"/>
      <c r="AD1098" s="143"/>
      <c r="AE1098" s="143"/>
      <c r="AF1098" s="143"/>
      <c r="AG1098" s="143"/>
      <c r="AH1098" s="143"/>
      <c r="AI1098" s="143"/>
      <c r="AJ1098" s="143"/>
    </row>
    <row r="1099" spans="1:36" s="144" customFormat="1" ht="21.75" customHeight="1">
      <c r="A1099" s="151"/>
      <c r="B1099" s="219"/>
      <c r="C1099" s="219"/>
      <c r="D1099" s="219"/>
      <c r="E1099" s="225"/>
      <c r="N1099" s="143"/>
      <c r="O1099" s="143"/>
      <c r="P1099" s="143"/>
      <c r="Q1099" s="143"/>
      <c r="R1099" s="143"/>
      <c r="S1099" s="143"/>
      <c r="T1099" s="143"/>
      <c r="U1099" s="143"/>
      <c r="V1099" s="143"/>
      <c r="W1099" s="143"/>
      <c r="X1099" s="143"/>
      <c r="Y1099" s="143"/>
      <c r="Z1099" s="143"/>
      <c r="AA1099" s="143"/>
      <c r="AB1099" s="143"/>
      <c r="AC1099" s="143"/>
      <c r="AD1099" s="143"/>
      <c r="AE1099" s="143"/>
      <c r="AF1099" s="143"/>
      <c r="AG1099" s="143"/>
      <c r="AH1099" s="143"/>
      <c r="AI1099" s="143"/>
      <c r="AJ1099" s="143"/>
    </row>
    <row r="1100" spans="1:36" s="144" customFormat="1" ht="21.75" customHeight="1">
      <c r="A1100" s="151"/>
      <c r="B1100" s="219"/>
      <c r="C1100" s="219"/>
      <c r="D1100" s="219"/>
      <c r="E1100" s="225"/>
      <c r="N1100" s="143"/>
      <c r="O1100" s="143"/>
      <c r="P1100" s="143"/>
      <c r="Q1100" s="143"/>
      <c r="R1100" s="143"/>
      <c r="S1100" s="143"/>
      <c r="T1100" s="143"/>
      <c r="U1100" s="143"/>
      <c r="V1100" s="143"/>
      <c r="W1100" s="143"/>
      <c r="X1100" s="143"/>
      <c r="Y1100" s="143"/>
      <c r="Z1100" s="143"/>
      <c r="AA1100" s="143"/>
      <c r="AB1100" s="143"/>
      <c r="AC1100" s="143"/>
      <c r="AD1100" s="143"/>
      <c r="AE1100" s="143"/>
      <c r="AF1100" s="143"/>
      <c r="AG1100" s="143"/>
      <c r="AH1100" s="143"/>
      <c r="AI1100" s="143"/>
      <c r="AJ1100" s="143"/>
    </row>
    <row r="1101" spans="1:36" s="144" customFormat="1" ht="21.75" customHeight="1">
      <c r="A1101" s="151"/>
      <c r="B1101" s="219"/>
      <c r="C1101" s="219"/>
      <c r="D1101" s="219"/>
      <c r="E1101" s="225"/>
      <c r="N1101" s="143"/>
      <c r="O1101" s="143"/>
      <c r="P1101" s="143"/>
      <c r="Q1101" s="143"/>
      <c r="R1101" s="143"/>
      <c r="S1101" s="143"/>
      <c r="T1101" s="143"/>
      <c r="U1101" s="143"/>
      <c r="V1101" s="143"/>
      <c r="W1101" s="143"/>
      <c r="X1101" s="143"/>
      <c r="Y1101" s="143"/>
      <c r="Z1101" s="143"/>
      <c r="AA1101" s="143"/>
      <c r="AB1101" s="143"/>
      <c r="AC1101" s="143"/>
      <c r="AD1101" s="143"/>
      <c r="AE1101" s="143"/>
      <c r="AF1101" s="143"/>
      <c r="AG1101" s="143"/>
      <c r="AH1101" s="143"/>
      <c r="AI1101" s="143"/>
      <c r="AJ1101" s="143"/>
    </row>
    <row r="1102" spans="1:36" s="144" customFormat="1" ht="21.75" customHeight="1">
      <c r="A1102" s="151"/>
      <c r="B1102" s="219"/>
      <c r="C1102" s="219"/>
      <c r="D1102" s="219"/>
      <c r="E1102" s="225"/>
      <c r="N1102" s="143"/>
      <c r="O1102" s="143"/>
      <c r="P1102" s="143"/>
      <c r="Q1102" s="143"/>
      <c r="R1102" s="143"/>
      <c r="S1102" s="143"/>
      <c r="T1102" s="143"/>
      <c r="U1102" s="143"/>
      <c r="V1102" s="143"/>
      <c r="W1102" s="143"/>
      <c r="X1102" s="143"/>
      <c r="Y1102" s="143"/>
      <c r="Z1102" s="143"/>
      <c r="AA1102" s="143"/>
      <c r="AB1102" s="143"/>
      <c r="AC1102" s="143"/>
      <c r="AD1102" s="143"/>
      <c r="AE1102" s="143"/>
      <c r="AF1102" s="143"/>
      <c r="AG1102" s="143"/>
      <c r="AH1102" s="143"/>
      <c r="AI1102" s="143"/>
      <c r="AJ1102" s="143"/>
    </row>
    <row r="1103" spans="1:36" s="144" customFormat="1" ht="21.75" customHeight="1">
      <c r="A1103" s="151"/>
      <c r="B1103" s="219"/>
      <c r="C1103" s="219"/>
      <c r="D1103" s="219"/>
      <c r="E1103" s="225"/>
      <c r="N1103" s="143"/>
      <c r="O1103" s="143"/>
      <c r="P1103" s="143"/>
      <c r="Q1103" s="143"/>
      <c r="R1103" s="143"/>
      <c r="S1103" s="143"/>
      <c r="T1103" s="143"/>
      <c r="U1103" s="143"/>
      <c r="V1103" s="143"/>
      <c r="W1103" s="143"/>
      <c r="X1103" s="143"/>
      <c r="Y1103" s="143"/>
      <c r="Z1103" s="143"/>
      <c r="AA1103" s="143"/>
      <c r="AB1103" s="143"/>
      <c r="AC1103" s="143"/>
      <c r="AD1103" s="143"/>
      <c r="AE1103" s="143"/>
      <c r="AF1103" s="143"/>
      <c r="AG1103" s="143"/>
      <c r="AH1103" s="143"/>
      <c r="AI1103" s="143"/>
      <c r="AJ1103" s="143"/>
    </row>
    <row r="1104" spans="1:36" s="144" customFormat="1" ht="21.75" customHeight="1">
      <c r="A1104" s="151"/>
      <c r="B1104" s="219"/>
      <c r="C1104" s="219"/>
      <c r="D1104" s="219"/>
      <c r="E1104" s="225"/>
      <c r="N1104" s="143"/>
      <c r="O1104" s="143"/>
      <c r="P1104" s="143"/>
      <c r="Q1104" s="143"/>
      <c r="R1104" s="143"/>
      <c r="S1104" s="143"/>
      <c r="T1104" s="143"/>
      <c r="U1104" s="143"/>
      <c r="V1104" s="143"/>
      <c r="W1104" s="143"/>
      <c r="X1104" s="143"/>
      <c r="Y1104" s="143"/>
      <c r="Z1104" s="143"/>
      <c r="AA1104" s="143"/>
      <c r="AB1104" s="143"/>
      <c r="AC1104" s="143"/>
      <c r="AD1104" s="143"/>
      <c r="AE1104" s="143"/>
      <c r="AF1104" s="143"/>
      <c r="AG1104" s="143"/>
      <c r="AH1104" s="143"/>
      <c r="AI1104" s="143"/>
      <c r="AJ1104" s="143"/>
    </row>
    <row r="1105" spans="1:36" s="144" customFormat="1" ht="21.75" customHeight="1">
      <c r="A1105" s="151"/>
      <c r="B1105" s="219"/>
      <c r="C1105" s="219"/>
      <c r="D1105" s="219"/>
      <c r="E1105" s="225"/>
      <c r="N1105" s="143"/>
      <c r="O1105" s="143"/>
      <c r="P1105" s="143"/>
      <c r="Q1105" s="143"/>
      <c r="R1105" s="143"/>
      <c r="S1105" s="143"/>
      <c r="T1105" s="143"/>
      <c r="U1105" s="143"/>
      <c r="V1105" s="143"/>
      <c r="W1105" s="143"/>
      <c r="X1105" s="143"/>
      <c r="Y1105" s="143"/>
      <c r="Z1105" s="143"/>
      <c r="AA1105" s="143"/>
      <c r="AB1105" s="143"/>
      <c r="AC1105" s="143"/>
      <c r="AD1105" s="143"/>
      <c r="AE1105" s="143"/>
      <c r="AF1105" s="143"/>
      <c r="AG1105" s="143"/>
      <c r="AH1105" s="143"/>
      <c r="AI1105" s="143"/>
      <c r="AJ1105" s="143"/>
    </row>
    <row r="1106" spans="1:36" s="144" customFormat="1" ht="21.75" customHeight="1">
      <c r="A1106" s="151"/>
      <c r="B1106" s="219"/>
      <c r="C1106" s="219"/>
      <c r="D1106" s="219"/>
      <c r="E1106" s="225"/>
      <c r="N1106" s="143"/>
      <c r="O1106" s="143"/>
      <c r="P1106" s="143"/>
      <c r="Q1106" s="143"/>
      <c r="R1106" s="143"/>
      <c r="S1106" s="143"/>
      <c r="T1106" s="143"/>
      <c r="U1106" s="143"/>
      <c r="V1106" s="143"/>
      <c r="W1106" s="143"/>
      <c r="X1106" s="143"/>
      <c r="Y1106" s="143"/>
      <c r="Z1106" s="143"/>
      <c r="AA1106" s="143"/>
      <c r="AB1106" s="143"/>
      <c r="AC1106" s="143"/>
      <c r="AD1106" s="143"/>
      <c r="AE1106" s="143"/>
      <c r="AF1106" s="143"/>
      <c r="AG1106" s="143"/>
      <c r="AH1106" s="143"/>
      <c r="AI1106" s="143"/>
      <c r="AJ1106" s="143"/>
    </row>
    <row r="1107" spans="1:36" s="144" customFormat="1" ht="21.75" customHeight="1">
      <c r="A1107" s="151"/>
      <c r="B1107" s="219"/>
      <c r="C1107" s="219"/>
      <c r="D1107" s="219"/>
      <c r="E1107" s="225"/>
      <c r="N1107" s="143"/>
      <c r="O1107" s="143"/>
      <c r="P1107" s="143"/>
      <c r="Q1107" s="143"/>
      <c r="R1107" s="143"/>
      <c r="S1107" s="143"/>
      <c r="T1107" s="143"/>
      <c r="U1107" s="143"/>
      <c r="V1107" s="143"/>
      <c r="W1107" s="143"/>
      <c r="X1107" s="143"/>
      <c r="Y1107" s="143"/>
      <c r="Z1107" s="143"/>
      <c r="AA1107" s="143"/>
      <c r="AB1107" s="143"/>
      <c r="AC1107" s="143"/>
      <c r="AD1107" s="143"/>
      <c r="AE1107" s="143"/>
      <c r="AF1107" s="143"/>
      <c r="AG1107" s="143"/>
      <c r="AH1107" s="143"/>
      <c r="AI1107" s="143"/>
      <c r="AJ1107" s="143"/>
    </row>
    <row r="1108" spans="1:36" s="144" customFormat="1" ht="21.75" customHeight="1">
      <c r="A1108" s="151"/>
      <c r="B1108" s="219"/>
      <c r="C1108" s="219"/>
      <c r="D1108" s="219"/>
      <c r="E1108" s="225"/>
      <c r="N1108" s="143"/>
      <c r="O1108" s="143"/>
      <c r="P1108" s="143"/>
      <c r="Q1108" s="143"/>
      <c r="R1108" s="143"/>
      <c r="S1108" s="143"/>
      <c r="T1108" s="143"/>
      <c r="U1108" s="143"/>
      <c r="V1108" s="143"/>
      <c r="W1108" s="143"/>
      <c r="X1108" s="143"/>
      <c r="Y1108" s="143"/>
      <c r="Z1108" s="143"/>
      <c r="AA1108" s="143"/>
      <c r="AB1108" s="143"/>
      <c r="AC1108" s="143"/>
      <c r="AD1108" s="143"/>
      <c r="AE1108" s="143"/>
      <c r="AF1108" s="143"/>
      <c r="AG1108" s="143"/>
      <c r="AH1108" s="143"/>
      <c r="AI1108" s="143"/>
      <c r="AJ1108" s="143"/>
    </row>
    <row r="1109" spans="1:36" s="144" customFormat="1" ht="21.75" customHeight="1">
      <c r="A1109" s="151"/>
      <c r="B1109" s="219"/>
      <c r="C1109" s="219"/>
      <c r="D1109" s="219"/>
      <c r="E1109" s="225"/>
      <c r="N1109" s="143"/>
      <c r="O1109" s="143"/>
      <c r="P1109" s="143"/>
      <c r="Q1109" s="143"/>
      <c r="R1109" s="143"/>
      <c r="S1109" s="143"/>
      <c r="T1109" s="143"/>
      <c r="U1109" s="143"/>
      <c r="V1109" s="143"/>
      <c r="W1109" s="143"/>
      <c r="X1109" s="143"/>
      <c r="Y1109" s="143"/>
      <c r="Z1109" s="143"/>
      <c r="AA1109" s="143"/>
      <c r="AB1109" s="143"/>
      <c r="AC1109" s="143"/>
      <c r="AD1109" s="143"/>
      <c r="AE1109" s="143"/>
      <c r="AF1109" s="143"/>
      <c r="AG1109" s="143"/>
      <c r="AH1109" s="143"/>
      <c r="AI1109" s="143"/>
      <c r="AJ1109" s="143"/>
    </row>
    <row r="1110" spans="1:36" s="144" customFormat="1" ht="21.75" customHeight="1">
      <c r="A1110" s="151"/>
      <c r="B1110" s="219"/>
      <c r="C1110" s="219"/>
      <c r="D1110" s="219"/>
      <c r="E1110" s="225"/>
      <c r="N1110" s="143"/>
      <c r="O1110" s="143"/>
      <c r="P1110" s="143"/>
      <c r="Q1110" s="143"/>
      <c r="R1110" s="143"/>
      <c r="S1110" s="143"/>
      <c r="T1110" s="143"/>
      <c r="U1110" s="143"/>
      <c r="V1110" s="143"/>
      <c r="W1110" s="143"/>
      <c r="X1110" s="143"/>
      <c r="Y1110" s="143"/>
      <c r="Z1110" s="143"/>
      <c r="AA1110" s="143"/>
      <c r="AB1110" s="143"/>
      <c r="AC1110" s="143"/>
      <c r="AD1110" s="143"/>
      <c r="AE1110" s="143"/>
      <c r="AF1110" s="143"/>
      <c r="AG1110" s="143"/>
      <c r="AH1110" s="143"/>
      <c r="AI1110" s="143"/>
      <c r="AJ1110" s="143"/>
    </row>
    <row r="1111" spans="1:36" s="144" customFormat="1" ht="21.75" customHeight="1">
      <c r="A1111" s="151"/>
      <c r="B1111" s="219"/>
      <c r="C1111" s="219"/>
      <c r="D1111" s="219"/>
      <c r="E1111" s="225"/>
      <c r="N1111" s="143"/>
      <c r="O1111" s="143"/>
      <c r="P1111" s="143"/>
      <c r="Q1111" s="143"/>
      <c r="R1111" s="143"/>
      <c r="S1111" s="143"/>
      <c r="T1111" s="143"/>
      <c r="U1111" s="143"/>
      <c r="V1111" s="143"/>
      <c r="W1111" s="143"/>
      <c r="X1111" s="143"/>
      <c r="Y1111" s="143"/>
      <c r="Z1111" s="143"/>
      <c r="AA1111" s="143"/>
      <c r="AB1111" s="143"/>
      <c r="AC1111" s="143"/>
      <c r="AD1111" s="143"/>
      <c r="AE1111" s="143"/>
      <c r="AF1111" s="143"/>
      <c r="AG1111" s="143"/>
      <c r="AH1111" s="143"/>
      <c r="AI1111" s="143"/>
      <c r="AJ1111" s="143"/>
    </row>
    <row r="1112" spans="1:36" s="144" customFormat="1" ht="21.75" customHeight="1">
      <c r="A1112" s="151"/>
      <c r="B1112" s="219"/>
      <c r="C1112" s="219"/>
      <c r="D1112" s="219"/>
      <c r="E1112" s="225"/>
      <c r="N1112" s="143"/>
      <c r="O1112" s="143"/>
      <c r="P1112" s="143"/>
      <c r="Q1112" s="143"/>
      <c r="R1112" s="143"/>
      <c r="S1112" s="143"/>
      <c r="T1112" s="143"/>
      <c r="U1112" s="143"/>
      <c r="V1112" s="143"/>
      <c r="W1112" s="143"/>
      <c r="X1112" s="143"/>
      <c r="Y1112" s="143"/>
      <c r="Z1112" s="143"/>
      <c r="AA1112" s="143"/>
      <c r="AB1112" s="143"/>
      <c r="AC1112" s="143"/>
      <c r="AD1112" s="143"/>
      <c r="AE1112" s="143"/>
      <c r="AF1112" s="143"/>
      <c r="AG1112" s="143"/>
      <c r="AH1112" s="143"/>
      <c r="AI1112" s="143"/>
      <c r="AJ1112" s="143"/>
    </row>
    <row r="1113" spans="1:36" s="144" customFormat="1" ht="21.75" customHeight="1">
      <c r="A1113" s="151"/>
      <c r="B1113" s="219"/>
      <c r="C1113" s="219"/>
      <c r="D1113" s="219"/>
      <c r="E1113" s="225"/>
      <c r="N1113" s="143"/>
      <c r="O1113" s="143"/>
      <c r="P1113" s="143"/>
      <c r="Q1113" s="143"/>
      <c r="R1113" s="143"/>
      <c r="S1113" s="143"/>
      <c r="T1113" s="143"/>
      <c r="U1113" s="143"/>
      <c r="V1113" s="143"/>
      <c r="W1113" s="143"/>
      <c r="X1113" s="143"/>
      <c r="Y1113" s="143"/>
      <c r="Z1113" s="143"/>
      <c r="AA1113" s="143"/>
      <c r="AB1113" s="143"/>
      <c r="AC1113" s="143"/>
      <c r="AD1113" s="143"/>
      <c r="AE1113" s="143"/>
      <c r="AF1113" s="143"/>
      <c r="AG1113" s="143"/>
      <c r="AH1113" s="143"/>
      <c r="AI1113" s="143"/>
      <c r="AJ1113" s="143"/>
    </row>
    <row r="1114" spans="1:36" s="144" customFormat="1" ht="21.75" customHeight="1">
      <c r="A1114" s="151"/>
      <c r="B1114" s="219"/>
      <c r="C1114" s="219"/>
      <c r="D1114" s="219"/>
      <c r="E1114" s="225"/>
      <c r="N1114" s="143"/>
      <c r="O1114" s="143"/>
      <c r="P1114" s="143"/>
      <c r="Q1114" s="143"/>
      <c r="R1114" s="143"/>
      <c r="S1114" s="143"/>
      <c r="T1114" s="143"/>
      <c r="U1114" s="143"/>
      <c r="V1114" s="143"/>
      <c r="W1114" s="143"/>
      <c r="X1114" s="143"/>
      <c r="Y1114" s="143"/>
      <c r="Z1114" s="143"/>
      <c r="AA1114" s="143"/>
      <c r="AB1114" s="143"/>
      <c r="AC1114" s="143"/>
      <c r="AD1114" s="143"/>
      <c r="AE1114" s="143"/>
      <c r="AF1114" s="143"/>
      <c r="AG1114" s="143"/>
      <c r="AH1114" s="143"/>
      <c r="AI1114" s="143"/>
      <c r="AJ1114" s="143"/>
    </row>
    <row r="1115" spans="1:36" s="144" customFormat="1" ht="21.75" customHeight="1">
      <c r="A1115" s="151"/>
      <c r="B1115" s="219"/>
      <c r="C1115" s="219"/>
      <c r="D1115" s="219"/>
      <c r="E1115" s="225"/>
      <c r="N1115" s="143"/>
      <c r="O1115" s="143"/>
      <c r="P1115" s="143"/>
      <c r="Q1115" s="143"/>
      <c r="R1115" s="143"/>
      <c r="S1115" s="143"/>
      <c r="T1115" s="143"/>
      <c r="U1115" s="143"/>
      <c r="V1115" s="143"/>
      <c r="W1115" s="143"/>
      <c r="X1115" s="143"/>
      <c r="Y1115" s="143"/>
      <c r="Z1115" s="143"/>
      <c r="AA1115" s="143"/>
      <c r="AB1115" s="143"/>
      <c r="AC1115" s="143"/>
      <c r="AD1115" s="143"/>
      <c r="AE1115" s="143"/>
      <c r="AF1115" s="143"/>
      <c r="AG1115" s="143"/>
      <c r="AH1115" s="143"/>
      <c r="AI1115" s="143"/>
      <c r="AJ1115" s="143"/>
    </row>
    <row r="1116" spans="1:36" s="144" customFormat="1" ht="21.75" customHeight="1">
      <c r="A1116" s="151"/>
      <c r="B1116" s="219"/>
      <c r="C1116" s="219"/>
      <c r="D1116" s="219"/>
      <c r="E1116" s="225"/>
      <c r="N1116" s="143"/>
      <c r="O1116" s="143"/>
      <c r="P1116" s="143"/>
      <c r="Q1116" s="143"/>
      <c r="R1116" s="143"/>
      <c r="S1116" s="143"/>
      <c r="T1116" s="143"/>
      <c r="U1116" s="143"/>
      <c r="V1116" s="143"/>
      <c r="W1116" s="143"/>
      <c r="X1116" s="143"/>
      <c r="Y1116" s="143"/>
      <c r="Z1116" s="143"/>
      <c r="AA1116" s="143"/>
      <c r="AB1116" s="143"/>
      <c r="AC1116" s="143"/>
      <c r="AD1116" s="143"/>
      <c r="AE1116" s="143"/>
      <c r="AF1116" s="143"/>
      <c r="AG1116" s="143"/>
      <c r="AH1116" s="143"/>
      <c r="AI1116" s="143"/>
      <c r="AJ1116" s="143"/>
    </row>
    <row r="1117" spans="1:36" s="144" customFormat="1" ht="21.75" customHeight="1">
      <c r="A1117" s="151"/>
      <c r="B1117" s="219"/>
      <c r="C1117" s="219"/>
      <c r="D1117" s="219"/>
      <c r="E1117" s="225"/>
      <c r="N1117" s="143"/>
      <c r="O1117" s="143"/>
      <c r="P1117" s="143"/>
      <c r="Q1117" s="143"/>
      <c r="R1117" s="143"/>
      <c r="S1117" s="143"/>
      <c r="T1117" s="143"/>
      <c r="U1117" s="143"/>
      <c r="V1117" s="143"/>
      <c r="W1117" s="143"/>
      <c r="X1117" s="143"/>
      <c r="Y1117" s="143"/>
      <c r="Z1117" s="143"/>
      <c r="AA1117" s="143"/>
      <c r="AB1117" s="143"/>
      <c r="AC1117" s="143"/>
      <c r="AD1117" s="143"/>
      <c r="AE1117" s="143"/>
      <c r="AF1117" s="143"/>
      <c r="AG1117" s="143"/>
      <c r="AH1117" s="143"/>
      <c r="AI1117" s="143"/>
      <c r="AJ1117" s="143"/>
    </row>
    <row r="1118" spans="1:36" s="144" customFormat="1" ht="21.75" customHeight="1">
      <c r="A1118" s="151"/>
      <c r="B1118" s="219"/>
      <c r="C1118" s="219"/>
      <c r="D1118" s="219"/>
      <c r="E1118" s="225"/>
      <c r="N1118" s="143"/>
      <c r="O1118" s="143"/>
      <c r="P1118" s="143"/>
      <c r="Q1118" s="143"/>
      <c r="R1118" s="143"/>
      <c r="S1118" s="143"/>
      <c r="T1118" s="143"/>
      <c r="U1118" s="143"/>
      <c r="V1118" s="143"/>
      <c r="W1118" s="143"/>
      <c r="X1118" s="143"/>
      <c r="Y1118" s="143"/>
      <c r="Z1118" s="143"/>
      <c r="AA1118" s="143"/>
      <c r="AB1118" s="143"/>
      <c r="AC1118" s="143"/>
      <c r="AD1118" s="143"/>
      <c r="AE1118" s="143"/>
      <c r="AF1118" s="143"/>
      <c r="AG1118" s="143"/>
      <c r="AH1118" s="143"/>
      <c r="AI1118" s="143"/>
      <c r="AJ1118" s="143"/>
    </row>
    <row r="1119" spans="1:36" s="144" customFormat="1" ht="21.75" customHeight="1">
      <c r="A1119" s="151"/>
      <c r="B1119" s="219"/>
      <c r="C1119" s="219"/>
      <c r="D1119" s="219"/>
      <c r="E1119" s="225"/>
      <c r="N1119" s="143"/>
      <c r="O1119" s="143"/>
      <c r="P1119" s="143"/>
      <c r="Q1119" s="143"/>
      <c r="R1119" s="143"/>
      <c r="S1119" s="143"/>
      <c r="T1119" s="143"/>
      <c r="U1119" s="143"/>
      <c r="V1119" s="143"/>
      <c r="W1119" s="143"/>
      <c r="X1119" s="143"/>
      <c r="Y1119" s="143"/>
      <c r="Z1119" s="143"/>
      <c r="AA1119" s="143"/>
      <c r="AB1119" s="143"/>
      <c r="AC1119" s="143"/>
      <c r="AD1119" s="143"/>
      <c r="AE1119" s="143"/>
      <c r="AF1119" s="143"/>
      <c r="AG1119" s="143"/>
      <c r="AH1119" s="143"/>
      <c r="AI1119" s="143"/>
      <c r="AJ1119" s="143"/>
    </row>
    <row r="1120" spans="1:36" s="144" customFormat="1" ht="21.75" customHeight="1">
      <c r="A1120" s="151"/>
      <c r="B1120" s="219"/>
      <c r="C1120" s="219"/>
      <c r="D1120" s="219"/>
      <c r="E1120" s="225"/>
      <c r="N1120" s="143"/>
      <c r="O1120" s="143"/>
      <c r="P1120" s="143"/>
      <c r="Q1120" s="143"/>
      <c r="R1120" s="143"/>
      <c r="S1120" s="143"/>
      <c r="T1120" s="143"/>
      <c r="U1120" s="143"/>
      <c r="V1120" s="143"/>
      <c r="W1120" s="143"/>
      <c r="X1120" s="143"/>
      <c r="Y1120" s="143"/>
      <c r="Z1120" s="143"/>
      <c r="AA1120" s="143"/>
      <c r="AB1120" s="143"/>
      <c r="AC1120" s="143"/>
      <c r="AD1120" s="143"/>
      <c r="AE1120" s="143"/>
      <c r="AF1120" s="143"/>
      <c r="AG1120" s="143"/>
      <c r="AH1120" s="143"/>
      <c r="AI1120" s="143"/>
      <c r="AJ1120" s="143"/>
    </row>
    <row r="1121" spans="1:36" s="144" customFormat="1" ht="21.75" customHeight="1">
      <c r="A1121" s="151"/>
      <c r="B1121" s="219"/>
      <c r="C1121" s="219"/>
      <c r="D1121" s="219"/>
      <c r="E1121" s="225"/>
      <c r="N1121" s="143"/>
      <c r="O1121" s="143"/>
      <c r="P1121" s="143"/>
      <c r="Q1121" s="143"/>
      <c r="R1121" s="143"/>
      <c r="S1121" s="143"/>
      <c r="T1121" s="143"/>
      <c r="U1121" s="143"/>
      <c r="V1121" s="143"/>
      <c r="W1121" s="143"/>
      <c r="X1121" s="143"/>
      <c r="Y1121" s="143"/>
      <c r="Z1121" s="143"/>
      <c r="AA1121" s="143"/>
      <c r="AB1121" s="143"/>
      <c r="AC1121" s="143"/>
      <c r="AD1121" s="143"/>
      <c r="AE1121" s="143"/>
      <c r="AF1121" s="143"/>
      <c r="AG1121" s="143"/>
      <c r="AH1121" s="143"/>
      <c r="AI1121" s="143"/>
      <c r="AJ1121" s="143"/>
    </row>
    <row r="1122" spans="1:36" s="144" customFormat="1" ht="21.75" customHeight="1">
      <c r="A1122" s="151"/>
      <c r="B1122" s="219"/>
      <c r="C1122" s="219"/>
      <c r="D1122" s="219"/>
      <c r="E1122" s="225"/>
      <c r="N1122" s="143"/>
      <c r="O1122" s="143"/>
      <c r="P1122" s="143"/>
      <c r="Q1122" s="143"/>
      <c r="R1122" s="143"/>
      <c r="S1122" s="143"/>
      <c r="T1122" s="143"/>
      <c r="U1122" s="143"/>
      <c r="V1122" s="143"/>
      <c r="W1122" s="143"/>
      <c r="X1122" s="143"/>
      <c r="Y1122" s="143"/>
      <c r="Z1122" s="143"/>
      <c r="AA1122" s="143"/>
      <c r="AB1122" s="143"/>
      <c r="AC1122" s="143"/>
      <c r="AD1122" s="143"/>
      <c r="AE1122" s="143"/>
      <c r="AF1122" s="143"/>
      <c r="AG1122" s="143"/>
      <c r="AH1122" s="143"/>
      <c r="AI1122" s="143"/>
      <c r="AJ1122" s="143"/>
    </row>
    <row r="1123" spans="1:36" s="144" customFormat="1" ht="21.75" customHeight="1">
      <c r="A1123" s="151"/>
      <c r="B1123" s="219"/>
      <c r="C1123" s="219"/>
      <c r="D1123" s="219"/>
      <c r="E1123" s="225"/>
      <c r="N1123" s="143"/>
      <c r="O1123" s="143"/>
      <c r="P1123" s="143"/>
      <c r="Q1123" s="143"/>
      <c r="R1123" s="143"/>
      <c r="S1123" s="143"/>
      <c r="T1123" s="143"/>
      <c r="U1123" s="143"/>
      <c r="V1123" s="143"/>
      <c r="W1123" s="143"/>
      <c r="X1123" s="143"/>
      <c r="Y1123" s="143"/>
      <c r="Z1123" s="143"/>
      <c r="AA1123" s="143"/>
      <c r="AB1123" s="143"/>
      <c r="AC1123" s="143"/>
      <c r="AD1123" s="143"/>
      <c r="AE1123" s="143"/>
      <c r="AF1123" s="143"/>
      <c r="AG1123" s="143"/>
      <c r="AH1123" s="143"/>
      <c r="AI1123" s="143"/>
      <c r="AJ1123" s="143"/>
    </row>
    <row r="1124" spans="1:36" s="144" customFormat="1" ht="21.75" customHeight="1">
      <c r="A1124" s="151"/>
      <c r="B1124" s="219"/>
      <c r="C1124" s="219"/>
      <c r="D1124" s="219"/>
      <c r="E1124" s="225"/>
      <c r="N1124" s="143"/>
      <c r="O1124" s="143"/>
      <c r="P1124" s="143"/>
      <c r="Q1124" s="143"/>
      <c r="R1124" s="143"/>
      <c r="S1124" s="143"/>
      <c r="T1124" s="143"/>
      <c r="U1124" s="143"/>
      <c r="V1124" s="143"/>
      <c r="W1124" s="143"/>
      <c r="X1124" s="143"/>
      <c r="Y1124" s="143"/>
      <c r="Z1124" s="143"/>
      <c r="AA1124" s="143"/>
      <c r="AB1124" s="143"/>
      <c r="AC1124" s="143"/>
      <c r="AD1124" s="143"/>
      <c r="AE1124" s="143"/>
      <c r="AF1124" s="143"/>
      <c r="AG1124" s="143"/>
      <c r="AH1124" s="143"/>
      <c r="AI1124" s="143"/>
      <c r="AJ1124" s="143"/>
    </row>
    <row r="1125" spans="1:36" s="144" customFormat="1" ht="21.75" customHeight="1">
      <c r="A1125" s="151"/>
      <c r="B1125" s="219"/>
      <c r="C1125" s="219"/>
      <c r="D1125" s="219"/>
      <c r="E1125" s="225"/>
      <c r="N1125" s="143"/>
      <c r="O1125" s="143"/>
      <c r="P1125" s="143"/>
      <c r="Q1125" s="143"/>
      <c r="R1125" s="143"/>
      <c r="S1125" s="143"/>
      <c r="T1125" s="143"/>
      <c r="U1125" s="143"/>
      <c r="V1125" s="143"/>
      <c r="W1125" s="143"/>
      <c r="X1125" s="143"/>
      <c r="Y1125" s="143"/>
      <c r="Z1125" s="143"/>
      <c r="AA1125" s="143"/>
      <c r="AB1125" s="143"/>
      <c r="AC1125" s="143"/>
      <c r="AD1125" s="143"/>
      <c r="AE1125" s="143"/>
      <c r="AF1125" s="143"/>
      <c r="AG1125" s="143"/>
      <c r="AH1125" s="143"/>
      <c r="AI1125" s="143"/>
      <c r="AJ1125" s="143"/>
    </row>
    <row r="1126" spans="1:36" s="144" customFormat="1" ht="21.75" customHeight="1">
      <c r="A1126" s="151"/>
      <c r="B1126" s="219"/>
      <c r="C1126" s="219"/>
      <c r="D1126" s="219"/>
      <c r="E1126" s="225"/>
      <c r="N1126" s="143"/>
      <c r="O1126" s="143"/>
      <c r="P1126" s="143"/>
      <c r="Q1126" s="143"/>
      <c r="R1126" s="143"/>
      <c r="S1126" s="143"/>
      <c r="T1126" s="143"/>
      <c r="U1126" s="143"/>
      <c r="V1126" s="143"/>
      <c r="W1126" s="143"/>
      <c r="X1126" s="143"/>
      <c r="Y1126" s="143"/>
      <c r="Z1126" s="143"/>
      <c r="AA1126" s="143"/>
      <c r="AB1126" s="143"/>
      <c r="AC1126" s="143"/>
      <c r="AD1126" s="143"/>
      <c r="AE1126" s="143"/>
      <c r="AF1126" s="143"/>
      <c r="AG1126" s="143"/>
      <c r="AH1126" s="143"/>
      <c r="AI1126" s="143"/>
      <c r="AJ1126" s="143"/>
    </row>
    <row r="1127" spans="1:36" s="144" customFormat="1" ht="21.75" customHeight="1">
      <c r="A1127" s="151"/>
      <c r="B1127" s="219"/>
      <c r="C1127" s="219"/>
      <c r="D1127" s="219"/>
      <c r="E1127" s="225"/>
      <c r="N1127" s="143"/>
      <c r="O1127" s="143"/>
      <c r="P1127" s="143"/>
      <c r="Q1127" s="143"/>
      <c r="R1127" s="143"/>
      <c r="S1127" s="143"/>
      <c r="T1127" s="143"/>
      <c r="U1127" s="143"/>
      <c r="V1127" s="143"/>
      <c r="W1127" s="143"/>
      <c r="X1127" s="143"/>
      <c r="Y1127" s="143"/>
      <c r="Z1127" s="143"/>
      <c r="AA1127" s="143"/>
      <c r="AB1127" s="143"/>
      <c r="AC1127" s="143"/>
      <c r="AD1127" s="143"/>
      <c r="AE1127" s="143"/>
      <c r="AF1127" s="143"/>
      <c r="AG1127" s="143"/>
      <c r="AH1127" s="143"/>
      <c r="AI1127" s="143"/>
      <c r="AJ1127" s="143"/>
    </row>
    <row r="1128" spans="1:36" s="144" customFormat="1" ht="21.75" customHeight="1">
      <c r="A1128" s="151"/>
      <c r="B1128" s="219"/>
      <c r="C1128" s="219"/>
      <c r="D1128" s="219"/>
      <c r="E1128" s="225"/>
      <c r="N1128" s="143"/>
      <c r="O1128" s="143"/>
      <c r="P1128" s="143"/>
      <c r="Q1128" s="143"/>
      <c r="R1128" s="143"/>
      <c r="S1128" s="143"/>
      <c r="T1128" s="143"/>
      <c r="U1128" s="143"/>
      <c r="V1128" s="143"/>
      <c r="W1128" s="143"/>
      <c r="X1128" s="143"/>
      <c r="Y1128" s="143"/>
      <c r="Z1128" s="143"/>
      <c r="AA1128" s="143"/>
      <c r="AB1128" s="143"/>
      <c r="AC1128" s="143"/>
      <c r="AD1128" s="143"/>
      <c r="AE1128" s="143"/>
      <c r="AF1128" s="143"/>
      <c r="AG1128" s="143"/>
      <c r="AH1128" s="143"/>
      <c r="AI1128" s="143"/>
      <c r="AJ1128" s="143"/>
    </row>
    <row r="1129" spans="1:36" s="144" customFormat="1" ht="21.75" customHeight="1">
      <c r="A1129" s="151"/>
      <c r="B1129" s="219"/>
      <c r="C1129" s="219"/>
      <c r="D1129" s="219"/>
      <c r="E1129" s="225"/>
      <c r="N1129" s="143"/>
      <c r="O1129" s="143"/>
      <c r="P1129" s="143"/>
      <c r="Q1129" s="143"/>
      <c r="R1129" s="143"/>
      <c r="S1129" s="143"/>
      <c r="T1129" s="143"/>
      <c r="U1129" s="143"/>
      <c r="V1129" s="143"/>
      <c r="W1129" s="143"/>
      <c r="X1129" s="143"/>
      <c r="Y1129" s="143"/>
      <c r="Z1129" s="143"/>
      <c r="AA1129" s="143"/>
      <c r="AB1129" s="143"/>
      <c r="AC1129" s="143"/>
      <c r="AD1129" s="143"/>
      <c r="AE1129" s="143"/>
      <c r="AF1129" s="143"/>
      <c r="AG1129" s="143"/>
      <c r="AH1129" s="143"/>
      <c r="AI1129" s="143"/>
      <c r="AJ1129" s="143"/>
    </row>
    <row r="1130" spans="1:36" s="144" customFormat="1" ht="21.75" customHeight="1">
      <c r="A1130" s="151"/>
      <c r="B1130" s="219"/>
      <c r="C1130" s="219"/>
      <c r="D1130" s="219"/>
      <c r="E1130" s="225"/>
      <c r="N1130" s="143"/>
      <c r="O1130" s="143"/>
      <c r="P1130" s="143"/>
      <c r="Q1130" s="143"/>
      <c r="R1130" s="143"/>
      <c r="S1130" s="143"/>
      <c r="T1130" s="143"/>
      <c r="U1130" s="143"/>
      <c r="V1130" s="143"/>
      <c r="W1130" s="143"/>
      <c r="X1130" s="143"/>
      <c r="Y1130" s="143"/>
      <c r="Z1130" s="143"/>
      <c r="AA1130" s="143"/>
      <c r="AB1130" s="143"/>
      <c r="AC1130" s="143"/>
      <c r="AD1130" s="143"/>
      <c r="AE1130" s="143"/>
      <c r="AF1130" s="143"/>
      <c r="AG1130" s="143"/>
      <c r="AH1130" s="143"/>
      <c r="AI1130" s="143"/>
      <c r="AJ1130" s="143"/>
    </row>
    <row r="1131" spans="1:36" s="144" customFormat="1" ht="21.75" customHeight="1">
      <c r="A1131" s="151"/>
      <c r="B1131" s="219"/>
      <c r="C1131" s="219"/>
      <c r="D1131" s="219"/>
      <c r="E1131" s="225"/>
      <c r="N1131" s="143"/>
      <c r="O1131" s="143"/>
      <c r="P1131" s="143"/>
      <c r="Q1131" s="143"/>
      <c r="R1131" s="143"/>
      <c r="S1131" s="143"/>
      <c r="T1131" s="143"/>
      <c r="U1131" s="143"/>
      <c r="V1131" s="143"/>
      <c r="W1131" s="143"/>
      <c r="X1131" s="143"/>
      <c r="Y1131" s="143"/>
      <c r="Z1131" s="143"/>
      <c r="AA1131" s="143"/>
      <c r="AB1131" s="143"/>
      <c r="AC1131" s="143"/>
      <c r="AD1131" s="143"/>
      <c r="AE1131" s="143"/>
      <c r="AF1131" s="143"/>
      <c r="AG1131" s="143"/>
      <c r="AH1131" s="143"/>
      <c r="AI1131" s="143"/>
      <c r="AJ1131" s="143"/>
    </row>
    <row r="1132" spans="1:36" s="144" customFormat="1" ht="21.75" customHeight="1">
      <c r="A1132" s="151"/>
      <c r="B1132" s="219"/>
      <c r="C1132" s="219"/>
      <c r="D1132" s="219"/>
      <c r="E1132" s="225"/>
      <c r="N1132" s="143"/>
      <c r="O1132" s="143"/>
      <c r="P1132" s="143"/>
      <c r="Q1132" s="143"/>
      <c r="R1132" s="143"/>
      <c r="S1132" s="143"/>
      <c r="T1132" s="143"/>
      <c r="U1132" s="143"/>
      <c r="V1132" s="143"/>
      <c r="W1132" s="143"/>
      <c r="X1132" s="143"/>
      <c r="Y1132" s="143"/>
      <c r="Z1132" s="143"/>
      <c r="AA1132" s="143"/>
      <c r="AB1132" s="143"/>
      <c r="AC1132" s="143"/>
      <c r="AD1132" s="143"/>
      <c r="AE1132" s="143"/>
      <c r="AF1132" s="143"/>
      <c r="AG1132" s="143"/>
      <c r="AH1132" s="143"/>
      <c r="AI1132" s="143"/>
      <c r="AJ1132" s="143"/>
    </row>
    <row r="1133" spans="1:36" s="144" customFormat="1" ht="21.75" customHeight="1">
      <c r="A1133" s="151"/>
      <c r="B1133" s="219"/>
      <c r="C1133" s="219"/>
      <c r="D1133" s="219"/>
      <c r="E1133" s="225"/>
      <c r="N1133" s="143"/>
      <c r="O1133" s="143"/>
      <c r="P1133" s="143"/>
      <c r="Q1133" s="143"/>
      <c r="R1133" s="143"/>
      <c r="S1133" s="143"/>
      <c r="T1133" s="143"/>
      <c r="U1133" s="143"/>
      <c r="V1133" s="143"/>
      <c r="W1133" s="143"/>
      <c r="X1133" s="143"/>
      <c r="Y1133" s="143"/>
      <c r="Z1133" s="143"/>
      <c r="AA1133" s="143"/>
      <c r="AB1133" s="143"/>
      <c r="AC1133" s="143"/>
      <c r="AD1133" s="143"/>
      <c r="AE1133" s="143"/>
      <c r="AF1133" s="143"/>
      <c r="AG1133" s="143"/>
      <c r="AH1133" s="143"/>
      <c r="AI1133" s="143"/>
      <c r="AJ1133" s="143"/>
    </row>
    <row r="1134" spans="1:36" s="144" customFormat="1" ht="21.75" customHeight="1">
      <c r="A1134" s="151"/>
      <c r="B1134" s="219"/>
      <c r="C1134" s="219"/>
      <c r="D1134" s="219"/>
      <c r="E1134" s="225"/>
      <c r="N1134" s="143"/>
      <c r="O1134" s="143"/>
      <c r="P1134" s="143"/>
      <c r="Q1134" s="143"/>
      <c r="R1134" s="143"/>
      <c r="S1134" s="143"/>
      <c r="T1134" s="143"/>
      <c r="U1134" s="143"/>
      <c r="V1134" s="143"/>
      <c r="W1134" s="143"/>
      <c r="X1134" s="143"/>
      <c r="Y1134" s="143"/>
      <c r="Z1134" s="143"/>
      <c r="AA1134" s="143"/>
      <c r="AB1134" s="143"/>
      <c r="AC1134" s="143"/>
      <c r="AD1134" s="143"/>
      <c r="AE1134" s="143"/>
      <c r="AF1134" s="143"/>
      <c r="AG1134" s="143"/>
      <c r="AH1134" s="143"/>
      <c r="AI1134" s="143"/>
      <c r="AJ1134" s="143"/>
    </row>
    <row r="1135" spans="1:36" s="144" customFormat="1" ht="21.75" customHeight="1">
      <c r="A1135" s="151"/>
      <c r="B1135" s="219"/>
      <c r="C1135" s="219"/>
      <c r="D1135" s="219"/>
      <c r="E1135" s="225"/>
      <c r="N1135" s="143"/>
      <c r="O1135" s="143"/>
      <c r="P1135" s="143"/>
      <c r="Q1135" s="143"/>
      <c r="R1135" s="143"/>
      <c r="S1135" s="143"/>
      <c r="T1135" s="143"/>
      <c r="U1135" s="143"/>
      <c r="V1135" s="143"/>
      <c r="W1135" s="143"/>
      <c r="X1135" s="143"/>
      <c r="Y1135" s="143"/>
      <c r="Z1135" s="143"/>
      <c r="AA1135" s="143"/>
      <c r="AB1135" s="143"/>
      <c r="AC1135" s="143"/>
      <c r="AD1135" s="143"/>
      <c r="AE1135" s="143"/>
      <c r="AF1135" s="143"/>
      <c r="AG1135" s="143"/>
      <c r="AH1135" s="143"/>
      <c r="AI1135" s="143"/>
      <c r="AJ1135" s="143"/>
    </row>
    <row r="1136" spans="1:36" s="144" customFormat="1" ht="21.75" customHeight="1">
      <c r="A1136" s="151"/>
      <c r="B1136" s="219"/>
      <c r="C1136" s="219"/>
      <c r="D1136" s="219"/>
      <c r="E1136" s="225"/>
      <c r="N1136" s="143"/>
      <c r="O1136" s="143"/>
      <c r="P1136" s="143"/>
      <c r="Q1136" s="143"/>
      <c r="R1136" s="143"/>
      <c r="S1136" s="143"/>
      <c r="T1136" s="143"/>
      <c r="U1136" s="143"/>
      <c r="V1136" s="143"/>
      <c r="W1136" s="143"/>
      <c r="X1136" s="143"/>
      <c r="Y1136" s="143"/>
      <c r="Z1136" s="143"/>
      <c r="AA1136" s="143"/>
      <c r="AB1136" s="143"/>
      <c r="AC1136" s="143"/>
      <c r="AD1136" s="143"/>
      <c r="AE1136" s="143"/>
      <c r="AF1136" s="143"/>
      <c r="AG1136" s="143"/>
      <c r="AH1136" s="143"/>
      <c r="AI1136" s="143"/>
      <c r="AJ1136" s="143"/>
    </row>
    <row r="1137" spans="1:36" s="144" customFormat="1" ht="21.75" customHeight="1">
      <c r="A1137" s="151"/>
      <c r="B1137" s="219"/>
      <c r="C1137" s="219"/>
      <c r="D1137" s="219"/>
      <c r="E1137" s="225"/>
      <c r="N1137" s="143"/>
      <c r="O1137" s="143"/>
      <c r="P1137" s="143"/>
      <c r="Q1137" s="143"/>
      <c r="R1137" s="143"/>
      <c r="S1137" s="143"/>
      <c r="T1137" s="143"/>
      <c r="U1137" s="143"/>
      <c r="V1137" s="143"/>
      <c r="W1137" s="143"/>
      <c r="X1137" s="143"/>
      <c r="Y1137" s="143"/>
      <c r="Z1137" s="143"/>
      <c r="AA1137" s="143"/>
      <c r="AB1137" s="143"/>
      <c r="AC1137" s="143"/>
      <c r="AD1137" s="143"/>
      <c r="AE1137" s="143"/>
      <c r="AF1137" s="143"/>
      <c r="AG1137" s="143"/>
      <c r="AH1137" s="143"/>
      <c r="AI1137" s="143"/>
      <c r="AJ1137" s="143"/>
    </row>
    <row r="1138" spans="1:36" s="144" customFormat="1" ht="21.75" customHeight="1">
      <c r="A1138" s="151"/>
      <c r="B1138" s="219"/>
      <c r="C1138" s="219"/>
      <c r="D1138" s="219"/>
      <c r="E1138" s="225"/>
      <c r="N1138" s="143"/>
      <c r="O1138" s="143"/>
      <c r="P1138" s="143"/>
      <c r="Q1138" s="143"/>
      <c r="R1138" s="143"/>
      <c r="S1138" s="143"/>
      <c r="T1138" s="143"/>
      <c r="U1138" s="143"/>
      <c r="V1138" s="143"/>
      <c r="W1138" s="143"/>
      <c r="X1138" s="143"/>
      <c r="Y1138" s="143"/>
      <c r="Z1138" s="143"/>
      <c r="AA1138" s="143"/>
      <c r="AB1138" s="143"/>
      <c r="AC1138" s="143"/>
      <c r="AD1138" s="143"/>
      <c r="AE1138" s="143"/>
      <c r="AF1138" s="143"/>
      <c r="AG1138" s="143"/>
      <c r="AH1138" s="143"/>
      <c r="AI1138" s="143"/>
      <c r="AJ1138" s="143"/>
    </row>
    <row r="1139" spans="1:36" s="144" customFormat="1" ht="21.75" customHeight="1">
      <c r="A1139" s="151"/>
      <c r="B1139" s="219"/>
      <c r="C1139" s="219"/>
      <c r="D1139" s="219"/>
      <c r="E1139" s="225"/>
      <c r="N1139" s="143"/>
      <c r="O1139" s="143"/>
      <c r="P1139" s="143"/>
      <c r="Q1139" s="143"/>
      <c r="R1139" s="143"/>
      <c r="S1139" s="143"/>
      <c r="T1139" s="143"/>
      <c r="U1139" s="143"/>
      <c r="V1139" s="143"/>
      <c r="W1139" s="143"/>
      <c r="X1139" s="143"/>
      <c r="Y1139" s="143"/>
      <c r="Z1139" s="143"/>
      <c r="AA1139" s="143"/>
      <c r="AB1139" s="143"/>
      <c r="AC1139" s="143"/>
      <c r="AD1139" s="143"/>
      <c r="AE1139" s="143"/>
      <c r="AF1139" s="143"/>
      <c r="AG1139" s="143"/>
      <c r="AH1139" s="143"/>
      <c r="AI1139" s="143"/>
      <c r="AJ1139" s="143"/>
    </row>
    <row r="1140" spans="1:36" s="144" customFormat="1" ht="21.75" customHeight="1">
      <c r="A1140" s="151"/>
      <c r="B1140" s="219"/>
      <c r="C1140" s="219"/>
      <c r="D1140" s="219"/>
      <c r="E1140" s="225"/>
      <c r="N1140" s="143"/>
      <c r="O1140" s="143"/>
      <c r="P1140" s="143"/>
      <c r="Q1140" s="143"/>
      <c r="R1140" s="143"/>
      <c r="S1140" s="143"/>
      <c r="T1140" s="143"/>
      <c r="U1140" s="143"/>
      <c r="V1140" s="143"/>
      <c r="W1140" s="143"/>
      <c r="X1140" s="143"/>
      <c r="Y1140" s="143"/>
      <c r="Z1140" s="143"/>
      <c r="AA1140" s="143"/>
      <c r="AB1140" s="143"/>
      <c r="AC1140" s="143"/>
      <c r="AD1140" s="143"/>
      <c r="AE1140" s="143"/>
      <c r="AF1140" s="143"/>
      <c r="AG1140" s="143"/>
      <c r="AH1140" s="143"/>
      <c r="AI1140" s="143"/>
      <c r="AJ1140" s="143"/>
    </row>
    <row r="1141" spans="1:36" s="144" customFormat="1" ht="21.75" customHeight="1">
      <c r="A1141" s="151"/>
      <c r="B1141" s="219"/>
      <c r="C1141" s="219"/>
      <c r="D1141" s="219"/>
      <c r="E1141" s="225"/>
      <c r="N1141" s="143"/>
      <c r="O1141" s="143"/>
      <c r="P1141" s="143"/>
      <c r="Q1141" s="143"/>
      <c r="R1141" s="143"/>
      <c r="S1141" s="143"/>
      <c r="T1141" s="143"/>
      <c r="U1141" s="143"/>
      <c r="V1141" s="143"/>
      <c r="W1141" s="143"/>
      <c r="X1141" s="143"/>
      <c r="Y1141" s="143"/>
      <c r="Z1141" s="143"/>
      <c r="AA1141" s="143"/>
      <c r="AB1141" s="143"/>
      <c r="AC1141" s="143"/>
      <c r="AD1141" s="143"/>
      <c r="AE1141" s="143"/>
      <c r="AF1141" s="143"/>
      <c r="AG1141" s="143"/>
      <c r="AH1141" s="143"/>
      <c r="AI1141" s="143"/>
      <c r="AJ1141" s="143"/>
    </row>
    <row r="1142" spans="1:36" s="144" customFormat="1" ht="21.75" customHeight="1">
      <c r="A1142" s="151"/>
      <c r="B1142" s="219"/>
      <c r="C1142" s="219"/>
      <c r="D1142" s="219"/>
      <c r="E1142" s="225"/>
      <c r="N1142" s="143"/>
      <c r="O1142" s="143"/>
      <c r="P1142" s="143"/>
      <c r="Q1142" s="143"/>
      <c r="R1142" s="143"/>
      <c r="S1142" s="143"/>
      <c r="T1142" s="143"/>
      <c r="U1142" s="143"/>
      <c r="V1142" s="143"/>
      <c r="W1142" s="143"/>
      <c r="X1142" s="143"/>
      <c r="Y1142" s="143"/>
      <c r="Z1142" s="143"/>
      <c r="AA1142" s="143"/>
      <c r="AB1142" s="143"/>
      <c r="AC1142" s="143"/>
      <c r="AD1142" s="143"/>
      <c r="AE1142" s="143"/>
      <c r="AF1142" s="143"/>
      <c r="AG1142" s="143"/>
      <c r="AH1142" s="143"/>
      <c r="AI1142" s="143"/>
      <c r="AJ1142" s="143"/>
    </row>
    <row r="1143" spans="1:36" s="144" customFormat="1" ht="21.75" customHeight="1">
      <c r="A1143" s="151"/>
      <c r="B1143" s="219"/>
      <c r="C1143" s="219"/>
      <c r="D1143" s="219"/>
      <c r="E1143" s="225"/>
      <c r="N1143" s="143"/>
      <c r="O1143" s="143"/>
      <c r="P1143" s="143"/>
      <c r="Q1143" s="143"/>
      <c r="R1143" s="143"/>
      <c r="S1143" s="143"/>
      <c r="T1143" s="143"/>
      <c r="U1143" s="143"/>
      <c r="V1143" s="143"/>
      <c r="W1143" s="143"/>
      <c r="X1143" s="143"/>
      <c r="Y1143" s="143"/>
      <c r="Z1143" s="143"/>
      <c r="AA1143" s="143"/>
      <c r="AB1143" s="143"/>
      <c r="AC1143" s="143"/>
      <c r="AD1143" s="143"/>
      <c r="AE1143" s="143"/>
      <c r="AF1143" s="143"/>
      <c r="AG1143" s="143"/>
      <c r="AH1143" s="143"/>
      <c r="AI1143" s="143"/>
      <c r="AJ1143" s="143"/>
    </row>
    <row r="1144" spans="1:36" s="144" customFormat="1" ht="21.75" customHeight="1">
      <c r="A1144" s="151"/>
      <c r="B1144" s="219"/>
      <c r="C1144" s="219"/>
      <c r="D1144" s="219"/>
      <c r="E1144" s="225"/>
      <c r="N1144" s="143"/>
      <c r="O1144" s="143"/>
      <c r="P1144" s="143"/>
      <c r="Q1144" s="143"/>
      <c r="R1144" s="143"/>
      <c r="S1144" s="143"/>
      <c r="T1144" s="143"/>
      <c r="U1144" s="143"/>
      <c r="V1144" s="143"/>
      <c r="W1144" s="143"/>
      <c r="X1144" s="143"/>
      <c r="Y1144" s="143"/>
      <c r="Z1144" s="143"/>
      <c r="AA1144" s="143"/>
      <c r="AB1144" s="143"/>
      <c r="AC1144" s="143"/>
      <c r="AD1144" s="143"/>
      <c r="AE1144" s="143"/>
      <c r="AF1144" s="143"/>
      <c r="AG1144" s="143"/>
      <c r="AH1144" s="143"/>
      <c r="AI1144" s="143"/>
      <c r="AJ1144" s="143"/>
    </row>
    <row r="1145" spans="1:36" s="144" customFormat="1" ht="21.75" customHeight="1">
      <c r="A1145" s="151"/>
      <c r="B1145" s="219"/>
      <c r="C1145" s="219"/>
      <c r="D1145" s="219"/>
      <c r="E1145" s="225"/>
      <c r="N1145" s="143"/>
      <c r="O1145" s="143"/>
      <c r="P1145" s="143"/>
      <c r="Q1145" s="143"/>
      <c r="R1145" s="143"/>
      <c r="S1145" s="143"/>
      <c r="T1145" s="143"/>
      <c r="U1145" s="143"/>
      <c r="V1145" s="143"/>
      <c r="W1145" s="143"/>
      <c r="X1145" s="143"/>
      <c r="Y1145" s="143"/>
      <c r="Z1145" s="143"/>
      <c r="AA1145" s="143"/>
      <c r="AB1145" s="143"/>
      <c r="AC1145" s="143"/>
      <c r="AD1145" s="143"/>
      <c r="AE1145" s="143"/>
      <c r="AF1145" s="143"/>
      <c r="AG1145" s="143"/>
      <c r="AH1145" s="143"/>
      <c r="AI1145" s="143"/>
      <c r="AJ1145" s="143"/>
    </row>
    <row r="1146" spans="1:36" s="144" customFormat="1" ht="21.75" customHeight="1">
      <c r="A1146" s="151"/>
      <c r="B1146" s="219"/>
      <c r="C1146" s="219"/>
      <c r="D1146" s="219"/>
      <c r="E1146" s="225"/>
      <c r="N1146" s="143"/>
      <c r="O1146" s="143"/>
      <c r="P1146" s="143"/>
      <c r="Q1146" s="143"/>
      <c r="R1146" s="143"/>
      <c r="S1146" s="143"/>
      <c r="T1146" s="143"/>
      <c r="U1146" s="143"/>
      <c r="V1146" s="143"/>
      <c r="W1146" s="143"/>
      <c r="X1146" s="143"/>
      <c r="Y1146" s="143"/>
      <c r="Z1146" s="143"/>
      <c r="AA1146" s="143"/>
      <c r="AB1146" s="143"/>
      <c r="AC1146" s="143"/>
      <c r="AD1146" s="143"/>
      <c r="AE1146" s="143"/>
      <c r="AF1146" s="143"/>
      <c r="AG1146" s="143"/>
      <c r="AH1146" s="143"/>
      <c r="AI1146" s="143"/>
      <c r="AJ1146" s="143"/>
    </row>
    <row r="1147" spans="1:36" s="144" customFormat="1" ht="21.75" customHeight="1">
      <c r="A1147" s="151"/>
      <c r="B1147" s="219"/>
      <c r="C1147" s="219"/>
      <c r="D1147" s="219"/>
      <c r="E1147" s="225"/>
      <c r="N1147" s="143"/>
      <c r="O1147" s="143"/>
      <c r="P1147" s="143"/>
      <c r="Q1147" s="143"/>
      <c r="R1147" s="143"/>
      <c r="S1147" s="143"/>
      <c r="T1147" s="143"/>
      <c r="U1147" s="143"/>
      <c r="V1147" s="143"/>
      <c r="W1147" s="143"/>
      <c r="X1147" s="143"/>
      <c r="Y1147" s="143"/>
      <c r="Z1147" s="143"/>
      <c r="AA1147" s="143"/>
      <c r="AB1147" s="143"/>
      <c r="AC1147" s="143"/>
      <c r="AD1147" s="143"/>
      <c r="AE1147" s="143"/>
      <c r="AF1147" s="143"/>
      <c r="AG1147" s="143"/>
      <c r="AH1147" s="143"/>
      <c r="AI1147" s="143"/>
      <c r="AJ1147" s="143"/>
    </row>
    <row r="1148" spans="1:36" s="144" customFormat="1" ht="21.75" customHeight="1">
      <c r="A1148" s="151"/>
      <c r="B1148" s="219"/>
      <c r="C1148" s="219"/>
      <c r="D1148" s="219"/>
      <c r="E1148" s="225"/>
      <c r="N1148" s="143"/>
      <c r="O1148" s="143"/>
      <c r="P1148" s="143"/>
      <c r="Q1148" s="143"/>
      <c r="R1148" s="143"/>
      <c r="S1148" s="143"/>
      <c r="T1148" s="143"/>
      <c r="U1148" s="143"/>
      <c r="V1148" s="143"/>
      <c r="W1148" s="143"/>
      <c r="X1148" s="143"/>
      <c r="Y1148" s="143"/>
      <c r="Z1148" s="143"/>
      <c r="AA1148" s="143"/>
      <c r="AB1148" s="143"/>
      <c r="AC1148" s="143"/>
      <c r="AD1148" s="143"/>
      <c r="AE1148" s="143"/>
      <c r="AF1148" s="143"/>
      <c r="AG1148" s="143"/>
      <c r="AH1148" s="143"/>
      <c r="AI1148" s="143"/>
      <c r="AJ1148" s="143"/>
    </row>
    <row r="1149" spans="1:36" s="144" customFormat="1" ht="21.75" customHeight="1">
      <c r="A1149" s="151"/>
      <c r="B1149" s="219"/>
      <c r="C1149" s="219"/>
      <c r="D1149" s="219"/>
      <c r="E1149" s="225"/>
      <c r="N1149" s="143"/>
      <c r="O1149" s="143"/>
      <c r="P1149" s="143"/>
      <c r="Q1149" s="143"/>
      <c r="R1149" s="143"/>
      <c r="S1149" s="143"/>
      <c r="T1149" s="143"/>
      <c r="U1149" s="143"/>
      <c r="V1149" s="143"/>
      <c r="W1149" s="143"/>
      <c r="X1149" s="143"/>
      <c r="Y1149" s="143"/>
      <c r="Z1149" s="143"/>
      <c r="AA1149" s="143"/>
      <c r="AB1149" s="143"/>
      <c r="AC1149" s="143"/>
      <c r="AD1149" s="143"/>
      <c r="AE1149" s="143"/>
      <c r="AF1149" s="143"/>
      <c r="AG1149" s="143"/>
      <c r="AH1149" s="143"/>
      <c r="AI1149" s="143"/>
      <c r="AJ1149" s="143"/>
    </row>
    <row r="1150" spans="1:36" s="144" customFormat="1" ht="21.75" customHeight="1">
      <c r="A1150" s="151"/>
      <c r="B1150" s="219"/>
      <c r="C1150" s="219"/>
      <c r="D1150" s="219"/>
      <c r="E1150" s="225"/>
      <c r="N1150" s="143"/>
      <c r="O1150" s="143"/>
      <c r="P1150" s="143"/>
      <c r="Q1150" s="143"/>
      <c r="R1150" s="143"/>
      <c r="S1150" s="143"/>
      <c r="T1150" s="143"/>
      <c r="U1150" s="143"/>
      <c r="V1150" s="143"/>
      <c r="W1150" s="143"/>
      <c r="X1150" s="143"/>
      <c r="Y1150" s="143"/>
      <c r="Z1150" s="143"/>
      <c r="AA1150" s="143"/>
      <c r="AB1150" s="143"/>
      <c r="AC1150" s="143"/>
      <c r="AD1150" s="143"/>
      <c r="AE1150" s="143"/>
      <c r="AF1150" s="143"/>
      <c r="AG1150" s="143"/>
      <c r="AH1150" s="143"/>
      <c r="AI1150" s="143"/>
      <c r="AJ1150" s="143"/>
    </row>
    <row r="1151" spans="1:36" s="144" customFormat="1" ht="21.75" customHeight="1">
      <c r="A1151" s="151"/>
      <c r="B1151" s="219"/>
      <c r="C1151" s="219"/>
      <c r="D1151" s="219"/>
      <c r="E1151" s="225"/>
      <c r="N1151" s="143"/>
      <c r="O1151" s="143"/>
      <c r="P1151" s="143"/>
      <c r="Q1151" s="143"/>
      <c r="R1151" s="143"/>
      <c r="S1151" s="143"/>
      <c r="T1151" s="143"/>
      <c r="U1151" s="143"/>
      <c r="V1151" s="143"/>
      <c r="W1151" s="143"/>
      <c r="X1151" s="143"/>
      <c r="Y1151" s="143"/>
      <c r="Z1151" s="143"/>
      <c r="AA1151" s="143"/>
      <c r="AB1151" s="143"/>
      <c r="AC1151" s="143"/>
      <c r="AD1151" s="143"/>
      <c r="AE1151" s="143"/>
      <c r="AF1151" s="143"/>
      <c r="AG1151" s="143"/>
      <c r="AH1151" s="143"/>
      <c r="AI1151" s="143"/>
      <c r="AJ1151" s="143"/>
    </row>
    <row r="1152" spans="1:36" s="144" customFormat="1" ht="21.75" customHeight="1">
      <c r="A1152" s="151"/>
      <c r="B1152" s="219"/>
      <c r="C1152" s="219"/>
      <c r="D1152" s="219"/>
      <c r="E1152" s="225"/>
      <c r="N1152" s="143"/>
      <c r="O1152" s="143"/>
      <c r="P1152" s="143"/>
      <c r="Q1152" s="143"/>
      <c r="R1152" s="143"/>
      <c r="S1152" s="143"/>
      <c r="T1152" s="143"/>
      <c r="U1152" s="143"/>
      <c r="V1152" s="143"/>
      <c r="W1152" s="143"/>
      <c r="X1152" s="143"/>
      <c r="Y1152" s="143"/>
      <c r="Z1152" s="143"/>
      <c r="AA1152" s="143"/>
      <c r="AB1152" s="143"/>
      <c r="AC1152" s="143"/>
      <c r="AD1152" s="143"/>
      <c r="AE1152" s="143"/>
      <c r="AF1152" s="143"/>
      <c r="AG1152" s="143"/>
      <c r="AH1152" s="143"/>
      <c r="AI1152" s="143"/>
      <c r="AJ1152" s="143"/>
    </row>
    <row r="1153" spans="1:36" s="144" customFormat="1" ht="21.75" customHeight="1">
      <c r="A1153" s="151"/>
      <c r="B1153" s="219"/>
      <c r="C1153" s="219"/>
      <c r="D1153" s="219"/>
      <c r="E1153" s="225"/>
      <c r="N1153" s="143"/>
      <c r="O1153" s="143"/>
      <c r="P1153" s="143"/>
      <c r="Q1153" s="143"/>
      <c r="R1153" s="143"/>
      <c r="S1153" s="143"/>
      <c r="T1153" s="143"/>
      <c r="U1153" s="143"/>
      <c r="V1153" s="143"/>
      <c r="W1153" s="143"/>
      <c r="X1153" s="143"/>
      <c r="Y1153" s="143"/>
      <c r="Z1153" s="143"/>
      <c r="AA1153" s="143"/>
      <c r="AB1153" s="143"/>
      <c r="AC1153" s="143"/>
      <c r="AD1153" s="143"/>
      <c r="AE1153" s="143"/>
      <c r="AF1153" s="143"/>
      <c r="AG1153" s="143"/>
      <c r="AH1153" s="143"/>
      <c r="AI1153" s="143"/>
      <c r="AJ1153" s="143"/>
    </row>
    <row r="1154" spans="1:36" s="144" customFormat="1" ht="21.75" customHeight="1">
      <c r="A1154" s="151"/>
      <c r="B1154" s="219"/>
      <c r="C1154" s="219"/>
      <c r="D1154" s="219"/>
      <c r="E1154" s="225"/>
      <c r="N1154" s="143"/>
      <c r="O1154" s="143"/>
      <c r="P1154" s="143"/>
      <c r="Q1154" s="143"/>
      <c r="R1154" s="143"/>
      <c r="S1154" s="143"/>
      <c r="T1154" s="143"/>
      <c r="U1154" s="143"/>
      <c r="V1154" s="143"/>
      <c r="W1154" s="143"/>
      <c r="X1154" s="143"/>
      <c r="Y1154" s="143"/>
      <c r="Z1154" s="143"/>
      <c r="AA1154" s="143"/>
      <c r="AB1154" s="143"/>
      <c r="AC1154" s="143"/>
      <c r="AD1154" s="143"/>
      <c r="AE1154" s="143"/>
      <c r="AF1154" s="143"/>
      <c r="AG1154" s="143"/>
      <c r="AH1154" s="143"/>
      <c r="AI1154" s="143"/>
      <c r="AJ1154" s="143"/>
    </row>
    <row r="1155" spans="1:36" s="144" customFormat="1" ht="21.75" customHeight="1">
      <c r="A1155" s="151"/>
      <c r="B1155" s="219"/>
      <c r="C1155" s="219"/>
      <c r="D1155" s="219"/>
      <c r="E1155" s="225"/>
      <c r="N1155" s="143"/>
      <c r="O1155" s="143"/>
      <c r="P1155" s="143"/>
      <c r="Q1155" s="143"/>
      <c r="R1155" s="143"/>
      <c r="S1155" s="143"/>
      <c r="T1155" s="143"/>
      <c r="U1155" s="143"/>
      <c r="V1155" s="143"/>
      <c r="W1155" s="143"/>
      <c r="X1155" s="143"/>
      <c r="Y1155" s="143"/>
      <c r="Z1155" s="143"/>
      <c r="AA1155" s="143"/>
      <c r="AB1155" s="143"/>
      <c r="AC1155" s="143"/>
      <c r="AD1155" s="143"/>
      <c r="AE1155" s="143"/>
      <c r="AF1155" s="143"/>
      <c r="AG1155" s="143"/>
      <c r="AH1155" s="143"/>
      <c r="AI1155" s="143"/>
      <c r="AJ1155" s="143"/>
    </row>
    <row r="1156" spans="1:36" s="144" customFormat="1" ht="21.75" customHeight="1">
      <c r="A1156" s="151"/>
      <c r="B1156" s="219"/>
      <c r="C1156" s="219"/>
      <c r="D1156" s="219"/>
      <c r="E1156" s="225"/>
      <c r="N1156" s="143"/>
      <c r="O1156" s="143"/>
      <c r="P1156" s="143"/>
      <c r="Q1156" s="143"/>
      <c r="R1156" s="143"/>
      <c r="S1156" s="143"/>
      <c r="T1156" s="143"/>
      <c r="U1156" s="143"/>
      <c r="V1156" s="143"/>
      <c r="W1156" s="143"/>
      <c r="X1156" s="143"/>
      <c r="Y1156" s="143"/>
      <c r="Z1156" s="143"/>
      <c r="AA1156" s="143"/>
      <c r="AB1156" s="143"/>
      <c r="AC1156" s="143"/>
      <c r="AD1156" s="143"/>
      <c r="AE1156" s="143"/>
      <c r="AF1156" s="143"/>
      <c r="AG1156" s="143"/>
      <c r="AH1156" s="143"/>
      <c r="AI1156" s="143"/>
      <c r="AJ1156" s="143"/>
    </row>
    <row r="1157" spans="1:36" s="144" customFormat="1" ht="21.75" customHeight="1">
      <c r="A1157" s="151"/>
      <c r="B1157" s="219"/>
      <c r="C1157" s="219"/>
      <c r="D1157" s="219"/>
      <c r="E1157" s="225"/>
      <c r="N1157" s="143"/>
      <c r="O1157" s="143"/>
      <c r="P1157" s="143"/>
      <c r="Q1157" s="143"/>
      <c r="R1157" s="143"/>
      <c r="S1157" s="143"/>
      <c r="T1157" s="143"/>
      <c r="U1157" s="143"/>
      <c r="V1157" s="143"/>
      <c r="W1157" s="143"/>
      <c r="X1157" s="143"/>
      <c r="Y1157" s="143"/>
      <c r="Z1157" s="143"/>
      <c r="AA1157" s="143"/>
      <c r="AB1157" s="143"/>
      <c r="AC1157" s="143"/>
      <c r="AD1157" s="143"/>
      <c r="AE1157" s="143"/>
      <c r="AF1157" s="143"/>
      <c r="AG1157" s="143"/>
      <c r="AH1157" s="143"/>
      <c r="AI1157" s="143"/>
      <c r="AJ1157" s="143"/>
    </row>
    <row r="1158" spans="1:36" s="144" customFormat="1" ht="21.75" customHeight="1">
      <c r="A1158" s="151"/>
      <c r="B1158" s="219"/>
      <c r="C1158" s="219"/>
      <c r="D1158" s="219"/>
      <c r="E1158" s="225"/>
      <c r="N1158" s="143"/>
      <c r="O1158" s="143"/>
      <c r="P1158" s="143"/>
      <c r="Q1158" s="143"/>
      <c r="R1158" s="143"/>
      <c r="S1158" s="143"/>
      <c r="T1158" s="143"/>
      <c r="U1158" s="143"/>
      <c r="V1158" s="143"/>
      <c r="W1158" s="143"/>
      <c r="X1158" s="143"/>
      <c r="Y1158" s="143"/>
      <c r="Z1158" s="143"/>
      <c r="AA1158" s="143"/>
      <c r="AB1158" s="143"/>
      <c r="AC1158" s="143"/>
      <c r="AD1158" s="143"/>
      <c r="AE1158" s="143"/>
      <c r="AF1158" s="143"/>
      <c r="AG1158" s="143"/>
      <c r="AH1158" s="143"/>
      <c r="AI1158" s="143"/>
      <c r="AJ1158" s="143"/>
    </row>
    <row r="1159" spans="1:36" s="144" customFormat="1" ht="21.75" customHeight="1">
      <c r="A1159" s="151"/>
      <c r="B1159" s="219"/>
      <c r="C1159" s="219"/>
      <c r="D1159" s="219"/>
      <c r="E1159" s="225"/>
      <c r="N1159" s="143"/>
      <c r="O1159" s="143"/>
      <c r="P1159" s="143"/>
      <c r="Q1159" s="143"/>
      <c r="R1159" s="143"/>
      <c r="S1159" s="143"/>
      <c r="T1159" s="143"/>
      <c r="U1159" s="143"/>
      <c r="V1159" s="143"/>
      <c r="W1159" s="143"/>
      <c r="X1159" s="143"/>
      <c r="Y1159" s="143"/>
      <c r="Z1159" s="143"/>
      <c r="AA1159" s="143"/>
      <c r="AB1159" s="143"/>
      <c r="AC1159" s="143"/>
      <c r="AD1159" s="143"/>
      <c r="AE1159" s="143"/>
      <c r="AF1159" s="143"/>
      <c r="AG1159" s="143"/>
      <c r="AH1159" s="143"/>
      <c r="AI1159" s="143"/>
      <c r="AJ1159" s="143"/>
    </row>
    <row r="1160" spans="1:36" s="144" customFormat="1" ht="21.75" customHeight="1">
      <c r="A1160" s="151"/>
      <c r="B1160" s="219"/>
      <c r="C1160" s="219"/>
      <c r="D1160" s="219"/>
      <c r="E1160" s="225"/>
      <c r="N1160" s="143"/>
      <c r="O1160" s="143"/>
      <c r="P1160" s="143"/>
      <c r="Q1160" s="143"/>
      <c r="R1160" s="143"/>
      <c r="S1160" s="143"/>
      <c r="T1160" s="143"/>
      <c r="U1160" s="143"/>
      <c r="V1160" s="143"/>
      <c r="W1160" s="143"/>
      <c r="X1160" s="143"/>
      <c r="Y1160" s="143"/>
      <c r="Z1160" s="143"/>
      <c r="AA1160" s="143"/>
      <c r="AB1160" s="143"/>
      <c r="AC1160" s="143"/>
      <c r="AD1160" s="143"/>
      <c r="AE1160" s="143"/>
      <c r="AF1160" s="143"/>
      <c r="AG1160" s="143"/>
      <c r="AH1160" s="143"/>
      <c r="AI1160" s="143"/>
      <c r="AJ1160" s="143"/>
    </row>
    <row r="1161" spans="1:36" s="144" customFormat="1" ht="21.75" customHeight="1">
      <c r="A1161" s="151"/>
      <c r="B1161" s="219"/>
      <c r="C1161" s="219"/>
      <c r="D1161" s="219"/>
      <c r="E1161" s="225"/>
      <c r="N1161" s="143"/>
      <c r="O1161" s="143"/>
      <c r="P1161" s="143"/>
      <c r="Q1161" s="143"/>
      <c r="R1161" s="143"/>
      <c r="S1161" s="143"/>
      <c r="T1161" s="143"/>
      <c r="U1161" s="143"/>
      <c r="V1161" s="143"/>
      <c r="W1161" s="143"/>
      <c r="X1161" s="143"/>
      <c r="Y1161" s="143"/>
      <c r="Z1161" s="143"/>
      <c r="AA1161" s="143"/>
      <c r="AB1161" s="143"/>
      <c r="AC1161" s="143"/>
      <c r="AD1161" s="143"/>
      <c r="AE1161" s="143"/>
      <c r="AF1161" s="143"/>
      <c r="AG1161" s="143"/>
      <c r="AH1161" s="143"/>
      <c r="AI1161" s="143"/>
      <c r="AJ1161" s="143"/>
    </row>
    <row r="1162" spans="1:36" s="144" customFormat="1" ht="21.75" customHeight="1">
      <c r="A1162" s="151"/>
      <c r="B1162" s="219"/>
      <c r="C1162" s="219"/>
      <c r="D1162" s="219"/>
      <c r="E1162" s="225"/>
      <c r="N1162" s="143"/>
      <c r="O1162" s="143"/>
      <c r="P1162" s="143"/>
      <c r="Q1162" s="143"/>
      <c r="R1162" s="143"/>
      <c r="S1162" s="143"/>
      <c r="T1162" s="143"/>
      <c r="U1162" s="143"/>
      <c r="V1162" s="143"/>
      <c r="W1162" s="143"/>
      <c r="X1162" s="143"/>
      <c r="Y1162" s="143"/>
      <c r="Z1162" s="143"/>
      <c r="AA1162" s="143"/>
      <c r="AB1162" s="143"/>
      <c r="AC1162" s="143"/>
      <c r="AD1162" s="143"/>
      <c r="AE1162" s="143"/>
      <c r="AF1162" s="143"/>
      <c r="AG1162" s="143"/>
      <c r="AH1162" s="143"/>
      <c r="AI1162" s="143"/>
      <c r="AJ1162" s="143"/>
    </row>
    <row r="1163" spans="1:36" s="144" customFormat="1" ht="21.75" customHeight="1">
      <c r="A1163" s="151"/>
      <c r="B1163" s="219"/>
      <c r="C1163" s="219"/>
      <c r="D1163" s="219"/>
      <c r="E1163" s="225"/>
      <c r="N1163" s="143"/>
      <c r="O1163" s="143"/>
      <c r="P1163" s="143"/>
      <c r="Q1163" s="143"/>
      <c r="R1163" s="143"/>
      <c r="S1163" s="143"/>
      <c r="T1163" s="143"/>
      <c r="U1163" s="143"/>
      <c r="V1163" s="143"/>
      <c r="W1163" s="143"/>
      <c r="X1163" s="143"/>
      <c r="Y1163" s="143"/>
      <c r="Z1163" s="143"/>
      <c r="AA1163" s="143"/>
      <c r="AB1163" s="143"/>
      <c r="AC1163" s="143"/>
      <c r="AD1163" s="143"/>
      <c r="AE1163" s="143"/>
      <c r="AF1163" s="143"/>
      <c r="AG1163" s="143"/>
      <c r="AH1163" s="143"/>
      <c r="AI1163" s="143"/>
      <c r="AJ1163" s="143"/>
    </row>
    <row r="1164" spans="1:36" s="144" customFormat="1" ht="21.75" customHeight="1">
      <c r="A1164" s="151"/>
      <c r="B1164" s="219"/>
      <c r="C1164" s="219"/>
      <c r="D1164" s="219"/>
      <c r="E1164" s="225"/>
      <c r="N1164" s="143"/>
      <c r="O1164" s="143"/>
      <c r="P1164" s="143"/>
      <c r="Q1164" s="143"/>
      <c r="R1164" s="143"/>
      <c r="S1164" s="143"/>
      <c r="T1164" s="143"/>
      <c r="U1164" s="143"/>
      <c r="V1164" s="143"/>
      <c r="W1164" s="143"/>
      <c r="X1164" s="143"/>
      <c r="Y1164" s="143"/>
      <c r="Z1164" s="143"/>
      <c r="AA1164" s="143"/>
      <c r="AB1164" s="143"/>
      <c r="AC1164" s="143"/>
      <c r="AD1164" s="143"/>
      <c r="AE1164" s="143"/>
      <c r="AF1164" s="143"/>
      <c r="AG1164" s="143"/>
      <c r="AH1164" s="143"/>
      <c r="AI1164" s="143"/>
      <c r="AJ1164" s="143"/>
    </row>
    <row r="1165" spans="1:36" s="144" customFormat="1" ht="21.75" customHeight="1">
      <c r="A1165" s="151"/>
      <c r="B1165" s="219"/>
      <c r="C1165" s="219"/>
      <c r="D1165" s="219"/>
      <c r="E1165" s="225"/>
      <c r="N1165" s="143"/>
      <c r="O1165" s="143"/>
      <c r="P1165" s="143"/>
      <c r="Q1165" s="143"/>
      <c r="R1165" s="143"/>
      <c r="S1165" s="143"/>
      <c r="T1165" s="143"/>
      <c r="U1165" s="143"/>
      <c r="V1165" s="143"/>
      <c r="W1165" s="143"/>
      <c r="X1165" s="143"/>
      <c r="Y1165" s="143"/>
      <c r="Z1165" s="143"/>
      <c r="AA1165" s="143"/>
      <c r="AB1165" s="143"/>
      <c r="AC1165" s="143"/>
      <c r="AD1165" s="143"/>
      <c r="AE1165" s="143"/>
      <c r="AF1165" s="143"/>
      <c r="AG1165" s="143"/>
      <c r="AH1165" s="143"/>
      <c r="AI1165" s="143"/>
      <c r="AJ1165" s="143"/>
    </row>
    <row r="1166" spans="1:36" s="144" customFormat="1" ht="21.75" customHeight="1">
      <c r="A1166" s="151"/>
      <c r="B1166" s="219"/>
      <c r="C1166" s="219"/>
      <c r="D1166" s="219"/>
      <c r="E1166" s="225"/>
      <c r="N1166" s="143"/>
      <c r="O1166" s="143"/>
      <c r="P1166" s="143"/>
      <c r="Q1166" s="143"/>
      <c r="R1166" s="143"/>
      <c r="S1166" s="143"/>
      <c r="T1166" s="143"/>
      <c r="U1166" s="143"/>
      <c r="V1166" s="143"/>
      <c r="W1166" s="143"/>
      <c r="X1166" s="143"/>
      <c r="Y1166" s="143"/>
      <c r="Z1166" s="143"/>
      <c r="AA1166" s="143"/>
      <c r="AB1166" s="143"/>
      <c r="AC1166" s="143"/>
      <c r="AD1166" s="143"/>
      <c r="AE1166" s="143"/>
      <c r="AF1166" s="143"/>
      <c r="AG1166" s="143"/>
      <c r="AH1166" s="143"/>
      <c r="AI1166" s="143"/>
      <c r="AJ1166" s="143"/>
    </row>
    <row r="1167" spans="1:36" s="144" customFormat="1" ht="21.75" customHeight="1">
      <c r="A1167" s="151"/>
      <c r="B1167" s="219"/>
      <c r="C1167" s="219"/>
      <c r="D1167" s="219"/>
      <c r="E1167" s="225"/>
      <c r="N1167" s="143"/>
      <c r="O1167" s="143"/>
      <c r="P1167" s="143"/>
      <c r="Q1167" s="143"/>
      <c r="R1167" s="143"/>
      <c r="S1167" s="143"/>
      <c r="T1167" s="143"/>
      <c r="U1167" s="143"/>
      <c r="V1167" s="143"/>
      <c r="W1167" s="143"/>
      <c r="X1167" s="143"/>
      <c r="Y1167" s="143"/>
      <c r="Z1167" s="143"/>
      <c r="AA1167" s="143"/>
      <c r="AB1167" s="143"/>
      <c r="AC1167" s="143"/>
      <c r="AD1167" s="143"/>
      <c r="AE1167" s="143"/>
      <c r="AF1167" s="143"/>
      <c r="AG1167" s="143"/>
      <c r="AH1167" s="143"/>
      <c r="AI1167" s="143"/>
      <c r="AJ1167" s="143"/>
    </row>
    <row r="1168" spans="1:36" s="144" customFormat="1" ht="21.75" customHeight="1">
      <c r="A1168" s="151"/>
      <c r="B1168" s="219"/>
      <c r="C1168" s="219"/>
      <c r="D1168" s="219"/>
      <c r="E1168" s="225"/>
      <c r="N1168" s="143"/>
      <c r="O1168" s="143"/>
      <c r="P1168" s="143"/>
      <c r="Q1168" s="143"/>
      <c r="R1168" s="143"/>
      <c r="S1168" s="143"/>
      <c r="T1168" s="143"/>
      <c r="U1168" s="143"/>
      <c r="V1168" s="143"/>
      <c r="W1168" s="143"/>
      <c r="X1168" s="143"/>
      <c r="Y1168" s="143"/>
      <c r="Z1168" s="143"/>
      <c r="AA1168" s="143"/>
      <c r="AB1168" s="143"/>
      <c r="AC1168" s="143"/>
      <c r="AD1168" s="143"/>
      <c r="AE1168" s="143"/>
      <c r="AF1168" s="143"/>
      <c r="AG1168" s="143"/>
      <c r="AH1168" s="143"/>
      <c r="AI1168" s="143"/>
      <c r="AJ1168" s="143"/>
    </row>
    <row r="1169" spans="1:36" s="144" customFormat="1" ht="21.75" customHeight="1">
      <c r="A1169" s="151"/>
      <c r="B1169" s="219"/>
      <c r="C1169" s="219"/>
      <c r="D1169" s="219"/>
      <c r="E1169" s="225"/>
      <c r="N1169" s="143"/>
      <c r="O1169" s="143"/>
      <c r="P1169" s="143"/>
      <c r="Q1169" s="143"/>
      <c r="R1169" s="143"/>
      <c r="S1169" s="143"/>
      <c r="T1169" s="143"/>
      <c r="U1169" s="143"/>
      <c r="V1169" s="143"/>
      <c r="W1169" s="143"/>
      <c r="X1169" s="143"/>
      <c r="Y1169" s="143"/>
      <c r="Z1169" s="143"/>
      <c r="AA1169" s="143"/>
      <c r="AB1169" s="143"/>
      <c r="AC1169" s="143"/>
      <c r="AD1169" s="143"/>
      <c r="AE1169" s="143"/>
      <c r="AF1169" s="143"/>
      <c r="AG1169" s="143"/>
      <c r="AH1169" s="143"/>
      <c r="AI1169" s="143"/>
      <c r="AJ1169" s="143"/>
    </row>
    <row r="1170" spans="1:36" s="144" customFormat="1" ht="21.75" customHeight="1">
      <c r="A1170" s="151"/>
      <c r="B1170" s="219"/>
      <c r="C1170" s="219"/>
      <c r="D1170" s="219"/>
      <c r="E1170" s="225"/>
      <c r="N1170" s="143"/>
      <c r="O1170" s="143"/>
      <c r="P1170" s="143"/>
      <c r="Q1170" s="143"/>
      <c r="R1170" s="143"/>
      <c r="S1170" s="143"/>
      <c r="T1170" s="143"/>
      <c r="U1170" s="143"/>
      <c r="V1170" s="143"/>
      <c r="W1170" s="143"/>
      <c r="X1170" s="143"/>
      <c r="Y1170" s="143"/>
      <c r="Z1170" s="143"/>
      <c r="AA1170" s="143"/>
      <c r="AB1170" s="143"/>
      <c r="AC1170" s="143"/>
      <c r="AD1170" s="143"/>
      <c r="AE1170" s="143"/>
      <c r="AF1170" s="143"/>
      <c r="AG1170" s="143"/>
      <c r="AH1170" s="143"/>
      <c r="AI1170" s="143"/>
      <c r="AJ1170" s="143"/>
    </row>
    <row r="1171" spans="1:36" s="144" customFormat="1" ht="21.75" customHeight="1">
      <c r="A1171" s="151"/>
      <c r="B1171" s="219"/>
      <c r="C1171" s="219"/>
      <c r="D1171" s="219"/>
      <c r="E1171" s="225"/>
      <c r="N1171" s="143"/>
      <c r="O1171" s="143"/>
      <c r="P1171" s="143"/>
      <c r="Q1171" s="143"/>
      <c r="R1171" s="143"/>
      <c r="S1171" s="143"/>
      <c r="T1171" s="143"/>
      <c r="U1171" s="143"/>
      <c r="V1171" s="143"/>
      <c r="W1171" s="143"/>
      <c r="X1171" s="143"/>
      <c r="Y1171" s="143"/>
      <c r="Z1171" s="143"/>
      <c r="AA1171" s="143"/>
      <c r="AB1171" s="143"/>
      <c r="AC1171" s="143"/>
      <c r="AD1171" s="143"/>
      <c r="AE1171" s="143"/>
      <c r="AF1171" s="143"/>
      <c r="AG1171" s="143"/>
      <c r="AH1171" s="143"/>
      <c r="AI1171" s="143"/>
      <c r="AJ1171" s="143"/>
    </row>
    <row r="1172" spans="1:36" s="144" customFormat="1" ht="21.75" customHeight="1">
      <c r="A1172" s="151"/>
      <c r="B1172" s="219"/>
      <c r="C1172" s="219"/>
      <c r="D1172" s="219"/>
      <c r="E1172" s="225"/>
      <c r="N1172" s="143"/>
      <c r="O1172" s="143"/>
      <c r="P1172" s="143"/>
      <c r="Q1172" s="143"/>
      <c r="R1172" s="143"/>
      <c r="S1172" s="143"/>
      <c r="T1172" s="143"/>
      <c r="U1172" s="143"/>
      <c r="V1172" s="143"/>
      <c r="W1172" s="143"/>
      <c r="X1172" s="143"/>
      <c r="Y1172" s="143"/>
      <c r="Z1172" s="143"/>
      <c r="AA1172" s="143"/>
      <c r="AB1172" s="143"/>
      <c r="AC1172" s="143"/>
      <c r="AD1172" s="143"/>
      <c r="AE1172" s="143"/>
      <c r="AF1172" s="143"/>
      <c r="AG1172" s="143"/>
      <c r="AH1172" s="143"/>
      <c r="AI1172" s="143"/>
      <c r="AJ1172" s="143"/>
    </row>
    <row r="1173" spans="1:36" s="144" customFormat="1" ht="21.75" customHeight="1">
      <c r="A1173" s="151"/>
      <c r="B1173" s="219"/>
      <c r="C1173" s="219"/>
      <c r="D1173" s="219"/>
      <c r="E1173" s="225"/>
      <c r="N1173" s="143"/>
      <c r="O1173" s="143"/>
      <c r="P1173" s="143"/>
      <c r="Q1173" s="143"/>
      <c r="R1173" s="143"/>
      <c r="S1173" s="143"/>
      <c r="T1173" s="143"/>
      <c r="U1173" s="143"/>
      <c r="V1173" s="143"/>
      <c r="W1173" s="143"/>
      <c r="X1173" s="143"/>
      <c r="Y1173" s="143"/>
      <c r="Z1173" s="143"/>
      <c r="AA1173" s="143"/>
      <c r="AB1173" s="143"/>
      <c r="AC1173" s="143"/>
      <c r="AD1173" s="143"/>
      <c r="AE1173" s="143"/>
      <c r="AF1173" s="143"/>
      <c r="AG1173" s="143"/>
      <c r="AH1173" s="143"/>
      <c r="AI1173" s="143"/>
      <c r="AJ1173" s="143"/>
    </row>
    <row r="1174" spans="1:36" s="144" customFormat="1" ht="21.75" customHeight="1">
      <c r="A1174" s="151"/>
      <c r="B1174" s="219"/>
      <c r="C1174" s="219"/>
      <c r="D1174" s="219"/>
      <c r="E1174" s="225"/>
      <c r="N1174" s="143"/>
      <c r="O1174" s="143"/>
      <c r="P1174" s="143"/>
      <c r="Q1174" s="143"/>
      <c r="R1174" s="143"/>
      <c r="S1174" s="143"/>
      <c r="T1174" s="143"/>
      <c r="U1174" s="143"/>
      <c r="V1174" s="143"/>
      <c r="W1174" s="143"/>
      <c r="X1174" s="143"/>
      <c r="Y1174" s="143"/>
      <c r="Z1174" s="143"/>
      <c r="AA1174" s="143"/>
      <c r="AB1174" s="143"/>
      <c r="AC1174" s="143"/>
      <c r="AD1174" s="143"/>
      <c r="AE1174" s="143"/>
      <c r="AF1174" s="143"/>
      <c r="AG1174" s="143"/>
      <c r="AH1174" s="143"/>
      <c r="AI1174" s="143"/>
      <c r="AJ1174" s="143"/>
    </row>
    <row r="1175" spans="1:36" s="144" customFormat="1" ht="21.75" customHeight="1">
      <c r="A1175" s="151"/>
      <c r="B1175" s="219"/>
      <c r="C1175" s="219"/>
      <c r="D1175" s="219"/>
      <c r="E1175" s="225"/>
      <c r="N1175" s="143"/>
      <c r="O1175" s="143"/>
      <c r="P1175" s="143"/>
      <c r="Q1175" s="143"/>
      <c r="R1175" s="143"/>
      <c r="S1175" s="143"/>
      <c r="T1175" s="143"/>
      <c r="U1175" s="143"/>
      <c r="V1175" s="143"/>
      <c r="W1175" s="143"/>
      <c r="X1175" s="143"/>
      <c r="Y1175" s="143"/>
      <c r="Z1175" s="143"/>
      <c r="AA1175" s="143"/>
      <c r="AB1175" s="143"/>
      <c r="AC1175" s="143"/>
      <c r="AD1175" s="143"/>
      <c r="AE1175" s="143"/>
      <c r="AF1175" s="143"/>
      <c r="AG1175" s="143"/>
      <c r="AH1175" s="143"/>
      <c r="AI1175" s="143"/>
      <c r="AJ1175" s="143"/>
    </row>
    <row r="1176" spans="1:36" s="144" customFormat="1" ht="21.75" customHeight="1">
      <c r="A1176" s="151"/>
      <c r="B1176" s="219"/>
      <c r="C1176" s="219"/>
      <c r="D1176" s="219"/>
      <c r="E1176" s="225"/>
      <c r="N1176" s="143"/>
      <c r="O1176" s="143"/>
      <c r="P1176" s="143"/>
      <c r="Q1176" s="143"/>
      <c r="R1176" s="143"/>
      <c r="S1176" s="143"/>
      <c r="T1176" s="143"/>
      <c r="U1176" s="143"/>
      <c r="V1176" s="143"/>
      <c r="W1176" s="143"/>
      <c r="X1176" s="143"/>
      <c r="Y1176" s="143"/>
      <c r="Z1176" s="143"/>
      <c r="AA1176" s="143"/>
      <c r="AB1176" s="143"/>
      <c r="AC1176" s="143"/>
      <c r="AD1176" s="143"/>
      <c r="AE1176" s="143"/>
      <c r="AF1176" s="143"/>
      <c r="AG1176" s="143"/>
      <c r="AH1176" s="143"/>
      <c r="AI1176" s="143"/>
      <c r="AJ1176" s="143"/>
    </row>
    <row r="1177" spans="1:36" s="144" customFormat="1" ht="21.75" customHeight="1">
      <c r="A1177" s="151"/>
      <c r="B1177" s="219"/>
      <c r="C1177" s="219"/>
      <c r="D1177" s="219"/>
      <c r="E1177" s="225"/>
      <c r="N1177" s="143"/>
      <c r="O1177" s="143"/>
      <c r="P1177" s="143"/>
      <c r="Q1177" s="143"/>
      <c r="R1177" s="143"/>
      <c r="S1177" s="143"/>
      <c r="T1177" s="143"/>
      <c r="U1177" s="143"/>
      <c r="V1177" s="143"/>
      <c r="W1177" s="143"/>
      <c r="X1177" s="143"/>
      <c r="Y1177" s="143"/>
      <c r="Z1177" s="143"/>
      <c r="AA1177" s="143"/>
      <c r="AB1177" s="143"/>
      <c r="AC1177" s="143"/>
      <c r="AD1177" s="143"/>
      <c r="AE1177" s="143"/>
      <c r="AF1177" s="143"/>
      <c r="AG1177" s="143"/>
      <c r="AH1177" s="143"/>
      <c r="AI1177" s="143"/>
      <c r="AJ1177" s="143"/>
    </row>
    <row r="1178" spans="1:36" s="144" customFormat="1" ht="21.75" customHeight="1">
      <c r="A1178" s="151"/>
      <c r="B1178" s="219"/>
      <c r="C1178" s="219"/>
      <c r="D1178" s="219"/>
      <c r="E1178" s="225"/>
      <c r="N1178" s="143"/>
      <c r="O1178" s="143"/>
      <c r="P1178" s="143"/>
      <c r="Q1178" s="143"/>
      <c r="R1178" s="143"/>
      <c r="S1178" s="143"/>
      <c r="T1178" s="143"/>
      <c r="U1178" s="143"/>
      <c r="V1178" s="143"/>
      <c r="W1178" s="143"/>
      <c r="X1178" s="143"/>
      <c r="Y1178" s="143"/>
      <c r="Z1178" s="143"/>
      <c r="AA1178" s="143"/>
      <c r="AB1178" s="143"/>
      <c r="AC1178" s="143"/>
      <c r="AD1178" s="143"/>
      <c r="AE1178" s="143"/>
      <c r="AF1178" s="143"/>
      <c r="AG1178" s="143"/>
      <c r="AH1178" s="143"/>
      <c r="AI1178" s="143"/>
      <c r="AJ1178" s="143"/>
    </row>
    <row r="1179" spans="1:36" s="144" customFormat="1" ht="21.75" customHeight="1">
      <c r="A1179" s="151"/>
      <c r="B1179" s="219"/>
      <c r="C1179" s="219"/>
      <c r="D1179" s="219"/>
      <c r="E1179" s="225"/>
      <c r="N1179" s="143"/>
      <c r="O1179" s="143"/>
      <c r="P1179" s="143"/>
      <c r="Q1179" s="143"/>
      <c r="R1179" s="143"/>
      <c r="S1179" s="143"/>
      <c r="T1179" s="143"/>
      <c r="U1179" s="143"/>
      <c r="V1179" s="143"/>
      <c r="W1179" s="143"/>
      <c r="X1179" s="143"/>
      <c r="Y1179" s="143"/>
      <c r="Z1179" s="143"/>
      <c r="AA1179" s="143"/>
      <c r="AB1179" s="143"/>
      <c r="AC1179" s="143"/>
      <c r="AD1179" s="143"/>
      <c r="AE1179" s="143"/>
      <c r="AF1179" s="143"/>
      <c r="AG1179" s="143"/>
      <c r="AH1179" s="143"/>
      <c r="AI1179" s="143"/>
      <c r="AJ1179" s="143"/>
    </row>
    <row r="1180" spans="1:36" s="144" customFormat="1" ht="21.75" customHeight="1">
      <c r="A1180" s="151"/>
      <c r="B1180" s="219"/>
      <c r="C1180" s="219"/>
      <c r="D1180" s="219"/>
      <c r="E1180" s="225"/>
      <c r="N1180" s="143"/>
      <c r="O1180" s="143"/>
      <c r="P1180" s="143"/>
      <c r="Q1180" s="143"/>
      <c r="R1180" s="143"/>
      <c r="S1180" s="143"/>
      <c r="T1180" s="143"/>
      <c r="U1180" s="143"/>
      <c r="V1180" s="143"/>
      <c r="W1180" s="143"/>
      <c r="X1180" s="143"/>
      <c r="Y1180" s="143"/>
      <c r="Z1180" s="143"/>
      <c r="AA1180" s="143"/>
      <c r="AB1180" s="143"/>
      <c r="AC1180" s="143"/>
      <c r="AD1180" s="143"/>
      <c r="AE1180" s="143"/>
      <c r="AF1180" s="143"/>
      <c r="AG1180" s="143"/>
      <c r="AH1180" s="143"/>
      <c r="AI1180" s="143"/>
      <c r="AJ1180" s="143"/>
    </row>
    <row r="1181" spans="1:36" s="144" customFormat="1" ht="21.75" customHeight="1">
      <c r="A1181" s="151"/>
      <c r="B1181" s="219"/>
      <c r="C1181" s="219"/>
      <c r="D1181" s="219"/>
      <c r="E1181" s="225"/>
      <c r="N1181" s="143"/>
      <c r="O1181" s="143"/>
      <c r="P1181" s="143"/>
      <c r="Q1181" s="143"/>
      <c r="R1181" s="143"/>
      <c r="S1181" s="143"/>
      <c r="T1181" s="143"/>
      <c r="U1181" s="143"/>
      <c r="V1181" s="143"/>
      <c r="W1181" s="143"/>
      <c r="X1181" s="143"/>
      <c r="Y1181" s="143"/>
      <c r="Z1181" s="143"/>
      <c r="AA1181" s="143"/>
      <c r="AB1181" s="143"/>
      <c r="AC1181" s="143"/>
      <c r="AD1181" s="143"/>
      <c r="AE1181" s="143"/>
      <c r="AF1181" s="143"/>
      <c r="AG1181" s="143"/>
      <c r="AH1181" s="143"/>
      <c r="AI1181" s="143"/>
      <c r="AJ1181" s="143"/>
    </row>
    <row r="1182" spans="1:36" s="144" customFormat="1" ht="21.75" customHeight="1">
      <c r="A1182" s="151"/>
      <c r="B1182" s="219"/>
      <c r="C1182" s="219"/>
      <c r="D1182" s="219"/>
      <c r="E1182" s="225"/>
      <c r="N1182" s="143"/>
      <c r="O1182" s="143"/>
      <c r="P1182" s="143"/>
      <c r="Q1182" s="143"/>
      <c r="R1182" s="143"/>
      <c r="S1182" s="143"/>
      <c r="T1182" s="143"/>
      <c r="U1182" s="143"/>
      <c r="V1182" s="143"/>
      <c r="W1182" s="143"/>
      <c r="X1182" s="143"/>
      <c r="Y1182" s="143"/>
      <c r="Z1182" s="143"/>
      <c r="AA1182" s="143"/>
      <c r="AB1182" s="143"/>
      <c r="AC1182" s="143"/>
      <c r="AD1182" s="143"/>
      <c r="AE1182" s="143"/>
      <c r="AF1182" s="143"/>
      <c r="AG1182" s="143"/>
      <c r="AH1182" s="143"/>
      <c r="AI1182" s="143"/>
      <c r="AJ1182" s="143"/>
    </row>
    <row r="1183" spans="1:36" s="144" customFormat="1" ht="21.75" customHeight="1">
      <c r="A1183" s="151"/>
      <c r="B1183" s="219"/>
      <c r="C1183" s="219"/>
      <c r="D1183" s="219"/>
      <c r="E1183" s="225"/>
      <c r="N1183" s="143"/>
      <c r="O1183" s="143"/>
      <c r="P1183" s="143"/>
      <c r="Q1183" s="143"/>
      <c r="R1183" s="143"/>
      <c r="S1183" s="143"/>
      <c r="T1183" s="143"/>
      <c r="U1183" s="143"/>
      <c r="V1183" s="143"/>
      <c r="W1183" s="143"/>
      <c r="X1183" s="143"/>
      <c r="Y1183" s="143"/>
      <c r="Z1183" s="143"/>
      <c r="AA1183" s="143"/>
      <c r="AB1183" s="143"/>
      <c r="AC1183" s="143"/>
      <c r="AD1183" s="143"/>
      <c r="AE1183" s="143"/>
      <c r="AF1183" s="143"/>
      <c r="AG1183" s="143"/>
      <c r="AH1183" s="143"/>
      <c r="AI1183" s="143"/>
      <c r="AJ1183" s="143"/>
    </row>
    <row r="1184" spans="1:36" s="144" customFormat="1" ht="21.75" customHeight="1">
      <c r="A1184" s="151"/>
      <c r="B1184" s="219"/>
      <c r="C1184" s="219"/>
      <c r="D1184" s="219"/>
      <c r="E1184" s="225"/>
      <c r="N1184" s="143"/>
      <c r="O1184" s="143"/>
      <c r="P1184" s="143"/>
      <c r="Q1184" s="143"/>
      <c r="R1184" s="143"/>
      <c r="S1184" s="143"/>
      <c r="T1184" s="143"/>
      <c r="U1184" s="143"/>
      <c r="V1184" s="143"/>
      <c r="W1184" s="143"/>
      <c r="X1184" s="143"/>
      <c r="Y1184" s="143"/>
      <c r="Z1184" s="143"/>
      <c r="AA1184" s="143"/>
      <c r="AB1184" s="143"/>
      <c r="AC1184" s="143"/>
      <c r="AD1184" s="143"/>
      <c r="AE1184" s="143"/>
      <c r="AF1184" s="143"/>
      <c r="AG1184" s="143"/>
      <c r="AH1184" s="143"/>
      <c r="AI1184" s="143"/>
      <c r="AJ1184" s="143"/>
    </row>
    <row r="1185" spans="1:36" s="144" customFormat="1" ht="21.75" customHeight="1">
      <c r="A1185" s="151"/>
      <c r="B1185" s="219"/>
      <c r="C1185" s="219"/>
      <c r="D1185" s="219"/>
      <c r="E1185" s="225"/>
      <c r="N1185" s="143"/>
      <c r="O1185" s="143"/>
      <c r="P1185" s="143"/>
      <c r="Q1185" s="143"/>
      <c r="R1185" s="143"/>
      <c r="S1185" s="143"/>
      <c r="T1185" s="143"/>
      <c r="U1185" s="143"/>
      <c r="V1185" s="143"/>
      <c r="W1185" s="143"/>
      <c r="X1185" s="143"/>
      <c r="Y1185" s="143"/>
      <c r="Z1185" s="143"/>
      <c r="AA1185" s="143"/>
      <c r="AB1185" s="143"/>
      <c r="AC1185" s="143"/>
      <c r="AD1185" s="143"/>
      <c r="AE1185" s="143"/>
      <c r="AF1185" s="143"/>
      <c r="AG1185" s="143"/>
      <c r="AH1185" s="143"/>
      <c r="AI1185" s="143"/>
      <c r="AJ1185" s="143"/>
    </row>
    <row r="1186" spans="1:36" s="144" customFormat="1" ht="21.75" customHeight="1">
      <c r="A1186" s="151"/>
      <c r="B1186" s="219"/>
      <c r="C1186" s="219"/>
      <c r="D1186" s="219"/>
      <c r="E1186" s="225"/>
      <c r="N1186" s="143"/>
      <c r="O1186" s="143"/>
      <c r="P1186" s="143"/>
      <c r="Q1186" s="143"/>
      <c r="R1186" s="143"/>
      <c r="S1186" s="143"/>
      <c r="T1186" s="143"/>
      <c r="U1186" s="143"/>
      <c r="V1186" s="143"/>
      <c r="W1186" s="143"/>
      <c r="X1186" s="143"/>
      <c r="Y1186" s="143"/>
      <c r="Z1186" s="143"/>
      <c r="AA1186" s="143"/>
      <c r="AB1186" s="143"/>
      <c r="AC1186" s="143"/>
      <c r="AD1186" s="143"/>
      <c r="AE1186" s="143"/>
      <c r="AF1186" s="143"/>
      <c r="AG1186" s="143"/>
      <c r="AH1186" s="143"/>
      <c r="AI1186" s="143"/>
      <c r="AJ1186" s="143"/>
    </row>
    <row r="1187" spans="1:36" s="144" customFormat="1" ht="21.75" customHeight="1">
      <c r="A1187" s="151"/>
      <c r="B1187" s="219"/>
      <c r="C1187" s="219"/>
      <c r="D1187" s="219"/>
      <c r="E1187" s="225"/>
      <c r="N1187" s="143"/>
      <c r="O1187" s="143"/>
      <c r="P1187" s="143"/>
      <c r="Q1187" s="143"/>
      <c r="R1187" s="143"/>
      <c r="S1187" s="143"/>
      <c r="T1187" s="143"/>
      <c r="U1187" s="143"/>
      <c r="V1187" s="143"/>
      <c r="W1187" s="143"/>
      <c r="X1187" s="143"/>
      <c r="Y1187" s="143"/>
      <c r="Z1187" s="143"/>
      <c r="AA1187" s="143"/>
      <c r="AB1187" s="143"/>
      <c r="AC1187" s="143"/>
      <c r="AD1187" s="143"/>
      <c r="AE1187" s="143"/>
      <c r="AF1187" s="143"/>
      <c r="AG1187" s="143"/>
      <c r="AH1187" s="143"/>
      <c r="AI1187" s="143"/>
      <c r="AJ1187" s="143"/>
    </row>
    <row r="1188" spans="1:36" s="144" customFormat="1" ht="21.75" customHeight="1">
      <c r="A1188" s="151"/>
      <c r="B1188" s="219"/>
      <c r="C1188" s="219"/>
      <c r="D1188" s="219"/>
      <c r="E1188" s="225"/>
      <c r="N1188" s="143"/>
      <c r="O1188" s="143"/>
      <c r="P1188" s="143"/>
      <c r="Q1188" s="143"/>
      <c r="R1188" s="143"/>
      <c r="S1188" s="143"/>
      <c r="T1188" s="143"/>
      <c r="U1188" s="143"/>
      <c r="V1188" s="143"/>
      <c r="W1188" s="143"/>
      <c r="X1188" s="143"/>
      <c r="Y1188" s="143"/>
      <c r="Z1188" s="143"/>
      <c r="AA1188" s="143"/>
      <c r="AB1188" s="143"/>
      <c r="AC1188" s="143"/>
      <c r="AD1188" s="143"/>
      <c r="AE1188" s="143"/>
      <c r="AF1188" s="143"/>
      <c r="AG1188" s="143"/>
      <c r="AH1188" s="143"/>
      <c r="AI1188" s="143"/>
      <c r="AJ1188" s="143"/>
    </row>
    <row r="1189" spans="1:36" s="144" customFormat="1" ht="21.75" customHeight="1">
      <c r="A1189" s="151"/>
      <c r="B1189" s="219"/>
      <c r="C1189" s="219"/>
      <c r="D1189" s="219"/>
      <c r="E1189" s="225"/>
      <c r="N1189" s="143"/>
      <c r="O1189" s="143"/>
      <c r="P1189" s="143"/>
      <c r="Q1189" s="143"/>
      <c r="R1189" s="143"/>
      <c r="S1189" s="143"/>
      <c r="T1189" s="143"/>
      <c r="U1189" s="143"/>
      <c r="V1189" s="143"/>
      <c r="W1189" s="143"/>
      <c r="X1189" s="143"/>
      <c r="Y1189" s="143"/>
      <c r="Z1189" s="143"/>
      <c r="AA1189" s="143"/>
      <c r="AB1189" s="143"/>
      <c r="AC1189" s="143"/>
      <c r="AD1189" s="143"/>
      <c r="AE1189" s="143"/>
      <c r="AF1189" s="143"/>
      <c r="AG1189" s="143"/>
      <c r="AH1189" s="143"/>
      <c r="AI1189" s="143"/>
      <c r="AJ1189" s="143"/>
    </row>
    <row r="1190" spans="1:36" s="144" customFormat="1" ht="21.75" customHeight="1">
      <c r="A1190" s="151"/>
      <c r="B1190" s="219"/>
      <c r="C1190" s="219"/>
      <c r="D1190" s="219"/>
      <c r="E1190" s="225"/>
      <c r="N1190" s="143"/>
      <c r="O1190" s="143"/>
      <c r="P1190" s="143"/>
      <c r="Q1190" s="143"/>
      <c r="R1190" s="143"/>
      <c r="S1190" s="143"/>
      <c r="T1190" s="143"/>
      <c r="U1190" s="143"/>
      <c r="V1190" s="143"/>
      <c r="W1190" s="143"/>
      <c r="X1190" s="143"/>
      <c r="Y1190" s="143"/>
      <c r="Z1190" s="143"/>
      <c r="AA1190" s="143"/>
      <c r="AB1190" s="143"/>
      <c r="AC1190" s="143"/>
      <c r="AD1190" s="143"/>
      <c r="AE1190" s="143"/>
      <c r="AF1190" s="143"/>
      <c r="AG1190" s="143"/>
      <c r="AH1190" s="143"/>
      <c r="AI1190" s="143"/>
      <c r="AJ1190" s="143"/>
    </row>
    <row r="1191" spans="1:36" s="144" customFormat="1" ht="21.75" customHeight="1">
      <c r="A1191" s="151"/>
      <c r="B1191" s="219"/>
      <c r="C1191" s="219"/>
      <c r="D1191" s="219"/>
      <c r="E1191" s="225"/>
      <c r="N1191" s="143"/>
      <c r="O1191" s="143"/>
      <c r="P1191" s="143"/>
      <c r="Q1191" s="143"/>
      <c r="R1191" s="143"/>
      <c r="S1191" s="143"/>
      <c r="T1191" s="143"/>
      <c r="U1191" s="143"/>
      <c r="V1191" s="143"/>
      <c r="W1191" s="143"/>
      <c r="X1191" s="143"/>
      <c r="Y1191" s="143"/>
      <c r="Z1191" s="143"/>
      <c r="AA1191" s="143"/>
      <c r="AB1191" s="143"/>
      <c r="AC1191" s="143"/>
      <c r="AD1191" s="143"/>
      <c r="AE1191" s="143"/>
      <c r="AF1191" s="143"/>
      <c r="AG1191" s="143"/>
      <c r="AH1191" s="143"/>
      <c r="AI1191" s="143"/>
      <c r="AJ1191" s="143"/>
    </row>
    <row r="1192" spans="1:36" s="144" customFormat="1" ht="21.75" customHeight="1">
      <c r="A1192" s="151"/>
      <c r="B1192" s="219"/>
      <c r="C1192" s="219"/>
      <c r="D1192" s="219"/>
      <c r="E1192" s="225"/>
      <c r="N1192" s="143"/>
      <c r="O1192" s="143"/>
      <c r="P1192" s="143"/>
      <c r="Q1192" s="143"/>
      <c r="R1192" s="143"/>
      <c r="S1192" s="143"/>
      <c r="T1192" s="143"/>
      <c r="U1192" s="143"/>
      <c r="V1192" s="143"/>
      <c r="W1192" s="143"/>
      <c r="X1192" s="143"/>
      <c r="Y1192" s="143"/>
      <c r="Z1192" s="143"/>
      <c r="AA1192" s="143"/>
      <c r="AB1192" s="143"/>
      <c r="AC1192" s="143"/>
      <c r="AD1192" s="143"/>
      <c r="AE1192" s="143"/>
      <c r="AF1192" s="143"/>
      <c r="AG1192" s="143"/>
      <c r="AH1192" s="143"/>
      <c r="AI1192" s="143"/>
      <c r="AJ1192" s="143"/>
    </row>
    <row r="1193" spans="1:36" s="144" customFormat="1" ht="21.75" customHeight="1">
      <c r="A1193" s="151"/>
      <c r="B1193" s="219"/>
      <c r="C1193" s="219"/>
      <c r="D1193" s="219"/>
      <c r="E1193" s="225"/>
      <c r="N1193" s="143"/>
      <c r="O1193" s="143"/>
      <c r="P1193" s="143"/>
      <c r="Q1193" s="143"/>
      <c r="R1193" s="143"/>
      <c r="S1193" s="143"/>
      <c r="T1193" s="143"/>
      <c r="U1193" s="143"/>
      <c r="V1193" s="143"/>
      <c r="W1193" s="143"/>
      <c r="X1193" s="143"/>
      <c r="Y1193" s="143"/>
      <c r="Z1193" s="143"/>
      <c r="AA1193" s="143"/>
      <c r="AB1193" s="143"/>
      <c r="AC1193" s="143"/>
      <c r="AD1193" s="143"/>
      <c r="AE1193" s="143"/>
      <c r="AF1193" s="143"/>
      <c r="AG1193" s="143"/>
      <c r="AH1193" s="143"/>
      <c r="AI1193" s="143"/>
      <c r="AJ1193" s="143"/>
    </row>
    <row r="1194" spans="1:36" s="144" customFormat="1" ht="21.75" customHeight="1">
      <c r="A1194" s="151"/>
      <c r="B1194" s="219"/>
      <c r="C1194" s="219"/>
      <c r="D1194" s="219"/>
      <c r="E1194" s="225"/>
      <c r="N1194" s="143"/>
      <c r="O1194" s="143"/>
      <c r="P1194" s="143"/>
      <c r="Q1194" s="143"/>
      <c r="R1194" s="143"/>
      <c r="S1194" s="143"/>
      <c r="T1194" s="143"/>
      <c r="U1194" s="143"/>
      <c r="V1194" s="143"/>
      <c r="W1194" s="143"/>
      <c r="X1194" s="143"/>
      <c r="Y1194" s="143"/>
      <c r="Z1194" s="143"/>
      <c r="AA1194" s="143"/>
      <c r="AB1194" s="143"/>
      <c r="AC1194" s="143"/>
      <c r="AD1194" s="143"/>
      <c r="AE1194" s="143"/>
      <c r="AF1194" s="143"/>
      <c r="AG1194" s="143"/>
      <c r="AH1194" s="143"/>
      <c r="AI1194" s="143"/>
      <c r="AJ1194" s="143"/>
    </row>
    <row r="1195" spans="1:36" s="144" customFormat="1" ht="21.75" customHeight="1">
      <c r="A1195" s="151"/>
      <c r="B1195" s="219"/>
      <c r="C1195" s="219"/>
      <c r="D1195" s="219"/>
      <c r="E1195" s="225"/>
      <c r="N1195" s="143"/>
      <c r="O1195" s="143"/>
      <c r="P1195" s="143"/>
      <c r="Q1195" s="143"/>
      <c r="R1195" s="143"/>
      <c r="S1195" s="143"/>
      <c r="T1195" s="143"/>
      <c r="U1195" s="143"/>
      <c r="V1195" s="143"/>
      <c r="W1195" s="143"/>
      <c r="X1195" s="143"/>
      <c r="Y1195" s="143"/>
      <c r="Z1195" s="143"/>
      <c r="AA1195" s="143"/>
      <c r="AB1195" s="143"/>
      <c r="AC1195" s="143"/>
      <c r="AD1195" s="143"/>
      <c r="AE1195" s="143"/>
      <c r="AF1195" s="143"/>
      <c r="AG1195" s="143"/>
      <c r="AH1195" s="143"/>
      <c r="AI1195" s="143"/>
      <c r="AJ1195" s="143"/>
    </row>
    <row r="1196" spans="1:36" s="144" customFormat="1" ht="21.75" customHeight="1">
      <c r="A1196" s="151"/>
      <c r="B1196" s="219"/>
      <c r="C1196" s="219"/>
      <c r="D1196" s="219"/>
      <c r="E1196" s="225"/>
      <c r="N1196" s="143"/>
      <c r="O1196" s="143"/>
      <c r="P1196" s="143"/>
      <c r="Q1196" s="143"/>
      <c r="R1196" s="143"/>
      <c r="S1196" s="143"/>
      <c r="T1196" s="143"/>
      <c r="U1196" s="143"/>
      <c r="V1196" s="143"/>
      <c r="W1196" s="143"/>
      <c r="X1196" s="143"/>
      <c r="Y1196" s="143"/>
      <c r="Z1196" s="143"/>
      <c r="AA1196" s="143"/>
      <c r="AB1196" s="143"/>
      <c r="AC1196" s="143"/>
      <c r="AD1196" s="143"/>
      <c r="AE1196" s="143"/>
      <c r="AF1196" s="143"/>
      <c r="AG1196" s="143"/>
      <c r="AH1196" s="143"/>
      <c r="AI1196" s="143"/>
      <c r="AJ1196" s="143"/>
    </row>
    <row r="1197" spans="1:36" s="144" customFormat="1" ht="21.75" customHeight="1">
      <c r="A1197" s="151"/>
      <c r="B1197" s="219"/>
      <c r="C1197" s="219"/>
      <c r="D1197" s="219"/>
      <c r="E1197" s="225"/>
      <c r="N1197" s="143"/>
      <c r="O1197" s="143"/>
      <c r="P1197" s="143"/>
      <c r="Q1197" s="143"/>
      <c r="R1197" s="143"/>
      <c r="S1197" s="143"/>
      <c r="T1197" s="143"/>
      <c r="U1197" s="143"/>
      <c r="V1197" s="143"/>
      <c r="W1197" s="143"/>
      <c r="X1197" s="143"/>
      <c r="Y1197" s="143"/>
      <c r="Z1197" s="143"/>
      <c r="AA1197" s="143"/>
      <c r="AB1197" s="143"/>
      <c r="AC1197" s="143"/>
      <c r="AD1197" s="143"/>
      <c r="AE1197" s="143"/>
      <c r="AF1197" s="143"/>
      <c r="AG1197" s="143"/>
      <c r="AH1197" s="143"/>
      <c r="AI1197" s="143"/>
      <c r="AJ1197" s="143"/>
    </row>
    <row r="1198" spans="1:36" s="144" customFormat="1" ht="21.75" customHeight="1">
      <c r="A1198" s="151"/>
      <c r="B1198" s="219"/>
      <c r="C1198" s="219"/>
      <c r="D1198" s="219"/>
      <c r="E1198" s="225"/>
      <c r="N1198" s="143"/>
      <c r="O1198" s="143"/>
      <c r="P1198" s="143"/>
      <c r="Q1198" s="143"/>
      <c r="R1198" s="143"/>
      <c r="S1198" s="143"/>
      <c r="T1198" s="143"/>
      <c r="U1198" s="143"/>
      <c r="V1198" s="143"/>
      <c r="W1198" s="143"/>
      <c r="X1198" s="143"/>
      <c r="Y1198" s="143"/>
      <c r="Z1198" s="143"/>
      <c r="AA1198" s="143"/>
      <c r="AB1198" s="143"/>
      <c r="AC1198" s="143"/>
      <c r="AD1198" s="143"/>
      <c r="AE1198" s="143"/>
      <c r="AF1198" s="143"/>
      <c r="AG1198" s="143"/>
      <c r="AH1198" s="143"/>
      <c r="AI1198" s="143"/>
      <c r="AJ1198" s="143"/>
    </row>
    <row r="1199" spans="1:36" s="144" customFormat="1" ht="21.75" customHeight="1">
      <c r="A1199" s="151"/>
      <c r="B1199" s="219"/>
      <c r="C1199" s="219"/>
      <c r="D1199" s="219"/>
      <c r="E1199" s="225"/>
      <c r="N1199" s="143"/>
      <c r="O1199" s="143"/>
      <c r="P1199" s="143"/>
      <c r="Q1199" s="143"/>
      <c r="R1199" s="143"/>
      <c r="S1199" s="143"/>
      <c r="T1199" s="143"/>
      <c r="U1199" s="143"/>
      <c r="V1199" s="143"/>
      <c r="W1199" s="143"/>
      <c r="X1199" s="143"/>
      <c r="Y1199" s="143"/>
      <c r="Z1199" s="143"/>
      <c r="AA1199" s="143"/>
      <c r="AB1199" s="143"/>
      <c r="AC1199" s="143"/>
      <c r="AD1199" s="143"/>
      <c r="AE1199" s="143"/>
      <c r="AF1199" s="143"/>
      <c r="AG1199" s="143"/>
      <c r="AH1199" s="143"/>
      <c r="AI1199" s="143"/>
      <c r="AJ1199" s="143"/>
    </row>
    <row r="1200" spans="1:36" s="144" customFormat="1" ht="21.75" customHeight="1">
      <c r="A1200" s="151"/>
      <c r="B1200" s="219"/>
      <c r="C1200" s="219"/>
      <c r="D1200" s="219"/>
      <c r="E1200" s="225"/>
      <c r="N1200" s="143"/>
      <c r="O1200" s="143"/>
      <c r="P1200" s="143"/>
      <c r="Q1200" s="143"/>
      <c r="R1200" s="143"/>
      <c r="S1200" s="143"/>
      <c r="T1200" s="143"/>
      <c r="U1200" s="143"/>
      <c r="V1200" s="143"/>
      <c r="W1200" s="143"/>
      <c r="X1200" s="143"/>
      <c r="Y1200" s="143"/>
      <c r="Z1200" s="143"/>
      <c r="AA1200" s="143"/>
      <c r="AB1200" s="143"/>
      <c r="AC1200" s="143"/>
      <c r="AD1200" s="143"/>
      <c r="AE1200" s="143"/>
      <c r="AF1200" s="143"/>
      <c r="AG1200" s="143"/>
      <c r="AH1200" s="143"/>
      <c r="AI1200" s="143"/>
      <c r="AJ1200" s="143"/>
    </row>
    <row r="1201" spans="1:36" s="144" customFormat="1" ht="21.75" customHeight="1">
      <c r="A1201" s="151"/>
      <c r="B1201" s="219"/>
      <c r="C1201" s="219"/>
      <c r="D1201" s="219"/>
      <c r="E1201" s="225"/>
      <c r="N1201" s="143"/>
      <c r="O1201" s="143"/>
      <c r="P1201" s="143"/>
      <c r="Q1201" s="143"/>
      <c r="R1201" s="143"/>
      <c r="S1201" s="143"/>
      <c r="T1201" s="143"/>
      <c r="U1201" s="143"/>
      <c r="V1201" s="143"/>
      <c r="W1201" s="143"/>
      <c r="X1201" s="143"/>
      <c r="Y1201" s="143"/>
      <c r="Z1201" s="143"/>
      <c r="AA1201" s="143"/>
      <c r="AB1201" s="143"/>
      <c r="AC1201" s="143"/>
      <c r="AD1201" s="143"/>
      <c r="AE1201" s="143"/>
      <c r="AF1201" s="143"/>
      <c r="AG1201" s="143"/>
      <c r="AH1201" s="143"/>
      <c r="AI1201" s="143"/>
      <c r="AJ1201" s="143"/>
    </row>
    <row r="1202" spans="1:36" s="144" customFormat="1" ht="21.75" customHeight="1">
      <c r="A1202" s="151"/>
      <c r="B1202" s="219"/>
      <c r="C1202" s="219"/>
      <c r="D1202" s="219"/>
      <c r="E1202" s="225"/>
      <c r="N1202" s="143"/>
      <c r="O1202" s="143"/>
      <c r="P1202" s="143"/>
      <c r="Q1202" s="143"/>
      <c r="R1202" s="143"/>
      <c r="S1202" s="143"/>
      <c r="T1202" s="143"/>
      <c r="U1202" s="143"/>
      <c r="V1202" s="143"/>
      <c r="W1202" s="143"/>
      <c r="X1202" s="143"/>
      <c r="Y1202" s="143"/>
      <c r="Z1202" s="143"/>
      <c r="AA1202" s="143"/>
      <c r="AB1202" s="143"/>
      <c r="AC1202" s="143"/>
      <c r="AD1202" s="143"/>
      <c r="AE1202" s="143"/>
      <c r="AF1202" s="143"/>
      <c r="AG1202" s="143"/>
      <c r="AH1202" s="143"/>
      <c r="AI1202" s="143"/>
      <c r="AJ1202" s="143"/>
    </row>
    <row r="1203" spans="1:36" s="144" customFormat="1" ht="21.75" customHeight="1">
      <c r="A1203" s="151"/>
      <c r="B1203" s="219"/>
      <c r="C1203" s="219"/>
      <c r="D1203" s="219"/>
      <c r="E1203" s="225"/>
      <c r="N1203" s="143"/>
      <c r="O1203" s="143"/>
      <c r="P1203" s="143"/>
      <c r="Q1203" s="143"/>
      <c r="R1203" s="143"/>
      <c r="S1203" s="143"/>
      <c r="T1203" s="143"/>
      <c r="U1203" s="143"/>
      <c r="V1203" s="143"/>
      <c r="W1203" s="143"/>
      <c r="X1203" s="143"/>
      <c r="Y1203" s="143"/>
      <c r="Z1203" s="143"/>
      <c r="AA1203" s="143"/>
      <c r="AB1203" s="143"/>
      <c r="AC1203" s="143"/>
      <c r="AD1203" s="143"/>
      <c r="AE1203" s="143"/>
      <c r="AF1203" s="143"/>
      <c r="AG1203" s="143"/>
      <c r="AH1203" s="143"/>
      <c r="AI1203" s="143"/>
      <c r="AJ1203" s="143"/>
    </row>
    <row r="1204" spans="1:36" s="144" customFormat="1" ht="21.75" customHeight="1">
      <c r="A1204" s="151"/>
      <c r="B1204" s="219"/>
      <c r="C1204" s="219"/>
      <c r="D1204" s="219"/>
      <c r="E1204" s="225"/>
      <c r="N1204" s="143"/>
      <c r="O1204" s="143"/>
      <c r="P1204" s="143"/>
      <c r="Q1204" s="143"/>
      <c r="R1204" s="143"/>
      <c r="S1204" s="143"/>
      <c r="T1204" s="143"/>
      <c r="U1204" s="143"/>
      <c r="V1204" s="143"/>
      <c r="W1204" s="143"/>
      <c r="X1204" s="143"/>
      <c r="Y1204" s="143"/>
      <c r="Z1204" s="143"/>
      <c r="AA1204" s="143"/>
      <c r="AB1204" s="143"/>
      <c r="AC1204" s="143"/>
      <c r="AD1204" s="143"/>
      <c r="AE1204" s="143"/>
      <c r="AF1204" s="143"/>
      <c r="AG1204" s="143"/>
      <c r="AH1204" s="143"/>
      <c r="AI1204" s="143"/>
      <c r="AJ1204" s="143"/>
    </row>
    <row r="1205" spans="1:36" s="144" customFormat="1" ht="21.75" customHeight="1">
      <c r="A1205" s="151"/>
      <c r="B1205" s="219"/>
      <c r="C1205" s="219"/>
      <c r="D1205" s="219"/>
      <c r="E1205" s="225"/>
      <c r="N1205" s="143"/>
      <c r="O1205" s="143"/>
      <c r="P1205" s="143"/>
      <c r="Q1205" s="143"/>
      <c r="R1205" s="143"/>
      <c r="S1205" s="143"/>
      <c r="T1205" s="143"/>
      <c r="U1205" s="143"/>
      <c r="V1205" s="143"/>
      <c r="W1205" s="143"/>
      <c r="X1205" s="143"/>
      <c r="Y1205" s="143"/>
      <c r="Z1205" s="143"/>
      <c r="AA1205" s="143"/>
      <c r="AB1205" s="143"/>
      <c r="AC1205" s="143"/>
      <c r="AD1205" s="143"/>
      <c r="AE1205" s="143"/>
      <c r="AF1205" s="143"/>
      <c r="AG1205" s="143"/>
      <c r="AH1205" s="143"/>
      <c r="AI1205" s="143"/>
      <c r="AJ1205" s="143"/>
    </row>
    <row r="1206" spans="1:36" s="144" customFormat="1" ht="21.75" customHeight="1">
      <c r="A1206" s="151"/>
      <c r="B1206" s="219"/>
      <c r="C1206" s="219"/>
      <c r="D1206" s="219"/>
      <c r="E1206" s="225"/>
      <c r="N1206" s="143"/>
      <c r="O1206" s="143"/>
      <c r="P1206" s="143"/>
      <c r="Q1206" s="143"/>
      <c r="R1206" s="143"/>
      <c r="S1206" s="143"/>
      <c r="T1206" s="143"/>
      <c r="U1206" s="143"/>
      <c r="V1206" s="143"/>
      <c r="W1206" s="143"/>
      <c r="X1206" s="143"/>
      <c r="Y1206" s="143"/>
      <c r="Z1206" s="143"/>
      <c r="AA1206" s="143"/>
      <c r="AB1206" s="143"/>
      <c r="AC1206" s="143"/>
      <c r="AD1206" s="143"/>
      <c r="AE1206" s="143"/>
      <c r="AF1206" s="143"/>
      <c r="AG1206" s="143"/>
      <c r="AH1206" s="143"/>
      <c r="AI1206" s="143"/>
      <c r="AJ1206" s="143"/>
    </row>
    <row r="1207" spans="1:36" s="144" customFormat="1" ht="21.75" customHeight="1">
      <c r="A1207" s="151"/>
      <c r="B1207" s="219"/>
      <c r="C1207" s="219"/>
      <c r="D1207" s="219"/>
      <c r="E1207" s="225"/>
      <c r="N1207" s="143"/>
      <c r="O1207" s="143"/>
      <c r="P1207" s="143"/>
      <c r="Q1207" s="143"/>
      <c r="R1207" s="143"/>
      <c r="S1207" s="143"/>
      <c r="T1207" s="143"/>
      <c r="U1207" s="143"/>
      <c r="V1207" s="143"/>
      <c r="W1207" s="143"/>
      <c r="X1207" s="143"/>
      <c r="Y1207" s="143"/>
      <c r="Z1207" s="143"/>
      <c r="AA1207" s="143"/>
      <c r="AB1207" s="143"/>
      <c r="AC1207" s="143"/>
      <c r="AD1207" s="143"/>
      <c r="AE1207" s="143"/>
      <c r="AF1207" s="143"/>
      <c r="AG1207" s="143"/>
      <c r="AH1207" s="143"/>
      <c r="AI1207" s="143"/>
      <c r="AJ1207" s="143"/>
    </row>
    <row r="1208" spans="1:36" s="144" customFormat="1" ht="21.75" customHeight="1">
      <c r="A1208" s="151"/>
      <c r="B1208" s="219"/>
      <c r="C1208" s="219"/>
      <c r="D1208" s="219"/>
      <c r="E1208" s="225"/>
      <c r="N1208" s="143"/>
      <c r="O1208" s="143"/>
      <c r="P1208" s="143"/>
      <c r="Q1208" s="143"/>
      <c r="R1208" s="143"/>
      <c r="S1208" s="143"/>
      <c r="T1208" s="143"/>
      <c r="U1208" s="143"/>
      <c r="V1208" s="143"/>
      <c r="W1208" s="143"/>
      <c r="X1208" s="143"/>
      <c r="Y1208" s="143"/>
      <c r="Z1208" s="143"/>
      <c r="AA1208" s="143"/>
      <c r="AB1208" s="143"/>
      <c r="AC1208" s="143"/>
      <c r="AD1208" s="143"/>
      <c r="AE1208" s="143"/>
      <c r="AF1208" s="143"/>
      <c r="AG1208" s="143"/>
      <c r="AH1208" s="143"/>
      <c r="AI1208" s="143"/>
      <c r="AJ1208" s="143"/>
    </row>
    <row r="1209" spans="1:36" s="144" customFormat="1" ht="21.75" customHeight="1">
      <c r="A1209" s="151"/>
      <c r="B1209" s="219"/>
      <c r="C1209" s="219"/>
      <c r="D1209" s="219"/>
      <c r="E1209" s="225"/>
      <c r="N1209" s="143"/>
      <c r="O1209" s="143"/>
      <c r="P1209" s="143"/>
      <c r="Q1209" s="143"/>
      <c r="R1209" s="143"/>
      <c r="S1209" s="143"/>
      <c r="T1209" s="143"/>
      <c r="U1209" s="143"/>
      <c r="V1209" s="143"/>
      <c r="W1209" s="143"/>
      <c r="X1209" s="143"/>
      <c r="Y1209" s="143"/>
      <c r="Z1209" s="143"/>
      <c r="AA1209" s="143"/>
      <c r="AB1209" s="143"/>
      <c r="AC1209" s="143"/>
      <c r="AD1209" s="143"/>
      <c r="AE1209" s="143"/>
      <c r="AF1209" s="143"/>
      <c r="AG1209" s="143"/>
      <c r="AH1209" s="143"/>
      <c r="AI1209" s="143"/>
      <c r="AJ1209" s="143"/>
    </row>
    <row r="1210" spans="1:36" s="144" customFormat="1" ht="21.75" customHeight="1">
      <c r="A1210" s="151"/>
      <c r="B1210" s="219"/>
      <c r="C1210" s="219"/>
      <c r="D1210" s="219"/>
      <c r="E1210" s="225"/>
      <c r="N1210" s="143"/>
      <c r="O1210" s="143"/>
      <c r="P1210" s="143"/>
      <c r="Q1210" s="143"/>
      <c r="R1210" s="143"/>
      <c r="S1210" s="143"/>
      <c r="T1210" s="143"/>
      <c r="U1210" s="143"/>
      <c r="V1210" s="143"/>
      <c r="W1210" s="143"/>
      <c r="X1210" s="143"/>
      <c r="Y1210" s="143"/>
      <c r="Z1210" s="143"/>
      <c r="AA1210" s="143"/>
      <c r="AB1210" s="143"/>
      <c r="AC1210" s="143"/>
      <c r="AD1210" s="143"/>
      <c r="AE1210" s="143"/>
      <c r="AF1210" s="143"/>
      <c r="AG1210" s="143"/>
      <c r="AH1210" s="143"/>
      <c r="AI1210" s="143"/>
      <c r="AJ1210" s="143"/>
    </row>
    <row r="1211" spans="1:36" s="144" customFormat="1" ht="21.75" customHeight="1">
      <c r="A1211" s="151"/>
      <c r="B1211" s="219"/>
      <c r="C1211" s="219"/>
      <c r="D1211" s="219"/>
      <c r="E1211" s="225"/>
      <c r="N1211" s="143"/>
      <c r="O1211" s="143"/>
      <c r="P1211" s="143"/>
      <c r="Q1211" s="143"/>
      <c r="R1211" s="143"/>
      <c r="S1211" s="143"/>
      <c r="T1211" s="143"/>
      <c r="U1211" s="143"/>
      <c r="V1211" s="143"/>
      <c r="W1211" s="143"/>
      <c r="X1211" s="143"/>
      <c r="Y1211" s="143"/>
      <c r="Z1211" s="143"/>
      <c r="AA1211" s="143"/>
      <c r="AB1211" s="143"/>
      <c r="AC1211" s="143"/>
      <c r="AD1211" s="143"/>
      <c r="AE1211" s="143"/>
      <c r="AF1211" s="143"/>
      <c r="AG1211" s="143"/>
      <c r="AH1211" s="143"/>
      <c r="AI1211" s="143"/>
      <c r="AJ1211" s="143"/>
    </row>
    <row r="1212" spans="1:36" s="144" customFormat="1" ht="21.75" customHeight="1">
      <c r="A1212" s="151"/>
      <c r="B1212" s="219"/>
      <c r="C1212" s="219"/>
      <c r="D1212" s="219"/>
      <c r="E1212" s="225"/>
      <c r="N1212" s="143"/>
      <c r="O1212" s="143"/>
      <c r="P1212" s="143"/>
      <c r="Q1212" s="143"/>
      <c r="R1212" s="143"/>
      <c r="S1212" s="143"/>
      <c r="T1212" s="143"/>
      <c r="U1212" s="143"/>
      <c r="V1212" s="143"/>
      <c r="W1212" s="143"/>
      <c r="X1212" s="143"/>
      <c r="Y1212" s="143"/>
      <c r="Z1212" s="143"/>
      <c r="AA1212" s="143"/>
      <c r="AB1212" s="143"/>
      <c r="AC1212" s="143"/>
      <c r="AD1212" s="143"/>
      <c r="AE1212" s="143"/>
      <c r="AF1212" s="143"/>
      <c r="AG1212" s="143"/>
      <c r="AH1212" s="143"/>
      <c r="AI1212" s="143"/>
      <c r="AJ1212" s="143"/>
    </row>
    <row r="1213" spans="1:36" s="144" customFormat="1" ht="21.75" customHeight="1">
      <c r="A1213" s="151"/>
      <c r="B1213" s="219"/>
      <c r="C1213" s="219"/>
      <c r="D1213" s="219"/>
      <c r="E1213" s="225"/>
      <c r="N1213" s="143"/>
      <c r="O1213" s="143"/>
      <c r="P1213" s="143"/>
      <c r="Q1213" s="143"/>
      <c r="R1213" s="143"/>
      <c r="S1213" s="143"/>
      <c r="T1213" s="143"/>
      <c r="U1213" s="143"/>
      <c r="V1213" s="143"/>
      <c r="W1213" s="143"/>
      <c r="X1213" s="143"/>
      <c r="Y1213" s="143"/>
      <c r="Z1213" s="143"/>
      <c r="AA1213" s="143"/>
      <c r="AB1213" s="143"/>
      <c r="AC1213" s="143"/>
      <c r="AD1213" s="143"/>
      <c r="AE1213" s="143"/>
      <c r="AF1213" s="143"/>
      <c r="AG1213" s="143"/>
      <c r="AH1213" s="143"/>
      <c r="AI1213" s="143"/>
      <c r="AJ1213" s="143"/>
    </row>
    <row r="1214" spans="1:36" s="144" customFormat="1" ht="21.75" customHeight="1">
      <c r="A1214" s="151"/>
      <c r="B1214" s="219"/>
      <c r="C1214" s="219"/>
      <c r="D1214" s="219"/>
      <c r="E1214" s="225"/>
      <c r="N1214" s="143"/>
      <c r="O1214" s="143"/>
      <c r="P1214" s="143"/>
      <c r="Q1214" s="143"/>
      <c r="R1214" s="143"/>
      <c r="S1214" s="143"/>
      <c r="T1214" s="143"/>
      <c r="U1214" s="143"/>
      <c r="V1214" s="143"/>
      <c r="W1214" s="143"/>
      <c r="X1214" s="143"/>
      <c r="Y1214" s="143"/>
      <c r="Z1214" s="143"/>
      <c r="AA1214" s="143"/>
      <c r="AB1214" s="143"/>
      <c r="AC1214" s="143"/>
      <c r="AD1214" s="143"/>
      <c r="AE1214" s="143"/>
      <c r="AF1214" s="143"/>
      <c r="AG1214" s="143"/>
      <c r="AH1214" s="143"/>
      <c r="AI1214" s="143"/>
      <c r="AJ1214" s="143"/>
    </row>
    <row r="1215" spans="1:36" s="144" customFormat="1" ht="21.75" customHeight="1">
      <c r="A1215" s="151"/>
      <c r="B1215" s="219"/>
      <c r="C1215" s="219"/>
      <c r="D1215" s="219"/>
      <c r="E1215" s="225"/>
      <c r="N1215" s="143"/>
      <c r="O1215" s="143"/>
      <c r="P1215" s="143"/>
      <c r="Q1215" s="143"/>
      <c r="R1215" s="143"/>
      <c r="S1215" s="143"/>
      <c r="T1215" s="143"/>
      <c r="U1215" s="143"/>
      <c r="V1215" s="143"/>
      <c r="W1215" s="143"/>
      <c r="X1215" s="143"/>
      <c r="Y1215" s="143"/>
      <c r="Z1215" s="143"/>
      <c r="AA1215" s="143"/>
      <c r="AB1215" s="143"/>
      <c r="AC1215" s="143"/>
      <c r="AD1215" s="143"/>
      <c r="AE1215" s="143"/>
      <c r="AF1215" s="143"/>
      <c r="AG1215" s="143"/>
      <c r="AH1215" s="143"/>
      <c r="AI1215" s="143"/>
      <c r="AJ1215" s="143"/>
    </row>
    <row r="1216" spans="1:36" s="144" customFormat="1" ht="21.75" customHeight="1">
      <c r="A1216" s="151"/>
      <c r="B1216" s="219"/>
      <c r="C1216" s="219"/>
      <c r="D1216" s="219"/>
      <c r="E1216" s="225"/>
      <c r="N1216" s="143"/>
      <c r="O1216" s="143"/>
      <c r="P1216" s="143"/>
      <c r="Q1216" s="143"/>
      <c r="R1216" s="143"/>
      <c r="S1216" s="143"/>
      <c r="T1216" s="143"/>
      <c r="U1216" s="143"/>
      <c r="V1216" s="143"/>
      <c r="W1216" s="143"/>
      <c r="X1216" s="143"/>
      <c r="Y1216" s="143"/>
      <c r="Z1216" s="143"/>
      <c r="AA1216" s="143"/>
      <c r="AB1216" s="143"/>
      <c r="AC1216" s="143"/>
      <c r="AD1216" s="143"/>
      <c r="AE1216" s="143"/>
      <c r="AF1216" s="143"/>
      <c r="AG1216" s="143"/>
      <c r="AH1216" s="143"/>
      <c r="AI1216" s="143"/>
      <c r="AJ1216" s="143"/>
    </row>
    <row r="1217" spans="1:36" s="144" customFormat="1" ht="21.75" customHeight="1">
      <c r="A1217" s="151"/>
      <c r="B1217" s="219"/>
      <c r="C1217" s="219"/>
      <c r="D1217" s="219"/>
      <c r="E1217" s="225"/>
      <c r="N1217" s="143"/>
      <c r="O1217" s="143"/>
      <c r="P1217" s="143"/>
      <c r="Q1217" s="143"/>
      <c r="R1217" s="143"/>
      <c r="S1217" s="143"/>
      <c r="T1217" s="143"/>
      <c r="U1217" s="143"/>
      <c r="V1217" s="143"/>
      <c r="W1217" s="143"/>
      <c r="X1217" s="143"/>
      <c r="Y1217" s="143"/>
      <c r="Z1217" s="143"/>
      <c r="AA1217" s="143"/>
      <c r="AB1217" s="143"/>
      <c r="AC1217" s="143"/>
      <c r="AD1217" s="143"/>
      <c r="AE1217" s="143"/>
      <c r="AF1217" s="143"/>
      <c r="AG1217" s="143"/>
      <c r="AH1217" s="143"/>
      <c r="AI1217" s="143"/>
      <c r="AJ1217" s="143"/>
    </row>
    <row r="1218" spans="1:36" s="144" customFormat="1" ht="21.75" customHeight="1">
      <c r="A1218" s="151"/>
      <c r="B1218" s="219"/>
      <c r="C1218" s="219"/>
      <c r="D1218" s="219"/>
      <c r="E1218" s="225"/>
      <c r="N1218" s="143"/>
      <c r="O1218" s="143"/>
      <c r="P1218" s="143"/>
      <c r="Q1218" s="143"/>
      <c r="R1218" s="143"/>
      <c r="S1218" s="143"/>
      <c r="T1218" s="143"/>
      <c r="U1218" s="143"/>
      <c r="V1218" s="143"/>
      <c r="W1218" s="143"/>
      <c r="X1218" s="143"/>
      <c r="Y1218" s="143"/>
      <c r="Z1218" s="143"/>
      <c r="AA1218" s="143"/>
      <c r="AB1218" s="143"/>
      <c r="AC1218" s="143"/>
      <c r="AD1218" s="143"/>
      <c r="AE1218" s="143"/>
      <c r="AF1218" s="143"/>
      <c r="AG1218" s="143"/>
      <c r="AH1218" s="143"/>
      <c r="AI1218" s="143"/>
      <c r="AJ1218" s="143"/>
    </row>
    <row r="1219" spans="1:36" s="144" customFormat="1" ht="21.75" customHeight="1">
      <c r="A1219" s="151"/>
      <c r="B1219" s="219"/>
      <c r="C1219" s="219"/>
      <c r="D1219" s="219"/>
      <c r="E1219" s="225"/>
      <c r="N1219" s="143"/>
      <c r="O1219" s="143"/>
      <c r="P1219" s="143"/>
      <c r="Q1219" s="143"/>
      <c r="R1219" s="143"/>
      <c r="S1219" s="143"/>
      <c r="T1219" s="143"/>
      <c r="U1219" s="143"/>
      <c r="V1219" s="143"/>
      <c r="W1219" s="143"/>
      <c r="X1219" s="143"/>
      <c r="Y1219" s="143"/>
      <c r="Z1219" s="143"/>
      <c r="AA1219" s="143"/>
      <c r="AB1219" s="143"/>
      <c r="AC1219" s="143"/>
      <c r="AD1219" s="143"/>
      <c r="AE1219" s="143"/>
      <c r="AF1219" s="143"/>
      <c r="AG1219" s="143"/>
      <c r="AH1219" s="143"/>
      <c r="AI1219" s="143"/>
      <c r="AJ1219" s="143"/>
    </row>
    <row r="1220" spans="1:36" s="144" customFormat="1" ht="21.75" customHeight="1">
      <c r="A1220" s="151"/>
      <c r="B1220" s="219"/>
      <c r="C1220" s="219"/>
      <c r="D1220" s="219"/>
      <c r="E1220" s="225"/>
      <c r="N1220" s="143"/>
      <c r="O1220" s="143"/>
      <c r="P1220" s="143"/>
      <c r="Q1220" s="143"/>
      <c r="R1220" s="143"/>
      <c r="S1220" s="143"/>
      <c r="T1220" s="143"/>
      <c r="U1220" s="143"/>
      <c r="V1220" s="143"/>
      <c r="W1220" s="143"/>
      <c r="X1220" s="143"/>
      <c r="Y1220" s="143"/>
      <c r="Z1220" s="143"/>
      <c r="AA1220" s="143"/>
      <c r="AB1220" s="143"/>
      <c r="AC1220" s="143"/>
      <c r="AD1220" s="143"/>
      <c r="AE1220" s="143"/>
      <c r="AF1220" s="143"/>
      <c r="AG1220" s="143"/>
      <c r="AH1220" s="143"/>
      <c r="AI1220" s="143"/>
      <c r="AJ1220" s="143"/>
    </row>
    <row r="1221" spans="1:36" s="144" customFormat="1" ht="21.75" customHeight="1">
      <c r="A1221" s="151"/>
      <c r="B1221" s="219"/>
      <c r="C1221" s="219"/>
      <c r="D1221" s="219"/>
      <c r="E1221" s="225"/>
      <c r="N1221" s="143"/>
      <c r="O1221" s="143"/>
      <c r="P1221" s="143"/>
      <c r="Q1221" s="143"/>
      <c r="R1221" s="143"/>
      <c r="S1221" s="143"/>
      <c r="T1221" s="143"/>
      <c r="U1221" s="143"/>
      <c r="V1221" s="143"/>
      <c r="W1221" s="143"/>
      <c r="X1221" s="143"/>
      <c r="Y1221" s="143"/>
      <c r="Z1221" s="143"/>
      <c r="AA1221" s="143"/>
      <c r="AB1221" s="143"/>
      <c r="AC1221" s="143"/>
      <c r="AD1221" s="143"/>
      <c r="AE1221" s="143"/>
      <c r="AF1221" s="143"/>
      <c r="AG1221" s="143"/>
      <c r="AH1221" s="143"/>
      <c r="AI1221" s="143"/>
      <c r="AJ1221" s="143"/>
    </row>
    <row r="1222" spans="1:36" s="144" customFormat="1" ht="21.75" customHeight="1">
      <c r="A1222" s="151"/>
      <c r="B1222" s="219"/>
      <c r="C1222" s="219"/>
      <c r="D1222" s="219"/>
      <c r="E1222" s="225"/>
      <c r="N1222" s="143"/>
      <c r="O1222" s="143"/>
      <c r="P1222" s="143"/>
      <c r="Q1222" s="143"/>
      <c r="R1222" s="143"/>
      <c r="S1222" s="143"/>
      <c r="T1222" s="143"/>
      <c r="U1222" s="143"/>
      <c r="V1222" s="143"/>
      <c r="W1222" s="143"/>
      <c r="X1222" s="143"/>
      <c r="Y1222" s="143"/>
      <c r="Z1222" s="143"/>
      <c r="AA1222" s="143"/>
      <c r="AB1222" s="143"/>
      <c r="AC1222" s="143"/>
      <c r="AD1222" s="143"/>
      <c r="AE1222" s="143"/>
      <c r="AF1222" s="143"/>
      <c r="AG1222" s="143"/>
      <c r="AH1222" s="143"/>
      <c r="AI1222" s="143"/>
      <c r="AJ1222" s="143"/>
    </row>
    <row r="1223" spans="1:36" s="144" customFormat="1" ht="21.75" customHeight="1">
      <c r="A1223" s="151"/>
      <c r="B1223" s="219"/>
      <c r="C1223" s="219"/>
      <c r="D1223" s="219"/>
      <c r="E1223" s="225"/>
      <c r="N1223" s="143"/>
      <c r="O1223" s="143"/>
      <c r="P1223" s="143"/>
      <c r="Q1223" s="143"/>
      <c r="R1223" s="143"/>
      <c r="S1223" s="143"/>
      <c r="T1223" s="143"/>
      <c r="U1223" s="143"/>
      <c r="V1223" s="143"/>
      <c r="W1223" s="143"/>
      <c r="X1223" s="143"/>
      <c r="Y1223" s="143"/>
      <c r="Z1223" s="143"/>
      <c r="AA1223" s="143"/>
      <c r="AB1223" s="143"/>
      <c r="AC1223" s="143"/>
      <c r="AD1223" s="143"/>
      <c r="AE1223" s="143"/>
      <c r="AF1223" s="143"/>
      <c r="AG1223" s="143"/>
      <c r="AH1223" s="143"/>
      <c r="AI1223" s="143"/>
      <c r="AJ1223" s="143"/>
    </row>
    <row r="1224" spans="1:36" s="144" customFormat="1" ht="21.75" customHeight="1">
      <c r="A1224" s="151"/>
      <c r="B1224" s="219"/>
      <c r="C1224" s="219"/>
      <c r="D1224" s="219"/>
      <c r="E1224" s="225"/>
      <c r="N1224" s="143"/>
      <c r="O1224" s="143"/>
      <c r="P1224" s="143"/>
      <c r="Q1224" s="143"/>
      <c r="R1224" s="143"/>
      <c r="S1224" s="143"/>
      <c r="T1224" s="143"/>
      <c r="U1224" s="143"/>
      <c r="V1224" s="143"/>
      <c r="W1224" s="143"/>
      <c r="X1224" s="143"/>
      <c r="Y1224" s="143"/>
      <c r="Z1224" s="143"/>
      <c r="AA1224" s="143"/>
      <c r="AB1224" s="143"/>
      <c r="AC1224" s="143"/>
      <c r="AD1224" s="143"/>
      <c r="AE1224" s="143"/>
      <c r="AF1224" s="143"/>
      <c r="AG1224" s="143"/>
      <c r="AH1224" s="143"/>
      <c r="AI1224" s="143"/>
      <c r="AJ1224" s="143"/>
    </row>
    <row r="1225" spans="1:36" s="144" customFormat="1" ht="21.75" customHeight="1">
      <c r="A1225" s="151"/>
      <c r="B1225" s="219"/>
      <c r="C1225" s="219"/>
      <c r="D1225" s="219"/>
      <c r="E1225" s="225"/>
      <c r="N1225" s="143"/>
      <c r="O1225" s="143"/>
      <c r="P1225" s="143"/>
      <c r="Q1225" s="143"/>
      <c r="R1225" s="143"/>
      <c r="S1225" s="143"/>
      <c r="T1225" s="143"/>
      <c r="U1225" s="143"/>
      <c r="V1225" s="143"/>
      <c r="W1225" s="143"/>
      <c r="X1225" s="143"/>
      <c r="Y1225" s="143"/>
      <c r="Z1225" s="143"/>
      <c r="AA1225" s="143"/>
      <c r="AB1225" s="143"/>
      <c r="AC1225" s="143"/>
      <c r="AD1225" s="143"/>
      <c r="AE1225" s="143"/>
      <c r="AF1225" s="143"/>
      <c r="AG1225" s="143"/>
      <c r="AH1225" s="143"/>
      <c r="AI1225" s="143"/>
      <c r="AJ1225" s="143"/>
    </row>
    <row r="1226" spans="1:36" s="144" customFormat="1" ht="21.75" customHeight="1">
      <c r="A1226" s="151"/>
      <c r="B1226" s="219"/>
      <c r="C1226" s="219"/>
      <c r="D1226" s="219"/>
      <c r="E1226" s="225"/>
      <c r="N1226" s="143"/>
      <c r="O1226" s="143"/>
      <c r="P1226" s="143"/>
      <c r="Q1226" s="143"/>
      <c r="R1226" s="143"/>
      <c r="S1226" s="143"/>
      <c r="T1226" s="143"/>
      <c r="U1226" s="143"/>
      <c r="V1226" s="143"/>
      <c r="W1226" s="143"/>
      <c r="X1226" s="143"/>
      <c r="Y1226" s="143"/>
      <c r="Z1226" s="143"/>
      <c r="AA1226" s="143"/>
      <c r="AB1226" s="143"/>
      <c r="AC1226" s="143"/>
      <c r="AD1226" s="143"/>
      <c r="AE1226" s="143"/>
      <c r="AF1226" s="143"/>
      <c r="AG1226" s="143"/>
      <c r="AH1226" s="143"/>
      <c r="AI1226" s="143"/>
      <c r="AJ1226" s="143"/>
    </row>
    <row r="1227" spans="1:36" s="144" customFormat="1" ht="21.75" customHeight="1">
      <c r="A1227" s="151"/>
      <c r="B1227" s="219"/>
      <c r="C1227" s="219"/>
      <c r="D1227" s="219"/>
      <c r="E1227" s="225"/>
      <c r="N1227" s="143"/>
      <c r="O1227" s="143"/>
      <c r="P1227" s="143"/>
      <c r="Q1227" s="143"/>
      <c r="R1227" s="143"/>
      <c r="S1227" s="143"/>
      <c r="T1227" s="143"/>
      <c r="U1227" s="143"/>
      <c r="V1227" s="143"/>
      <c r="W1227" s="143"/>
      <c r="X1227" s="143"/>
      <c r="Y1227" s="143"/>
      <c r="Z1227" s="143"/>
      <c r="AA1227" s="143"/>
      <c r="AB1227" s="143"/>
      <c r="AC1227" s="143"/>
      <c r="AD1227" s="143"/>
      <c r="AE1227" s="143"/>
      <c r="AF1227" s="143"/>
      <c r="AG1227" s="143"/>
      <c r="AH1227" s="143"/>
      <c r="AI1227" s="143"/>
      <c r="AJ1227" s="143"/>
    </row>
    <row r="1228" spans="1:36" s="144" customFormat="1" ht="21.75" customHeight="1">
      <c r="A1228" s="151"/>
      <c r="B1228" s="219"/>
      <c r="C1228" s="219"/>
      <c r="D1228" s="219"/>
      <c r="E1228" s="225"/>
      <c r="N1228" s="143"/>
      <c r="O1228" s="143"/>
      <c r="P1228" s="143"/>
      <c r="Q1228" s="143"/>
      <c r="R1228" s="143"/>
      <c r="S1228" s="143"/>
      <c r="T1228" s="143"/>
      <c r="U1228" s="143"/>
      <c r="V1228" s="143"/>
      <c r="W1228" s="143"/>
      <c r="X1228" s="143"/>
      <c r="Y1228" s="143"/>
      <c r="Z1228" s="143"/>
      <c r="AA1228" s="143"/>
      <c r="AB1228" s="143"/>
      <c r="AC1228" s="143"/>
      <c r="AD1228" s="143"/>
      <c r="AE1228" s="143"/>
      <c r="AF1228" s="143"/>
      <c r="AG1228" s="143"/>
      <c r="AH1228" s="143"/>
      <c r="AI1228" s="143"/>
      <c r="AJ1228" s="143"/>
    </row>
    <row r="1229" spans="1:36" s="144" customFormat="1" ht="21.75" customHeight="1">
      <c r="A1229" s="151"/>
      <c r="B1229" s="219"/>
      <c r="C1229" s="219"/>
      <c r="D1229" s="219"/>
      <c r="E1229" s="225"/>
      <c r="N1229" s="143"/>
      <c r="O1229" s="143"/>
      <c r="P1229" s="143"/>
      <c r="Q1229" s="143"/>
      <c r="R1229" s="143"/>
      <c r="S1229" s="143"/>
      <c r="T1229" s="143"/>
      <c r="U1229" s="143"/>
      <c r="V1229" s="143"/>
      <c r="W1229" s="143"/>
      <c r="X1229" s="143"/>
      <c r="Y1229" s="143"/>
      <c r="Z1229" s="143"/>
      <c r="AA1229" s="143"/>
      <c r="AB1229" s="143"/>
      <c r="AC1229" s="143"/>
      <c r="AD1229" s="143"/>
      <c r="AE1229" s="143"/>
      <c r="AF1229" s="143"/>
      <c r="AG1229" s="143"/>
      <c r="AH1229" s="143"/>
      <c r="AI1229" s="143"/>
      <c r="AJ1229" s="143"/>
    </row>
    <row r="1230" spans="1:36" s="144" customFormat="1" ht="21.75" customHeight="1">
      <c r="A1230" s="151"/>
      <c r="B1230" s="219"/>
      <c r="C1230" s="219"/>
      <c r="D1230" s="219"/>
      <c r="E1230" s="225"/>
      <c r="N1230" s="143"/>
      <c r="O1230" s="143"/>
      <c r="P1230" s="143"/>
      <c r="Q1230" s="143"/>
      <c r="R1230" s="143"/>
      <c r="S1230" s="143"/>
      <c r="T1230" s="143"/>
      <c r="U1230" s="143"/>
      <c r="V1230" s="143"/>
      <c r="W1230" s="143"/>
      <c r="X1230" s="143"/>
      <c r="Y1230" s="143"/>
      <c r="Z1230" s="143"/>
      <c r="AA1230" s="143"/>
      <c r="AB1230" s="143"/>
      <c r="AC1230" s="143"/>
      <c r="AD1230" s="143"/>
      <c r="AE1230" s="143"/>
      <c r="AF1230" s="143"/>
      <c r="AG1230" s="143"/>
      <c r="AH1230" s="143"/>
      <c r="AI1230" s="143"/>
      <c r="AJ1230" s="143"/>
    </row>
    <row r="1231" spans="1:36" s="144" customFormat="1" ht="21.75" customHeight="1">
      <c r="A1231" s="151"/>
      <c r="B1231" s="219"/>
      <c r="C1231" s="219"/>
      <c r="D1231" s="219"/>
      <c r="E1231" s="225"/>
      <c r="N1231" s="143"/>
      <c r="O1231" s="143"/>
      <c r="P1231" s="143"/>
      <c r="Q1231" s="143"/>
      <c r="R1231" s="143"/>
      <c r="S1231" s="143"/>
      <c r="T1231" s="143"/>
      <c r="U1231" s="143"/>
      <c r="V1231" s="143"/>
      <c r="W1231" s="143"/>
      <c r="X1231" s="143"/>
      <c r="Y1231" s="143"/>
      <c r="Z1231" s="143"/>
      <c r="AA1231" s="143"/>
      <c r="AB1231" s="143"/>
      <c r="AC1231" s="143"/>
      <c r="AD1231" s="143"/>
      <c r="AE1231" s="143"/>
      <c r="AF1231" s="143"/>
      <c r="AG1231" s="143"/>
      <c r="AH1231" s="143"/>
      <c r="AI1231" s="143"/>
      <c r="AJ1231" s="143"/>
    </row>
    <row r="1232" spans="1:36" s="144" customFormat="1" ht="21.75" customHeight="1">
      <c r="A1232" s="151"/>
      <c r="B1232" s="219"/>
      <c r="C1232" s="219"/>
      <c r="D1232" s="219"/>
      <c r="E1232" s="225"/>
      <c r="N1232" s="143"/>
      <c r="O1232" s="143"/>
      <c r="P1232" s="143"/>
      <c r="Q1232" s="143"/>
      <c r="R1232" s="143"/>
      <c r="S1232" s="143"/>
      <c r="T1232" s="143"/>
      <c r="U1232" s="143"/>
      <c r="V1232" s="143"/>
      <c r="W1232" s="143"/>
      <c r="X1232" s="143"/>
      <c r="Y1232" s="143"/>
      <c r="Z1232" s="143"/>
      <c r="AA1232" s="143"/>
      <c r="AB1232" s="143"/>
      <c r="AC1232" s="143"/>
      <c r="AD1232" s="143"/>
      <c r="AE1232" s="143"/>
      <c r="AF1232" s="143"/>
      <c r="AG1232" s="143"/>
      <c r="AH1232" s="143"/>
      <c r="AI1232" s="143"/>
      <c r="AJ1232" s="143"/>
    </row>
    <row r="1233" spans="1:36" s="144" customFormat="1" ht="21.75" customHeight="1">
      <c r="A1233" s="151"/>
      <c r="B1233" s="219"/>
      <c r="C1233" s="219"/>
      <c r="D1233" s="219"/>
      <c r="E1233" s="225"/>
      <c r="N1233" s="143"/>
      <c r="O1233" s="143"/>
      <c r="P1233" s="143"/>
      <c r="Q1233" s="143"/>
      <c r="R1233" s="143"/>
      <c r="S1233" s="143"/>
      <c r="T1233" s="143"/>
      <c r="U1233" s="143"/>
      <c r="V1233" s="143"/>
      <c r="W1233" s="143"/>
      <c r="X1233" s="143"/>
      <c r="Y1233" s="143"/>
      <c r="Z1233" s="143"/>
      <c r="AA1233" s="143"/>
      <c r="AB1233" s="143"/>
      <c r="AC1233" s="143"/>
      <c r="AD1233" s="143"/>
      <c r="AE1233" s="143"/>
      <c r="AF1233" s="143"/>
      <c r="AG1233" s="143"/>
      <c r="AH1233" s="143"/>
      <c r="AI1233" s="143"/>
      <c r="AJ1233" s="143"/>
    </row>
    <row r="1234" spans="1:36" s="144" customFormat="1" ht="21.75" customHeight="1">
      <c r="A1234" s="151"/>
      <c r="B1234" s="219"/>
      <c r="C1234" s="219"/>
      <c r="D1234" s="219"/>
      <c r="E1234" s="225"/>
      <c r="N1234" s="143"/>
      <c r="O1234" s="143"/>
      <c r="P1234" s="143"/>
      <c r="Q1234" s="143"/>
      <c r="R1234" s="143"/>
      <c r="S1234" s="143"/>
      <c r="T1234" s="143"/>
      <c r="U1234" s="143"/>
      <c r="V1234" s="143"/>
      <c r="W1234" s="143"/>
      <c r="X1234" s="143"/>
      <c r="Y1234" s="143"/>
      <c r="Z1234" s="143"/>
      <c r="AA1234" s="143"/>
      <c r="AB1234" s="143"/>
      <c r="AC1234" s="143"/>
      <c r="AD1234" s="143"/>
      <c r="AE1234" s="143"/>
      <c r="AF1234" s="143"/>
      <c r="AG1234" s="143"/>
      <c r="AH1234" s="143"/>
      <c r="AI1234" s="143"/>
      <c r="AJ1234" s="143"/>
    </row>
    <row r="1235" spans="1:36" s="144" customFormat="1" ht="21.75" customHeight="1">
      <c r="A1235" s="151"/>
      <c r="B1235" s="219"/>
      <c r="C1235" s="219"/>
      <c r="D1235" s="219"/>
      <c r="E1235" s="225"/>
      <c r="N1235" s="143"/>
      <c r="O1235" s="143"/>
      <c r="P1235" s="143"/>
      <c r="Q1235" s="143"/>
      <c r="R1235" s="143"/>
      <c r="S1235" s="143"/>
      <c r="T1235" s="143"/>
      <c r="U1235" s="143"/>
      <c r="V1235" s="143"/>
      <c r="W1235" s="143"/>
      <c r="X1235" s="143"/>
      <c r="Y1235" s="143"/>
      <c r="Z1235" s="143"/>
      <c r="AA1235" s="143"/>
      <c r="AB1235" s="143"/>
      <c r="AC1235" s="143"/>
      <c r="AD1235" s="143"/>
      <c r="AE1235" s="143"/>
      <c r="AF1235" s="143"/>
      <c r="AG1235" s="143"/>
      <c r="AH1235" s="143"/>
      <c r="AI1235" s="143"/>
      <c r="AJ1235" s="143"/>
    </row>
    <row r="1236" spans="1:36" s="144" customFormat="1" ht="21.75" customHeight="1">
      <c r="A1236" s="151"/>
      <c r="B1236" s="219"/>
      <c r="C1236" s="219"/>
      <c r="D1236" s="219"/>
      <c r="E1236" s="225"/>
      <c r="N1236" s="143"/>
      <c r="O1236" s="143"/>
      <c r="P1236" s="143"/>
      <c r="Q1236" s="143"/>
      <c r="R1236" s="143"/>
      <c r="S1236" s="143"/>
      <c r="T1236" s="143"/>
      <c r="U1236" s="143"/>
      <c r="V1236" s="143"/>
      <c r="W1236" s="143"/>
      <c r="X1236" s="143"/>
      <c r="Y1236" s="143"/>
      <c r="Z1236" s="143"/>
      <c r="AA1236" s="143"/>
      <c r="AB1236" s="143"/>
      <c r="AC1236" s="143"/>
      <c r="AD1236" s="143"/>
      <c r="AE1236" s="143"/>
      <c r="AF1236" s="143"/>
      <c r="AG1236" s="143"/>
      <c r="AH1236" s="143"/>
      <c r="AI1236" s="143"/>
      <c r="AJ1236" s="143"/>
    </row>
    <row r="1237" spans="1:36" s="144" customFormat="1" ht="21.75" customHeight="1">
      <c r="A1237" s="151"/>
      <c r="B1237" s="219"/>
      <c r="C1237" s="219"/>
      <c r="D1237" s="219"/>
      <c r="E1237" s="225"/>
      <c r="N1237" s="143"/>
      <c r="O1237" s="143"/>
      <c r="P1237" s="143"/>
      <c r="Q1237" s="143"/>
      <c r="R1237" s="143"/>
      <c r="S1237" s="143"/>
      <c r="T1237" s="143"/>
      <c r="U1237" s="143"/>
      <c r="V1237" s="143"/>
      <c r="W1237" s="143"/>
      <c r="X1237" s="143"/>
      <c r="Y1237" s="143"/>
      <c r="Z1237" s="143"/>
      <c r="AA1237" s="143"/>
      <c r="AB1237" s="143"/>
      <c r="AC1237" s="143"/>
      <c r="AD1237" s="143"/>
      <c r="AE1237" s="143"/>
      <c r="AF1237" s="143"/>
      <c r="AG1237" s="143"/>
      <c r="AH1237" s="143"/>
      <c r="AI1237" s="143"/>
      <c r="AJ1237" s="143"/>
    </row>
    <row r="1238" spans="1:36" s="144" customFormat="1" ht="21.75" customHeight="1">
      <c r="A1238" s="151"/>
      <c r="B1238" s="219"/>
      <c r="C1238" s="219"/>
      <c r="D1238" s="219"/>
      <c r="E1238" s="225"/>
      <c r="N1238" s="143"/>
      <c r="O1238" s="143"/>
      <c r="P1238" s="143"/>
      <c r="Q1238" s="143"/>
      <c r="R1238" s="143"/>
      <c r="S1238" s="143"/>
      <c r="T1238" s="143"/>
      <c r="U1238" s="143"/>
      <c r="V1238" s="143"/>
      <c r="W1238" s="143"/>
      <c r="X1238" s="143"/>
      <c r="Y1238" s="143"/>
      <c r="Z1238" s="143"/>
      <c r="AA1238" s="143"/>
      <c r="AB1238" s="143"/>
      <c r="AC1238" s="143"/>
      <c r="AD1238" s="143"/>
      <c r="AE1238" s="143"/>
      <c r="AF1238" s="143"/>
      <c r="AG1238" s="143"/>
      <c r="AH1238" s="143"/>
      <c r="AI1238" s="143"/>
      <c r="AJ1238" s="143"/>
    </row>
    <row r="1239" spans="1:36" s="144" customFormat="1" ht="21.75" customHeight="1">
      <c r="A1239" s="151"/>
      <c r="B1239" s="219"/>
      <c r="C1239" s="219"/>
      <c r="D1239" s="219"/>
      <c r="E1239" s="225"/>
      <c r="N1239" s="143"/>
      <c r="O1239" s="143"/>
      <c r="P1239" s="143"/>
      <c r="Q1239" s="143"/>
      <c r="R1239" s="143"/>
      <c r="S1239" s="143"/>
      <c r="T1239" s="143"/>
      <c r="U1239" s="143"/>
      <c r="V1239" s="143"/>
      <c r="W1239" s="143"/>
      <c r="X1239" s="143"/>
      <c r="Y1239" s="143"/>
      <c r="Z1239" s="143"/>
      <c r="AA1239" s="143"/>
      <c r="AB1239" s="143"/>
      <c r="AC1239" s="143"/>
      <c r="AD1239" s="143"/>
      <c r="AE1239" s="143"/>
      <c r="AF1239" s="143"/>
      <c r="AG1239" s="143"/>
      <c r="AH1239" s="143"/>
      <c r="AI1239" s="143"/>
      <c r="AJ1239" s="143"/>
    </row>
    <row r="1240" spans="1:36" s="144" customFormat="1" ht="21.75" customHeight="1">
      <c r="A1240" s="151"/>
      <c r="B1240" s="219"/>
      <c r="C1240" s="219"/>
      <c r="D1240" s="219"/>
      <c r="E1240" s="225"/>
      <c r="N1240" s="143"/>
      <c r="O1240" s="143"/>
      <c r="P1240" s="143"/>
      <c r="Q1240" s="143"/>
      <c r="R1240" s="143"/>
      <c r="S1240" s="143"/>
      <c r="T1240" s="143"/>
      <c r="U1240" s="143"/>
      <c r="V1240" s="143"/>
      <c r="W1240" s="143"/>
      <c r="X1240" s="143"/>
      <c r="Y1240" s="143"/>
      <c r="Z1240" s="143"/>
      <c r="AA1240" s="143"/>
      <c r="AB1240" s="143"/>
      <c r="AC1240" s="143"/>
      <c r="AD1240" s="143"/>
      <c r="AE1240" s="143"/>
      <c r="AF1240" s="143"/>
      <c r="AG1240" s="143"/>
      <c r="AH1240" s="143"/>
      <c r="AI1240" s="143"/>
      <c r="AJ1240" s="143"/>
    </row>
    <row r="1241" spans="1:36" s="144" customFormat="1" ht="21.75" customHeight="1">
      <c r="A1241" s="151"/>
      <c r="B1241" s="219"/>
      <c r="C1241" s="219"/>
      <c r="D1241" s="219"/>
      <c r="E1241" s="225"/>
      <c r="N1241" s="143"/>
      <c r="O1241" s="143"/>
      <c r="P1241" s="143"/>
      <c r="Q1241" s="143"/>
      <c r="R1241" s="143"/>
      <c r="S1241" s="143"/>
      <c r="T1241" s="143"/>
      <c r="U1241" s="143"/>
      <c r="V1241" s="143"/>
      <c r="W1241" s="143"/>
      <c r="X1241" s="143"/>
      <c r="Y1241" s="143"/>
      <c r="Z1241" s="143"/>
      <c r="AA1241" s="143"/>
      <c r="AB1241" s="143"/>
      <c r="AC1241" s="143"/>
      <c r="AD1241" s="143"/>
      <c r="AE1241" s="143"/>
      <c r="AF1241" s="143"/>
      <c r="AG1241" s="143"/>
      <c r="AH1241" s="143"/>
      <c r="AI1241" s="143"/>
      <c r="AJ1241" s="143"/>
    </row>
    <row r="1242" spans="1:36" s="144" customFormat="1" ht="21.75" customHeight="1">
      <c r="A1242" s="151"/>
      <c r="B1242" s="219"/>
      <c r="C1242" s="219"/>
      <c r="D1242" s="219"/>
      <c r="E1242" s="225"/>
      <c r="N1242" s="143"/>
      <c r="O1242" s="143"/>
      <c r="P1242" s="143"/>
      <c r="Q1242" s="143"/>
      <c r="R1242" s="143"/>
      <c r="S1242" s="143"/>
      <c r="T1242" s="143"/>
      <c r="U1242" s="143"/>
      <c r="V1242" s="143"/>
      <c r="W1242" s="143"/>
      <c r="X1242" s="143"/>
      <c r="Y1242" s="143"/>
      <c r="Z1242" s="143"/>
      <c r="AA1242" s="143"/>
      <c r="AB1242" s="143"/>
      <c r="AC1242" s="143"/>
      <c r="AD1242" s="143"/>
      <c r="AE1242" s="143"/>
      <c r="AF1242" s="143"/>
      <c r="AG1242" s="143"/>
      <c r="AH1242" s="143"/>
      <c r="AI1242" s="143"/>
      <c r="AJ1242" s="143"/>
    </row>
    <row r="1243" spans="1:36" s="144" customFormat="1" ht="21.75" customHeight="1">
      <c r="A1243" s="151"/>
      <c r="B1243" s="219"/>
      <c r="C1243" s="219"/>
      <c r="D1243" s="219"/>
      <c r="E1243" s="225"/>
      <c r="N1243" s="143"/>
      <c r="O1243" s="143"/>
      <c r="P1243" s="143"/>
      <c r="Q1243" s="143"/>
      <c r="R1243" s="143"/>
      <c r="S1243" s="143"/>
      <c r="T1243" s="143"/>
      <c r="U1243" s="143"/>
      <c r="V1243" s="143"/>
      <c r="W1243" s="143"/>
      <c r="X1243" s="143"/>
      <c r="Y1243" s="143"/>
      <c r="Z1243" s="143"/>
      <c r="AA1243" s="143"/>
      <c r="AB1243" s="143"/>
      <c r="AC1243" s="143"/>
      <c r="AD1243" s="143"/>
      <c r="AE1243" s="143"/>
      <c r="AF1243" s="143"/>
      <c r="AG1243" s="143"/>
      <c r="AH1243" s="143"/>
      <c r="AI1243" s="143"/>
      <c r="AJ1243" s="143"/>
    </row>
    <row r="1244" spans="1:36" s="144" customFormat="1" ht="21.75" customHeight="1">
      <c r="A1244" s="151"/>
      <c r="B1244" s="219"/>
      <c r="C1244" s="219"/>
      <c r="D1244" s="219"/>
      <c r="E1244" s="225"/>
      <c r="N1244" s="143"/>
      <c r="O1244" s="143"/>
      <c r="P1244" s="143"/>
      <c r="Q1244" s="143"/>
      <c r="R1244" s="143"/>
      <c r="S1244" s="143"/>
      <c r="T1244" s="143"/>
      <c r="U1244" s="143"/>
      <c r="V1244" s="143"/>
      <c r="W1244" s="143"/>
      <c r="X1244" s="143"/>
      <c r="Y1244" s="143"/>
      <c r="Z1244" s="143"/>
      <c r="AA1244" s="143"/>
      <c r="AB1244" s="143"/>
      <c r="AC1244" s="143"/>
      <c r="AD1244" s="143"/>
      <c r="AE1244" s="143"/>
      <c r="AF1244" s="143"/>
      <c r="AG1244" s="143"/>
      <c r="AH1244" s="143"/>
      <c r="AI1244" s="143"/>
      <c r="AJ1244" s="143"/>
    </row>
    <row r="1245" spans="1:36" s="144" customFormat="1" ht="21.75" customHeight="1">
      <c r="A1245" s="151"/>
      <c r="B1245" s="219"/>
      <c r="C1245" s="219"/>
      <c r="D1245" s="219"/>
      <c r="E1245" s="225"/>
      <c r="N1245" s="143"/>
      <c r="O1245" s="143"/>
      <c r="P1245" s="143"/>
      <c r="Q1245" s="143"/>
      <c r="R1245" s="143"/>
      <c r="S1245" s="143"/>
      <c r="T1245" s="143"/>
      <c r="U1245" s="143"/>
      <c r="V1245" s="143"/>
      <c r="W1245" s="143"/>
      <c r="X1245" s="143"/>
      <c r="Y1245" s="143"/>
      <c r="Z1245" s="143"/>
      <c r="AA1245" s="143"/>
      <c r="AB1245" s="143"/>
      <c r="AC1245" s="143"/>
      <c r="AD1245" s="143"/>
      <c r="AE1245" s="143"/>
      <c r="AF1245" s="143"/>
      <c r="AG1245" s="143"/>
      <c r="AH1245" s="143"/>
      <c r="AI1245" s="143"/>
      <c r="AJ1245" s="143"/>
    </row>
    <row r="1246" spans="1:36" s="144" customFormat="1" ht="21.75" customHeight="1">
      <c r="A1246" s="151"/>
      <c r="B1246" s="219"/>
      <c r="C1246" s="219"/>
      <c r="D1246" s="219"/>
      <c r="E1246" s="225"/>
      <c r="N1246" s="143"/>
      <c r="O1246" s="143"/>
      <c r="P1246" s="143"/>
      <c r="Q1246" s="143"/>
      <c r="R1246" s="143"/>
      <c r="S1246" s="143"/>
      <c r="T1246" s="143"/>
      <c r="U1246" s="143"/>
      <c r="V1246" s="143"/>
      <c r="W1246" s="143"/>
      <c r="X1246" s="143"/>
      <c r="Y1246" s="143"/>
      <c r="Z1246" s="143"/>
      <c r="AA1246" s="143"/>
      <c r="AB1246" s="143"/>
      <c r="AC1246" s="143"/>
      <c r="AD1246" s="143"/>
      <c r="AE1246" s="143"/>
      <c r="AF1246" s="143"/>
      <c r="AG1246" s="143"/>
      <c r="AH1246" s="143"/>
      <c r="AI1246" s="143"/>
      <c r="AJ1246" s="143"/>
    </row>
    <row r="1247" spans="1:36" s="144" customFormat="1" ht="21.75" customHeight="1">
      <c r="A1247" s="151"/>
      <c r="B1247" s="219"/>
      <c r="C1247" s="219"/>
      <c r="D1247" s="219"/>
      <c r="E1247" s="225"/>
      <c r="N1247" s="143"/>
      <c r="O1247" s="143"/>
      <c r="P1247" s="143"/>
      <c r="Q1247" s="143"/>
      <c r="R1247" s="143"/>
      <c r="S1247" s="143"/>
      <c r="T1247" s="143"/>
      <c r="U1247" s="143"/>
      <c r="V1247" s="143"/>
      <c r="W1247" s="143"/>
      <c r="X1247" s="143"/>
      <c r="Y1247" s="143"/>
      <c r="Z1247" s="143"/>
      <c r="AA1247" s="143"/>
      <c r="AB1247" s="143"/>
      <c r="AC1247" s="143"/>
      <c r="AD1247" s="143"/>
      <c r="AE1247" s="143"/>
      <c r="AF1247" s="143"/>
      <c r="AG1247" s="143"/>
      <c r="AH1247" s="143"/>
      <c r="AI1247" s="143"/>
      <c r="AJ1247" s="143"/>
    </row>
    <row r="1248" spans="1:36" s="144" customFormat="1" ht="21.75" customHeight="1">
      <c r="A1248" s="151"/>
      <c r="B1248" s="219"/>
      <c r="C1248" s="219"/>
      <c r="D1248" s="219"/>
      <c r="E1248" s="225"/>
      <c r="N1248" s="143"/>
      <c r="O1248" s="143"/>
      <c r="P1248" s="143"/>
      <c r="Q1248" s="143"/>
      <c r="R1248" s="143"/>
      <c r="S1248" s="143"/>
      <c r="T1248" s="143"/>
      <c r="U1248" s="143"/>
      <c r="V1248" s="143"/>
      <c r="W1248" s="143"/>
      <c r="X1248" s="143"/>
      <c r="Y1248" s="143"/>
      <c r="Z1248" s="143"/>
      <c r="AA1248" s="143"/>
      <c r="AB1248" s="143"/>
      <c r="AC1248" s="143"/>
      <c r="AD1248" s="143"/>
      <c r="AE1248" s="143"/>
      <c r="AF1248" s="143"/>
      <c r="AG1248" s="143"/>
      <c r="AH1248" s="143"/>
      <c r="AI1248" s="143"/>
      <c r="AJ1248" s="143"/>
    </row>
    <row r="1249" spans="1:36" s="144" customFormat="1" ht="21.75" customHeight="1">
      <c r="A1249" s="151"/>
      <c r="B1249" s="219"/>
      <c r="C1249" s="219"/>
      <c r="D1249" s="219"/>
      <c r="E1249" s="225"/>
      <c r="N1249" s="143"/>
      <c r="O1249" s="143"/>
      <c r="P1249" s="143"/>
      <c r="Q1249" s="143"/>
      <c r="R1249" s="143"/>
      <c r="S1249" s="143"/>
      <c r="T1249" s="143"/>
      <c r="U1249" s="143"/>
      <c r="V1249" s="143"/>
      <c r="W1249" s="143"/>
      <c r="X1249" s="143"/>
      <c r="Y1249" s="143"/>
      <c r="Z1249" s="143"/>
      <c r="AA1249" s="143"/>
      <c r="AB1249" s="143"/>
      <c r="AC1249" s="143"/>
      <c r="AD1249" s="143"/>
      <c r="AE1249" s="143"/>
      <c r="AF1249" s="143"/>
      <c r="AG1249" s="143"/>
      <c r="AH1249" s="143"/>
      <c r="AI1249" s="143"/>
      <c r="AJ1249" s="143"/>
    </row>
    <row r="1250" spans="1:36" s="144" customFormat="1" ht="21.75" customHeight="1">
      <c r="A1250" s="151"/>
      <c r="B1250" s="219"/>
      <c r="C1250" s="219"/>
      <c r="D1250" s="219"/>
      <c r="E1250" s="225"/>
      <c r="N1250" s="143"/>
      <c r="O1250" s="143"/>
      <c r="P1250" s="143"/>
      <c r="Q1250" s="143"/>
      <c r="R1250" s="143"/>
      <c r="S1250" s="143"/>
      <c r="T1250" s="143"/>
      <c r="U1250" s="143"/>
      <c r="V1250" s="143"/>
      <c r="W1250" s="143"/>
      <c r="X1250" s="143"/>
      <c r="Y1250" s="143"/>
      <c r="Z1250" s="143"/>
      <c r="AA1250" s="143"/>
      <c r="AB1250" s="143"/>
      <c r="AC1250" s="143"/>
      <c r="AD1250" s="143"/>
      <c r="AE1250" s="143"/>
      <c r="AF1250" s="143"/>
      <c r="AG1250" s="143"/>
      <c r="AH1250" s="143"/>
      <c r="AI1250" s="143"/>
      <c r="AJ1250" s="143"/>
    </row>
    <row r="1251" spans="1:36" s="144" customFormat="1" ht="21.75" customHeight="1">
      <c r="A1251" s="151"/>
      <c r="B1251" s="219"/>
      <c r="C1251" s="219"/>
      <c r="D1251" s="219"/>
      <c r="E1251" s="225"/>
      <c r="N1251" s="143"/>
      <c r="O1251" s="143"/>
      <c r="P1251" s="143"/>
      <c r="Q1251" s="143"/>
      <c r="R1251" s="143"/>
      <c r="S1251" s="143"/>
      <c r="T1251" s="143"/>
      <c r="U1251" s="143"/>
      <c r="V1251" s="143"/>
      <c r="W1251" s="143"/>
      <c r="X1251" s="143"/>
      <c r="Y1251" s="143"/>
      <c r="Z1251" s="143"/>
      <c r="AA1251" s="143"/>
      <c r="AB1251" s="143"/>
      <c r="AC1251" s="143"/>
      <c r="AD1251" s="143"/>
      <c r="AE1251" s="143"/>
      <c r="AF1251" s="143"/>
      <c r="AG1251" s="143"/>
      <c r="AH1251" s="143"/>
      <c r="AI1251" s="143"/>
      <c r="AJ1251" s="143"/>
    </row>
    <row r="1252" spans="1:36" s="144" customFormat="1" ht="21.75" customHeight="1">
      <c r="A1252" s="151"/>
      <c r="B1252" s="219"/>
      <c r="C1252" s="219"/>
      <c r="D1252" s="219"/>
      <c r="E1252" s="225"/>
      <c r="N1252" s="143"/>
      <c r="O1252" s="143"/>
      <c r="P1252" s="143"/>
      <c r="Q1252" s="143"/>
      <c r="R1252" s="143"/>
      <c r="S1252" s="143"/>
      <c r="T1252" s="143"/>
      <c r="U1252" s="143"/>
      <c r="V1252" s="143"/>
      <c r="W1252" s="143"/>
      <c r="X1252" s="143"/>
      <c r="Y1252" s="143"/>
      <c r="Z1252" s="143"/>
      <c r="AA1252" s="143"/>
      <c r="AB1252" s="143"/>
      <c r="AC1252" s="143"/>
      <c r="AD1252" s="143"/>
      <c r="AE1252" s="143"/>
      <c r="AF1252" s="143"/>
      <c r="AG1252" s="143"/>
      <c r="AH1252" s="143"/>
      <c r="AI1252" s="143"/>
      <c r="AJ1252" s="143"/>
    </row>
    <row r="1253" spans="1:36" s="144" customFormat="1" ht="21.75" customHeight="1">
      <c r="A1253" s="151"/>
      <c r="B1253" s="219"/>
      <c r="C1253" s="219"/>
      <c r="D1253" s="219"/>
      <c r="E1253" s="225"/>
      <c r="N1253" s="143"/>
      <c r="O1253" s="143"/>
      <c r="P1253" s="143"/>
      <c r="Q1253" s="143"/>
      <c r="R1253" s="143"/>
      <c r="S1253" s="143"/>
      <c r="T1253" s="143"/>
      <c r="U1253" s="143"/>
      <c r="V1253" s="143"/>
      <c r="W1253" s="143"/>
      <c r="X1253" s="143"/>
      <c r="Y1253" s="143"/>
      <c r="Z1253" s="143"/>
      <c r="AA1253" s="143"/>
      <c r="AB1253" s="143"/>
      <c r="AC1253" s="143"/>
      <c r="AD1253" s="143"/>
      <c r="AE1253" s="143"/>
      <c r="AF1253" s="143"/>
      <c r="AG1253" s="143"/>
      <c r="AH1253" s="143"/>
      <c r="AI1253" s="143"/>
      <c r="AJ1253" s="143"/>
    </row>
    <row r="1254" spans="1:36" s="144" customFormat="1" ht="21.75" customHeight="1">
      <c r="A1254" s="151"/>
      <c r="B1254" s="219"/>
      <c r="C1254" s="219"/>
      <c r="D1254" s="219"/>
      <c r="E1254" s="225"/>
      <c r="N1254" s="143"/>
      <c r="O1254" s="143"/>
      <c r="P1254" s="143"/>
      <c r="Q1254" s="143"/>
      <c r="R1254" s="143"/>
      <c r="S1254" s="143"/>
      <c r="T1254" s="143"/>
      <c r="U1254" s="143"/>
      <c r="V1254" s="143"/>
      <c r="W1254" s="143"/>
      <c r="X1254" s="143"/>
      <c r="Y1254" s="143"/>
      <c r="Z1254" s="143"/>
      <c r="AA1254" s="143"/>
      <c r="AB1254" s="143"/>
      <c r="AC1254" s="143"/>
      <c r="AD1254" s="143"/>
      <c r="AE1254" s="143"/>
      <c r="AF1254" s="143"/>
      <c r="AG1254" s="143"/>
      <c r="AH1254" s="143"/>
      <c r="AI1254" s="143"/>
      <c r="AJ1254" s="143"/>
    </row>
    <row r="1255" spans="1:36" s="144" customFormat="1" ht="21.75" customHeight="1">
      <c r="A1255" s="151"/>
      <c r="B1255" s="219"/>
      <c r="C1255" s="219"/>
      <c r="D1255" s="219"/>
      <c r="E1255" s="225"/>
      <c r="N1255" s="143"/>
      <c r="O1255" s="143"/>
      <c r="P1255" s="143"/>
      <c r="Q1255" s="143"/>
      <c r="R1255" s="143"/>
      <c r="S1255" s="143"/>
      <c r="T1255" s="143"/>
      <c r="U1255" s="143"/>
      <c r="V1255" s="143"/>
      <c r="W1255" s="143"/>
      <c r="X1255" s="143"/>
      <c r="Y1255" s="143"/>
      <c r="Z1255" s="143"/>
      <c r="AA1255" s="143"/>
      <c r="AB1255" s="143"/>
      <c r="AC1255" s="143"/>
      <c r="AD1255" s="143"/>
      <c r="AE1255" s="143"/>
      <c r="AF1255" s="143"/>
      <c r="AG1255" s="143"/>
      <c r="AH1255" s="143"/>
      <c r="AI1255" s="143"/>
      <c r="AJ1255" s="143"/>
    </row>
    <row r="1256" spans="1:36" s="144" customFormat="1" ht="21.75" customHeight="1">
      <c r="A1256" s="151"/>
      <c r="B1256" s="219"/>
      <c r="C1256" s="219"/>
      <c r="D1256" s="219"/>
      <c r="E1256" s="225"/>
      <c r="N1256" s="143"/>
      <c r="O1256" s="143"/>
      <c r="P1256" s="143"/>
      <c r="Q1256" s="143"/>
      <c r="R1256" s="143"/>
      <c r="S1256" s="143"/>
      <c r="T1256" s="143"/>
      <c r="U1256" s="143"/>
      <c r="V1256" s="143"/>
      <c r="W1256" s="143"/>
      <c r="X1256" s="143"/>
      <c r="Y1256" s="143"/>
      <c r="Z1256" s="143"/>
      <c r="AA1256" s="143"/>
      <c r="AB1256" s="143"/>
      <c r="AC1256" s="143"/>
      <c r="AD1256" s="143"/>
      <c r="AE1256" s="143"/>
      <c r="AF1256" s="143"/>
      <c r="AG1256" s="143"/>
      <c r="AH1256" s="143"/>
      <c r="AI1256" s="143"/>
      <c r="AJ1256" s="143"/>
    </row>
    <row r="1257" spans="1:36" s="144" customFormat="1" ht="21.75" customHeight="1">
      <c r="A1257" s="151"/>
      <c r="B1257" s="219"/>
      <c r="C1257" s="219"/>
      <c r="D1257" s="219"/>
      <c r="E1257" s="225"/>
      <c r="N1257" s="143"/>
      <c r="O1257" s="143"/>
      <c r="P1257" s="143"/>
      <c r="Q1257" s="143"/>
      <c r="R1257" s="143"/>
      <c r="S1257" s="143"/>
      <c r="T1257" s="143"/>
      <c r="U1257" s="143"/>
      <c r="V1257" s="143"/>
      <c r="W1257" s="143"/>
      <c r="X1257" s="143"/>
      <c r="Y1257" s="143"/>
      <c r="Z1257" s="143"/>
      <c r="AA1257" s="143"/>
      <c r="AB1257" s="143"/>
      <c r="AC1257" s="143"/>
      <c r="AD1257" s="143"/>
      <c r="AE1257" s="143"/>
      <c r="AF1257" s="143"/>
      <c r="AG1257" s="143"/>
      <c r="AH1257" s="143"/>
      <c r="AI1257" s="143"/>
      <c r="AJ1257" s="143"/>
    </row>
    <row r="1258" spans="1:36" s="144" customFormat="1" ht="21.75" customHeight="1">
      <c r="A1258" s="151"/>
      <c r="B1258" s="219"/>
      <c r="C1258" s="219"/>
      <c r="D1258" s="219"/>
      <c r="E1258" s="225"/>
      <c r="N1258" s="143"/>
      <c r="O1258" s="143"/>
      <c r="P1258" s="143"/>
      <c r="Q1258" s="143"/>
      <c r="R1258" s="143"/>
      <c r="S1258" s="143"/>
      <c r="T1258" s="143"/>
      <c r="U1258" s="143"/>
      <c r="V1258" s="143"/>
      <c r="W1258" s="143"/>
      <c r="X1258" s="143"/>
      <c r="Y1258" s="143"/>
      <c r="Z1258" s="143"/>
      <c r="AA1258" s="143"/>
      <c r="AB1258" s="143"/>
      <c r="AC1258" s="143"/>
      <c r="AD1258" s="143"/>
      <c r="AE1258" s="143"/>
      <c r="AF1258" s="143"/>
      <c r="AG1258" s="143"/>
      <c r="AH1258" s="143"/>
      <c r="AI1258" s="143"/>
      <c r="AJ1258" s="143"/>
    </row>
    <row r="1259" spans="1:36" s="144" customFormat="1" ht="21.75" customHeight="1">
      <c r="A1259" s="151"/>
      <c r="B1259" s="219"/>
      <c r="C1259" s="219"/>
      <c r="D1259" s="219"/>
      <c r="E1259" s="225"/>
      <c r="N1259" s="143"/>
      <c r="O1259" s="143"/>
      <c r="P1259" s="143"/>
      <c r="Q1259" s="143"/>
      <c r="R1259" s="143"/>
      <c r="S1259" s="143"/>
      <c r="T1259" s="143"/>
      <c r="U1259" s="143"/>
      <c r="V1259" s="143"/>
      <c r="W1259" s="143"/>
      <c r="X1259" s="143"/>
      <c r="Y1259" s="143"/>
      <c r="Z1259" s="143"/>
      <c r="AA1259" s="143"/>
      <c r="AB1259" s="143"/>
      <c r="AC1259" s="143"/>
      <c r="AD1259" s="143"/>
      <c r="AE1259" s="143"/>
      <c r="AF1259" s="143"/>
      <c r="AG1259" s="143"/>
      <c r="AH1259" s="143"/>
      <c r="AI1259" s="143"/>
      <c r="AJ1259" s="143"/>
    </row>
    <row r="1260" spans="1:36" s="144" customFormat="1" ht="21.75" customHeight="1">
      <c r="A1260" s="151"/>
      <c r="B1260" s="219"/>
      <c r="C1260" s="219"/>
      <c r="D1260" s="219"/>
      <c r="E1260" s="225"/>
      <c r="N1260" s="143"/>
      <c r="O1260" s="143"/>
      <c r="P1260" s="143"/>
      <c r="Q1260" s="143"/>
      <c r="R1260" s="143"/>
      <c r="S1260" s="143"/>
      <c r="T1260" s="143"/>
      <c r="U1260" s="143"/>
      <c r="V1260" s="143"/>
      <c r="W1260" s="143"/>
      <c r="X1260" s="143"/>
      <c r="Y1260" s="143"/>
      <c r="Z1260" s="143"/>
      <c r="AA1260" s="143"/>
      <c r="AB1260" s="143"/>
      <c r="AC1260" s="143"/>
      <c r="AD1260" s="143"/>
      <c r="AE1260" s="143"/>
      <c r="AF1260" s="143"/>
      <c r="AG1260" s="143"/>
      <c r="AH1260" s="143"/>
      <c r="AI1260" s="143"/>
      <c r="AJ1260" s="143"/>
    </row>
    <row r="1261" spans="1:36" s="144" customFormat="1" ht="21.75" customHeight="1">
      <c r="A1261" s="151"/>
      <c r="B1261" s="219"/>
      <c r="C1261" s="219"/>
      <c r="D1261" s="219"/>
      <c r="E1261" s="225"/>
      <c r="N1261" s="143"/>
      <c r="O1261" s="143"/>
      <c r="P1261" s="143"/>
      <c r="Q1261" s="143"/>
      <c r="R1261" s="143"/>
      <c r="S1261" s="143"/>
      <c r="T1261" s="143"/>
      <c r="U1261" s="143"/>
      <c r="V1261" s="143"/>
      <c r="W1261" s="143"/>
      <c r="X1261" s="143"/>
      <c r="Y1261" s="143"/>
      <c r="Z1261" s="143"/>
      <c r="AA1261" s="143"/>
      <c r="AB1261" s="143"/>
      <c r="AC1261" s="143"/>
      <c r="AD1261" s="143"/>
      <c r="AE1261" s="143"/>
      <c r="AF1261" s="143"/>
      <c r="AG1261" s="143"/>
      <c r="AH1261" s="143"/>
      <c r="AI1261" s="143"/>
      <c r="AJ1261" s="143"/>
    </row>
    <row r="1262" spans="1:36" s="144" customFormat="1" ht="21.75" customHeight="1">
      <c r="A1262" s="151"/>
      <c r="B1262" s="219"/>
      <c r="C1262" s="219"/>
      <c r="D1262" s="219"/>
      <c r="E1262" s="225"/>
      <c r="N1262" s="143"/>
      <c r="O1262" s="143"/>
      <c r="P1262" s="143"/>
      <c r="Q1262" s="143"/>
      <c r="R1262" s="143"/>
      <c r="S1262" s="143"/>
      <c r="T1262" s="143"/>
      <c r="U1262" s="143"/>
      <c r="V1262" s="143"/>
      <c r="W1262" s="143"/>
      <c r="X1262" s="143"/>
      <c r="Y1262" s="143"/>
      <c r="Z1262" s="143"/>
      <c r="AA1262" s="143"/>
      <c r="AB1262" s="143"/>
      <c r="AC1262" s="143"/>
      <c r="AD1262" s="143"/>
      <c r="AE1262" s="143"/>
      <c r="AF1262" s="143"/>
      <c r="AG1262" s="143"/>
      <c r="AH1262" s="143"/>
      <c r="AI1262" s="143"/>
      <c r="AJ1262" s="143"/>
    </row>
    <row r="1263" spans="1:36" s="144" customFormat="1" ht="21.75" customHeight="1">
      <c r="A1263" s="151"/>
      <c r="B1263" s="219"/>
      <c r="C1263" s="219"/>
      <c r="D1263" s="219"/>
      <c r="E1263" s="225"/>
      <c r="N1263" s="143"/>
      <c r="O1263" s="143"/>
      <c r="P1263" s="143"/>
      <c r="Q1263" s="143"/>
      <c r="R1263" s="143"/>
      <c r="S1263" s="143"/>
      <c r="T1263" s="143"/>
      <c r="U1263" s="143"/>
      <c r="V1263" s="143"/>
      <c r="W1263" s="143"/>
      <c r="X1263" s="143"/>
      <c r="Y1263" s="143"/>
      <c r="Z1263" s="143"/>
      <c r="AA1263" s="143"/>
      <c r="AB1263" s="143"/>
      <c r="AC1263" s="143"/>
      <c r="AD1263" s="143"/>
      <c r="AE1263" s="143"/>
      <c r="AF1263" s="143"/>
      <c r="AG1263" s="143"/>
      <c r="AH1263" s="143"/>
      <c r="AI1263" s="143"/>
      <c r="AJ1263" s="143"/>
    </row>
    <row r="1264" spans="1:36" s="144" customFormat="1" ht="21.75" customHeight="1">
      <c r="A1264" s="151"/>
      <c r="B1264" s="219"/>
      <c r="C1264" s="219"/>
      <c r="D1264" s="219"/>
      <c r="E1264" s="225"/>
      <c r="N1264" s="143"/>
      <c r="O1264" s="143"/>
      <c r="P1264" s="143"/>
      <c r="Q1264" s="143"/>
      <c r="R1264" s="143"/>
      <c r="S1264" s="143"/>
      <c r="T1264" s="143"/>
      <c r="U1264" s="143"/>
      <c r="V1264" s="143"/>
      <c r="W1264" s="143"/>
      <c r="X1264" s="143"/>
      <c r="Y1264" s="143"/>
      <c r="Z1264" s="143"/>
      <c r="AA1264" s="143"/>
      <c r="AB1264" s="143"/>
      <c r="AC1264" s="143"/>
      <c r="AD1264" s="143"/>
      <c r="AE1264" s="143"/>
      <c r="AF1264" s="143"/>
      <c r="AG1264" s="143"/>
      <c r="AH1264" s="143"/>
      <c r="AI1264" s="143"/>
      <c r="AJ1264" s="143"/>
    </row>
    <row r="1265" spans="1:36" s="144" customFormat="1" ht="21.75" customHeight="1">
      <c r="A1265" s="151"/>
      <c r="B1265" s="219"/>
      <c r="C1265" s="219"/>
      <c r="D1265" s="219"/>
      <c r="E1265" s="225"/>
      <c r="N1265" s="143"/>
      <c r="O1265" s="143"/>
      <c r="P1265" s="143"/>
      <c r="Q1265" s="143"/>
      <c r="R1265" s="143"/>
      <c r="S1265" s="143"/>
      <c r="T1265" s="143"/>
      <c r="U1265" s="143"/>
      <c r="V1265" s="143"/>
      <c r="W1265" s="143"/>
      <c r="X1265" s="143"/>
      <c r="Y1265" s="143"/>
      <c r="Z1265" s="143"/>
      <c r="AA1265" s="143"/>
      <c r="AB1265" s="143"/>
      <c r="AC1265" s="143"/>
      <c r="AD1265" s="143"/>
      <c r="AE1265" s="143"/>
      <c r="AF1265" s="143"/>
      <c r="AG1265" s="143"/>
      <c r="AH1265" s="143"/>
      <c r="AI1265" s="143"/>
      <c r="AJ1265" s="143"/>
    </row>
    <row r="1266" spans="1:36" s="144" customFormat="1" ht="21.75" customHeight="1">
      <c r="A1266" s="151"/>
      <c r="B1266" s="219"/>
      <c r="C1266" s="219"/>
      <c r="D1266" s="219"/>
      <c r="E1266" s="225"/>
      <c r="N1266" s="143"/>
      <c r="O1266" s="143"/>
      <c r="P1266" s="143"/>
      <c r="Q1266" s="143"/>
      <c r="R1266" s="143"/>
      <c r="S1266" s="143"/>
      <c r="T1266" s="143"/>
      <c r="U1266" s="143"/>
      <c r="V1266" s="143"/>
      <c r="W1266" s="143"/>
      <c r="X1266" s="143"/>
      <c r="Y1266" s="143"/>
      <c r="Z1266" s="143"/>
      <c r="AA1266" s="143"/>
      <c r="AB1266" s="143"/>
      <c r="AC1266" s="143"/>
      <c r="AD1266" s="143"/>
      <c r="AE1266" s="143"/>
      <c r="AF1266" s="143"/>
      <c r="AG1266" s="143"/>
      <c r="AH1266" s="143"/>
      <c r="AI1266" s="143"/>
      <c r="AJ1266" s="143"/>
    </row>
    <row r="1267" spans="1:36" s="144" customFormat="1" ht="21.75" customHeight="1">
      <c r="A1267" s="151"/>
      <c r="B1267" s="219"/>
      <c r="C1267" s="219"/>
      <c r="D1267" s="219"/>
      <c r="E1267" s="225"/>
      <c r="N1267" s="143"/>
      <c r="O1267" s="143"/>
      <c r="P1267" s="143"/>
      <c r="Q1267" s="143"/>
      <c r="R1267" s="143"/>
      <c r="S1267" s="143"/>
      <c r="T1267" s="143"/>
      <c r="U1267" s="143"/>
      <c r="V1267" s="143"/>
      <c r="W1267" s="143"/>
      <c r="X1267" s="143"/>
      <c r="Y1267" s="143"/>
      <c r="Z1267" s="143"/>
      <c r="AA1267" s="143"/>
      <c r="AB1267" s="143"/>
      <c r="AC1267" s="143"/>
      <c r="AD1267" s="143"/>
      <c r="AE1267" s="143"/>
      <c r="AF1267" s="143"/>
      <c r="AG1267" s="143"/>
      <c r="AH1267" s="143"/>
      <c r="AI1267" s="143"/>
      <c r="AJ1267" s="143"/>
    </row>
    <row r="1268" spans="1:36" s="144" customFormat="1" ht="21.75" customHeight="1">
      <c r="A1268" s="151"/>
      <c r="B1268" s="219"/>
      <c r="C1268" s="219"/>
      <c r="D1268" s="219"/>
      <c r="E1268" s="225"/>
      <c r="N1268" s="143"/>
      <c r="O1268" s="143"/>
      <c r="P1268" s="143"/>
      <c r="Q1268" s="143"/>
      <c r="R1268" s="143"/>
      <c r="S1268" s="143"/>
      <c r="T1268" s="143"/>
      <c r="U1268" s="143"/>
      <c r="V1268" s="143"/>
      <c r="W1268" s="143"/>
      <c r="X1268" s="143"/>
      <c r="Y1268" s="143"/>
      <c r="Z1268" s="143"/>
      <c r="AA1268" s="143"/>
      <c r="AB1268" s="143"/>
      <c r="AC1268" s="143"/>
      <c r="AD1268" s="143"/>
      <c r="AE1268" s="143"/>
      <c r="AF1268" s="143"/>
      <c r="AG1268" s="143"/>
      <c r="AH1268" s="143"/>
      <c r="AI1268" s="143"/>
      <c r="AJ1268" s="143"/>
    </row>
    <row r="1269" spans="1:36" s="144" customFormat="1" ht="21.75" customHeight="1">
      <c r="A1269" s="151"/>
      <c r="B1269" s="219"/>
      <c r="C1269" s="219"/>
      <c r="D1269" s="219"/>
      <c r="E1269" s="225"/>
      <c r="N1269" s="143"/>
      <c r="O1269" s="143"/>
      <c r="P1269" s="143"/>
      <c r="Q1269" s="143"/>
      <c r="R1269" s="143"/>
      <c r="S1269" s="143"/>
      <c r="T1269" s="143"/>
      <c r="U1269" s="143"/>
      <c r="V1269" s="143"/>
      <c r="W1269" s="143"/>
      <c r="X1269" s="143"/>
      <c r="Y1269" s="143"/>
      <c r="Z1269" s="143"/>
      <c r="AA1269" s="143"/>
      <c r="AB1269" s="143"/>
      <c r="AC1269" s="143"/>
      <c r="AD1269" s="143"/>
      <c r="AE1269" s="143"/>
      <c r="AF1269" s="143"/>
      <c r="AG1269" s="143"/>
      <c r="AH1269" s="143"/>
      <c r="AI1269" s="143"/>
      <c r="AJ1269" s="143"/>
    </row>
    <row r="1270" spans="1:36" s="144" customFormat="1" ht="21.75" customHeight="1">
      <c r="A1270" s="151"/>
      <c r="B1270" s="219"/>
      <c r="C1270" s="219"/>
      <c r="D1270" s="219"/>
      <c r="E1270" s="225"/>
      <c r="N1270" s="143"/>
      <c r="O1270" s="143"/>
      <c r="P1270" s="143"/>
      <c r="Q1270" s="143"/>
      <c r="R1270" s="143"/>
      <c r="S1270" s="143"/>
      <c r="T1270" s="143"/>
      <c r="U1270" s="143"/>
      <c r="V1270" s="143"/>
      <c r="W1270" s="143"/>
      <c r="X1270" s="143"/>
      <c r="Y1270" s="143"/>
      <c r="Z1270" s="143"/>
      <c r="AA1270" s="143"/>
      <c r="AB1270" s="143"/>
      <c r="AC1270" s="143"/>
      <c r="AD1270" s="143"/>
      <c r="AE1270" s="143"/>
      <c r="AF1270" s="143"/>
      <c r="AG1270" s="143"/>
      <c r="AH1270" s="143"/>
      <c r="AI1270" s="143"/>
      <c r="AJ1270" s="143"/>
    </row>
    <row r="1271" spans="1:36" s="144" customFormat="1" ht="21.75" customHeight="1">
      <c r="A1271" s="151"/>
      <c r="B1271" s="219"/>
      <c r="C1271" s="219"/>
      <c r="D1271" s="219"/>
      <c r="E1271" s="225"/>
      <c r="N1271" s="143"/>
      <c r="O1271" s="143"/>
      <c r="P1271" s="143"/>
      <c r="Q1271" s="143"/>
      <c r="R1271" s="143"/>
      <c r="S1271" s="143"/>
      <c r="T1271" s="143"/>
      <c r="U1271" s="143"/>
      <c r="V1271" s="143"/>
      <c r="W1271" s="143"/>
      <c r="X1271" s="143"/>
      <c r="Y1271" s="143"/>
      <c r="Z1271" s="143"/>
      <c r="AA1271" s="143"/>
      <c r="AB1271" s="143"/>
      <c r="AC1271" s="143"/>
      <c r="AD1271" s="143"/>
      <c r="AE1271" s="143"/>
      <c r="AF1271" s="143"/>
      <c r="AG1271" s="143"/>
      <c r="AH1271" s="143"/>
      <c r="AI1271" s="143"/>
      <c r="AJ1271" s="143"/>
    </row>
    <row r="1272" spans="1:36" s="144" customFormat="1" ht="21.75" customHeight="1">
      <c r="A1272" s="151"/>
      <c r="B1272" s="219"/>
      <c r="C1272" s="219"/>
      <c r="D1272" s="219"/>
      <c r="E1272" s="225"/>
      <c r="N1272" s="143"/>
      <c r="O1272" s="143"/>
      <c r="P1272" s="143"/>
      <c r="Q1272" s="143"/>
      <c r="R1272" s="143"/>
      <c r="S1272" s="143"/>
      <c r="T1272" s="143"/>
      <c r="U1272" s="143"/>
      <c r="V1272" s="143"/>
      <c r="W1272" s="143"/>
      <c r="X1272" s="143"/>
      <c r="Y1272" s="143"/>
      <c r="Z1272" s="143"/>
      <c r="AA1272" s="143"/>
      <c r="AB1272" s="143"/>
      <c r="AC1272" s="143"/>
      <c r="AD1272" s="143"/>
      <c r="AE1272" s="143"/>
      <c r="AF1272" s="143"/>
      <c r="AG1272" s="143"/>
      <c r="AH1272" s="143"/>
      <c r="AI1272" s="143"/>
      <c r="AJ1272" s="143"/>
    </row>
    <row r="1273" spans="1:36" s="144" customFormat="1" ht="21.75" customHeight="1">
      <c r="A1273" s="151"/>
      <c r="B1273" s="219"/>
      <c r="C1273" s="219"/>
      <c r="D1273" s="219"/>
      <c r="E1273" s="225"/>
      <c r="N1273" s="143"/>
      <c r="O1273" s="143"/>
      <c r="P1273" s="143"/>
      <c r="Q1273" s="143"/>
      <c r="R1273" s="143"/>
      <c r="S1273" s="143"/>
      <c r="T1273" s="143"/>
      <c r="U1273" s="143"/>
      <c r="V1273" s="143"/>
      <c r="W1273" s="143"/>
      <c r="X1273" s="143"/>
      <c r="Y1273" s="143"/>
      <c r="Z1273" s="143"/>
      <c r="AA1273" s="143"/>
      <c r="AB1273" s="143"/>
      <c r="AC1273" s="143"/>
      <c r="AD1273" s="143"/>
      <c r="AE1273" s="143"/>
      <c r="AF1273" s="143"/>
      <c r="AG1273" s="143"/>
      <c r="AH1273" s="143"/>
      <c r="AI1273" s="143"/>
      <c r="AJ1273" s="143"/>
    </row>
    <row r="1274" spans="1:36" s="144" customFormat="1" ht="21.75" customHeight="1">
      <c r="A1274" s="151"/>
      <c r="B1274" s="219"/>
      <c r="C1274" s="219"/>
      <c r="D1274" s="219"/>
      <c r="E1274" s="225"/>
      <c r="N1274" s="143"/>
      <c r="O1274" s="143"/>
      <c r="P1274" s="143"/>
      <c r="Q1274" s="143"/>
      <c r="R1274" s="143"/>
      <c r="S1274" s="143"/>
      <c r="T1274" s="143"/>
      <c r="U1274" s="143"/>
      <c r="V1274" s="143"/>
      <c r="W1274" s="143"/>
      <c r="X1274" s="143"/>
      <c r="Y1274" s="143"/>
      <c r="Z1274" s="143"/>
      <c r="AA1274" s="143"/>
      <c r="AB1274" s="143"/>
      <c r="AC1274" s="143"/>
      <c r="AD1274" s="143"/>
      <c r="AE1274" s="143"/>
      <c r="AF1274" s="143"/>
      <c r="AG1274" s="143"/>
      <c r="AH1274" s="143"/>
      <c r="AI1274" s="143"/>
      <c r="AJ1274" s="143"/>
    </row>
    <row r="1275" spans="1:36" s="144" customFormat="1" ht="21.75" customHeight="1">
      <c r="A1275" s="151"/>
      <c r="B1275" s="219"/>
      <c r="C1275" s="219"/>
      <c r="D1275" s="219"/>
      <c r="E1275" s="225"/>
      <c r="N1275" s="143"/>
      <c r="O1275" s="143"/>
      <c r="P1275" s="143"/>
      <c r="Q1275" s="143"/>
      <c r="R1275" s="143"/>
      <c r="S1275" s="143"/>
      <c r="T1275" s="143"/>
      <c r="U1275" s="143"/>
      <c r="V1275" s="143"/>
      <c r="W1275" s="143"/>
      <c r="X1275" s="143"/>
      <c r="Y1275" s="143"/>
      <c r="Z1275" s="143"/>
      <c r="AA1275" s="143"/>
      <c r="AB1275" s="143"/>
      <c r="AC1275" s="143"/>
      <c r="AD1275" s="143"/>
      <c r="AE1275" s="143"/>
      <c r="AF1275" s="143"/>
      <c r="AG1275" s="143"/>
      <c r="AH1275" s="143"/>
      <c r="AI1275" s="143"/>
      <c r="AJ1275" s="143"/>
    </row>
    <row r="1276" spans="1:36" s="144" customFormat="1" ht="21.75" customHeight="1">
      <c r="A1276" s="151"/>
      <c r="B1276" s="219"/>
      <c r="C1276" s="219"/>
      <c r="D1276" s="219"/>
      <c r="E1276" s="225"/>
      <c r="N1276" s="143"/>
      <c r="O1276" s="143"/>
      <c r="P1276" s="143"/>
      <c r="Q1276" s="143"/>
      <c r="R1276" s="143"/>
      <c r="S1276" s="143"/>
      <c r="T1276" s="143"/>
      <c r="U1276" s="143"/>
      <c r="V1276" s="143"/>
      <c r="W1276" s="143"/>
      <c r="X1276" s="143"/>
      <c r="Y1276" s="143"/>
      <c r="Z1276" s="143"/>
      <c r="AA1276" s="143"/>
      <c r="AB1276" s="143"/>
      <c r="AC1276" s="143"/>
      <c r="AD1276" s="143"/>
      <c r="AE1276" s="143"/>
      <c r="AF1276" s="143"/>
      <c r="AG1276" s="143"/>
      <c r="AH1276" s="143"/>
      <c r="AI1276" s="143"/>
      <c r="AJ1276" s="143"/>
    </row>
    <row r="1277" spans="1:36" s="144" customFormat="1" ht="21.75" customHeight="1">
      <c r="A1277" s="151"/>
      <c r="B1277" s="219"/>
      <c r="C1277" s="219"/>
      <c r="D1277" s="219"/>
      <c r="E1277" s="225"/>
      <c r="N1277" s="143"/>
      <c r="O1277" s="143"/>
      <c r="P1277" s="143"/>
      <c r="Q1277" s="143"/>
      <c r="R1277" s="143"/>
      <c r="S1277" s="143"/>
      <c r="T1277" s="143"/>
      <c r="U1277" s="143"/>
      <c r="V1277" s="143"/>
      <c r="W1277" s="143"/>
      <c r="X1277" s="143"/>
      <c r="Y1277" s="143"/>
      <c r="Z1277" s="143"/>
      <c r="AA1277" s="143"/>
      <c r="AB1277" s="143"/>
      <c r="AC1277" s="143"/>
      <c r="AD1277" s="143"/>
      <c r="AE1277" s="143"/>
      <c r="AF1277" s="143"/>
      <c r="AG1277" s="143"/>
      <c r="AH1277" s="143"/>
      <c r="AI1277" s="143"/>
      <c r="AJ1277" s="143"/>
    </row>
    <row r="1278" spans="1:36" s="144" customFormat="1" ht="21.75" customHeight="1">
      <c r="A1278" s="151"/>
      <c r="B1278" s="219"/>
      <c r="C1278" s="219"/>
      <c r="D1278" s="219"/>
      <c r="E1278" s="225"/>
      <c r="N1278" s="143"/>
      <c r="O1278" s="143"/>
      <c r="P1278" s="143"/>
      <c r="Q1278" s="143"/>
      <c r="R1278" s="143"/>
      <c r="S1278" s="143"/>
      <c r="T1278" s="143"/>
      <c r="U1278" s="143"/>
      <c r="V1278" s="143"/>
      <c r="W1278" s="143"/>
      <c r="X1278" s="143"/>
      <c r="Y1278" s="143"/>
      <c r="Z1278" s="143"/>
      <c r="AA1278" s="143"/>
      <c r="AB1278" s="143"/>
      <c r="AC1278" s="143"/>
      <c r="AD1278" s="143"/>
      <c r="AE1278" s="143"/>
      <c r="AF1278" s="143"/>
      <c r="AG1278" s="143"/>
      <c r="AH1278" s="143"/>
      <c r="AI1278" s="143"/>
      <c r="AJ1278" s="143"/>
    </row>
    <row r="1279" spans="1:36" s="144" customFormat="1" ht="21.75" customHeight="1">
      <c r="A1279" s="151"/>
      <c r="B1279" s="219"/>
      <c r="C1279" s="219"/>
      <c r="D1279" s="219"/>
      <c r="E1279" s="225"/>
      <c r="N1279" s="143"/>
      <c r="O1279" s="143"/>
      <c r="P1279" s="143"/>
      <c r="Q1279" s="143"/>
      <c r="R1279" s="143"/>
      <c r="S1279" s="143"/>
      <c r="T1279" s="143"/>
      <c r="U1279" s="143"/>
      <c r="V1279" s="143"/>
      <c r="W1279" s="143"/>
      <c r="X1279" s="143"/>
      <c r="Y1279" s="143"/>
      <c r="Z1279" s="143"/>
      <c r="AA1279" s="143"/>
      <c r="AB1279" s="143"/>
      <c r="AC1279" s="143"/>
      <c r="AD1279" s="143"/>
      <c r="AE1279" s="143"/>
      <c r="AF1279" s="143"/>
      <c r="AG1279" s="143"/>
      <c r="AH1279" s="143"/>
      <c r="AI1279" s="143"/>
      <c r="AJ1279" s="143"/>
    </row>
    <row r="1280" spans="1:36" s="144" customFormat="1" ht="21.75" customHeight="1">
      <c r="A1280" s="151"/>
      <c r="B1280" s="219"/>
      <c r="C1280" s="219"/>
      <c r="D1280" s="219"/>
      <c r="E1280" s="225"/>
      <c r="N1280" s="143"/>
      <c r="O1280" s="143"/>
      <c r="P1280" s="143"/>
      <c r="Q1280" s="143"/>
      <c r="R1280" s="143"/>
      <c r="S1280" s="143"/>
      <c r="T1280" s="143"/>
      <c r="U1280" s="143"/>
      <c r="V1280" s="143"/>
      <c r="W1280" s="143"/>
      <c r="X1280" s="143"/>
      <c r="Y1280" s="143"/>
      <c r="Z1280" s="143"/>
      <c r="AA1280" s="143"/>
      <c r="AB1280" s="143"/>
      <c r="AC1280" s="143"/>
      <c r="AD1280" s="143"/>
      <c r="AE1280" s="143"/>
      <c r="AF1280" s="143"/>
      <c r="AG1280" s="143"/>
      <c r="AH1280" s="143"/>
      <c r="AI1280" s="143"/>
      <c r="AJ1280" s="143"/>
    </row>
    <row r="1281" spans="1:36" s="144" customFormat="1" ht="21.75" customHeight="1">
      <c r="A1281" s="151"/>
      <c r="B1281" s="219"/>
      <c r="C1281" s="219"/>
      <c r="D1281" s="219"/>
      <c r="E1281" s="225"/>
      <c r="N1281" s="143"/>
      <c r="O1281" s="143"/>
      <c r="P1281" s="143"/>
      <c r="Q1281" s="143"/>
      <c r="R1281" s="143"/>
      <c r="S1281" s="143"/>
      <c r="T1281" s="143"/>
      <c r="U1281" s="143"/>
      <c r="V1281" s="143"/>
      <c r="W1281" s="143"/>
      <c r="X1281" s="143"/>
      <c r="Y1281" s="143"/>
      <c r="Z1281" s="143"/>
      <c r="AA1281" s="143"/>
      <c r="AB1281" s="143"/>
      <c r="AC1281" s="143"/>
      <c r="AD1281" s="143"/>
      <c r="AE1281" s="143"/>
      <c r="AF1281" s="143"/>
      <c r="AG1281" s="143"/>
      <c r="AH1281" s="143"/>
      <c r="AI1281" s="143"/>
      <c r="AJ1281" s="143"/>
    </row>
    <row r="1282" spans="1:36" s="144" customFormat="1" ht="21.75" customHeight="1">
      <c r="A1282" s="151"/>
      <c r="B1282" s="219"/>
      <c r="C1282" s="219"/>
      <c r="D1282" s="219"/>
      <c r="E1282" s="225"/>
      <c r="N1282" s="143"/>
      <c r="O1282" s="143"/>
      <c r="P1282" s="143"/>
      <c r="Q1282" s="143"/>
      <c r="R1282" s="143"/>
      <c r="S1282" s="143"/>
      <c r="T1282" s="143"/>
      <c r="U1282" s="143"/>
      <c r="V1282" s="143"/>
      <c r="W1282" s="143"/>
      <c r="X1282" s="143"/>
      <c r="Y1282" s="143"/>
      <c r="Z1282" s="143"/>
      <c r="AA1282" s="143"/>
      <c r="AB1282" s="143"/>
      <c r="AC1282" s="143"/>
      <c r="AD1282" s="143"/>
      <c r="AE1282" s="143"/>
      <c r="AF1282" s="143"/>
      <c r="AG1282" s="143"/>
      <c r="AH1282" s="143"/>
      <c r="AI1282" s="143"/>
      <c r="AJ1282" s="143"/>
    </row>
    <row r="1283" spans="1:36" s="144" customFormat="1" ht="21.75" customHeight="1">
      <c r="A1283" s="151"/>
      <c r="B1283" s="219"/>
      <c r="C1283" s="219"/>
      <c r="D1283" s="219"/>
      <c r="E1283" s="225"/>
      <c r="N1283" s="143"/>
      <c r="O1283" s="143"/>
      <c r="P1283" s="143"/>
      <c r="Q1283" s="143"/>
      <c r="R1283" s="143"/>
      <c r="S1283" s="143"/>
      <c r="T1283" s="143"/>
      <c r="U1283" s="143"/>
      <c r="V1283" s="143"/>
      <c r="W1283" s="143"/>
      <c r="X1283" s="143"/>
      <c r="Y1283" s="143"/>
      <c r="Z1283" s="143"/>
      <c r="AA1283" s="143"/>
      <c r="AB1283" s="143"/>
      <c r="AC1283" s="143"/>
      <c r="AD1283" s="143"/>
      <c r="AE1283" s="143"/>
      <c r="AF1283" s="143"/>
      <c r="AG1283" s="143"/>
      <c r="AH1283" s="143"/>
      <c r="AI1283" s="143"/>
      <c r="AJ1283" s="143"/>
    </row>
    <row r="1284" spans="1:36" s="144" customFormat="1" ht="21.75" customHeight="1">
      <c r="A1284" s="151"/>
      <c r="B1284" s="219"/>
      <c r="C1284" s="219"/>
      <c r="D1284" s="219"/>
      <c r="E1284" s="225"/>
      <c r="N1284" s="143"/>
      <c r="O1284" s="143"/>
      <c r="P1284" s="143"/>
      <c r="Q1284" s="143"/>
      <c r="R1284" s="143"/>
      <c r="S1284" s="143"/>
      <c r="T1284" s="143"/>
      <c r="U1284" s="143"/>
      <c r="V1284" s="143"/>
      <c r="W1284" s="143"/>
      <c r="X1284" s="143"/>
      <c r="Y1284" s="143"/>
      <c r="Z1284" s="143"/>
      <c r="AA1284" s="143"/>
      <c r="AB1284" s="143"/>
      <c r="AC1284" s="143"/>
      <c r="AD1284" s="143"/>
      <c r="AE1284" s="143"/>
      <c r="AF1284" s="143"/>
      <c r="AG1284" s="143"/>
      <c r="AH1284" s="143"/>
      <c r="AI1284" s="143"/>
      <c r="AJ1284" s="143"/>
    </row>
    <row r="1285" spans="1:36" s="144" customFormat="1" ht="21.75" customHeight="1">
      <c r="A1285" s="151"/>
      <c r="B1285" s="219"/>
      <c r="C1285" s="219"/>
      <c r="D1285" s="219"/>
      <c r="E1285" s="225"/>
      <c r="N1285" s="143"/>
      <c r="O1285" s="143"/>
      <c r="P1285" s="143"/>
      <c r="Q1285" s="143"/>
      <c r="R1285" s="143"/>
      <c r="S1285" s="143"/>
      <c r="T1285" s="143"/>
      <c r="U1285" s="143"/>
      <c r="V1285" s="143"/>
      <c r="W1285" s="143"/>
      <c r="X1285" s="143"/>
      <c r="Y1285" s="143"/>
      <c r="Z1285" s="143"/>
      <c r="AA1285" s="143"/>
      <c r="AB1285" s="143"/>
      <c r="AC1285" s="143"/>
      <c r="AD1285" s="143"/>
      <c r="AE1285" s="143"/>
      <c r="AF1285" s="143"/>
      <c r="AG1285" s="143"/>
      <c r="AH1285" s="143"/>
      <c r="AI1285" s="143"/>
      <c r="AJ1285" s="143"/>
    </row>
    <row r="1286" spans="1:36" s="144" customFormat="1" ht="21.75" customHeight="1">
      <c r="A1286" s="151"/>
      <c r="B1286" s="219"/>
      <c r="C1286" s="219"/>
      <c r="D1286" s="219"/>
      <c r="E1286" s="225"/>
      <c r="N1286" s="143"/>
      <c r="O1286" s="143"/>
      <c r="P1286" s="143"/>
      <c r="Q1286" s="143"/>
      <c r="R1286" s="143"/>
      <c r="S1286" s="143"/>
      <c r="T1286" s="143"/>
      <c r="U1286" s="143"/>
      <c r="V1286" s="143"/>
      <c r="W1286" s="143"/>
      <c r="X1286" s="143"/>
      <c r="Y1286" s="143"/>
      <c r="Z1286" s="143"/>
      <c r="AA1286" s="143"/>
      <c r="AB1286" s="143"/>
      <c r="AC1286" s="143"/>
      <c r="AD1286" s="143"/>
      <c r="AE1286" s="143"/>
      <c r="AF1286" s="143"/>
      <c r="AG1286" s="143"/>
      <c r="AH1286" s="143"/>
      <c r="AI1286" s="143"/>
      <c r="AJ1286" s="143"/>
    </row>
    <row r="1287" spans="1:36" s="144" customFormat="1" ht="21.75" customHeight="1">
      <c r="A1287" s="151"/>
      <c r="B1287" s="219"/>
      <c r="C1287" s="219"/>
      <c r="D1287" s="219"/>
      <c r="E1287" s="225"/>
      <c r="N1287" s="143"/>
      <c r="O1287" s="143"/>
      <c r="P1287" s="143"/>
      <c r="Q1287" s="143"/>
      <c r="R1287" s="143"/>
      <c r="S1287" s="143"/>
      <c r="T1287" s="143"/>
      <c r="U1287" s="143"/>
      <c r="V1287" s="143"/>
      <c r="W1287" s="143"/>
      <c r="X1287" s="143"/>
      <c r="Y1287" s="143"/>
      <c r="Z1287" s="143"/>
      <c r="AA1287" s="143"/>
      <c r="AB1287" s="143"/>
      <c r="AC1287" s="143"/>
      <c r="AD1287" s="143"/>
      <c r="AE1287" s="143"/>
      <c r="AF1287" s="143"/>
      <c r="AG1287" s="143"/>
      <c r="AH1287" s="143"/>
      <c r="AI1287" s="143"/>
      <c r="AJ1287" s="143"/>
    </row>
    <row r="1288" spans="1:36" s="144" customFormat="1" ht="21.75" customHeight="1">
      <c r="A1288" s="151"/>
      <c r="B1288" s="219"/>
      <c r="C1288" s="219"/>
      <c r="D1288" s="219"/>
      <c r="E1288" s="225"/>
      <c r="N1288" s="143"/>
      <c r="O1288" s="143"/>
      <c r="P1288" s="143"/>
      <c r="Q1288" s="143"/>
      <c r="R1288" s="143"/>
      <c r="S1288" s="143"/>
      <c r="T1288" s="143"/>
      <c r="U1288" s="143"/>
      <c r="V1288" s="143"/>
      <c r="W1288" s="143"/>
      <c r="X1288" s="143"/>
      <c r="Y1288" s="143"/>
      <c r="Z1288" s="143"/>
      <c r="AA1288" s="143"/>
      <c r="AB1288" s="143"/>
      <c r="AC1288" s="143"/>
      <c r="AD1288" s="143"/>
      <c r="AE1288" s="143"/>
      <c r="AF1288" s="143"/>
      <c r="AG1288" s="143"/>
      <c r="AH1288" s="143"/>
      <c r="AI1288" s="143"/>
      <c r="AJ1288" s="143"/>
    </row>
    <row r="1289" spans="1:36" s="144" customFormat="1" ht="21.75" customHeight="1">
      <c r="A1289" s="151"/>
      <c r="B1289" s="219"/>
      <c r="C1289" s="219"/>
      <c r="D1289" s="219"/>
      <c r="E1289" s="225"/>
      <c r="N1289" s="143"/>
      <c r="O1289" s="143"/>
      <c r="P1289" s="143"/>
      <c r="Q1289" s="143"/>
      <c r="R1289" s="143"/>
      <c r="S1289" s="143"/>
      <c r="T1289" s="143"/>
      <c r="U1289" s="143"/>
      <c r="V1289" s="143"/>
      <c r="W1289" s="143"/>
      <c r="X1289" s="143"/>
      <c r="Y1289" s="143"/>
      <c r="Z1289" s="143"/>
      <c r="AA1289" s="143"/>
      <c r="AB1289" s="143"/>
      <c r="AC1289" s="143"/>
      <c r="AD1289" s="143"/>
      <c r="AE1289" s="143"/>
      <c r="AF1289" s="143"/>
      <c r="AG1289" s="143"/>
      <c r="AH1289" s="143"/>
      <c r="AI1289" s="143"/>
      <c r="AJ1289" s="143"/>
    </row>
    <row r="1290" spans="1:36" s="144" customFormat="1" ht="21.75" customHeight="1">
      <c r="A1290" s="151"/>
      <c r="B1290" s="219"/>
      <c r="C1290" s="219"/>
      <c r="D1290" s="219"/>
      <c r="E1290" s="225"/>
      <c r="N1290" s="143"/>
      <c r="O1290" s="143"/>
      <c r="P1290" s="143"/>
      <c r="Q1290" s="143"/>
      <c r="R1290" s="143"/>
      <c r="S1290" s="143"/>
      <c r="T1290" s="143"/>
      <c r="U1290" s="143"/>
      <c r="V1290" s="143"/>
      <c r="W1290" s="143"/>
      <c r="X1290" s="143"/>
      <c r="Y1290" s="143"/>
      <c r="Z1290" s="143"/>
      <c r="AA1290" s="143"/>
      <c r="AB1290" s="143"/>
      <c r="AC1290" s="143"/>
      <c r="AD1290" s="143"/>
      <c r="AE1290" s="143"/>
      <c r="AF1290" s="143"/>
      <c r="AG1290" s="143"/>
      <c r="AH1290" s="143"/>
      <c r="AI1290" s="143"/>
      <c r="AJ1290" s="143"/>
    </row>
    <row r="1291" spans="1:36" s="144" customFormat="1" ht="21.75" customHeight="1">
      <c r="A1291" s="151"/>
      <c r="B1291" s="219"/>
      <c r="C1291" s="219"/>
      <c r="D1291" s="219"/>
      <c r="E1291" s="225"/>
      <c r="N1291" s="143"/>
      <c r="O1291" s="143"/>
      <c r="P1291" s="143"/>
      <c r="Q1291" s="143"/>
      <c r="R1291" s="143"/>
      <c r="S1291" s="143"/>
      <c r="T1291" s="143"/>
      <c r="U1291" s="143"/>
      <c r="V1291" s="143"/>
      <c r="W1291" s="143"/>
      <c r="X1291" s="143"/>
      <c r="Y1291" s="143"/>
      <c r="Z1291" s="143"/>
      <c r="AA1291" s="143"/>
      <c r="AB1291" s="143"/>
      <c r="AC1291" s="143"/>
      <c r="AD1291" s="143"/>
      <c r="AE1291" s="143"/>
      <c r="AF1291" s="143"/>
      <c r="AG1291" s="143"/>
      <c r="AH1291" s="143"/>
      <c r="AI1291" s="143"/>
      <c r="AJ1291" s="143"/>
    </row>
    <row r="1292" spans="1:36" s="144" customFormat="1" ht="21.75" customHeight="1">
      <c r="A1292" s="151"/>
      <c r="B1292" s="219"/>
      <c r="C1292" s="219"/>
      <c r="D1292" s="219"/>
      <c r="E1292" s="225"/>
      <c r="N1292" s="143"/>
      <c r="O1292" s="143"/>
      <c r="P1292" s="143"/>
      <c r="Q1292" s="143"/>
      <c r="R1292" s="143"/>
      <c r="S1292" s="143"/>
      <c r="T1292" s="143"/>
      <c r="U1292" s="143"/>
      <c r="V1292" s="143"/>
      <c r="W1292" s="143"/>
      <c r="X1292" s="143"/>
      <c r="Y1292" s="143"/>
      <c r="Z1292" s="143"/>
      <c r="AA1292" s="143"/>
      <c r="AB1292" s="143"/>
      <c r="AC1292" s="143"/>
      <c r="AD1292" s="143"/>
      <c r="AE1292" s="143"/>
      <c r="AF1292" s="143"/>
      <c r="AG1292" s="143"/>
      <c r="AH1292" s="143"/>
      <c r="AI1292" s="143"/>
      <c r="AJ1292" s="143"/>
    </row>
    <row r="1293" spans="1:36" s="144" customFormat="1" ht="21.75" customHeight="1">
      <c r="A1293" s="151"/>
      <c r="B1293" s="219"/>
      <c r="C1293" s="219"/>
      <c r="D1293" s="219"/>
      <c r="E1293" s="225"/>
      <c r="N1293" s="143"/>
      <c r="O1293" s="143"/>
      <c r="P1293" s="143"/>
      <c r="Q1293" s="143"/>
      <c r="R1293" s="143"/>
      <c r="S1293" s="143"/>
      <c r="T1293" s="143"/>
      <c r="U1293" s="143"/>
      <c r="V1293" s="143"/>
      <c r="W1293" s="143"/>
      <c r="X1293" s="143"/>
      <c r="Y1293" s="143"/>
      <c r="Z1293" s="143"/>
      <c r="AA1293" s="143"/>
      <c r="AB1293" s="143"/>
      <c r="AC1293" s="143"/>
      <c r="AD1293" s="143"/>
      <c r="AE1293" s="143"/>
      <c r="AF1293" s="143"/>
      <c r="AG1293" s="143"/>
      <c r="AH1293" s="143"/>
      <c r="AI1293" s="143"/>
      <c r="AJ1293" s="143"/>
    </row>
    <row r="1294" spans="1:36" s="144" customFormat="1" ht="21.75" customHeight="1">
      <c r="A1294" s="151"/>
      <c r="B1294" s="219"/>
      <c r="C1294" s="219"/>
      <c r="D1294" s="219"/>
      <c r="E1294" s="225"/>
      <c r="N1294" s="143"/>
      <c r="O1294" s="143"/>
      <c r="P1294" s="143"/>
      <c r="Q1294" s="143"/>
      <c r="R1294" s="143"/>
      <c r="S1294" s="143"/>
      <c r="T1294" s="143"/>
      <c r="U1294" s="143"/>
      <c r="V1294" s="143"/>
      <c r="W1294" s="143"/>
      <c r="X1294" s="143"/>
      <c r="Y1294" s="143"/>
      <c r="Z1294" s="143"/>
      <c r="AA1294" s="143"/>
      <c r="AB1294" s="143"/>
      <c r="AC1294" s="143"/>
      <c r="AD1294" s="143"/>
      <c r="AE1294" s="143"/>
      <c r="AF1294" s="143"/>
      <c r="AG1294" s="143"/>
      <c r="AH1294" s="143"/>
      <c r="AI1294" s="143"/>
      <c r="AJ1294" s="143"/>
    </row>
    <row r="1295" spans="1:36" s="144" customFormat="1" ht="21.75" customHeight="1">
      <c r="A1295" s="151"/>
      <c r="B1295" s="219"/>
      <c r="C1295" s="219"/>
      <c r="D1295" s="219"/>
      <c r="E1295" s="225"/>
      <c r="N1295" s="143"/>
      <c r="O1295" s="143"/>
      <c r="P1295" s="143"/>
      <c r="Q1295" s="143"/>
      <c r="R1295" s="143"/>
      <c r="S1295" s="143"/>
      <c r="T1295" s="143"/>
      <c r="U1295" s="143"/>
      <c r="V1295" s="143"/>
      <c r="W1295" s="143"/>
      <c r="X1295" s="143"/>
      <c r="Y1295" s="143"/>
      <c r="Z1295" s="143"/>
      <c r="AA1295" s="143"/>
      <c r="AB1295" s="143"/>
      <c r="AC1295" s="143"/>
      <c r="AD1295" s="143"/>
      <c r="AE1295" s="143"/>
      <c r="AF1295" s="143"/>
      <c r="AG1295" s="143"/>
      <c r="AH1295" s="143"/>
      <c r="AI1295" s="143"/>
      <c r="AJ1295" s="143"/>
    </row>
    <row r="1296" spans="1:36" s="144" customFormat="1" ht="21.75" customHeight="1">
      <c r="A1296" s="151"/>
      <c r="B1296" s="219"/>
      <c r="C1296" s="219"/>
      <c r="D1296" s="219"/>
      <c r="E1296" s="225"/>
      <c r="N1296" s="143"/>
      <c r="O1296" s="143"/>
      <c r="P1296" s="143"/>
      <c r="Q1296" s="143"/>
      <c r="R1296" s="143"/>
      <c r="S1296" s="143"/>
      <c r="T1296" s="143"/>
      <c r="U1296" s="143"/>
      <c r="V1296" s="143"/>
      <c r="W1296" s="143"/>
      <c r="X1296" s="143"/>
      <c r="Y1296" s="143"/>
      <c r="Z1296" s="143"/>
      <c r="AA1296" s="143"/>
      <c r="AB1296" s="143"/>
      <c r="AC1296" s="143"/>
      <c r="AD1296" s="143"/>
      <c r="AE1296" s="143"/>
      <c r="AF1296" s="143"/>
      <c r="AG1296" s="143"/>
      <c r="AH1296" s="143"/>
      <c r="AI1296" s="143"/>
      <c r="AJ1296" s="143"/>
    </row>
    <row r="1297" spans="1:36" s="144" customFormat="1" ht="21.75" customHeight="1">
      <c r="A1297" s="151"/>
      <c r="B1297" s="219"/>
      <c r="C1297" s="219"/>
      <c r="D1297" s="219"/>
      <c r="E1297" s="225"/>
      <c r="N1297" s="143"/>
      <c r="O1297" s="143"/>
      <c r="P1297" s="143"/>
      <c r="Q1297" s="143"/>
      <c r="R1297" s="143"/>
      <c r="S1297" s="143"/>
      <c r="T1297" s="143"/>
      <c r="U1297" s="143"/>
      <c r="V1297" s="143"/>
      <c r="W1297" s="143"/>
      <c r="X1297" s="143"/>
      <c r="Y1297" s="143"/>
      <c r="Z1297" s="143"/>
      <c r="AA1297" s="143"/>
      <c r="AB1297" s="143"/>
      <c r="AC1297" s="143"/>
      <c r="AD1297" s="143"/>
      <c r="AE1297" s="143"/>
      <c r="AF1297" s="143"/>
      <c r="AG1297" s="143"/>
      <c r="AH1297" s="143"/>
      <c r="AI1297" s="143"/>
      <c r="AJ1297" s="143"/>
    </row>
    <row r="1298" spans="1:36" s="144" customFormat="1" ht="21.75" customHeight="1">
      <c r="A1298" s="151"/>
      <c r="B1298" s="219"/>
      <c r="C1298" s="219"/>
      <c r="D1298" s="219"/>
      <c r="E1298" s="225"/>
      <c r="N1298" s="143"/>
      <c r="O1298" s="143"/>
      <c r="P1298" s="143"/>
      <c r="Q1298" s="143"/>
      <c r="R1298" s="143"/>
      <c r="S1298" s="143"/>
      <c r="T1298" s="143"/>
      <c r="U1298" s="143"/>
      <c r="V1298" s="143"/>
      <c r="W1298" s="143"/>
      <c r="X1298" s="143"/>
      <c r="Y1298" s="143"/>
      <c r="Z1298" s="143"/>
      <c r="AA1298" s="143"/>
      <c r="AB1298" s="143"/>
      <c r="AC1298" s="143"/>
      <c r="AD1298" s="143"/>
      <c r="AE1298" s="143"/>
      <c r="AF1298" s="143"/>
      <c r="AG1298" s="143"/>
      <c r="AH1298" s="143"/>
      <c r="AI1298" s="143"/>
      <c r="AJ1298" s="143"/>
    </row>
    <row r="1299" spans="1:36" s="144" customFormat="1" ht="21.75" customHeight="1">
      <c r="A1299" s="151"/>
      <c r="B1299" s="219"/>
      <c r="C1299" s="219"/>
      <c r="D1299" s="219"/>
      <c r="E1299" s="225"/>
      <c r="N1299" s="143"/>
      <c r="O1299" s="143"/>
      <c r="P1299" s="143"/>
      <c r="Q1299" s="143"/>
      <c r="R1299" s="143"/>
      <c r="S1299" s="143"/>
      <c r="T1299" s="143"/>
      <c r="U1299" s="143"/>
      <c r="V1299" s="143"/>
      <c r="W1299" s="143"/>
      <c r="X1299" s="143"/>
      <c r="Y1299" s="143"/>
      <c r="Z1299" s="143"/>
      <c r="AA1299" s="143"/>
      <c r="AB1299" s="143"/>
      <c r="AC1299" s="143"/>
      <c r="AD1299" s="143"/>
      <c r="AE1299" s="143"/>
      <c r="AF1299" s="143"/>
      <c r="AG1299" s="143"/>
      <c r="AH1299" s="143"/>
      <c r="AI1299" s="143"/>
      <c r="AJ1299" s="143"/>
    </row>
    <row r="1300" spans="1:36" s="144" customFormat="1" ht="21.75" customHeight="1">
      <c r="A1300" s="151"/>
      <c r="B1300" s="219"/>
      <c r="C1300" s="219"/>
      <c r="D1300" s="219"/>
      <c r="E1300" s="225"/>
      <c r="N1300" s="143"/>
      <c r="O1300" s="143"/>
      <c r="P1300" s="143"/>
      <c r="Q1300" s="143"/>
      <c r="R1300" s="143"/>
      <c r="S1300" s="143"/>
      <c r="T1300" s="143"/>
      <c r="U1300" s="143"/>
      <c r="V1300" s="143"/>
      <c r="W1300" s="143"/>
      <c r="X1300" s="143"/>
      <c r="Y1300" s="143"/>
      <c r="Z1300" s="143"/>
      <c r="AA1300" s="143"/>
      <c r="AB1300" s="143"/>
      <c r="AC1300" s="143"/>
      <c r="AD1300" s="143"/>
      <c r="AE1300" s="143"/>
      <c r="AF1300" s="143"/>
      <c r="AG1300" s="143"/>
      <c r="AH1300" s="143"/>
      <c r="AI1300" s="143"/>
      <c r="AJ1300" s="143"/>
    </row>
    <row r="1301" spans="1:36" s="144" customFormat="1" ht="21.75" customHeight="1">
      <c r="A1301" s="151"/>
      <c r="B1301" s="219"/>
      <c r="C1301" s="219"/>
      <c r="D1301" s="219"/>
      <c r="E1301" s="225"/>
      <c r="N1301" s="143"/>
      <c r="O1301" s="143"/>
      <c r="P1301" s="143"/>
      <c r="Q1301" s="143"/>
      <c r="R1301" s="143"/>
      <c r="S1301" s="143"/>
      <c r="T1301" s="143"/>
      <c r="U1301" s="143"/>
      <c r="V1301" s="143"/>
      <c r="W1301" s="143"/>
      <c r="X1301" s="143"/>
      <c r="Y1301" s="143"/>
      <c r="Z1301" s="143"/>
      <c r="AA1301" s="143"/>
      <c r="AB1301" s="143"/>
      <c r="AC1301" s="143"/>
      <c r="AD1301" s="143"/>
      <c r="AE1301" s="143"/>
      <c r="AF1301" s="143"/>
      <c r="AG1301" s="143"/>
      <c r="AH1301" s="143"/>
      <c r="AI1301" s="143"/>
      <c r="AJ1301" s="143"/>
    </row>
    <row r="1302" spans="1:36" s="144" customFormat="1" ht="21.75" customHeight="1">
      <c r="A1302" s="151"/>
      <c r="B1302" s="219"/>
      <c r="C1302" s="219"/>
      <c r="D1302" s="219"/>
      <c r="E1302" s="225"/>
      <c r="N1302" s="143"/>
      <c r="O1302" s="143"/>
      <c r="P1302" s="143"/>
      <c r="Q1302" s="143"/>
      <c r="R1302" s="143"/>
      <c r="S1302" s="143"/>
      <c r="T1302" s="143"/>
      <c r="U1302" s="143"/>
      <c r="V1302" s="143"/>
      <c r="W1302" s="143"/>
      <c r="X1302" s="143"/>
      <c r="Y1302" s="143"/>
      <c r="Z1302" s="143"/>
      <c r="AA1302" s="143"/>
      <c r="AB1302" s="143"/>
      <c r="AC1302" s="143"/>
      <c r="AD1302" s="143"/>
      <c r="AE1302" s="143"/>
      <c r="AF1302" s="143"/>
      <c r="AG1302" s="143"/>
      <c r="AH1302" s="143"/>
      <c r="AI1302" s="143"/>
      <c r="AJ1302" s="143"/>
    </row>
    <row r="1303" spans="1:36" s="144" customFormat="1" ht="21.75" customHeight="1">
      <c r="A1303" s="151"/>
      <c r="B1303" s="219"/>
      <c r="C1303" s="219"/>
      <c r="D1303" s="219"/>
      <c r="E1303" s="225"/>
      <c r="N1303" s="143"/>
      <c r="O1303" s="143"/>
      <c r="P1303" s="143"/>
      <c r="Q1303" s="143"/>
      <c r="R1303" s="143"/>
      <c r="S1303" s="143"/>
      <c r="T1303" s="143"/>
      <c r="U1303" s="143"/>
      <c r="V1303" s="143"/>
      <c r="W1303" s="143"/>
      <c r="X1303" s="143"/>
      <c r="Y1303" s="143"/>
      <c r="Z1303" s="143"/>
      <c r="AA1303" s="143"/>
      <c r="AB1303" s="143"/>
      <c r="AC1303" s="143"/>
      <c r="AD1303" s="143"/>
      <c r="AE1303" s="143"/>
      <c r="AF1303" s="143"/>
      <c r="AG1303" s="143"/>
      <c r="AH1303" s="143"/>
      <c r="AI1303" s="143"/>
      <c r="AJ1303" s="143"/>
    </row>
    <row r="1304" spans="1:36" s="144" customFormat="1" ht="21.75" customHeight="1">
      <c r="A1304" s="151"/>
      <c r="B1304" s="219"/>
      <c r="C1304" s="219"/>
      <c r="D1304" s="219"/>
      <c r="E1304" s="225"/>
      <c r="N1304" s="143"/>
      <c r="O1304" s="143"/>
      <c r="P1304" s="143"/>
      <c r="Q1304" s="143"/>
      <c r="R1304" s="143"/>
      <c r="S1304" s="143"/>
      <c r="T1304" s="143"/>
      <c r="U1304" s="143"/>
      <c r="V1304" s="143"/>
      <c r="W1304" s="143"/>
      <c r="X1304" s="143"/>
      <c r="Y1304" s="143"/>
      <c r="Z1304" s="143"/>
      <c r="AA1304" s="143"/>
      <c r="AB1304" s="143"/>
      <c r="AC1304" s="143"/>
      <c r="AD1304" s="143"/>
      <c r="AE1304" s="143"/>
      <c r="AF1304" s="143"/>
      <c r="AG1304" s="143"/>
      <c r="AH1304" s="143"/>
      <c r="AI1304" s="143"/>
      <c r="AJ1304" s="143"/>
    </row>
    <row r="1305" spans="1:36" s="144" customFormat="1" ht="21.75" customHeight="1">
      <c r="A1305" s="151"/>
      <c r="B1305" s="219"/>
      <c r="C1305" s="219"/>
      <c r="D1305" s="219"/>
      <c r="E1305" s="225"/>
      <c r="N1305" s="143"/>
      <c r="O1305" s="143"/>
      <c r="P1305" s="143"/>
      <c r="Q1305" s="143"/>
      <c r="R1305" s="143"/>
      <c r="S1305" s="143"/>
      <c r="T1305" s="143"/>
      <c r="U1305" s="143"/>
      <c r="V1305" s="143"/>
      <c r="W1305" s="143"/>
      <c r="X1305" s="143"/>
      <c r="Y1305" s="143"/>
      <c r="Z1305" s="143"/>
      <c r="AA1305" s="143"/>
      <c r="AB1305" s="143"/>
      <c r="AC1305" s="143"/>
      <c r="AD1305" s="143"/>
      <c r="AE1305" s="143"/>
      <c r="AF1305" s="143"/>
      <c r="AG1305" s="143"/>
      <c r="AH1305" s="143"/>
      <c r="AI1305" s="143"/>
      <c r="AJ1305" s="143"/>
    </row>
    <row r="1306" spans="1:36" s="144" customFormat="1" ht="21.75" customHeight="1">
      <c r="A1306" s="151"/>
      <c r="B1306" s="219"/>
      <c r="C1306" s="219"/>
      <c r="D1306" s="219"/>
      <c r="E1306" s="225"/>
      <c r="N1306" s="143"/>
      <c r="O1306" s="143"/>
      <c r="P1306" s="143"/>
      <c r="Q1306" s="143"/>
      <c r="R1306" s="143"/>
      <c r="S1306" s="143"/>
      <c r="T1306" s="143"/>
      <c r="U1306" s="143"/>
      <c r="V1306" s="143"/>
      <c r="W1306" s="143"/>
      <c r="X1306" s="143"/>
      <c r="Y1306" s="143"/>
      <c r="Z1306" s="143"/>
      <c r="AA1306" s="143"/>
      <c r="AB1306" s="143"/>
      <c r="AC1306" s="143"/>
      <c r="AD1306" s="143"/>
      <c r="AE1306" s="143"/>
      <c r="AF1306" s="143"/>
      <c r="AG1306" s="143"/>
      <c r="AH1306" s="143"/>
      <c r="AI1306" s="143"/>
      <c r="AJ1306" s="143"/>
    </row>
    <row r="1307" spans="1:36" s="144" customFormat="1" ht="21.75" customHeight="1">
      <c r="A1307" s="151"/>
      <c r="B1307" s="219"/>
      <c r="C1307" s="219"/>
      <c r="D1307" s="219"/>
      <c r="E1307" s="225"/>
      <c r="N1307" s="143"/>
      <c r="O1307" s="143"/>
      <c r="P1307" s="143"/>
      <c r="Q1307" s="143"/>
      <c r="R1307" s="143"/>
      <c r="S1307" s="143"/>
      <c r="T1307" s="143"/>
      <c r="U1307" s="143"/>
      <c r="V1307" s="143"/>
      <c r="W1307" s="143"/>
      <c r="X1307" s="143"/>
      <c r="Y1307" s="143"/>
      <c r="Z1307" s="143"/>
      <c r="AA1307" s="143"/>
      <c r="AB1307" s="143"/>
      <c r="AC1307" s="143"/>
      <c r="AD1307" s="143"/>
      <c r="AE1307" s="143"/>
      <c r="AF1307" s="143"/>
      <c r="AG1307" s="143"/>
      <c r="AH1307" s="143"/>
      <c r="AI1307" s="143"/>
      <c r="AJ1307" s="143"/>
    </row>
    <row r="1308" spans="1:36" s="144" customFormat="1" ht="21.75" customHeight="1">
      <c r="A1308" s="151"/>
      <c r="B1308" s="219"/>
      <c r="C1308" s="219"/>
      <c r="D1308" s="219"/>
      <c r="E1308" s="225"/>
      <c r="N1308" s="143"/>
      <c r="O1308" s="143"/>
      <c r="P1308" s="143"/>
      <c r="Q1308" s="143"/>
      <c r="R1308" s="143"/>
      <c r="S1308" s="143"/>
      <c r="T1308" s="143"/>
      <c r="U1308" s="143"/>
      <c r="V1308" s="143"/>
      <c r="W1308" s="143"/>
      <c r="X1308" s="143"/>
      <c r="Y1308" s="143"/>
      <c r="Z1308" s="143"/>
      <c r="AA1308" s="143"/>
      <c r="AB1308" s="143"/>
      <c r="AC1308" s="143"/>
      <c r="AD1308" s="143"/>
      <c r="AE1308" s="143"/>
      <c r="AF1308" s="143"/>
      <c r="AG1308" s="143"/>
      <c r="AH1308" s="143"/>
      <c r="AI1308" s="143"/>
      <c r="AJ1308" s="143"/>
    </row>
    <row r="1309" spans="1:36" s="144" customFormat="1" ht="21.75" customHeight="1">
      <c r="A1309" s="151"/>
      <c r="B1309" s="219"/>
      <c r="C1309" s="219"/>
      <c r="D1309" s="219"/>
      <c r="E1309" s="225"/>
      <c r="N1309" s="143"/>
      <c r="O1309" s="143"/>
      <c r="P1309" s="143"/>
      <c r="Q1309" s="143"/>
      <c r="R1309" s="143"/>
      <c r="S1309" s="143"/>
      <c r="T1309" s="143"/>
      <c r="U1309" s="143"/>
      <c r="V1309" s="143"/>
      <c r="W1309" s="143"/>
      <c r="X1309" s="143"/>
      <c r="Y1309" s="143"/>
      <c r="Z1309" s="143"/>
      <c r="AA1309" s="143"/>
      <c r="AB1309" s="143"/>
      <c r="AC1309" s="143"/>
      <c r="AD1309" s="143"/>
      <c r="AE1309" s="143"/>
      <c r="AF1309" s="143"/>
      <c r="AG1309" s="143"/>
      <c r="AH1309" s="143"/>
      <c r="AI1309" s="143"/>
      <c r="AJ1309" s="143"/>
    </row>
    <row r="1310" spans="1:36" s="144" customFormat="1" ht="21.75" customHeight="1">
      <c r="A1310" s="151"/>
      <c r="B1310" s="219"/>
      <c r="C1310" s="219"/>
      <c r="D1310" s="219"/>
      <c r="E1310" s="225"/>
      <c r="N1310" s="143"/>
      <c r="O1310" s="143"/>
      <c r="P1310" s="143"/>
      <c r="Q1310" s="143"/>
      <c r="R1310" s="143"/>
      <c r="S1310" s="143"/>
      <c r="T1310" s="143"/>
      <c r="U1310" s="143"/>
      <c r="V1310" s="143"/>
      <c r="W1310" s="143"/>
      <c r="X1310" s="143"/>
      <c r="Y1310" s="143"/>
      <c r="Z1310" s="143"/>
      <c r="AA1310" s="143"/>
      <c r="AB1310" s="143"/>
      <c r="AC1310" s="143"/>
      <c r="AD1310" s="143"/>
      <c r="AE1310" s="143"/>
      <c r="AF1310" s="143"/>
      <c r="AG1310" s="143"/>
      <c r="AH1310" s="143"/>
      <c r="AI1310" s="143"/>
      <c r="AJ1310" s="143"/>
    </row>
    <row r="1311" spans="1:36" s="144" customFormat="1" ht="21.75" customHeight="1">
      <c r="A1311" s="151"/>
      <c r="B1311" s="219"/>
      <c r="C1311" s="219"/>
      <c r="D1311" s="219"/>
      <c r="E1311" s="225"/>
      <c r="N1311" s="143"/>
      <c r="O1311" s="143"/>
      <c r="P1311" s="143"/>
      <c r="Q1311" s="143"/>
      <c r="R1311" s="143"/>
      <c r="S1311" s="143"/>
      <c r="T1311" s="143"/>
      <c r="U1311" s="143"/>
      <c r="V1311" s="143"/>
      <c r="W1311" s="143"/>
      <c r="X1311" s="143"/>
      <c r="Y1311" s="143"/>
      <c r="Z1311" s="143"/>
      <c r="AA1311" s="143"/>
      <c r="AB1311" s="143"/>
      <c r="AC1311" s="143"/>
      <c r="AD1311" s="143"/>
      <c r="AE1311" s="143"/>
      <c r="AF1311" s="143"/>
      <c r="AG1311" s="143"/>
      <c r="AH1311" s="143"/>
      <c r="AI1311" s="143"/>
      <c r="AJ1311" s="143"/>
    </row>
    <row r="1312" spans="1:36" s="144" customFormat="1" ht="21.75" customHeight="1">
      <c r="A1312" s="151"/>
      <c r="B1312" s="219"/>
      <c r="C1312" s="219"/>
      <c r="D1312" s="219"/>
      <c r="E1312" s="225"/>
      <c r="N1312" s="143"/>
      <c r="O1312" s="143"/>
      <c r="P1312" s="143"/>
      <c r="Q1312" s="143"/>
      <c r="R1312" s="143"/>
      <c r="S1312" s="143"/>
      <c r="T1312" s="143"/>
      <c r="U1312" s="143"/>
      <c r="V1312" s="143"/>
      <c r="W1312" s="143"/>
      <c r="X1312" s="143"/>
      <c r="Y1312" s="143"/>
      <c r="Z1312" s="143"/>
      <c r="AA1312" s="143"/>
      <c r="AB1312" s="143"/>
      <c r="AC1312" s="143"/>
      <c r="AD1312" s="143"/>
      <c r="AE1312" s="143"/>
      <c r="AF1312" s="143"/>
      <c r="AG1312" s="143"/>
      <c r="AH1312" s="143"/>
      <c r="AI1312" s="143"/>
      <c r="AJ1312" s="143"/>
    </row>
    <row r="1313" spans="1:36" s="144" customFormat="1" ht="21.75" customHeight="1">
      <c r="A1313" s="151"/>
      <c r="B1313" s="219"/>
      <c r="C1313" s="219"/>
      <c r="D1313" s="219"/>
      <c r="E1313" s="225"/>
      <c r="N1313" s="143"/>
      <c r="O1313" s="143"/>
      <c r="P1313" s="143"/>
      <c r="Q1313" s="143"/>
      <c r="R1313" s="143"/>
      <c r="S1313" s="143"/>
      <c r="T1313" s="143"/>
      <c r="U1313" s="143"/>
      <c r="V1313" s="143"/>
      <c r="W1313" s="143"/>
      <c r="X1313" s="143"/>
      <c r="Y1313" s="143"/>
      <c r="Z1313" s="143"/>
      <c r="AA1313" s="143"/>
      <c r="AB1313" s="143"/>
      <c r="AC1313" s="143"/>
      <c r="AD1313" s="143"/>
      <c r="AE1313" s="143"/>
      <c r="AF1313" s="143"/>
      <c r="AG1313" s="143"/>
      <c r="AH1313" s="143"/>
      <c r="AI1313" s="143"/>
      <c r="AJ1313" s="143"/>
    </row>
    <row r="1314" spans="1:36" s="144" customFormat="1" ht="21.75" customHeight="1">
      <c r="A1314" s="151"/>
      <c r="B1314" s="219"/>
      <c r="C1314" s="219"/>
      <c r="D1314" s="219"/>
      <c r="E1314" s="225"/>
      <c r="N1314" s="143"/>
      <c r="O1314" s="143"/>
      <c r="P1314" s="143"/>
      <c r="Q1314" s="143"/>
      <c r="R1314" s="143"/>
      <c r="S1314" s="143"/>
      <c r="T1314" s="143"/>
      <c r="U1314" s="143"/>
      <c r="V1314" s="143"/>
      <c r="W1314" s="143"/>
      <c r="X1314" s="143"/>
      <c r="Y1314" s="143"/>
      <c r="Z1314" s="143"/>
      <c r="AA1314" s="143"/>
      <c r="AB1314" s="143"/>
      <c r="AC1314" s="143"/>
      <c r="AD1314" s="143"/>
      <c r="AE1314" s="143"/>
      <c r="AF1314" s="143"/>
      <c r="AG1314" s="143"/>
      <c r="AH1314" s="143"/>
      <c r="AI1314" s="143"/>
      <c r="AJ1314" s="143"/>
    </row>
    <row r="1315" spans="1:36" s="144" customFormat="1" ht="21.75" customHeight="1">
      <c r="A1315" s="151"/>
      <c r="B1315" s="219"/>
      <c r="C1315" s="219"/>
      <c r="D1315" s="219"/>
      <c r="E1315" s="225"/>
      <c r="N1315" s="143"/>
      <c r="O1315" s="143"/>
      <c r="P1315" s="143"/>
      <c r="Q1315" s="143"/>
      <c r="R1315" s="143"/>
      <c r="S1315" s="143"/>
      <c r="T1315" s="143"/>
      <c r="U1315" s="143"/>
      <c r="V1315" s="143"/>
      <c r="W1315" s="143"/>
      <c r="X1315" s="143"/>
      <c r="Y1315" s="143"/>
      <c r="Z1315" s="143"/>
      <c r="AA1315" s="143"/>
      <c r="AB1315" s="143"/>
      <c r="AC1315" s="143"/>
      <c r="AD1315" s="143"/>
      <c r="AE1315" s="143"/>
      <c r="AF1315" s="143"/>
      <c r="AG1315" s="143"/>
      <c r="AH1315" s="143"/>
      <c r="AI1315" s="143"/>
      <c r="AJ1315" s="143"/>
    </row>
    <row r="1316" spans="1:36" s="144" customFormat="1" ht="21.75" customHeight="1">
      <c r="A1316" s="151"/>
      <c r="B1316" s="219"/>
      <c r="C1316" s="219"/>
      <c r="D1316" s="219"/>
      <c r="E1316" s="225"/>
      <c r="N1316" s="143"/>
      <c r="O1316" s="143"/>
      <c r="P1316" s="143"/>
      <c r="Q1316" s="143"/>
      <c r="R1316" s="143"/>
      <c r="S1316" s="143"/>
      <c r="T1316" s="143"/>
      <c r="U1316" s="143"/>
      <c r="V1316" s="143"/>
      <c r="W1316" s="143"/>
      <c r="X1316" s="143"/>
      <c r="Y1316" s="143"/>
      <c r="Z1316" s="143"/>
      <c r="AA1316" s="143"/>
      <c r="AB1316" s="143"/>
      <c r="AC1316" s="143"/>
      <c r="AD1316" s="143"/>
      <c r="AE1316" s="143"/>
      <c r="AF1316" s="143"/>
      <c r="AG1316" s="143"/>
      <c r="AH1316" s="143"/>
      <c r="AI1316" s="143"/>
      <c r="AJ1316" s="143"/>
    </row>
    <row r="1317" spans="1:36" s="144" customFormat="1" ht="21.75" customHeight="1">
      <c r="A1317" s="151"/>
      <c r="B1317" s="219"/>
      <c r="C1317" s="219"/>
      <c r="D1317" s="219"/>
      <c r="E1317" s="225"/>
      <c r="N1317" s="143"/>
      <c r="O1317" s="143"/>
      <c r="P1317" s="143"/>
      <c r="Q1317" s="143"/>
      <c r="R1317" s="143"/>
      <c r="S1317" s="143"/>
      <c r="T1317" s="143"/>
      <c r="U1317" s="143"/>
      <c r="V1317" s="143"/>
      <c r="W1317" s="143"/>
      <c r="X1317" s="143"/>
      <c r="Y1317" s="143"/>
      <c r="Z1317" s="143"/>
      <c r="AA1317" s="143"/>
      <c r="AB1317" s="143"/>
      <c r="AC1317" s="143"/>
      <c r="AD1317" s="143"/>
      <c r="AE1317" s="143"/>
      <c r="AF1317" s="143"/>
      <c r="AG1317" s="143"/>
      <c r="AH1317" s="143"/>
      <c r="AI1317" s="143"/>
      <c r="AJ1317" s="143"/>
    </row>
    <row r="1318" spans="1:36" s="144" customFormat="1" ht="21.75" customHeight="1">
      <c r="A1318" s="151"/>
      <c r="B1318" s="219"/>
      <c r="C1318" s="219"/>
      <c r="D1318" s="219"/>
      <c r="E1318" s="225"/>
      <c r="N1318" s="143"/>
      <c r="O1318" s="143"/>
      <c r="P1318" s="143"/>
      <c r="Q1318" s="143"/>
      <c r="R1318" s="143"/>
      <c r="S1318" s="143"/>
      <c r="T1318" s="143"/>
      <c r="U1318" s="143"/>
      <c r="V1318" s="143"/>
      <c r="W1318" s="143"/>
      <c r="X1318" s="143"/>
      <c r="Y1318" s="143"/>
      <c r="Z1318" s="143"/>
      <c r="AA1318" s="143"/>
      <c r="AB1318" s="143"/>
      <c r="AC1318" s="143"/>
      <c r="AD1318" s="143"/>
      <c r="AE1318" s="143"/>
      <c r="AF1318" s="143"/>
      <c r="AG1318" s="143"/>
      <c r="AH1318" s="143"/>
      <c r="AI1318" s="143"/>
      <c r="AJ1318" s="143"/>
    </row>
    <row r="1319" spans="1:36" s="144" customFormat="1" ht="21.75" customHeight="1">
      <c r="A1319" s="151"/>
      <c r="B1319" s="219"/>
      <c r="C1319" s="219"/>
      <c r="D1319" s="219"/>
      <c r="E1319" s="225"/>
      <c r="N1319" s="143"/>
      <c r="O1319" s="143"/>
      <c r="P1319" s="143"/>
      <c r="Q1319" s="143"/>
      <c r="R1319" s="143"/>
      <c r="S1319" s="143"/>
      <c r="T1319" s="143"/>
      <c r="U1319" s="143"/>
      <c r="V1319" s="143"/>
      <c r="W1319" s="143"/>
      <c r="X1319" s="143"/>
      <c r="Y1319" s="143"/>
      <c r="Z1319" s="143"/>
      <c r="AA1319" s="143"/>
      <c r="AB1319" s="143"/>
      <c r="AC1319" s="143"/>
      <c r="AD1319" s="143"/>
      <c r="AE1319" s="143"/>
      <c r="AF1319" s="143"/>
      <c r="AG1319" s="143"/>
      <c r="AH1319" s="143"/>
      <c r="AI1319" s="143"/>
      <c r="AJ1319" s="143"/>
    </row>
    <row r="1320" spans="1:36" s="144" customFormat="1" ht="21.75" customHeight="1">
      <c r="A1320" s="151"/>
      <c r="B1320" s="219"/>
      <c r="C1320" s="219"/>
      <c r="D1320" s="219"/>
      <c r="E1320" s="225"/>
      <c r="N1320" s="143"/>
      <c r="O1320" s="143"/>
      <c r="P1320" s="143"/>
      <c r="Q1320" s="143"/>
      <c r="R1320" s="143"/>
      <c r="S1320" s="143"/>
      <c r="T1320" s="143"/>
      <c r="U1320" s="143"/>
      <c r="V1320" s="143"/>
      <c r="W1320" s="143"/>
      <c r="X1320" s="143"/>
      <c r="Y1320" s="143"/>
      <c r="Z1320" s="143"/>
      <c r="AA1320" s="143"/>
      <c r="AB1320" s="143"/>
      <c r="AC1320" s="143"/>
      <c r="AD1320" s="143"/>
      <c r="AE1320" s="143"/>
      <c r="AF1320" s="143"/>
      <c r="AG1320" s="143"/>
      <c r="AH1320" s="143"/>
      <c r="AI1320" s="143"/>
      <c r="AJ1320" s="143"/>
    </row>
    <row r="1321" spans="1:36" s="144" customFormat="1" ht="21.75" customHeight="1">
      <c r="A1321" s="151"/>
      <c r="B1321" s="219"/>
      <c r="C1321" s="219"/>
      <c r="D1321" s="219"/>
      <c r="E1321" s="225"/>
      <c r="N1321" s="143"/>
      <c r="O1321" s="143"/>
      <c r="P1321" s="143"/>
      <c r="Q1321" s="143"/>
      <c r="R1321" s="143"/>
      <c r="S1321" s="143"/>
      <c r="T1321" s="143"/>
      <c r="U1321" s="143"/>
      <c r="V1321" s="143"/>
      <c r="W1321" s="143"/>
      <c r="X1321" s="143"/>
      <c r="Y1321" s="143"/>
      <c r="Z1321" s="143"/>
      <c r="AA1321" s="143"/>
      <c r="AB1321" s="143"/>
      <c r="AC1321" s="143"/>
      <c r="AD1321" s="143"/>
      <c r="AE1321" s="143"/>
      <c r="AF1321" s="143"/>
      <c r="AG1321" s="143"/>
      <c r="AH1321" s="143"/>
      <c r="AI1321" s="143"/>
      <c r="AJ1321" s="143"/>
    </row>
    <row r="1322" spans="1:36" s="144" customFormat="1" ht="21.75" customHeight="1">
      <c r="A1322" s="151"/>
      <c r="B1322" s="219"/>
      <c r="C1322" s="219"/>
      <c r="D1322" s="219"/>
      <c r="E1322" s="225"/>
      <c r="N1322" s="143"/>
      <c r="O1322" s="143"/>
      <c r="P1322" s="143"/>
      <c r="Q1322" s="143"/>
      <c r="R1322" s="143"/>
      <c r="S1322" s="143"/>
      <c r="T1322" s="143"/>
      <c r="U1322" s="143"/>
      <c r="V1322" s="143"/>
      <c r="W1322" s="143"/>
      <c r="X1322" s="143"/>
      <c r="Y1322" s="143"/>
      <c r="Z1322" s="143"/>
      <c r="AA1322" s="143"/>
      <c r="AB1322" s="143"/>
      <c r="AC1322" s="143"/>
      <c r="AD1322" s="143"/>
      <c r="AE1322" s="143"/>
      <c r="AF1322" s="143"/>
      <c r="AG1322" s="143"/>
      <c r="AH1322" s="143"/>
      <c r="AI1322" s="143"/>
      <c r="AJ1322" s="143"/>
    </row>
    <row r="1323" spans="1:36" s="144" customFormat="1" ht="21.75" customHeight="1">
      <c r="A1323" s="151"/>
      <c r="B1323" s="219"/>
      <c r="C1323" s="219"/>
      <c r="D1323" s="219"/>
      <c r="E1323" s="225"/>
      <c r="N1323" s="143"/>
      <c r="O1323" s="143"/>
      <c r="P1323" s="143"/>
      <c r="Q1323" s="143"/>
      <c r="R1323" s="143"/>
      <c r="S1323" s="143"/>
      <c r="T1323" s="143"/>
      <c r="U1323" s="143"/>
      <c r="V1323" s="143"/>
      <c r="W1323" s="143"/>
      <c r="X1323" s="143"/>
      <c r="Y1323" s="143"/>
      <c r="Z1323" s="143"/>
      <c r="AA1323" s="143"/>
      <c r="AB1323" s="143"/>
      <c r="AC1323" s="143"/>
      <c r="AD1323" s="143"/>
      <c r="AE1323" s="143"/>
      <c r="AF1323" s="143"/>
      <c r="AG1323" s="143"/>
      <c r="AH1323" s="143"/>
      <c r="AI1323" s="143"/>
      <c r="AJ1323" s="143"/>
    </row>
    <row r="1324" spans="1:36" s="144" customFormat="1" ht="21.75" customHeight="1">
      <c r="A1324" s="151"/>
      <c r="B1324" s="219"/>
      <c r="C1324" s="219"/>
      <c r="D1324" s="219"/>
      <c r="E1324" s="225"/>
      <c r="N1324" s="143"/>
      <c r="O1324" s="143"/>
      <c r="P1324" s="143"/>
      <c r="Q1324" s="143"/>
      <c r="R1324" s="143"/>
      <c r="S1324" s="143"/>
      <c r="T1324" s="143"/>
      <c r="U1324" s="143"/>
      <c r="V1324" s="143"/>
      <c r="W1324" s="143"/>
      <c r="X1324" s="143"/>
      <c r="Y1324" s="143"/>
      <c r="Z1324" s="143"/>
      <c r="AA1324" s="143"/>
      <c r="AB1324" s="143"/>
      <c r="AC1324" s="143"/>
      <c r="AD1324" s="143"/>
      <c r="AE1324" s="143"/>
      <c r="AF1324" s="143"/>
      <c r="AG1324" s="143"/>
      <c r="AH1324" s="143"/>
      <c r="AI1324" s="143"/>
      <c r="AJ1324" s="143"/>
    </row>
    <row r="1325" spans="1:36" s="144" customFormat="1" ht="21.75" customHeight="1">
      <c r="A1325" s="151"/>
      <c r="B1325" s="219"/>
      <c r="C1325" s="219"/>
      <c r="D1325" s="219"/>
      <c r="E1325" s="225"/>
      <c r="N1325" s="143"/>
      <c r="O1325" s="143"/>
      <c r="P1325" s="143"/>
      <c r="Q1325" s="143"/>
      <c r="R1325" s="143"/>
      <c r="S1325" s="143"/>
      <c r="T1325" s="143"/>
      <c r="U1325" s="143"/>
      <c r="V1325" s="143"/>
      <c r="W1325" s="143"/>
      <c r="X1325" s="143"/>
      <c r="Y1325" s="143"/>
      <c r="Z1325" s="143"/>
      <c r="AA1325" s="143"/>
      <c r="AB1325" s="143"/>
      <c r="AC1325" s="143"/>
      <c r="AD1325" s="143"/>
      <c r="AE1325" s="143"/>
      <c r="AF1325" s="143"/>
      <c r="AG1325" s="143"/>
      <c r="AH1325" s="143"/>
      <c r="AI1325" s="143"/>
      <c r="AJ1325" s="143"/>
    </row>
    <row r="1326" spans="1:36" s="144" customFormat="1" ht="21.75" customHeight="1">
      <c r="A1326" s="151"/>
      <c r="B1326" s="219"/>
      <c r="C1326" s="219"/>
      <c r="D1326" s="219"/>
      <c r="E1326" s="225"/>
      <c r="N1326" s="143"/>
      <c r="O1326" s="143"/>
      <c r="P1326" s="143"/>
      <c r="Q1326" s="143"/>
      <c r="R1326" s="143"/>
      <c r="S1326" s="143"/>
      <c r="T1326" s="143"/>
      <c r="U1326" s="143"/>
      <c r="V1326" s="143"/>
      <c r="W1326" s="143"/>
      <c r="X1326" s="143"/>
      <c r="Y1326" s="143"/>
      <c r="Z1326" s="143"/>
      <c r="AA1326" s="143"/>
      <c r="AB1326" s="143"/>
      <c r="AC1326" s="143"/>
      <c r="AD1326" s="143"/>
      <c r="AE1326" s="143"/>
      <c r="AF1326" s="143"/>
      <c r="AG1326" s="143"/>
      <c r="AH1326" s="143"/>
      <c r="AI1326" s="143"/>
      <c r="AJ1326" s="143"/>
    </row>
    <row r="1327" spans="1:36" s="144" customFormat="1" ht="21.75" customHeight="1">
      <c r="A1327" s="151"/>
      <c r="B1327" s="219"/>
      <c r="C1327" s="219"/>
      <c r="D1327" s="219"/>
      <c r="E1327" s="225"/>
      <c r="N1327" s="143"/>
      <c r="O1327" s="143"/>
      <c r="P1327" s="143"/>
      <c r="Q1327" s="143"/>
      <c r="R1327" s="143"/>
      <c r="S1327" s="143"/>
      <c r="T1327" s="143"/>
      <c r="U1327" s="143"/>
      <c r="V1327" s="143"/>
      <c r="W1327" s="143"/>
      <c r="X1327" s="143"/>
      <c r="Y1327" s="143"/>
      <c r="Z1327" s="143"/>
      <c r="AA1327" s="143"/>
      <c r="AB1327" s="143"/>
      <c r="AC1327" s="143"/>
      <c r="AD1327" s="143"/>
      <c r="AE1327" s="143"/>
      <c r="AF1327" s="143"/>
      <c r="AG1327" s="143"/>
      <c r="AH1327" s="143"/>
      <c r="AI1327" s="143"/>
      <c r="AJ1327" s="143"/>
    </row>
    <row r="1328" spans="1:36" s="144" customFormat="1" ht="21.75" customHeight="1">
      <c r="A1328" s="151"/>
      <c r="B1328" s="219"/>
      <c r="C1328" s="219"/>
      <c r="D1328" s="219"/>
      <c r="E1328" s="225"/>
      <c r="N1328" s="143"/>
      <c r="O1328" s="143"/>
      <c r="P1328" s="143"/>
      <c r="Q1328" s="143"/>
      <c r="R1328" s="143"/>
      <c r="S1328" s="143"/>
      <c r="T1328" s="143"/>
      <c r="U1328" s="143"/>
      <c r="V1328" s="143"/>
      <c r="W1328" s="143"/>
      <c r="X1328" s="143"/>
      <c r="Y1328" s="143"/>
      <c r="Z1328" s="143"/>
      <c r="AA1328" s="143"/>
      <c r="AB1328" s="143"/>
      <c r="AC1328" s="143"/>
      <c r="AD1328" s="143"/>
      <c r="AE1328" s="143"/>
      <c r="AF1328" s="143"/>
      <c r="AG1328" s="143"/>
      <c r="AH1328" s="143"/>
      <c r="AI1328" s="143"/>
      <c r="AJ1328" s="143"/>
    </row>
    <row r="1329" spans="1:36" s="144" customFormat="1" ht="21.75" customHeight="1">
      <c r="A1329" s="151"/>
      <c r="B1329" s="219"/>
      <c r="C1329" s="219"/>
      <c r="D1329" s="219"/>
      <c r="E1329" s="225"/>
      <c r="N1329" s="143"/>
      <c r="O1329" s="143"/>
      <c r="P1329" s="143"/>
      <c r="Q1329" s="143"/>
      <c r="R1329" s="143"/>
      <c r="S1329" s="143"/>
      <c r="T1329" s="143"/>
      <c r="U1329" s="143"/>
      <c r="V1329" s="143"/>
      <c r="W1329" s="143"/>
      <c r="X1329" s="143"/>
      <c r="Y1329" s="143"/>
      <c r="Z1329" s="143"/>
      <c r="AA1329" s="143"/>
      <c r="AB1329" s="143"/>
      <c r="AC1329" s="143"/>
      <c r="AD1329" s="143"/>
      <c r="AE1329" s="143"/>
      <c r="AF1329" s="143"/>
      <c r="AG1329" s="143"/>
      <c r="AH1329" s="143"/>
      <c r="AI1329" s="143"/>
      <c r="AJ1329" s="143"/>
    </row>
    <row r="1330" spans="1:36" s="144" customFormat="1" ht="21.75" customHeight="1">
      <c r="A1330" s="151"/>
      <c r="B1330" s="219"/>
      <c r="C1330" s="219"/>
      <c r="D1330" s="219"/>
      <c r="E1330" s="225"/>
      <c r="N1330" s="143"/>
      <c r="O1330" s="143"/>
      <c r="P1330" s="143"/>
      <c r="Q1330" s="143"/>
      <c r="R1330" s="143"/>
      <c r="S1330" s="143"/>
      <c r="T1330" s="143"/>
      <c r="U1330" s="143"/>
      <c r="V1330" s="143"/>
      <c r="W1330" s="143"/>
      <c r="X1330" s="143"/>
      <c r="Y1330" s="143"/>
      <c r="Z1330" s="143"/>
      <c r="AA1330" s="143"/>
      <c r="AB1330" s="143"/>
      <c r="AC1330" s="143"/>
      <c r="AD1330" s="143"/>
      <c r="AE1330" s="143"/>
      <c r="AF1330" s="143"/>
      <c r="AG1330" s="143"/>
      <c r="AH1330" s="143"/>
      <c r="AI1330" s="143"/>
      <c r="AJ1330" s="143"/>
    </row>
    <row r="1331" spans="1:36" s="144" customFormat="1" ht="21.75" customHeight="1">
      <c r="A1331" s="151"/>
      <c r="B1331" s="219"/>
      <c r="C1331" s="219"/>
      <c r="D1331" s="219"/>
      <c r="E1331" s="225"/>
      <c r="N1331" s="143"/>
      <c r="O1331" s="143"/>
      <c r="P1331" s="143"/>
      <c r="Q1331" s="143"/>
      <c r="R1331" s="143"/>
      <c r="S1331" s="143"/>
      <c r="T1331" s="143"/>
      <c r="U1331" s="143"/>
      <c r="V1331" s="143"/>
      <c r="W1331" s="143"/>
      <c r="X1331" s="143"/>
      <c r="Y1331" s="143"/>
      <c r="Z1331" s="143"/>
      <c r="AA1331" s="143"/>
      <c r="AB1331" s="143"/>
      <c r="AC1331" s="143"/>
      <c r="AD1331" s="143"/>
      <c r="AE1331" s="143"/>
      <c r="AF1331" s="143"/>
      <c r="AG1331" s="143"/>
      <c r="AH1331" s="143"/>
      <c r="AI1331" s="143"/>
      <c r="AJ1331" s="143"/>
    </row>
    <row r="1332" spans="1:36" s="144" customFormat="1" ht="21.75" customHeight="1">
      <c r="A1332" s="151"/>
      <c r="B1332" s="219"/>
      <c r="C1332" s="219"/>
      <c r="D1332" s="219"/>
      <c r="E1332" s="225"/>
      <c r="N1332" s="143"/>
      <c r="O1332" s="143"/>
      <c r="P1332" s="143"/>
      <c r="Q1332" s="143"/>
      <c r="R1332" s="143"/>
      <c r="S1332" s="143"/>
      <c r="T1332" s="143"/>
      <c r="U1332" s="143"/>
      <c r="V1332" s="143"/>
      <c r="W1332" s="143"/>
      <c r="X1332" s="143"/>
      <c r="Y1332" s="143"/>
      <c r="Z1332" s="143"/>
      <c r="AA1332" s="143"/>
      <c r="AB1332" s="143"/>
      <c r="AC1332" s="143"/>
      <c r="AD1332" s="143"/>
      <c r="AE1332" s="143"/>
      <c r="AF1332" s="143"/>
      <c r="AG1332" s="143"/>
      <c r="AH1332" s="143"/>
      <c r="AI1332" s="143"/>
      <c r="AJ1332" s="143"/>
    </row>
    <row r="1333" spans="1:36" s="144" customFormat="1" ht="21.75" customHeight="1">
      <c r="A1333" s="151"/>
      <c r="B1333" s="219"/>
      <c r="C1333" s="219"/>
      <c r="D1333" s="219"/>
      <c r="E1333" s="225"/>
      <c r="N1333" s="143"/>
      <c r="O1333" s="143"/>
      <c r="P1333" s="143"/>
      <c r="Q1333" s="143"/>
      <c r="R1333" s="143"/>
      <c r="S1333" s="143"/>
      <c r="T1333" s="143"/>
      <c r="U1333" s="143"/>
      <c r="V1333" s="143"/>
      <c r="W1333" s="143"/>
      <c r="X1333" s="143"/>
      <c r="Y1333" s="143"/>
      <c r="Z1333" s="143"/>
      <c r="AA1333" s="143"/>
      <c r="AB1333" s="143"/>
      <c r="AC1333" s="143"/>
      <c r="AD1333" s="143"/>
      <c r="AE1333" s="143"/>
      <c r="AF1333" s="143"/>
      <c r="AG1333" s="143"/>
      <c r="AH1333" s="143"/>
      <c r="AI1333" s="143"/>
      <c r="AJ1333" s="143"/>
    </row>
    <row r="1334" spans="1:36" s="144" customFormat="1" ht="21.75" customHeight="1">
      <c r="A1334" s="151"/>
      <c r="B1334" s="219"/>
      <c r="C1334" s="219"/>
      <c r="D1334" s="219"/>
      <c r="E1334" s="225"/>
      <c r="N1334" s="143"/>
      <c r="O1334" s="143"/>
      <c r="P1334" s="143"/>
      <c r="Q1334" s="143"/>
      <c r="R1334" s="143"/>
      <c r="S1334" s="143"/>
      <c r="T1334" s="143"/>
      <c r="U1334" s="143"/>
      <c r="V1334" s="143"/>
      <c r="W1334" s="143"/>
      <c r="X1334" s="143"/>
      <c r="Y1334" s="143"/>
      <c r="Z1334" s="143"/>
      <c r="AA1334" s="143"/>
      <c r="AB1334" s="143"/>
      <c r="AC1334" s="143"/>
      <c r="AD1334" s="143"/>
      <c r="AE1334" s="143"/>
      <c r="AF1334" s="143"/>
      <c r="AG1334" s="143"/>
      <c r="AH1334" s="143"/>
      <c r="AI1334" s="143"/>
      <c r="AJ1334" s="143"/>
    </row>
    <row r="1335" spans="1:36" s="144" customFormat="1" ht="21.75" customHeight="1">
      <c r="A1335" s="151"/>
      <c r="B1335" s="219"/>
      <c r="C1335" s="219"/>
      <c r="D1335" s="219"/>
      <c r="E1335" s="225"/>
      <c r="N1335" s="143"/>
      <c r="O1335" s="143"/>
      <c r="P1335" s="143"/>
      <c r="Q1335" s="143"/>
      <c r="R1335" s="143"/>
      <c r="S1335" s="143"/>
      <c r="T1335" s="143"/>
      <c r="U1335" s="143"/>
      <c r="V1335" s="143"/>
      <c r="W1335" s="143"/>
      <c r="X1335" s="143"/>
      <c r="Y1335" s="143"/>
      <c r="Z1335" s="143"/>
      <c r="AA1335" s="143"/>
      <c r="AB1335" s="143"/>
      <c r="AC1335" s="143"/>
      <c r="AD1335" s="143"/>
      <c r="AE1335" s="143"/>
      <c r="AF1335" s="143"/>
      <c r="AG1335" s="143"/>
      <c r="AH1335" s="143"/>
      <c r="AI1335" s="143"/>
      <c r="AJ1335" s="143"/>
    </row>
    <row r="1336" spans="1:36" s="144" customFormat="1" ht="21.75" customHeight="1">
      <c r="A1336" s="151"/>
      <c r="B1336" s="219"/>
      <c r="C1336" s="219"/>
      <c r="D1336" s="219"/>
      <c r="E1336" s="225"/>
      <c r="N1336" s="143"/>
      <c r="O1336" s="143"/>
      <c r="P1336" s="143"/>
      <c r="Q1336" s="143"/>
      <c r="R1336" s="143"/>
      <c r="S1336" s="143"/>
      <c r="T1336" s="143"/>
      <c r="U1336" s="143"/>
      <c r="V1336" s="143"/>
      <c r="W1336" s="143"/>
      <c r="X1336" s="143"/>
      <c r="Y1336" s="143"/>
      <c r="Z1336" s="143"/>
      <c r="AA1336" s="143"/>
      <c r="AB1336" s="143"/>
      <c r="AC1336" s="143"/>
      <c r="AD1336" s="143"/>
      <c r="AE1336" s="143"/>
      <c r="AF1336" s="143"/>
      <c r="AG1336" s="143"/>
      <c r="AH1336" s="143"/>
      <c r="AI1336" s="143"/>
      <c r="AJ1336" s="143"/>
    </row>
    <row r="1337" spans="1:36" s="144" customFormat="1" ht="21.75" customHeight="1">
      <c r="A1337" s="151"/>
      <c r="B1337" s="219"/>
      <c r="C1337" s="219"/>
      <c r="D1337" s="219"/>
      <c r="E1337" s="225"/>
      <c r="N1337" s="143"/>
      <c r="O1337" s="143"/>
      <c r="P1337" s="143"/>
      <c r="Q1337" s="143"/>
      <c r="R1337" s="143"/>
      <c r="S1337" s="143"/>
      <c r="T1337" s="143"/>
      <c r="U1337" s="143"/>
      <c r="V1337" s="143"/>
      <c r="W1337" s="143"/>
      <c r="X1337" s="143"/>
      <c r="Y1337" s="143"/>
      <c r="Z1337" s="143"/>
      <c r="AA1337" s="143"/>
      <c r="AB1337" s="143"/>
      <c r="AC1337" s="143"/>
      <c r="AD1337" s="143"/>
      <c r="AE1337" s="143"/>
      <c r="AF1337" s="143"/>
      <c r="AG1337" s="143"/>
      <c r="AH1337" s="143"/>
      <c r="AI1337" s="143"/>
      <c r="AJ1337" s="143"/>
    </row>
    <row r="1338" spans="1:36" s="144" customFormat="1" ht="21.75" customHeight="1">
      <c r="A1338" s="151"/>
      <c r="B1338" s="219"/>
      <c r="C1338" s="219"/>
      <c r="D1338" s="219"/>
      <c r="E1338" s="225"/>
      <c r="N1338" s="143"/>
      <c r="O1338" s="143"/>
      <c r="P1338" s="143"/>
      <c r="Q1338" s="143"/>
      <c r="R1338" s="143"/>
      <c r="S1338" s="143"/>
      <c r="T1338" s="143"/>
      <c r="U1338" s="143"/>
      <c r="V1338" s="143"/>
      <c r="W1338" s="143"/>
      <c r="X1338" s="143"/>
      <c r="Y1338" s="143"/>
      <c r="Z1338" s="143"/>
      <c r="AA1338" s="143"/>
      <c r="AB1338" s="143"/>
      <c r="AC1338" s="143"/>
      <c r="AD1338" s="143"/>
      <c r="AE1338" s="143"/>
      <c r="AF1338" s="143"/>
      <c r="AG1338" s="143"/>
      <c r="AH1338" s="143"/>
      <c r="AI1338" s="143"/>
      <c r="AJ1338" s="143"/>
    </row>
    <row r="1339" spans="1:36" s="144" customFormat="1" ht="21.75" customHeight="1">
      <c r="A1339" s="151"/>
      <c r="B1339" s="219"/>
      <c r="C1339" s="219"/>
      <c r="D1339" s="219"/>
      <c r="E1339" s="225"/>
      <c r="N1339" s="143"/>
      <c r="O1339" s="143"/>
      <c r="P1339" s="143"/>
      <c r="Q1339" s="143"/>
      <c r="R1339" s="143"/>
      <c r="S1339" s="143"/>
      <c r="T1339" s="143"/>
      <c r="U1339" s="143"/>
      <c r="V1339" s="143"/>
      <c r="W1339" s="143"/>
      <c r="X1339" s="143"/>
      <c r="Y1339" s="143"/>
      <c r="Z1339" s="143"/>
      <c r="AA1339" s="143"/>
      <c r="AB1339" s="143"/>
      <c r="AC1339" s="143"/>
      <c r="AD1339" s="143"/>
      <c r="AE1339" s="143"/>
      <c r="AF1339" s="143"/>
      <c r="AG1339" s="143"/>
      <c r="AH1339" s="143"/>
      <c r="AI1339" s="143"/>
      <c r="AJ1339" s="143"/>
    </row>
    <row r="1340" spans="1:36" s="144" customFormat="1" ht="21.75" customHeight="1">
      <c r="A1340" s="151"/>
      <c r="B1340" s="219"/>
      <c r="C1340" s="219"/>
      <c r="D1340" s="219"/>
      <c r="E1340" s="225"/>
      <c r="N1340" s="143"/>
      <c r="O1340" s="143"/>
      <c r="P1340" s="143"/>
      <c r="Q1340" s="143"/>
      <c r="R1340" s="143"/>
      <c r="S1340" s="143"/>
      <c r="T1340" s="143"/>
      <c r="U1340" s="143"/>
      <c r="V1340" s="143"/>
      <c r="W1340" s="143"/>
      <c r="X1340" s="143"/>
      <c r="Y1340" s="143"/>
      <c r="Z1340" s="143"/>
      <c r="AA1340" s="143"/>
      <c r="AB1340" s="143"/>
      <c r="AC1340" s="143"/>
      <c r="AD1340" s="143"/>
      <c r="AE1340" s="143"/>
      <c r="AF1340" s="143"/>
      <c r="AG1340" s="143"/>
      <c r="AH1340" s="143"/>
      <c r="AI1340" s="143"/>
      <c r="AJ1340" s="143"/>
    </row>
    <row r="1341" spans="1:36" s="144" customFormat="1" ht="21.75" customHeight="1">
      <c r="A1341" s="151"/>
      <c r="B1341" s="219"/>
      <c r="C1341" s="219"/>
      <c r="D1341" s="219"/>
      <c r="E1341" s="225"/>
      <c r="N1341" s="143"/>
      <c r="O1341" s="143"/>
      <c r="P1341" s="143"/>
      <c r="Q1341" s="143"/>
      <c r="R1341" s="143"/>
      <c r="S1341" s="143"/>
      <c r="T1341" s="143"/>
      <c r="U1341" s="143"/>
      <c r="V1341" s="143"/>
      <c r="W1341" s="143"/>
      <c r="X1341" s="143"/>
      <c r="Y1341" s="143"/>
      <c r="Z1341" s="143"/>
      <c r="AA1341" s="143"/>
      <c r="AB1341" s="143"/>
      <c r="AC1341" s="143"/>
      <c r="AD1341" s="143"/>
      <c r="AE1341" s="143"/>
      <c r="AF1341" s="143"/>
      <c r="AG1341" s="143"/>
      <c r="AH1341" s="143"/>
      <c r="AI1341" s="143"/>
      <c r="AJ1341" s="143"/>
    </row>
    <row r="1342" spans="1:36" s="144" customFormat="1" ht="21.75" customHeight="1">
      <c r="A1342" s="151"/>
      <c r="B1342" s="219"/>
      <c r="C1342" s="219"/>
      <c r="D1342" s="219"/>
      <c r="E1342" s="225"/>
      <c r="N1342" s="143"/>
      <c r="O1342" s="143"/>
      <c r="P1342" s="143"/>
      <c r="Q1342" s="143"/>
      <c r="R1342" s="143"/>
      <c r="S1342" s="143"/>
      <c r="T1342" s="143"/>
      <c r="U1342" s="143"/>
      <c r="V1342" s="143"/>
      <c r="W1342" s="143"/>
      <c r="X1342" s="143"/>
      <c r="Y1342" s="143"/>
      <c r="Z1342" s="143"/>
      <c r="AA1342" s="143"/>
      <c r="AB1342" s="143"/>
      <c r="AC1342" s="143"/>
      <c r="AD1342" s="143"/>
      <c r="AE1342" s="143"/>
      <c r="AF1342" s="143"/>
      <c r="AG1342" s="143"/>
      <c r="AH1342" s="143"/>
      <c r="AI1342" s="143"/>
      <c r="AJ1342" s="143"/>
    </row>
    <row r="1343" spans="1:36" s="144" customFormat="1" ht="21.75" customHeight="1">
      <c r="A1343" s="151"/>
      <c r="B1343" s="219"/>
      <c r="C1343" s="219"/>
      <c r="D1343" s="219"/>
      <c r="E1343" s="225"/>
      <c r="N1343" s="143"/>
      <c r="O1343" s="143"/>
      <c r="P1343" s="143"/>
      <c r="Q1343" s="143"/>
      <c r="R1343" s="143"/>
      <c r="S1343" s="143"/>
      <c r="T1343" s="143"/>
      <c r="U1343" s="143"/>
      <c r="V1343" s="143"/>
      <c r="W1343" s="143"/>
      <c r="X1343" s="143"/>
      <c r="Y1343" s="143"/>
      <c r="Z1343" s="143"/>
      <c r="AA1343" s="143"/>
      <c r="AB1343" s="143"/>
      <c r="AC1343" s="143"/>
      <c r="AD1343" s="143"/>
      <c r="AE1343" s="143"/>
      <c r="AF1343" s="143"/>
      <c r="AG1343" s="143"/>
      <c r="AH1343" s="143"/>
      <c r="AI1343" s="143"/>
      <c r="AJ1343" s="143"/>
    </row>
    <row r="1344" spans="1:36" s="144" customFormat="1" ht="21.75" customHeight="1">
      <c r="A1344" s="151"/>
      <c r="B1344" s="219"/>
      <c r="C1344" s="219"/>
      <c r="D1344" s="219"/>
      <c r="E1344" s="225"/>
      <c r="N1344" s="143"/>
      <c r="O1344" s="143"/>
      <c r="P1344" s="143"/>
      <c r="Q1344" s="143"/>
      <c r="R1344" s="143"/>
      <c r="S1344" s="143"/>
      <c r="T1344" s="143"/>
      <c r="U1344" s="143"/>
      <c r="V1344" s="143"/>
      <c r="W1344" s="143"/>
      <c r="X1344" s="143"/>
      <c r="Y1344" s="143"/>
      <c r="Z1344" s="143"/>
      <c r="AA1344" s="143"/>
      <c r="AB1344" s="143"/>
      <c r="AC1344" s="143"/>
      <c r="AD1344" s="143"/>
      <c r="AE1344" s="143"/>
      <c r="AF1344" s="143"/>
      <c r="AG1344" s="143"/>
      <c r="AH1344" s="143"/>
      <c r="AI1344" s="143"/>
      <c r="AJ1344" s="143"/>
    </row>
    <row r="1345" spans="1:36" s="144" customFormat="1" ht="21.75" customHeight="1">
      <c r="A1345" s="151"/>
      <c r="B1345" s="219"/>
      <c r="C1345" s="219"/>
      <c r="D1345" s="219"/>
      <c r="E1345" s="225"/>
      <c r="N1345" s="143"/>
      <c r="O1345" s="143"/>
      <c r="P1345" s="143"/>
      <c r="Q1345" s="143"/>
      <c r="R1345" s="143"/>
      <c r="S1345" s="143"/>
      <c r="T1345" s="143"/>
      <c r="U1345" s="143"/>
      <c r="V1345" s="143"/>
      <c r="W1345" s="143"/>
      <c r="X1345" s="143"/>
      <c r="Y1345" s="143"/>
      <c r="Z1345" s="143"/>
      <c r="AA1345" s="143"/>
      <c r="AB1345" s="143"/>
      <c r="AC1345" s="143"/>
      <c r="AD1345" s="143"/>
      <c r="AE1345" s="143"/>
      <c r="AF1345" s="143"/>
      <c r="AG1345" s="143"/>
      <c r="AH1345" s="143"/>
      <c r="AI1345" s="143"/>
      <c r="AJ1345" s="143"/>
    </row>
    <row r="1346" spans="1:36" s="144" customFormat="1" ht="21.75" customHeight="1">
      <c r="A1346" s="151"/>
      <c r="B1346" s="219"/>
      <c r="C1346" s="219"/>
      <c r="D1346" s="219"/>
      <c r="E1346" s="225"/>
      <c r="N1346" s="143"/>
      <c r="O1346" s="143"/>
      <c r="P1346" s="143"/>
      <c r="Q1346" s="143"/>
      <c r="R1346" s="143"/>
      <c r="S1346" s="143"/>
      <c r="T1346" s="143"/>
      <c r="U1346" s="143"/>
      <c r="V1346" s="143"/>
      <c r="W1346" s="143"/>
      <c r="X1346" s="143"/>
      <c r="Y1346" s="143"/>
      <c r="Z1346" s="143"/>
      <c r="AA1346" s="143"/>
      <c r="AB1346" s="143"/>
      <c r="AC1346" s="143"/>
      <c r="AD1346" s="143"/>
      <c r="AE1346" s="143"/>
      <c r="AF1346" s="143"/>
      <c r="AG1346" s="143"/>
      <c r="AH1346" s="143"/>
      <c r="AI1346" s="143"/>
      <c r="AJ1346" s="143"/>
    </row>
    <row r="1347" spans="1:36" s="144" customFormat="1" ht="21.75" customHeight="1">
      <c r="A1347" s="151"/>
      <c r="B1347" s="219"/>
      <c r="C1347" s="219"/>
      <c r="D1347" s="219"/>
      <c r="E1347" s="225"/>
      <c r="N1347" s="143"/>
      <c r="O1347" s="143"/>
      <c r="P1347" s="143"/>
      <c r="Q1347" s="143"/>
      <c r="R1347" s="143"/>
      <c r="S1347" s="143"/>
      <c r="T1347" s="143"/>
      <c r="U1347" s="143"/>
      <c r="V1347" s="143"/>
      <c r="W1347" s="143"/>
      <c r="X1347" s="143"/>
      <c r="Y1347" s="143"/>
      <c r="Z1347" s="143"/>
      <c r="AA1347" s="143"/>
      <c r="AB1347" s="143"/>
      <c r="AC1347" s="143"/>
      <c r="AD1347" s="143"/>
      <c r="AE1347" s="143"/>
      <c r="AF1347" s="143"/>
      <c r="AG1347" s="143"/>
      <c r="AH1347" s="143"/>
      <c r="AI1347" s="143"/>
      <c r="AJ1347" s="143"/>
    </row>
    <row r="1348" spans="1:36" s="144" customFormat="1" ht="21.75" customHeight="1">
      <c r="A1348" s="151"/>
      <c r="B1348" s="219"/>
      <c r="C1348" s="219"/>
      <c r="D1348" s="219"/>
      <c r="E1348" s="225"/>
      <c r="N1348" s="143"/>
      <c r="O1348" s="143"/>
      <c r="P1348" s="143"/>
      <c r="Q1348" s="143"/>
      <c r="R1348" s="143"/>
      <c r="S1348" s="143"/>
      <c r="T1348" s="143"/>
      <c r="U1348" s="143"/>
      <c r="V1348" s="143"/>
      <c r="W1348" s="143"/>
      <c r="X1348" s="143"/>
      <c r="Y1348" s="143"/>
      <c r="Z1348" s="143"/>
      <c r="AA1348" s="143"/>
      <c r="AB1348" s="143"/>
      <c r="AC1348" s="143"/>
      <c r="AD1348" s="143"/>
      <c r="AE1348" s="143"/>
      <c r="AF1348" s="143"/>
      <c r="AG1348" s="143"/>
      <c r="AH1348" s="143"/>
      <c r="AI1348" s="143"/>
      <c r="AJ1348" s="143"/>
    </row>
    <row r="1349" spans="1:36" s="144" customFormat="1" ht="21.75" customHeight="1">
      <c r="A1349" s="151"/>
      <c r="B1349" s="219"/>
      <c r="C1349" s="219"/>
      <c r="D1349" s="219"/>
      <c r="E1349" s="225"/>
      <c r="N1349" s="143"/>
      <c r="O1349" s="143"/>
      <c r="P1349" s="143"/>
      <c r="Q1349" s="143"/>
      <c r="R1349" s="143"/>
      <c r="S1349" s="143"/>
      <c r="T1349" s="143"/>
      <c r="U1349" s="143"/>
      <c r="V1349" s="143"/>
      <c r="W1349" s="143"/>
      <c r="X1349" s="143"/>
      <c r="Y1349" s="143"/>
      <c r="Z1349" s="143"/>
      <c r="AA1349" s="143"/>
      <c r="AB1349" s="143"/>
      <c r="AC1349" s="143"/>
      <c r="AD1349" s="143"/>
      <c r="AE1349" s="143"/>
      <c r="AF1349" s="143"/>
      <c r="AG1349" s="143"/>
      <c r="AH1349" s="143"/>
      <c r="AI1349" s="143"/>
      <c r="AJ1349" s="143"/>
    </row>
    <row r="1350" spans="1:36" s="144" customFormat="1" ht="21.75" customHeight="1">
      <c r="A1350" s="151"/>
      <c r="B1350" s="219"/>
      <c r="C1350" s="219"/>
      <c r="D1350" s="219"/>
      <c r="E1350" s="225"/>
      <c r="N1350" s="143"/>
      <c r="O1350" s="143"/>
      <c r="P1350" s="143"/>
      <c r="Q1350" s="143"/>
      <c r="R1350" s="143"/>
      <c r="S1350" s="143"/>
      <c r="T1350" s="143"/>
      <c r="U1350" s="143"/>
      <c r="V1350" s="143"/>
      <c r="W1350" s="143"/>
      <c r="X1350" s="143"/>
      <c r="Y1350" s="143"/>
      <c r="Z1350" s="143"/>
      <c r="AA1350" s="143"/>
      <c r="AB1350" s="143"/>
      <c r="AC1350" s="143"/>
      <c r="AD1350" s="143"/>
      <c r="AE1350" s="143"/>
      <c r="AF1350" s="143"/>
      <c r="AG1350" s="143"/>
      <c r="AH1350" s="143"/>
      <c r="AI1350" s="143"/>
      <c r="AJ1350" s="143"/>
    </row>
    <row r="1351" spans="1:36" s="144" customFormat="1" ht="21.75" customHeight="1">
      <c r="A1351" s="151"/>
      <c r="B1351" s="219"/>
      <c r="C1351" s="219"/>
      <c r="D1351" s="219"/>
      <c r="E1351" s="225"/>
      <c r="N1351" s="143"/>
      <c r="O1351" s="143"/>
      <c r="P1351" s="143"/>
      <c r="Q1351" s="143"/>
      <c r="R1351" s="143"/>
      <c r="S1351" s="143"/>
      <c r="T1351" s="143"/>
      <c r="U1351" s="143"/>
      <c r="V1351" s="143"/>
      <c r="W1351" s="143"/>
      <c r="X1351" s="143"/>
      <c r="Y1351" s="143"/>
      <c r="Z1351" s="143"/>
      <c r="AA1351" s="143"/>
      <c r="AB1351" s="143"/>
      <c r="AC1351" s="143"/>
      <c r="AD1351" s="143"/>
      <c r="AE1351" s="143"/>
      <c r="AF1351" s="143"/>
      <c r="AG1351" s="143"/>
      <c r="AH1351" s="143"/>
      <c r="AI1351" s="143"/>
      <c r="AJ1351" s="143"/>
    </row>
    <row r="1352" spans="1:36" s="144" customFormat="1" ht="21.75" customHeight="1">
      <c r="A1352" s="151"/>
      <c r="B1352" s="219"/>
      <c r="C1352" s="219"/>
      <c r="D1352" s="219"/>
      <c r="E1352" s="225"/>
      <c r="N1352" s="143"/>
      <c r="O1352" s="143"/>
      <c r="P1352" s="143"/>
      <c r="Q1352" s="143"/>
      <c r="R1352" s="143"/>
      <c r="S1352" s="143"/>
      <c r="T1352" s="143"/>
      <c r="U1352" s="143"/>
      <c r="V1352" s="143"/>
      <c r="W1352" s="143"/>
      <c r="X1352" s="143"/>
      <c r="Y1352" s="143"/>
      <c r="Z1352" s="143"/>
      <c r="AA1352" s="143"/>
      <c r="AB1352" s="143"/>
      <c r="AC1352" s="143"/>
      <c r="AD1352" s="143"/>
      <c r="AE1352" s="143"/>
      <c r="AF1352" s="143"/>
      <c r="AG1352" s="143"/>
      <c r="AH1352" s="143"/>
      <c r="AI1352" s="143"/>
      <c r="AJ1352" s="143"/>
    </row>
    <row r="1353" spans="1:36" s="144" customFormat="1" ht="21.75" customHeight="1">
      <c r="A1353" s="151"/>
      <c r="B1353" s="219"/>
      <c r="C1353" s="219"/>
      <c r="D1353" s="219"/>
      <c r="E1353" s="225"/>
      <c r="N1353" s="143"/>
      <c r="O1353" s="143"/>
      <c r="P1353" s="143"/>
      <c r="Q1353" s="143"/>
      <c r="R1353" s="143"/>
      <c r="S1353" s="143"/>
      <c r="T1353" s="143"/>
      <c r="U1353" s="143"/>
      <c r="V1353" s="143"/>
      <c r="W1353" s="143"/>
      <c r="X1353" s="143"/>
      <c r="Y1353" s="143"/>
      <c r="Z1353" s="143"/>
      <c r="AA1353" s="143"/>
      <c r="AB1353" s="143"/>
      <c r="AC1353" s="143"/>
      <c r="AD1353" s="143"/>
      <c r="AE1353" s="143"/>
      <c r="AF1353" s="143"/>
      <c r="AG1353" s="143"/>
      <c r="AH1353" s="143"/>
      <c r="AI1353" s="143"/>
      <c r="AJ1353" s="143"/>
    </row>
    <row r="1354" spans="1:36" s="144" customFormat="1" ht="21.75" customHeight="1">
      <c r="A1354" s="151"/>
      <c r="B1354" s="219"/>
      <c r="C1354" s="219"/>
      <c r="D1354" s="219"/>
      <c r="E1354" s="225"/>
      <c r="N1354" s="143"/>
      <c r="O1354" s="143"/>
      <c r="P1354" s="143"/>
      <c r="Q1354" s="143"/>
      <c r="R1354" s="143"/>
      <c r="S1354" s="143"/>
      <c r="T1354" s="143"/>
      <c r="U1354" s="143"/>
      <c r="V1354" s="143"/>
      <c r="W1354" s="143"/>
      <c r="X1354" s="143"/>
      <c r="Y1354" s="143"/>
      <c r="Z1354" s="143"/>
      <c r="AA1354" s="143"/>
      <c r="AB1354" s="143"/>
      <c r="AC1354" s="143"/>
      <c r="AD1354" s="143"/>
      <c r="AE1354" s="143"/>
      <c r="AF1354" s="143"/>
      <c r="AG1354" s="143"/>
      <c r="AH1354" s="143"/>
      <c r="AI1354" s="143"/>
      <c r="AJ1354" s="143"/>
    </row>
    <row r="1355" spans="1:36" s="144" customFormat="1" ht="21.75" customHeight="1">
      <c r="A1355" s="151"/>
      <c r="B1355" s="219"/>
      <c r="C1355" s="219"/>
      <c r="D1355" s="219"/>
      <c r="E1355" s="225"/>
      <c r="N1355" s="143"/>
      <c r="O1355" s="143"/>
      <c r="P1355" s="143"/>
      <c r="Q1355" s="143"/>
      <c r="R1355" s="143"/>
      <c r="S1355" s="143"/>
      <c r="T1355" s="143"/>
      <c r="U1355" s="143"/>
      <c r="V1355" s="143"/>
      <c r="W1355" s="143"/>
      <c r="X1355" s="143"/>
      <c r="Y1355" s="143"/>
      <c r="Z1355" s="143"/>
      <c r="AA1355" s="143"/>
      <c r="AB1355" s="143"/>
      <c r="AC1355" s="143"/>
      <c r="AD1355" s="143"/>
      <c r="AE1355" s="143"/>
      <c r="AF1355" s="143"/>
      <c r="AG1355" s="143"/>
      <c r="AH1355" s="143"/>
      <c r="AI1355" s="143"/>
      <c r="AJ1355" s="143"/>
    </row>
    <row r="1356" spans="1:36" s="144" customFormat="1" ht="21.75" customHeight="1">
      <c r="A1356" s="151"/>
      <c r="B1356" s="219"/>
      <c r="C1356" s="219"/>
      <c r="D1356" s="219"/>
      <c r="E1356" s="225"/>
      <c r="N1356" s="143"/>
      <c r="O1356" s="143"/>
      <c r="P1356" s="143"/>
      <c r="Q1356" s="143"/>
      <c r="R1356" s="143"/>
      <c r="S1356" s="143"/>
      <c r="T1356" s="143"/>
      <c r="U1356" s="143"/>
      <c r="V1356" s="143"/>
      <c r="W1356" s="143"/>
      <c r="X1356" s="143"/>
      <c r="Y1356" s="143"/>
      <c r="Z1356" s="143"/>
      <c r="AA1356" s="143"/>
      <c r="AB1356" s="143"/>
      <c r="AC1356" s="143"/>
      <c r="AD1356" s="143"/>
      <c r="AE1356" s="143"/>
      <c r="AF1356" s="143"/>
      <c r="AG1356" s="143"/>
      <c r="AH1356" s="143"/>
      <c r="AI1356" s="143"/>
      <c r="AJ1356" s="143"/>
    </row>
    <row r="1357" spans="1:36" s="144" customFormat="1" ht="21.75" customHeight="1">
      <c r="A1357" s="151"/>
      <c r="B1357" s="219"/>
      <c r="C1357" s="219"/>
      <c r="D1357" s="219"/>
      <c r="E1357" s="225"/>
      <c r="N1357" s="143"/>
      <c r="O1357" s="143"/>
      <c r="P1357" s="143"/>
      <c r="Q1357" s="143"/>
      <c r="R1357" s="143"/>
      <c r="S1357" s="143"/>
      <c r="T1357" s="143"/>
      <c r="U1357" s="143"/>
      <c r="V1357" s="143"/>
      <c r="W1357" s="143"/>
      <c r="X1357" s="143"/>
      <c r="Y1357" s="143"/>
      <c r="Z1357" s="143"/>
      <c r="AA1357" s="143"/>
      <c r="AB1357" s="143"/>
      <c r="AC1357" s="143"/>
      <c r="AD1357" s="143"/>
      <c r="AE1357" s="143"/>
      <c r="AF1357" s="143"/>
      <c r="AG1357" s="143"/>
      <c r="AH1357" s="143"/>
      <c r="AI1357" s="143"/>
      <c r="AJ1357" s="143"/>
    </row>
    <row r="1358" spans="1:36" s="144" customFormat="1" ht="21.75" customHeight="1">
      <c r="A1358" s="151"/>
      <c r="B1358" s="219"/>
      <c r="C1358" s="219"/>
      <c r="D1358" s="219"/>
      <c r="E1358" s="225"/>
      <c r="N1358" s="143"/>
      <c r="O1358" s="143"/>
      <c r="P1358" s="143"/>
      <c r="Q1358" s="143"/>
      <c r="R1358" s="143"/>
      <c r="S1358" s="143"/>
      <c r="T1358" s="143"/>
      <c r="U1358" s="143"/>
      <c r="V1358" s="143"/>
      <c r="W1358" s="143"/>
      <c r="X1358" s="143"/>
      <c r="Y1358" s="143"/>
      <c r="Z1358" s="143"/>
      <c r="AA1358" s="143"/>
      <c r="AB1358" s="143"/>
      <c r="AC1358" s="143"/>
      <c r="AD1358" s="143"/>
      <c r="AE1358" s="143"/>
      <c r="AF1358" s="143"/>
      <c r="AG1358" s="143"/>
      <c r="AH1358" s="143"/>
      <c r="AI1358" s="143"/>
      <c r="AJ1358" s="143"/>
    </row>
    <row r="1359" spans="1:36" s="144" customFormat="1" ht="21.75" customHeight="1">
      <c r="A1359" s="151"/>
      <c r="B1359" s="219"/>
      <c r="C1359" s="219"/>
      <c r="D1359" s="219"/>
      <c r="E1359" s="225"/>
      <c r="N1359" s="143"/>
      <c r="O1359" s="143"/>
      <c r="P1359" s="143"/>
      <c r="Q1359" s="143"/>
      <c r="R1359" s="143"/>
      <c r="S1359" s="143"/>
      <c r="T1359" s="143"/>
      <c r="U1359" s="143"/>
      <c r="V1359" s="143"/>
      <c r="W1359" s="143"/>
      <c r="X1359" s="143"/>
      <c r="Y1359" s="143"/>
      <c r="Z1359" s="143"/>
      <c r="AA1359" s="143"/>
      <c r="AB1359" s="143"/>
      <c r="AC1359" s="143"/>
      <c r="AD1359" s="143"/>
      <c r="AE1359" s="143"/>
      <c r="AF1359" s="143"/>
      <c r="AG1359" s="143"/>
      <c r="AH1359" s="143"/>
      <c r="AI1359" s="143"/>
      <c r="AJ1359" s="143"/>
    </row>
    <row r="1360" spans="1:36" s="144" customFormat="1" ht="21.75" customHeight="1">
      <c r="A1360" s="151"/>
      <c r="B1360" s="219"/>
      <c r="C1360" s="219"/>
      <c r="D1360" s="219"/>
      <c r="E1360" s="225"/>
      <c r="N1360" s="143"/>
      <c r="O1360" s="143"/>
      <c r="P1360" s="143"/>
      <c r="Q1360" s="143"/>
      <c r="R1360" s="143"/>
      <c r="S1360" s="143"/>
      <c r="T1360" s="143"/>
      <c r="U1360" s="143"/>
      <c r="V1360" s="143"/>
      <c r="W1360" s="143"/>
      <c r="X1360" s="143"/>
      <c r="Y1360" s="143"/>
      <c r="Z1360" s="143"/>
      <c r="AA1360" s="143"/>
      <c r="AB1360" s="143"/>
      <c r="AC1360" s="143"/>
      <c r="AD1360" s="143"/>
      <c r="AE1360" s="143"/>
      <c r="AF1360" s="143"/>
      <c r="AG1360" s="143"/>
      <c r="AH1360" s="143"/>
      <c r="AI1360" s="143"/>
      <c r="AJ1360" s="143"/>
    </row>
    <row r="1361" spans="1:36" s="144" customFormat="1" ht="21.75" customHeight="1">
      <c r="A1361" s="151"/>
      <c r="B1361" s="219"/>
      <c r="C1361" s="219"/>
      <c r="D1361" s="219"/>
      <c r="E1361" s="225"/>
      <c r="N1361" s="143"/>
      <c r="O1361" s="143"/>
      <c r="P1361" s="143"/>
      <c r="Q1361" s="143"/>
      <c r="R1361" s="143"/>
      <c r="S1361" s="143"/>
      <c r="T1361" s="143"/>
      <c r="U1361" s="143"/>
      <c r="V1361" s="143"/>
      <c r="W1361" s="143"/>
      <c r="X1361" s="143"/>
      <c r="Y1361" s="143"/>
      <c r="Z1361" s="143"/>
      <c r="AA1361" s="143"/>
      <c r="AB1361" s="143"/>
      <c r="AC1361" s="143"/>
      <c r="AD1361" s="143"/>
      <c r="AE1361" s="143"/>
      <c r="AF1361" s="143"/>
      <c r="AG1361" s="143"/>
      <c r="AH1361" s="143"/>
      <c r="AI1361" s="143"/>
      <c r="AJ1361" s="143"/>
    </row>
    <row r="1362" spans="1:36" s="144" customFormat="1" ht="21.75" customHeight="1">
      <c r="A1362" s="151"/>
      <c r="B1362" s="219"/>
      <c r="C1362" s="219"/>
      <c r="D1362" s="219"/>
      <c r="E1362" s="225"/>
      <c r="N1362" s="143"/>
      <c r="O1362" s="143"/>
      <c r="P1362" s="143"/>
      <c r="Q1362" s="143"/>
      <c r="R1362" s="143"/>
      <c r="S1362" s="143"/>
      <c r="T1362" s="143"/>
      <c r="U1362" s="143"/>
      <c r="V1362" s="143"/>
      <c r="W1362" s="143"/>
      <c r="X1362" s="143"/>
      <c r="Y1362" s="143"/>
      <c r="Z1362" s="143"/>
      <c r="AA1362" s="143"/>
      <c r="AB1362" s="143"/>
      <c r="AC1362" s="143"/>
      <c r="AD1362" s="143"/>
      <c r="AE1362" s="143"/>
      <c r="AF1362" s="143"/>
      <c r="AG1362" s="143"/>
      <c r="AH1362" s="143"/>
      <c r="AI1362" s="143"/>
      <c r="AJ1362" s="143"/>
    </row>
    <row r="1363" spans="1:36" s="144" customFormat="1" ht="21.75" customHeight="1">
      <c r="A1363" s="151"/>
      <c r="B1363" s="219"/>
      <c r="C1363" s="219"/>
      <c r="D1363" s="219"/>
      <c r="E1363" s="225"/>
      <c r="N1363" s="143"/>
      <c r="O1363" s="143"/>
      <c r="P1363" s="143"/>
      <c r="Q1363" s="143"/>
      <c r="R1363" s="143"/>
      <c r="S1363" s="143"/>
      <c r="T1363" s="143"/>
      <c r="U1363" s="143"/>
      <c r="V1363" s="143"/>
      <c r="W1363" s="143"/>
      <c r="X1363" s="143"/>
      <c r="Y1363" s="143"/>
      <c r="Z1363" s="143"/>
      <c r="AA1363" s="143"/>
      <c r="AB1363" s="143"/>
      <c r="AC1363" s="143"/>
      <c r="AD1363" s="143"/>
      <c r="AE1363" s="143"/>
      <c r="AF1363" s="143"/>
      <c r="AG1363" s="143"/>
      <c r="AH1363" s="143"/>
      <c r="AI1363" s="143"/>
      <c r="AJ1363" s="143"/>
    </row>
    <row r="1364" spans="1:36" s="144" customFormat="1" ht="21.75" customHeight="1">
      <c r="A1364" s="151"/>
      <c r="B1364" s="219"/>
      <c r="C1364" s="219"/>
      <c r="D1364" s="219"/>
      <c r="E1364" s="225"/>
      <c r="N1364" s="143"/>
      <c r="O1364" s="143"/>
      <c r="P1364" s="143"/>
      <c r="Q1364" s="143"/>
      <c r="R1364" s="143"/>
      <c r="S1364" s="143"/>
      <c r="T1364" s="143"/>
      <c r="U1364" s="143"/>
      <c r="V1364" s="143"/>
      <c r="W1364" s="143"/>
      <c r="X1364" s="143"/>
      <c r="Y1364" s="143"/>
      <c r="Z1364" s="143"/>
      <c r="AA1364" s="143"/>
      <c r="AB1364" s="143"/>
      <c r="AC1364" s="143"/>
      <c r="AD1364" s="143"/>
      <c r="AE1364" s="143"/>
      <c r="AF1364" s="143"/>
      <c r="AG1364" s="143"/>
      <c r="AH1364" s="143"/>
      <c r="AI1364" s="143"/>
      <c r="AJ1364" s="143"/>
    </row>
    <row r="1365" spans="1:36" s="144" customFormat="1" ht="21.75" customHeight="1">
      <c r="A1365" s="151"/>
      <c r="B1365" s="219"/>
      <c r="C1365" s="219"/>
      <c r="D1365" s="219"/>
      <c r="E1365" s="225"/>
      <c r="N1365" s="143"/>
      <c r="O1365" s="143"/>
      <c r="P1365" s="143"/>
      <c r="Q1365" s="143"/>
      <c r="R1365" s="143"/>
      <c r="S1365" s="143"/>
      <c r="T1365" s="143"/>
      <c r="U1365" s="143"/>
      <c r="V1365" s="143"/>
      <c r="W1365" s="143"/>
      <c r="X1365" s="143"/>
      <c r="Y1365" s="143"/>
      <c r="Z1365" s="143"/>
      <c r="AA1365" s="143"/>
      <c r="AB1365" s="143"/>
      <c r="AC1365" s="143"/>
      <c r="AD1365" s="143"/>
      <c r="AE1365" s="143"/>
      <c r="AF1365" s="143"/>
      <c r="AG1365" s="143"/>
      <c r="AH1365" s="143"/>
      <c r="AI1365" s="143"/>
      <c r="AJ1365" s="143"/>
    </row>
    <row r="1366" spans="1:36" s="144" customFormat="1" ht="21.75" customHeight="1">
      <c r="A1366" s="151"/>
      <c r="B1366" s="219"/>
      <c r="C1366" s="219"/>
      <c r="D1366" s="219"/>
      <c r="E1366" s="225"/>
      <c r="N1366" s="143"/>
      <c r="O1366" s="143"/>
      <c r="P1366" s="143"/>
      <c r="Q1366" s="143"/>
      <c r="R1366" s="143"/>
      <c r="S1366" s="143"/>
      <c r="T1366" s="143"/>
      <c r="U1366" s="143"/>
      <c r="V1366" s="143"/>
      <c r="W1366" s="143"/>
      <c r="X1366" s="143"/>
      <c r="Y1366" s="143"/>
      <c r="Z1366" s="143"/>
      <c r="AA1366" s="143"/>
      <c r="AB1366" s="143"/>
      <c r="AC1366" s="143"/>
      <c r="AD1366" s="143"/>
      <c r="AE1366" s="143"/>
      <c r="AF1366" s="143"/>
      <c r="AG1366" s="143"/>
      <c r="AH1366" s="143"/>
      <c r="AI1366" s="143"/>
      <c r="AJ1366" s="143"/>
    </row>
    <row r="1367" spans="1:36" s="144" customFormat="1" ht="21.75" customHeight="1">
      <c r="A1367" s="151"/>
      <c r="B1367" s="219"/>
      <c r="C1367" s="219"/>
      <c r="D1367" s="219"/>
      <c r="E1367" s="225"/>
      <c r="N1367" s="143"/>
      <c r="O1367" s="143"/>
      <c r="P1367" s="143"/>
      <c r="Q1367" s="143"/>
      <c r="R1367" s="143"/>
      <c r="S1367" s="143"/>
      <c r="T1367" s="143"/>
      <c r="U1367" s="143"/>
      <c r="V1367" s="143"/>
      <c r="W1367" s="143"/>
      <c r="X1367" s="143"/>
      <c r="Y1367" s="143"/>
      <c r="Z1367" s="143"/>
      <c r="AA1367" s="143"/>
      <c r="AB1367" s="143"/>
      <c r="AC1367" s="143"/>
      <c r="AD1367" s="143"/>
      <c r="AE1367" s="143"/>
      <c r="AF1367" s="143"/>
      <c r="AG1367" s="143"/>
      <c r="AH1367" s="143"/>
      <c r="AI1367" s="143"/>
      <c r="AJ1367" s="143"/>
    </row>
    <row r="1368" spans="1:36" s="144" customFormat="1" ht="21.75" customHeight="1">
      <c r="A1368" s="151"/>
      <c r="B1368" s="219"/>
      <c r="C1368" s="219"/>
      <c r="D1368" s="219"/>
      <c r="E1368" s="225"/>
      <c r="N1368" s="143"/>
      <c r="O1368" s="143"/>
      <c r="P1368" s="143"/>
      <c r="Q1368" s="143"/>
      <c r="R1368" s="143"/>
      <c r="S1368" s="143"/>
      <c r="T1368" s="143"/>
      <c r="U1368" s="143"/>
      <c r="V1368" s="143"/>
      <c r="W1368" s="143"/>
      <c r="X1368" s="143"/>
      <c r="Y1368" s="143"/>
      <c r="Z1368" s="143"/>
      <c r="AA1368" s="143"/>
      <c r="AB1368" s="143"/>
      <c r="AC1368" s="143"/>
      <c r="AD1368" s="143"/>
      <c r="AE1368" s="143"/>
      <c r="AF1368" s="143"/>
      <c r="AG1368" s="143"/>
      <c r="AH1368" s="143"/>
      <c r="AI1368" s="143"/>
      <c r="AJ1368" s="143"/>
    </row>
    <row r="1369" spans="1:36" s="144" customFormat="1" ht="21.75" customHeight="1">
      <c r="A1369" s="151"/>
      <c r="B1369" s="219"/>
      <c r="C1369" s="219"/>
      <c r="D1369" s="219"/>
      <c r="E1369" s="225"/>
      <c r="N1369" s="143"/>
      <c r="O1369" s="143"/>
      <c r="P1369" s="143"/>
      <c r="Q1369" s="143"/>
      <c r="R1369" s="143"/>
      <c r="S1369" s="143"/>
      <c r="T1369" s="143"/>
      <c r="U1369" s="143"/>
      <c r="V1369" s="143"/>
      <c r="W1369" s="143"/>
      <c r="X1369" s="143"/>
      <c r="Y1369" s="143"/>
      <c r="Z1369" s="143"/>
      <c r="AA1369" s="143"/>
      <c r="AB1369" s="143"/>
      <c r="AC1369" s="143"/>
      <c r="AD1369" s="143"/>
      <c r="AE1369" s="143"/>
      <c r="AF1369" s="143"/>
      <c r="AG1369" s="143"/>
      <c r="AH1369" s="143"/>
      <c r="AI1369" s="143"/>
      <c r="AJ1369" s="143"/>
    </row>
    <row r="1370" spans="1:36" s="144" customFormat="1" ht="21.75" customHeight="1">
      <c r="A1370" s="151"/>
      <c r="B1370" s="219"/>
      <c r="C1370" s="219"/>
      <c r="D1370" s="219"/>
      <c r="E1370" s="225"/>
      <c r="N1370" s="143"/>
      <c r="O1370" s="143"/>
      <c r="P1370" s="143"/>
      <c r="Q1370" s="143"/>
      <c r="R1370" s="143"/>
      <c r="S1370" s="143"/>
      <c r="T1370" s="143"/>
      <c r="U1370" s="143"/>
      <c r="V1370" s="143"/>
      <c r="W1370" s="143"/>
      <c r="X1370" s="143"/>
      <c r="Y1370" s="143"/>
      <c r="Z1370" s="143"/>
      <c r="AA1370" s="143"/>
      <c r="AB1370" s="143"/>
      <c r="AC1370" s="143"/>
      <c r="AD1370" s="143"/>
      <c r="AE1370" s="143"/>
      <c r="AF1370" s="143"/>
      <c r="AG1370" s="143"/>
      <c r="AH1370" s="143"/>
      <c r="AI1370" s="143"/>
      <c r="AJ1370" s="143"/>
    </row>
    <row r="1371" spans="1:36" s="144" customFormat="1" ht="21.75" customHeight="1">
      <c r="A1371" s="151"/>
      <c r="B1371" s="219"/>
      <c r="C1371" s="219"/>
      <c r="D1371" s="219"/>
      <c r="E1371" s="225"/>
      <c r="N1371" s="143"/>
      <c r="O1371" s="143"/>
      <c r="P1371" s="143"/>
      <c r="Q1371" s="143"/>
      <c r="R1371" s="143"/>
      <c r="S1371" s="143"/>
      <c r="T1371" s="143"/>
      <c r="U1371" s="143"/>
      <c r="V1371" s="143"/>
      <c r="W1371" s="143"/>
      <c r="X1371" s="143"/>
      <c r="Y1371" s="143"/>
      <c r="Z1371" s="143"/>
      <c r="AA1371" s="143"/>
      <c r="AB1371" s="143"/>
      <c r="AC1371" s="143"/>
      <c r="AD1371" s="143"/>
      <c r="AE1371" s="143"/>
      <c r="AF1371" s="143"/>
      <c r="AG1371" s="143"/>
      <c r="AH1371" s="143"/>
      <c r="AI1371" s="143"/>
      <c r="AJ1371" s="143"/>
    </row>
    <row r="1372" spans="1:36" s="144" customFormat="1" ht="21.75" customHeight="1">
      <c r="A1372" s="151"/>
      <c r="B1372" s="219"/>
      <c r="C1372" s="219"/>
      <c r="D1372" s="219"/>
      <c r="E1372" s="225"/>
      <c r="N1372" s="143"/>
      <c r="O1372" s="143"/>
      <c r="P1372" s="143"/>
      <c r="Q1372" s="143"/>
      <c r="R1372" s="143"/>
      <c r="S1372" s="143"/>
      <c r="T1372" s="143"/>
      <c r="U1372" s="143"/>
      <c r="V1372" s="143"/>
      <c r="W1372" s="143"/>
      <c r="X1372" s="143"/>
      <c r="Y1372" s="143"/>
      <c r="Z1372" s="143"/>
      <c r="AA1372" s="143"/>
      <c r="AB1372" s="143"/>
      <c r="AC1372" s="143"/>
      <c r="AD1372" s="143"/>
      <c r="AE1372" s="143"/>
      <c r="AF1372" s="143"/>
      <c r="AG1372" s="143"/>
      <c r="AH1372" s="143"/>
      <c r="AI1372" s="143"/>
      <c r="AJ1372" s="143"/>
    </row>
    <row r="1373" spans="1:36" s="144" customFormat="1" ht="21.75" customHeight="1">
      <c r="A1373" s="151"/>
      <c r="B1373" s="219"/>
      <c r="C1373" s="219"/>
      <c r="D1373" s="219"/>
      <c r="E1373" s="225"/>
      <c r="N1373" s="143"/>
      <c r="O1373" s="143"/>
      <c r="P1373" s="143"/>
      <c r="Q1373" s="143"/>
      <c r="R1373" s="143"/>
      <c r="S1373" s="143"/>
      <c r="T1373" s="143"/>
      <c r="U1373" s="143"/>
      <c r="V1373" s="143"/>
      <c r="W1373" s="143"/>
      <c r="X1373" s="143"/>
      <c r="Y1373" s="143"/>
      <c r="Z1373" s="143"/>
      <c r="AA1373" s="143"/>
      <c r="AB1373" s="143"/>
      <c r="AC1373" s="143"/>
      <c r="AD1373" s="143"/>
      <c r="AE1373" s="143"/>
      <c r="AF1373" s="143"/>
      <c r="AG1373" s="143"/>
      <c r="AH1373" s="143"/>
      <c r="AI1373" s="143"/>
      <c r="AJ1373" s="143"/>
    </row>
    <row r="1374" spans="1:36" s="144" customFormat="1" ht="21.75" customHeight="1">
      <c r="A1374" s="151"/>
      <c r="B1374" s="219"/>
      <c r="C1374" s="219"/>
      <c r="D1374" s="219"/>
      <c r="E1374" s="225"/>
      <c r="N1374" s="143"/>
      <c r="O1374" s="143"/>
      <c r="P1374" s="143"/>
      <c r="Q1374" s="143"/>
      <c r="R1374" s="143"/>
      <c r="S1374" s="143"/>
      <c r="T1374" s="143"/>
      <c r="U1374" s="143"/>
      <c r="V1374" s="143"/>
      <c r="W1374" s="143"/>
      <c r="X1374" s="143"/>
      <c r="Y1374" s="143"/>
      <c r="Z1374" s="143"/>
      <c r="AA1374" s="143"/>
      <c r="AB1374" s="143"/>
      <c r="AC1374" s="143"/>
      <c r="AD1374" s="143"/>
      <c r="AE1374" s="143"/>
      <c r="AF1374" s="143"/>
      <c r="AG1374" s="143"/>
      <c r="AH1374" s="143"/>
      <c r="AI1374" s="143"/>
      <c r="AJ1374" s="143"/>
    </row>
    <row r="1375" spans="1:36" s="144" customFormat="1" ht="21.75" customHeight="1">
      <c r="A1375" s="151"/>
      <c r="B1375" s="219"/>
      <c r="C1375" s="219"/>
      <c r="D1375" s="219"/>
      <c r="E1375" s="225"/>
      <c r="N1375" s="143"/>
      <c r="O1375" s="143"/>
      <c r="P1375" s="143"/>
      <c r="Q1375" s="143"/>
      <c r="R1375" s="143"/>
      <c r="S1375" s="143"/>
      <c r="T1375" s="143"/>
      <c r="U1375" s="143"/>
      <c r="V1375" s="143"/>
      <c r="W1375" s="143"/>
      <c r="X1375" s="143"/>
      <c r="Y1375" s="143"/>
      <c r="Z1375" s="143"/>
      <c r="AA1375" s="143"/>
      <c r="AB1375" s="143"/>
      <c r="AC1375" s="143"/>
      <c r="AD1375" s="143"/>
      <c r="AE1375" s="143"/>
      <c r="AF1375" s="143"/>
      <c r="AG1375" s="143"/>
      <c r="AH1375" s="143"/>
      <c r="AI1375" s="143"/>
      <c r="AJ1375" s="143"/>
    </row>
    <row r="1376" spans="1:36" s="144" customFormat="1" ht="21.75" customHeight="1">
      <c r="A1376" s="151"/>
      <c r="B1376" s="219"/>
      <c r="C1376" s="219"/>
      <c r="D1376" s="219"/>
      <c r="E1376" s="225"/>
      <c r="N1376" s="143"/>
      <c r="O1376" s="143"/>
      <c r="P1376" s="143"/>
      <c r="Q1376" s="143"/>
      <c r="R1376" s="143"/>
      <c r="S1376" s="143"/>
      <c r="T1376" s="143"/>
      <c r="U1376" s="143"/>
      <c r="V1376" s="143"/>
      <c r="W1376" s="143"/>
      <c r="X1376" s="143"/>
      <c r="Y1376" s="143"/>
      <c r="Z1376" s="143"/>
      <c r="AA1376" s="143"/>
      <c r="AB1376" s="143"/>
      <c r="AC1376" s="143"/>
      <c r="AD1376" s="143"/>
      <c r="AE1376" s="143"/>
      <c r="AF1376" s="143"/>
      <c r="AG1376" s="143"/>
      <c r="AH1376" s="143"/>
      <c r="AI1376" s="143"/>
      <c r="AJ1376" s="143"/>
    </row>
    <row r="1377" spans="1:36" s="144" customFormat="1" ht="21.75" customHeight="1">
      <c r="A1377" s="151"/>
      <c r="B1377" s="219"/>
      <c r="C1377" s="219"/>
      <c r="D1377" s="219"/>
      <c r="E1377" s="225"/>
      <c r="N1377" s="143"/>
      <c r="O1377" s="143"/>
      <c r="P1377" s="143"/>
      <c r="Q1377" s="143"/>
      <c r="R1377" s="143"/>
      <c r="S1377" s="143"/>
      <c r="T1377" s="143"/>
      <c r="U1377" s="143"/>
      <c r="V1377" s="143"/>
      <c r="W1377" s="143"/>
      <c r="X1377" s="143"/>
      <c r="Y1377" s="143"/>
      <c r="Z1377" s="143"/>
      <c r="AA1377" s="143"/>
      <c r="AB1377" s="143"/>
      <c r="AC1377" s="143"/>
      <c r="AD1377" s="143"/>
      <c r="AE1377" s="143"/>
      <c r="AF1377" s="143"/>
      <c r="AG1377" s="143"/>
      <c r="AH1377" s="143"/>
      <c r="AI1377" s="143"/>
      <c r="AJ1377" s="143"/>
    </row>
    <row r="1378" spans="1:36" s="144" customFormat="1" ht="21.75" customHeight="1">
      <c r="A1378" s="151"/>
      <c r="B1378" s="219"/>
      <c r="C1378" s="219"/>
      <c r="D1378" s="219"/>
      <c r="E1378" s="225"/>
      <c r="N1378" s="143"/>
      <c r="O1378" s="143"/>
      <c r="P1378" s="143"/>
      <c r="Q1378" s="143"/>
      <c r="R1378" s="143"/>
      <c r="S1378" s="143"/>
      <c r="T1378" s="143"/>
      <c r="U1378" s="143"/>
      <c r="V1378" s="143"/>
      <c r="W1378" s="143"/>
      <c r="X1378" s="143"/>
      <c r="Y1378" s="143"/>
      <c r="Z1378" s="143"/>
      <c r="AA1378" s="143"/>
      <c r="AB1378" s="143"/>
      <c r="AC1378" s="143"/>
      <c r="AD1378" s="143"/>
      <c r="AE1378" s="143"/>
      <c r="AF1378" s="143"/>
      <c r="AG1378" s="143"/>
      <c r="AH1378" s="143"/>
      <c r="AI1378" s="143"/>
      <c r="AJ1378" s="143"/>
    </row>
    <row r="1379" spans="1:36" s="144" customFormat="1" ht="21.75" customHeight="1">
      <c r="A1379" s="151"/>
      <c r="B1379" s="219"/>
      <c r="C1379" s="219"/>
      <c r="D1379" s="219"/>
      <c r="E1379" s="225"/>
      <c r="N1379" s="143"/>
      <c r="O1379" s="143"/>
      <c r="P1379" s="143"/>
      <c r="Q1379" s="143"/>
      <c r="R1379" s="143"/>
      <c r="S1379" s="143"/>
      <c r="T1379" s="143"/>
      <c r="U1379" s="143"/>
      <c r="V1379" s="143"/>
      <c r="W1379" s="143"/>
      <c r="X1379" s="143"/>
      <c r="Y1379" s="143"/>
      <c r="Z1379" s="143"/>
      <c r="AA1379" s="143"/>
      <c r="AB1379" s="143"/>
      <c r="AC1379" s="143"/>
      <c r="AD1379" s="143"/>
      <c r="AE1379" s="143"/>
      <c r="AF1379" s="143"/>
      <c r="AG1379" s="143"/>
      <c r="AH1379" s="143"/>
      <c r="AI1379" s="143"/>
      <c r="AJ1379" s="143"/>
    </row>
    <row r="1380" spans="1:36" s="144" customFormat="1" ht="21.75" customHeight="1">
      <c r="A1380" s="151"/>
      <c r="B1380" s="219"/>
      <c r="C1380" s="219"/>
      <c r="D1380" s="219"/>
      <c r="E1380" s="225"/>
      <c r="N1380" s="143"/>
      <c r="O1380" s="143"/>
      <c r="P1380" s="143"/>
      <c r="Q1380" s="143"/>
      <c r="R1380" s="143"/>
      <c r="S1380" s="143"/>
      <c r="T1380" s="143"/>
      <c r="U1380" s="143"/>
      <c r="V1380" s="143"/>
      <c r="W1380" s="143"/>
      <c r="X1380" s="143"/>
      <c r="Y1380" s="143"/>
      <c r="Z1380" s="143"/>
      <c r="AA1380" s="143"/>
      <c r="AB1380" s="143"/>
      <c r="AC1380" s="143"/>
      <c r="AD1380" s="143"/>
      <c r="AE1380" s="143"/>
      <c r="AF1380" s="143"/>
      <c r="AG1380" s="143"/>
      <c r="AH1380" s="143"/>
      <c r="AI1380" s="143"/>
      <c r="AJ1380" s="143"/>
    </row>
    <row r="1381" spans="1:36" s="144" customFormat="1" ht="21.75" customHeight="1">
      <c r="A1381" s="151"/>
      <c r="B1381" s="219"/>
      <c r="C1381" s="219"/>
      <c r="D1381" s="219"/>
      <c r="E1381" s="225"/>
      <c r="N1381" s="143"/>
      <c r="O1381" s="143"/>
      <c r="P1381" s="143"/>
      <c r="Q1381" s="143"/>
      <c r="R1381" s="143"/>
      <c r="S1381" s="143"/>
      <c r="T1381" s="143"/>
      <c r="U1381" s="143"/>
      <c r="V1381" s="143"/>
      <c r="W1381" s="143"/>
      <c r="X1381" s="143"/>
      <c r="Y1381" s="143"/>
      <c r="Z1381" s="143"/>
      <c r="AA1381" s="143"/>
      <c r="AB1381" s="143"/>
      <c r="AC1381" s="143"/>
      <c r="AD1381" s="143"/>
      <c r="AE1381" s="143"/>
      <c r="AF1381" s="143"/>
      <c r="AG1381" s="143"/>
      <c r="AH1381" s="143"/>
      <c r="AI1381" s="143"/>
      <c r="AJ1381" s="143"/>
    </row>
    <row r="1382" spans="1:36" s="144" customFormat="1" ht="21.75" customHeight="1">
      <c r="A1382" s="151"/>
      <c r="B1382" s="219"/>
      <c r="C1382" s="219"/>
      <c r="D1382" s="219"/>
      <c r="E1382" s="225"/>
      <c r="N1382" s="143"/>
      <c r="O1382" s="143"/>
      <c r="P1382" s="143"/>
      <c r="Q1382" s="143"/>
      <c r="R1382" s="143"/>
      <c r="S1382" s="143"/>
      <c r="T1382" s="143"/>
      <c r="U1382" s="143"/>
      <c r="V1382" s="143"/>
      <c r="W1382" s="143"/>
      <c r="X1382" s="143"/>
      <c r="Y1382" s="143"/>
      <c r="Z1382" s="143"/>
      <c r="AA1382" s="143"/>
      <c r="AB1382" s="143"/>
      <c r="AC1382" s="143"/>
      <c r="AD1382" s="143"/>
      <c r="AE1382" s="143"/>
      <c r="AF1382" s="143"/>
      <c r="AG1382" s="143"/>
      <c r="AH1382" s="143"/>
      <c r="AI1382" s="143"/>
      <c r="AJ1382" s="143"/>
    </row>
    <row r="1383" spans="1:36" s="144" customFormat="1" ht="21.75" customHeight="1">
      <c r="A1383" s="151"/>
      <c r="B1383" s="219"/>
      <c r="C1383" s="219"/>
      <c r="D1383" s="219"/>
      <c r="E1383" s="225"/>
      <c r="N1383" s="143"/>
      <c r="O1383" s="143"/>
      <c r="P1383" s="143"/>
      <c r="Q1383" s="143"/>
      <c r="R1383" s="143"/>
      <c r="S1383" s="143"/>
      <c r="T1383" s="143"/>
      <c r="U1383" s="143"/>
      <c r="V1383" s="143"/>
      <c r="W1383" s="143"/>
      <c r="X1383" s="143"/>
      <c r="Y1383" s="143"/>
      <c r="Z1383" s="143"/>
      <c r="AA1383" s="143"/>
      <c r="AB1383" s="143"/>
      <c r="AC1383" s="143"/>
      <c r="AD1383" s="143"/>
      <c r="AE1383" s="143"/>
      <c r="AF1383" s="143"/>
      <c r="AG1383" s="143"/>
      <c r="AH1383" s="143"/>
      <c r="AI1383" s="143"/>
      <c r="AJ1383" s="143"/>
    </row>
    <row r="1384" spans="1:36" s="144" customFormat="1" ht="21.75" customHeight="1">
      <c r="A1384" s="151"/>
      <c r="B1384" s="219"/>
      <c r="C1384" s="219"/>
      <c r="D1384" s="219"/>
      <c r="E1384" s="225"/>
      <c r="N1384" s="143"/>
      <c r="O1384" s="143"/>
      <c r="P1384" s="143"/>
      <c r="Q1384" s="143"/>
      <c r="R1384" s="143"/>
      <c r="S1384" s="143"/>
      <c r="T1384" s="143"/>
      <c r="U1384" s="143"/>
      <c r="V1384" s="143"/>
      <c r="W1384" s="143"/>
      <c r="X1384" s="143"/>
      <c r="Y1384" s="143"/>
      <c r="Z1384" s="143"/>
      <c r="AA1384" s="143"/>
      <c r="AB1384" s="143"/>
      <c r="AC1384" s="143"/>
      <c r="AD1384" s="143"/>
      <c r="AE1384" s="143"/>
      <c r="AF1384" s="143"/>
      <c r="AG1384" s="143"/>
      <c r="AH1384" s="143"/>
      <c r="AI1384" s="143"/>
      <c r="AJ1384" s="143"/>
    </row>
    <row r="1385" spans="1:36" s="144" customFormat="1" ht="21.75" customHeight="1">
      <c r="A1385" s="151"/>
      <c r="B1385" s="219"/>
      <c r="C1385" s="219"/>
      <c r="D1385" s="219"/>
      <c r="E1385" s="225"/>
      <c r="N1385" s="143"/>
      <c r="O1385" s="143"/>
      <c r="P1385" s="143"/>
      <c r="Q1385" s="143"/>
      <c r="R1385" s="143"/>
      <c r="S1385" s="143"/>
      <c r="T1385" s="143"/>
      <c r="U1385" s="143"/>
      <c r="V1385" s="143"/>
      <c r="W1385" s="143"/>
      <c r="X1385" s="143"/>
      <c r="Y1385" s="143"/>
      <c r="Z1385" s="143"/>
      <c r="AA1385" s="143"/>
      <c r="AB1385" s="143"/>
      <c r="AC1385" s="143"/>
      <c r="AD1385" s="143"/>
      <c r="AE1385" s="143"/>
      <c r="AF1385" s="143"/>
      <c r="AG1385" s="143"/>
      <c r="AH1385" s="143"/>
      <c r="AI1385" s="143"/>
      <c r="AJ1385" s="143"/>
    </row>
    <row r="1386" spans="1:36" s="144" customFormat="1" ht="21.75" customHeight="1">
      <c r="A1386" s="151"/>
      <c r="B1386" s="219"/>
      <c r="C1386" s="219"/>
      <c r="D1386" s="219"/>
      <c r="E1386" s="225"/>
      <c r="N1386" s="143"/>
      <c r="O1386" s="143"/>
      <c r="P1386" s="143"/>
      <c r="Q1386" s="143"/>
      <c r="R1386" s="143"/>
      <c r="S1386" s="143"/>
      <c r="T1386" s="143"/>
      <c r="U1386" s="143"/>
      <c r="V1386" s="143"/>
      <c r="W1386" s="143"/>
      <c r="X1386" s="143"/>
      <c r="Y1386" s="143"/>
      <c r="Z1386" s="143"/>
      <c r="AA1386" s="143"/>
      <c r="AB1386" s="143"/>
      <c r="AC1386" s="143"/>
      <c r="AD1386" s="143"/>
      <c r="AE1386" s="143"/>
      <c r="AF1386" s="143"/>
      <c r="AG1386" s="143"/>
      <c r="AH1386" s="143"/>
      <c r="AI1386" s="143"/>
      <c r="AJ1386" s="143"/>
    </row>
    <row r="1387" spans="1:36" s="144" customFormat="1" ht="21.75" customHeight="1">
      <c r="A1387" s="151"/>
      <c r="B1387" s="219"/>
      <c r="C1387" s="219"/>
      <c r="D1387" s="219"/>
      <c r="E1387" s="225"/>
      <c r="N1387" s="143"/>
      <c r="O1387" s="143"/>
      <c r="P1387" s="143"/>
      <c r="Q1387" s="143"/>
      <c r="R1387" s="143"/>
      <c r="S1387" s="143"/>
      <c r="T1387" s="143"/>
      <c r="U1387" s="143"/>
      <c r="V1387" s="143"/>
      <c r="W1387" s="143"/>
      <c r="X1387" s="143"/>
      <c r="Y1387" s="143"/>
      <c r="Z1387" s="143"/>
      <c r="AA1387" s="143"/>
      <c r="AB1387" s="143"/>
      <c r="AC1387" s="143"/>
      <c r="AD1387" s="143"/>
      <c r="AE1387" s="143"/>
      <c r="AF1387" s="143"/>
      <c r="AG1387" s="143"/>
      <c r="AH1387" s="143"/>
      <c r="AI1387" s="143"/>
      <c r="AJ1387" s="143"/>
    </row>
    <row r="1388" spans="1:36" s="144" customFormat="1" ht="21.75" customHeight="1">
      <c r="A1388" s="151"/>
      <c r="B1388" s="219"/>
      <c r="C1388" s="219"/>
      <c r="D1388" s="219"/>
      <c r="E1388" s="225"/>
      <c r="N1388" s="143"/>
      <c r="O1388" s="143"/>
      <c r="P1388" s="143"/>
      <c r="Q1388" s="143"/>
      <c r="R1388" s="143"/>
      <c r="S1388" s="143"/>
      <c r="T1388" s="143"/>
      <c r="U1388" s="143"/>
      <c r="V1388" s="143"/>
      <c r="W1388" s="143"/>
      <c r="X1388" s="143"/>
      <c r="Y1388" s="143"/>
      <c r="Z1388" s="143"/>
      <c r="AA1388" s="143"/>
      <c r="AB1388" s="143"/>
      <c r="AC1388" s="143"/>
      <c r="AD1388" s="143"/>
      <c r="AE1388" s="143"/>
      <c r="AF1388" s="143"/>
      <c r="AG1388" s="143"/>
      <c r="AH1388" s="143"/>
      <c r="AI1388" s="143"/>
      <c r="AJ1388" s="143"/>
    </row>
    <row r="1389" spans="1:36" s="144" customFormat="1" ht="21.75" customHeight="1">
      <c r="A1389" s="151"/>
      <c r="B1389" s="219"/>
      <c r="C1389" s="219"/>
      <c r="D1389" s="219"/>
      <c r="E1389" s="225"/>
      <c r="N1389" s="143"/>
      <c r="O1389" s="143"/>
      <c r="P1389" s="143"/>
      <c r="Q1389" s="143"/>
      <c r="R1389" s="143"/>
      <c r="S1389" s="143"/>
      <c r="T1389" s="143"/>
      <c r="U1389" s="143"/>
      <c r="V1389" s="143"/>
      <c r="W1389" s="143"/>
      <c r="X1389" s="143"/>
      <c r="Y1389" s="143"/>
      <c r="Z1389" s="143"/>
      <c r="AA1389" s="143"/>
      <c r="AB1389" s="143"/>
      <c r="AC1389" s="143"/>
      <c r="AD1389" s="143"/>
      <c r="AE1389" s="143"/>
      <c r="AF1389" s="143"/>
      <c r="AG1389" s="143"/>
      <c r="AH1389" s="143"/>
      <c r="AI1389" s="143"/>
      <c r="AJ1389" s="143"/>
    </row>
    <row r="1390" spans="1:36" s="144" customFormat="1" ht="21.75" customHeight="1">
      <c r="A1390" s="151"/>
      <c r="B1390" s="219"/>
      <c r="C1390" s="219"/>
      <c r="D1390" s="219"/>
      <c r="E1390" s="225"/>
      <c r="N1390" s="143"/>
      <c r="O1390" s="143"/>
      <c r="P1390" s="143"/>
      <c r="Q1390" s="143"/>
      <c r="R1390" s="143"/>
      <c r="S1390" s="143"/>
      <c r="T1390" s="143"/>
      <c r="U1390" s="143"/>
      <c r="V1390" s="143"/>
      <c r="W1390" s="143"/>
      <c r="X1390" s="143"/>
      <c r="Y1390" s="143"/>
      <c r="Z1390" s="143"/>
      <c r="AA1390" s="143"/>
      <c r="AB1390" s="143"/>
      <c r="AC1390" s="143"/>
      <c r="AD1390" s="143"/>
      <c r="AE1390" s="143"/>
      <c r="AF1390" s="143"/>
      <c r="AG1390" s="143"/>
      <c r="AH1390" s="143"/>
      <c r="AI1390" s="143"/>
      <c r="AJ1390" s="143"/>
    </row>
    <row r="1391" spans="1:36" s="144" customFormat="1" ht="21.75" customHeight="1">
      <c r="A1391" s="151"/>
      <c r="B1391" s="219"/>
      <c r="C1391" s="219"/>
      <c r="D1391" s="219"/>
      <c r="E1391" s="225"/>
      <c r="N1391" s="143"/>
      <c r="O1391" s="143"/>
      <c r="P1391" s="143"/>
      <c r="Q1391" s="143"/>
      <c r="R1391" s="143"/>
      <c r="S1391" s="143"/>
      <c r="T1391" s="143"/>
      <c r="U1391" s="143"/>
      <c r="V1391" s="143"/>
      <c r="W1391" s="143"/>
      <c r="X1391" s="143"/>
      <c r="Y1391" s="143"/>
      <c r="Z1391" s="143"/>
      <c r="AA1391" s="143"/>
      <c r="AB1391" s="143"/>
      <c r="AC1391" s="143"/>
      <c r="AD1391" s="143"/>
      <c r="AE1391" s="143"/>
      <c r="AF1391" s="143"/>
      <c r="AG1391" s="143"/>
      <c r="AH1391" s="143"/>
      <c r="AI1391" s="143"/>
      <c r="AJ1391" s="143"/>
    </row>
    <row r="1392" spans="1:36" s="144" customFormat="1" ht="21.75" customHeight="1">
      <c r="A1392" s="151"/>
      <c r="B1392" s="219"/>
      <c r="C1392" s="219"/>
      <c r="D1392" s="219"/>
      <c r="E1392" s="225"/>
      <c r="N1392" s="143"/>
      <c r="O1392" s="143"/>
      <c r="P1392" s="143"/>
      <c r="Q1392" s="143"/>
      <c r="R1392" s="143"/>
      <c r="S1392" s="143"/>
      <c r="T1392" s="143"/>
      <c r="U1392" s="143"/>
      <c r="V1392" s="143"/>
      <c r="W1392" s="143"/>
      <c r="X1392" s="143"/>
      <c r="Y1392" s="143"/>
      <c r="Z1392" s="143"/>
      <c r="AA1392" s="143"/>
      <c r="AB1392" s="143"/>
      <c r="AC1392" s="143"/>
      <c r="AD1392" s="143"/>
      <c r="AE1392" s="143"/>
      <c r="AF1392" s="143"/>
      <c r="AG1392" s="143"/>
      <c r="AH1392" s="143"/>
      <c r="AI1392" s="143"/>
      <c r="AJ1392" s="143"/>
    </row>
    <row r="1393" spans="1:36" s="144" customFormat="1" ht="21.75" customHeight="1">
      <c r="A1393" s="151"/>
      <c r="B1393" s="219"/>
      <c r="C1393" s="219"/>
      <c r="D1393" s="219"/>
      <c r="E1393" s="225"/>
      <c r="N1393" s="143"/>
      <c r="O1393" s="143"/>
      <c r="P1393" s="143"/>
      <c r="Q1393" s="143"/>
      <c r="R1393" s="143"/>
      <c r="S1393" s="143"/>
      <c r="T1393" s="143"/>
      <c r="U1393" s="143"/>
      <c r="V1393" s="143"/>
      <c r="W1393" s="143"/>
      <c r="X1393" s="143"/>
      <c r="Y1393" s="143"/>
      <c r="Z1393" s="143"/>
      <c r="AA1393" s="143"/>
      <c r="AB1393" s="143"/>
      <c r="AC1393" s="143"/>
      <c r="AD1393" s="143"/>
      <c r="AE1393" s="143"/>
      <c r="AF1393" s="143"/>
      <c r="AG1393" s="143"/>
      <c r="AH1393" s="143"/>
      <c r="AI1393" s="143"/>
      <c r="AJ1393" s="143"/>
    </row>
    <row r="1394" spans="1:36" s="144" customFormat="1" ht="21.75" customHeight="1">
      <c r="A1394" s="151"/>
      <c r="B1394" s="219"/>
      <c r="C1394" s="219"/>
      <c r="D1394" s="219"/>
      <c r="E1394" s="225"/>
      <c r="N1394" s="143"/>
      <c r="O1394" s="143"/>
      <c r="P1394" s="143"/>
      <c r="Q1394" s="143"/>
      <c r="R1394" s="143"/>
      <c r="S1394" s="143"/>
      <c r="T1394" s="143"/>
      <c r="U1394" s="143"/>
      <c r="V1394" s="143"/>
      <c r="W1394" s="143"/>
      <c r="X1394" s="143"/>
      <c r="Y1394" s="143"/>
      <c r="Z1394" s="143"/>
      <c r="AA1394" s="143"/>
      <c r="AB1394" s="143"/>
      <c r="AC1394" s="143"/>
      <c r="AD1394" s="143"/>
      <c r="AE1394" s="143"/>
      <c r="AF1394" s="143"/>
      <c r="AG1394" s="143"/>
      <c r="AH1394" s="143"/>
      <c r="AI1394" s="143"/>
      <c r="AJ1394" s="143"/>
    </row>
    <row r="1395" spans="1:36" s="144" customFormat="1" ht="21.75" customHeight="1">
      <c r="A1395" s="151"/>
      <c r="B1395" s="219"/>
      <c r="C1395" s="219"/>
      <c r="D1395" s="219"/>
      <c r="E1395" s="225"/>
      <c r="N1395" s="143"/>
      <c r="O1395" s="143"/>
      <c r="P1395" s="143"/>
      <c r="Q1395" s="143"/>
      <c r="R1395" s="143"/>
      <c r="S1395" s="143"/>
      <c r="T1395" s="143"/>
      <c r="U1395" s="143"/>
      <c r="V1395" s="143"/>
      <c r="W1395" s="143"/>
      <c r="X1395" s="143"/>
      <c r="Y1395" s="143"/>
      <c r="Z1395" s="143"/>
      <c r="AA1395" s="143"/>
      <c r="AB1395" s="143"/>
      <c r="AC1395" s="143"/>
      <c r="AD1395" s="143"/>
      <c r="AE1395" s="143"/>
      <c r="AF1395" s="143"/>
      <c r="AG1395" s="143"/>
      <c r="AH1395" s="143"/>
      <c r="AI1395" s="143"/>
      <c r="AJ1395" s="143"/>
    </row>
    <row r="1396" spans="1:36" s="144" customFormat="1" ht="21.75" customHeight="1">
      <c r="A1396" s="151"/>
      <c r="B1396" s="219"/>
      <c r="C1396" s="219"/>
      <c r="D1396" s="219"/>
      <c r="E1396" s="225"/>
      <c r="N1396" s="143"/>
      <c r="O1396" s="143"/>
      <c r="P1396" s="143"/>
      <c r="Q1396" s="143"/>
      <c r="R1396" s="143"/>
      <c r="S1396" s="143"/>
      <c r="T1396" s="143"/>
      <c r="U1396" s="143"/>
      <c r="V1396" s="143"/>
      <c r="W1396" s="143"/>
      <c r="X1396" s="143"/>
      <c r="Y1396" s="143"/>
      <c r="Z1396" s="143"/>
      <c r="AA1396" s="143"/>
      <c r="AB1396" s="143"/>
      <c r="AC1396" s="143"/>
      <c r="AD1396" s="143"/>
      <c r="AE1396" s="143"/>
      <c r="AF1396" s="143"/>
      <c r="AG1396" s="143"/>
      <c r="AH1396" s="143"/>
      <c r="AI1396" s="143"/>
      <c r="AJ1396" s="143"/>
    </row>
    <row r="1397" spans="1:36" s="144" customFormat="1" ht="21.75" customHeight="1">
      <c r="A1397" s="151"/>
      <c r="B1397" s="219"/>
      <c r="C1397" s="219"/>
      <c r="D1397" s="219"/>
      <c r="E1397" s="225"/>
      <c r="N1397" s="143"/>
      <c r="O1397" s="143"/>
      <c r="P1397" s="143"/>
      <c r="Q1397" s="143"/>
      <c r="R1397" s="143"/>
      <c r="S1397" s="143"/>
      <c r="T1397" s="143"/>
      <c r="U1397" s="143"/>
      <c r="V1397" s="143"/>
      <c r="W1397" s="143"/>
      <c r="X1397" s="143"/>
      <c r="Y1397" s="143"/>
      <c r="Z1397" s="143"/>
      <c r="AA1397" s="143"/>
      <c r="AB1397" s="143"/>
      <c r="AC1397" s="143"/>
      <c r="AD1397" s="143"/>
      <c r="AE1397" s="143"/>
      <c r="AF1397" s="143"/>
      <c r="AG1397" s="143"/>
      <c r="AH1397" s="143"/>
      <c r="AI1397" s="143"/>
      <c r="AJ1397" s="143"/>
    </row>
    <row r="1398" spans="1:36" s="144" customFormat="1" ht="21.75" customHeight="1">
      <c r="A1398" s="151"/>
      <c r="B1398" s="219"/>
      <c r="C1398" s="219"/>
      <c r="D1398" s="219"/>
      <c r="E1398" s="225"/>
      <c r="N1398" s="143"/>
      <c r="O1398" s="143"/>
      <c r="P1398" s="143"/>
      <c r="Q1398" s="143"/>
      <c r="R1398" s="143"/>
      <c r="S1398" s="143"/>
      <c r="T1398" s="143"/>
      <c r="U1398" s="143"/>
      <c r="V1398" s="143"/>
      <c r="W1398" s="143"/>
      <c r="X1398" s="143"/>
      <c r="Y1398" s="143"/>
      <c r="Z1398" s="143"/>
      <c r="AA1398" s="143"/>
      <c r="AB1398" s="143"/>
      <c r="AC1398" s="143"/>
      <c r="AD1398" s="143"/>
      <c r="AE1398" s="143"/>
      <c r="AF1398" s="143"/>
      <c r="AG1398" s="143"/>
      <c r="AH1398" s="143"/>
      <c r="AI1398" s="143"/>
      <c r="AJ1398" s="143"/>
    </row>
    <row r="1399" spans="1:36" s="144" customFormat="1" ht="21.75" customHeight="1">
      <c r="A1399" s="151"/>
      <c r="B1399" s="219"/>
      <c r="C1399" s="219"/>
      <c r="D1399" s="219"/>
      <c r="E1399" s="225"/>
      <c r="N1399" s="143"/>
      <c r="O1399" s="143"/>
      <c r="P1399" s="143"/>
      <c r="Q1399" s="143"/>
      <c r="R1399" s="143"/>
      <c r="S1399" s="143"/>
      <c r="T1399" s="143"/>
      <c r="U1399" s="143"/>
      <c r="V1399" s="143"/>
      <c r="W1399" s="143"/>
      <c r="X1399" s="143"/>
      <c r="Y1399" s="143"/>
      <c r="Z1399" s="143"/>
      <c r="AA1399" s="143"/>
      <c r="AB1399" s="143"/>
      <c r="AC1399" s="143"/>
      <c r="AD1399" s="143"/>
      <c r="AE1399" s="143"/>
      <c r="AF1399" s="143"/>
      <c r="AG1399" s="143"/>
      <c r="AH1399" s="143"/>
      <c r="AI1399" s="143"/>
      <c r="AJ1399" s="143"/>
    </row>
    <row r="1400" spans="1:36" s="144" customFormat="1" ht="21.75" customHeight="1">
      <c r="A1400" s="151"/>
      <c r="B1400" s="219"/>
      <c r="C1400" s="219"/>
      <c r="D1400" s="219"/>
      <c r="E1400" s="225"/>
      <c r="N1400" s="143"/>
      <c r="O1400" s="143"/>
      <c r="P1400" s="143"/>
      <c r="Q1400" s="143"/>
      <c r="R1400" s="143"/>
      <c r="S1400" s="143"/>
      <c r="T1400" s="143"/>
      <c r="U1400" s="143"/>
      <c r="V1400" s="143"/>
      <c r="W1400" s="143"/>
      <c r="X1400" s="143"/>
      <c r="Y1400" s="143"/>
      <c r="Z1400" s="143"/>
      <c r="AA1400" s="143"/>
      <c r="AB1400" s="143"/>
      <c r="AC1400" s="143"/>
      <c r="AD1400" s="143"/>
      <c r="AE1400" s="143"/>
      <c r="AF1400" s="143"/>
      <c r="AG1400" s="143"/>
      <c r="AH1400" s="143"/>
      <c r="AI1400" s="143"/>
      <c r="AJ1400" s="143"/>
    </row>
    <row r="1401" spans="1:36" s="144" customFormat="1" ht="21.75" customHeight="1">
      <c r="A1401" s="151"/>
      <c r="B1401" s="219"/>
      <c r="C1401" s="219"/>
      <c r="D1401" s="219"/>
      <c r="E1401" s="225"/>
      <c r="N1401" s="143"/>
      <c r="O1401" s="143"/>
      <c r="P1401" s="143"/>
      <c r="Q1401" s="143"/>
      <c r="R1401" s="143"/>
      <c r="S1401" s="143"/>
      <c r="T1401" s="143"/>
      <c r="U1401" s="143"/>
      <c r="V1401" s="143"/>
      <c r="W1401" s="143"/>
      <c r="X1401" s="143"/>
      <c r="Y1401" s="143"/>
      <c r="Z1401" s="143"/>
      <c r="AA1401" s="143"/>
      <c r="AB1401" s="143"/>
      <c r="AC1401" s="143"/>
      <c r="AD1401" s="143"/>
      <c r="AE1401" s="143"/>
      <c r="AF1401" s="143"/>
      <c r="AG1401" s="143"/>
      <c r="AH1401" s="143"/>
      <c r="AI1401" s="143"/>
      <c r="AJ1401" s="143"/>
    </row>
    <row r="1402" spans="1:36" s="144" customFormat="1" ht="21.75" customHeight="1">
      <c r="A1402" s="151"/>
      <c r="B1402" s="219"/>
      <c r="C1402" s="219"/>
      <c r="D1402" s="219"/>
      <c r="E1402" s="225"/>
      <c r="N1402" s="143"/>
      <c r="O1402" s="143"/>
      <c r="P1402" s="143"/>
      <c r="Q1402" s="143"/>
      <c r="R1402" s="143"/>
      <c r="S1402" s="143"/>
      <c r="T1402" s="143"/>
      <c r="U1402" s="143"/>
      <c r="V1402" s="143"/>
      <c r="W1402" s="143"/>
      <c r="X1402" s="143"/>
      <c r="Y1402" s="143"/>
      <c r="Z1402" s="143"/>
      <c r="AA1402" s="143"/>
      <c r="AB1402" s="143"/>
      <c r="AC1402" s="143"/>
      <c r="AD1402" s="143"/>
      <c r="AE1402" s="143"/>
      <c r="AF1402" s="143"/>
      <c r="AG1402" s="143"/>
      <c r="AH1402" s="143"/>
      <c r="AI1402" s="143"/>
      <c r="AJ1402" s="143"/>
    </row>
    <row r="1403" spans="1:36" s="144" customFormat="1" ht="21.75" customHeight="1">
      <c r="A1403" s="151"/>
      <c r="B1403" s="219"/>
      <c r="C1403" s="219"/>
      <c r="D1403" s="219"/>
      <c r="E1403" s="225"/>
      <c r="N1403" s="143"/>
      <c r="O1403" s="143"/>
      <c r="P1403" s="143"/>
      <c r="Q1403" s="143"/>
      <c r="R1403" s="143"/>
      <c r="S1403" s="143"/>
      <c r="T1403" s="143"/>
      <c r="U1403" s="143"/>
      <c r="V1403" s="143"/>
      <c r="W1403" s="143"/>
      <c r="X1403" s="143"/>
      <c r="Y1403" s="143"/>
      <c r="Z1403" s="143"/>
      <c r="AA1403" s="143"/>
      <c r="AB1403" s="143"/>
      <c r="AC1403" s="143"/>
      <c r="AD1403" s="143"/>
      <c r="AE1403" s="143"/>
      <c r="AF1403" s="143"/>
      <c r="AG1403" s="143"/>
      <c r="AH1403" s="143"/>
      <c r="AI1403" s="143"/>
      <c r="AJ1403" s="143"/>
    </row>
    <row r="1404" spans="1:36" s="144" customFormat="1" ht="21.75" customHeight="1">
      <c r="A1404" s="151"/>
      <c r="B1404" s="219"/>
      <c r="C1404" s="219"/>
      <c r="D1404" s="219"/>
      <c r="E1404" s="225"/>
      <c r="N1404" s="143"/>
      <c r="O1404" s="143"/>
      <c r="P1404" s="143"/>
      <c r="Q1404" s="143"/>
      <c r="R1404" s="143"/>
      <c r="S1404" s="143"/>
      <c r="T1404" s="143"/>
      <c r="U1404" s="143"/>
      <c r="V1404" s="143"/>
      <c r="W1404" s="143"/>
      <c r="X1404" s="143"/>
      <c r="Y1404" s="143"/>
      <c r="Z1404" s="143"/>
      <c r="AA1404" s="143"/>
      <c r="AB1404" s="143"/>
      <c r="AC1404" s="143"/>
      <c r="AD1404" s="143"/>
      <c r="AE1404" s="143"/>
      <c r="AF1404" s="143"/>
      <c r="AG1404" s="143"/>
      <c r="AH1404" s="143"/>
      <c r="AI1404" s="143"/>
      <c r="AJ1404" s="143"/>
    </row>
    <row r="1405" spans="1:36" s="144" customFormat="1" ht="21.75" customHeight="1">
      <c r="A1405" s="151"/>
      <c r="B1405" s="219"/>
      <c r="C1405" s="219"/>
      <c r="D1405" s="219"/>
      <c r="E1405" s="225"/>
      <c r="N1405" s="143"/>
      <c r="O1405" s="143"/>
      <c r="P1405" s="143"/>
      <c r="Q1405" s="143"/>
      <c r="R1405" s="143"/>
      <c r="S1405" s="143"/>
      <c r="T1405" s="143"/>
      <c r="U1405" s="143"/>
      <c r="V1405" s="143"/>
      <c r="W1405" s="143"/>
      <c r="X1405" s="143"/>
      <c r="Y1405" s="143"/>
      <c r="Z1405" s="143"/>
      <c r="AA1405" s="143"/>
      <c r="AB1405" s="143"/>
      <c r="AC1405" s="143"/>
      <c r="AD1405" s="143"/>
      <c r="AE1405" s="143"/>
      <c r="AF1405" s="143"/>
      <c r="AG1405" s="143"/>
      <c r="AH1405" s="143"/>
      <c r="AI1405" s="143"/>
      <c r="AJ1405" s="143"/>
    </row>
    <row r="1406" spans="1:36" s="144" customFormat="1" ht="21.75" customHeight="1">
      <c r="A1406" s="151"/>
      <c r="B1406" s="219"/>
      <c r="C1406" s="219"/>
      <c r="D1406" s="219"/>
      <c r="E1406" s="225"/>
      <c r="N1406" s="143"/>
      <c r="O1406" s="143"/>
      <c r="P1406" s="143"/>
      <c r="Q1406" s="143"/>
      <c r="R1406" s="143"/>
      <c r="S1406" s="143"/>
      <c r="T1406" s="143"/>
      <c r="U1406" s="143"/>
      <c r="V1406" s="143"/>
      <c r="W1406" s="143"/>
      <c r="X1406" s="143"/>
      <c r="Y1406" s="143"/>
      <c r="Z1406" s="143"/>
      <c r="AA1406" s="143"/>
      <c r="AB1406" s="143"/>
      <c r="AC1406" s="143"/>
      <c r="AD1406" s="143"/>
      <c r="AE1406" s="143"/>
      <c r="AF1406" s="143"/>
      <c r="AG1406" s="143"/>
      <c r="AH1406" s="143"/>
      <c r="AI1406" s="143"/>
      <c r="AJ1406" s="143"/>
    </row>
    <row r="1407" spans="1:36" s="144" customFormat="1" ht="21.75" customHeight="1">
      <c r="A1407" s="151"/>
      <c r="B1407" s="219"/>
      <c r="C1407" s="219"/>
      <c r="D1407" s="219"/>
      <c r="E1407" s="225"/>
      <c r="N1407" s="143"/>
      <c r="O1407" s="143"/>
      <c r="P1407" s="143"/>
      <c r="Q1407" s="143"/>
      <c r="R1407" s="143"/>
      <c r="S1407" s="143"/>
      <c r="T1407" s="143"/>
      <c r="U1407" s="143"/>
      <c r="V1407" s="143"/>
      <c r="W1407" s="143"/>
      <c r="X1407" s="143"/>
      <c r="Y1407" s="143"/>
      <c r="Z1407" s="143"/>
      <c r="AA1407" s="143"/>
      <c r="AB1407" s="143"/>
      <c r="AC1407" s="143"/>
      <c r="AD1407" s="143"/>
      <c r="AE1407" s="143"/>
      <c r="AF1407" s="143"/>
      <c r="AG1407" s="143"/>
      <c r="AH1407" s="143"/>
      <c r="AI1407" s="143"/>
      <c r="AJ1407" s="143"/>
    </row>
    <row r="1408" spans="1:36" s="144" customFormat="1" ht="21.75" customHeight="1">
      <c r="A1408" s="151"/>
      <c r="B1408" s="219"/>
      <c r="C1408" s="219"/>
      <c r="D1408" s="219"/>
      <c r="E1408" s="225"/>
      <c r="N1408" s="143"/>
      <c r="O1408" s="143"/>
      <c r="P1408" s="143"/>
      <c r="Q1408" s="143"/>
      <c r="R1408" s="143"/>
      <c r="S1408" s="143"/>
      <c r="T1408" s="143"/>
      <c r="U1408" s="143"/>
      <c r="V1408" s="143"/>
      <c r="W1408" s="143"/>
      <c r="X1408" s="143"/>
      <c r="Y1408" s="143"/>
      <c r="Z1408" s="143"/>
      <c r="AA1408" s="143"/>
      <c r="AB1408" s="143"/>
      <c r="AC1408" s="143"/>
      <c r="AD1408" s="143"/>
      <c r="AE1408" s="143"/>
      <c r="AF1408" s="143"/>
      <c r="AG1408" s="143"/>
      <c r="AH1408" s="143"/>
      <c r="AI1408" s="143"/>
      <c r="AJ1408" s="143"/>
    </row>
    <row r="1409" spans="1:36" s="144" customFormat="1" ht="21.75" customHeight="1">
      <c r="A1409" s="151"/>
      <c r="B1409" s="219"/>
      <c r="C1409" s="219"/>
      <c r="D1409" s="219"/>
      <c r="E1409" s="225"/>
      <c r="N1409" s="143"/>
      <c r="O1409" s="143"/>
      <c r="P1409" s="143"/>
      <c r="Q1409" s="143"/>
      <c r="R1409" s="143"/>
      <c r="S1409" s="143"/>
      <c r="T1409" s="143"/>
      <c r="U1409" s="143"/>
      <c r="V1409" s="143"/>
      <c r="W1409" s="143"/>
      <c r="X1409" s="143"/>
      <c r="Y1409" s="143"/>
      <c r="Z1409" s="143"/>
      <c r="AA1409" s="143"/>
      <c r="AB1409" s="143"/>
      <c r="AC1409" s="143"/>
      <c r="AD1409" s="143"/>
      <c r="AE1409" s="143"/>
      <c r="AF1409" s="143"/>
      <c r="AG1409" s="143"/>
      <c r="AH1409" s="143"/>
      <c r="AI1409" s="143"/>
      <c r="AJ1409" s="143"/>
    </row>
    <row r="1410" spans="1:36" s="144" customFormat="1" ht="21.75" customHeight="1">
      <c r="A1410" s="151"/>
      <c r="B1410" s="219"/>
      <c r="C1410" s="219"/>
      <c r="D1410" s="219"/>
      <c r="E1410" s="225"/>
      <c r="N1410" s="143"/>
      <c r="O1410" s="143"/>
      <c r="P1410" s="143"/>
      <c r="Q1410" s="143"/>
      <c r="R1410" s="143"/>
      <c r="S1410" s="143"/>
      <c r="T1410" s="143"/>
      <c r="U1410" s="143"/>
      <c r="V1410" s="143"/>
      <c r="W1410" s="143"/>
      <c r="X1410" s="143"/>
      <c r="Y1410" s="143"/>
      <c r="Z1410" s="143"/>
      <c r="AA1410" s="143"/>
      <c r="AB1410" s="143"/>
      <c r="AC1410" s="143"/>
      <c r="AD1410" s="143"/>
      <c r="AE1410" s="143"/>
      <c r="AF1410" s="143"/>
      <c r="AG1410" s="143"/>
      <c r="AH1410" s="143"/>
      <c r="AI1410" s="143"/>
      <c r="AJ1410" s="143"/>
    </row>
    <row r="1411" spans="1:36" s="144" customFormat="1" ht="21.75" customHeight="1">
      <c r="A1411" s="151"/>
      <c r="B1411" s="219"/>
      <c r="C1411" s="219"/>
      <c r="D1411" s="219"/>
      <c r="E1411" s="225"/>
      <c r="N1411" s="143"/>
      <c r="O1411" s="143"/>
      <c r="P1411" s="143"/>
      <c r="Q1411" s="143"/>
      <c r="R1411" s="143"/>
      <c r="S1411" s="143"/>
      <c r="T1411" s="143"/>
      <c r="U1411" s="143"/>
      <c r="V1411" s="143"/>
      <c r="W1411" s="143"/>
      <c r="X1411" s="143"/>
      <c r="Y1411" s="143"/>
      <c r="Z1411" s="143"/>
      <c r="AA1411" s="143"/>
      <c r="AB1411" s="143"/>
      <c r="AC1411" s="143"/>
      <c r="AD1411" s="143"/>
      <c r="AE1411" s="143"/>
      <c r="AF1411" s="143"/>
      <c r="AG1411" s="143"/>
      <c r="AH1411" s="143"/>
      <c r="AI1411" s="143"/>
      <c r="AJ1411" s="143"/>
    </row>
    <row r="1412" spans="1:36" s="144" customFormat="1" ht="21.75" customHeight="1">
      <c r="A1412" s="151"/>
      <c r="B1412" s="219"/>
      <c r="C1412" s="219"/>
      <c r="D1412" s="219"/>
      <c r="E1412" s="225"/>
      <c r="N1412" s="143"/>
      <c r="O1412" s="143"/>
      <c r="P1412" s="143"/>
      <c r="Q1412" s="143"/>
      <c r="R1412" s="143"/>
      <c r="S1412" s="143"/>
      <c r="T1412" s="143"/>
      <c r="U1412" s="143"/>
      <c r="V1412" s="143"/>
      <c r="W1412" s="143"/>
      <c r="X1412" s="143"/>
      <c r="Y1412" s="143"/>
      <c r="Z1412" s="143"/>
      <c r="AA1412" s="143"/>
      <c r="AB1412" s="143"/>
      <c r="AC1412" s="143"/>
      <c r="AD1412" s="143"/>
      <c r="AE1412" s="143"/>
      <c r="AF1412" s="143"/>
      <c r="AG1412" s="143"/>
      <c r="AH1412" s="143"/>
      <c r="AI1412" s="143"/>
      <c r="AJ1412" s="143"/>
    </row>
    <row r="1413" spans="1:36" s="144" customFormat="1" ht="21.75" customHeight="1">
      <c r="A1413" s="151"/>
      <c r="B1413" s="219"/>
      <c r="C1413" s="219"/>
      <c r="D1413" s="219"/>
      <c r="E1413" s="225"/>
      <c r="N1413" s="143"/>
      <c r="O1413" s="143"/>
      <c r="P1413" s="143"/>
      <c r="Q1413" s="143"/>
      <c r="R1413" s="143"/>
      <c r="S1413" s="143"/>
      <c r="T1413" s="143"/>
      <c r="U1413" s="143"/>
      <c r="V1413" s="143"/>
      <c r="W1413" s="143"/>
      <c r="X1413" s="143"/>
      <c r="Y1413" s="143"/>
      <c r="Z1413" s="143"/>
      <c r="AA1413" s="143"/>
      <c r="AB1413" s="143"/>
      <c r="AC1413" s="143"/>
      <c r="AD1413" s="143"/>
      <c r="AE1413" s="143"/>
      <c r="AF1413" s="143"/>
      <c r="AG1413" s="143"/>
      <c r="AH1413" s="143"/>
      <c r="AI1413" s="143"/>
      <c r="AJ1413" s="143"/>
    </row>
    <row r="1414" spans="1:36" s="144" customFormat="1" ht="21.75" customHeight="1">
      <c r="A1414" s="151"/>
      <c r="B1414" s="219"/>
      <c r="C1414" s="219"/>
      <c r="D1414" s="219"/>
      <c r="E1414" s="225"/>
      <c r="N1414" s="143"/>
      <c r="O1414" s="143"/>
      <c r="P1414" s="143"/>
      <c r="Q1414" s="143"/>
      <c r="R1414" s="143"/>
      <c r="S1414" s="143"/>
      <c r="T1414" s="143"/>
      <c r="U1414" s="143"/>
      <c r="V1414" s="143"/>
      <c r="W1414" s="143"/>
      <c r="X1414" s="143"/>
      <c r="Y1414" s="143"/>
      <c r="Z1414" s="143"/>
      <c r="AA1414" s="143"/>
      <c r="AB1414" s="143"/>
      <c r="AC1414" s="143"/>
      <c r="AD1414" s="143"/>
      <c r="AE1414" s="143"/>
      <c r="AF1414" s="143"/>
      <c r="AG1414" s="143"/>
      <c r="AH1414" s="143"/>
      <c r="AI1414" s="143"/>
      <c r="AJ1414" s="143"/>
    </row>
    <row r="1415" spans="1:36" s="144" customFormat="1" ht="21.75" customHeight="1">
      <c r="A1415" s="151"/>
      <c r="B1415" s="219"/>
      <c r="C1415" s="219"/>
      <c r="D1415" s="219"/>
      <c r="E1415" s="225"/>
      <c r="N1415" s="143"/>
      <c r="O1415" s="143"/>
      <c r="P1415" s="143"/>
      <c r="Q1415" s="143"/>
      <c r="R1415" s="143"/>
      <c r="S1415" s="143"/>
      <c r="T1415" s="143"/>
      <c r="U1415" s="143"/>
      <c r="V1415" s="143"/>
      <c r="W1415" s="143"/>
      <c r="X1415" s="143"/>
      <c r="Y1415" s="143"/>
      <c r="Z1415" s="143"/>
      <c r="AA1415" s="143"/>
      <c r="AB1415" s="143"/>
      <c r="AC1415" s="143"/>
      <c r="AD1415" s="143"/>
      <c r="AE1415" s="143"/>
      <c r="AF1415" s="143"/>
      <c r="AG1415" s="143"/>
      <c r="AH1415" s="143"/>
      <c r="AI1415" s="143"/>
      <c r="AJ1415" s="143"/>
    </row>
    <row r="1416" spans="1:36" s="144" customFormat="1" ht="21.75" customHeight="1">
      <c r="A1416" s="151"/>
      <c r="B1416" s="219"/>
      <c r="C1416" s="219"/>
      <c r="D1416" s="219"/>
      <c r="E1416" s="225"/>
      <c r="N1416" s="143"/>
      <c r="O1416" s="143"/>
      <c r="P1416" s="143"/>
      <c r="Q1416" s="143"/>
      <c r="R1416" s="143"/>
      <c r="S1416" s="143"/>
      <c r="T1416" s="143"/>
      <c r="U1416" s="143"/>
      <c r="V1416" s="143"/>
      <c r="W1416" s="143"/>
      <c r="X1416" s="143"/>
      <c r="Y1416" s="143"/>
      <c r="Z1416" s="143"/>
      <c r="AA1416" s="143"/>
      <c r="AB1416" s="143"/>
      <c r="AC1416" s="143"/>
      <c r="AD1416" s="143"/>
      <c r="AE1416" s="143"/>
      <c r="AF1416" s="143"/>
      <c r="AG1416" s="143"/>
      <c r="AH1416" s="143"/>
      <c r="AI1416" s="143"/>
      <c r="AJ1416" s="143"/>
    </row>
    <row r="1417" spans="1:36" s="144" customFormat="1" ht="21.75" customHeight="1">
      <c r="A1417" s="151"/>
      <c r="B1417" s="219"/>
      <c r="C1417" s="219"/>
      <c r="D1417" s="219"/>
      <c r="E1417" s="225"/>
      <c r="N1417" s="143"/>
      <c r="O1417" s="143"/>
      <c r="P1417" s="143"/>
      <c r="Q1417" s="143"/>
      <c r="R1417" s="143"/>
      <c r="S1417" s="143"/>
      <c r="T1417" s="143"/>
      <c r="U1417" s="143"/>
      <c r="V1417" s="143"/>
      <c r="W1417" s="143"/>
      <c r="X1417" s="143"/>
      <c r="Y1417" s="143"/>
      <c r="Z1417" s="143"/>
      <c r="AA1417" s="143"/>
      <c r="AB1417" s="143"/>
      <c r="AC1417" s="143"/>
      <c r="AD1417" s="143"/>
      <c r="AE1417" s="143"/>
      <c r="AF1417" s="143"/>
      <c r="AG1417" s="143"/>
      <c r="AH1417" s="143"/>
      <c r="AI1417" s="143"/>
      <c r="AJ1417" s="143"/>
    </row>
    <row r="1418" spans="1:36" s="144" customFormat="1" ht="21.75" customHeight="1">
      <c r="A1418" s="151"/>
      <c r="B1418" s="219"/>
      <c r="C1418" s="219"/>
      <c r="D1418" s="219"/>
      <c r="E1418" s="225"/>
      <c r="N1418" s="143"/>
      <c r="O1418" s="143"/>
      <c r="P1418" s="143"/>
      <c r="Q1418" s="143"/>
      <c r="R1418" s="143"/>
      <c r="S1418" s="143"/>
      <c r="T1418" s="143"/>
      <c r="U1418" s="143"/>
      <c r="V1418" s="143"/>
      <c r="W1418" s="143"/>
      <c r="X1418" s="143"/>
      <c r="Y1418" s="143"/>
      <c r="Z1418" s="143"/>
      <c r="AA1418" s="143"/>
      <c r="AB1418" s="143"/>
      <c r="AC1418" s="143"/>
      <c r="AD1418" s="143"/>
      <c r="AE1418" s="143"/>
      <c r="AF1418" s="143"/>
      <c r="AG1418" s="143"/>
      <c r="AH1418" s="143"/>
      <c r="AI1418" s="143"/>
      <c r="AJ1418" s="143"/>
    </row>
    <row r="1419" spans="1:36" s="144" customFormat="1" ht="21.75" customHeight="1">
      <c r="A1419" s="151"/>
      <c r="B1419" s="219"/>
      <c r="C1419" s="219"/>
      <c r="D1419" s="219"/>
      <c r="E1419" s="225"/>
      <c r="N1419" s="143"/>
      <c r="O1419" s="143"/>
      <c r="P1419" s="143"/>
      <c r="Q1419" s="143"/>
      <c r="R1419" s="143"/>
      <c r="S1419" s="143"/>
      <c r="T1419" s="143"/>
      <c r="U1419" s="143"/>
      <c r="V1419" s="143"/>
      <c r="W1419" s="143"/>
      <c r="X1419" s="143"/>
      <c r="Y1419" s="143"/>
      <c r="Z1419" s="143"/>
      <c r="AA1419" s="143"/>
      <c r="AB1419" s="143"/>
      <c r="AC1419" s="143"/>
      <c r="AD1419" s="143"/>
      <c r="AE1419" s="143"/>
      <c r="AF1419" s="143"/>
      <c r="AG1419" s="143"/>
      <c r="AH1419" s="143"/>
      <c r="AI1419" s="143"/>
      <c r="AJ1419" s="143"/>
    </row>
    <row r="1420" spans="1:36" s="144" customFormat="1" ht="21.75" customHeight="1">
      <c r="A1420" s="151"/>
      <c r="B1420" s="219"/>
      <c r="C1420" s="219"/>
      <c r="D1420" s="219"/>
      <c r="E1420" s="225"/>
      <c r="N1420" s="143"/>
      <c r="O1420" s="143"/>
      <c r="P1420" s="143"/>
      <c r="Q1420" s="143"/>
      <c r="R1420" s="143"/>
      <c r="S1420" s="143"/>
      <c r="T1420" s="143"/>
      <c r="U1420" s="143"/>
      <c r="V1420" s="143"/>
      <c r="W1420" s="143"/>
      <c r="X1420" s="143"/>
      <c r="Y1420" s="143"/>
      <c r="Z1420" s="143"/>
      <c r="AA1420" s="143"/>
      <c r="AB1420" s="143"/>
      <c r="AC1420" s="143"/>
      <c r="AD1420" s="143"/>
      <c r="AE1420" s="143"/>
      <c r="AF1420" s="143"/>
      <c r="AG1420" s="143"/>
      <c r="AH1420" s="143"/>
      <c r="AI1420" s="143"/>
      <c r="AJ1420" s="143"/>
    </row>
    <row r="1421" spans="1:36" s="144" customFormat="1" ht="21.75" customHeight="1">
      <c r="A1421" s="151"/>
      <c r="B1421" s="219"/>
      <c r="C1421" s="219"/>
      <c r="D1421" s="219"/>
      <c r="E1421" s="225"/>
      <c r="N1421" s="143"/>
      <c r="O1421" s="143"/>
      <c r="P1421" s="143"/>
      <c r="Q1421" s="143"/>
      <c r="R1421" s="143"/>
      <c r="S1421" s="143"/>
      <c r="T1421" s="143"/>
      <c r="U1421" s="143"/>
      <c r="V1421" s="143"/>
      <c r="W1421" s="143"/>
      <c r="X1421" s="143"/>
      <c r="Y1421" s="143"/>
      <c r="Z1421" s="143"/>
      <c r="AA1421" s="143"/>
      <c r="AB1421" s="143"/>
      <c r="AC1421" s="143"/>
      <c r="AD1421" s="143"/>
      <c r="AE1421" s="143"/>
      <c r="AF1421" s="143"/>
      <c r="AG1421" s="143"/>
      <c r="AH1421" s="143"/>
      <c r="AI1421" s="143"/>
      <c r="AJ1421" s="143"/>
    </row>
    <row r="1422" spans="1:36" s="144" customFormat="1" ht="21.75" customHeight="1">
      <c r="A1422" s="151"/>
      <c r="B1422" s="219"/>
      <c r="C1422" s="219"/>
      <c r="D1422" s="219"/>
      <c r="E1422" s="225"/>
      <c r="N1422" s="143"/>
      <c r="O1422" s="143"/>
      <c r="P1422" s="143"/>
      <c r="Q1422" s="143"/>
      <c r="R1422" s="143"/>
      <c r="S1422" s="143"/>
      <c r="T1422" s="143"/>
      <c r="U1422" s="143"/>
      <c r="V1422" s="143"/>
      <c r="W1422" s="143"/>
      <c r="X1422" s="143"/>
      <c r="Y1422" s="143"/>
      <c r="Z1422" s="143"/>
      <c r="AA1422" s="143"/>
      <c r="AB1422" s="143"/>
      <c r="AC1422" s="143"/>
      <c r="AD1422" s="143"/>
      <c r="AE1422" s="143"/>
      <c r="AF1422" s="143"/>
      <c r="AG1422" s="143"/>
      <c r="AH1422" s="143"/>
      <c r="AI1422" s="143"/>
      <c r="AJ1422" s="143"/>
    </row>
    <row r="1423" spans="1:36" s="144" customFormat="1" ht="21.75" customHeight="1">
      <c r="A1423" s="151"/>
      <c r="B1423" s="219"/>
      <c r="C1423" s="219"/>
      <c r="D1423" s="219"/>
      <c r="E1423" s="225"/>
      <c r="N1423" s="143"/>
      <c r="O1423" s="143"/>
      <c r="P1423" s="143"/>
      <c r="Q1423" s="143"/>
      <c r="R1423" s="143"/>
      <c r="S1423" s="143"/>
      <c r="T1423" s="143"/>
      <c r="U1423" s="143"/>
      <c r="V1423" s="143"/>
      <c r="W1423" s="143"/>
      <c r="X1423" s="143"/>
      <c r="Y1423" s="143"/>
      <c r="Z1423" s="143"/>
      <c r="AA1423" s="143"/>
      <c r="AB1423" s="143"/>
      <c r="AC1423" s="143"/>
      <c r="AD1423" s="143"/>
      <c r="AE1423" s="143"/>
      <c r="AF1423" s="143"/>
      <c r="AG1423" s="143"/>
      <c r="AH1423" s="143"/>
      <c r="AI1423" s="143"/>
      <c r="AJ1423" s="143"/>
    </row>
    <row r="1424" spans="1:36" s="144" customFormat="1" ht="21.75" customHeight="1">
      <c r="A1424" s="151"/>
      <c r="B1424" s="219"/>
      <c r="C1424" s="219"/>
      <c r="D1424" s="219"/>
      <c r="E1424" s="225"/>
      <c r="N1424" s="143"/>
      <c r="O1424" s="143"/>
      <c r="P1424" s="143"/>
      <c r="Q1424" s="143"/>
      <c r="R1424" s="143"/>
      <c r="S1424" s="143"/>
      <c r="T1424" s="143"/>
      <c r="U1424" s="143"/>
      <c r="V1424" s="143"/>
      <c r="W1424" s="143"/>
      <c r="X1424" s="143"/>
      <c r="Y1424" s="143"/>
      <c r="Z1424" s="143"/>
      <c r="AA1424" s="143"/>
      <c r="AB1424" s="143"/>
      <c r="AC1424" s="143"/>
      <c r="AD1424" s="143"/>
      <c r="AE1424" s="143"/>
      <c r="AF1424" s="143"/>
      <c r="AG1424" s="143"/>
      <c r="AH1424" s="143"/>
      <c r="AI1424" s="143"/>
      <c r="AJ1424" s="143"/>
    </row>
    <row r="1425" spans="1:36" s="144" customFormat="1" ht="21.75" customHeight="1">
      <c r="A1425" s="151"/>
      <c r="B1425" s="219"/>
      <c r="C1425" s="219"/>
      <c r="D1425" s="219"/>
      <c r="E1425" s="225"/>
      <c r="N1425" s="143"/>
      <c r="O1425" s="143"/>
      <c r="P1425" s="143"/>
      <c r="Q1425" s="143"/>
      <c r="R1425" s="143"/>
      <c r="S1425" s="143"/>
      <c r="T1425" s="143"/>
      <c r="U1425" s="143"/>
      <c r="V1425" s="143"/>
      <c r="W1425" s="143"/>
      <c r="X1425" s="143"/>
      <c r="Y1425" s="143"/>
      <c r="Z1425" s="143"/>
      <c r="AA1425" s="143"/>
      <c r="AB1425" s="143"/>
      <c r="AC1425" s="143"/>
      <c r="AD1425" s="143"/>
      <c r="AE1425" s="143"/>
      <c r="AF1425" s="143"/>
      <c r="AG1425" s="143"/>
      <c r="AH1425" s="143"/>
      <c r="AI1425" s="143"/>
      <c r="AJ1425" s="143"/>
    </row>
    <row r="1426" spans="1:36" s="144" customFormat="1" ht="21.75" customHeight="1">
      <c r="A1426" s="151"/>
      <c r="B1426" s="219"/>
      <c r="C1426" s="219"/>
      <c r="D1426" s="219"/>
      <c r="E1426" s="225"/>
      <c r="N1426" s="143"/>
      <c r="O1426" s="143"/>
      <c r="P1426" s="143"/>
      <c r="Q1426" s="143"/>
      <c r="R1426" s="143"/>
      <c r="S1426" s="143"/>
      <c r="T1426" s="143"/>
      <c r="U1426" s="143"/>
      <c r="V1426" s="143"/>
      <c r="W1426" s="143"/>
      <c r="X1426" s="143"/>
      <c r="Y1426" s="143"/>
      <c r="Z1426" s="143"/>
      <c r="AA1426" s="143"/>
      <c r="AB1426" s="143"/>
      <c r="AC1426" s="143"/>
      <c r="AD1426" s="143"/>
      <c r="AE1426" s="143"/>
      <c r="AF1426" s="143"/>
      <c r="AG1426" s="143"/>
      <c r="AH1426" s="143"/>
      <c r="AI1426" s="143"/>
      <c r="AJ1426" s="143"/>
    </row>
    <row r="1427" spans="1:36" s="144" customFormat="1" ht="21.75" customHeight="1">
      <c r="A1427" s="151"/>
      <c r="B1427" s="219"/>
      <c r="C1427" s="219"/>
      <c r="D1427" s="219"/>
      <c r="E1427" s="225"/>
      <c r="N1427" s="143"/>
      <c r="O1427" s="143"/>
      <c r="P1427" s="143"/>
      <c r="Q1427" s="143"/>
      <c r="R1427" s="143"/>
      <c r="S1427" s="143"/>
      <c r="T1427" s="143"/>
      <c r="U1427" s="143"/>
      <c r="V1427" s="143"/>
      <c r="W1427" s="143"/>
      <c r="X1427" s="143"/>
      <c r="Y1427" s="143"/>
      <c r="Z1427" s="143"/>
      <c r="AA1427" s="143"/>
      <c r="AB1427" s="143"/>
      <c r="AC1427" s="143"/>
      <c r="AD1427" s="143"/>
      <c r="AE1427" s="143"/>
      <c r="AF1427" s="143"/>
      <c r="AG1427" s="143"/>
      <c r="AH1427" s="143"/>
      <c r="AI1427" s="143"/>
      <c r="AJ1427" s="143"/>
    </row>
    <row r="1428" spans="1:36" s="144" customFormat="1" ht="21.75" customHeight="1">
      <c r="A1428" s="151"/>
      <c r="B1428" s="219"/>
      <c r="C1428" s="219"/>
      <c r="D1428" s="219"/>
      <c r="E1428" s="225"/>
      <c r="N1428" s="143"/>
      <c r="O1428" s="143"/>
      <c r="P1428" s="143"/>
      <c r="Q1428" s="143"/>
      <c r="R1428" s="143"/>
      <c r="S1428" s="143"/>
      <c r="T1428" s="143"/>
      <c r="U1428" s="143"/>
      <c r="V1428" s="143"/>
      <c r="W1428" s="143"/>
      <c r="X1428" s="143"/>
      <c r="Y1428" s="143"/>
      <c r="Z1428" s="143"/>
      <c r="AA1428" s="143"/>
      <c r="AB1428" s="143"/>
      <c r="AC1428" s="143"/>
      <c r="AD1428" s="143"/>
      <c r="AE1428" s="143"/>
      <c r="AF1428" s="143"/>
      <c r="AG1428" s="143"/>
      <c r="AH1428" s="143"/>
      <c r="AI1428" s="143"/>
      <c r="AJ1428" s="143"/>
    </row>
    <row r="1429" spans="1:36" s="144" customFormat="1" ht="21.75" customHeight="1">
      <c r="A1429" s="151"/>
      <c r="B1429" s="219"/>
      <c r="C1429" s="219"/>
      <c r="D1429" s="219"/>
      <c r="E1429" s="225"/>
      <c r="N1429" s="143"/>
      <c r="O1429" s="143"/>
      <c r="P1429" s="143"/>
      <c r="Q1429" s="143"/>
      <c r="R1429" s="143"/>
      <c r="S1429" s="143"/>
      <c r="T1429" s="143"/>
      <c r="U1429" s="143"/>
      <c r="V1429" s="143"/>
      <c r="W1429" s="143"/>
      <c r="X1429" s="143"/>
      <c r="Y1429" s="143"/>
      <c r="Z1429" s="143"/>
      <c r="AA1429" s="143"/>
      <c r="AB1429" s="143"/>
      <c r="AC1429" s="143"/>
      <c r="AD1429" s="143"/>
      <c r="AE1429" s="143"/>
      <c r="AF1429" s="143"/>
      <c r="AG1429" s="143"/>
      <c r="AH1429" s="143"/>
      <c r="AI1429" s="143"/>
      <c r="AJ1429" s="143"/>
    </row>
    <row r="1430" spans="1:36" s="144" customFormat="1" ht="21.75" customHeight="1">
      <c r="A1430" s="151"/>
      <c r="B1430" s="219"/>
      <c r="C1430" s="219"/>
      <c r="D1430" s="219"/>
      <c r="E1430" s="225"/>
      <c r="N1430" s="143"/>
      <c r="O1430" s="143"/>
      <c r="P1430" s="143"/>
      <c r="Q1430" s="143"/>
      <c r="R1430" s="143"/>
      <c r="S1430" s="143"/>
      <c r="T1430" s="143"/>
      <c r="U1430" s="143"/>
      <c r="V1430" s="143"/>
      <c r="W1430" s="143"/>
      <c r="X1430" s="143"/>
      <c r="Y1430" s="143"/>
      <c r="Z1430" s="143"/>
      <c r="AA1430" s="143"/>
      <c r="AB1430" s="143"/>
      <c r="AC1430" s="143"/>
      <c r="AD1430" s="143"/>
      <c r="AE1430" s="143"/>
      <c r="AF1430" s="143"/>
      <c r="AG1430" s="143"/>
      <c r="AH1430" s="143"/>
      <c r="AI1430" s="143"/>
      <c r="AJ1430" s="143"/>
    </row>
    <row r="1431" spans="1:36" s="144" customFormat="1" ht="21.75" customHeight="1">
      <c r="A1431" s="151"/>
      <c r="B1431" s="219"/>
      <c r="C1431" s="219"/>
      <c r="D1431" s="219"/>
      <c r="E1431" s="225"/>
      <c r="N1431" s="143"/>
      <c r="O1431" s="143"/>
      <c r="P1431" s="143"/>
      <c r="Q1431" s="143"/>
      <c r="R1431" s="143"/>
      <c r="S1431" s="143"/>
      <c r="T1431" s="143"/>
      <c r="U1431" s="143"/>
      <c r="V1431" s="143"/>
      <c r="W1431" s="143"/>
      <c r="X1431" s="143"/>
      <c r="Y1431" s="143"/>
      <c r="Z1431" s="143"/>
      <c r="AA1431" s="143"/>
      <c r="AB1431" s="143"/>
      <c r="AC1431" s="143"/>
      <c r="AD1431" s="143"/>
      <c r="AE1431" s="143"/>
      <c r="AF1431" s="143"/>
      <c r="AG1431" s="143"/>
      <c r="AH1431" s="143"/>
      <c r="AI1431" s="143"/>
      <c r="AJ1431" s="143"/>
    </row>
    <row r="1432" spans="1:36" s="144" customFormat="1" ht="21.75" customHeight="1">
      <c r="A1432" s="151"/>
      <c r="B1432" s="219"/>
      <c r="C1432" s="219"/>
      <c r="D1432" s="219"/>
      <c r="E1432" s="225"/>
      <c r="N1432" s="143"/>
      <c r="O1432" s="143"/>
      <c r="P1432" s="143"/>
      <c r="Q1432" s="143"/>
      <c r="R1432" s="143"/>
      <c r="S1432" s="143"/>
      <c r="T1432" s="143"/>
      <c r="U1432" s="143"/>
      <c r="V1432" s="143"/>
      <c r="W1432" s="143"/>
      <c r="X1432" s="143"/>
      <c r="Y1432" s="143"/>
      <c r="Z1432" s="143"/>
      <c r="AA1432" s="143"/>
      <c r="AB1432" s="143"/>
      <c r="AC1432" s="143"/>
      <c r="AD1432" s="143"/>
      <c r="AE1432" s="143"/>
      <c r="AF1432" s="143"/>
      <c r="AG1432" s="143"/>
      <c r="AH1432" s="143"/>
      <c r="AI1432" s="143"/>
      <c r="AJ1432" s="143"/>
    </row>
    <row r="1433" spans="1:36" s="144" customFormat="1" ht="21.75" customHeight="1">
      <c r="A1433" s="151"/>
      <c r="B1433" s="219"/>
      <c r="C1433" s="219"/>
      <c r="D1433" s="219"/>
      <c r="E1433" s="225"/>
      <c r="N1433" s="143"/>
      <c r="O1433" s="143"/>
      <c r="P1433" s="143"/>
      <c r="Q1433" s="143"/>
      <c r="R1433" s="143"/>
      <c r="S1433" s="143"/>
      <c r="T1433" s="143"/>
      <c r="U1433" s="143"/>
      <c r="V1433" s="143"/>
      <c r="W1433" s="143"/>
      <c r="X1433" s="143"/>
      <c r="Y1433" s="143"/>
      <c r="Z1433" s="143"/>
      <c r="AA1433" s="143"/>
      <c r="AB1433" s="143"/>
      <c r="AC1433" s="143"/>
      <c r="AD1433" s="143"/>
      <c r="AE1433" s="143"/>
      <c r="AF1433" s="143"/>
      <c r="AG1433" s="143"/>
      <c r="AH1433" s="143"/>
      <c r="AI1433" s="143"/>
      <c r="AJ1433" s="143"/>
    </row>
    <row r="1434" spans="1:36" s="144" customFormat="1" ht="21.75" customHeight="1">
      <c r="A1434" s="151"/>
      <c r="B1434" s="219"/>
      <c r="C1434" s="219"/>
      <c r="D1434" s="219"/>
      <c r="E1434" s="225"/>
      <c r="N1434" s="143"/>
      <c r="O1434" s="143"/>
      <c r="P1434" s="143"/>
      <c r="Q1434" s="143"/>
      <c r="R1434" s="143"/>
      <c r="S1434" s="143"/>
      <c r="T1434" s="143"/>
      <c r="U1434" s="143"/>
      <c r="V1434" s="143"/>
      <c r="W1434" s="143"/>
      <c r="X1434" s="143"/>
      <c r="Y1434" s="143"/>
      <c r="Z1434" s="143"/>
      <c r="AA1434" s="143"/>
      <c r="AB1434" s="143"/>
      <c r="AC1434" s="143"/>
      <c r="AD1434" s="143"/>
      <c r="AE1434" s="143"/>
      <c r="AF1434" s="143"/>
      <c r="AG1434" s="143"/>
      <c r="AH1434" s="143"/>
      <c r="AI1434" s="143"/>
      <c r="AJ1434" s="143"/>
    </row>
    <row r="1435" spans="1:36" s="144" customFormat="1" ht="21.75" customHeight="1">
      <c r="A1435" s="151"/>
      <c r="B1435" s="219"/>
      <c r="C1435" s="219"/>
      <c r="D1435" s="219"/>
      <c r="E1435" s="225"/>
      <c r="N1435" s="143"/>
      <c r="O1435" s="143"/>
      <c r="P1435" s="143"/>
      <c r="Q1435" s="143"/>
      <c r="R1435" s="143"/>
      <c r="S1435" s="143"/>
      <c r="T1435" s="143"/>
      <c r="U1435" s="143"/>
      <c r="V1435" s="143"/>
      <c r="W1435" s="143"/>
      <c r="X1435" s="143"/>
      <c r="Y1435" s="143"/>
      <c r="Z1435" s="143"/>
      <c r="AA1435" s="143"/>
      <c r="AB1435" s="143"/>
      <c r="AC1435" s="143"/>
      <c r="AD1435" s="143"/>
      <c r="AE1435" s="143"/>
      <c r="AF1435" s="143"/>
      <c r="AG1435" s="143"/>
      <c r="AH1435" s="143"/>
      <c r="AI1435" s="143"/>
      <c r="AJ1435" s="143"/>
    </row>
    <row r="1436" spans="1:36" s="144" customFormat="1" ht="21.75" customHeight="1">
      <c r="A1436" s="151"/>
      <c r="B1436" s="219"/>
      <c r="C1436" s="219"/>
      <c r="D1436" s="219"/>
      <c r="E1436" s="225"/>
      <c r="N1436" s="143"/>
      <c r="O1436" s="143"/>
      <c r="P1436" s="143"/>
      <c r="Q1436" s="143"/>
      <c r="R1436" s="143"/>
      <c r="S1436" s="143"/>
      <c r="T1436" s="143"/>
      <c r="U1436" s="143"/>
      <c r="V1436" s="143"/>
      <c r="W1436" s="143"/>
      <c r="X1436" s="143"/>
      <c r="Y1436" s="143"/>
      <c r="Z1436" s="143"/>
      <c r="AA1436" s="143"/>
      <c r="AB1436" s="143"/>
      <c r="AC1436" s="143"/>
      <c r="AD1436" s="143"/>
      <c r="AE1436" s="143"/>
      <c r="AF1436" s="143"/>
      <c r="AG1436" s="143"/>
      <c r="AH1436" s="143"/>
      <c r="AI1436" s="143"/>
      <c r="AJ1436" s="143"/>
    </row>
    <row r="1437" spans="1:36" s="144" customFormat="1" ht="21.75" customHeight="1">
      <c r="A1437" s="151"/>
      <c r="B1437" s="219"/>
      <c r="C1437" s="219"/>
      <c r="D1437" s="219"/>
      <c r="E1437" s="225"/>
      <c r="N1437" s="143"/>
      <c r="O1437" s="143"/>
      <c r="P1437" s="143"/>
      <c r="Q1437" s="143"/>
      <c r="R1437" s="143"/>
      <c r="S1437" s="143"/>
      <c r="T1437" s="143"/>
      <c r="U1437" s="143"/>
      <c r="V1437" s="143"/>
      <c r="W1437" s="143"/>
      <c r="X1437" s="143"/>
      <c r="Y1437" s="143"/>
      <c r="Z1437" s="143"/>
      <c r="AA1437" s="143"/>
      <c r="AB1437" s="143"/>
      <c r="AC1437" s="143"/>
      <c r="AD1437" s="143"/>
      <c r="AE1437" s="143"/>
      <c r="AF1437" s="143"/>
      <c r="AG1437" s="143"/>
      <c r="AH1437" s="143"/>
      <c r="AI1437" s="143"/>
      <c r="AJ1437" s="143"/>
    </row>
    <row r="1438" spans="1:36" s="144" customFormat="1" ht="21.75" customHeight="1">
      <c r="A1438" s="151"/>
      <c r="B1438" s="219"/>
      <c r="C1438" s="219"/>
      <c r="D1438" s="219"/>
      <c r="E1438" s="225"/>
      <c r="N1438" s="143"/>
      <c r="O1438" s="143"/>
      <c r="P1438" s="143"/>
      <c r="Q1438" s="143"/>
      <c r="R1438" s="143"/>
      <c r="S1438" s="143"/>
      <c r="T1438" s="143"/>
      <c r="U1438" s="143"/>
      <c r="V1438" s="143"/>
      <c r="W1438" s="143"/>
      <c r="X1438" s="143"/>
      <c r="Y1438" s="143"/>
      <c r="Z1438" s="143"/>
      <c r="AA1438" s="143"/>
      <c r="AB1438" s="143"/>
      <c r="AC1438" s="143"/>
      <c r="AD1438" s="143"/>
      <c r="AE1438" s="143"/>
      <c r="AF1438" s="143"/>
      <c r="AG1438" s="143"/>
      <c r="AH1438" s="143"/>
      <c r="AI1438" s="143"/>
      <c r="AJ1438" s="143"/>
    </row>
    <row r="1439" spans="1:36" s="144" customFormat="1" ht="21.75" customHeight="1">
      <c r="A1439" s="151"/>
      <c r="B1439" s="219"/>
      <c r="C1439" s="219"/>
      <c r="D1439" s="219"/>
      <c r="E1439" s="225"/>
      <c r="N1439" s="143"/>
      <c r="O1439" s="143"/>
      <c r="P1439" s="143"/>
      <c r="Q1439" s="143"/>
      <c r="R1439" s="143"/>
      <c r="S1439" s="143"/>
      <c r="T1439" s="143"/>
      <c r="U1439" s="143"/>
      <c r="V1439" s="143"/>
      <c r="W1439" s="143"/>
      <c r="X1439" s="143"/>
      <c r="Y1439" s="143"/>
      <c r="Z1439" s="143"/>
      <c r="AA1439" s="143"/>
      <c r="AB1439" s="143"/>
      <c r="AC1439" s="143"/>
      <c r="AD1439" s="143"/>
      <c r="AE1439" s="143"/>
      <c r="AF1439" s="143"/>
      <c r="AG1439" s="143"/>
      <c r="AH1439" s="143"/>
      <c r="AI1439" s="143"/>
      <c r="AJ1439" s="143"/>
    </row>
    <row r="1440" spans="1:36" s="144" customFormat="1" ht="21.75" customHeight="1">
      <c r="A1440" s="151"/>
      <c r="B1440" s="219"/>
      <c r="C1440" s="219"/>
      <c r="D1440" s="219"/>
      <c r="E1440" s="225"/>
      <c r="N1440" s="143"/>
      <c r="O1440" s="143"/>
      <c r="P1440" s="143"/>
      <c r="Q1440" s="143"/>
      <c r="R1440" s="143"/>
      <c r="S1440" s="143"/>
      <c r="T1440" s="143"/>
      <c r="U1440" s="143"/>
      <c r="V1440" s="143"/>
      <c r="W1440" s="143"/>
      <c r="X1440" s="143"/>
      <c r="Y1440" s="143"/>
      <c r="Z1440" s="143"/>
      <c r="AA1440" s="143"/>
      <c r="AB1440" s="143"/>
      <c r="AC1440" s="143"/>
      <c r="AD1440" s="143"/>
      <c r="AE1440" s="143"/>
      <c r="AF1440" s="143"/>
      <c r="AG1440" s="143"/>
      <c r="AH1440" s="143"/>
      <c r="AI1440" s="143"/>
      <c r="AJ1440" s="143"/>
    </row>
    <row r="1441" spans="1:36" s="144" customFormat="1" ht="21.75" customHeight="1">
      <c r="A1441" s="151"/>
      <c r="B1441" s="219"/>
      <c r="C1441" s="219"/>
      <c r="D1441" s="219"/>
      <c r="E1441" s="225"/>
      <c r="N1441" s="143"/>
      <c r="O1441" s="143"/>
      <c r="P1441" s="143"/>
      <c r="Q1441" s="143"/>
      <c r="R1441" s="143"/>
      <c r="S1441" s="143"/>
      <c r="T1441" s="143"/>
      <c r="U1441" s="143"/>
      <c r="V1441" s="143"/>
      <c r="W1441" s="143"/>
      <c r="X1441" s="143"/>
      <c r="Y1441" s="143"/>
      <c r="Z1441" s="143"/>
      <c r="AA1441" s="143"/>
      <c r="AB1441" s="143"/>
      <c r="AC1441" s="143"/>
      <c r="AD1441" s="143"/>
      <c r="AE1441" s="143"/>
      <c r="AF1441" s="143"/>
      <c r="AG1441" s="143"/>
      <c r="AH1441" s="143"/>
      <c r="AI1441" s="143"/>
      <c r="AJ1441" s="143"/>
    </row>
    <row r="1442" spans="1:36" s="144" customFormat="1" ht="21.75" customHeight="1">
      <c r="A1442" s="151"/>
      <c r="B1442" s="219"/>
      <c r="C1442" s="219"/>
      <c r="D1442" s="219"/>
      <c r="E1442" s="225"/>
      <c r="N1442" s="143"/>
      <c r="O1442" s="143"/>
      <c r="P1442" s="143"/>
      <c r="Q1442" s="143"/>
      <c r="R1442" s="143"/>
      <c r="S1442" s="143"/>
      <c r="T1442" s="143"/>
      <c r="U1442" s="143"/>
      <c r="V1442" s="143"/>
      <c r="W1442" s="143"/>
      <c r="X1442" s="143"/>
      <c r="Y1442" s="143"/>
      <c r="Z1442" s="143"/>
      <c r="AA1442" s="143"/>
      <c r="AB1442" s="143"/>
      <c r="AC1442" s="143"/>
      <c r="AD1442" s="143"/>
      <c r="AE1442" s="143"/>
      <c r="AF1442" s="143"/>
      <c r="AG1442" s="143"/>
      <c r="AH1442" s="143"/>
      <c r="AI1442" s="143"/>
      <c r="AJ1442" s="143"/>
    </row>
    <row r="1443" spans="1:36" s="144" customFormat="1" ht="21.75" customHeight="1">
      <c r="A1443" s="151"/>
      <c r="B1443" s="219"/>
      <c r="C1443" s="219"/>
      <c r="D1443" s="219"/>
      <c r="E1443" s="225"/>
      <c r="N1443" s="143"/>
      <c r="O1443" s="143"/>
      <c r="P1443" s="143"/>
      <c r="Q1443" s="143"/>
      <c r="R1443" s="143"/>
      <c r="S1443" s="143"/>
      <c r="T1443" s="143"/>
      <c r="U1443" s="143"/>
      <c r="V1443" s="143"/>
      <c r="W1443" s="143"/>
      <c r="X1443" s="143"/>
      <c r="Y1443" s="143"/>
      <c r="Z1443" s="143"/>
      <c r="AA1443" s="143"/>
      <c r="AB1443" s="143"/>
      <c r="AC1443" s="143"/>
      <c r="AD1443" s="143"/>
      <c r="AE1443" s="143"/>
      <c r="AF1443" s="143"/>
      <c r="AG1443" s="143"/>
      <c r="AH1443" s="143"/>
      <c r="AI1443" s="143"/>
      <c r="AJ1443" s="143"/>
    </row>
    <row r="1444" spans="1:36" s="144" customFormat="1" ht="21.75" customHeight="1">
      <c r="A1444" s="151"/>
      <c r="B1444" s="219"/>
      <c r="C1444" s="219"/>
      <c r="D1444" s="219"/>
      <c r="E1444" s="225"/>
      <c r="N1444" s="143"/>
      <c r="O1444" s="143"/>
      <c r="P1444" s="143"/>
      <c r="Q1444" s="143"/>
      <c r="R1444" s="143"/>
      <c r="S1444" s="143"/>
      <c r="T1444" s="143"/>
      <c r="U1444" s="143"/>
      <c r="V1444" s="143"/>
      <c r="W1444" s="143"/>
      <c r="X1444" s="143"/>
      <c r="Y1444" s="143"/>
      <c r="Z1444" s="143"/>
      <c r="AA1444" s="143"/>
      <c r="AB1444" s="143"/>
      <c r="AC1444" s="143"/>
      <c r="AD1444" s="143"/>
      <c r="AE1444" s="143"/>
      <c r="AF1444" s="143"/>
      <c r="AG1444" s="143"/>
      <c r="AH1444" s="143"/>
      <c r="AI1444" s="143"/>
      <c r="AJ1444" s="143"/>
    </row>
    <row r="1445" spans="1:36" s="144" customFormat="1" ht="21.75" customHeight="1">
      <c r="A1445" s="151"/>
      <c r="B1445" s="219"/>
      <c r="C1445" s="219"/>
      <c r="D1445" s="219"/>
      <c r="E1445" s="225"/>
      <c r="N1445" s="143"/>
      <c r="O1445" s="143"/>
      <c r="P1445" s="143"/>
      <c r="Q1445" s="143"/>
      <c r="R1445" s="143"/>
      <c r="S1445" s="143"/>
      <c r="T1445" s="143"/>
      <c r="U1445" s="143"/>
      <c r="V1445" s="143"/>
      <c r="W1445" s="143"/>
      <c r="X1445" s="143"/>
      <c r="Y1445" s="143"/>
      <c r="Z1445" s="143"/>
      <c r="AA1445" s="143"/>
      <c r="AB1445" s="143"/>
      <c r="AC1445" s="143"/>
      <c r="AD1445" s="143"/>
      <c r="AE1445" s="143"/>
      <c r="AF1445" s="143"/>
      <c r="AG1445" s="143"/>
      <c r="AH1445" s="143"/>
      <c r="AI1445" s="143"/>
      <c r="AJ1445" s="143"/>
    </row>
    <row r="1446" spans="1:36" s="144" customFormat="1" ht="21.75" customHeight="1">
      <c r="A1446" s="151"/>
      <c r="B1446" s="219"/>
      <c r="C1446" s="219"/>
      <c r="D1446" s="219"/>
      <c r="E1446" s="225"/>
      <c r="N1446" s="143"/>
      <c r="O1446" s="143"/>
      <c r="P1446" s="143"/>
      <c r="Q1446" s="143"/>
      <c r="R1446" s="143"/>
      <c r="S1446" s="143"/>
      <c r="T1446" s="143"/>
      <c r="U1446" s="143"/>
      <c r="V1446" s="143"/>
      <c r="W1446" s="143"/>
      <c r="X1446" s="143"/>
      <c r="Y1446" s="143"/>
      <c r="Z1446" s="143"/>
      <c r="AA1446" s="143"/>
      <c r="AB1446" s="143"/>
      <c r="AC1446" s="143"/>
      <c r="AD1446" s="143"/>
      <c r="AE1446" s="143"/>
      <c r="AF1446" s="143"/>
      <c r="AG1446" s="143"/>
      <c r="AH1446" s="143"/>
      <c r="AI1446" s="143"/>
      <c r="AJ1446" s="143"/>
    </row>
    <row r="1447" spans="1:36" s="144" customFormat="1" ht="21.75" customHeight="1">
      <c r="A1447" s="151"/>
      <c r="B1447" s="219"/>
      <c r="C1447" s="219"/>
      <c r="D1447" s="219"/>
      <c r="E1447" s="225"/>
      <c r="N1447" s="143"/>
      <c r="O1447" s="143"/>
      <c r="P1447" s="143"/>
      <c r="Q1447" s="143"/>
      <c r="R1447" s="143"/>
      <c r="S1447" s="143"/>
      <c r="T1447" s="143"/>
      <c r="U1447" s="143"/>
      <c r="V1447" s="143"/>
      <c r="W1447" s="143"/>
      <c r="X1447" s="143"/>
      <c r="Y1447" s="143"/>
      <c r="Z1447" s="143"/>
      <c r="AA1447" s="143"/>
      <c r="AB1447" s="143"/>
      <c r="AC1447" s="143"/>
      <c r="AD1447" s="143"/>
      <c r="AE1447" s="143"/>
      <c r="AF1447" s="143"/>
      <c r="AG1447" s="143"/>
      <c r="AH1447" s="143"/>
      <c r="AI1447" s="143"/>
      <c r="AJ1447" s="143"/>
    </row>
    <row r="1448" spans="1:36" s="144" customFormat="1" ht="21.75" customHeight="1">
      <c r="A1448" s="151"/>
      <c r="B1448" s="219"/>
      <c r="C1448" s="219"/>
      <c r="D1448" s="219"/>
      <c r="E1448" s="225"/>
      <c r="N1448" s="143"/>
      <c r="O1448" s="143"/>
      <c r="P1448" s="143"/>
      <c r="Q1448" s="143"/>
      <c r="R1448" s="143"/>
      <c r="S1448" s="143"/>
      <c r="T1448" s="143"/>
      <c r="U1448" s="143"/>
      <c r="V1448" s="143"/>
      <c r="W1448" s="143"/>
      <c r="X1448" s="143"/>
      <c r="Y1448" s="143"/>
      <c r="Z1448" s="143"/>
      <c r="AA1448" s="143"/>
      <c r="AB1448" s="143"/>
      <c r="AC1448" s="143"/>
      <c r="AD1448" s="143"/>
      <c r="AE1448" s="143"/>
      <c r="AF1448" s="143"/>
      <c r="AG1448" s="143"/>
      <c r="AH1448" s="143"/>
      <c r="AI1448" s="143"/>
      <c r="AJ1448" s="143"/>
    </row>
    <row r="1449" spans="1:36" s="144" customFormat="1" ht="21.75" customHeight="1">
      <c r="A1449" s="151"/>
      <c r="B1449" s="219"/>
      <c r="C1449" s="219"/>
      <c r="D1449" s="219"/>
      <c r="E1449" s="225"/>
      <c r="N1449" s="143"/>
      <c r="O1449" s="143"/>
      <c r="P1449" s="143"/>
      <c r="Q1449" s="143"/>
      <c r="R1449" s="143"/>
      <c r="S1449" s="143"/>
      <c r="T1449" s="143"/>
      <c r="U1449" s="143"/>
      <c r="V1449" s="143"/>
      <c r="W1449" s="143"/>
      <c r="X1449" s="143"/>
      <c r="Y1449" s="143"/>
      <c r="Z1449" s="143"/>
      <c r="AA1449" s="143"/>
      <c r="AB1449" s="143"/>
      <c r="AC1449" s="143"/>
      <c r="AD1449" s="143"/>
      <c r="AE1449" s="143"/>
      <c r="AF1449" s="143"/>
      <c r="AG1449" s="143"/>
      <c r="AH1449" s="143"/>
      <c r="AI1449" s="143"/>
      <c r="AJ1449" s="143"/>
    </row>
    <row r="1450" spans="1:36" s="144" customFormat="1" ht="21.75" customHeight="1">
      <c r="A1450" s="151"/>
      <c r="B1450" s="219"/>
      <c r="C1450" s="219"/>
      <c r="D1450" s="219"/>
      <c r="E1450" s="225"/>
      <c r="N1450" s="143"/>
      <c r="O1450" s="143"/>
      <c r="P1450" s="143"/>
      <c r="Q1450" s="143"/>
      <c r="R1450" s="143"/>
      <c r="S1450" s="143"/>
      <c r="T1450" s="143"/>
      <c r="U1450" s="143"/>
      <c r="V1450" s="143"/>
      <c r="W1450" s="143"/>
      <c r="X1450" s="143"/>
      <c r="Y1450" s="143"/>
      <c r="Z1450" s="143"/>
      <c r="AA1450" s="143"/>
      <c r="AB1450" s="143"/>
      <c r="AC1450" s="143"/>
      <c r="AD1450" s="143"/>
      <c r="AE1450" s="143"/>
      <c r="AF1450" s="143"/>
      <c r="AG1450" s="143"/>
      <c r="AH1450" s="143"/>
      <c r="AI1450" s="143"/>
      <c r="AJ1450" s="143"/>
    </row>
    <row r="1451" spans="1:36" s="144" customFormat="1" ht="21.75" customHeight="1">
      <c r="A1451" s="151"/>
      <c r="B1451" s="219"/>
      <c r="C1451" s="219"/>
      <c r="D1451" s="219"/>
      <c r="E1451" s="225"/>
      <c r="N1451" s="143"/>
      <c r="O1451" s="143"/>
      <c r="P1451" s="143"/>
      <c r="Q1451" s="143"/>
      <c r="R1451" s="143"/>
      <c r="S1451" s="143"/>
      <c r="T1451" s="143"/>
      <c r="U1451" s="143"/>
      <c r="V1451" s="143"/>
      <c r="W1451" s="143"/>
      <c r="X1451" s="143"/>
      <c r="Y1451" s="143"/>
      <c r="Z1451" s="143"/>
      <c r="AA1451" s="143"/>
      <c r="AB1451" s="143"/>
      <c r="AC1451" s="143"/>
      <c r="AD1451" s="143"/>
      <c r="AE1451" s="143"/>
      <c r="AF1451" s="143"/>
      <c r="AG1451" s="143"/>
      <c r="AH1451" s="143"/>
      <c r="AI1451" s="143"/>
      <c r="AJ1451" s="143"/>
    </row>
    <row r="1452" spans="1:36" s="144" customFormat="1" ht="21.75" customHeight="1">
      <c r="A1452" s="151"/>
      <c r="B1452" s="219"/>
      <c r="C1452" s="219"/>
      <c r="D1452" s="219"/>
      <c r="E1452" s="225"/>
      <c r="N1452" s="143"/>
      <c r="O1452" s="143"/>
      <c r="P1452" s="143"/>
      <c r="Q1452" s="143"/>
      <c r="R1452" s="143"/>
      <c r="S1452" s="143"/>
      <c r="T1452" s="143"/>
      <c r="U1452" s="143"/>
      <c r="V1452" s="143"/>
      <c r="W1452" s="143"/>
      <c r="X1452" s="143"/>
      <c r="Y1452" s="143"/>
      <c r="Z1452" s="143"/>
      <c r="AA1452" s="143"/>
      <c r="AB1452" s="143"/>
      <c r="AC1452" s="143"/>
      <c r="AD1452" s="143"/>
      <c r="AE1452" s="143"/>
      <c r="AF1452" s="143"/>
      <c r="AG1452" s="143"/>
      <c r="AH1452" s="143"/>
      <c r="AI1452" s="143"/>
      <c r="AJ1452" s="143"/>
    </row>
    <row r="1453" spans="1:36" s="144" customFormat="1" ht="21.75" customHeight="1">
      <c r="A1453" s="151"/>
      <c r="B1453" s="219"/>
      <c r="C1453" s="219"/>
      <c r="D1453" s="219"/>
      <c r="E1453" s="225"/>
      <c r="N1453" s="143"/>
      <c r="O1453" s="143"/>
      <c r="P1453" s="143"/>
      <c r="Q1453" s="143"/>
      <c r="R1453" s="143"/>
      <c r="S1453" s="143"/>
      <c r="T1453" s="143"/>
      <c r="U1453" s="143"/>
      <c r="V1453" s="143"/>
      <c r="W1453" s="143"/>
      <c r="X1453" s="143"/>
      <c r="Y1453" s="143"/>
      <c r="Z1453" s="143"/>
      <c r="AA1453" s="143"/>
      <c r="AB1453" s="143"/>
      <c r="AC1453" s="143"/>
      <c r="AD1453" s="143"/>
      <c r="AE1453" s="143"/>
      <c r="AF1453" s="143"/>
      <c r="AG1453" s="143"/>
      <c r="AH1453" s="143"/>
      <c r="AI1453" s="143"/>
      <c r="AJ1453" s="143"/>
    </row>
    <row r="1454" spans="1:36" s="144" customFormat="1" ht="21.75" customHeight="1">
      <c r="A1454" s="151"/>
      <c r="B1454" s="219"/>
      <c r="C1454" s="219"/>
      <c r="D1454" s="219"/>
      <c r="E1454" s="225"/>
      <c r="N1454" s="143"/>
      <c r="O1454" s="143"/>
      <c r="P1454" s="143"/>
      <c r="Q1454" s="143"/>
      <c r="R1454" s="143"/>
      <c r="S1454" s="143"/>
      <c r="T1454" s="143"/>
      <c r="U1454" s="143"/>
      <c r="V1454" s="143"/>
      <c r="W1454" s="143"/>
      <c r="X1454" s="143"/>
      <c r="Y1454" s="143"/>
      <c r="Z1454" s="143"/>
      <c r="AA1454" s="143"/>
      <c r="AB1454" s="143"/>
      <c r="AC1454" s="143"/>
      <c r="AD1454" s="143"/>
      <c r="AE1454" s="143"/>
      <c r="AF1454" s="143"/>
      <c r="AG1454" s="143"/>
      <c r="AH1454" s="143"/>
      <c r="AI1454" s="143"/>
      <c r="AJ1454" s="143"/>
    </row>
    <row r="1455" spans="1:36" s="144" customFormat="1" ht="21.75" customHeight="1">
      <c r="A1455" s="151"/>
      <c r="B1455" s="219"/>
      <c r="C1455" s="219"/>
      <c r="D1455" s="219"/>
      <c r="E1455" s="225"/>
      <c r="N1455" s="143"/>
      <c r="O1455" s="143"/>
      <c r="P1455" s="143"/>
      <c r="Q1455" s="143"/>
      <c r="R1455" s="143"/>
      <c r="S1455" s="143"/>
      <c r="T1455" s="143"/>
      <c r="U1455" s="143"/>
      <c r="V1455" s="143"/>
      <c r="W1455" s="143"/>
      <c r="X1455" s="143"/>
      <c r="Y1455" s="143"/>
      <c r="Z1455" s="143"/>
      <c r="AA1455" s="143"/>
      <c r="AB1455" s="143"/>
      <c r="AC1455" s="143"/>
      <c r="AD1455" s="143"/>
      <c r="AE1455" s="143"/>
      <c r="AF1455" s="143"/>
      <c r="AG1455" s="143"/>
      <c r="AH1455" s="143"/>
      <c r="AI1455" s="143"/>
      <c r="AJ1455" s="143"/>
    </row>
    <row r="1456" spans="1:36" s="144" customFormat="1" ht="21.75" customHeight="1">
      <c r="A1456" s="151"/>
      <c r="B1456" s="219"/>
      <c r="C1456" s="219"/>
      <c r="D1456" s="219"/>
      <c r="E1456" s="225"/>
      <c r="N1456" s="143"/>
      <c r="O1456" s="143"/>
      <c r="P1456" s="143"/>
      <c r="Q1456" s="143"/>
      <c r="R1456" s="143"/>
      <c r="S1456" s="143"/>
      <c r="T1456" s="143"/>
      <c r="U1456" s="143"/>
      <c r="V1456" s="143"/>
      <c r="W1456" s="143"/>
      <c r="X1456" s="143"/>
      <c r="Y1456" s="143"/>
      <c r="Z1456" s="143"/>
      <c r="AA1456" s="143"/>
      <c r="AB1456" s="143"/>
      <c r="AC1456" s="143"/>
      <c r="AD1456" s="143"/>
      <c r="AE1456" s="143"/>
      <c r="AF1456" s="143"/>
      <c r="AG1456" s="143"/>
      <c r="AH1456" s="143"/>
      <c r="AI1456" s="143"/>
      <c r="AJ1456" s="143"/>
    </row>
    <row r="1457" spans="1:36" s="144" customFormat="1" ht="21.75" customHeight="1">
      <c r="A1457" s="151"/>
      <c r="B1457" s="219"/>
      <c r="C1457" s="219"/>
      <c r="D1457" s="219"/>
      <c r="E1457" s="225"/>
      <c r="N1457" s="143"/>
      <c r="O1457" s="143"/>
      <c r="P1457" s="143"/>
      <c r="Q1457" s="143"/>
      <c r="R1457" s="143"/>
      <c r="S1457" s="143"/>
      <c r="T1457" s="143"/>
      <c r="U1457" s="143"/>
      <c r="V1457" s="143"/>
      <c r="W1457" s="143"/>
      <c r="X1457" s="143"/>
      <c r="Y1457" s="143"/>
      <c r="Z1457" s="143"/>
      <c r="AA1457" s="143"/>
      <c r="AB1457" s="143"/>
      <c r="AC1457" s="143"/>
      <c r="AD1457" s="143"/>
      <c r="AE1457" s="143"/>
      <c r="AF1457" s="143"/>
      <c r="AG1457" s="143"/>
      <c r="AH1457" s="143"/>
      <c r="AI1457" s="143"/>
      <c r="AJ1457" s="143"/>
    </row>
    <row r="1458" spans="1:36" s="144" customFormat="1" ht="21.75" customHeight="1">
      <c r="A1458" s="151"/>
      <c r="B1458" s="219"/>
      <c r="C1458" s="219"/>
      <c r="D1458" s="219"/>
      <c r="E1458" s="225"/>
      <c r="N1458" s="143"/>
      <c r="O1458" s="143"/>
      <c r="P1458" s="143"/>
      <c r="Q1458" s="143"/>
      <c r="R1458" s="143"/>
      <c r="S1458" s="143"/>
      <c r="T1458" s="143"/>
      <c r="U1458" s="143"/>
      <c r="V1458" s="143"/>
      <c r="W1458" s="143"/>
      <c r="X1458" s="143"/>
      <c r="Y1458" s="143"/>
      <c r="Z1458" s="143"/>
      <c r="AA1458" s="143"/>
      <c r="AB1458" s="143"/>
      <c r="AC1458" s="143"/>
      <c r="AD1458" s="143"/>
      <c r="AE1458" s="143"/>
      <c r="AF1458" s="143"/>
      <c r="AG1458" s="143"/>
      <c r="AH1458" s="143"/>
      <c r="AI1458" s="143"/>
      <c r="AJ1458" s="143"/>
    </row>
    <row r="1459" spans="1:36" s="144" customFormat="1" ht="21.75" customHeight="1">
      <c r="A1459" s="151"/>
      <c r="B1459" s="219"/>
      <c r="C1459" s="219"/>
      <c r="D1459" s="219"/>
      <c r="E1459" s="225"/>
      <c r="N1459" s="143"/>
      <c r="O1459" s="143"/>
      <c r="P1459" s="143"/>
      <c r="Q1459" s="143"/>
      <c r="R1459" s="143"/>
      <c r="S1459" s="143"/>
      <c r="T1459" s="143"/>
      <c r="U1459" s="143"/>
      <c r="V1459" s="143"/>
      <c r="W1459" s="143"/>
      <c r="X1459" s="143"/>
      <c r="Y1459" s="143"/>
      <c r="Z1459" s="143"/>
      <c r="AA1459" s="143"/>
      <c r="AB1459" s="143"/>
      <c r="AC1459" s="143"/>
      <c r="AD1459" s="143"/>
      <c r="AE1459" s="143"/>
      <c r="AF1459" s="143"/>
      <c r="AG1459" s="143"/>
      <c r="AH1459" s="143"/>
      <c r="AI1459" s="143"/>
      <c r="AJ1459" s="143"/>
    </row>
    <row r="1460" spans="1:36" s="144" customFormat="1" ht="21.75" customHeight="1">
      <c r="A1460" s="151"/>
      <c r="B1460" s="219"/>
      <c r="C1460" s="219"/>
      <c r="D1460" s="219"/>
      <c r="E1460" s="225"/>
      <c r="N1460" s="143"/>
      <c r="O1460" s="143"/>
      <c r="P1460" s="143"/>
      <c r="Q1460" s="143"/>
      <c r="R1460" s="143"/>
      <c r="S1460" s="143"/>
      <c r="T1460" s="143"/>
      <c r="U1460" s="143"/>
      <c r="V1460" s="143"/>
      <c r="W1460" s="143"/>
      <c r="X1460" s="143"/>
      <c r="Y1460" s="143"/>
      <c r="Z1460" s="143"/>
      <c r="AA1460" s="143"/>
      <c r="AB1460" s="143"/>
      <c r="AC1460" s="143"/>
      <c r="AD1460" s="143"/>
      <c r="AE1460" s="143"/>
      <c r="AF1460" s="143"/>
      <c r="AG1460" s="143"/>
      <c r="AH1460" s="143"/>
      <c r="AI1460" s="143"/>
      <c r="AJ1460" s="143"/>
    </row>
    <row r="1461" spans="1:36" s="144" customFormat="1" ht="21.75" customHeight="1">
      <c r="A1461" s="151"/>
      <c r="B1461" s="219"/>
      <c r="C1461" s="219"/>
      <c r="D1461" s="219"/>
      <c r="E1461" s="225"/>
      <c r="N1461" s="143"/>
      <c r="O1461" s="143"/>
      <c r="P1461" s="143"/>
      <c r="Q1461" s="143"/>
      <c r="R1461" s="143"/>
      <c r="S1461" s="143"/>
      <c r="T1461" s="143"/>
      <c r="U1461" s="143"/>
      <c r="V1461" s="143"/>
      <c r="W1461" s="143"/>
      <c r="X1461" s="143"/>
      <c r="Y1461" s="143"/>
      <c r="Z1461" s="143"/>
      <c r="AA1461" s="143"/>
      <c r="AB1461" s="143"/>
      <c r="AC1461" s="143"/>
      <c r="AD1461" s="143"/>
      <c r="AE1461" s="143"/>
      <c r="AF1461" s="143"/>
      <c r="AG1461" s="143"/>
      <c r="AH1461" s="143"/>
      <c r="AI1461" s="143"/>
      <c r="AJ1461" s="143"/>
    </row>
    <row r="1462" spans="1:36" s="144" customFormat="1" ht="21.75" customHeight="1">
      <c r="A1462" s="151"/>
      <c r="B1462" s="219"/>
      <c r="C1462" s="219"/>
      <c r="D1462" s="219"/>
      <c r="E1462" s="225"/>
      <c r="N1462" s="143"/>
      <c r="O1462" s="143"/>
      <c r="P1462" s="143"/>
      <c r="Q1462" s="143"/>
      <c r="R1462" s="143"/>
      <c r="S1462" s="143"/>
      <c r="T1462" s="143"/>
      <c r="U1462" s="143"/>
      <c r="V1462" s="143"/>
      <c r="W1462" s="143"/>
      <c r="X1462" s="143"/>
      <c r="Y1462" s="143"/>
      <c r="Z1462" s="143"/>
      <c r="AA1462" s="143"/>
      <c r="AB1462" s="143"/>
      <c r="AC1462" s="143"/>
      <c r="AD1462" s="143"/>
      <c r="AE1462" s="143"/>
      <c r="AF1462" s="143"/>
      <c r="AG1462" s="143"/>
      <c r="AH1462" s="143"/>
      <c r="AI1462" s="143"/>
      <c r="AJ1462" s="143"/>
    </row>
    <row r="1463" spans="1:36" s="144" customFormat="1" ht="21.75" customHeight="1">
      <c r="A1463" s="151"/>
      <c r="B1463" s="219"/>
      <c r="C1463" s="219"/>
      <c r="D1463" s="219"/>
      <c r="E1463" s="225"/>
      <c r="N1463" s="143"/>
      <c r="O1463" s="143"/>
      <c r="P1463" s="143"/>
      <c r="Q1463" s="143"/>
      <c r="R1463" s="143"/>
      <c r="S1463" s="143"/>
      <c r="T1463" s="143"/>
      <c r="U1463" s="143"/>
      <c r="V1463" s="143"/>
      <c r="W1463" s="143"/>
      <c r="X1463" s="143"/>
      <c r="Y1463" s="143"/>
      <c r="Z1463" s="143"/>
      <c r="AA1463" s="143"/>
      <c r="AB1463" s="143"/>
      <c r="AC1463" s="143"/>
      <c r="AD1463" s="143"/>
      <c r="AE1463" s="143"/>
      <c r="AF1463" s="143"/>
      <c r="AG1463" s="143"/>
      <c r="AH1463" s="143"/>
      <c r="AI1463" s="143"/>
      <c r="AJ1463" s="143"/>
    </row>
    <row r="1464" spans="1:36" s="144" customFormat="1" ht="21.75" customHeight="1">
      <c r="A1464" s="151"/>
      <c r="B1464" s="219"/>
      <c r="C1464" s="219"/>
      <c r="D1464" s="219"/>
      <c r="E1464" s="225"/>
      <c r="N1464" s="143"/>
      <c r="O1464" s="143"/>
      <c r="P1464" s="143"/>
      <c r="Q1464" s="143"/>
      <c r="R1464" s="143"/>
      <c r="S1464" s="143"/>
      <c r="T1464" s="143"/>
      <c r="U1464" s="143"/>
      <c r="V1464" s="143"/>
      <c r="W1464" s="143"/>
      <c r="X1464" s="143"/>
      <c r="Y1464" s="143"/>
      <c r="Z1464" s="143"/>
      <c r="AA1464" s="143"/>
      <c r="AB1464" s="143"/>
      <c r="AC1464" s="143"/>
      <c r="AD1464" s="143"/>
      <c r="AE1464" s="143"/>
      <c r="AF1464" s="143"/>
      <c r="AG1464" s="143"/>
      <c r="AH1464" s="143"/>
      <c r="AI1464" s="143"/>
      <c r="AJ1464" s="143"/>
    </row>
    <row r="1465" spans="1:36" s="144" customFormat="1" ht="21.75" customHeight="1">
      <c r="A1465" s="151"/>
      <c r="B1465" s="219"/>
      <c r="C1465" s="219"/>
      <c r="D1465" s="219"/>
      <c r="E1465" s="225"/>
      <c r="N1465" s="143"/>
      <c r="O1465" s="143"/>
      <c r="P1465" s="143"/>
      <c r="Q1465" s="143"/>
      <c r="R1465" s="143"/>
      <c r="S1465" s="143"/>
      <c r="T1465" s="143"/>
      <c r="U1465" s="143"/>
      <c r="V1465" s="143"/>
      <c r="W1465" s="143"/>
      <c r="X1465" s="143"/>
      <c r="Y1465" s="143"/>
      <c r="Z1465" s="143"/>
      <c r="AA1465" s="143"/>
      <c r="AB1465" s="143"/>
      <c r="AC1465" s="143"/>
      <c r="AD1465" s="143"/>
      <c r="AE1465" s="143"/>
      <c r="AF1465" s="143"/>
      <c r="AG1465" s="143"/>
      <c r="AH1465" s="143"/>
      <c r="AI1465" s="143"/>
      <c r="AJ1465" s="143"/>
    </row>
    <row r="1466" spans="1:36" s="144" customFormat="1" ht="21.75" customHeight="1">
      <c r="A1466" s="151"/>
      <c r="B1466" s="219"/>
      <c r="C1466" s="219"/>
      <c r="D1466" s="219"/>
      <c r="E1466" s="225"/>
      <c r="N1466" s="143"/>
      <c r="O1466" s="143"/>
      <c r="P1466" s="143"/>
      <c r="Q1466" s="143"/>
      <c r="R1466" s="143"/>
      <c r="S1466" s="143"/>
      <c r="T1466" s="143"/>
      <c r="U1466" s="143"/>
      <c r="V1466" s="143"/>
      <c r="W1466" s="143"/>
      <c r="X1466" s="143"/>
      <c r="Y1466" s="143"/>
      <c r="Z1466" s="143"/>
      <c r="AA1466" s="143"/>
      <c r="AB1466" s="143"/>
      <c r="AC1466" s="143"/>
      <c r="AD1466" s="143"/>
      <c r="AE1466" s="143"/>
      <c r="AF1466" s="143"/>
      <c r="AG1466" s="143"/>
      <c r="AH1466" s="143"/>
      <c r="AI1466" s="143"/>
      <c r="AJ1466" s="143"/>
    </row>
    <row r="1467" spans="1:36" s="144" customFormat="1" ht="21.75" customHeight="1">
      <c r="A1467" s="151"/>
      <c r="B1467" s="219"/>
      <c r="C1467" s="219"/>
      <c r="D1467" s="219"/>
      <c r="E1467" s="225"/>
      <c r="N1467" s="143"/>
      <c r="O1467" s="143"/>
      <c r="P1467" s="143"/>
      <c r="Q1467" s="143"/>
      <c r="R1467" s="143"/>
      <c r="S1467" s="143"/>
      <c r="T1467" s="143"/>
      <c r="U1467" s="143"/>
      <c r="V1467" s="143"/>
      <c r="W1467" s="143"/>
      <c r="X1467" s="143"/>
      <c r="Y1467" s="143"/>
      <c r="Z1467" s="143"/>
      <c r="AA1467" s="143"/>
      <c r="AB1467" s="143"/>
      <c r="AC1467" s="143"/>
      <c r="AD1467" s="143"/>
      <c r="AE1467" s="143"/>
      <c r="AF1467" s="143"/>
      <c r="AG1467" s="143"/>
      <c r="AH1467" s="143"/>
      <c r="AI1467" s="143"/>
      <c r="AJ1467" s="143"/>
    </row>
    <row r="1468" spans="1:36" s="144" customFormat="1" ht="21.75" customHeight="1">
      <c r="A1468" s="151"/>
      <c r="B1468" s="219"/>
      <c r="C1468" s="219"/>
      <c r="D1468" s="219"/>
      <c r="E1468" s="225"/>
      <c r="N1468" s="143"/>
      <c r="O1468" s="143"/>
      <c r="P1468" s="143"/>
      <c r="Q1468" s="143"/>
      <c r="R1468" s="143"/>
      <c r="S1468" s="143"/>
      <c r="T1468" s="143"/>
      <c r="U1468" s="143"/>
      <c r="V1468" s="143"/>
      <c r="W1468" s="143"/>
      <c r="X1468" s="143"/>
      <c r="Y1468" s="143"/>
      <c r="Z1468" s="143"/>
      <c r="AA1468" s="143"/>
      <c r="AB1468" s="143"/>
      <c r="AC1468" s="143"/>
      <c r="AD1468" s="143"/>
      <c r="AE1468" s="143"/>
      <c r="AF1468" s="143"/>
      <c r="AG1468" s="143"/>
      <c r="AH1468" s="143"/>
      <c r="AI1468" s="143"/>
      <c r="AJ1468" s="143"/>
    </row>
    <row r="1469" spans="1:36" s="144" customFormat="1" ht="21.75" customHeight="1">
      <c r="A1469" s="151"/>
      <c r="B1469" s="219"/>
      <c r="C1469" s="219"/>
      <c r="D1469" s="219"/>
      <c r="E1469" s="225"/>
      <c r="N1469" s="143"/>
      <c r="O1469" s="143"/>
      <c r="P1469" s="143"/>
      <c r="Q1469" s="143"/>
      <c r="R1469" s="143"/>
      <c r="S1469" s="143"/>
      <c r="T1469" s="143"/>
      <c r="U1469" s="143"/>
      <c r="V1469" s="143"/>
      <c r="W1469" s="143"/>
      <c r="X1469" s="143"/>
      <c r="Y1469" s="143"/>
      <c r="Z1469" s="143"/>
      <c r="AA1469" s="143"/>
      <c r="AB1469" s="143"/>
      <c r="AC1469" s="143"/>
      <c r="AD1469" s="143"/>
      <c r="AE1469" s="143"/>
      <c r="AF1469" s="143"/>
      <c r="AG1469" s="143"/>
      <c r="AH1469" s="143"/>
      <c r="AI1469" s="143"/>
      <c r="AJ1469" s="143"/>
    </row>
    <row r="1470" spans="1:36" s="144" customFormat="1" ht="21.75" customHeight="1">
      <c r="A1470" s="151"/>
      <c r="B1470" s="219"/>
      <c r="C1470" s="219"/>
      <c r="D1470" s="219"/>
      <c r="E1470" s="225"/>
      <c r="N1470" s="143"/>
      <c r="O1470" s="143"/>
      <c r="P1470" s="143"/>
      <c r="Q1470" s="143"/>
      <c r="R1470" s="143"/>
      <c r="S1470" s="143"/>
      <c r="T1470" s="143"/>
      <c r="U1470" s="143"/>
      <c r="V1470" s="143"/>
      <c r="W1470" s="143"/>
      <c r="X1470" s="143"/>
      <c r="Y1470" s="143"/>
      <c r="Z1470" s="143"/>
      <c r="AA1470" s="143"/>
      <c r="AB1470" s="143"/>
      <c r="AC1470" s="143"/>
      <c r="AD1470" s="143"/>
      <c r="AE1470" s="143"/>
      <c r="AF1470" s="143"/>
      <c r="AG1470" s="143"/>
      <c r="AH1470" s="143"/>
      <c r="AI1470" s="143"/>
      <c r="AJ1470" s="143"/>
    </row>
    <row r="1471" spans="1:36" s="144" customFormat="1" ht="21.75" customHeight="1">
      <c r="A1471" s="151"/>
      <c r="B1471" s="219"/>
      <c r="C1471" s="219"/>
      <c r="D1471" s="219"/>
      <c r="E1471" s="225"/>
      <c r="N1471" s="143"/>
      <c r="O1471" s="143"/>
      <c r="P1471" s="143"/>
      <c r="Q1471" s="143"/>
      <c r="R1471" s="143"/>
      <c r="S1471" s="143"/>
      <c r="T1471" s="143"/>
      <c r="U1471" s="143"/>
      <c r="V1471" s="143"/>
      <c r="W1471" s="143"/>
      <c r="X1471" s="143"/>
      <c r="Y1471" s="143"/>
      <c r="Z1471" s="143"/>
      <c r="AA1471" s="143"/>
      <c r="AB1471" s="143"/>
      <c r="AC1471" s="143"/>
      <c r="AD1471" s="143"/>
      <c r="AE1471" s="143"/>
      <c r="AF1471" s="143"/>
      <c r="AG1471" s="143"/>
      <c r="AH1471" s="143"/>
      <c r="AI1471" s="143"/>
      <c r="AJ1471" s="143"/>
    </row>
    <row r="1472" spans="1:36" s="144" customFormat="1" ht="21.75" customHeight="1">
      <c r="A1472" s="151"/>
      <c r="B1472" s="219"/>
      <c r="C1472" s="219"/>
      <c r="D1472" s="219"/>
      <c r="E1472" s="225"/>
      <c r="N1472" s="143"/>
      <c r="O1472" s="143"/>
      <c r="P1472" s="143"/>
      <c r="Q1472" s="143"/>
      <c r="R1472" s="143"/>
      <c r="S1472" s="143"/>
      <c r="T1472" s="143"/>
      <c r="U1472" s="143"/>
      <c r="V1472" s="143"/>
      <c r="W1472" s="143"/>
      <c r="X1472" s="143"/>
      <c r="Y1472" s="143"/>
      <c r="Z1472" s="143"/>
      <c r="AA1472" s="143"/>
      <c r="AB1472" s="143"/>
      <c r="AC1472" s="143"/>
      <c r="AD1472" s="143"/>
      <c r="AE1472" s="143"/>
      <c r="AF1472" s="143"/>
      <c r="AG1472" s="143"/>
      <c r="AH1472" s="143"/>
      <c r="AI1472" s="143"/>
      <c r="AJ1472" s="143"/>
    </row>
    <row r="1473" spans="1:36" s="144" customFormat="1" ht="21.75" customHeight="1">
      <c r="A1473" s="151"/>
      <c r="B1473" s="219"/>
      <c r="C1473" s="219"/>
      <c r="D1473" s="219"/>
      <c r="E1473" s="225"/>
      <c r="N1473" s="143"/>
      <c r="O1473" s="143"/>
      <c r="P1473" s="143"/>
      <c r="Q1473" s="143"/>
      <c r="R1473" s="143"/>
      <c r="S1473" s="143"/>
      <c r="T1473" s="143"/>
      <c r="U1473" s="143"/>
      <c r="V1473" s="143"/>
      <c r="W1473" s="143"/>
      <c r="X1473" s="143"/>
      <c r="Y1473" s="143"/>
      <c r="Z1473" s="143"/>
      <c r="AA1473" s="143"/>
      <c r="AB1473" s="143"/>
      <c r="AC1473" s="143"/>
      <c r="AD1473" s="143"/>
      <c r="AE1473" s="143"/>
      <c r="AF1473" s="143"/>
      <c r="AG1473" s="143"/>
      <c r="AH1473" s="143"/>
      <c r="AI1473" s="143"/>
      <c r="AJ1473" s="143"/>
    </row>
    <row r="1474" spans="1:36" s="144" customFormat="1" ht="21.75" customHeight="1">
      <c r="A1474" s="151"/>
      <c r="B1474" s="219"/>
      <c r="C1474" s="219"/>
      <c r="D1474" s="219"/>
      <c r="E1474" s="225"/>
      <c r="N1474" s="143"/>
      <c r="O1474" s="143"/>
      <c r="P1474" s="143"/>
      <c r="Q1474" s="143"/>
      <c r="R1474" s="143"/>
      <c r="S1474" s="143"/>
      <c r="T1474" s="143"/>
      <c r="U1474" s="143"/>
      <c r="V1474" s="143"/>
      <c r="W1474" s="143"/>
      <c r="X1474" s="143"/>
      <c r="Y1474" s="143"/>
      <c r="Z1474" s="143"/>
      <c r="AA1474" s="143"/>
      <c r="AB1474" s="143"/>
      <c r="AC1474" s="143"/>
      <c r="AD1474" s="143"/>
      <c r="AE1474" s="143"/>
      <c r="AF1474" s="143"/>
      <c r="AG1474" s="143"/>
      <c r="AH1474" s="143"/>
      <c r="AI1474" s="143"/>
      <c r="AJ1474" s="143"/>
    </row>
    <row r="1475" spans="1:36" s="144" customFormat="1" ht="21.75" customHeight="1">
      <c r="A1475" s="151"/>
      <c r="B1475" s="219"/>
      <c r="C1475" s="219"/>
      <c r="D1475" s="219"/>
      <c r="E1475" s="225"/>
      <c r="N1475" s="143"/>
      <c r="O1475" s="143"/>
      <c r="P1475" s="143"/>
      <c r="Q1475" s="143"/>
      <c r="R1475" s="143"/>
      <c r="S1475" s="143"/>
      <c r="T1475" s="143"/>
      <c r="U1475" s="143"/>
      <c r="V1475" s="143"/>
      <c r="W1475" s="143"/>
      <c r="X1475" s="143"/>
      <c r="Y1475" s="143"/>
      <c r="Z1475" s="143"/>
      <c r="AA1475" s="143"/>
      <c r="AB1475" s="143"/>
      <c r="AC1475" s="143"/>
      <c r="AD1475" s="143"/>
      <c r="AE1475" s="143"/>
      <c r="AF1475" s="143"/>
      <c r="AG1475" s="143"/>
      <c r="AH1475" s="143"/>
      <c r="AI1475" s="143"/>
      <c r="AJ1475" s="143"/>
    </row>
    <row r="1476" spans="1:36" s="144" customFormat="1" ht="21.75" customHeight="1">
      <c r="A1476" s="151"/>
      <c r="B1476" s="219"/>
      <c r="C1476" s="219"/>
      <c r="D1476" s="219"/>
      <c r="E1476" s="225"/>
      <c r="N1476" s="143"/>
      <c r="O1476" s="143"/>
      <c r="P1476" s="143"/>
      <c r="Q1476" s="143"/>
      <c r="R1476" s="143"/>
      <c r="S1476" s="143"/>
      <c r="T1476" s="143"/>
      <c r="U1476" s="143"/>
      <c r="V1476" s="143"/>
      <c r="W1476" s="143"/>
      <c r="X1476" s="143"/>
      <c r="Y1476" s="143"/>
      <c r="Z1476" s="143"/>
      <c r="AA1476" s="143"/>
      <c r="AB1476" s="143"/>
      <c r="AC1476" s="143"/>
      <c r="AD1476" s="143"/>
      <c r="AE1476" s="143"/>
      <c r="AF1476" s="143"/>
      <c r="AG1476" s="143"/>
      <c r="AH1476" s="143"/>
      <c r="AI1476" s="143"/>
      <c r="AJ1476" s="143"/>
    </row>
    <row r="1477" spans="1:36" s="144" customFormat="1" ht="21.75" customHeight="1">
      <c r="A1477" s="151"/>
      <c r="B1477" s="219"/>
      <c r="C1477" s="219"/>
      <c r="D1477" s="219"/>
      <c r="E1477" s="225"/>
      <c r="N1477" s="143"/>
      <c r="O1477" s="143"/>
      <c r="P1477" s="143"/>
      <c r="Q1477" s="143"/>
      <c r="R1477" s="143"/>
      <c r="S1477" s="143"/>
      <c r="T1477" s="143"/>
      <c r="U1477" s="143"/>
      <c r="V1477" s="143"/>
      <c r="W1477" s="143"/>
      <c r="X1477" s="143"/>
      <c r="Y1477" s="143"/>
      <c r="Z1477" s="143"/>
      <c r="AA1477" s="143"/>
      <c r="AB1477" s="143"/>
      <c r="AC1477" s="143"/>
      <c r="AD1477" s="143"/>
      <c r="AE1477" s="143"/>
      <c r="AF1477" s="143"/>
      <c r="AG1477" s="143"/>
      <c r="AH1477" s="143"/>
      <c r="AI1477" s="143"/>
      <c r="AJ1477" s="143"/>
    </row>
    <row r="1478" spans="1:36" s="144" customFormat="1" ht="21.75" customHeight="1">
      <c r="A1478" s="151"/>
      <c r="B1478" s="219"/>
      <c r="C1478" s="219"/>
      <c r="D1478" s="219"/>
      <c r="E1478" s="225"/>
      <c r="N1478" s="143"/>
      <c r="O1478" s="143"/>
      <c r="P1478" s="143"/>
      <c r="Q1478" s="143"/>
      <c r="R1478" s="143"/>
      <c r="S1478" s="143"/>
      <c r="T1478" s="143"/>
      <c r="U1478" s="143"/>
      <c r="V1478" s="143"/>
      <c r="W1478" s="143"/>
      <c r="X1478" s="143"/>
      <c r="Y1478" s="143"/>
      <c r="Z1478" s="143"/>
      <c r="AA1478" s="143"/>
      <c r="AB1478" s="143"/>
      <c r="AC1478" s="143"/>
      <c r="AD1478" s="143"/>
      <c r="AE1478" s="143"/>
      <c r="AF1478" s="143"/>
      <c r="AG1478" s="143"/>
      <c r="AH1478" s="143"/>
      <c r="AI1478" s="143"/>
      <c r="AJ1478" s="143"/>
    </row>
    <row r="1479" spans="1:36" s="144" customFormat="1" ht="21.75" customHeight="1">
      <c r="A1479" s="151"/>
      <c r="B1479" s="219"/>
      <c r="C1479" s="219"/>
      <c r="D1479" s="219"/>
      <c r="E1479" s="225"/>
      <c r="N1479" s="143"/>
      <c r="O1479" s="143"/>
      <c r="P1479" s="143"/>
      <c r="Q1479" s="143"/>
      <c r="R1479" s="143"/>
      <c r="S1479" s="143"/>
      <c r="T1479" s="143"/>
      <c r="U1479" s="143"/>
      <c r="V1479" s="143"/>
      <c r="W1479" s="143"/>
      <c r="X1479" s="143"/>
      <c r="Y1479" s="143"/>
      <c r="Z1479" s="143"/>
      <c r="AA1479" s="143"/>
      <c r="AB1479" s="143"/>
      <c r="AC1479" s="143"/>
      <c r="AD1479" s="143"/>
      <c r="AE1479" s="143"/>
      <c r="AF1479" s="143"/>
      <c r="AG1479" s="143"/>
      <c r="AH1479" s="143"/>
      <c r="AI1479" s="143"/>
      <c r="AJ1479" s="143"/>
    </row>
    <row r="1480" spans="1:36" s="144" customFormat="1" ht="21.75" customHeight="1">
      <c r="A1480" s="151"/>
      <c r="B1480" s="219"/>
      <c r="C1480" s="219"/>
      <c r="D1480" s="219"/>
      <c r="E1480" s="225"/>
      <c r="N1480" s="143"/>
      <c r="O1480" s="143"/>
      <c r="P1480" s="143"/>
      <c r="Q1480" s="143"/>
      <c r="R1480" s="143"/>
      <c r="S1480" s="143"/>
      <c r="T1480" s="143"/>
      <c r="U1480" s="143"/>
      <c r="V1480" s="143"/>
      <c r="W1480" s="143"/>
      <c r="X1480" s="143"/>
      <c r="Y1480" s="143"/>
      <c r="Z1480" s="143"/>
      <c r="AA1480" s="143"/>
      <c r="AB1480" s="143"/>
      <c r="AC1480" s="143"/>
      <c r="AD1480" s="143"/>
      <c r="AE1480" s="143"/>
      <c r="AF1480" s="143"/>
      <c r="AG1480" s="143"/>
      <c r="AH1480" s="143"/>
      <c r="AI1480" s="143"/>
      <c r="AJ1480" s="143"/>
    </row>
    <row r="1481" spans="1:36" s="144" customFormat="1" ht="21.75" customHeight="1">
      <c r="A1481" s="151"/>
      <c r="B1481" s="219"/>
      <c r="C1481" s="219"/>
      <c r="D1481" s="219"/>
      <c r="E1481" s="225"/>
      <c r="N1481" s="143"/>
      <c r="O1481" s="143"/>
      <c r="P1481" s="143"/>
      <c r="Q1481" s="143"/>
      <c r="R1481" s="143"/>
      <c r="S1481" s="143"/>
      <c r="T1481" s="143"/>
      <c r="U1481" s="143"/>
      <c r="V1481" s="143"/>
      <c r="W1481" s="143"/>
      <c r="X1481" s="143"/>
      <c r="Y1481" s="143"/>
      <c r="Z1481" s="143"/>
      <c r="AA1481" s="143"/>
      <c r="AB1481" s="143"/>
      <c r="AC1481" s="143"/>
      <c r="AD1481" s="143"/>
      <c r="AE1481" s="143"/>
      <c r="AF1481" s="143"/>
      <c r="AG1481" s="143"/>
      <c r="AH1481" s="143"/>
      <c r="AI1481" s="143"/>
      <c r="AJ1481" s="143"/>
    </row>
    <row r="1482" spans="1:36" s="144" customFormat="1" ht="21.75" customHeight="1">
      <c r="A1482" s="151"/>
      <c r="B1482" s="219"/>
      <c r="C1482" s="219"/>
      <c r="D1482" s="219"/>
      <c r="E1482" s="225"/>
      <c r="N1482" s="143"/>
      <c r="O1482" s="143"/>
      <c r="P1482" s="143"/>
      <c r="Q1482" s="143"/>
      <c r="R1482" s="143"/>
      <c r="S1482" s="143"/>
      <c r="T1482" s="143"/>
      <c r="U1482" s="143"/>
      <c r="V1482" s="143"/>
      <c r="W1482" s="143"/>
      <c r="X1482" s="143"/>
      <c r="Y1482" s="143"/>
      <c r="Z1482" s="143"/>
      <c r="AA1482" s="143"/>
      <c r="AB1482" s="143"/>
      <c r="AC1482" s="143"/>
      <c r="AD1482" s="143"/>
      <c r="AE1482" s="143"/>
      <c r="AF1482" s="143"/>
      <c r="AG1482" s="143"/>
      <c r="AH1482" s="143"/>
      <c r="AI1482" s="143"/>
      <c r="AJ1482" s="143"/>
    </row>
    <row r="1483" spans="1:36" s="144" customFormat="1" ht="21.75" customHeight="1">
      <c r="A1483" s="151"/>
      <c r="B1483" s="219"/>
      <c r="C1483" s="219"/>
      <c r="D1483" s="219"/>
      <c r="E1483" s="225"/>
      <c r="N1483" s="143"/>
      <c r="O1483" s="143"/>
      <c r="P1483" s="143"/>
      <c r="Q1483" s="143"/>
      <c r="R1483" s="143"/>
      <c r="S1483" s="143"/>
      <c r="T1483" s="143"/>
      <c r="U1483" s="143"/>
      <c r="V1483" s="143"/>
      <c r="W1483" s="143"/>
      <c r="X1483" s="143"/>
      <c r="Y1483" s="143"/>
      <c r="Z1483" s="143"/>
      <c r="AA1483" s="143"/>
      <c r="AB1483" s="143"/>
      <c r="AC1483" s="143"/>
      <c r="AD1483" s="143"/>
      <c r="AE1483" s="143"/>
      <c r="AF1483" s="143"/>
      <c r="AG1483" s="143"/>
      <c r="AH1483" s="143"/>
      <c r="AI1483" s="143"/>
      <c r="AJ1483" s="143"/>
    </row>
    <row r="1484" spans="1:36" s="144" customFormat="1" ht="21.75" customHeight="1">
      <c r="A1484" s="151"/>
      <c r="B1484" s="219"/>
      <c r="C1484" s="219"/>
      <c r="D1484" s="219"/>
      <c r="E1484" s="225"/>
      <c r="N1484" s="143"/>
      <c r="O1484" s="143"/>
      <c r="P1484" s="143"/>
      <c r="Q1484" s="143"/>
      <c r="R1484" s="143"/>
      <c r="S1484" s="143"/>
      <c r="T1484" s="143"/>
      <c r="U1484" s="143"/>
      <c r="V1484" s="143"/>
      <c r="W1484" s="143"/>
      <c r="X1484" s="143"/>
      <c r="Y1484" s="143"/>
      <c r="Z1484" s="143"/>
      <c r="AA1484" s="143"/>
      <c r="AB1484" s="143"/>
      <c r="AC1484" s="143"/>
      <c r="AD1484" s="143"/>
      <c r="AE1484" s="143"/>
      <c r="AF1484" s="143"/>
      <c r="AG1484" s="143"/>
      <c r="AH1484" s="143"/>
      <c r="AI1484" s="143"/>
      <c r="AJ1484" s="143"/>
    </row>
    <row r="1485" spans="1:36" s="144" customFormat="1" ht="21.75" customHeight="1">
      <c r="A1485" s="151"/>
      <c r="B1485" s="219"/>
      <c r="C1485" s="219"/>
      <c r="D1485" s="219"/>
      <c r="E1485" s="225"/>
      <c r="N1485" s="143"/>
      <c r="O1485" s="143"/>
      <c r="P1485" s="143"/>
      <c r="Q1485" s="143"/>
      <c r="R1485" s="143"/>
      <c r="S1485" s="143"/>
      <c r="T1485" s="143"/>
      <c r="U1485" s="143"/>
      <c r="V1485" s="143"/>
      <c r="W1485" s="143"/>
      <c r="X1485" s="143"/>
      <c r="Y1485" s="143"/>
      <c r="Z1485" s="143"/>
      <c r="AA1485" s="143"/>
      <c r="AB1485" s="143"/>
      <c r="AC1485" s="143"/>
      <c r="AD1485" s="143"/>
      <c r="AE1485" s="143"/>
      <c r="AF1485" s="143"/>
      <c r="AG1485" s="143"/>
      <c r="AH1485" s="143"/>
      <c r="AI1485" s="143"/>
      <c r="AJ1485" s="143"/>
    </row>
    <row r="1486" spans="1:36" s="144" customFormat="1" ht="21.75" customHeight="1">
      <c r="A1486" s="151"/>
      <c r="B1486" s="219"/>
      <c r="C1486" s="219"/>
      <c r="D1486" s="219"/>
      <c r="E1486" s="225"/>
      <c r="N1486" s="143"/>
      <c r="O1486" s="143"/>
      <c r="P1486" s="143"/>
      <c r="Q1486" s="143"/>
      <c r="R1486" s="143"/>
      <c r="S1486" s="143"/>
      <c r="T1486" s="143"/>
      <c r="U1486" s="143"/>
      <c r="V1486" s="143"/>
      <c r="W1486" s="143"/>
      <c r="X1486" s="143"/>
      <c r="Y1486" s="143"/>
      <c r="Z1486" s="143"/>
      <c r="AA1486" s="143"/>
      <c r="AB1486" s="143"/>
      <c r="AC1486" s="143"/>
      <c r="AD1486" s="143"/>
      <c r="AE1486" s="143"/>
      <c r="AF1486" s="143"/>
      <c r="AG1486" s="143"/>
      <c r="AH1486" s="143"/>
      <c r="AI1486" s="143"/>
      <c r="AJ1486" s="143"/>
    </row>
    <row r="1487" spans="1:36" s="144" customFormat="1" ht="21.75" customHeight="1">
      <c r="A1487" s="151"/>
      <c r="B1487" s="219"/>
      <c r="C1487" s="219"/>
      <c r="D1487" s="219"/>
      <c r="E1487" s="225"/>
      <c r="N1487" s="143"/>
      <c r="O1487" s="143"/>
      <c r="P1487" s="143"/>
      <c r="Q1487" s="143"/>
      <c r="R1487" s="143"/>
      <c r="S1487" s="143"/>
      <c r="T1487" s="143"/>
      <c r="U1487" s="143"/>
      <c r="V1487" s="143"/>
      <c r="W1487" s="143"/>
      <c r="X1487" s="143"/>
      <c r="Y1487" s="143"/>
      <c r="Z1487" s="143"/>
      <c r="AA1487" s="143"/>
      <c r="AB1487" s="143"/>
      <c r="AC1487" s="143"/>
      <c r="AD1487" s="143"/>
      <c r="AE1487" s="143"/>
      <c r="AF1487" s="143"/>
      <c r="AG1487" s="143"/>
      <c r="AH1487" s="143"/>
      <c r="AI1487" s="143"/>
      <c r="AJ1487" s="143"/>
    </row>
    <row r="1488" spans="1:36" s="144" customFormat="1" ht="21.75" customHeight="1">
      <c r="A1488" s="151"/>
      <c r="B1488" s="219"/>
      <c r="C1488" s="219"/>
      <c r="D1488" s="219"/>
      <c r="E1488" s="225"/>
      <c r="N1488" s="143"/>
      <c r="O1488" s="143"/>
      <c r="P1488" s="143"/>
      <c r="Q1488" s="143"/>
      <c r="R1488" s="143"/>
      <c r="S1488" s="143"/>
      <c r="T1488" s="143"/>
      <c r="U1488" s="143"/>
      <c r="V1488" s="143"/>
      <c r="W1488" s="143"/>
      <c r="X1488" s="143"/>
      <c r="Y1488" s="143"/>
      <c r="Z1488" s="143"/>
      <c r="AA1488" s="143"/>
      <c r="AB1488" s="143"/>
      <c r="AC1488" s="143"/>
      <c r="AD1488" s="143"/>
      <c r="AE1488" s="143"/>
      <c r="AF1488" s="143"/>
      <c r="AG1488" s="143"/>
      <c r="AH1488" s="143"/>
      <c r="AI1488" s="143"/>
      <c r="AJ1488" s="143"/>
    </row>
    <row r="1489" spans="1:36" s="144" customFormat="1" ht="21.75" customHeight="1">
      <c r="A1489" s="151"/>
      <c r="B1489" s="219"/>
      <c r="C1489" s="219"/>
      <c r="D1489" s="219"/>
      <c r="E1489" s="225"/>
      <c r="N1489" s="143"/>
      <c r="O1489" s="143"/>
      <c r="P1489" s="143"/>
      <c r="Q1489" s="143"/>
      <c r="R1489" s="143"/>
      <c r="S1489" s="143"/>
      <c r="T1489" s="143"/>
      <c r="U1489" s="143"/>
      <c r="V1489" s="143"/>
      <c r="W1489" s="143"/>
      <c r="X1489" s="143"/>
      <c r="Y1489" s="143"/>
      <c r="Z1489" s="143"/>
      <c r="AA1489" s="143"/>
      <c r="AB1489" s="143"/>
      <c r="AC1489" s="143"/>
      <c r="AD1489" s="143"/>
      <c r="AE1489" s="143"/>
      <c r="AF1489" s="143"/>
      <c r="AG1489" s="143"/>
      <c r="AH1489" s="143"/>
      <c r="AI1489" s="143"/>
      <c r="AJ1489" s="143"/>
    </row>
    <row r="1490" spans="1:36" s="144" customFormat="1" ht="21.75" customHeight="1">
      <c r="A1490" s="151"/>
      <c r="B1490" s="219"/>
      <c r="C1490" s="219"/>
      <c r="D1490" s="219"/>
      <c r="E1490" s="225"/>
      <c r="N1490" s="143"/>
      <c r="O1490" s="143"/>
      <c r="P1490" s="143"/>
      <c r="Q1490" s="143"/>
      <c r="R1490" s="143"/>
      <c r="S1490" s="143"/>
      <c r="T1490" s="143"/>
      <c r="U1490" s="143"/>
      <c r="V1490" s="143"/>
      <c r="W1490" s="143"/>
      <c r="X1490" s="143"/>
      <c r="Y1490" s="143"/>
      <c r="Z1490" s="143"/>
      <c r="AA1490" s="143"/>
      <c r="AB1490" s="143"/>
      <c r="AC1490" s="143"/>
      <c r="AD1490" s="143"/>
      <c r="AE1490" s="143"/>
      <c r="AF1490" s="143"/>
      <c r="AG1490" s="143"/>
      <c r="AH1490" s="143"/>
      <c r="AI1490" s="143"/>
      <c r="AJ1490" s="143"/>
    </row>
    <row r="1491" spans="1:36" s="144" customFormat="1" ht="21.75" customHeight="1">
      <c r="A1491" s="151"/>
      <c r="B1491" s="219"/>
      <c r="C1491" s="219"/>
      <c r="D1491" s="219"/>
      <c r="E1491" s="225"/>
      <c r="N1491" s="143"/>
      <c r="O1491" s="143"/>
      <c r="P1491" s="143"/>
      <c r="Q1491" s="143"/>
      <c r="R1491" s="143"/>
      <c r="S1491" s="143"/>
      <c r="T1491" s="143"/>
      <c r="U1491" s="143"/>
      <c r="V1491" s="143"/>
      <c r="W1491" s="143"/>
      <c r="X1491" s="143"/>
      <c r="Y1491" s="143"/>
      <c r="Z1491" s="143"/>
      <c r="AA1491" s="143"/>
      <c r="AB1491" s="143"/>
      <c r="AC1491" s="143"/>
      <c r="AD1491" s="143"/>
      <c r="AE1491" s="143"/>
      <c r="AF1491" s="143"/>
      <c r="AG1491" s="143"/>
      <c r="AH1491" s="143"/>
      <c r="AI1491" s="143"/>
      <c r="AJ1491" s="143"/>
    </row>
    <row r="1492" spans="1:36" s="144" customFormat="1" ht="21.75" customHeight="1">
      <c r="A1492" s="151"/>
      <c r="B1492" s="219"/>
      <c r="C1492" s="219"/>
      <c r="D1492" s="219"/>
      <c r="E1492" s="225"/>
      <c r="N1492" s="143"/>
      <c r="O1492" s="143"/>
      <c r="P1492" s="143"/>
      <c r="Q1492" s="143"/>
      <c r="R1492" s="143"/>
      <c r="S1492" s="143"/>
      <c r="T1492" s="143"/>
      <c r="U1492" s="143"/>
      <c r="V1492" s="143"/>
      <c r="W1492" s="143"/>
      <c r="X1492" s="143"/>
      <c r="Y1492" s="143"/>
      <c r="Z1492" s="143"/>
      <c r="AA1492" s="143"/>
      <c r="AB1492" s="143"/>
      <c r="AC1492" s="143"/>
      <c r="AD1492" s="143"/>
      <c r="AE1492" s="143"/>
      <c r="AF1492" s="143"/>
      <c r="AG1492" s="143"/>
      <c r="AH1492" s="143"/>
      <c r="AI1492" s="143"/>
      <c r="AJ1492" s="143"/>
    </row>
    <row r="1493" spans="1:36" s="144" customFormat="1" ht="21.75" customHeight="1">
      <c r="A1493" s="151"/>
      <c r="B1493" s="219"/>
      <c r="C1493" s="219"/>
      <c r="D1493" s="219"/>
      <c r="E1493" s="225"/>
      <c r="N1493" s="143"/>
      <c r="O1493" s="143"/>
      <c r="P1493" s="143"/>
      <c r="Q1493" s="143"/>
      <c r="R1493" s="143"/>
      <c r="S1493" s="143"/>
      <c r="T1493" s="143"/>
      <c r="U1493" s="143"/>
      <c r="V1493" s="143"/>
      <c r="W1493" s="143"/>
      <c r="X1493" s="143"/>
      <c r="Y1493" s="143"/>
      <c r="Z1493" s="143"/>
      <c r="AA1493" s="143"/>
      <c r="AB1493" s="143"/>
      <c r="AC1493" s="143"/>
      <c r="AD1493" s="143"/>
      <c r="AE1493" s="143"/>
      <c r="AF1493" s="143"/>
      <c r="AG1493" s="143"/>
      <c r="AH1493" s="143"/>
      <c r="AI1493" s="143"/>
      <c r="AJ1493" s="143"/>
    </row>
    <row r="1494" spans="1:36" s="144" customFormat="1" ht="21.75" customHeight="1">
      <c r="A1494" s="151"/>
      <c r="B1494" s="219"/>
      <c r="C1494" s="219"/>
      <c r="D1494" s="219"/>
      <c r="E1494" s="225"/>
      <c r="N1494" s="143"/>
      <c r="O1494" s="143"/>
      <c r="P1494" s="143"/>
      <c r="Q1494" s="143"/>
      <c r="R1494" s="143"/>
      <c r="S1494" s="143"/>
      <c r="T1494" s="143"/>
      <c r="U1494" s="143"/>
      <c r="V1494" s="143"/>
      <c r="W1494" s="143"/>
      <c r="X1494" s="143"/>
      <c r="Y1494" s="143"/>
      <c r="Z1494" s="143"/>
      <c r="AA1494" s="143"/>
      <c r="AB1494" s="143"/>
      <c r="AC1494" s="143"/>
      <c r="AD1494" s="143"/>
      <c r="AE1494" s="143"/>
      <c r="AF1494" s="143"/>
      <c r="AG1494" s="143"/>
      <c r="AH1494" s="143"/>
      <c r="AI1494" s="143"/>
      <c r="AJ1494" s="143"/>
    </row>
    <row r="1495" spans="1:36" s="144" customFormat="1" ht="21.75" customHeight="1">
      <c r="A1495" s="151"/>
      <c r="B1495" s="219"/>
      <c r="C1495" s="219"/>
      <c r="D1495" s="219"/>
      <c r="E1495" s="225"/>
      <c r="N1495" s="143"/>
      <c r="O1495" s="143"/>
      <c r="P1495" s="143"/>
      <c r="Q1495" s="143"/>
      <c r="R1495" s="143"/>
      <c r="S1495" s="143"/>
      <c r="T1495" s="143"/>
      <c r="U1495" s="143"/>
      <c r="V1495" s="143"/>
      <c r="W1495" s="143"/>
      <c r="X1495" s="143"/>
      <c r="Y1495" s="143"/>
      <c r="Z1495" s="143"/>
      <c r="AA1495" s="143"/>
      <c r="AB1495" s="143"/>
      <c r="AC1495" s="143"/>
      <c r="AD1495" s="143"/>
      <c r="AE1495" s="143"/>
      <c r="AF1495" s="143"/>
      <c r="AG1495" s="143"/>
      <c r="AH1495" s="143"/>
      <c r="AI1495" s="143"/>
      <c r="AJ1495" s="143"/>
    </row>
    <row r="1496" spans="1:36" s="144" customFormat="1" ht="21.75" customHeight="1">
      <c r="A1496" s="151"/>
      <c r="B1496" s="219"/>
      <c r="C1496" s="219"/>
      <c r="D1496" s="219"/>
      <c r="E1496" s="225"/>
      <c r="N1496" s="143"/>
      <c r="O1496" s="143"/>
      <c r="P1496" s="143"/>
      <c r="Q1496" s="143"/>
      <c r="R1496" s="143"/>
      <c r="S1496" s="143"/>
      <c r="T1496" s="143"/>
      <c r="U1496" s="143"/>
      <c r="V1496" s="143"/>
      <c r="W1496" s="143"/>
      <c r="X1496" s="143"/>
      <c r="Y1496" s="143"/>
      <c r="Z1496" s="143"/>
      <c r="AA1496" s="143"/>
      <c r="AB1496" s="143"/>
      <c r="AC1496" s="143"/>
      <c r="AD1496" s="143"/>
      <c r="AE1496" s="143"/>
      <c r="AF1496" s="143"/>
      <c r="AG1496" s="143"/>
      <c r="AH1496" s="143"/>
      <c r="AI1496" s="143"/>
      <c r="AJ1496" s="143"/>
    </row>
    <row r="1497" spans="1:36" s="144" customFormat="1" ht="21.75" customHeight="1">
      <c r="A1497" s="151"/>
      <c r="B1497" s="219"/>
      <c r="C1497" s="219"/>
      <c r="D1497" s="219"/>
      <c r="E1497" s="225"/>
      <c r="N1497" s="143"/>
      <c r="O1497" s="143"/>
      <c r="P1497" s="143"/>
      <c r="Q1497" s="143"/>
      <c r="R1497" s="143"/>
      <c r="S1497" s="143"/>
      <c r="T1497" s="143"/>
      <c r="U1497" s="143"/>
      <c r="V1497" s="143"/>
      <c r="W1497" s="143"/>
      <c r="X1497" s="143"/>
      <c r="Y1497" s="143"/>
      <c r="Z1497" s="143"/>
      <c r="AA1497" s="143"/>
      <c r="AB1497" s="143"/>
      <c r="AC1497" s="143"/>
      <c r="AD1497" s="143"/>
      <c r="AE1497" s="143"/>
      <c r="AF1497" s="143"/>
      <c r="AG1497" s="143"/>
      <c r="AH1497" s="143"/>
      <c r="AI1497" s="143"/>
      <c r="AJ1497" s="143"/>
    </row>
    <row r="1498" spans="1:36" s="144" customFormat="1" ht="21.75" customHeight="1">
      <c r="A1498" s="151"/>
      <c r="B1498" s="219"/>
      <c r="C1498" s="219"/>
      <c r="D1498" s="219"/>
      <c r="E1498" s="225"/>
      <c r="N1498" s="143"/>
      <c r="O1498" s="143"/>
      <c r="P1498" s="143"/>
      <c r="Q1498" s="143"/>
      <c r="R1498" s="143"/>
      <c r="S1498" s="143"/>
      <c r="T1498" s="143"/>
      <c r="U1498" s="143"/>
      <c r="V1498" s="143"/>
      <c r="W1498" s="143"/>
      <c r="X1498" s="143"/>
      <c r="Y1498" s="143"/>
      <c r="Z1498" s="143"/>
      <c r="AA1498" s="143"/>
      <c r="AB1498" s="143"/>
      <c r="AC1498" s="143"/>
      <c r="AD1498" s="143"/>
      <c r="AE1498" s="143"/>
      <c r="AF1498" s="143"/>
      <c r="AG1498" s="143"/>
      <c r="AH1498" s="143"/>
      <c r="AI1498" s="143"/>
      <c r="AJ1498" s="143"/>
    </row>
    <row r="1499" spans="1:36" s="144" customFormat="1" ht="21.75" customHeight="1">
      <c r="A1499" s="151"/>
      <c r="B1499" s="219"/>
      <c r="C1499" s="219"/>
      <c r="D1499" s="219"/>
      <c r="E1499" s="225"/>
      <c r="N1499" s="143"/>
      <c r="O1499" s="143"/>
      <c r="P1499" s="143"/>
      <c r="Q1499" s="143"/>
      <c r="R1499" s="143"/>
      <c r="S1499" s="143"/>
      <c r="T1499" s="143"/>
      <c r="U1499" s="143"/>
      <c r="V1499" s="143"/>
      <c r="W1499" s="143"/>
      <c r="X1499" s="143"/>
      <c r="Y1499" s="143"/>
      <c r="Z1499" s="143"/>
      <c r="AA1499" s="143"/>
      <c r="AB1499" s="143"/>
      <c r="AC1499" s="143"/>
      <c r="AD1499" s="143"/>
      <c r="AE1499" s="143"/>
      <c r="AF1499" s="143"/>
      <c r="AG1499" s="143"/>
      <c r="AH1499" s="143"/>
      <c r="AI1499" s="143"/>
      <c r="AJ1499" s="143"/>
    </row>
    <row r="1500" spans="1:36" s="144" customFormat="1" ht="21.75" customHeight="1">
      <c r="A1500" s="151"/>
      <c r="B1500" s="219"/>
      <c r="C1500" s="219"/>
      <c r="D1500" s="219"/>
      <c r="E1500" s="225"/>
      <c r="N1500" s="143"/>
      <c r="O1500" s="143"/>
      <c r="P1500" s="143"/>
      <c r="Q1500" s="143"/>
      <c r="R1500" s="143"/>
      <c r="S1500" s="143"/>
      <c r="T1500" s="143"/>
      <c r="U1500" s="143"/>
      <c r="V1500" s="143"/>
      <c r="W1500" s="143"/>
      <c r="X1500" s="143"/>
      <c r="Y1500" s="143"/>
      <c r="Z1500" s="143"/>
      <c r="AA1500" s="143"/>
      <c r="AB1500" s="143"/>
      <c r="AC1500" s="143"/>
      <c r="AD1500" s="143"/>
      <c r="AE1500" s="143"/>
      <c r="AF1500" s="143"/>
      <c r="AG1500" s="143"/>
      <c r="AH1500" s="143"/>
      <c r="AI1500" s="143"/>
      <c r="AJ1500" s="143"/>
    </row>
    <row r="1501" spans="1:36" s="144" customFormat="1" ht="21.75" customHeight="1">
      <c r="A1501" s="151"/>
      <c r="B1501" s="219"/>
      <c r="C1501" s="219"/>
      <c r="D1501" s="219"/>
      <c r="E1501" s="225"/>
      <c r="N1501" s="143"/>
      <c r="O1501" s="143"/>
      <c r="P1501" s="143"/>
      <c r="Q1501" s="143"/>
      <c r="R1501" s="143"/>
      <c r="S1501" s="143"/>
      <c r="T1501" s="143"/>
      <c r="U1501" s="143"/>
      <c r="V1501" s="143"/>
      <c r="W1501" s="143"/>
      <c r="X1501" s="143"/>
      <c r="Y1501" s="143"/>
      <c r="Z1501" s="143"/>
      <c r="AA1501" s="143"/>
      <c r="AB1501" s="143"/>
      <c r="AC1501" s="143"/>
      <c r="AD1501" s="143"/>
      <c r="AE1501" s="143"/>
      <c r="AF1501" s="143"/>
      <c r="AG1501" s="143"/>
      <c r="AH1501" s="143"/>
      <c r="AI1501" s="143"/>
      <c r="AJ1501" s="143"/>
    </row>
    <row r="1502" spans="1:36" s="144" customFormat="1" ht="21.75" customHeight="1">
      <c r="A1502" s="151"/>
      <c r="B1502" s="219"/>
      <c r="C1502" s="219"/>
      <c r="D1502" s="219"/>
      <c r="E1502" s="225"/>
      <c r="N1502" s="143"/>
      <c r="O1502" s="143"/>
      <c r="P1502" s="143"/>
      <c r="Q1502" s="143"/>
      <c r="R1502" s="143"/>
      <c r="S1502" s="143"/>
      <c r="T1502" s="143"/>
      <c r="U1502" s="143"/>
      <c r="V1502" s="143"/>
      <c r="W1502" s="143"/>
      <c r="X1502" s="143"/>
      <c r="Y1502" s="143"/>
      <c r="Z1502" s="143"/>
      <c r="AA1502" s="143"/>
      <c r="AB1502" s="143"/>
      <c r="AC1502" s="143"/>
      <c r="AD1502" s="143"/>
      <c r="AE1502" s="143"/>
      <c r="AF1502" s="143"/>
      <c r="AG1502" s="143"/>
      <c r="AH1502" s="143"/>
      <c r="AI1502" s="143"/>
      <c r="AJ1502" s="143"/>
    </row>
    <row r="1503" spans="1:36" s="144" customFormat="1" ht="21.75" customHeight="1">
      <c r="A1503" s="151"/>
      <c r="B1503" s="219"/>
      <c r="C1503" s="219"/>
      <c r="D1503" s="219"/>
      <c r="E1503" s="225"/>
      <c r="N1503" s="143"/>
      <c r="O1503" s="143"/>
      <c r="P1503" s="143"/>
      <c r="Q1503" s="143"/>
      <c r="R1503" s="143"/>
      <c r="S1503" s="143"/>
      <c r="T1503" s="143"/>
      <c r="U1503" s="143"/>
      <c r="V1503" s="143"/>
      <c r="W1503" s="143"/>
      <c r="X1503" s="143"/>
      <c r="Y1503" s="143"/>
      <c r="Z1503" s="143"/>
      <c r="AA1503" s="143"/>
      <c r="AB1503" s="143"/>
      <c r="AC1503" s="143"/>
      <c r="AD1503" s="143"/>
      <c r="AE1503" s="143"/>
      <c r="AF1503" s="143"/>
      <c r="AG1503" s="143"/>
      <c r="AH1503" s="143"/>
      <c r="AI1503" s="143"/>
      <c r="AJ1503" s="143"/>
    </row>
    <row r="1504" spans="1:36" s="144" customFormat="1" ht="21.75" customHeight="1">
      <c r="A1504" s="151"/>
      <c r="B1504" s="219"/>
      <c r="C1504" s="219"/>
      <c r="D1504" s="219"/>
      <c r="E1504" s="225"/>
      <c r="N1504" s="143"/>
      <c r="O1504" s="143"/>
      <c r="P1504" s="143"/>
      <c r="Q1504" s="143"/>
      <c r="R1504" s="143"/>
      <c r="S1504" s="143"/>
      <c r="T1504" s="143"/>
      <c r="U1504" s="143"/>
      <c r="V1504" s="143"/>
      <c r="W1504" s="143"/>
      <c r="X1504" s="143"/>
      <c r="Y1504" s="143"/>
      <c r="Z1504" s="143"/>
      <c r="AA1504" s="143"/>
      <c r="AB1504" s="143"/>
      <c r="AC1504" s="143"/>
      <c r="AD1504" s="143"/>
      <c r="AE1504" s="143"/>
      <c r="AF1504" s="143"/>
      <c r="AG1504" s="143"/>
      <c r="AH1504" s="143"/>
      <c r="AI1504" s="143"/>
      <c r="AJ1504" s="143"/>
    </row>
    <row r="1505" spans="1:36" s="144" customFormat="1" ht="21.75" customHeight="1">
      <c r="A1505" s="151"/>
      <c r="B1505" s="219"/>
      <c r="C1505" s="219"/>
      <c r="D1505" s="219"/>
      <c r="E1505" s="225"/>
      <c r="N1505" s="143"/>
      <c r="O1505" s="143"/>
      <c r="P1505" s="143"/>
      <c r="Q1505" s="143"/>
      <c r="R1505" s="143"/>
      <c r="S1505" s="143"/>
      <c r="T1505" s="143"/>
      <c r="U1505" s="143"/>
      <c r="V1505" s="143"/>
      <c r="W1505" s="143"/>
      <c r="X1505" s="143"/>
      <c r="Y1505" s="143"/>
      <c r="Z1505" s="143"/>
      <c r="AA1505" s="143"/>
      <c r="AB1505" s="143"/>
      <c r="AC1505" s="143"/>
      <c r="AD1505" s="143"/>
      <c r="AE1505" s="143"/>
      <c r="AF1505" s="143"/>
      <c r="AG1505" s="143"/>
      <c r="AH1505" s="143"/>
      <c r="AI1505" s="143"/>
      <c r="AJ1505" s="143"/>
    </row>
    <row r="1506" spans="1:36" s="144" customFormat="1" ht="21.75" customHeight="1">
      <c r="A1506" s="151"/>
      <c r="B1506" s="219"/>
      <c r="C1506" s="219"/>
      <c r="D1506" s="219"/>
      <c r="E1506" s="225"/>
      <c r="N1506" s="143"/>
      <c r="O1506" s="143"/>
      <c r="P1506" s="143"/>
      <c r="Q1506" s="143"/>
      <c r="R1506" s="143"/>
      <c r="S1506" s="143"/>
      <c r="T1506" s="143"/>
      <c r="U1506" s="143"/>
      <c r="V1506" s="143"/>
      <c r="W1506" s="143"/>
      <c r="X1506" s="143"/>
      <c r="Y1506" s="143"/>
      <c r="Z1506" s="143"/>
      <c r="AA1506" s="143"/>
      <c r="AB1506" s="143"/>
      <c r="AC1506" s="143"/>
      <c r="AD1506" s="143"/>
      <c r="AE1506" s="143"/>
      <c r="AF1506" s="143"/>
      <c r="AG1506" s="143"/>
      <c r="AH1506" s="143"/>
      <c r="AI1506" s="143"/>
      <c r="AJ1506" s="143"/>
    </row>
    <row r="1507" spans="1:36" s="144" customFormat="1" ht="21.75" customHeight="1">
      <c r="A1507" s="151"/>
      <c r="B1507" s="219"/>
      <c r="C1507" s="219"/>
      <c r="D1507" s="219"/>
      <c r="E1507" s="225"/>
      <c r="N1507" s="143"/>
      <c r="O1507" s="143"/>
      <c r="P1507" s="143"/>
      <c r="Q1507" s="143"/>
      <c r="R1507" s="143"/>
      <c r="S1507" s="143"/>
      <c r="T1507" s="143"/>
      <c r="U1507" s="143"/>
      <c r="V1507" s="143"/>
      <c r="W1507" s="143"/>
      <c r="X1507" s="143"/>
      <c r="Y1507" s="143"/>
      <c r="Z1507" s="143"/>
      <c r="AA1507" s="143"/>
      <c r="AB1507" s="143"/>
      <c r="AC1507" s="143"/>
      <c r="AD1507" s="143"/>
      <c r="AE1507" s="143"/>
      <c r="AF1507" s="143"/>
      <c r="AG1507" s="143"/>
      <c r="AH1507" s="143"/>
      <c r="AI1507" s="143"/>
      <c r="AJ1507" s="143"/>
    </row>
    <row r="1508" spans="1:36" s="144" customFormat="1" ht="21.75" customHeight="1">
      <c r="A1508" s="151"/>
      <c r="B1508" s="219"/>
      <c r="C1508" s="219"/>
      <c r="D1508" s="219"/>
      <c r="E1508" s="225"/>
      <c r="N1508" s="143"/>
      <c r="O1508" s="143"/>
      <c r="P1508" s="143"/>
      <c r="Q1508" s="143"/>
      <c r="R1508" s="143"/>
      <c r="S1508" s="143"/>
      <c r="T1508" s="143"/>
      <c r="U1508" s="143"/>
      <c r="V1508" s="143"/>
      <c r="W1508" s="143"/>
      <c r="X1508" s="143"/>
      <c r="Y1508" s="143"/>
      <c r="Z1508" s="143"/>
      <c r="AA1508" s="143"/>
      <c r="AB1508" s="143"/>
      <c r="AC1508" s="143"/>
      <c r="AD1508" s="143"/>
      <c r="AE1508" s="143"/>
      <c r="AF1508" s="143"/>
      <c r="AG1508" s="143"/>
      <c r="AH1508" s="143"/>
      <c r="AI1508" s="143"/>
      <c r="AJ1508" s="143"/>
    </row>
    <row r="1509" spans="1:36" s="144" customFormat="1" ht="21.75" customHeight="1">
      <c r="A1509" s="151"/>
      <c r="B1509" s="219"/>
      <c r="C1509" s="219"/>
      <c r="D1509" s="219"/>
      <c r="E1509" s="225"/>
      <c r="N1509" s="143"/>
      <c r="O1509" s="143"/>
      <c r="P1509" s="143"/>
      <c r="Q1509" s="143"/>
      <c r="R1509" s="143"/>
      <c r="S1509" s="143"/>
      <c r="T1509" s="143"/>
      <c r="U1509" s="143"/>
      <c r="V1509" s="143"/>
      <c r="W1509" s="143"/>
      <c r="X1509" s="143"/>
      <c r="Y1509" s="143"/>
      <c r="Z1509" s="143"/>
      <c r="AA1509" s="143"/>
      <c r="AB1509" s="143"/>
      <c r="AC1509" s="143"/>
      <c r="AD1509" s="143"/>
      <c r="AE1509" s="143"/>
      <c r="AF1509" s="143"/>
      <c r="AG1509" s="143"/>
      <c r="AH1509" s="143"/>
      <c r="AI1509" s="143"/>
      <c r="AJ1509" s="143"/>
    </row>
    <row r="1510" spans="1:36" s="144" customFormat="1" ht="21.75" customHeight="1">
      <c r="A1510" s="151"/>
      <c r="B1510" s="219"/>
      <c r="C1510" s="219"/>
      <c r="D1510" s="219"/>
      <c r="E1510" s="225"/>
      <c r="N1510" s="143"/>
      <c r="O1510" s="143"/>
      <c r="P1510" s="143"/>
      <c r="Q1510" s="143"/>
      <c r="R1510" s="143"/>
      <c r="S1510" s="143"/>
      <c r="T1510" s="143"/>
      <c r="U1510" s="143"/>
      <c r="V1510" s="143"/>
      <c r="W1510" s="143"/>
      <c r="X1510" s="143"/>
      <c r="Y1510" s="143"/>
      <c r="Z1510" s="143"/>
      <c r="AA1510" s="143"/>
      <c r="AB1510" s="143"/>
      <c r="AC1510" s="143"/>
      <c r="AD1510" s="143"/>
      <c r="AE1510" s="143"/>
      <c r="AF1510" s="143"/>
      <c r="AG1510" s="143"/>
      <c r="AH1510" s="143"/>
      <c r="AI1510" s="143"/>
      <c r="AJ1510" s="143"/>
    </row>
    <row r="1511" spans="1:36" s="144" customFormat="1" ht="21.75" customHeight="1">
      <c r="A1511" s="151"/>
      <c r="B1511" s="219"/>
      <c r="C1511" s="219"/>
      <c r="D1511" s="219"/>
      <c r="E1511" s="225"/>
      <c r="N1511" s="143"/>
      <c r="O1511" s="143"/>
      <c r="P1511" s="143"/>
      <c r="Q1511" s="143"/>
      <c r="R1511" s="143"/>
      <c r="S1511" s="143"/>
      <c r="T1511" s="143"/>
      <c r="U1511" s="143"/>
      <c r="V1511" s="143"/>
      <c r="W1511" s="143"/>
      <c r="X1511" s="143"/>
      <c r="Y1511" s="143"/>
      <c r="Z1511" s="143"/>
      <c r="AA1511" s="143"/>
      <c r="AB1511" s="143"/>
      <c r="AC1511" s="143"/>
      <c r="AD1511" s="143"/>
      <c r="AE1511" s="143"/>
      <c r="AF1511" s="143"/>
      <c r="AG1511" s="143"/>
      <c r="AH1511" s="143"/>
      <c r="AI1511" s="143"/>
      <c r="AJ1511" s="143"/>
    </row>
    <row r="1512" spans="1:36" s="144" customFormat="1" ht="21.75" customHeight="1">
      <c r="A1512" s="151"/>
      <c r="B1512" s="219"/>
      <c r="C1512" s="219"/>
      <c r="D1512" s="219"/>
      <c r="E1512" s="225"/>
      <c r="N1512" s="143"/>
      <c r="O1512" s="143"/>
      <c r="P1512" s="143"/>
      <c r="Q1512" s="143"/>
      <c r="R1512" s="143"/>
      <c r="S1512" s="143"/>
      <c r="T1512" s="143"/>
      <c r="U1512" s="143"/>
      <c r="V1512" s="143"/>
      <c r="W1512" s="143"/>
      <c r="X1512" s="143"/>
      <c r="Y1512" s="143"/>
      <c r="Z1512" s="143"/>
      <c r="AA1512" s="143"/>
      <c r="AB1512" s="143"/>
      <c r="AC1512" s="143"/>
      <c r="AD1512" s="143"/>
      <c r="AE1512" s="143"/>
      <c r="AF1512" s="143"/>
      <c r="AG1512" s="143"/>
      <c r="AH1512" s="143"/>
      <c r="AI1512" s="143"/>
      <c r="AJ1512" s="143"/>
    </row>
    <row r="1513" spans="1:36" s="144" customFormat="1" ht="21.75" customHeight="1">
      <c r="A1513" s="151"/>
      <c r="B1513" s="219"/>
      <c r="C1513" s="219"/>
      <c r="D1513" s="219"/>
      <c r="E1513" s="225"/>
      <c r="N1513" s="143"/>
      <c r="O1513" s="143"/>
      <c r="P1513" s="143"/>
      <c r="Q1513" s="143"/>
      <c r="R1513" s="143"/>
      <c r="S1513" s="143"/>
      <c r="T1513" s="143"/>
      <c r="U1513" s="143"/>
      <c r="V1513" s="143"/>
      <c r="W1513" s="143"/>
      <c r="X1513" s="143"/>
      <c r="Y1513" s="143"/>
      <c r="Z1513" s="143"/>
      <c r="AA1513" s="143"/>
      <c r="AB1513" s="143"/>
      <c r="AC1513" s="143"/>
      <c r="AD1513" s="143"/>
      <c r="AE1513" s="143"/>
      <c r="AF1513" s="143"/>
      <c r="AG1513" s="143"/>
      <c r="AH1513" s="143"/>
      <c r="AI1513" s="143"/>
      <c r="AJ1513" s="143"/>
    </row>
    <row r="1514" spans="1:36" s="144" customFormat="1" ht="21.75" customHeight="1">
      <c r="A1514" s="151"/>
      <c r="B1514" s="219"/>
      <c r="C1514" s="219"/>
      <c r="D1514" s="219"/>
      <c r="E1514" s="225"/>
      <c r="N1514" s="143"/>
      <c r="O1514" s="143"/>
      <c r="P1514" s="143"/>
      <c r="Q1514" s="143"/>
      <c r="R1514" s="143"/>
      <c r="S1514" s="143"/>
      <c r="T1514" s="143"/>
      <c r="U1514" s="143"/>
      <c r="V1514" s="143"/>
      <c r="W1514" s="143"/>
      <c r="X1514" s="143"/>
      <c r="Y1514" s="143"/>
      <c r="Z1514" s="143"/>
      <c r="AA1514" s="143"/>
      <c r="AB1514" s="143"/>
      <c r="AC1514" s="143"/>
      <c r="AD1514" s="143"/>
      <c r="AE1514" s="143"/>
      <c r="AF1514" s="143"/>
      <c r="AG1514" s="143"/>
      <c r="AH1514" s="143"/>
      <c r="AI1514" s="143"/>
      <c r="AJ1514" s="143"/>
    </row>
    <row r="1515" spans="1:36" s="144" customFormat="1" ht="21.75" customHeight="1">
      <c r="A1515" s="151"/>
      <c r="B1515" s="219"/>
      <c r="C1515" s="219"/>
      <c r="D1515" s="219"/>
      <c r="E1515" s="225"/>
      <c r="N1515" s="143"/>
      <c r="O1515" s="143"/>
      <c r="P1515" s="143"/>
      <c r="Q1515" s="143"/>
      <c r="R1515" s="143"/>
      <c r="S1515" s="143"/>
      <c r="T1515" s="143"/>
      <c r="U1515" s="143"/>
      <c r="V1515" s="143"/>
      <c r="W1515" s="143"/>
      <c r="X1515" s="143"/>
      <c r="Y1515" s="143"/>
      <c r="Z1515" s="143"/>
      <c r="AA1515" s="143"/>
      <c r="AB1515" s="143"/>
      <c r="AC1515" s="143"/>
      <c r="AD1515" s="143"/>
      <c r="AE1515" s="143"/>
      <c r="AF1515" s="143"/>
      <c r="AG1515" s="143"/>
      <c r="AH1515" s="143"/>
      <c r="AI1515" s="143"/>
      <c r="AJ1515" s="143"/>
    </row>
    <row r="1516" spans="1:36" s="144" customFormat="1" ht="21.75" customHeight="1">
      <c r="A1516" s="151"/>
      <c r="B1516" s="219"/>
      <c r="C1516" s="219"/>
      <c r="D1516" s="219"/>
      <c r="E1516" s="225"/>
      <c r="N1516" s="143"/>
      <c r="O1516" s="143"/>
      <c r="P1516" s="143"/>
      <c r="Q1516" s="143"/>
      <c r="R1516" s="143"/>
      <c r="S1516" s="143"/>
      <c r="T1516" s="143"/>
      <c r="U1516" s="143"/>
      <c r="V1516" s="143"/>
      <c r="W1516" s="143"/>
      <c r="X1516" s="143"/>
      <c r="Y1516" s="143"/>
      <c r="Z1516" s="143"/>
      <c r="AA1516" s="143"/>
      <c r="AB1516" s="143"/>
      <c r="AC1516" s="143"/>
      <c r="AD1516" s="143"/>
      <c r="AE1516" s="143"/>
      <c r="AF1516" s="143"/>
      <c r="AG1516" s="143"/>
      <c r="AH1516" s="143"/>
      <c r="AI1516" s="143"/>
      <c r="AJ1516" s="143"/>
    </row>
    <row r="1517" spans="1:36" s="144" customFormat="1" ht="21.75" customHeight="1">
      <c r="A1517" s="151"/>
      <c r="B1517" s="219"/>
      <c r="C1517" s="219"/>
      <c r="D1517" s="219"/>
      <c r="E1517" s="225"/>
      <c r="N1517" s="143"/>
      <c r="O1517" s="143"/>
      <c r="P1517" s="143"/>
      <c r="Q1517" s="143"/>
      <c r="R1517" s="143"/>
      <c r="S1517" s="143"/>
      <c r="T1517" s="143"/>
      <c r="U1517" s="143"/>
      <c r="V1517" s="143"/>
      <c r="W1517" s="143"/>
      <c r="X1517" s="143"/>
      <c r="Y1517" s="143"/>
      <c r="Z1517" s="143"/>
      <c r="AA1517" s="143"/>
      <c r="AB1517" s="143"/>
      <c r="AC1517" s="143"/>
      <c r="AD1517" s="143"/>
      <c r="AE1517" s="143"/>
      <c r="AF1517" s="143"/>
      <c r="AG1517" s="143"/>
      <c r="AH1517" s="143"/>
      <c r="AI1517" s="143"/>
      <c r="AJ1517" s="143"/>
    </row>
    <row r="1518" spans="1:36" s="144" customFormat="1" ht="21.75" customHeight="1">
      <c r="A1518" s="151"/>
      <c r="B1518" s="219"/>
      <c r="C1518" s="219"/>
      <c r="D1518" s="219"/>
      <c r="E1518" s="225"/>
      <c r="N1518" s="143"/>
      <c r="O1518" s="143"/>
      <c r="P1518" s="143"/>
      <c r="Q1518" s="143"/>
      <c r="R1518" s="143"/>
      <c r="S1518" s="143"/>
      <c r="T1518" s="143"/>
      <c r="U1518" s="143"/>
      <c r="V1518" s="143"/>
      <c r="W1518" s="143"/>
      <c r="X1518" s="143"/>
      <c r="Y1518" s="143"/>
      <c r="Z1518" s="143"/>
      <c r="AA1518" s="143"/>
      <c r="AB1518" s="143"/>
      <c r="AC1518" s="143"/>
      <c r="AD1518" s="143"/>
      <c r="AE1518" s="143"/>
      <c r="AF1518" s="143"/>
      <c r="AG1518" s="143"/>
      <c r="AH1518" s="143"/>
      <c r="AI1518" s="143"/>
      <c r="AJ1518" s="143"/>
    </row>
    <row r="1519" spans="1:36" s="144" customFormat="1" ht="21.75" customHeight="1">
      <c r="A1519" s="151"/>
      <c r="B1519" s="219"/>
      <c r="C1519" s="219"/>
      <c r="D1519" s="219"/>
      <c r="E1519" s="225"/>
      <c r="N1519" s="143"/>
      <c r="O1519" s="143"/>
      <c r="P1519" s="143"/>
      <c r="Q1519" s="143"/>
      <c r="R1519" s="143"/>
      <c r="S1519" s="143"/>
      <c r="T1519" s="143"/>
      <c r="U1519" s="143"/>
      <c r="V1519" s="143"/>
      <c r="W1519" s="143"/>
      <c r="X1519" s="143"/>
      <c r="Y1519" s="143"/>
      <c r="Z1519" s="143"/>
      <c r="AA1519" s="143"/>
      <c r="AB1519" s="143"/>
      <c r="AC1519" s="143"/>
      <c r="AD1519" s="143"/>
      <c r="AE1519" s="143"/>
      <c r="AF1519" s="143"/>
      <c r="AG1519" s="143"/>
      <c r="AH1519" s="143"/>
      <c r="AI1519" s="143"/>
      <c r="AJ1519" s="143"/>
    </row>
    <row r="1520" spans="1:36" s="144" customFormat="1" ht="21.75" customHeight="1">
      <c r="A1520" s="151"/>
      <c r="B1520" s="219"/>
      <c r="C1520" s="219"/>
      <c r="D1520" s="219"/>
      <c r="E1520" s="225"/>
      <c r="N1520" s="143"/>
      <c r="O1520" s="143"/>
      <c r="P1520" s="143"/>
      <c r="Q1520" s="143"/>
      <c r="R1520" s="143"/>
      <c r="S1520" s="143"/>
      <c r="T1520" s="143"/>
      <c r="U1520" s="143"/>
      <c r="V1520" s="143"/>
      <c r="W1520" s="143"/>
      <c r="X1520" s="143"/>
      <c r="Y1520" s="143"/>
      <c r="Z1520" s="143"/>
      <c r="AA1520" s="143"/>
      <c r="AB1520" s="143"/>
      <c r="AC1520" s="143"/>
      <c r="AD1520" s="143"/>
      <c r="AE1520" s="143"/>
      <c r="AF1520" s="143"/>
      <c r="AG1520" s="143"/>
      <c r="AH1520" s="143"/>
      <c r="AI1520" s="143"/>
      <c r="AJ1520" s="143"/>
    </row>
    <row r="1521" spans="1:36" s="144" customFormat="1" ht="21.75" customHeight="1">
      <c r="A1521" s="151"/>
      <c r="B1521" s="219"/>
      <c r="C1521" s="219"/>
      <c r="D1521" s="219"/>
      <c r="E1521" s="225"/>
      <c r="N1521" s="143"/>
      <c r="O1521" s="143"/>
      <c r="P1521" s="143"/>
      <c r="Q1521" s="143"/>
      <c r="R1521" s="143"/>
      <c r="S1521" s="143"/>
      <c r="T1521" s="143"/>
      <c r="U1521" s="143"/>
      <c r="V1521" s="143"/>
      <c r="W1521" s="143"/>
      <c r="X1521" s="143"/>
      <c r="Y1521" s="143"/>
      <c r="Z1521" s="143"/>
      <c r="AA1521" s="143"/>
      <c r="AB1521" s="143"/>
      <c r="AC1521" s="143"/>
      <c r="AD1521" s="143"/>
      <c r="AE1521" s="143"/>
      <c r="AF1521" s="143"/>
      <c r="AG1521" s="143"/>
      <c r="AH1521" s="143"/>
      <c r="AI1521" s="143"/>
      <c r="AJ1521" s="143"/>
    </row>
    <row r="1522" spans="1:36" s="144" customFormat="1" ht="21.75" customHeight="1">
      <c r="A1522" s="151"/>
      <c r="B1522" s="219"/>
      <c r="C1522" s="219"/>
      <c r="D1522" s="219"/>
      <c r="E1522" s="225"/>
      <c r="N1522" s="143"/>
      <c r="O1522" s="143"/>
      <c r="P1522" s="143"/>
      <c r="Q1522" s="143"/>
      <c r="R1522" s="143"/>
      <c r="S1522" s="143"/>
      <c r="T1522" s="143"/>
      <c r="U1522" s="143"/>
      <c r="V1522" s="143"/>
      <c r="W1522" s="143"/>
      <c r="X1522" s="143"/>
      <c r="Y1522" s="143"/>
      <c r="Z1522" s="143"/>
      <c r="AA1522" s="143"/>
      <c r="AB1522" s="143"/>
      <c r="AC1522" s="143"/>
      <c r="AD1522" s="143"/>
      <c r="AE1522" s="143"/>
      <c r="AF1522" s="143"/>
      <c r="AG1522" s="143"/>
      <c r="AH1522" s="143"/>
      <c r="AI1522" s="143"/>
      <c r="AJ1522" s="143"/>
    </row>
    <row r="1523" spans="1:36" s="144" customFormat="1" ht="21.75" customHeight="1">
      <c r="A1523" s="151"/>
      <c r="B1523" s="219"/>
      <c r="C1523" s="219"/>
      <c r="D1523" s="219"/>
      <c r="E1523" s="225"/>
      <c r="N1523" s="143"/>
      <c r="O1523" s="143"/>
      <c r="P1523" s="143"/>
      <c r="Q1523" s="143"/>
      <c r="R1523" s="143"/>
      <c r="S1523" s="143"/>
      <c r="T1523" s="143"/>
      <c r="U1523" s="143"/>
      <c r="V1523" s="143"/>
      <c r="W1523" s="143"/>
      <c r="X1523" s="143"/>
      <c r="Y1523" s="143"/>
      <c r="Z1523" s="143"/>
      <c r="AA1523" s="143"/>
      <c r="AB1523" s="143"/>
      <c r="AC1523" s="143"/>
      <c r="AD1523" s="143"/>
      <c r="AE1523" s="143"/>
      <c r="AF1523" s="143"/>
      <c r="AG1523" s="143"/>
      <c r="AH1523" s="143"/>
      <c r="AI1523" s="143"/>
      <c r="AJ1523" s="143"/>
    </row>
    <row r="1524" spans="1:36" s="144" customFormat="1" ht="21.75" customHeight="1">
      <c r="A1524" s="151"/>
      <c r="B1524" s="219"/>
      <c r="C1524" s="219"/>
      <c r="D1524" s="219"/>
      <c r="E1524" s="225"/>
      <c r="N1524" s="143"/>
      <c r="O1524" s="143"/>
      <c r="P1524" s="143"/>
      <c r="Q1524" s="143"/>
      <c r="R1524" s="143"/>
      <c r="S1524" s="143"/>
      <c r="T1524" s="143"/>
      <c r="U1524" s="143"/>
      <c r="V1524" s="143"/>
      <c r="W1524" s="143"/>
      <c r="X1524" s="143"/>
      <c r="Y1524" s="143"/>
      <c r="Z1524" s="143"/>
      <c r="AA1524" s="143"/>
      <c r="AB1524" s="143"/>
      <c r="AC1524" s="143"/>
      <c r="AD1524" s="143"/>
      <c r="AE1524" s="143"/>
      <c r="AF1524" s="143"/>
      <c r="AG1524" s="143"/>
      <c r="AH1524" s="143"/>
      <c r="AI1524" s="143"/>
      <c r="AJ1524" s="143"/>
    </row>
    <row r="1525" spans="1:36" s="144" customFormat="1" ht="21.75" customHeight="1">
      <c r="A1525" s="151"/>
      <c r="B1525" s="219"/>
      <c r="C1525" s="219"/>
      <c r="D1525" s="219"/>
      <c r="E1525" s="225"/>
      <c r="N1525" s="143"/>
      <c r="O1525" s="143"/>
      <c r="P1525" s="143"/>
      <c r="Q1525" s="143"/>
      <c r="R1525" s="143"/>
      <c r="S1525" s="143"/>
      <c r="T1525" s="143"/>
      <c r="U1525" s="143"/>
      <c r="V1525" s="143"/>
      <c r="W1525" s="143"/>
      <c r="X1525" s="143"/>
      <c r="Y1525" s="143"/>
      <c r="Z1525" s="143"/>
      <c r="AA1525" s="143"/>
      <c r="AB1525" s="143"/>
      <c r="AC1525" s="143"/>
      <c r="AD1525" s="143"/>
      <c r="AE1525" s="143"/>
      <c r="AF1525" s="143"/>
      <c r="AG1525" s="143"/>
      <c r="AH1525" s="143"/>
      <c r="AI1525" s="143"/>
      <c r="AJ1525" s="143"/>
    </row>
    <row r="1526" spans="1:36" s="144" customFormat="1" ht="21.75" customHeight="1">
      <c r="A1526" s="151"/>
      <c r="B1526" s="219"/>
      <c r="C1526" s="219"/>
      <c r="D1526" s="219"/>
      <c r="E1526" s="225"/>
      <c r="N1526" s="143"/>
      <c r="O1526" s="143"/>
      <c r="P1526" s="143"/>
      <c r="Q1526" s="143"/>
      <c r="R1526" s="143"/>
      <c r="S1526" s="143"/>
      <c r="T1526" s="143"/>
      <c r="U1526" s="143"/>
      <c r="V1526" s="143"/>
      <c r="W1526" s="143"/>
      <c r="X1526" s="143"/>
      <c r="Y1526" s="143"/>
      <c r="Z1526" s="143"/>
      <c r="AA1526" s="143"/>
      <c r="AB1526" s="143"/>
      <c r="AC1526" s="143"/>
      <c r="AD1526" s="143"/>
      <c r="AE1526" s="143"/>
      <c r="AF1526" s="143"/>
      <c r="AG1526" s="143"/>
      <c r="AH1526" s="143"/>
      <c r="AI1526" s="143"/>
      <c r="AJ1526" s="143"/>
    </row>
    <row r="1527" spans="1:36" s="144" customFormat="1" ht="21.75" customHeight="1">
      <c r="A1527" s="151"/>
      <c r="B1527" s="219"/>
      <c r="C1527" s="219"/>
      <c r="D1527" s="219"/>
      <c r="E1527" s="225"/>
      <c r="N1527" s="143"/>
      <c r="O1527" s="143"/>
      <c r="P1527" s="143"/>
      <c r="Q1527" s="143"/>
      <c r="R1527" s="143"/>
      <c r="S1527" s="143"/>
      <c r="T1527" s="143"/>
      <c r="U1527" s="143"/>
      <c r="V1527" s="143"/>
      <c r="W1527" s="143"/>
      <c r="X1527" s="143"/>
      <c r="Y1527" s="143"/>
      <c r="Z1527" s="143"/>
      <c r="AA1527" s="143"/>
      <c r="AB1527" s="143"/>
      <c r="AC1527" s="143"/>
      <c r="AD1527" s="143"/>
      <c r="AE1527" s="143"/>
      <c r="AF1527" s="143"/>
      <c r="AG1527" s="143"/>
      <c r="AH1527" s="143"/>
      <c r="AI1527" s="143"/>
      <c r="AJ1527" s="143"/>
    </row>
    <row r="1528" spans="1:36" s="144" customFormat="1" ht="21.75" customHeight="1">
      <c r="A1528" s="151"/>
      <c r="B1528" s="219"/>
      <c r="C1528" s="219"/>
      <c r="D1528" s="219"/>
      <c r="E1528" s="225"/>
      <c r="N1528" s="143"/>
      <c r="O1528" s="143"/>
      <c r="P1528" s="143"/>
      <c r="Q1528" s="143"/>
      <c r="R1528" s="143"/>
      <c r="S1528" s="143"/>
      <c r="T1528" s="143"/>
      <c r="U1528" s="143"/>
      <c r="V1528" s="143"/>
      <c r="W1528" s="143"/>
      <c r="X1528" s="143"/>
      <c r="Y1528" s="143"/>
      <c r="Z1528" s="143"/>
      <c r="AA1528" s="143"/>
      <c r="AB1528" s="143"/>
      <c r="AC1528" s="143"/>
      <c r="AD1528" s="143"/>
      <c r="AE1528" s="143"/>
      <c r="AF1528" s="143"/>
      <c r="AG1528" s="143"/>
      <c r="AH1528" s="143"/>
      <c r="AI1528" s="143"/>
      <c r="AJ1528" s="143"/>
    </row>
    <row r="1529" spans="1:36" s="144" customFormat="1" ht="21.75" customHeight="1">
      <c r="A1529" s="151"/>
      <c r="B1529" s="219"/>
      <c r="C1529" s="219"/>
      <c r="D1529" s="219"/>
      <c r="E1529" s="225"/>
      <c r="N1529" s="143"/>
      <c r="O1529" s="143"/>
      <c r="P1529" s="143"/>
      <c r="Q1529" s="143"/>
      <c r="R1529" s="143"/>
      <c r="S1529" s="143"/>
      <c r="T1529" s="143"/>
      <c r="U1529" s="143"/>
      <c r="V1529" s="143"/>
      <c r="W1529" s="143"/>
      <c r="X1529" s="143"/>
      <c r="Y1529" s="143"/>
      <c r="Z1529" s="143"/>
      <c r="AA1529" s="143"/>
      <c r="AB1529" s="143"/>
      <c r="AC1529" s="143"/>
      <c r="AD1529" s="143"/>
      <c r="AE1529" s="143"/>
      <c r="AF1529" s="143"/>
      <c r="AG1529" s="143"/>
      <c r="AH1529" s="143"/>
      <c r="AI1529" s="143"/>
      <c r="AJ1529" s="143"/>
    </row>
    <row r="1530" spans="1:36" s="144" customFormat="1" ht="21.75" customHeight="1">
      <c r="A1530" s="151"/>
      <c r="B1530" s="219"/>
      <c r="C1530" s="219"/>
      <c r="D1530" s="219"/>
      <c r="E1530" s="225"/>
      <c r="N1530" s="143"/>
      <c r="O1530" s="143"/>
      <c r="P1530" s="143"/>
      <c r="Q1530" s="143"/>
      <c r="R1530" s="143"/>
      <c r="S1530" s="143"/>
      <c r="T1530" s="143"/>
      <c r="U1530" s="143"/>
      <c r="V1530" s="143"/>
      <c r="W1530" s="143"/>
      <c r="X1530" s="143"/>
      <c r="Y1530" s="143"/>
      <c r="Z1530" s="143"/>
      <c r="AA1530" s="143"/>
      <c r="AB1530" s="143"/>
      <c r="AC1530" s="143"/>
      <c r="AD1530" s="143"/>
      <c r="AE1530" s="143"/>
      <c r="AF1530" s="143"/>
      <c r="AG1530" s="143"/>
      <c r="AH1530" s="143"/>
      <c r="AI1530" s="143"/>
      <c r="AJ1530" s="143"/>
    </row>
    <row r="1531" spans="1:36" s="144" customFormat="1" ht="21.75" customHeight="1">
      <c r="A1531" s="151"/>
      <c r="B1531" s="219"/>
      <c r="C1531" s="219"/>
      <c r="D1531" s="219"/>
      <c r="E1531" s="225"/>
      <c r="N1531" s="143"/>
      <c r="O1531" s="143"/>
      <c r="P1531" s="143"/>
      <c r="Q1531" s="143"/>
      <c r="R1531" s="143"/>
      <c r="S1531" s="143"/>
      <c r="T1531" s="143"/>
      <c r="U1531" s="143"/>
      <c r="V1531" s="143"/>
      <c r="W1531" s="143"/>
      <c r="X1531" s="143"/>
      <c r="Y1531" s="143"/>
      <c r="Z1531" s="143"/>
      <c r="AA1531" s="143"/>
      <c r="AB1531" s="143"/>
      <c r="AC1531" s="143"/>
      <c r="AD1531" s="143"/>
      <c r="AE1531" s="143"/>
      <c r="AF1531" s="143"/>
      <c r="AG1531" s="143"/>
      <c r="AH1531" s="143"/>
      <c r="AI1531" s="143"/>
      <c r="AJ1531" s="143"/>
    </row>
    <row r="1532" spans="1:36" s="144" customFormat="1" ht="21.75" customHeight="1">
      <c r="A1532" s="151"/>
      <c r="B1532" s="219"/>
      <c r="C1532" s="219"/>
      <c r="D1532" s="219"/>
      <c r="E1532" s="225"/>
      <c r="N1532" s="143"/>
      <c r="O1532" s="143"/>
      <c r="P1532" s="143"/>
      <c r="Q1532" s="143"/>
      <c r="R1532" s="143"/>
      <c r="S1532" s="143"/>
      <c r="T1532" s="143"/>
      <c r="U1532" s="143"/>
      <c r="V1532" s="143"/>
      <c r="W1532" s="143"/>
      <c r="X1532" s="143"/>
      <c r="Y1532" s="143"/>
      <c r="Z1532" s="143"/>
      <c r="AA1532" s="143"/>
      <c r="AB1532" s="143"/>
      <c r="AC1532" s="143"/>
      <c r="AD1532" s="143"/>
      <c r="AE1532" s="143"/>
      <c r="AF1532" s="143"/>
      <c r="AG1532" s="143"/>
      <c r="AH1532" s="143"/>
      <c r="AI1532" s="143"/>
      <c r="AJ1532" s="143"/>
    </row>
    <row r="1533" spans="1:36" s="144" customFormat="1" ht="21.75" customHeight="1">
      <c r="A1533" s="151"/>
      <c r="B1533" s="219"/>
      <c r="C1533" s="219"/>
      <c r="D1533" s="219"/>
      <c r="E1533" s="225"/>
      <c r="N1533" s="143"/>
      <c r="O1533" s="143"/>
      <c r="P1533" s="143"/>
      <c r="Q1533" s="143"/>
      <c r="R1533" s="143"/>
      <c r="S1533" s="143"/>
      <c r="T1533" s="143"/>
      <c r="U1533" s="143"/>
      <c r="V1533" s="143"/>
      <c r="W1533" s="143"/>
      <c r="X1533" s="143"/>
      <c r="Y1533" s="143"/>
      <c r="Z1533" s="143"/>
      <c r="AA1533" s="143"/>
      <c r="AB1533" s="143"/>
      <c r="AC1533" s="143"/>
      <c r="AD1533" s="143"/>
      <c r="AE1533" s="143"/>
      <c r="AF1533" s="143"/>
      <c r="AG1533" s="143"/>
      <c r="AH1533" s="143"/>
      <c r="AI1533" s="143"/>
      <c r="AJ1533" s="143"/>
    </row>
    <row r="1534" spans="1:36" s="144" customFormat="1" ht="21.75" customHeight="1">
      <c r="A1534" s="151"/>
      <c r="B1534" s="219"/>
      <c r="C1534" s="219"/>
      <c r="D1534" s="219"/>
      <c r="E1534" s="225"/>
      <c r="N1534" s="143"/>
      <c r="O1534" s="143"/>
      <c r="P1534" s="143"/>
      <c r="Q1534" s="143"/>
      <c r="R1534" s="143"/>
      <c r="S1534" s="143"/>
      <c r="T1534" s="143"/>
      <c r="U1534" s="143"/>
      <c r="V1534" s="143"/>
      <c r="W1534" s="143"/>
      <c r="X1534" s="143"/>
      <c r="Y1534" s="143"/>
      <c r="Z1534" s="143"/>
      <c r="AA1534" s="143"/>
      <c r="AB1534" s="143"/>
      <c r="AC1534" s="143"/>
      <c r="AD1534" s="143"/>
      <c r="AE1534" s="143"/>
      <c r="AF1534" s="143"/>
      <c r="AG1534" s="143"/>
      <c r="AH1534" s="143"/>
      <c r="AI1534" s="143"/>
      <c r="AJ1534" s="143"/>
    </row>
    <row r="1535" spans="1:36" s="144" customFormat="1" ht="21.75" customHeight="1">
      <c r="A1535" s="151"/>
      <c r="B1535" s="219"/>
      <c r="C1535" s="219"/>
      <c r="D1535" s="219"/>
      <c r="E1535" s="225"/>
      <c r="N1535" s="143"/>
      <c r="O1535" s="143"/>
      <c r="P1535" s="143"/>
      <c r="Q1535" s="143"/>
      <c r="R1535" s="143"/>
      <c r="S1535" s="143"/>
      <c r="T1535" s="143"/>
      <c r="U1535" s="143"/>
      <c r="V1535" s="143"/>
      <c r="W1535" s="143"/>
      <c r="X1535" s="143"/>
      <c r="Y1535" s="143"/>
      <c r="Z1535" s="143"/>
      <c r="AA1535" s="143"/>
      <c r="AB1535" s="143"/>
      <c r="AC1535" s="143"/>
      <c r="AD1535" s="143"/>
      <c r="AE1535" s="143"/>
      <c r="AF1535" s="143"/>
      <c r="AG1535" s="143"/>
      <c r="AH1535" s="143"/>
      <c r="AI1535" s="143"/>
      <c r="AJ1535" s="143"/>
    </row>
    <row r="1536" spans="1:36" s="144" customFormat="1" ht="21.75" customHeight="1">
      <c r="A1536" s="151"/>
      <c r="B1536" s="219"/>
      <c r="C1536" s="219"/>
      <c r="D1536" s="219"/>
      <c r="E1536" s="225"/>
      <c r="N1536" s="143"/>
      <c r="O1536" s="143"/>
      <c r="P1536" s="143"/>
      <c r="Q1536" s="143"/>
      <c r="R1536" s="143"/>
      <c r="S1536" s="143"/>
      <c r="T1536" s="143"/>
      <c r="U1536" s="143"/>
      <c r="V1536" s="143"/>
      <c r="W1536" s="143"/>
      <c r="X1536" s="143"/>
      <c r="Y1536" s="143"/>
      <c r="Z1536" s="143"/>
      <c r="AA1536" s="143"/>
      <c r="AB1536" s="143"/>
      <c r="AC1536" s="143"/>
      <c r="AD1536" s="143"/>
      <c r="AE1536" s="143"/>
      <c r="AF1536" s="143"/>
      <c r="AG1536" s="143"/>
      <c r="AH1536" s="143"/>
      <c r="AI1536" s="143"/>
      <c r="AJ1536" s="143"/>
    </row>
    <row r="1537" spans="1:36" s="144" customFormat="1" ht="21.75" customHeight="1">
      <c r="A1537" s="151"/>
      <c r="B1537" s="219"/>
      <c r="C1537" s="219"/>
      <c r="D1537" s="219"/>
      <c r="E1537" s="225"/>
      <c r="N1537" s="143"/>
      <c r="O1537" s="143"/>
      <c r="P1537" s="143"/>
      <c r="Q1537" s="143"/>
      <c r="R1537" s="143"/>
      <c r="S1537" s="143"/>
      <c r="T1537" s="143"/>
      <c r="U1537" s="143"/>
      <c r="V1537" s="143"/>
      <c r="W1537" s="143"/>
      <c r="X1537" s="143"/>
      <c r="Y1537" s="143"/>
      <c r="Z1537" s="143"/>
      <c r="AA1537" s="143"/>
      <c r="AB1537" s="143"/>
      <c r="AC1537" s="143"/>
      <c r="AD1537" s="143"/>
      <c r="AE1537" s="143"/>
      <c r="AF1537" s="143"/>
      <c r="AG1537" s="143"/>
      <c r="AH1537" s="143"/>
      <c r="AI1537" s="143"/>
      <c r="AJ1537" s="143"/>
    </row>
    <row r="1538" spans="1:36" s="144" customFormat="1" ht="21.75" customHeight="1">
      <c r="A1538" s="151"/>
      <c r="B1538" s="219"/>
      <c r="C1538" s="219"/>
      <c r="D1538" s="219"/>
      <c r="E1538" s="225"/>
      <c r="N1538" s="143"/>
      <c r="O1538" s="143"/>
      <c r="P1538" s="143"/>
      <c r="Q1538" s="143"/>
      <c r="R1538" s="143"/>
      <c r="S1538" s="143"/>
      <c r="T1538" s="143"/>
      <c r="U1538" s="143"/>
      <c r="V1538" s="143"/>
      <c r="W1538" s="143"/>
      <c r="X1538" s="143"/>
      <c r="Y1538" s="143"/>
      <c r="Z1538" s="143"/>
      <c r="AA1538" s="143"/>
      <c r="AB1538" s="143"/>
      <c r="AC1538" s="143"/>
      <c r="AD1538" s="143"/>
      <c r="AE1538" s="143"/>
      <c r="AF1538" s="143"/>
      <c r="AG1538" s="143"/>
      <c r="AH1538" s="143"/>
      <c r="AI1538" s="143"/>
      <c r="AJ1538" s="143"/>
    </row>
    <row r="1539" spans="1:36" s="144" customFormat="1" ht="21.75" customHeight="1">
      <c r="A1539" s="151"/>
      <c r="B1539" s="219"/>
      <c r="C1539" s="219"/>
      <c r="D1539" s="219"/>
      <c r="E1539" s="225"/>
      <c r="N1539" s="143"/>
      <c r="O1539" s="143"/>
      <c r="P1539" s="143"/>
      <c r="Q1539" s="143"/>
      <c r="R1539" s="143"/>
      <c r="S1539" s="143"/>
      <c r="T1539" s="143"/>
      <c r="U1539" s="143"/>
      <c r="V1539" s="143"/>
      <c r="W1539" s="143"/>
      <c r="X1539" s="143"/>
      <c r="Y1539" s="143"/>
      <c r="Z1539" s="143"/>
      <c r="AA1539" s="143"/>
      <c r="AB1539" s="143"/>
      <c r="AC1539" s="143"/>
      <c r="AD1539" s="143"/>
      <c r="AE1539" s="143"/>
      <c r="AF1539" s="143"/>
      <c r="AG1539" s="143"/>
      <c r="AH1539" s="143"/>
      <c r="AI1539" s="143"/>
      <c r="AJ1539" s="143"/>
    </row>
    <row r="1540" spans="1:36" s="144" customFormat="1" ht="21.75" customHeight="1">
      <c r="A1540" s="151"/>
      <c r="B1540" s="219"/>
      <c r="C1540" s="219"/>
      <c r="D1540" s="219"/>
      <c r="E1540" s="225"/>
      <c r="N1540" s="143"/>
      <c r="O1540" s="143"/>
      <c r="P1540" s="143"/>
      <c r="Q1540" s="143"/>
      <c r="R1540" s="143"/>
      <c r="S1540" s="143"/>
      <c r="T1540" s="143"/>
      <c r="U1540" s="143"/>
      <c r="V1540" s="143"/>
      <c r="W1540" s="143"/>
      <c r="X1540" s="143"/>
      <c r="Y1540" s="143"/>
      <c r="Z1540" s="143"/>
      <c r="AA1540" s="143"/>
      <c r="AB1540" s="143"/>
      <c r="AC1540" s="143"/>
      <c r="AD1540" s="143"/>
      <c r="AE1540" s="143"/>
      <c r="AF1540" s="143"/>
      <c r="AG1540" s="143"/>
      <c r="AH1540" s="143"/>
      <c r="AI1540" s="143"/>
      <c r="AJ1540" s="143"/>
    </row>
    <row r="1541" spans="1:36" s="144" customFormat="1" ht="21.75" customHeight="1">
      <c r="A1541" s="151"/>
      <c r="B1541" s="219"/>
      <c r="C1541" s="219"/>
      <c r="D1541" s="219"/>
      <c r="E1541" s="225"/>
      <c r="N1541" s="143"/>
      <c r="O1541" s="143"/>
      <c r="P1541" s="143"/>
      <c r="Q1541" s="143"/>
      <c r="R1541" s="143"/>
      <c r="S1541" s="143"/>
      <c r="T1541" s="143"/>
      <c r="U1541" s="143"/>
      <c r="V1541" s="143"/>
      <c r="W1541" s="143"/>
      <c r="X1541" s="143"/>
      <c r="Y1541" s="143"/>
      <c r="Z1541" s="143"/>
      <c r="AA1541" s="143"/>
      <c r="AB1541" s="143"/>
      <c r="AC1541" s="143"/>
      <c r="AD1541" s="143"/>
      <c r="AE1541" s="143"/>
      <c r="AF1541" s="143"/>
      <c r="AG1541" s="143"/>
      <c r="AH1541" s="143"/>
      <c r="AI1541" s="143"/>
      <c r="AJ1541" s="143"/>
    </row>
    <row r="1542" spans="1:36" s="144" customFormat="1" ht="21.75" customHeight="1">
      <c r="A1542" s="151"/>
      <c r="B1542" s="219"/>
      <c r="C1542" s="219"/>
      <c r="D1542" s="219"/>
      <c r="E1542" s="225"/>
      <c r="N1542" s="143"/>
      <c r="O1542" s="143"/>
      <c r="P1542" s="143"/>
      <c r="Q1542" s="143"/>
      <c r="R1542" s="143"/>
      <c r="S1542" s="143"/>
      <c r="T1542" s="143"/>
      <c r="U1542" s="143"/>
      <c r="V1542" s="143"/>
      <c r="W1542" s="143"/>
      <c r="X1542" s="143"/>
      <c r="Y1542" s="143"/>
      <c r="Z1542" s="143"/>
      <c r="AA1542" s="143"/>
      <c r="AB1542" s="143"/>
      <c r="AC1542" s="143"/>
      <c r="AD1542" s="143"/>
      <c r="AE1542" s="143"/>
      <c r="AF1542" s="143"/>
      <c r="AG1542" s="143"/>
      <c r="AH1542" s="143"/>
      <c r="AI1542" s="143"/>
      <c r="AJ1542" s="143"/>
    </row>
    <row r="1543" spans="1:36" s="144" customFormat="1" ht="21.75" customHeight="1">
      <c r="A1543" s="151"/>
      <c r="B1543" s="219"/>
      <c r="C1543" s="219"/>
      <c r="D1543" s="219"/>
      <c r="E1543" s="225"/>
      <c r="N1543" s="143"/>
      <c r="O1543" s="143"/>
      <c r="P1543" s="143"/>
      <c r="Q1543" s="143"/>
      <c r="R1543" s="143"/>
      <c r="S1543" s="143"/>
      <c r="T1543" s="143"/>
      <c r="U1543" s="143"/>
      <c r="V1543" s="143"/>
      <c r="W1543" s="143"/>
      <c r="X1543" s="143"/>
      <c r="Y1543" s="143"/>
      <c r="Z1543" s="143"/>
      <c r="AA1543" s="143"/>
      <c r="AB1543" s="143"/>
      <c r="AC1543" s="143"/>
      <c r="AD1543" s="143"/>
      <c r="AE1543" s="143"/>
      <c r="AF1543" s="143"/>
      <c r="AG1543" s="143"/>
      <c r="AH1543" s="143"/>
      <c r="AI1543" s="143"/>
      <c r="AJ1543" s="143"/>
    </row>
    <row r="1544" spans="1:36" s="144" customFormat="1" ht="21.75" customHeight="1">
      <c r="A1544" s="151"/>
      <c r="B1544" s="219"/>
      <c r="C1544" s="219"/>
      <c r="D1544" s="219"/>
      <c r="E1544" s="225"/>
      <c r="N1544" s="143"/>
      <c r="O1544" s="143"/>
      <c r="P1544" s="143"/>
      <c r="Q1544" s="143"/>
      <c r="R1544" s="143"/>
      <c r="S1544" s="143"/>
      <c r="T1544" s="143"/>
      <c r="U1544" s="143"/>
      <c r="V1544" s="143"/>
      <c r="W1544" s="143"/>
      <c r="X1544" s="143"/>
      <c r="Y1544" s="143"/>
      <c r="Z1544" s="143"/>
      <c r="AA1544" s="143"/>
      <c r="AB1544" s="143"/>
      <c r="AC1544" s="143"/>
      <c r="AD1544" s="143"/>
      <c r="AE1544" s="143"/>
      <c r="AF1544" s="143"/>
      <c r="AG1544" s="143"/>
      <c r="AH1544" s="143"/>
      <c r="AI1544" s="143"/>
      <c r="AJ1544" s="143"/>
    </row>
    <row r="1545" spans="1:36" s="144" customFormat="1" ht="21.75" customHeight="1">
      <c r="A1545" s="151"/>
      <c r="B1545" s="219"/>
      <c r="C1545" s="219"/>
      <c r="D1545" s="219"/>
      <c r="E1545" s="225"/>
      <c r="N1545" s="143"/>
      <c r="O1545" s="143"/>
      <c r="P1545" s="143"/>
      <c r="Q1545" s="143"/>
      <c r="R1545" s="143"/>
      <c r="S1545" s="143"/>
      <c r="T1545" s="143"/>
      <c r="U1545" s="143"/>
      <c r="V1545" s="143"/>
      <c r="W1545" s="143"/>
      <c r="X1545" s="143"/>
      <c r="Y1545" s="143"/>
      <c r="Z1545" s="143"/>
      <c r="AA1545" s="143"/>
      <c r="AB1545" s="143"/>
      <c r="AC1545" s="143"/>
      <c r="AD1545" s="143"/>
      <c r="AE1545" s="143"/>
      <c r="AF1545" s="143"/>
      <c r="AG1545" s="143"/>
      <c r="AH1545" s="143"/>
      <c r="AI1545" s="143"/>
      <c r="AJ1545" s="143"/>
    </row>
    <row r="1546" spans="1:36" s="144" customFormat="1" ht="21.75" customHeight="1">
      <c r="A1546" s="151"/>
      <c r="B1546" s="219"/>
      <c r="C1546" s="219"/>
      <c r="D1546" s="219"/>
      <c r="E1546" s="225"/>
      <c r="N1546" s="143"/>
      <c r="O1546" s="143"/>
      <c r="P1546" s="143"/>
      <c r="Q1546" s="143"/>
      <c r="R1546" s="143"/>
      <c r="S1546" s="143"/>
      <c r="T1546" s="143"/>
      <c r="U1546" s="143"/>
      <c r="V1546" s="143"/>
      <c r="W1546" s="143"/>
      <c r="X1546" s="143"/>
      <c r="Y1546" s="143"/>
      <c r="Z1546" s="143"/>
      <c r="AA1546" s="143"/>
      <c r="AB1546" s="143"/>
      <c r="AC1546" s="143"/>
      <c r="AD1546" s="143"/>
      <c r="AE1546" s="143"/>
      <c r="AF1546" s="143"/>
      <c r="AG1546" s="143"/>
      <c r="AH1546" s="143"/>
      <c r="AI1546" s="143"/>
      <c r="AJ1546" s="143"/>
    </row>
    <row r="1547" spans="1:36" s="144" customFormat="1" ht="21.75" customHeight="1">
      <c r="A1547" s="151"/>
      <c r="B1547" s="219"/>
      <c r="C1547" s="219"/>
      <c r="D1547" s="219"/>
      <c r="E1547" s="225"/>
      <c r="N1547" s="143"/>
      <c r="O1547" s="143"/>
      <c r="P1547" s="143"/>
      <c r="Q1547" s="143"/>
      <c r="R1547" s="143"/>
      <c r="S1547" s="143"/>
      <c r="T1547" s="143"/>
      <c r="U1547" s="143"/>
      <c r="V1547" s="143"/>
      <c r="W1547" s="143"/>
      <c r="X1547" s="143"/>
      <c r="Y1547" s="143"/>
      <c r="Z1547" s="143"/>
      <c r="AA1547" s="143"/>
      <c r="AB1547" s="143"/>
      <c r="AC1547" s="143"/>
      <c r="AD1547" s="143"/>
      <c r="AE1547" s="143"/>
      <c r="AF1547" s="143"/>
      <c r="AG1547" s="143"/>
      <c r="AH1547" s="143"/>
      <c r="AI1547" s="143"/>
      <c r="AJ1547" s="143"/>
    </row>
    <row r="1548" spans="1:36" s="144" customFormat="1" ht="21.75" customHeight="1">
      <c r="A1548" s="151"/>
      <c r="B1548" s="219"/>
      <c r="C1548" s="219"/>
      <c r="D1548" s="219"/>
      <c r="E1548" s="225"/>
      <c r="N1548" s="143"/>
      <c r="O1548" s="143"/>
      <c r="P1548" s="143"/>
      <c r="Q1548" s="143"/>
      <c r="R1548" s="143"/>
      <c r="S1548" s="143"/>
      <c r="T1548" s="143"/>
      <c r="U1548" s="143"/>
      <c r="V1548" s="143"/>
      <c r="W1548" s="143"/>
      <c r="X1548" s="143"/>
      <c r="Y1548" s="143"/>
      <c r="Z1548" s="143"/>
      <c r="AA1548" s="143"/>
      <c r="AB1548" s="143"/>
      <c r="AC1548" s="143"/>
      <c r="AD1548" s="143"/>
      <c r="AE1548" s="143"/>
      <c r="AF1548" s="143"/>
      <c r="AG1548" s="143"/>
      <c r="AH1548" s="143"/>
      <c r="AI1548" s="143"/>
      <c r="AJ1548" s="143"/>
    </row>
    <row r="1549" spans="1:36" s="144" customFormat="1" ht="21.75" customHeight="1">
      <c r="A1549" s="151"/>
      <c r="B1549" s="219"/>
      <c r="C1549" s="219"/>
      <c r="D1549" s="219"/>
      <c r="E1549" s="225"/>
      <c r="N1549" s="143"/>
      <c r="O1549" s="143"/>
      <c r="P1549" s="143"/>
      <c r="Q1549" s="143"/>
      <c r="R1549" s="143"/>
      <c r="S1549" s="143"/>
      <c r="T1549" s="143"/>
      <c r="U1549" s="143"/>
      <c r="V1549" s="143"/>
      <c r="W1549" s="143"/>
      <c r="X1549" s="143"/>
      <c r="Y1549" s="143"/>
      <c r="Z1549" s="143"/>
      <c r="AA1549" s="143"/>
      <c r="AB1549" s="143"/>
      <c r="AC1549" s="143"/>
      <c r="AD1549" s="143"/>
      <c r="AE1549" s="143"/>
      <c r="AF1549" s="143"/>
      <c r="AG1549" s="143"/>
      <c r="AH1549" s="143"/>
      <c r="AI1549" s="143"/>
      <c r="AJ1549" s="143"/>
    </row>
    <row r="1550" spans="1:36" s="144" customFormat="1" ht="21.75" customHeight="1">
      <c r="A1550" s="151"/>
      <c r="B1550" s="219"/>
      <c r="C1550" s="219"/>
      <c r="D1550" s="219"/>
      <c r="E1550" s="225"/>
      <c r="N1550" s="143"/>
      <c r="O1550" s="143"/>
      <c r="P1550" s="143"/>
      <c r="Q1550" s="143"/>
      <c r="R1550" s="143"/>
      <c r="S1550" s="143"/>
      <c r="T1550" s="143"/>
      <c r="U1550" s="143"/>
      <c r="V1550" s="143"/>
      <c r="W1550" s="143"/>
      <c r="X1550" s="143"/>
      <c r="Y1550" s="143"/>
      <c r="Z1550" s="143"/>
      <c r="AA1550" s="143"/>
      <c r="AB1550" s="143"/>
      <c r="AC1550" s="143"/>
      <c r="AD1550" s="143"/>
      <c r="AE1550" s="143"/>
      <c r="AF1550" s="143"/>
      <c r="AG1550" s="143"/>
      <c r="AH1550" s="143"/>
      <c r="AI1550" s="143"/>
      <c r="AJ1550" s="143"/>
    </row>
    <row r="1551" spans="1:36" s="144" customFormat="1" ht="21.75" customHeight="1">
      <c r="A1551" s="151"/>
      <c r="B1551" s="219"/>
      <c r="C1551" s="219"/>
      <c r="D1551" s="219"/>
      <c r="E1551" s="225"/>
      <c r="N1551" s="143"/>
      <c r="O1551" s="143"/>
      <c r="P1551" s="143"/>
      <c r="Q1551" s="143"/>
      <c r="R1551" s="143"/>
      <c r="S1551" s="143"/>
      <c r="T1551" s="143"/>
      <c r="U1551" s="143"/>
      <c r="V1551" s="143"/>
      <c r="W1551" s="143"/>
      <c r="X1551" s="143"/>
      <c r="Y1551" s="143"/>
      <c r="Z1551" s="143"/>
      <c r="AA1551" s="143"/>
      <c r="AB1551" s="143"/>
      <c r="AC1551" s="143"/>
      <c r="AD1551" s="143"/>
      <c r="AE1551" s="143"/>
      <c r="AF1551" s="143"/>
      <c r="AG1551" s="143"/>
      <c r="AH1551" s="143"/>
      <c r="AI1551" s="143"/>
      <c r="AJ1551" s="143"/>
    </row>
    <row r="1552" spans="1:36" s="144" customFormat="1" ht="21.75" customHeight="1">
      <c r="A1552" s="151"/>
      <c r="B1552" s="219"/>
      <c r="C1552" s="219"/>
      <c r="D1552" s="219"/>
      <c r="E1552" s="225"/>
      <c r="N1552" s="143"/>
      <c r="O1552" s="143"/>
      <c r="P1552" s="143"/>
      <c r="Q1552" s="143"/>
      <c r="R1552" s="143"/>
      <c r="S1552" s="143"/>
      <c r="T1552" s="143"/>
      <c r="U1552" s="143"/>
      <c r="V1552" s="143"/>
      <c r="W1552" s="143"/>
      <c r="X1552" s="143"/>
      <c r="Y1552" s="143"/>
      <c r="Z1552" s="143"/>
      <c r="AA1552" s="143"/>
      <c r="AB1552" s="143"/>
      <c r="AC1552" s="143"/>
      <c r="AD1552" s="143"/>
      <c r="AE1552" s="143"/>
      <c r="AF1552" s="143"/>
      <c r="AG1552" s="143"/>
      <c r="AH1552" s="143"/>
      <c r="AI1552" s="143"/>
      <c r="AJ1552" s="143"/>
    </row>
    <row r="1553" spans="1:36" s="144" customFormat="1" ht="21.75" customHeight="1">
      <c r="A1553" s="151"/>
      <c r="B1553" s="219"/>
      <c r="C1553" s="219"/>
      <c r="D1553" s="219"/>
      <c r="E1553" s="225"/>
      <c r="N1553" s="143"/>
      <c r="O1553" s="143"/>
      <c r="P1553" s="143"/>
      <c r="Q1553" s="143"/>
      <c r="R1553" s="143"/>
      <c r="S1553" s="143"/>
      <c r="T1553" s="143"/>
      <c r="U1553" s="143"/>
      <c r="V1553" s="143"/>
      <c r="W1553" s="143"/>
      <c r="X1553" s="143"/>
      <c r="Y1553" s="143"/>
      <c r="Z1553" s="143"/>
      <c r="AA1553" s="143"/>
      <c r="AB1553" s="143"/>
      <c r="AC1553" s="143"/>
      <c r="AD1553" s="143"/>
      <c r="AE1553" s="143"/>
      <c r="AF1553" s="143"/>
      <c r="AG1553" s="143"/>
      <c r="AH1553" s="143"/>
      <c r="AI1553" s="143"/>
      <c r="AJ1553" s="143"/>
    </row>
    <row r="1554" spans="1:36" s="144" customFormat="1" ht="21.75" customHeight="1">
      <c r="A1554" s="151"/>
      <c r="B1554" s="219"/>
      <c r="C1554" s="219"/>
      <c r="D1554" s="219"/>
      <c r="E1554" s="225"/>
      <c r="N1554" s="143"/>
      <c r="O1554" s="143"/>
      <c r="P1554" s="143"/>
      <c r="Q1554" s="143"/>
      <c r="R1554" s="143"/>
      <c r="S1554" s="143"/>
      <c r="T1554" s="143"/>
      <c r="U1554" s="143"/>
      <c r="V1554" s="143"/>
      <c r="W1554" s="143"/>
      <c r="X1554" s="143"/>
      <c r="Y1554" s="143"/>
      <c r="Z1554" s="143"/>
      <c r="AA1554" s="143"/>
      <c r="AB1554" s="143"/>
      <c r="AC1554" s="143"/>
      <c r="AD1554" s="143"/>
      <c r="AE1554" s="143"/>
      <c r="AF1554" s="143"/>
      <c r="AG1554" s="143"/>
      <c r="AH1554" s="143"/>
      <c r="AI1554" s="143"/>
      <c r="AJ1554" s="143"/>
    </row>
    <row r="1555" spans="1:36" s="144" customFormat="1" ht="21.75" customHeight="1">
      <c r="A1555" s="151"/>
      <c r="B1555" s="219"/>
      <c r="C1555" s="219"/>
      <c r="D1555" s="219"/>
      <c r="E1555" s="225"/>
      <c r="N1555" s="143"/>
      <c r="O1555" s="143"/>
      <c r="P1555" s="143"/>
      <c r="Q1555" s="143"/>
      <c r="R1555" s="143"/>
      <c r="S1555" s="143"/>
      <c r="T1555" s="143"/>
      <c r="U1555" s="143"/>
      <c r="V1555" s="143"/>
      <c r="W1555" s="143"/>
      <c r="X1555" s="143"/>
      <c r="Y1555" s="143"/>
      <c r="Z1555" s="143"/>
      <c r="AA1555" s="143"/>
      <c r="AB1555" s="143"/>
      <c r="AC1555" s="143"/>
      <c r="AD1555" s="143"/>
      <c r="AE1555" s="143"/>
      <c r="AF1555" s="143"/>
      <c r="AG1555" s="143"/>
      <c r="AH1555" s="143"/>
      <c r="AI1555" s="143"/>
      <c r="AJ1555" s="143"/>
    </row>
    <row r="1556" spans="1:36" s="144" customFormat="1" ht="21.75" customHeight="1">
      <c r="A1556" s="151"/>
      <c r="B1556" s="219"/>
      <c r="C1556" s="219"/>
      <c r="D1556" s="219"/>
      <c r="E1556" s="225"/>
      <c r="N1556" s="143"/>
      <c r="O1556" s="143"/>
      <c r="P1556" s="143"/>
      <c r="Q1556" s="143"/>
      <c r="R1556" s="143"/>
      <c r="S1556" s="143"/>
      <c r="T1556" s="143"/>
      <c r="U1556" s="143"/>
      <c r="V1556" s="143"/>
      <c r="W1556" s="143"/>
      <c r="X1556" s="143"/>
      <c r="Y1556" s="143"/>
      <c r="Z1556" s="143"/>
      <c r="AA1556" s="143"/>
      <c r="AB1556" s="143"/>
      <c r="AC1556" s="143"/>
      <c r="AD1556" s="143"/>
      <c r="AE1556" s="143"/>
      <c r="AF1556" s="143"/>
      <c r="AG1556" s="143"/>
      <c r="AH1556" s="143"/>
      <c r="AI1556" s="143"/>
      <c r="AJ1556" s="143"/>
    </row>
    <row r="1557" spans="1:36" s="144" customFormat="1" ht="21.75" customHeight="1">
      <c r="A1557" s="151"/>
      <c r="B1557" s="219"/>
      <c r="C1557" s="219"/>
      <c r="D1557" s="219"/>
      <c r="E1557" s="225"/>
      <c r="N1557" s="143"/>
      <c r="O1557" s="143"/>
      <c r="P1557" s="143"/>
      <c r="Q1557" s="143"/>
      <c r="R1557" s="143"/>
      <c r="S1557" s="143"/>
      <c r="T1557" s="143"/>
      <c r="U1557" s="143"/>
      <c r="V1557" s="143"/>
      <c r="W1557" s="143"/>
      <c r="X1557" s="143"/>
      <c r="Y1557" s="143"/>
      <c r="Z1557" s="143"/>
      <c r="AA1557" s="143"/>
      <c r="AB1557" s="143"/>
      <c r="AC1557" s="143"/>
      <c r="AD1557" s="143"/>
      <c r="AE1557" s="143"/>
      <c r="AF1557" s="143"/>
      <c r="AG1557" s="143"/>
      <c r="AH1557" s="143"/>
      <c r="AI1557" s="143"/>
      <c r="AJ1557" s="143"/>
    </row>
    <row r="1558" spans="1:36" s="144" customFormat="1" ht="21.75" customHeight="1">
      <c r="A1558" s="151"/>
      <c r="B1558" s="219"/>
      <c r="C1558" s="219"/>
      <c r="D1558" s="219"/>
      <c r="E1558" s="225"/>
      <c r="N1558" s="143"/>
      <c r="O1558" s="143"/>
      <c r="P1558" s="143"/>
      <c r="Q1558" s="143"/>
      <c r="R1558" s="143"/>
      <c r="S1558" s="143"/>
      <c r="T1558" s="143"/>
      <c r="U1558" s="143"/>
      <c r="V1558" s="143"/>
      <c r="W1558" s="143"/>
      <c r="X1558" s="143"/>
      <c r="Y1558" s="143"/>
      <c r="Z1558" s="143"/>
      <c r="AA1558" s="143"/>
      <c r="AB1558" s="143"/>
      <c r="AC1558" s="143"/>
      <c r="AD1558" s="143"/>
      <c r="AE1558" s="143"/>
      <c r="AF1558" s="143"/>
      <c r="AG1558" s="143"/>
      <c r="AH1558" s="143"/>
      <c r="AI1558" s="143"/>
      <c r="AJ1558" s="143"/>
    </row>
    <row r="1559" spans="1:36" s="144" customFormat="1" ht="21.75" customHeight="1">
      <c r="A1559" s="151"/>
      <c r="B1559" s="219"/>
      <c r="C1559" s="219"/>
      <c r="D1559" s="219"/>
      <c r="E1559" s="225"/>
      <c r="N1559" s="143"/>
      <c r="O1559" s="143"/>
      <c r="P1559" s="143"/>
      <c r="Q1559" s="143"/>
      <c r="R1559" s="143"/>
      <c r="S1559" s="143"/>
      <c r="T1559" s="143"/>
      <c r="U1559" s="143"/>
      <c r="V1559" s="143"/>
      <c r="W1559" s="143"/>
      <c r="X1559" s="143"/>
      <c r="Y1559" s="143"/>
      <c r="Z1559" s="143"/>
      <c r="AA1559" s="143"/>
      <c r="AB1559" s="143"/>
      <c r="AC1559" s="143"/>
      <c r="AD1559" s="143"/>
      <c r="AE1559" s="143"/>
      <c r="AF1559" s="143"/>
      <c r="AG1559" s="143"/>
      <c r="AH1559" s="143"/>
      <c r="AI1559" s="143"/>
      <c r="AJ1559" s="143"/>
    </row>
    <row r="1560" spans="1:36" s="144" customFormat="1" ht="21.75" customHeight="1">
      <c r="A1560" s="151"/>
      <c r="B1560" s="219"/>
      <c r="C1560" s="219"/>
      <c r="D1560" s="219"/>
      <c r="E1560" s="225"/>
      <c r="N1560" s="143"/>
      <c r="O1560" s="143"/>
      <c r="P1560" s="143"/>
      <c r="Q1560" s="143"/>
      <c r="R1560" s="143"/>
      <c r="S1560" s="143"/>
      <c r="T1560" s="143"/>
      <c r="U1560" s="143"/>
      <c r="V1560" s="143"/>
      <c r="W1560" s="143"/>
      <c r="X1560" s="143"/>
      <c r="Y1560" s="143"/>
      <c r="Z1560" s="143"/>
      <c r="AA1560" s="143"/>
      <c r="AB1560" s="143"/>
      <c r="AC1560" s="143"/>
      <c r="AD1560" s="143"/>
      <c r="AE1560" s="143"/>
      <c r="AF1560" s="143"/>
      <c r="AG1560" s="143"/>
      <c r="AH1560" s="143"/>
      <c r="AI1560" s="143"/>
      <c r="AJ1560" s="143"/>
    </row>
    <row r="1561" spans="1:36" s="144" customFormat="1" ht="21.75" customHeight="1">
      <c r="A1561" s="151"/>
      <c r="B1561" s="219"/>
      <c r="C1561" s="219"/>
      <c r="D1561" s="219"/>
      <c r="E1561" s="225"/>
      <c r="N1561" s="143"/>
      <c r="O1561" s="143"/>
      <c r="P1561" s="143"/>
      <c r="Q1561" s="143"/>
      <c r="R1561" s="143"/>
      <c r="S1561" s="143"/>
      <c r="T1561" s="143"/>
      <c r="U1561" s="143"/>
      <c r="V1561" s="143"/>
      <c r="W1561" s="143"/>
      <c r="X1561" s="143"/>
      <c r="Y1561" s="143"/>
      <c r="Z1561" s="143"/>
      <c r="AA1561" s="143"/>
      <c r="AB1561" s="143"/>
      <c r="AC1561" s="143"/>
      <c r="AD1561" s="143"/>
      <c r="AE1561" s="143"/>
      <c r="AF1561" s="143"/>
      <c r="AG1561" s="143"/>
      <c r="AH1561" s="143"/>
      <c r="AI1561" s="143"/>
      <c r="AJ1561" s="143"/>
    </row>
    <row r="1562" spans="1:36" s="144" customFormat="1" ht="21.75" customHeight="1">
      <c r="A1562" s="151"/>
      <c r="B1562" s="219"/>
      <c r="C1562" s="219"/>
      <c r="D1562" s="219"/>
      <c r="E1562" s="225"/>
      <c r="N1562" s="143"/>
      <c r="O1562" s="143"/>
      <c r="P1562" s="143"/>
      <c r="Q1562" s="143"/>
      <c r="R1562" s="143"/>
      <c r="S1562" s="143"/>
      <c r="T1562" s="143"/>
      <c r="U1562" s="143"/>
      <c r="V1562" s="143"/>
      <c r="W1562" s="143"/>
      <c r="X1562" s="143"/>
      <c r="Y1562" s="143"/>
      <c r="Z1562" s="143"/>
      <c r="AA1562" s="143"/>
      <c r="AB1562" s="143"/>
      <c r="AC1562" s="143"/>
      <c r="AD1562" s="143"/>
      <c r="AE1562" s="143"/>
      <c r="AF1562" s="143"/>
      <c r="AG1562" s="143"/>
      <c r="AH1562" s="143"/>
      <c r="AI1562" s="143"/>
      <c r="AJ1562" s="143"/>
    </row>
    <row r="1563" spans="1:36" s="144" customFormat="1" ht="21.75" customHeight="1">
      <c r="A1563" s="151"/>
      <c r="B1563" s="219"/>
      <c r="C1563" s="219"/>
      <c r="D1563" s="219"/>
      <c r="E1563" s="225"/>
      <c r="N1563" s="143"/>
      <c r="O1563" s="143"/>
      <c r="P1563" s="143"/>
      <c r="Q1563" s="143"/>
      <c r="R1563" s="143"/>
      <c r="S1563" s="143"/>
      <c r="T1563" s="143"/>
      <c r="U1563" s="143"/>
      <c r="V1563" s="143"/>
      <c r="W1563" s="143"/>
      <c r="X1563" s="143"/>
      <c r="Y1563" s="143"/>
      <c r="Z1563" s="143"/>
      <c r="AA1563" s="143"/>
      <c r="AB1563" s="143"/>
      <c r="AC1563" s="143"/>
      <c r="AD1563" s="143"/>
      <c r="AE1563" s="143"/>
      <c r="AF1563" s="143"/>
      <c r="AG1563" s="143"/>
      <c r="AH1563" s="143"/>
      <c r="AI1563" s="143"/>
      <c r="AJ1563" s="143"/>
    </row>
    <row r="1564" spans="1:36" s="144" customFormat="1" ht="21.75" customHeight="1">
      <c r="A1564" s="151"/>
      <c r="B1564" s="219"/>
      <c r="C1564" s="219"/>
      <c r="D1564" s="219"/>
      <c r="E1564" s="225"/>
      <c r="N1564" s="143"/>
      <c r="O1564" s="143"/>
      <c r="P1564" s="143"/>
      <c r="Q1564" s="143"/>
      <c r="R1564" s="143"/>
      <c r="S1564" s="143"/>
      <c r="T1564" s="143"/>
      <c r="U1564" s="143"/>
      <c r="V1564" s="143"/>
      <c r="W1564" s="143"/>
      <c r="X1564" s="143"/>
      <c r="Y1564" s="143"/>
      <c r="Z1564" s="143"/>
      <c r="AA1564" s="143"/>
      <c r="AB1564" s="143"/>
      <c r="AC1564" s="143"/>
      <c r="AD1564" s="143"/>
      <c r="AE1564" s="143"/>
      <c r="AF1564" s="143"/>
      <c r="AG1564" s="143"/>
      <c r="AH1564" s="143"/>
      <c r="AI1564" s="143"/>
      <c r="AJ1564" s="143"/>
    </row>
    <row r="1565" spans="1:36" s="144" customFormat="1" ht="21.75" customHeight="1">
      <c r="A1565" s="151"/>
      <c r="B1565" s="219"/>
      <c r="C1565" s="219"/>
      <c r="D1565" s="219"/>
      <c r="E1565" s="225"/>
      <c r="N1565" s="143"/>
      <c r="O1565" s="143"/>
      <c r="P1565" s="143"/>
      <c r="Q1565" s="143"/>
      <c r="R1565" s="143"/>
      <c r="S1565" s="143"/>
      <c r="T1565" s="143"/>
      <c r="U1565" s="143"/>
      <c r="V1565" s="143"/>
      <c r="W1565" s="143"/>
      <c r="X1565" s="143"/>
      <c r="Y1565" s="143"/>
      <c r="Z1565" s="143"/>
      <c r="AA1565" s="143"/>
      <c r="AB1565" s="143"/>
      <c r="AC1565" s="143"/>
      <c r="AD1565" s="143"/>
      <c r="AE1565" s="143"/>
      <c r="AF1565" s="143"/>
      <c r="AG1565" s="143"/>
      <c r="AH1565" s="143"/>
      <c r="AI1565" s="143"/>
      <c r="AJ1565" s="143"/>
    </row>
    <row r="1566" spans="1:36" s="144" customFormat="1" ht="21.75" customHeight="1">
      <c r="A1566" s="151"/>
      <c r="B1566" s="219"/>
      <c r="C1566" s="219"/>
      <c r="D1566" s="219"/>
      <c r="E1566" s="225"/>
      <c r="N1566" s="143"/>
      <c r="O1566" s="143"/>
      <c r="P1566" s="143"/>
      <c r="Q1566" s="143"/>
      <c r="R1566" s="143"/>
      <c r="S1566" s="143"/>
      <c r="T1566" s="143"/>
      <c r="U1566" s="143"/>
      <c r="V1566" s="143"/>
      <c r="W1566" s="143"/>
      <c r="X1566" s="143"/>
      <c r="Y1566" s="143"/>
      <c r="Z1566" s="143"/>
      <c r="AA1566" s="143"/>
      <c r="AB1566" s="143"/>
      <c r="AC1566" s="143"/>
      <c r="AD1566" s="143"/>
      <c r="AE1566" s="143"/>
      <c r="AF1566" s="143"/>
      <c r="AG1566" s="143"/>
      <c r="AH1566" s="143"/>
      <c r="AI1566" s="143"/>
      <c r="AJ1566" s="143"/>
    </row>
    <row r="1567" spans="1:36" s="144" customFormat="1" ht="21.75" customHeight="1">
      <c r="A1567" s="151"/>
      <c r="B1567" s="219"/>
      <c r="C1567" s="219"/>
      <c r="D1567" s="219"/>
      <c r="E1567" s="225"/>
      <c r="N1567" s="143"/>
      <c r="O1567" s="143"/>
      <c r="P1567" s="143"/>
      <c r="Q1567" s="143"/>
      <c r="R1567" s="143"/>
      <c r="S1567" s="143"/>
      <c r="T1567" s="143"/>
      <c r="U1567" s="143"/>
      <c r="V1567" s="143"/>
      <c r="W1567" s="143"/>
      <c r="X1567" s="143"/>
      <c r="Y1567" s="143"/>
      <c r="Z1567" s="143"/>
      <c r="AA1567" s="143"/>
      <c r="AB1567" s="143"/>
      <c r="AC1567" s="143"/>
      <c r="AD1567" s="143"/>
      <c r="AE1567" s="143"/>
      <c r="AF1567" s="143"/>
      <c r="AG1567" s="143"/>
      <c r="AH1567" s="143"/>
      <c r="AI1567" s="143"/>
      <c r="AJ1567" s="143"/>
    </row>
    <row r="1568" spans="1:36" s="144" customFormat="1" ht="21.75" customHeight="1">
      <c r="A1568" s="151"/>
      <c r="B1568" s="219"/>
      <c r="C1568" s="219"/>
      <c r="D1568" s="219"/>
      <c r="E1568" s="225"/>
      <c r="N1568" s="143"/>
      <c r="O1568" s="143"/>
      <c r="P1568" s="143"/>
      <c r="Q1568" s="143"/>
      <c r="R1568" s="143"/>
      <c r="S1568" s="143"/>
      <c r="T1568" s="143"/>
      <c r="U1568" s="143"/>
      <c r="V1568" s="143"/>
      <c r="W1568" s="143"/>
      <c r="X1568" s="143"/>
      <c r="Y1568" s="143"/>
      <c r="Z1568" s="143"/>
      <c r="AA1568" s="143"/>
      <c r="AB1568" s="143"/>
      <c r="AC1568" s="143"/>
      <c r="AD1568" s="143"/>
      <c r="AE1568" s="143"/>
      <c r="AF1568" s="143"/>
      <c r="AG1568" s="143"/>
      <c r="AH1568" s="143"/>
      <c r="AI1568" s="143"/>
      <c r="AJ1568" s="143"/>
    </row>
    <row r="1569" spans="1:36" s="144" customFormat="1" ht="21.75" customHeight="1">
      <c r="A1569" s="151"/>
      <c r="B1569" s="219"/>
      <c r="C1569" s="219"/>
      <c r="D1569" s="219"/>
      <c r="E1569" s="225"/>
      <c r="N1569" s="143"/>
      <c r="O1569" s="143"/>
      <c r="P1569" s="143"/>
      <c r="Q1569" s="143"/>
      <c r="R1569" s="143"/>
      <c r="S1569" s="143"/>
      <c r="T1569" s="143"/>
      <c r="U1569" s="143"/>
      <c r="V1569" s="143"/>
      <c r="W1569" s="143"/>
      <c r="X1569" s="143"/>
      <c r="Y1569" s="143"/>
      <c r="Z1569" s="143"/>
      <c r="AA1569" s="143"/>
      <c r="AB1569" s="143"/>
      <c r="AC1569" s="143"/>
      <c r="AD1569" s="143"/>
      <c r="AE1569" s="143"/>
      <c r="AF1569" s="143"/>
      <c r="AG1569" s="143"/>
      <c r="AH1569" s="143"/>
      <c r="AI1569" s="143"/>
      <c r="AJ1569" s="143"/>
    </row>
    <row r="1570" spans="1:36" s="144" customFormat="1" ht="21.75" customHeight="1">
      <c r="A1570" s="151"/>
      <c r="B1570" s="219"/>
      <c r="C1570" s="219"/>
      <c r="D1570" s="219"/>
      <c r="E1570" s="225"/>
      <c r="N1570" s="143"/>
      <c r="O1570" s="143"/>
      <c r="P1570" s="143"/>
      <c r="Q1570" s="143"/>
      <c r="R1570" s="143"/>
      <c r="S1570" s="143"/>
      <c r="T1570" s="143"/>
      <c r="U1570" s="143"/>
      <c r="V1570" s="143"/>
      <c r="W1570" s="143"/>
      <c r="X1570" s="143"/>
      <c r="Y1570" s="143"/>
      <c r="Z1570" s="143"/>
      <c r="AA1570" s="143"/>
      <c r="AB1570" s="143"/>
      <c r="AC1570" s="143"/>
      <c r="AD1570" s="143"/>
      <c r="AE1570" s="143"/>
      <c r="AF1570" s="143"/>
      <c r="AG1570" s="143"/>
      <c r="AH1570" s="143"/>
      <c r="AI1570" s="143"/>
      <c r="AJ1570" s="143"/>
    </row>
    <row r="1571" spans="1:36" s="144" customFormat="1" ht="21.75" customHeight="1">
      <c r="A1571" s="151"/>
      <c r="B1571" s="219"/>
      <c r="C1571" s="219"/>
      <c r="D1571" s="219"/>
      <c r="E1571" s="225"/>
      <c r="N1571" s="143"/>
      <c r="O1571" s="143"/>
      <c r="P1571" s="143"/>
      <c r="Q1571" s="143"/>
      <c r="R1571" s="143"/>
      <c r="S1571" s="143"/>
      <c r="T1571" s="143"/>
      <c r="U1571" s="143"/>
      <c r="V1571" s="143"/>
      <c r="W1571" s="143"/>
      <c r="X1571" s="143"/>
      <c r="Y1571" s="143"/>
      <c r="Z1571" s="143"/>
      <c r="AA1571" s="143"/>
      <c r="AB1571" s="143"/>
      <c r="AC1571" s="143"/>
      <c r="AD1571" s="143"/>
      <c r="AE1571" s="143"/>
      <c r="AF1571" s="143"/>
      <c r="AG1571" s="143"/>
      <c r="AH1571" s="143"/>
      <c r="AI1571" s="143"/>
      <c r="AJ1571" s="143"/>
    </row>
    <row r="1572" spans="1:36" s="144" customFormat="1" ht="21.75" customHeight="1">
      <c r="A1572" s="151"/>
      <c r="B1572" s="219"/>
      <c r="C1572" s="219"/>
      <c r="D1572" s="219"/>
      <c r="E1572" s="225"/>
      <c r="N1572" s="143"/>
      <c r="O1572" s="143"/>
      <c r="P1572" s="143"/>
      <c r="Q1572" s="143"/>
      <c r="R1572" s="143"/>
      <c r="S1572" s="143"/>
      <c r="T1572" s="143"/>
      <c r="U1572" s="143"/>
      <c r="V1572" s="143"/>
      <c r="W1572" s="143"/>
      <c r="X1572" s="143"/>
      <c r="Y1572" s="143"/>
      <c r="Z1572" s="143"/>
      <c r="AA1572" s="143"/>
      <c r="AB1572" s="143"/>
      <c r="AC1572" s="143"/>
      <c r="AD1572" s="143"/>
      <c r="AE1572" s="143"/>
      <c r="AF1572" s="143"/>
      <c r="AG1572" s="143"/>
      <c r="AH1572" s="143"/>
      <c r="AI1572" s="143"/>
      <c r="AJ1572" s="143"/>
    </row>
    <row r="1573" spans="1:36" s="144" customFormat="1" ht="21.75" customHeight="1">
      <c r="A1573" s="151"/>
      <c r="B1573" s="219"/>
      <c r="C1573" s="219"/>
      <c r="D1573" s="219"/>
      <c r="E1573" s="225"/>
      <c r="N1573" s="143"/>
      <c r="O1573" s="143"/>
      <c r="P1573" s="143"/>
      <c r="Q1573" s="143"/>
      <c r="R1573" s="143"/>
      <c r="S1573" s="143"/>
      <c r="T1573" s="143"/>
      <c r="U1573" s="143"/>
      <c r="V1573" s="143"/>
      <c r="W1573" s="143"/>
      <c r="X1573" s="143"/>
      <c r="Y1573" s="143"/>
      <c r="Z1573" s="143"/>
      <c r="AA1573" s="143"/>
      <c r="AB1573" s="143"/>
      <c r="AC1573" s="143"/>
      <c r="AD1573" s="143"/>
      <c r="AE1573" s="143"/>
      <c r="AF1573" s="143"/>
      <c r="AG1573" s="143"/>
      <c r="AH1573" s="143"/>
      <c r="AI1573" s="143"/>
      <c r="AJ1573" s="143"/>
    </row>
    <row r="1574" spans="1:36" s="144" customFormat="1" ht="21.75" customHeight="1">
      <c r="A1574" s="151"/>
      <c r="B1574" s="219"/>
      <c r="C1574" s="219"/>
      <c r="D1574" s="219"/>
      <c r="E1574" s="225"/>
      <c r="N1574" s="143"/>
      <c r="O1574" s="143"/>
      <c r="P1574" s="143"/>
      <c r="Q1574" s="143"/>
      <c r="R1574" s="143"/>
      <c r="S1574" s="143"/>
      <c r="T1574" s="143"/>
      <c r="U1574" s="143"/>
      <c r="V1574" s="143"/>
      <c r="W1574" s="143"/>
      <c r="X1574" s="143"/>
      <c r="Y1574" s="143"/>
      <c r="Z1574" s="143"/>
      <c r="AA1574" s="143"/>
      <c r="AB1574" s="143"/>
      <c r="AC1574" s="143"/>
      <c r="AD1574" s="143"/>
      <c r="AE1574" s="143"/>
      <c r="AF1574" s="143"/>
      <c r="AG1574" s="143"/>
      <c r="AH1574" s="143"/>
      <c r="AI1574" s="143"/>
      <c r="AJ1574" s="143"/>
    </row>
    <row r="1575" spans="1:36" s="144" customFormat="1" ht="21.75" customHeight="1">
      <c r="A1575" s="151"/>
      <c r="B1575" s="219"/>
      <c r="C1575" s="219"/>
      <c r="D1575" s="219"/>
      <c r="E1575" s="225"/>
      <c r="N1575" s="143"/>
      <c r="O1575" s="143"/>
      <c r="P1575" s="143"/>
      <c r="Q1575" s="143"/>
      <c r="R1575" s="143"/>
      <c r="S1575" s="143"/>
      <c r="T1575" s="143"/>
      <c r="U1575" s="143"/>
      <c r="V1575" s="143"/>
      <c r="W1575" s="143"/>
      <c r="X1575" s="143"/>
      <c r="Y1575" s="143"/>
      <c r="Z1575" s="143"/>
      <c r="AA1575" s="143"/>
      <c r="AB1575" s="143"/>
      <c r="AC1575" s="143"/>
      <c r="AD1575" s="143"/>
      <c r="AE1575" s="143"/>
      <c r="AF1575" s="143"/>
      <c r="AG1575" s="143"/>
      <c r="AH1575" s="143"/>
      <c r="AI1575" s="143"/>
      <c r="AJ1575" s="143"/>
    </row>
    <row r="1576" spans="1:36" s="144" customFormat="1" ht="21.75" customHeight="1">
      <c r="A1576" s="151"/>
      <c r="B1576" s="219"/>
      <c r="C1576" s="219"/>
      <c r="D1576" s="219"/>
      <c r="E1576" s="225"/>
      <c r="N1576" s="143"/>
      <c r="O1576" s="143"/>
      <c r="P1576" s="143"/>
      <c r="Q1576" s="143"/>
      <c r="R1576" s="143"/>
      <c r="S1576" s="143"/>
      <c r="T1576" s="143"/>
      <c r="U1576" s="143"/>
      <c r="V1576" s="143"/>
      <c r="W1576" s="143"/>
      <c r="X1576" s="143"/>
      <c r="Y1576" s="143"/>
      <c r="Z1576" s="143"/>
      <c r="AA1576" s="143"/>
      <c r="AB1576" s="143"/>
      <c r="AC1576" s="143"/>
      <c r="AD1576" s="143"/>
      <c r="AE1576" s="143"/>
      <c r="AF1576" s="143"/>
      <c r="AG1576" s="143"/>
      <c r="AH1576" s="143"/>
      <c r="AI1576" s="143"/>
      <c r="AJ1576" s="143"/>
    </row>
    <row r="1577" spans="1:36" s="144" customFormat="1" ht="21.75" customHeight="1">
      <c r="A1577" s="151"/>
      <c r="B1577" s="219"/>
      <c r="C1577" s="219"/>
      <c r="D1577" s="219"/>
      <c r="E1577" s="225"/>
      <c r="N1577" s="143"/>
      <c r="O1577" s="143"/>
      <c r="P1577" s="143"/>
      <c r="Q1577" s="143"/>
      <c r="R1577" s="143"/>
      <c r="S1577" s="143"/>
      <c r="T1577" s="143"/>
      <c r="U1577" s="143"/>
      <c r="V1577" s="143"/>
      <c r="W1577" s="143"/>
      <c r="X1577" s="143"/>
      <c r="Y1577" s="143"/>
      <c r="Z1577" s="143"/>
      <c r="AA1577" s="143"/>
      <c r="AB1577" s="143"/>
      <c r="AC1577" s="143"/>
      <c r="AD1577" s="143"/>
      <c r="AE1577" s="143"/>
      <c r="AF1577" s="143"/>
      <c r="AG1577" s="143"/>
      <c r="AH1577" s="143"/>
      <c r="AI1577" s="143"/>
      <c r="AJ1577" s="143"/>
    </row>
    <row r="1578" spans="1:36" s="144" customFormat="1" ht="21.75" customHeight="1">
      <c r="A1578" s="151"/>
      <c r="B1578" s="219"/>
      <c r="C1578" s="219"/>
      <c r="D1578" s="219"/>
      <c r="E1578" s="225"/>
      <c r="N1578" s="143"/>
      <c r="O1578" s="143"/>
      <c r="P1578" s="143"/>
      <c r="Q1578" s="143"/>
      <c r="R1578" s="143"/>
      <c r="S1578" s="143"/>
      <c r="T1578" s="143"/>
      <c r="U1578" s="143"/>
      <c r="V1578" s="143"/>
      <c r="W1578" s="143"/>
      <c r="X1578" s="143"/>
      <c r="Y1578" s="143"/>
      <c r="Z1578" s="143"/>
      <c r="AA1578" s="143"/>
      <c r="AB1578" s="143"/>
      <c r="AC1578" s="143"/>
      <c r="AD1578" s="143"/>
      <c r="AE1578" s="143"/>
      <c r="AF1578" s="143"/>
      <c r="AG1578" s="143"/>
      <c r="AH1578" s="143"/>
      <c r="AI1578" s="143"/>
      <c r="AJ1578" s="143"/>
    </row>
    <row r="1579" spans="1:36" s="144" customFormat="1" ht="21.75" customHeight="1">
      <c r="A1579" s="151"/>
      <c r="B1579" s="219"/>
      <c r="C1579" s="219"/>
      <c r="D1579" s="219"/>
      <c r="E1579" s="225"/>
      <c r="N1579" s="143"/>
      <c r="O1579" s="143"/>
      <c r="P1579" s="143"/>
      <c r="Q1579" s="143"/>
      <c r="R1579" s="143"/>
      <c r="S1579" s="143"/>
      <c r="T1579" s="143"/>
      <c r="U1579" s="143"/>
      <c r="V1579" s="143"/>
      <c r="W1579" s="143"/>
      <c r="X1579" s="143"/>
      <c r="Y1579" s="143"/>
      <c r="Z1579" s="143"/>
      <c r="AA1579" s="143"/>
      <c r="AB1579" s="143"/>
      <c r="AC1579" s="143"/>
      <c r="AD1579" s="143"/>
      <c r="AE1579" s="143"/>
      <c r="AF1579" s="143"/>
      <c r="AG1579" s="143"/>
      <c r="AH1579" s="143"/>
      <c r="AI1579" s="143"/>
      <c r="AJ1579" s="143"/>
    </row>
    <row r="1580" spans="1:36" s="144" customFormat="1" ht="21.75" customHeight="1">
      <c r="A1580" s="151"/>
      <c r="B1580" s="219"/>
      <c r="C1580" s="219"/>
      <c r="D1580" s="219"/>
      <c r="E1580" s="225"/>
      <c r="N1580" s="143"/>
      <c r="O1580" s="143"/>
      <c r="P1580" s="143"/>
      <c r="Q1580" s="143"/>
      <c r="R1580" s="143"/>
      <c r="S1580" s="143"/>
      <c r="T1580" s="143"/>
      <c r="U1580" s="143"/>
      <c r="V1580" s="143"/>
      <c r="W1580" s="143"/>
      <c r="X1580" s="143"/>
      <c r="Y1580" s="143"/>
      <c r="Z1580" s="143"/>
      <c r="AA1580" s="143"/>
      <c r="AB1580" s="143"/>
      <c r="AC1580" s="143"/>
      <c r="AD1580" s="143"/>
      <c r="AE1580" s="143"/>
      <c r="AF1580" s="143"/>
      <c r="AG1580" s="143"/>
      <c r="AH1580" s="143"/>
      <c r="AI1580" s="143"/>
      <c r="AJ1580" s="143"/>
    </row>
    <row r="1581" spans="1:36" s="144" customFormat="1" ht="21.75" customHeight="1">
      <c r="A1581" s="151"/>
      <c r="B1581" s="219"/>
      <c r="C1581" s="219"/>
      <c r="D1581" s="219"/>
      <c r="E1581" s="225"/>
      <c r="N1581" s="143"/>
      <c r="O1581" s="143"/>
      <c r="P1581" s="143"/>
      <c r="Q1581" s="143"/>
      <c r="R1581" s="143"/>
      <c r="S1581" s="143"/>
      <c r="T1581" s="143"/>
      <c r="U1581" s="143"/>
      <c r="V1581" s="143"/>
      <c r="W1581" s="143"/>
      <c r="X1581" s="143"/>
      <c r="Y1581" s="143"/>
      <c r="Z1581" s="143"/>
      <c r="AA1581" s="143"/>
      <c r="AB1581" s="143"/>
      <c r="AC1581" s="143"/>
      <c r="AD1581" s="143"/>
      <c r="AE1581" s="143"/>
      <c r="AF1581" s="143"/>
      <c r="AG1581" s="143"/>
      <c r="AH1581" s="143"/>
      <c r="AI1581" s="143"/>
      <c r="AJ1581" s="143"/>
    </row>
    <row r="1582" spans="1:36" s="144" customFormat="1" ht="21.75" customHeight="1">
      <c r="A1582" s="151"/>
      <c r="B1582" s="219"/>
      <c r="C1582" s="219"/>
      <c r="D1582" s="219"/>
      <c r="E1582" s="225"/>
      <c r="N1582" s="143"/>
      <c r="O1582" s="143"/>
      <c r="P1582" s="143"/>
      <c r="Q1582" s="143"/>
      <c r="R1582" s="143"/>
      <c r="S1582" s="143"/>
      <c r="T1582" s="143"/>
      <c r="U1582" s="143"/>
      <c r="V1582" s="143"/>
      <c r="W1582" s="143"/>
      <c r="X1582" s="143"/>
      <c r="Y1582" s="143"/>
      <c r="Z1582" s="143"/>
      <c r="AA1582" s="143"/>
      <c r="AB1582" s="143"/>
      <c r="AC1582" s="143"/>
      <c r="AD1582" s="143"/>
      <c r="AE1582" s="143"/>
      <c r="AF1582" s="143"/>
      <c r="AG1582" s="143"/>
      <c r="AH1582" s="143"/>
      <c r="AI1582" s="143"/>
      <c r="AJ1582" s="143"/>
    </row>
    <row r="1583" spans="1:36" s="144" customFormat="1" ht="21.75" customHeight="1">
      <c r="A1583" s="151"/>
      <c r="B1583" s="219"/>
      <c r="C1583" s="219"/>
      <c r="D1583" s="219"/>
      <c r="E1583" s="225"/>
      <c r="N1583" s="143"/>
      <c r="O1583" s="143"/>
      <c r="P1583" s="143"/>
      <c r="Q1583" s="143"/>
      <c r="R1583" s="143"/>
      <c r="S1583" s="143"/>
      <c r="T1583" s="143"/>
      <c r="U1583" s="143"/>
      <c r="V1583" s="143"/>
      <c r="W1583" s="143"/>
      <c r="X1583" s="143"/>
      <c r="Y1583" s="143"/>
      <c r="Z1583" s="143"/>
      <c r="AA1583" s="143"/>
      <c r="AB1583" s="143"/>
      <c r="AC1583" s="143"/>
      <c r="AD1583" s="143"/>
      <c r="AE1583" s="143"/>
      <c r="AF1583" s="143"/>
      <c r="AG1583" s="143"/>
      <c r="AH1583" s="143"/>
      <c r="AI1583" s="143"/>
      <c r="AJ1583" s="143"/>
    </row>
    <row r="1584" spans="1:36" s="144" customFormat="1" ht="21.75" customHeight="1">
      <c r="A1584" s="151"/>
      <c r="B1584" s="219"/>
      <c r="C1584" s="219"/>
      <c r="D1584" s="219"/>
      <c r="E1584" s="225"/>
      <c r="N1584" s="143"/>
      <c r="O1584" s="143"/>
      <c r="P1584" s="143"/>
      <c r="Q1584" s="143"/>
      <c r="R1584" s="143"/>
      <c r="S1584" s="143"/>
      <c r="T1584" s="143"/>
      <c r="U1584" s="143"/>
      <c r="V1584" s="143"/>
      <c r="W1584" s="143"/>
      <c r="X1584" s="143"/>
      <c r="Y1584" s="143"/>
      <c r="Z1584" s="143"/>
      <c r="AA1584" s="143"/>
      <c r="AB1584" s="143"/>
      <c r="AC1584" s="143"/>
      <c r="AD1584" s="143"/>
      <c r="AE1584" s="143"/>
      <c r="AF1584" s="143"/>
      <c r="AG1584" s="143"/>
      <c r="AH1584" s="143"/>
      <c r="AI1584" s="143"/>
      <c r="AJ1584" s="143"/>
    </row>
    <row r="1585" spans="1:36" s="144" customFormat="1" ht="21.75" customHeight="1">
      <c r="A1585" s="151"/>
      <c r="B1585" s="219"/>
      <c r="C1585" s="219"/>
      <c r="D1585" s="219"/>
      <c r="E1585" s="225"/>
      <c r="N1585" s="143"/>
      <c r="O1585" s="143"/>
      <c r="P1585" s="143"/>
      <c r="Q1585" s="143"/>
      <c r="R1585" s="143"/>
      <c r="S1585" s="143"/>
      <c r="T1585" s="143"/>
      <c r="U1585" s="143"/>
      <c r="V1585" s="143"/>
      <c r="W1585" s="143"/>
      <c r="X1585" s="143"/>
      <c r="Y1585" s="143"/>
      <c r="Z1585" s="143"/>
      <c r="AA1585" s="143"/>
      <c r="AB1585" s="143"/>
      <c r="AC1585" s="143"/>
      <c r="AD1585" s="143"/>
      <c r="AE1585" s="143"/>
      <c r="AF1585" s="143"/>
      <c r="AG1585" s="143"/>
      <c r="AH1585" s="143"/>
      <c r="AI1585" s="143"/>
      <c r="AJ1585" s="143"/>
    </row>
    <row r="1586" spans="1:36" s="144" customFormat="1" ht="21.75" customHeight="1">
      <c r="A1586" s="151"/>
      <c r="B1586" s="219"/>
      <c r="C1586" s="219"/>
      <c r="D1586" s="219"/>
      <c r="E1586" s="225"/>
      <c r="N1586" s="143"/>
      <c r="O1586" s="143"/>
      <c r="P1586" s="143"/>
      <c r="Q1586" s="143"/>
      <c r="R1586" s="143"/>
      <c r="S1586" s="143"/>
      <c r="T1586" s="143"/>
      <c r="U1586" s="143"/>
      <c r="V1586" s="143"/>
      <c r="W1586" s="143"/>
      <c r="X1586" s="143"/>
      <c r="Y1586" s="143"/>
      <c r="Z1586" s="143"/>
      <c r="AA1586" s="143"/>
      <c r="AB1586" s="143"/>
      <c r="AC1586" s="143"/>
      <c r="AD1586" s="143"/>
      <c r="AE1586" s="143"/>
      <c r="AF1586" s="143"/>
      <c r="AG1586" s="143"/>
      <c r="AH1586" s="143"/>
      <c r="AI1586" s="143"/>
      <c r="AJ1586" s="143"/>
    </row>
    <row r="1587" spans="1:36" s="144" customFormat="1" ht="21.75" customHeight="1">
      <c r="A1587" s="151"/>
      <c r="B1587" s="219"/>
      <c r="C1587" s="219"/>
      <c r="D1587" s="219"/>
      <c r="E1587" s="225"/>
      <c r="N1587" s="143"/>
      <c r="O1587" s="143"/>
      <c r="P1587" s="143"/>
      <c r="Q1587" s="143"/>
      <c r="R1587" s="143"/>
      <c r="S1587" s="143"/>
      <c r="T1587" s="143"/>
      <c r="U1587" s="143"/>
      <c r="V1587" s="143"/>
      <c r="W1587" s="143"/>
      <c r="X1587" s="143"/>
      <c r="Y1587" s="143"/>
      <c r="Z1587" s="143"/>
      <c r="AA1587" s="143"/>
      <c r="AB1587" s="143"/>
      <c r="AC1587" s="143"/>
      <c r="AD1587" s="143"/>
      <c r="AE1587" s="143"/>
      <c r="AF1587" s="143"/>
      <c r="AG1587" s="143"/>
      <c r="AH1587" s="143"/>
      <c r="AI1587" s="143"/>
      <c r="AJ1587" s="143"/>
    </row>
    <row r="1588" spans="1:36" s="144" customFormat="1" ht="21.75" customHeight="1">
      <c r="A1588" s="151"/>
      <c r="B1588" s="219"/>
      <c r="C1588" s="219"/>
      <c r="D1588" s="219"/>
      <c r="E1588" s="225"/>
      <c r="N1588" s="143"/>
      <c r="O1588" s="143"/>
      <c r="P1588" s="143"/>
      <c r="Q1588" s="143"/>
      <c r="R1588" s="143"/>
      <c r="S1588" s="143"/>
      <c r="T1588" s="143"/>
      <c r="U1588" s="143"/>
      <c r="V1588" s="143"/>
      <c r="W1588" s="143"/>
      <c r="X1588" s="143"/>
      <c r="Y1588" s="143"/>
      <c r="Z1588" s="143"/>
      <c r="AA1588" s="143"/>
      <c r="AB1588" s="143"/>
      <c r="AC1588" s="143"/>
      <c r="AD1588" s="143"/>
      <c r="AE1588" s="143"/>
      <c r="AF1588" s="143"/>
      <c r="AG1588" s="143"/>
      <c r="AH1588" s="143"/>
      <c r="AI1588" s="143"/>
      <c r="AJ1588" s="143"/>
    </row>
    <row r="1589" spans="1:36" s="144" customFormat="1" ht="21.75" customHeight="1">
      <c r="A1589" s="151"/>
      <c r="B1589" s="219"/>
      <c r="C1589" s="219"/>
      <c r="D1589" s="219"/>
      <c r="E1589" s="225"/>
      <c r="N1589" s="143"/>
      <c r="O1589" s="143"/>
      <c r="P1589" s="143"/>
      <c r="Q1589" s="143"/>
      <c r="R1589" s="143"/>
      <c r="S1589" s="143"/>
      <c r="T1589" s="143"/>
      <c r="U1589" s="143"/>
      <c r="V1589" s="143"/>
      <c r="W1589" s="143"/>
      <c r="X1589" s="143"/>
      <c r="Y1589" s="143"/>
      <c r="Z1589" s="143"/>
      <c r="AA1589" s="143"/>
      <c r="AB1589" s="143"/>
      <c r="AC1589" s="143"/>
      <c r="AD1589" s="143"/>
      <c r="AE1589" s="143"/>
      <c r="AF1589" s="143"/>
      <c r="AG1589" s="143"/>
      <c r="AH1589" s="143"/>
      <c r="AI1589" s="143"/>
      <c r="AJ1589" s="143"/>
    </row>
    <row r="1590" spans="1:36" s="144" customFormat="1" ht="21.75" customHeight="1">
      <c r="A1590" s="151"/>
      <c r="B1590" s="219"/>
      <c r="C1590" s="219"/>
      <c r="D1590" s="219"/>
      <c r="E1590" s="225"/>
      <c r="N1590" s="143"/>
      <c r="O1590" s="143"/>
      <c r="P1590" s="143"/>
      <c r="Q1590" s="143"/>
      <c r="R1590" s="143"/>
      <c r="S1590" s="143"/>
      <c r="T1590" s="143"/>
      <c r="U1590" s="143"/>
      <c r="V1590" s="143"/>
      <c r="W1590" s="143"/>
      <c r="X1590" s="143"/>
      <c r="Y1590" s="143"/>
      <c r="Z1590" s="143"/>
      <c r="AA1590" s="143"/>
      <c r="AB1590" s="143"/>
      <c r="AC1590" s="143"/>
      <c r="AD1590" s="143"/>
      <c r="AE1590" s="143"/>
      <c r="AF1590" s="143"/>
      <c r="AG1590" s="143"/>
      <c r="AH1590" s="143"/>
      <c r="AI1590" s="143"/>
      <c r="AJ1590" s="143"/>
    </row>
    <row r="1591" spans="1:36" s="144" customFormat="1" ht="21.75" customHeight="1">
      <c r="A1591" s="151"/>
      <c r="B1591" s="219"/>
      <c r="C1591" s="219"/>
      <c r="D1591" s="219"/>
      <c r="E1591" s="225"/>
      <c r="N1591" s="143"/>
      <c r="O1591" s="143"/>
      <c r="P1591" s="143"/>
      <c r="Q1591" s="143"/>
      <c r="R1591" s="143"/>
      <c r="S1591" s="143"/>
      <c r="T1591" s="143"/>
      <c r="U1591" s="143"/>
      <c r="V1591" s="143"/>
      <c r="W1591" s="143"/>
      <c r="X1591" s="143"/>
      <c r="Y1591" s="143"/>
      <c r="Z1591" s="143"/>
      <c r="AA1591" s="143"/>
      <c r="AB1591" s="143"/>
      <c r="AC1591" s="143"/>
      <c r="AD1591" s="143"/>
      <c r="AE1591" s="143"/>
      <c r="AF1591" s="143"/>
      <c r="AG1591" s="143"/>
      <c r="AH1591" s="143"/>
      <c r="AI1591" s="143"/>
      <c r="AJ1591" s="143"/>
    </row>
    <row r="1592" spans="1:36" s="144" customFormat="1" ht="21.75" customHeight="1">
      <c r="A1592" s="151"/>
      <c r="B1592" s="219"/>
      <c r="C1592" s="219"/>
      <c r="D1592" s="219"/>
      <c r="E1592" s="225"/>
      <c r="N1592" s="143"/>
      <c r="O1592" s="143"/>
      <c r="P1592" s="143"/>
      <c r="Q1592" s="143"/>
      <c r="R1592" s="143"/>
      <c r="S1592" s="143"/>
      <c r="T1592" s="143"/>
      <c r="U1592" s="143"/>
      <c r="V1592" s="143"/>
      <c r="W1592" s="143"/>
      <c r="X1592" s="143"/>
      <c r="Y1592" s="143"/>
      <c r="Z1592" s="143"/>
      <c r="AA1592" s="143"/>
      <c r="AB1592" s="143"/>
      <c r="AC1592" s="143"/>
      <c r="AD1592" s="143"/>
      <c r="AE1592" s="143"/>
      <c r="AF1592" s="143"/>
      <c r="AG1592" s="143"/>
      <c r="AH1592" s="143"/>
      <c r="AI1592" s="143"/>
      <c r="AJ1592" s="143"/>
    </row>
    <row r="1593" spans="1:36" s="144" customFormat="1" ht="21.75" customHeight="1">
      <c r="A1593" s="151"/>
      <c r="B1593" s="219"/>
      <c r="C1593" s="219"/>
      <c r="D1593" s="219"/>
      <c r="E1593" s="225"/>
      <c r="N1593" s="143"/>
      <c r="O1593" s="143"/>
      <c r="P1593" s="143"/>
      <c r="Q1593" s="143"/>
      <c r="R1593" s="143"/>
      <c r="S1593" s="143"/>
      <c r="T1593" s="143"/>
      <c r="U1593" s="143"/>
      <c r="V1593" s="143"/>
      <c r="W1593" s="143"/>
      <c r="X1593" s="143"/>
      <c r="Y1593" s="143"/>
      <c r="Z1593" s="143"/>
      <c r="AA1593" s="143"/>
      <c r="AB1593" s="143"/>
      <c r="AC1593" s="143"/>
      <c r="AD1593" s="143"/>
      <c r="AE1593" s="143"/>
      <c r="AF1593" s="143"/>
      <c r="AG1593" s="143"/>
      <c r="AH1593" s="143"/>
      <c r="AI1593" s="143"/>
      <c r="AJ1593" s="143"/>
    </row>
    <row r="1594" spans="1:36" s="144" customFormat="1" ht="21.75" customHeight="1">
      <c r="A1594" s="151"/>
      <c r="B1594" s="219"/>
      <c r="C1594" s="219"/>
      <c r="D1594" s="219"/>
      <c r="E1594" s="225"/>
      <c r="N1594" s="143"/>
      <c r="O1594" s="143"/>
      <c r="P1594" s="143"/>
      <c r="Q1594" s="143"/>
      <c r="R1594" s="143"/>
      <c r="S1594" s="143"/>
      <c r="T1594" s="143"/>
      <c r="U1594" s="143"/>
      <c r="V1594" s="143"/>
      <c r="W1594" s="143"/>
      <c r="X1594" s="143"/>
      <c r="Y1594" s="143"/>
      <c r="Z1594" s="143"/>
      <c r="AA1594" s="143"/>
      <c r="AB1594" s="143"/>
      <c r="AC1594" s="143"/>
      <c r="AD1594" s="143"/>
      <c r="AE1594" s="143"/>
      <c r="AF1594" s="143"/>
      <c r="AG1594" s="143"/>
      <c r="AH1594" s="143"/>
      <c r="AI1594" s="143"/>
      <c r="AJ1594" s="143"/>
    </row>
    <row r="1595" spans="1:36" s="144" customFormat="1" ht="21.75" customHeight="1">
      <c r="A1595" s="151"/>
      <c r="B1595" s="219"/>
      <c r="C1595" s="219"/>
      <c r="D1595" s="219"/>
      <c r="E1595" s="225"/>
      <c r="N1595" s="143"/>
      <c r="O1595" s="143"/>
      <c r="P1595" s="143"/>
      <c r="Q1595" s="143"/>
      <c r="R1595" s="143"/>
      <c r="S1595" s="143"/>
      <c r="T1595" s="143"/>
      <c r="U1595" s="143"/>
      <c r="V1595" s="143"/>
      <c r="W1595" s="143"/>
      <c r="X1595" s="143"/>
      <c r="Y1595" s="143"/>
      <c r="Z1595" s="143"/>
      <c r="AA1595" s="143"/>
      <c r="AB1595" s="143"/>
      <c r="AC1595" s="143"/>
      <c r="AD1595" s="143"/>
      <c r="AE1595" s="143"/>
      <c r="AF1595" s="143"/>
      <c r="AG1595" s="143"/>
      <c r="AH1595" s="143"/>
      <c r="AI1595" s="143"/>
      <c r="AJ1595" s="143"/>
    </row>
    <row r="1596" spans="1:36" s="144" customFormat="1" ht="21.75" customHeight="1">
      <c r="A1596" s="151"/>
      <c r="B1596" s="219"/>
      <c r="C1596" s="219"/>
      <c r="D1596" s="219"/>
      <c r="E1596" s="225"/>
      <c r="N1596" s="143"/>
      <c r="O1596" s="143"/>
      <c r="P1596" s="143"/>
      <c r="Q1596" s="143"/>
      <c r="R1596" s="143"/>
      <c r="S1596" s="143"/>
      <c r="T1596" s="143"/>
      <c r="U1596" s="143"/>
      <c r="V1596" s="143"/>
      <c r="W1596" s="143"/>
      <c r="X1596" s="143"/>
      <c r="Y1596" s="143"/>
      <c r="Z1596" s="143"/>
      <c r="AA1596" s="143"/>
      <c r="AB1596" s="143"/>
      <c r="AC1596" s="143"/>
      <c r="AD1596" s="143"/>
      <c r="AE1596" s="143"/>
      <c r="AF1596" s="143"/>
      <c r="AG1596" s="143"/>
      <c r="AH1596" s="143"/>
      <c r="AI1596" s="143"/>
      <c r="AJ1596" s="143"/>
    </row>
    <row r="1597" spans="1:36" s="144" customFormat="1" ht="21.75" customHeight="1">
      <c r="A1597" s="151"/>
      <c r="B1597" s="219"/>
      <c r="C1597" s="219"/>
      <c r="D1597" s="219"/>
      <c r="E1597" s="225"/>
      <c r="N1597" s="143"/>
      <c r="O1597" s="143"/>
      <c r="P1597" s="143"/>
      <c r="Q1597" s="143"/>
      <c r="R1597" s="143"/>
      <c r="S1597" s="143"/>
      <c r="T1597" s="143"/>
      <c r="U1597" s="143"/>
      <c r="V1597" s="143"/>
      <c r="W1597" s="143"/>
      <c r="X1597" s="143"/>
      <c r="Y1597" s="143"/>
      <c r="Z1597" s="143"/>
      <c r="AA1597" s="143"/>
      <c r="AB1597" s="143"/>
      <c r="AC1597" s="143"/>
      <c r="AD1597" s="143"/>
      <c r="AE1597" s="143"/>
      <c r="AF1597" s="143"/>
      <c r="AG1597" s="143"/>
      <c r="AH1597" s="143"/>
      <c r="AI1597" s="143"/>
      <c r="AJ1597" s="143"/>
    </row>
    <row r="1598" spans="1:36" s="144" customFormat="1" ht="21.75" customHeight="1">
      <c r="A1598" s="151"/>
      <c r="B1598" s="219"/>
      <c r="C1598" s="219"/>
      <c r="D1598" s="219"/>
      <c r="E1598" s="225"/>
      <c r="N1598" s="143"/>
      <c r="O1598" s="143"/>
      <c r="P1598" s="143"/>
      <c r="Q1598" s="143"/>
      <c r="R1598" s="143"/>
      <c r="S1598" s="143"/>
      <c r="T1598" s="143"/>
      <c r="U1598" s="143"/>
      <c r="V1598" s="143"/>
      <c r="W1598" s="143"/>
      <c r="X1598" s="143"/>
      <c r="Y1598" s="143"/>
      <c r="Z1598" s="143"/>
      <c r="AA1598" s="143"/>
      <c r="AB1598" s="143"/>
      <c r="AC1598" s="143"/>
      <c r="AD1598" s="143"/>
      <c r="AE1598" s="143"/>
      <c r="AF1598" s="143"/>
      <c r="AG1598" s="143"/>
      <c r="AH1598" s="143"/>
      <c r="AI1598" s="143"/>
      <c r="AJ1598" s="143"/>
    </row>
    <row r="1599" spans="1:36" s="144" customFormat="1" ht="21.75" customHeight="1">
      <c r="A1599" s="151"/>
      <c r="B1599" s="219"/>
      <c r="C1599" s="219"/>
      <c r="D1599" s="219"/>
      <c r="E1599" s="225"/>
      <c r="N1599" s="143"/>
      <c r="O1599" s="143"/>
      <c r="P1599" s="143"/>
      <c r="Q1599" s="143"/>
      <c r="R1599" s="143"/>
      <c r="S1599" s="143"/>
      <c r="T1599" s="143"/>
      <c r="U1599" s="143"/>
      <c r="V1599" s="143"/>
      <c r="W1599" s="143"/>
      <c r="X1599" s="143"/>
      <c r="Y1599" s="143"/>
      <c r="Z1599" s="143"/>
      <c r="AA1599" s="143"/>
      <c r="AB1599" s="143"/>
      <c r="AC1599" s="143"/>
      <c r="AD1599" s="143"/>
      <c r="AE1599" s="143"/>
      <c r="AF1599" s="143"/>
      <c r="AG1599" s="143"/>
      <c r="AH1599" s="143"/>
      <c r="AI1599" s="143"/>
      <c r="AJ1599" s="143"/>
    </row>
    <row r="1600" spans="1:36" s="144" customFormat="1" ht="21.75" customHeight="1">
      <c r="A1600" s="151"/>
      <c r="B1600" s="219"/>
      <c r="C1600" s="219"/>
      <c r="D1600" s="219"/>
      <c r="E1600" s="225"/>
      <c r="N1600" s="143"/>
      <c r="O1600" s="143"/>
      <c r="P1600" s="143"/>
      <c r="Q1600" s="143"/>
      <c r="R1600" s="143"/>
      <c r="S1600" s="143"/>
      <c r="T1600" s="143"/>
      <c r="U1600" s="143"/>
      <c r="V1600" s="143"/>
      <c r="W1600" s="143"/>
      <c r="X1600" s="143"/>
      <c r="Y1600" s="143"/>
      <c r="Z1600" s="143"/>
      <c r="AA1600" s="143"/>
      <c r="AB1600" s="143"/>
      <c r="AC1600" s="143"/>
      <c r="AD1600" s="143"/>
      <c r="AE1600" s="143"/>
      <c r="AF1600" s="143"/>
      <c r="AG1600" s="143"/>
      <c r="AH1600" s="143"/>
      <c r="AI1600" s="143"/>
      <c r="AJ1600" s="143"/>
    </row>
    <row r="1601" spans="1:36" s="144" customFormat="1" ht="21.75" customHeight="1">
      <c r="A1601" s="151"/>
      <c r="B1601" s="219"/>
      <c r="C1601" s="219"/>
      <c r="D1601" s="219"/>
      <c r="E1601" s="225"/>
      <c r="N1601" s="143"/>
      <c r="O1601" s="143"/>
      <c r="P1601" s="143"/>
      <c r="Q1601" s="143"/>
      <c r="R1601" s="143"/>
      <c r="S1601" s="143"/>
      <c r="T1601" s="143"/>
      <c r="U1601" s="143"/>
      <c r="V1601" s="143"/>
      <c r="W1601" s="143"/>
      <c r="X1601" s="143"/>
      <c r="Y1601" s="143"/>
      <c r="Z1601" s="143"/>
      <c r="AA1601" s="143"/>
      <c r="AB1601" s="143"/>
      <c r="AC1601" s="143"/>
      <c r="AD1601" s="143"/>
      <c r="AE1601" s="143"/>
      <c r="AF1601" s="143"/>
      <c r="AG1601" s="143"/>
      <c r="AH1601" s="143"/>
      <c r="AI1601" s="143"/>
      <c r="AJ1601" s="143"/>
    </row>
    <row r="1602" spans="1:36" s="144" customFormat="1" ht="21.75" customHeight="1">
      <c r="A1602" s="151"/>
      <c r="B1602" s="219"/>
      <c r="C1602" s="219"/>
      <c r="D1602" s="219"/>
      <c r="E1602" s="225"/>
      <c r="N1602" s="143"/>
      <c r="O1602" s="143"/>
      <c r="P1602" s="143"/>
      <c r="Q1602" s="143"/>
      <c r="R1602" s="143"/>
      <c r="S1602" s="143"/>
      <c r="T1602" s="143"/>
      <c r="U1602" s="143"/>
      <c r="V1602" s="143"/>
      <c r="W1602" s="143"/>
      <c r="X1602" s="143"/>
      <c r="Y1602" s="143"/>
      <c r="Z1602" s="143"/>
      <c r="AA1602" s="143"/>
      <c r="AB1602" s="143"/>
      <c r="AC1602" s="143"/>
      <c r="AD1602" s="143"/>
      <c r="AE1602" s="143"/>
      <c r="AF1602" s="143"/>
      <c r="AG1602" s="143"/>
      <c r="AH1602" s="143"/>
      <c r="AI1602" s="143"/>
      <c r="AJ1602" s="143"/>
    </row>
    <row r="1603" spans="1:36" s="144" customFormat="1" ht="21.75" customHeight="1">
      <c r="A1603" s="151"/>
      <c r="B1603" s="219"/>
      <c r="C1603" s="219"/>
      <c r="D1603" s="219"/>
      <c r="E1603" s="225"/>
      <c r="N1603" s="143"/>
      <c r="O1603" s="143"/>
      <c r="P1603" s="143"/>
      <c r="Q1603" s="143"/>
      <c r="R1603" s="143"/>
      <c r="S1603" s="143"/>
      <c r="T1603" s="143"/>
      <c r="U1603" s="143"/>
      <c r="V1603" s="143"/>
      <c r="W1603" s="143"/>
      <c r="X1603" s="143"/>
      <c r="Y1603" s="143"/>
      <c r="Z1603" s="143"/>
      <c r="AA1603" s="143"/>
      <c r="AB1603" s="143"/>
      <c r="AC1603" s="143"/>
      <c r="AD1603" s="143"/>
      <c r="AE1603" s="143"/>
      <c r="AF1603" s="143"/>
      <c r="AG1603" s="143"/>
      <c r="AH1603" s="143"/>
      <c r="AI1603" s="143"/>
      <c r="AJ1603" s="143"/>
    </row>
    <row r="1604" spans="1:36" s="144" customFormat="1" ht="21.75" customHeight="1">
      <c r="A1604" s="151"/>
      <c r="B1604" s="219"/>
      <c r="C1604" s="219"/>
      <c r="D1604" s="219"/>
      <c r="E1604" s="225"/>
      <c r="N1604" s="143"/>
      <c r="O1604" s="143"/>
      <c r="P1604" s="143"/>
      <c r="Q1604" s="143"/>
      <c r="R1604" s="143"/>
      <c r="S1604" s="143"/>
      <c r="T1604" s="143"/>
      <c r="U1604" s="143"/>
      <c r="V1604" s="143"/>
      <c r="W1604" s="143"/>
      <c r="X1604" s="143"/>
      <c r="Y1604" s="143"/>
      <c r="Z1604" s="143"/>
      <c r="AA1604" s="143"/>
      <c r="AB1604" s="143"/>
      <c r="AC1604" s="143"/>
      <c r="AD1604" s="143"/>
      <c r="AE1604" s="143"/>
      <c r="AF1604" s="143"/>
      <c r="AG1604" s="143"/>
      <c r="AH1604" s="143"/>
      <c r="AI1604" s="143"/>
      <c r="AJ1604" s="143"/>
    </row>
    <row r="1605" spans="1:36" s="144" customFormat="1" ht="21.75" customHeight="1">
      <c r="A1605" s="151"/>
      <c r="B1605" s="219"/>
      <c r="C1605" s="219"/>
      <c r="D1605" s="219"/>
      <c r="E1605" s="225"/>
      <c r="N1605" s="143"/>
      <c r="O1605" s="143"/>
      <c r="P1605" s="143"/>
      <c r="Q1605" s="143"/>
      <c r="R1605" s="143"/>
      <c r="S1605" s="143"/>
      <c r="T1605" s="143"/>
      <c r="U1605" s="143"/>
      <c r="V1605" s="143"/>
      <c r="W1605" s="143"/>
      <c r="X1605" s="143"/>
      <c r="Y1605" s="143"/>
      <c r="Z1605" s="143"/>
      <c r="AA1605" s="143"/>
      <c r="AB1605" s="143"/>
      <c r="AC1605" s="143"/>
      <c r="AD1605" s="143"/>
      <c r="AE1605" s="143"/>
      <c r="AF1605" s="143"/>
      <c r="AG1605" s="143"/>
      <c r="AH1605" s="143"/>
      <c r="AI1605" s="143"/>
      <c r="AJ1605" s="143"/>
    </row>
    <row r="1606" spans="1:36" s="144" customFormat="1" ht="21.75" customHeight="1">
      <c r="A1606" s="151"/>
      <c r="B1606" s="219"/>
      <c r="C1606" s="219"/>
      <c r="D1606" s="219"/>
      <c r="E1606" s="225"/>
      <c r="N1606" s="143"/>
      <c r="O1606" s="143"/>
      <c r="P1606" s="143"/>
      <c r="Q1606" s="143"/>
      <c r="R1606" s="143"/>
      <c r="S1606" s="143"/>
      <c r="T1606" s="143"/>
      <c r="U1606" s="143"/>
      <c r="V1606" s="143"/>
      <c r="W1606" s="143"/>
      <c r="X1606" s="143"/>
      <c r="Y1606" s="143"/>
      <c r="Z1606" s="143"/>
      <c r="AA1606" s="143"/>
      <c r="AB1606" s="143"/>
      <c r="AC1606" s="143"/>
      <c r="AD1606" s="143"/>
      <c r="AE1606" s="143"/>
      <c r="AF1606" s="143"/>
      <c r="AG1606" s="143"/>
      <c r="AH1606" s="143"/>
      <c r="AI1606" s="143"/>
      <c r="AJ1606" s="143"/>
    </row>
    <row r="1607" spans="1:36" s="144" customFormat="1" ht="21.75" customHeight="1">
      <c r="A1607" s="151"/>
      <c r="B1607" s="219"/>
      <c r="C1607" s="219"/>
      <c r="D1607" s="219"/>
      <c r="E1607" s="225"/>
      <c r="N1607" s="143"/>
      <c r="O1607" s="143"/>
      <c r="P1607" s="143"/>
      <c r="Q1607" s="143"/>
      <c r="R1607" s="143"/>
      <c r="S1607" s="143"/>
      <c r="T1607" s="143"/>
      <c r="U1607" s="143"/>
      <c r="V1607" s="143"/>
      <c r="W1607" s="143"/>
      <c r="X1607" s="143"/>
      <c r="Y1607" s="143"/>
      <c r="Z1607" s="143"/>
      <c r="AA1607" s="143"/>
      <c r="AB1607" s="143"/>
      <c r="AC1607" s="143"/>
      <c r="AD1607" s="143"/>
      <c r="AE1607" s="143"/>
      <c r="AF1607" s="143"/>
      <c r="AG1607" s="143"/>
      <c r="AH1607" s="143"/>
      <c r="AI1607" s="143"/>
      <c r="AJ1607" s="143"/>
    </row>
    <row r="1608" spans="1:36" s="144" customFormat="1" ht="21.75" customHeight="1">
      <c r="A1608" s="151"/>
      <c r="B1608" s="219"/>
      <c r="C1608" s="219"/>
      <c r="D1608" s="219"/>
      <c r="E1608" s="225"/>
      <c r="N1608" s="143"/>
      <c r="O1608" s="143"/>
      <c r="P1608" s="143"/>
      <c r="Q1608" s="143"/>
      <c r="R1608" s="143"/>
      <c r="S1608" s="143"/>
      <c r="T1608" s="143"/>
      <c r="U1608" s="143"/>
      <c r="V1608" s="143"/>
      <c r="W1608" s="143"/>
      <c r="X1608" s="143"/>
      <c r="Y1608" s="143"/>
      <c r="Z1608" s="143"/>
      <c r="AA1608" s="143"/>
      <c r="AB1608" s="143"/>
      <c r="AC1608" s="143"/>
      <c r="AD1608" s="143"/>
      <c r="AE1608" s="143"/>
      <c r="AF1608" s="143"/>
      <c r="AG1608" s="143"/>
      <c r="AH1608" s="143"/>
      <c r="AI1608" s="143"/>
      <c r="AJ1608" s="143"/>
    </row>
    <row r="1609" spans="1:36" s="144" customFormat="1" ht="21.75" customHeight="1">
      <c r="A1609" s="151"/>
      <c r="B1609" s="219"/>
      <c r="C1609" s="219"/>
      <c r="D1609" s="219"/>
      <c r="E1609" s="225"/>
      <c r="N1609" s="143"/>
      <c r="O1609" s="143"/>
      <c r="P1609" s="143"/>
      <c r="Q1609" s="143"/>
      <c r="R1609" s="143"/>
      <c r="S1609" s="143"/>
      <c r="T1609" s="143"/>
      <c r="U1609" s="143"/>
      <c r="V1609" s="143"/>
      <c r="W1609" s="143"/>
      <c r="X1609" s="143"/>
      <c r="Y1609" s="143"/>
      <c r="Z1609" s="143"/>
      <c r="AA1609" s="143"/>
      <c r="AB1609" s="143"/>
      <c r="AC1609" s="143"/>
      <c r="AD1609" s="143"/>
      <c r="AE1609" s="143"/>
      <c r="AF1609" s="143"/>
      <c r="AG1609" s="143"/>
      <c r="AH1609" s="143"/>
      <c r="AI1609" s="143"/>
      <c r="AJ1609" s="143"/>
    </row>
    <row r="1610" spans="1:36" s="144" customFormat="1" ht="21.75" customHeight="1">
      <c r="A1610" s="151"/>
      <c r="B1610" s="219"/>
      <c r="C1610" s="219"/>
      <c r="D1610" s="219"/>
      <c r="E1610" s="225"/>
      <c r="N1610" s="143"/>
      <c r="O1610" s="143"/>
      <c r="P1610" s="143"/>
      <c r="Q1610" s="143"/>
      <c r="R1610" s="143"/>
      <c r="S1610" s="143"/>
      <c r="T1610" s="143"/>
      <c r="U1610" s="143"/>
      <c r="V1610" s="143"/>
      <c r="W1610" s="143"/>
      <c r="X1610" s="143"/>
      <c r="Y1610" s="143"/>
      <c r="Z1610" s="143"/>
      <c r="AA1610" s="143"/>
      <c r="AB1610" s="143"/>
      <c r="AC1610" s="143"/>
      <c r="AD1610" s="143"/>
      <c r="AE1610" s="143"/>
      <c r="AF1610" s="143"/>
      <c r="AG1610" s="143"/>
      <c r="AH1610" s="143"/>
      <c r="AI1610" s="143"/>
      <c r="AJ1610" s="143"/>
    </row>
    <row r="1611" spans="1:36" s="144" customFormat="1" ht="21.75" customHeight="1">
      <c r="A1611" s="151"/>
      <c r="B1611" s="219"/>
      <c r="C1611" s="219"/>
      <c r="D1611" s="219"/>
      <c r="E1611" s="225"/>
      <c r="N1611" s="143"/>
      <c r="O1611" s="143"/>
      <c r="P1611" s="143"/>
      <c r="Q1611" s="143"/>
      <c r="R1611" s="143"/>
      <c r="S1611" s="143"/>
      <c r="T1611" s="143"/>
      <c r="U1611" s="143"/>
      <c r="V1611" s="143"/>
      <c r="W1611" s="143"/>
      <c r="X1611" s="143"/>
      <c r="Y1611" s="143"/>
      <c r="Z1611" s="143"/>
      <c r="AA1611" s="143"/>
      <c r="AB1611" s="143"/>
      <c r="AC1611" s="143"/>
      <c r="AD1611" s="143"/>
      <c r="AE1611" s="143"/>
      <c r="AF1611" s="143"/>
      <c r="AG1611" s="143"/>
      <c r="AH1611" s="143"/>
      <c r="AI1611" s="143"/>
      <c r="AJ1611" s="143"/>
    </row>
    <row r="1612" spans="1:36" s="144" customFormat="1" ht="21.75" customHeight="1">
      <c r="A1612" s="151"/>
      <c r="B1612" s="219"/>
      <c r="C1612" s="219"/>
      <c r="D1612" s="219"/>
      <c r="E1612" s="225"/>
      <c r="N1612" s="143"/>
      <c r="O1612" s="143"/>
      <c r="P1612" s="143"/>
      <c r="Q1612" s="143"/>
      <c r="R1612" s="143"/>
      <c r="S1612" s="143"/>
      <c r="T1612" s="143"/>
      <c r="U1612" s="143"/>
      <c r="V1612" s="143"/>
      <c r="W1612" s="143"/>
      <c r="X1612" s="143"/>
      <c r="Y1612" s="143"/>
      <c r="Z1612" s="143"/>
      <c r="AA1612" s="143"/>
      <c r="AB1612" s="143"/>
      <c r="AC1612" s="143"/>
      <c r="AD1612" s="143"/>
      <c r="AE1612" s="143"/>
      <c r="AF1612" s="143"/>
      <c r="AG1612" s="143"/>
      <c r="AH1612" s="143"/>
      <c r="AI1612" s="143"/>
      <c r="AJ1612" s="143"/>
    </row>
    <row r="1613" spans="1:36" s="144" customFormat="1" ht="21.75" customHeight="1">
      <c r="A1613" s="151"/>
      <c r="B1613" s="219"/>
      <c r="C1613" s="219"/>
      <c r="D1613" s="219"/>
      <c r="E1613" s="225"/>
      <c r="N1613" s="143"/>
      <c r="O1613" s="143"/>
      <c r="P1613" s="143"/>
      <c r="Q1613" s="143"/>
      <c r="R1613" s="143"/>
      <c r="S1613" s="143"/>
      <c r="T1613" s="143"/>
      <c r="U1613" s="143"/>
      <c r="V1613" s="143"/>
      <c r="W1613" s="143"/>
      <c r="X1613" s="143"/>
      <c r="Y1613" s="143"/>
      <c r="Z1613" s="143"/>
      <c r="AA1613" s="143"/>
      <c r="AB1613" s="143"/>
      <c r="AC1613" s="143"/>
      <c r="AD1613" s="143"/>
      <c r="AE1613" s="143"/>
      <c r="AF1613" s="143"/>
      <c r="AG1613" s="143"/>
      <c r="AH1613" s="143"/>
      <c r="AI1613" s="143"/>
      <c r="AJ1613" s="143"/>
    </row>
    <row r="1614" spans="1:36" s="144" customFormat="1" ht="21.75" customHeight="1">
      <c r="A1614" s="151"/>
      <c r="B1614" s="219"/>
      <c r="C1614" s="219"/>
      <c r="D1614" s="219"/>
      <c r="E1614" s="225"/>
      <c r="N1614" s="143"/>
      <c r="O1614" s="143"/>
      <c r="P1614" s="143"/>
      <c r="Q1614" s="143"/>
      <c r="R1614" s="143"/>
      <c r="S1614" s="143"/>
      <c r="T1614" s="143"/>
      <c r="U1614" s="143"/>
      <c r="V1614" s="143"/>
      <c r="W1614" s="143"/>
      <c r="X1614" s="143"/>
      <c r="Y1614" s="143"/>
      <c r="Z1614" s="143"/>
      <c r="AA1614" s="143"/>
      <c r="AB1614" s="143"/>
      <c r="AC1614" s="143"/>
      <c r="AD1614" s="143"/>
      <c r="AE1614" s="143"/>
      <c r="AF1614" s="143"/>
      <c r="AG1614" s="143"/>
      <c r="AH1614" s="143"/>
      <c r="AI1614" s="143"/>
      <c r="AJ1614" s="143"/>
    </row>
    <row r="1615" spans="1:36" s="144" customFormat="1" ht="21.75" customHeight="1">
      <c r="A1615" s="151"/>
      <c r="B1615" s="219"/>
      <c r="C1615" s="219"/>
      <c r="D1615" s="219"/>
      <c r="E1615" s="225"/>
      <c r="N1615" s="143"/>
      <c r="O1615" s="143"/>
      <c r="P1615" s="143"/>
      <c r="Q1615" s="143"/>
      <c r="R1615" s="143"/>
      <c r="S1615" s="143"/>
      <c r="T1615" s="143"/>
      <c r="U1615" s="143"/>
      <c r="V1615" s="143"/>
      <c r="W1615" s="143"/>
      <c r="X1615" s="143"/>
      <c r="Y1615" s="143"/>
      <c r="Z1615" s="143"/>
      <c r="AA1615" s="143"/>
      <c r="AB1615" s="143"/>
      <c r="AC1615" s="143"/>
      <c r="AD1615" s="143"/>
      <c r="AE1615" s="143"/>
      <c r="AF1615" s="143"/>
      <c r="AG1615" s="143"/>
      <c r="AH1615" s="143"/>
      <c r="AI1615" s="143"/>
      <c r="AJ1615" s="143"/>
    </row>
    <row r="1616" spans="1:36" s="144" customFormat="1" ht="21.75" customHeight="1">
      <c r="A1616" s="151"/>
      <c r="B1616" s="219"/>
      <c r="C1616" s="219"/>
      <c r="D1616" s="219"/>
      <c r="E1616" s="225"/>
      <c r="N1616" s="143"/>
      <c r="O1616" s="143"/>
      <c r="P1616" s="143"/>
      <c r="Q1616" s="143"/>
      <c r="R1616" s="143"/>
      <c r="S1616" s="143"/>
      <c r="T1616" s="143"/>
      <c r="U1616" s="143"/>
      <c r="V1616" s="143"/>
      <c r="W1616" s="143"/>
      <c r="X1616" s="143"/>
      <c r="Y1616" s="143"/>
      <c r="Z1616" s="143"/>
      <c r="AA1616" s="143"/>
      <c r="AB1616" s="143"/>
      <c r="AC1616" s="143"/>
      <c r="AD1616" s="143"/>
      <c r="AE1616" s="143"/>
      <c r="AF1616" s="143"/>
      <c r="AG1616" s="143"/>
      <c r="AH1616" s="143"/>
      <c r="AI1616" s="143"/>
      <c r="AJ1616" s="143"/>
    </row>
    <row r="1617" spans="1:36" s="144" customFormat="1" ht="21.75" customHeight="1">
      <c r="A1617" s="151"/>
      <c r="B1617" s="219"/>
      <c r="C1617" s="219"/>
      <c r="D1617" s="219"/>
      <c r="E1617" s="225"/>
      <c r="N1617" s="143"/>
      <c r="O1617" s="143"/>
      <c r="P1617" s="143"/>
      <c r="Q1617" s="143"/>
      <c r="R1617" s="143"/>
      <c r="S1617" s="143"/>
      <c r="T1617" s="143"/>
      <c r="U1617" s="143"/>
      <c r="V1617" s="143"/>
      <c r="W1617" s="143"/>
      <c r="X1617" s="143"/>
      <c r="Y1617" s="143"/>
      <c r="Z1617" s="143"/>
      <c r="AA1617" s="143"/>
      <c r="AB1617" s="143"/>
      <c r="AC1617" s="143"/>
      <c r="AD1617" s="143"/>
      <c r="AE1617" s="143"/>
      <c r="AF1617" s="143"/>
      <c r="AG1617" s="143"/>
      <c r="AH1617" s="143"/>
      <c r="AI1617" s="143"/>
      <c r="AJ1617" s="143"/>
    </row>
    <row r="1618" spans="1:36" s="144" customFormat="1" ht="21.75" customHeight="1">
      <c r="A1618" s="151"/>
      <c r="B1618" s="219"/>
      <c r="C1618" s="219"/>
      <c r="D1618" s="219"/>
      <c r="E1618" s="225"/>
      <c r="N1618" s="143"/>
      <c r="O1618" s="143"/>
      <c r="P1618" s="143"/>
      <c r="Q1618" s="143"/>
      <c r="R1618" s="143"/>
      <c r="S1618" s="143"/>
      <c r="T1618" s="143"/>
      <c r="U1618" s="143"/>
      <c r="V1618" s="143"/>
      <c r="W1618" s="143"/>
      <c r="X1618" s="143"/>
      <c r="Y1618" s="143"/>
      <c r="Z1618" s="143"/>
      <c r="AA1618" s="143"/>
      <c r="AB1618" s="143"/>
      <c r="AC1618" s="143"/>
      <c r="AD1618" s="143"/>
      <c r="AE1618" s="143"/>
      <c r="AF1618" s="143"/>
      <c r="AG1618" s="143"/>
      <c r="AH1618" s="143"/>
      <c r="AI1618" s="143"/>
      <c r="AJ1618" s="143"/>
    </row>
    <row r="1619" spans="1:36" s="144" customFormat="1" ht="21.75" customHeight="1">
      <c r="A1619" s="151"/>
      <c r="B1619" s="219"/>
      <c r="C1619" s="219"/>
      <c r="D1619" s="219"/>
      <c r="E1619" s="225"/>
      <c r="N1619" s="143"/>
      <c r="O1619" s="143"/>
      <c r="P1619" s="143"/>
      <c r="Q1619" s="143"/>
      <c r="R1619" s="143"/>
      <c r="S1619" s="143"/>
      <c r="T1619" s="143"/>
      <c r="U1619" s="143"/>
      <c r="V1619" s="143"/>
      <c r="W1619" s="143"/>
      <c r="X1619" s="143"/>
      <c r="Y1619" s="143"/>
      <c r="Z1619" s="143"/>
      <c r="AA1619" s="143"/>
      <c r="AB1619" s="143"/>
      <c r="AC1619" s="143"/>
      <c r="AD1619" s="143"/>
      <c r="AE1619" s="143"/>
      <c r="AF1619" s="143"/>
      <c r="AG1619" s="143"/>
      <c r="AH1619" s="143"/>
      <c r="AI1619" s="143"/>
      <c r="AJ1619" s="143"/>
    </row>
    <row r="1620" spans="1:36" s="144" customFormat="1" ht="21.75" customHeight="1">
      <c r="A1620" s="151"/>
      <c r="B1620" s="219"/>
      <c r="C1620" s="219"/>
      <c r="D1620" s="219"/>
      <c r="E1620" s="225"/>
      <c r="N1620" s="143"/>
      <c r="O1620" s="143"/>
      <c r="P1620" s="143"/>
      <c r="Q1620" s="143"/>
      <c r="R1620" s="143"/>
      <c r="S1620" s="143"/>
      <c r="T1620" s="143"/>
      <c r="U1620" s="143"/>
      <c r="V1620" s="143"/>
      <c r="W1620" s="143"/>
      <c r="X1620" s="143"/>
      <c r="Y1620" s="143"/>
      <c r="Z1620" s="143"/>
      <c r="AA1620" s="143"/>
      <c r="AB1620" s="143"/>
      <c r="AC1620" s="143"/>
      <c r="AD1620" s="143"/>
      <c r="AE1620" s="143"/>
      <c r="AF1620" s="143"/>
      <c r="AG1620" s="143"/>
      <c r="AH1620" s="143"/>
      <c r="AI1620" s="143"/>
      <c r="AJ1620" s="143"/>
    </row>
    <row r="1621" spans="1:36" s="144" customFormat="1" ht="21.75" customHeight="1">
      <c r="A1621" s="151"/>
      <c r="B1621" s="219"/>
      <c r="C1621" s="219"/>
      <c r="D1621" s="219"/>
      <c r="E1621" s="225"/>
      <c r="N1621" s="143"/>
      <c r="O1621" s="143"/>
      <c r="P1621" s="143"/>
      <c r="Q1621" s="143"/>
      <c r="R1621" s="143"/>
      <c r="S1621" s="143"/>
      <c r="T1621" s="143"/>
      <c r="U1621" s="143"/>
      <c r="V1621" s="143"/>
      <c r="W1621" s="143"/>
      <c r="X1621" s="143"/>
      <c r="Y1621" s="143"/>
      <c r="Z1621" s="143"/>
      <c r="AA1621" s="143"/>
      <c r="AB1621" s="143"/>
      <c r="AC1621" s="143"/>
      <c r="AD1621" s="143"/>
      <c r="AE1621" s="143"/>
      <c r="AF1621" s="143"/>
      <c r="AG1621" s="143"/>
      <c r="AH1621" s="143"/>
      <c r="AI1621" s="143"/>
      <c r="AJ1621" s="143"/>
    </row>
    <row r="1622" spans="1:36" s="144" customFormat="1" ht="21.75" customHeight="1">
      <c r="A1622" s="151"/>
      <c r="B1622" s="219"/>
      <c r="C1622" s="219"/>
      <c r="D1622" s="219"/>
      <c r="E1622" s="225"/>
      <c r="N1622" s="143"/>
      <c r="O1622" s="143"/>
      <c r="P1622" s="143"/>
      <c r="Q1622" s="143"/>
      <c r="R1622" s="143"/>
      <c r="S1622" s="143"/>
      <c r="T1622" s="143"/>
      <c r="U1622" s="143"/>
      <c r="V1622" s="143"/>
      <c r="W1622" s="143"/>
      <c r="X1622" s="143"/>
      <c r="Y1622" s="143"/>
      <c r="Z1622" s="143"/>
      <c r="AA1622" s="143"/>
      <c r="AB1622" s="143"/>
      <c r="AC1622" s="143"/>
      <c r="AD1622" s="143"/>
      <c r="AE1622" s="143"/>
      <c r="AF1622" s="143"/>
      <c r="AG1622" s="143"/>
      <c r="AH1622" s="143"/>
      <c r="AI1622" s="143"/>
      <c r="AJ1622" s="143"/>
    </row>
    <row r="1623" spans="1:36" s="144" customFormat="1" ht="21.75" customHeight="1">
      <c r="A1623" s="151"/>
      <c r="B1623" s="219"/>
      <c r="C1623" s="219"/>
      <c r="D1623" s="219"/>
      <c r="E1623" s="225"/>
      <c r="N1623" s="143"/>
      <c r="O1623" s="143"/>
      <c r="P1623" s="143"/>
      <c r="Q1623" s="143"/>
      <c r="R1623" s="143"/>
      <c r="S1623" s="143"/>
      <c r="T1623" s="143"/>
      <c r="U1623" s="143"/>
      <c r="V1623" s="143"/>
      <c r="W1623" s="143"/>
      <c r="X1623" s="143"/>
      <c r="Y1623" s="143"/>
      <c r="Z1623" s="143"/>
      <c r="AA1623" s="143"/>
      <c r="AB1623" s="143"/>
      <c r="AC1623" s="143"/>
      <c r="AD1623" s="143"/>
      <c r="AE1623" s="143"/>
      <c r="AF1623" s="143"/>
      <c r="AG1623" s="143"/>
      <c r="AH1623" s="143"/>
      <c r="AI1623" s="143"/>
      <c r="AJ1623" s="143"/>
    </row>
    <row r="1624" spans="1:36" s="144" customFormat="1" ht="21.75" customHeight="1">
      <c r="A1624" s="151"/>
      <c r="B1624" s="219"/>
      <c r="C1624" s="219"/>
      <c r="D1624" s="219"/>
      <c r="E1624" s="225"/>
      <c r="N1624" s="143"/>
      <c r="O1624" s="143"/>
      <c r="P1624" s="143"/>
      <c r="Q1624" s="143"/>
      <c r="R1624" s="143"/>
      <c r="S1624" s="143"/>
      <c r="T1624" s="143"/>
      <c r="U1624" s="143"/>
      <c r="V1624" s="143"/>
      <c r="W1624" s="143"/>
      <c r="X1624" s="143"/>
      <c r="Y1624" s="143"/>
      <c r="Z1624" s="143"/>
      <c r="AA1624" s="143"/>
      <c r="AB1624" s="143"/>
      <c r="AC1624" s="143"/>
      <c r="AD1624" s="143"/>
      <c r="AE1624" s="143"/>
      <c r="AF1624" s="143"/>
      <c r="AG1624" s="143"/>
      <c r="AH1624" s="143"/>
      <c r="AI1624" s="143"/>
      <c r="AJ1624" s="143"/>
    </row>
    <row r="1625" spans="1:36" s="144" customFormat="1" ht="21.75" customHeight="1">
      <c r="A1625" s="151"/>
      <c r="B1625" s="219"/>
      <c r="C1625" s="219"/>
      <c r="D1625" s="219"/>
      <c r="E1625" s="225"/>
      <c r="N1625" s="143"/>
      <c r="O1625" s="143"/>
      <c r="P1625" s="143"/>
      <c r="Q1625" s="143"/>
      <c r="R1625" s="143"/>
      <c r="S1625" s="143"/>
      <c r="T1625" s="143"/>
      <c r="U1625" s="143"/>
      <c r="V1625" s="143"/>
      <c r="W1625" s="143"/>
      <c r="X1625" s="143"/>
      <c r="Y1625" s="143"/>
      <c r="Z1625" s="143"/>
      <c r="AA1625" s="143"/>
      <c r="AB1625" s="143"/>
      <c r="AC1625" s="143"/>
      <c r="AD1625" s="143"/>
      <c r="AE1625" s="143"/>
      <c r="AF1625" s="143"/>
      <c r="AG1625" s="143"/>
      <c r="AH1625" s="143"/>
      <c r="AI1625" s="143"/>
      <c r="AJ1625" s="143"/>
    </row>
    <row r="1626" spans="1:36" s="144" customFormat="1" ht="21.75" customHeight="1">
      <c r="A1626" s="151"/>
      <c r="B1626" s="219"/>
      <c r="C1626" s="219"/>
      <c r="D1626" s="219"/>
      <c r="E1626" s="225"/>
      <c r="N1626" s="143"/>
      <c r="O1626" s="143"/>
      <c r="P1626" s="143"/>
      <c r="Q1626" s="143"/>
      <c r="R1626" s="143"/>
      <c r="S1626" s="143"/>
      <c r="T1626" s="143"/>
      <c r="U1626" s="143"/>
      <c r="V1626" s="143"/>
      <c r="W1626" s="143"/>
      <c r="X1626" s="143"/>
      <c r="Y1626" s="143"/>
      <c r="Z1626" s="143"/>
      <c r="AA1626" s="143"/>
      <c r="AB1626" s="143"/>
      <c r="AC1626" s="143"/>
      <c r="AD1626" s="143"/>
      <c r="AE1626" s="143"/>
      <c r="AF1626" s="143"/>
      <c r="AG1626" s="143"/>
      <c r="AH1626" s="143"/>
      <c r="AI1626" s="143"/>
      <c r="AJ1626" s="143"/>
    </row>
    <row r="1627" spans="1:36" s="144" customFormat="1" ht="21.75" customHeight="1">
      <c r="A1627" s="151"/>
      <c r="B1627" s="219"/>
      <c r="C1627" s="219"/>
      <c r="D1627" s="219"/>
      <c r="E1627" s="225"/>
      <c r="N1627" s="143"/>
      <c r="O1627" s="143"/>
      <c r="P1627" s="143"/>
      <c r="Q1627" s="143"/>
      <c r="R1627" s="143"/>
      <c r="S1627" s="143"/>
      <c r="T1627" s="143"/>
      <c r="U1627" s="143"/>
      <c r="V1627" s="143"/>
      <c r="W1627" s="143"/>
      <c r="X1627" s="143"/>
      <c r="Y1627" s="143"/>
      <c r="Z1627" s="143"/>
      <c r="AA1627" s="143"/>
      <c r="AB1627" s="143"/>
      <c r="AC1627" s="143"/>
      <c r="AD1627" s="143"/>
      <c r="AE1627" s="143"/>
      <c r="AF1627" s="143"/>
      <c r="AG1627" s="143"/>
      <c r="AH1627" s="143"/>
      <c r="AI1627" s="143"/>
      <c r="AJ1627" s="143"/>
    </row>
    <row r="1628" spans="1:36" s="144" customFormat="1" ht="21.75" customHeight="1">
      <c r="A1628" s="151"/>
      <c r="B1628" s="219"/>
      <c r="C1628" s="219"/>
      <c r="D1628" s="219"/>
      <c r="E1628" s="225"/>
      <c r="N1628" s="143"/>
      <c r="O1628" s="143"/>
      <c r="P1628" s="143"/>
      <c r="Q1628" s="143"/>
      <c r="R1628" s="143"/>
      <c r="S1628" s="143"/>
      <c r="T1628" s="143"/>
      <c r="U1628" s="143"/>
      <c r="V1628" s="143"/>
      <c r="W1628" s="143"/>
      <c r="X1628" s="143"/>
      <c r="Y1628" s="143"/>
      <c r="Z1628" s="143"/>
      <c r="AA1628" s="143"/>
      <c r="AB1628" s="143"/>
      <c r="AC1628" s="143"/>
      <c r="AD1628" s="143"/>
      <c r="AE1628" s="143"/>
      <c r="AF1628" s="143"/>
      <c r="AG1628" s="143"/>
      <c r="AH1628" s="143"/>
      <c r="AI1628" s="143"/>
      <c r="AJ1628" s="143"/>
    </row>
    <row r="1629" spans="1:36" s="144" customFormat="1" ht="21.75" customHeight="1">
      <c r="A1629" s="151"/>
      <c r="B1629" s="219"/>
      <c r="C1629" s="219"/>
      <c r="D1629" s="219"/>
      <c r="E1629" s="225"/>
      <c r="N1629" s="143"/>
      <c r="O1629" s="143"/>
      <c r="P1629" s="143"/>
      <c r="Q1629" s="143"/>
      <c r="R1629" s="143"/>
      <c r="S1629" s="143"/>
      <c r="T1629" s="143"/>
      <c r="U1629" s="143"/>
      <c r="V1629" s="143"/>
      <c r="W1629" s="143"/>
      <c r="X1629" s="143"/>
      <c r="Y1629" s="143"/>
      <c r="Z1629" s="143"/>
      <c r="AA1629" s="143"/>
      <c r="AB1629" s="143"/>
      <c r="AC1629" s="143"/>
      <c r="AD1629" s="143"/>
      <c r="AE1629" s="143"/>
      <c r="AF1629" s="143"/>
      <c r="AG1629" s="143"/>
      <c r="AH1629" s="143"/>
      <c r="AI1629" s="143"/>
      <c r="AJ1629" s="143"/>
    </row>
    <row r="1630" spans="1:36" s="144" customFormat="1" ht="21.75" customHeight="1">
      <c r="A1630" s="151"/>
      <c r="B1630" s="219"/>
      <c r="C1630" s="219"/>
      <c r="D1630" s="219"/>
      <c r="E1630" s="225"/>
      <c r="N1630" s="143"/>
      <c r="O1630" s="143"/>
      <c r="P1630" s="143"/>
      <c r="Q1630" s="143"/>
      <c r="R1630" s="143"/>
      <c r="S1630" s="143"/>
      <c r="T1630" s="143"/>
      <c r="U1630" s="143"/>
      <c r="V1630" s="143"/>
      <c r="W1630" s="143"/>
      <c r="X1630" s="143"/>
      <c r="Y1630" s="143"/>
      <c r="Z1630" s="143"/>
      <c r="AA1630" s="143"/>
      <c r="AB1630" s="143"/>
      <c r="AC1630" s="143"/>
      <c r="AD1630" s="143"/>
      <c r="AE1630" s="143"/>
      <c r="AF1630" s="143"/>
      <c r="AG1630" s="143"/>
      <c r="AH1630" s="143"/>
      <c r="AI1630" s="143"/>
      <c r="AJ1630" s="143"/>
    </row>
    <row r="1631" spans="1:36" s="144" customFormat="1" ht="21.75" customHeight="1">
      <c r="A1631" s="151"/>
      <c r="B1631" s="219"/>
      <c r="C1631" s="219"/>
      <c r="D1631" s="219"/>
      <c r="E1631" s="225"/>
      <c r="N1631" s="143"/>
      <c r="O1631" s="143"/>
      <c r="P1631" s="143"/>
      <c r="Q1631" s="143"/>
      <c r="R1631" s="143"/>
      <c r="S1631" s="143"/>
      <c r="T1631" s="143"/>
      <c r="U1631" s="143"/>
      <c r="V1631" s="143"/>
      <c r="W1631" s="143"/>
      <c r="X1631" s="143"/>
      <c r="Y1631" s="143"/>
      <c r="Z1631" s="143"/>
      <c r="AA1631" s="143"/>
      <c r="AB1631" s="143"/>
      <c r="AC1631" s="143"/>
      <c r="AD1631" s="143"/>
      <c r="AE1631" s="143"/>
      <c r="AF1631" s="143"/>
      <c r="AG1631" s="143"/>
      <c r="AH1631" s="143"/>
      <c r="AI1631" s="143"/>
      <c r="AJ1631" s="143"/>
    </row>
    <row r="1632" spans="1:36" s="144" customFormat="1" ht="21.75" customHeight="1">
      <c r="A1632" s="151"/>
      <c r="B1632" s="219"/>
      <c r="C1632" s="219"/>
      <c r="D1632" s="219"/>
      <c r="E1632" s="225"/>
      <c r="N1632" s="143"/>
      <c r="O1632" s="143"/>
      <c r="P1632" s="143"/>
      <c r="Q1632" s="143"/>
      <c r="R1632" s="143"/>
      <c r="S1632" s="143"/>
      <c r="T1632" s="143"/>
      <c r="U1632" s="143"/>
      <c r="V1632" s="143"/>
      <c r="W1632" s="143"/>
      <c r="X1632" s="143"/>
      <c r="Y1632" s="143"/>
      <c r="Z1632" s="143"/>
      <c r="AA1632" s="143"/>
      <c r="AB1632" s="143"/>
      <c r="AC1632" s="143"/>
      <c r="AD1632" s="143"/>
      <c r="AE1632" s="143"/>
      <c r="AF1632" s="143"/>
      <c r="AG1632" s="143"/>
      <c r="AH1632" s="143"/>
      <c r="AI1632" s="143"/>
      <c r="AJ1632" s="143"/>
    </row>
    <row r="1633" spans="1:36" s="144" customFormat="1" ht="21.75" customHeight="1">
      <c r="A1633" s="151"/>
      <c r="B1633" s="219"/>
      <c r="C1633" s="219"/>
      <c r="D1633" s="219"/>
      <c r="E1633" s="225"/>
      <c r="N1633" s="143"/>
      <c r="O1633" s="143"/>
      <c r="P1633" s="143"/>
      <c r="Q1633" s="143"/>
      <c r="R1633" s="143"/>
      <c r="S1633" s="143"/>
      <c r="T1633" s="143"/>
      <c r="U1633" s="143"/>
      <c r="V1633" s="143"/>
      <c r="W1633" s="143"/>
      <c r="X1633" s="143"/>
      <c r="Y1633" s="143"/>
      <c r="Z1633" s="143"/>
      <c r="AA1633" s="143"/>
      <c r="AB1633" s="143"/>
      <c r="AC1633" s="143"/>
      <c r="AD1633" s="143"/>
      <c r="AE1633" s="143"/>
      <c r="AF1633" s="143"/>
      <c r="AG1633" s="143"/>
      <c r="AH1633" s="143"/>
      <c r="AI1633" s="143"/>
      <c r="AJ1633" s="143"/>
    </row>
    <row r="1634" spans="1:36" s="144" customFormat="1" ht="21.75" customHeight="1">
      <c r="A1634" s="151"/>
      <c r="B1634" s="219"/>
      <c r="C1634" s="219"/>
      <c r="D1634" s="219"/>
      <c r="E1634" s="225"/>
      <c r="N1634" s="143"/>
      <c r="O1634" s="143"/>
      <c r="P1634" s="143"/>
      <c r="Q1634" s="143"/>
      <c r="R1634" s="143"/>
      <c r="S1634" s="143"/>
      <c r="T1634" s="143"/>
      <c r="U1634" s="143"/>
      <c r="V1634" s="143"/>
      <c r="W1634" s="143"/>
      <c r="X1634" s="143"/>
      <c r="Y1634" s="143"/>
      <c r="Z1634" s="143"/>
      <c r="AA1634" s="143"/>
      <c r="AB1634" s="143"/>
      <c r="AC1634" s="143"/>
      <c r="AD1634" s="143"/>
      <c r="AE1634" s="143"/>
      <c r="AF1634" s="143"/>
      <c r="AG1634" s="143"/>
      <c r="AH1634" s="143"/>
      <c r="AI1634" s="143"/>
      <c r="AJ1634" s="143"/>
    </row>
    <row r="1635" spans="1:36" s="144" customFormat="1" ht="21.75" customHeight="1">
      <c r="A1635" s="151"/>
      <c r="B1635" s="219"/>
      <c r="C1635" s="219"/>
      <c r="D1635" s="219"/>
      <c r="E1635" s="225"/>
      <c r="N1635" s="143"/>
      <c r="O1635" s="143"/>
      <c r="P1635" s="143"/>
      <c r="Q1635" s="143"/>
      <c r="R1635" s="143"/>
      <c r="S1635" s="143"/>
      <c r="T1635" s="143"/>
      <c r="U1635" s="143"/>
      <c r="V1635" s="143"/>
      <c r="W1635" s="143"/>
      <c r="X1635" s="143"/>
      <c r="Y1635" s="143"/>
      <c r="Z1635" s="143"/>
      <c r="AA1635" s="143"/>
      <c r="AB1635" s="143"/>
      <c r="AC1635" s="143"/>
      <c r="AD1635" s="143"/>
      <c r="AE1635" s="143"/>
      <c r="AF1635" s="143"/>
      <c r="AG1635" s="143"/>
      <c r="AH1635" s="143"/>
      <c r="AI1635" s="143"/>
      <c r="AJ1635" s="143"/>
    </row>
    <row r="1636" spans="1:36" s="144" customFormat="1" ht="21.75" customHeight="1">
      <c r="A1636" s="151"/>
      <c r="B1636" s="219"/>
      <c r="C1636" s="219"/>
      <c r="D1636" s="219"/>
      <c r="E1636" s="225"/>
      <c r="N1636" s="143"/>
      <c r="O1636" s="143"/>
      <c r="P1636" s="143"/>
      <c r="Q1636" s="143"/>
      <c r="R1636" s="143"/>
      <c r="S1636" s="143"/>
      <c r="T1636" s="143"/>
      <c r="U1636" s="143"/>
      <c r="V1636" s="143"/>
      <c r="W1636" s="143"/>
      <c r="X1636" s="143"/>
      <c r="Y1636" s="143"/>
      <c r="Z1636" s="143"/>
      <c r="AA1636" s="143"/>
      <c r="AB1636" s="143"/>
      <c r="AC1636" s="143"/>
      <c r="AD1636" s="143"/>
      <c r="AE1636" s="143"/>
      <c r="AF1636" s="143"/>
      <c r="AG1636" s="143"/>
      <c r="AH1636" s="143"/>
      <c r="AI1636" s="143"/>
      <c r="AJ1636" s="143"/>
    </row>
    <row r="1637" spans="1:36" s="144" customFormat="1" ht="21.75" customHeight="1">
      <c r="A1637" s="151"/>
      <c r="B1637" s="219"/>
      <c r="C1637" s="219"/>
      <c r="D1637" s="219"/>
      <c r="E1637" s="225"/>
      <c r="N1637" s="143"/>
      <c r="O1637" s="143"/>
      <c r="P1637" s="143"/>
      <c r="Q1637" s="143"/>
      <c r="R1637" s="143"/>
      <c r="S1637" s="143"/>
      <c r="T1637" s="143"/>
      <c r="U1637" s="143"/>
      <c r="V1637" s="143"/>
      <c r="W1637" s="143"/>
      <c r="X1637" s="143"/>
      <c r="Y1637" s="143"/>
      <c r="Z1637" s="143"/>
      <c r="AA1637" s="143"/>
      <c r="AB1637" s="143"/>
      <c r="AC1637" s="143"/>
      <c r="AD1637" s="143"/>
      <c r="AE1637" s="143"/>
      <c r="AF1637" s="143"/>
      <c r="AG1637" s="143"/>
      <c r="AH1637" s="143"/>
      <c r="AI1637" s="143"/>
      <c r="AJ1637" s="143"/>
    </row>
    <row r="1638" spans="1:36" s="144" customFormat="1" ht="21.75" customHeight="1">
      <c r="A1638" s="151"/>
      <c r="B1638" s="219"/>
      <c r="C1638" s="219"/>
      <c r="D1638" s="219"/>
      <c r="E1638" s="225"/>
      <c r="N1638" s="143"/>
      <c r="O1638" s="143"/>
      <c r="P1638" s="143"/>
      <c r="Q1638" s="143"/>
      <c r="R1638" s="143"/>
      <c r="S1638" s="143"/>
      <c r="T1638" s="143"/>
      <c r="U1638" s="143"/>
      <c r="V1638" s="143"/>
      <c r="W1638" s="143"/>
      <c r="X1638" s="143"/>
      <c r="Y1638" s="143"/>
      <c r="Z1638" s="143"/>
      <c r="AA1638" s="143"/>
      <c r="AB1638" s="143"/>
      <c r="AC1638" s="143"/>
      <c r="AD1638" s="143"/>
      <c r="AE1638" s="143"/>
      <c r="AF1638" s="143"/>
      <c r="AG1638" s="143"/>
      <c r="AH1638" s="143"/>
      <c r="AI1638" s="143"/>
      <c r="AJ1638" s="143"/>
    </row>
    <row r="1639" spans="1:36" s="144" customFormat="1" ht="21.75" customHeight="1">
      <c r="A1639" s="151"/>
      <c r="B1639" s="219"/>
      <c r="C1639" s="219"/>
      <c r="D1639" s="219"/>
      <c r="E1639" s="225"/>
      <c r="N1639" s="143"/>
      <c r="O1639" s="143"/>
      <c r="P1639" s="143"/>
      <c r="Q1639" s="143"/>
      <c r="R1639" s="143"/>
      <c r="S1639" s="143"/>
      <c r="T1639" s="143"/>
      <c r="U1639" s="143"/>
      <c r="V1639" s="143"/>
      <c r="W1639" s="143"/>
      <c r="X1639" s="143"/>
      <c r="Y1639" s="143"/>
      <c r="Z1639" s="143"/>
      <c r="AA1639" s="143"/>
      <c r="AB1639" s="143"/>
      <c r="AC1639" s="143"/>
      <c r="AD1639" s="143"/>
      <c r="AE1639" s="143"/>
      <c r="AF1639" s="143"/>
      <c r="AG1639" s="143"/>
      <c r="AH1639" s="143"/>
      <c r="AI1639" s="143"/>
      <c r="AJ1639" s="143"/>
    </row>
    <row r="1640" spans="1:36" s="144" customFormat="1" ht="21.75" customHeight="1">
      <c r="A1640" s="151"/>
      <c r="B1640" s="219"/>
      <c r="C1640" s="219"/>
      <c r="D1640" s="219"/>
      <c r="E1640" s="225"/>
      <c r="N1640" s="143"/>
      <c r="O1640" s="143"/>
      <c r="P1640" s="143"/>
      <c r="Q1640" s="143"/>
      <c r="R1640" s="143"/>
      <c r="S1640" s="143"/>
      <c r="T1640" s="143"/>
      <c r="U1640" s="143"/>
      <c r="V1640" s="143"/>
      <c r="W1640" s="143"/>
      <c r="X1640" s="143"/>
      <c r="Y1640" s="143"/>
      <c r="Z1640" s="143"/>
      <c r="AA1640" s="143"/>
      <c r="AB1640" s="143"/>
      <c r="AC1640" s="143"/>
      <c r="AD1640" s="143"/>
      <c r="AE1640" s="143"/>
      <c r="AF1640" s="143"/>
      <c r="AG1640" s="143"/>
      <c r="AH1640" s="143"/>
      <c r="AI1640" s="143"/>
      <c r="AJ1640" s="143"/>
    </row>
    <row r="1641" spans="1:36" s="144" customFormat="1" ht="21.75" customHeight="1">
      <c r="A1641" s="151"/>
      <c r="B1641" s="219"/>
      <c r="C1641" s="219"/>
      <c r="D1641" s="219"/>
      <c r="E1641" s="225"/>
      <c r="N1641" s="143"/>
      <c r="O1641" s="143"/>
      <c r="P1641" s="143"/>
      <c r="Q1641" s="143"/>
      <c r="R1641" s="143"/>
      <c r="S1641" s="143"/>
      <c r="T1641" s="143"/>
      <c r="U1641" s="143"/>
      <c r="V1641" s="143"/>
      <c r="W1641" s="143"/>
      <c r="X1641" s="143"/>
      <c r="Y1641" s="143"/>
      <c r="Z1641" s="143"/>
      <c r="AA1641" s="143"/>
      <c r="AB1641" s="143"/>
      <c r="AC1641" s="143"/>
      <c r="AD1641" s="143"/>
      <c r="AE1641" s="143"/>
      <c r="AF1641" s="143"/>
      <c r="AG1641" s="143"/>
      <c r="AH1641" s="143"/>
      <c r="AI1641" s="143"/>
      <c r="AJ1641" s="143"/>
    </row>
    <row r="1642" spans="1:36" s="144" customFormat="1" ht="21.75" customHeight="1">
      <c r="A1642" s="151"/>
      <c r="B1642" s="219"/>
      <c r="C1642" s="219"/>
      <c r="D1642" s="219"/>
      <c r="E1642" s="225"/>
      <c r="N1642" s="143"/>
      <c r="O1642" s="143"/>
      <c r="P1642" s="143"/>
      <c r="Q1642" s="143"/>
      <c r="R1642" s="143"/>
      <c r="S1642" s="143"/>
      <c r="T1642" s="143"/>
      <c r="U1642" s="143"/>
      <c r="V1642" s="143"/>
      <c r="W1642" s="143"/>
      <c r="X1642" s="143"/>
      <c r="Y1642" s="143"/>
      <c r="Z1642" s="143"/>
      <c r="AA1642" s="143"/>
      <c r="AB1642" s="143"/>
      <c r="AC1642" s="143"/>
      <c r="AD1642" s="143"/>
      <c r="AE1642" s="143"/>
      <c r="AF1642" s="143"/>
      <c r="AG1642" s="143"/>
      <c r="AH1642" s="143"/>
      <c r="AI1642" s="143"/>
      <c r="AJ1642" s="143"/>
    </row>
    <row r="1643" spans="1:36" s="144" customFormat="1" ht="21.75" customHeight="1">
      <c r="A1643" s="151"/>
      <c r="B1643" s="219"/>
      <c r="C1643" s="219"/>
      <c r="D1643" s="219"/>
      <c r="E1643" s="225"/>
      <c r="N1643" s="143"/>
      <c r="O1643" s="143"/>
      <c r="P1643" s="143"/>
      <c r="Q1643" s="143"/>
      <c r="R1643" s="143"/>
      <c r="S1643" s="143"/>
      <c r="T1643" s="143"/>
      <c r="U1643" s="143"/>
      <c r="V1643" s="143"/>
      <c r="W1643" s="143"/>
      <c r="X1643" s="143"/>
      <c r="Y1643" s="143"/>
      <c r="Z1643" s="143"/>
      <c r="AA1643" s="143"/>
      <c r="AB1643" s="143"/>
      <c r="AC1643" s="143"/>
      <c r="AD1643" s="143"/>
      <c r="AE1643" s="143"/>
      <c r="AF1643" s="143"/>
      <c r="AG1643" s="143"/>
      <c r="AH1643" s="143"/>
      <c r="AI1643" s="143"/>
      <c r="AJ1643" s="143"/>
    </row>
    <row r="1644" spans="1:36" s="144" customFormat="1" ht="21.75" customHeight="1">
      <c r="A1644" s="151"/>
      <c r="B1644" s="219"/>
      <c r="C1644" s="219"/>
      <c r="D1644" s="219"/>
      <c r="E1644" s="225"/>
      <c r="N1644" s="143"/>
      <c r="O1644" s="143"/>
      <c r="P1644" s="143"/>
      <c r="Q1644" s="143"/>
      <c r="R1644" s="143"/>
      <c r="S1644" s="143"/>
      <c r="T1644" s="143"/>
      <c r="U1644" s="143"/>
      <c r="V1644" s="143"/>
      <c r="W1644" s="143"/>
      <c r="X1644" s="143"/>
      <c r="Y1644" s="143"/>
      <c r="Z1644" s="143"/>
      <c r="AA1644" s="143"/>
      <c r="AB1644" s="143"/>
      <c r="AC1644" s="143"/>
      <c r="AD1644" s="143"/>
      <c r="AE1644" s="143"/>
      <c r="AF1644" s="143"/>
      <c r="AG1644" s="143"/>
      <c r="AH1644" s="143"/>
      <c r="AI1644" s="143"/>
      <c r="AJ1644" s="143"/>
    </row>
    <row r="1645" spans="1:36" s="144" customFormat="1" ht="21.75" customHeight="1">
      <c r="A1645" s="151"/>
      <c r="B1645" s="219"/>
      <c r="C1645" s="219"/>
      <c r="D1645" s="219"/>
      <c r="E1645" s="225"/>
      <c r="N1645" s="143"/>
      <c r="O1645" s="143"/>
      <c r="P1645" s="143"/>
      <c r="Q1645" s="143"/>
      <c r="R1645" s="143"/>
      <c r="S1645" s="143"/>
      <c r="T1645" s="143"/>
      <c r="U1645" s="143"/>
      <c r="V1645" s="143"/>
      <c r="W1645" s="143"/>
      <c r="X1645" s="143"/>
      <c r="Y1645" s="143"/>
      <c r="Z1645" s="143"/>
      <c r="AA1645" s="143"/>
      <c r="AB1645" s="143"/>
      <c r="AC1645" s="143"/>
      <c r="AD1645" s="143"/>
      <c r="AE1645" s="143"/>
      <c r="AF1645" s="143"/>
      <c r="AG1645" s="143"/>
      <c r="AH1645" s="143"/>
      <c r="AI1645" s="143"/>
      <c r="AJ1645" s="143"/>
    </row>
    <row r="1646" spans="1:36" s="144" customFormat="1" ht="21.75" customHeight="1">
      <c r="A1646" s="151"/>
      <c r="B1646" s="219"/>
      <c r="C1646" s="219"/>
      <c r="D1646" s="219"/>
      <c r="E1646" s="225"/>
      <c r="N1646" s="143"/>
      <c r="O1646" s="143"/>
      <c r="P1646" s="143"/>
      <c r="Q1646" s="143"/>
      <c r="R1646" s="143"/>
      <c r="S1646" s="143"/>
      <c r="T1646" s="143"/>
      <c r="U1646" s="143"/>
      <c r="V1646" s="143"/>
      <c r="W1646" s="143"/>
      <c r="X1646" s="143"/>
      <c r="Y1646" s="143"/>
      <c r="Z1646" s="143"/>
      <c r="AA1646" s="143"/>
      <c r="AB1646" s="143"/>
      <c r="AC1646" s="143"/>
      <c r="AD1646" s="143"/>
      <c r="AE1646" s="143"/>
      <c r="AF1646" s="143"/>
      <c r="AG1646" s="143"/>
      <c r="AH1646" s="143"/>
      <c r="AI1646" s="143"/>
      <c r="AJ1646" s="143"/>
    </row>
    <row r="1647" spans="1:36" s="144" customFormat="1" ht="21.75" customHeight="1">
      <c r="A1647" s="151"/>
      <c r="B1647" s="219"/>
      <c r="C1647" s="219"/>
      <c r="D1647" s="219"/>
      <c r="E1647" s="225"/>
      <c r="N1647" s="143"/>
      <c r="O1647" s="143"/>
      <c r="P1647" s="143"/>
      <c r="Q1647" s="143"/>
      <c r="R1647" s="143"/>
      <c r="S1647" s="143"/>
      <c r="T1647" s="143"/>
      <c r="U1647" s="143"/>
      <c r="V1647" s="143"/>
      <c r="W1647" s="143"/>
      <c r="X1647" s="143"/>
      <c r="Y1647" s="143"/>
      <c r="Z1647" s="143"/>
      <c r="AA1647" s="143"/>
      <c r="AB1647" s="143"/>
      <c r="AC1647" s="143"/>
      <c r="AD1647" s="143"/>
      <c r="AE1647" s="143"/>
      <c r="AF1647" s="143"/>
      <c r="AG1647" s="143"/>
      <c r="AH1647" s="143"/>
      <c r="AI1647" s="143"/>
      <c r="AJ1647" s="143"/>
    </row>
    <row r="1648" spans="1:36" s="144" customFormat="1" ht="21.75" customHeight="1">
      <c r="A1648" s="151"/>
      <c r="B1648" s="219"/>
      <c r="C1648" s="219"/>
      <c r="D1648" s="219"/>
      <c r="E1648" s="225"/>
      <c r="N1648" s="143"/>
      <c r="O1648" s="143"/>
      <c r="P1648" s="143"/>
      <c r="Q1648" s="143"/>
      <c r="R1648" s="143"/>
      <c r="S1648" s="143"/>
      <c r="T1648" s="143"/>
      <c r="U1648" s="143"/>
      <c r="V1648" s="143"/>
      <c r="W1648" s="143"/>
      <c r="X1648" s="143"/>
      <c r="Y1648" s="143"/>
      <c r="Z1648" s="143"/>
      <c r="AA1648" s="143"/>
      <c r="AB1648" s="143"/>
      <c r="AC1648" s="143"/>
      <c r="AD1648" s="143"/>
      <c r="AE1648" s="143"/>
      <c r="AF1648" s="143"/>
      <c r="AG1648" s="143"/>
      <c r="AH1648" s="143"/>
      <c r="AI1648" s="143"/>
      <c r="AJ1648" s="143"/>
    </row>
    <row r="1649" spans="1:36" s="144" customFormat="1" ht="21.75" customHeight="1">
      <c r="A1649" s="151"/>
      <c r="B1649" s="219"/>
      <c r="C1649" s="219"/>
      <c r="D1649" s="219"/>
      <c r="E1649" s="225"/>
      <c r="N1649" s="143"/>
      <c r="O1649" s="143"/>
      <c r="P1649" s="143"/>
      <c r="Q1649" s="143"/>
      <c r="R1649" s="143"/>
      <c r="S1649" s="143"/>
      <c r="T1649" s="143"/>
      <c r="U1649" s="143"/>
      <c r="V1649" s="143"/>
      <c r="W1649" s="143"/>
      <c r="X1649" s="143"/>
      <c r="Y1649" s="143"/>
      <c r="Z1649" s="143"/>
      <c r="AA1649" s="143"/>
      <c r="AB1649" s="143"/>
      <c r="AC1649" s="143"/>
      <c r="AD1649" s="143"/>
      <c r="AE1649" s="143"/>
      <c r="AF1649" s="143"/>
      <c r="AG1649" s="143"/>
      <c r="AH1649" s="143"/>
      <c r="AI1649" s="143"/>
      <c r="AJ1649" s="143"/>
    </row>
    <row r="1650" spans="1:36" s="144" customFormat="1" ht="21.75" customHeight="1">
      <c r="A1650" s="151"/>
      <c r="B1650" s="219"/>
      <c r="C1650" s="219"/>
      <c r="D1650" s="219"/>
      <c r="E1650" s="225"/>
      <c r="N1650" s="143"/>
      <c r="O1650" s="143"/>
      <c r="P1650" s="143"/>
      <c r="Q1650" s="143"/>
      <c r="R1650" s="143"/>
      <c r="S1650" s="143"/>
      <c r="T1650" s="143"/>
      <c r="U1650" s="143"/>
      <c r="V1650" s="143"/>
      <c r="W1650" s="143"/>
      <c r="X1650" s="143"/>
      <c r="Y1650" s="143"/>
      <c r="Z1650" s="143"/>
      <c r="AA1650" s="143"/>
      <c r="AB1650" s="143"/>
      <c r="AC1650" s="143"/>
      <c r="AD1650" s="143"/>
      <c r="AE1650" s="143"/>
      <c r="AF1650" s="143"/>
      <c r="AG1650" s="143"/>
      <c r="AH1650" s="143"/>
      <c r="AI1650" s="143"/>
      <c r="AJ1650" s="143"/>
    </row>
    <row r="1651" spans="1:36" s="144" customFormat="1" ht="21.75" customHeight="1">
      <c r="A1651" s="151"/>
      <c r="B1651" s="219"/>
      <c r="C1651" s="219"/>
      <c r="D1651" s="219"/>
      <c r="E1651" s="225"/>
      <c r="N1651" s="143"/>
      <c r="O1651" s="143"/>
      <c r="P1651" s="143"/>
      <c r="Q1651" s="143"/>
      <c r="R1651" s="143"/>
      <c r="S1651" s="143"/>
      <c r="T1651" s="143"/>
      <c r="U1651" s="143"/>
      <c r="V1651" s="143"/>
      <c r="W1651" s="143"/>
      <c r="X1651" s="143"/>
      <c r="Y1651" s="143"/>
      <c r="Z1651" s="143"/>
      <c r="AA1651" s="143"/>
      <c r="AB1651" s="143"/>
      <c r="AC1651" s="143"/>
      <c r="AD1651" s="143"/>
      <c r="AE1651" s="143"/>
      <c r="AF1651" s="143"/>
      <c r="AG1651" s="143"/>
      <c r="AH1651" s="143"/>
      <c r="AI1651" s="143"/>
      <c r="AJ1651" s="143"/>
    </row>
    <row r="1652" spans="1:36" s="144" customFormat="1" ht="21.75" customHeight="1">
      <c r="A1652" s="151"/>
      <c r="B1652" s="219"/>
      <c r="C1652" s="219"/>
      <c r="D1652" s="219"/>
      <c r="E1652" s="225"/>
      <c r="N1652" s="143"/>
      <c r="O1652" s="143"/>
      <c r="P1652" s="143"/>
      <c r="Q1652" s="143"/>
      <c r="R1652" s="143"/>
      <c r="S1652" s="143"/>
      <c r="T1652" s="143"/>
      <c r="U1652" s="143"/>
      <c r="V1652" s="143"/>
      <c r="W1652" s="143"/>
      <c r="X1652" s="143"/>
      <c r="Y1652" s="143"/>
      <c r="Z1652" s="143"/>
      <c r="AA1652" s="143"/>
      <c r="AB1652" s="143"/>
      <c r="AC1652" s="143"/>
      <c r="AD1652" s="143"/>
      <c r="AE1652" s="143"/>
      <c r="AF1652" s="143"/>
      <c r="AG1652" s="143"/>
      <c r="AH1652" s="143"/>
      <c r="AI1652" s="143"/>
      <c r="AJ1652" s="143"/>
    </row>
    <row r="1653" spans="1:36" s="144" customFormat="1" ht="21.75" customHeight="1">
      <c r="A1653" s="151"/>
      <c r="B1653" s="219"/>
      <c r="C1653" s="219"/>
      <c r="D1653" s="219"/>
      <c r="E1653" s="225"/>
      <c r="N1653" s="143"/>
      <c r="O1653" s="143"/>
      <c r="P1653" s="143"/>
      <c r="Q1653" s="143"/>
      <c r="R1653" s="143"/>
      <c r="S1653" s="143"/>
      <c r="T1653" s="143"/>
      <c r="U1653" s="143"/>
      <c r="V1653" s="143"/>
      <c r="W1653" s="143"/>
      <c r="X1653" s="143"/>
      <c r="Y1653" s="143"/>
      <c r="Z1653" s="143"/>
      <c r="AA1653" s="143"/>
      <c r="AB1653" s="143"/>
      <c r="AC1653" s="143"/>
      <c r="AD1653" s="143"/>
      <c r="AE1653" s="143"/>
      <c r="AF1653" s="143"/>
      <c r="AG1653" s="143"/>
      <c r="AH1653" s="143"/>
      <c r="AI1653" s="143"/>
      <c r="AJ1653" s="143"/>
    </row>
    <row r="1654" spans="1:36" s="144" customFormat="1" ht="21.75" customHeight="1">
      <c r="A1654" s="151"/>
      <c r="B1654" s="219"/>
      <c r="C1654" s="219"/>
      <c r="D1654" s="219"/>
      <c r="E1654" s="225"/>
      <c r="N1654" s="143"/>
      <c r="O1654" s="143"/>
      <c r="P1654" s="143"/>
      <c r="Q1654" s="143"/>
      <c r="R1654" s="143"/>
      <c r="S1654" s="143"/>
      <c r="T1654" s="143"/>
      <c r="U1654" s="143"/>
      <c r="V1654" s="143"/>
      <c r="W1654" s="143"/>
      <c r="X1654" s="143"/>
      <c r="Y1654" s="143"/>
      <c r="Z1654" s="143"/>
      <c r="AA1654" s="143"/>
      <c r="AB1654" s="143"/>
      <c r="AC1654" s="143"/>
      <c r="AD1654" s="143"/>
      <c r="AE1654" s="143"/>
      <c r="AF1654" s="143"/>
      <c r="AG1654" s="143"/>
      <c r="AH1654" s="143"/>
      <c r="AI1654" s="143"/>
      <c r="AJ1654" s="143"/>
    </row>
    <row r="1655" spans="1:36" s="144" customFormat="1" ht="21.75" customHeight="1">
      <c r="A1655" s="151"/>
      <c r="B1655" s="219"/>
      <c r="C1655" s="219"/>
      <c r="D1655" s="219"/>
      <c r="E1655" s="225"/>
      <c r="N1655" s="143"/>
      <c r="O1655" s="143"/>
      <c r="P1655" s="143"/>
      <c r="Q1655" s="143"/>
      <c r="R1655" s="143"/>
      <c r="S1655" s="143"/>
      <c r="T1655" s="143"/>
      <c r="U1655" s="143"/>
      <c r="V1655" s="143"/>
      <c r="W1655" s="143"/>
      <c r="X1655" s="143"/>
      <c r="Y1655" s="143"/>
      <c r="Z1655" s="143"/>
      <c r="AA1655" s="143"/>
      <c r="AB1655" s="143"/>
      <c r="AC1655" s="143"/>
      <c r="AD1655" s="143"/>
      <c r="AE1655" s="143"/>
      <c r="AF1655" s="143"/>
      <c r="AG1655" s="143"/>
      <c r="AH1655" s="143"/>
      <c r="AI1655" s="143"/>
      <c r="AJ1655" s="143"/>
    </row>
    <row r="1656" spans="1:36" s="144" customFormat="1" ht="21.75" customHeight="1">
      <c r="A1656" s="151"/>
      <c r="B1656" s="219"/>
      <c r="C1656" s="219"/>
      <c r="D1656" s="219"/>
      <c r="E1656" s="225"/>
      <c r="N1656" s="143"/>
      <c r="O1656" s="143"/>
      <c r="P1656" s="143"/>
      <c r="Q1656" s="143"/>
      <c r="R1656" s="143"/>
      <c r="S1656" s="143"/>
      <c r="T1656" s="143"/>
      <c r="U1656" s="143"/>
      <c r="V1656" s="143"/>
      <c r="W1656" s="143"/>
      <c r="X1656" s="143"/>
      <c r="Y1656" s="143"/>
      <c r="Z1656" s="143"/>
      <c r="AA1656" s="143"/>
      <c r="AB1656" s="143"/>
      <c r="AC1656" s="143"/>
      <c r="AD1656" s="143"/>
      <c r="AE1656" s="143"/>
      <c r="AF1656" s="143"/>
      <c r="AG1656" s="143"/>
      <c r="AH1656" s="143"/>
      <c r="AI1656" s="143"/>
      <c r="AJ1656" s="143"/>
    </row>
    <row r="1657" spans="1:36" s="144" customFormat="1" ht="21.75" customHeight="1">
      <c r="A1657" s="151"/>
      <c r="B1657" s="219"/>
      <c r="C1657" s="219"/>
      <c r="D1657" s="219"/>
      <c r="E1657" s="225"/>
      <c r="N1657" s="143"/>
      <c r="O1657" s="143"/>
      <c r="P1657" s="143"/>
      <c r="Q1657" s="143"/>
      <c r="R1657" s="143"/>
      <c r="S1657" s="143"/>
      <c r="T1657" s="143"/>
      <c r="U1657" s="143"/>
      <c r="V1657" s="143"/>
      <c r="W1657" s="143"/>
      <c r="X1657" s="143"/>
      <c r="Y1657" s="143"/>
      <c r="Z1657" s="143"/>
      <c r="AA1657" s="143"/>
      <c r="AB1657" s="143"/>
      <c r="AC1657" s="143"/>
      <c r="AD1657" s="143"/>
      <c r="AE1657" s="143"/>
      <c r="AF1657" s="143"/>
      <c r="AG1657" s="143"/>
      <c r="AH1657" s="143"/>
      <c r="AI1657" s="143"/>
      <c r="AJ1657" s="143"/>
    </row>
    <row r="1658" spans="1:36" s="144" customFormat="1" ht="21.75" customHeight="1">
      <c r="A1658" s="151"/>
      <c r="B1658" s="219"/>
      <c r="C1658" s="219"/>
      <c r="D1658" s="219"/>
      <c r="E1658" s="225"/>
      <c r="N1658" s="143"/>
      <c r="O1658" s="143"/>
      <c r="P1658" s="143"/>
      <c r="Q1658" s="143"/>
      <c r="R1658" s="143"/>
      <c r="S1658" s="143"/>
      <c r="T1658" s="143"/>
      <c r="U1658" s="143"/>
      <c r="V1658" s="143"/>
      <c r="W1658" s="143"/>
      <c r="X1658" s="143"/>
      <c r="Y1658" s="143"/>
      <c r="Z1658" s="143"/>
      <c r="AA1658" s="143"/>
      <c r="AB1658" s="143"/>
      <c r="AC1658" s="143"/>
      <c r="AD1658" s="143"/>
      <c r="AE1658" s="143"/>
      <c r="AF1658" s="143"/>
      <c r="AG1658" s="143"/>
      <c r="AH1658" s="143"/>
      <c r="AI1658" s="143"/>
      <c r="AJ1658" s="143"/>
    </row>
    <row r="1659" spans="1:36" s="144" customFormat="1" ht="21.75" customHeight="1">
      <c r="A1659" s="151"/>
      <c r="B1659" s="219"/>
      <c r="C1659" s="219"/>
      <c r="D1659" s="219"/>
      <c r="E1659" s="225"/>
      <c r="N1659" s="143"/>
      <c r="O1659" s="143"/>
      <c r="P1659" s="143"/>
      <c r="Q1659" s="143"/>
      <c r="R1659" s="143"/>
      <c r="S1659" s="143"/>
      <c r="T1659" s="143"/>
      <c r="U1659" s="143"/>
      <c r="V1659" s="143"/>
      <c r="W1659" s="143"/>
      <c r="X1659" s="143"/>
      <c r="Y1659" s="143"/>
      <c r="Z1659" s="143"/>
      <c r="AA1659" s="143"/>
      <c r="AB1659" s="143"/>
      <c r="AC1659" s="143"/>
      <c r="AD1659" s="143"/>
      <c r="AE1659" s="143"/>
      <c r="AF1659" s="143"/>
      <c r="AG1659" s="143"/>
      <c r="AH1659" s="143"/>
      <c r="AI1659" s="143"/>
      <c r="AJ1659" s="143"/>
    </row>
    <row r="1660" spans="1:36" s="144" customFormat="1" ht="21.75" customHeight="1">
      <c r="A1660" s="151"/>
      <c r="B1660" s="219"/>
      <c r="C1660" s="219"/>
      <c r="D1660" s="219"/>
      <c r="E1660" s="225"/>
      <c r="N1660" s="143"/>
      <c r="O1660" s="143"/>
      <c r="P1660" s="143"/>
      <c r="Q1660" s="143"/>
      <c r="R1660" s="143"/>
      <c r="S1660" s="143"/>
      <c r="T1660" s="143"/>
      <c r="U1660" s="143"/>
      <c r="V1660" s="143"/>
      <c r="W1660" s="143"/>
      <c r="X1660" s="143"/>
      <c r="Y1660" s="143"/>
      <c r="Z1660" s="143"/>
      <c r="AA1660" s="143"/>
      <c r="AB1660" s="143"/>
      <c r="AC1660" s="143"/>
      <c r="AD1660" s="143"/>
      <c r="AE1660" s="143"/>
      <c r="AF1660" s="143"/>
      <c r="AG1660" s="143"/>
      <c r="AH1660" s="143"/>
      <c r="AI1660" s="143"/>
      <c r="AJ1660" s="143"/>
    </row>
    <row r="1661" spans="1:36" s="144" customFormat="1" ht="21.75" customHeight="1">
      <c r="A1661" s="151"/>
      <c r="B1661" s="219"/>
      <c r="C1661" s="219"/>
      <c r="D1661" s="219"/>
      <c r="E1661" s="225"/>
      <c r="N1661" s="143"/>
      <c r="O1661" s="143"/>
      <c r="P1661" s="143"/>
      <c r="Q1661" s="143"/>
      <c r="R1661" s="143"/>
      <c r="S1661" s="143"/>
      <c r="T1661" s="143"/>
      <c r="U1661" s="143"/>
      <c r="V1661" s="143"/>
      <c r="W1661" s="143"/>
      <c r="X1661" s="143"/>
      <c r="Y1661" s="143"/>
      <c r="Z1661" s="143"/>
      <c r="AA1661" s="143"/>
      <c r="AB1661" s="143"/>
      <c r="AC1661" s="143"/>
      <c r="AD1661" s="143"/>
      <c r="AE1661" s="143"/>
      <c r="AF1661" s="143"/>
      <c r="AG1661" s="143"/>
      <c r="AH1661" s="143"/>
      <c r="AI1661" s="143"/>
      <c r="AJ1661" s="143"/>
    </row>
    <row r="1662" spans="1:36" s="144" customFormat="1" ht="21.75" customHeight="1">
      <c r="A1662" s="151"/>
      <c r="B1662" s="219"/>
      <c r="C1662" s="219"/>
      <c r="D1662" s="219"/>
      <c r="E1662" s="225"/>
      <c r="N1662" s="143"/>
      <c r="O1662" s="143"/>
      <c r="P1662" s="143"/>
      <c r="Q1662" s="143"/>
      <c r="R1662" s="143"/>
      <c r="S1662" s="143"/>
      <c r="T1662" s="143"/>
      <c r="U1662" s="143"/>
      <c r="V1662" s="143"/>
      <c r="W1662" s="143"/>
      <c r="X1662" s="143"/>
      <c r="Y1662" s="143"/>
      <c r="Z1662" s="143"/>
      <c r="AA1662" s="143"/>
      <c r="AB1662" s="143"/>
      <c r="AC1662" s="143"/>
      <c r="AD1662" s="143"/>
      <c r="AE1662" s="143"/>
      <c r="AF1662" s="143"/>
      <c r="AG1662" s="143"/>
      <c r="AH1662" s="143"/>
      <c r="AI1662" s="143"/>
      <c r="AJ1662" s="143"/>
    </row>
    <row r="1663" spans="1:36" s="144" customFormat="1" ht="21.75" customHeight="1">
      <c r="A1663" s="151"/>
      <c r="B1663" s="219"/>
      <c r="C1663" s="219"/>
      <c r="D1663" s="219"/>
      <c r="E1663" s="225"/>
      <c r="N1663" s="143"/>
      <c r="O1663" s="143"/>
      <c r="P1663" s="143"/>
      <c r="Q1663" s="143"/>
      <c r="R1663" s="143"/>
      <c r="S1663" s="143"/>
      <c r="T1663" s="143"/>
      <c r="U1663" s="143"/>
      <c r="V1663" s="143"/>
      <c r="W1663" s="143"/>
      <c r="X1663" s="143"/>
      <c r="Y1663" s="143"/>
      <c r="Z1663" s="143"/>
      <c r="AA1663" s="143"/>
      <c r="AB1663" s="143"/>
      <c r="AC1663" s="143"/>
      <c r="AD1663" s="143"/>
      <c r="AE1663" s="143"/>
      <c r="AF1663" s="143"/>
      <c r="AG1663" s="143"/>
      <c r="AH1663" s="143"/>
      <c r="AI1663" s="143"/>
      <c r="AJ1663" s="143"/>
    </row>
    <row r="1664" spans="1:36" s="144" customFormat="1" ht="21.75" customHeight="1">
      <c r="A1664" s="151"/>
      <c r="B1664" s="219"/>
      <c r="C1664" s="219"/>
      <c r="D1664" s="219"/>
      <c r="E1664" s="225"/>
      <c r="N1664" s="143"/>
      <c r="O1664" s="143"/>
      <c r="P1664" s="143"/>
      <c r="Q1664" s="143"/>
      <c r="R1664" s="143"/>
      <c r="S1664" s="143"/>
      <c r="T1664" s="143"/>
      <c r="U1664" s="143"/>
      <c r="V1664" s="143"/>
      <c r="W1664" s="143"/>
      <c r="X1664" s="143"/>
      <c r="Y1664" s="143"/>
      <c r="Z1664" s="143"/>
      <c r="AA1664" s="143"/>
      <c r="AB1664" s="143"/>
      <c r="AC1664" s="143"/>
      <c r="AD1664" s="143"/>
      <c r="AE1664" s="143"/>
      <c r="AF1664" s="143"/>
      <c r="AG1664" s="143"/>
      <c r="AH1664" s="143"/>
      <c r="AI1664" s="143"/>
      <c r="AJ1664" s="143"/>
    </row>
    <row r="1665" spans="1:36" s="144" customFormat="1" ht="21.75" customHeight="1">
      <c r="A1665" s="151"/>
      <c r="B1665" s="219"/>
      <c r="C1665" s="219"/>
      <c r="D1665" s="219"/>
      <c r="E1665" s="225"/>
      <c r="N1665" s="143"/>
      <c r="O1665" s="143"/>
      <c r="P1665" s="143"/>
      <c r="Q1665" s="143"/>
      <c r="R1665" s="143"/>
      <c r="S1665" s="143"/>
      <c r="T1665" s="143"/>
      <c r="U1665" s="143"/>
      <c r="V1665" s="143"/>
      <c r="W1665" s="143"/>
      <c r="X1665" s="143"/>
      <c r="Y1665" s="143"/>
      <c r="Z1665" s="143"/>
      <c r="AA1665" s="143"/>
      <c r="AB1665" s="143"/>
      <c r="AC1665" s="143"/>
      <c r="AD1665" s="143"/>
      <c r="AE1665" s="143"/>
      <c r="AF1665" s="143"/>
      <c r="AG1665" s="143"/>
      <c r="AH1665" s="143"/>
      <c r="AI1665" s="143"/>
      <c r="AJ1665" s="143"/>
    </row>
    <row r="1666" spans="1:36" s="144" customFormat="1" ht="21.75" customHeight="1">
      <c r="A1666" s="151"/>
      <c r="B1666" s="219"/>
      <c r="C1666" s="219"/>
      <c r="D1666" s="219"/>
      <c r="E1666" s="225"/>
      <c r="N1666" s="143"/>
      <c r="O1666" s="143"/>
      <c r="P1666" s="143"/>
      <c r="Q1666" s="143"/>
      <c r="R1666" s="143"/>
      <c r="S1666" s="143"/>
      <c r="T1666" s="143"/>
      <c r="U1666" s="143"/>
      <c r="V1666" s="143"/>
      <c r="W1666" s="143"/>
      <c r="X1666" s="143"/>
      <c r="Y1666" s="143"/>
      <c r="Z1666" s="143"/>
      <c r="AA1666" s="143"/>
      <c r="AB1666" s="143"/>
      <c r="AC1666" s="143"/>
      <c r="AD1666" s="143"/>
      <c r="AE1666" s="143"/>
      <c r="AF1666" s="143"/>
      <c r="AG1666" s="143"/>
      <c r="AH1666" s="143"/>
      <c r="AI1666" s="143"/>
      <c r="AJ1666" s="143"/>
    </row>
    <row r="1667" spans="1:36" s="144" customFormat="1" ht="21.75" customHeight="1">
      <c r="A1667" s="151"/>
      <c r="B1667" s="219"/>
      <c r="C1667" s="219"/>
      <c r="D1667" s="219"/>
      <c r="E1667" s="225"/>
      <c r="N1667" s="143"/>
      <c r="O1667" s="143"/>
      <c r="P1667" s="143"/>
      <c r="Q1667" s="143"/>
      <c r="R1667" s="143"/>
      <c r="S1667" s="143"/>
      <c r="T1667" s="143"/>
      <c r="U1667" s="143"/>
      <c r="V1667" s="143"/>
      <c r="W1667" s="143"/>
      <c r="X1667" s="143"/>
      <c r="Y1667" s="143"/>
      <c r="Z1667" s="143"/>
      <c r="AA1667" s="143"/>
      <c r="AB1667" s="143"/>
      <c r="AC1667" s="143"/>
      <c r="AD1667" s="143"/>
      <c r="AE1667" s="143"/>
      <c r="AF1667" s="143"/>
      <c r="AG1667" s="143"/>
      <c r="AH1667" s="143"/>
      <c r="AI1667" s="143"/>
      <c r="AJ1667" s="143"/>
    </row>
    <row r="1668" spans="1:36" s="144" customFormat="1" ht="21.75" customHeight="1">
      <c r="A1668" s="151"/>
      <c r="B1668" s="219"/>
      <c r="C1668" s="219"/>
      <c r="D1668" s="219"/>
      <c r="E1668" s="225"/>
      <c r="N1668" s="143"/>
      <c r="O1668" s="143"/>
      <c r="P1668" s="143"/>
      <c r="Q1668" s="143"/>
      <c r="R1668" s="143"/>
      <c r="S1668" s="143"/>
      <c r="T1668" s="143"/>
      <c r="U1668" s="143"/>
      <c r="V1668" s="143"/>
      <c r="W1668" s="143"/>
      <c r="X1668" s="143"/>
      <c r="Y1668" s="143"/>
      <c r="Z1668" s="143"/>
      <c r="AA1668" s="143"/>
      <c r="AB1668" s="143"/>
      <c r="AC1668" s="143"/>
      <c r="AD1668" s="143"/>
      <c r="AE1668" s="143"/>
      <c r="AF1668" s="143"/>
      <c r="AG1668" s="143"/>
      <c r="AH1668" s="143"/>
      <c r="AI1668" s="143"/>
      <c r="AJ1668" s="143"/>
    </row>
    <row r="1669" spans="1:36" s="144" customFormat="1" ht="21.75" customHeight="1">
      <c r="A1669" s="151"/>
      <c r="B1669" s="219"/>
      <c r="C1669" s="219"/>
      <c r="D1669" s="219"/>
      <c r="E1669" s="225"/>
      <c r="N1669" s="143"/>
      <c r="O1669" s="143"/>
      <c r="P1669" s="143"/>
      <c r="Q1669" s="143"/>
      <c r="R1669" s="143"/>
      <c r="S1669" s="143"/>
      <c r="T1669" s="143"/>
      <c r="U1669" s="143"/>
      <c r="V1669" s="143"/>
      <c r="W1669" s="143"/>
      <c r="X1669" s="143"/>
      <c r="Y1669" s="143"/>
      <c r="Z1669" s="143"/>
      <c r="AA1669" s="143"/>
      <c r="AB1669" s="143"/>
      <c r="AC1669" s="143"/>
      <c r="AD1669" s="143"/>
      <c r="AE1669" s="143"/>
      <c r="AF1669" s="143"/>
      <c r="AG1669" s="143"/>
      <c r="AH1669" s="143"/>
      <c r="AI1669" s="143"/>
      <c r="AJ1669" s="143"/>
    </row>
    <row r="1670" spans="1:36" s="144" customFormat="1" ht="21.75" customHeight="1">
      <c r="A1670" s="151"/>
      <c r="B1670" s="219"/>
      <c r="C1670" s="219"/>
      <c r="D1670" s="219"/>
      <c r="E1670" s="225"/>
      <c r="N1670" s="143"/>
      <c r="O1670" s="143"/>
      <c r="P1670" s="143"/>
      <c r="Q1670" s="143"/>
      <c r="R1670" s="143"/>
      <c r="S1670" s="143"/>
      <c r="T1670" s="143"/>
      <c r="U1670" s="143"/>
      <c r="V1670" s="143"/>
      <c r="W1670" s="143"/>
      <c r="X1670" s="143"/>
      <c r="Y1670" s="143"/>
      <c r="Z1670" s="143"/>
      <c r="AA1670" s="143"/>
      <c r="AB1670" s="143"/>
      <c r="AC1670" s="143"/>
      <c r="AD1670" s="143"/>
      <c r="AE1670" s="143"/>
      <c r="AF1670" s="143"/>
      <c r="AG1670" s="143"/>
      <c r="AH1670" s="143"/>
      <c r="AI1670" s="143"/>
      <c r="AJ1670" s="143"/>
    </row>
    <row r="1671" spans="1:36" s="144" customFormat="1" ht="21.75" customHeight="1">
      <c r="A1671" s="151"/>
      <c r="B1671" s="219"/>
      <c r="C1671" s="219"/>
      <c r="D1671" s="219"/>
      <c r="E1671" s="225"/>
      <c r="N1671" s="143"/>
      <c r="O1671" s="143"/>
      <c r="P1671" s="143"/>
      <c r="Q1671" s="143"/>
      <c r="R1671" s="143"/>
      <c r="S1671" s="143"/>
      <c r="T1671" s="143"/>
      <c r="U1671" s="143"/>
      <c r="V1671" s="143"/>
      <c r="W1671" s="143"/>
      <c r="X1671" s="143"/>
      <c r="Y1671" s="143"/>
      <c r="Z1671" s="143"/>
      <c r="AA1671" s="143"/>
      <c r="AB1671" s="143"/>
      <c r="AC1671" s="143"/>
      <c r="AD1671" s="143"/>
      <c r="AE1671" s="143"/>
      <c r="AF1671" s="143"/>
      <c r="AG1671" s="143"/>
      <c r="AH1671" s="143"/>
      <c r="AI1671" s="143"/>
      <c r="AJ1671" s="143"/>
    </row>
    <row r="1672" spans="1:36" s="144" customFormat="1" ht="21.75" customHeight="1">
      <c r="A1672" s="151"/>
      <c r="B1672" s="219"/>
      <c r="C1672" s="219"/>
      <c r="D1672" s="219"/>
      <c r="E1672" s="225"/>
      <c r="N1672" s="143"/>
      <c r="O1672" s="143"/>
      <c r="P1672" s="143"/>
      <c r="Q1672" s="143"/>
      <c r="R1672" s="143"/>
      <c r="S1672" s="143"/>
      <c r="T1672" s="143"/>
      <c r="U1672" s="143"/>
      <c r="V1672" s="143"/>
      <c r="W1672" s="143"/>
      <c r="X1672" s="143"/>
      <c r="Y1672" s="143"/>
      <c r="Z1672" s="143"/>
      <c r="AA1672" s="143"/>
      <c r="AB1672" s="143"/>
      <c r="AC1672" s="143"/>
      <c r="AD1672" s="143"/>
      <c r="AE1672" s="143"/>
      <c r="AF1672" s="143"/>
      <c r="AG1672" s="143"/>
      <c r="AH1672" s="143"/>
      <c r="AI1672" s="143"/>
      <c r="AJ1672" s="143"/>
    </row>
    <row r="1673" spans="1:36" s="144" customFormat="1" ht="21.75" customHeight="1">
      <c r="A1673" s="151"/>
      <c r="B1673" s="219"/>
      <c r="C1673" s="219"/>
      <c r="D1673" s="219"/>
      <c r="E1673" s="225"/>
      <c r="N1673" s="143"/>
      <c r="O1673" s="143"/>
      <c r="P1673" s="143"/>
      <c r="Q1673" s="143"/>
      <c r="R1673" s="143"/>
      <c r="S1673" s="143"/>
      <c r="T1673" s="143"/>
      <c r="U1673" s="143"/>
      <c r="V1673" s="143"/>
      <c r="W1673" s="143"/>
      <c r="X1673" s="143"/>
      <c r="Y1673" s="143"/>
      <c r="Z1673" s="143"/>
      <c r="AA1673" s="143"/>
      <c r="AB1673" s="143"/>
      <c r="AC1673" s="143"/>
      <c r="AD1673" s="143"/>
      <c r="AE1673" s="143"/>
      <c r="AF1673" s="143"/>
      <c r="AG1673" s="143"/>
      <c r="AH1673" s="143"/>
      <c r="AI1673" s="143"/>
      <c r="AJ1673" s="143"/>
    </row>
    <row r="1674" spans="1:36" s="144" customFormat="1" ht="21.75" customHeight="1">
      <c r="A1674" s="151"/>
      <c r="B1674" s="219"/>
      <c r="C1674" s="219"/>
      <c r="D1674" s="219"/>
      <c r="E1674" s="225"/>
      <c r="N1674" s="143"/>
      <c r="O1674" s="143"/>
      <c r="P1674" s="143"/>
      <c r="Q1674" s="143"/>
      <c r="R1674" s="143"/>
      <c r="S1674" s="143"/>
      <c r="T1674" s="143"/>
      <c r="U1674" s="143"/>
      <c r="V1674" s="143"/>
      <c r="W1674" s="143"/>
      <c r="X1674" s="143"/>
      <c r="Y1674" s="143"/>
      <c r="Z1674" s="143"/>
      <c r="AA1674" s="143"/>
      <c r="AB1674" s="143"/>
      <c r="AC1674" s="143"/>
      <c r="AD1674" s="143"/>
      <c r="AE1674" s="143"/>
      <c r="AF1674" s="143"/>
      <c r="AG1674" s="143"/>
      <c r="AH1674" s="143"/>
      <c r="AI1674" s="143"/>
      <c r="AJ1674" s="143"/>
    </row>
    <row r="1675" spans="1:36" s="144" customFormat="1" ht="21.75" customHeight="1">
      <c r="A1675" s="151"/>
      <c r="B1675" s="219"/>
      <c r="C1675" s="219"/>
      <c r="D1675" s="219"/>
      <c r="E1675" s="225"/>
      <c r="N1675" s="143"/>
      <c r="O1675" s="143"/>
      <c r="P1675" s="143"/>
      <c r="Q1675" s="143"/>
      <c r="R1675" s="143"/>
      <c r="S1675" s="143"/>
      <c r="T1675" s="143"/>
      <c r="U1675" s="143"/>
      <c r="V1675" s="143"/>
      <c r="W1675" s="143"/>
      <c r="X1675" s="143"/>
      <c r="Y1675" s="143"/>
      <c r="Z1675" s="143"/>
      <c r="AA1675" s="143"/>
      <c r="AB1675" s="143"/>
      <c r="AC1675" s="143"/>
      <c r="AD1675" s="143"/>
      <c r="AE1675" s="143"/>
      <c r="AF1675" s="143"/>
      <c r="AG1675" s="143"/>
      <c r="AH1675" s="143"/>
      <c r="AI1675" s="143"/>
      <c r="AJ1675" s="143"/>
    </row>
    <row r="1676" spans="1:36" s="144" customFormat="1" ht="21.75" customHeight="1">
      <c r="A1676" s="151"/>
      <c r="B1676" s="219"/>
      <c r="C1676" s="219"/>
      <c r="D1676" s="219"/>
      <c r="E1676" s="225"/>
      <c r="N1676" s="143"/>
      <c r="O1676" s="143"/>
      <c r="P1676" s="143"/>
      <c r="Q1676" s="143"/>
      <c r="R1676" s="143"/>
      <c r="S1676" s="143"/>
      <c r="T1676" s="143"/>
      <c r="U1676" s="143"/>
      <c r="V1676" s="143"/>
      <c r="W1676" s="143"/>
      <c r="X1676" s="143"/>
      <c r="Y1676" s="143"/>
      <c r="Z1676" s="143"/>
      <c r="AA1676" s="143"/>
      <c r="AB1676" s="143"/>
      <c r="AC1676" s="143"/>
      <c r="AD1676" s="143"/>
      <c r="AE1676" s="143"/>
      <c r="AF1676" s="143"/>
      <c r="AG1676" s="143"/>
      <c r="AH1676" s="143"/>
      <c r="AI1676" s="143"/>
      <c r="AJ1676" s="143"/>
    </row>
    <row r="1677" spans="1:36" s="144" customFormat="1" ht="21.75" customHeight="1">
      <c r="A1677" s="151"/>
      <c r="B1677" s="219"/>
      <c r="C1677" s="219"/>
      <c r="D1677" s="219"/>
      <c r="E1677" s="225"/>
      <c r="N1677" s="143"/>
      <c r="O1677" s="143"/>
      <c r="P1677" s="143"/>
      <c r="Q1677" s="143"/>
      <c r="R1677" s="143"/>
      <c r="S1677" s="143"/>
      <c r="T1677" s="143"/>
      <c r="U1677" s="143"/>
      <c r="V1677" s="143"/>
      <c r="W1677" s="143"/>
      <c r="X1677" s="143"/>
      <c r="Y1677" s="143"/>
      <c r="Z1677" s="143"/>
      <c r="AA1677" s="143"/>
      <c r="AB1677" s="143"/>
      <c r="AC1677" s="143"/>
      <c r="AD1677" s="143"/>
      <c r="AE1677" s="143"/>
      <c r="AF1677" s="143"/>
      <c r="AG1677" s="143"/>
      <c r="AH1677" s="143"/>
      <c r="AI1677" s="143"/>
      <c r="AJ1677" s="143"/>
    </row>
    <row r="1678" spans="1:36" s="144" customFormat="1" ht="21.75" customHeight="1">
      <c r="A1678" s="151"/>
      <c r="B1678" s="219"/>
      <c r="C1678" s="219"/>
      <c r="D1678" s="219"/>
      <c r="E1678" s="225"/>
      <c r="N1678" s="143"/>
      <c r="O1678" s="143"/>
      <c r="P1678" s="143"/>
      <c r="Q1678" s="143"/>
      <c r="R1678" s="143"/>
      <c r="S1678" s="143"/>
      <c r="T1678" s="143"/>
      <c r="U1678" s="143"/>
      <c r="V1678" s="143"/>
      <c r="W1678" s="143"/>
      <c r="X1678" s="143"/>
      <c r="Y1678" s="143"/>
      <c r="Z1678" s="143"/>
      <c r="AA1678" s="143"/>
      <c r="AB1678" s="143"/>
      <c r="AC1678" s="143"/>
      <c r="AD1678" s="143"/>
      <c r="AE1678" s="143"/>
      <c r="AF1678" s="143"/>
      <c r="AG1678" s="143"/>
      <c r="AH1678" s="143"/>
      <c r="AI1678" s="143"/>
      <c r="AJ1678" s="143"/>
    </row>
    <row r="1679" spans="1:36" s="144" customFormat="1" ht="21.75" customHeight="1">
      <c r="A1679" s="151"/>
      <c r="B1679" s="219"/>
      <c r="C1679" s="219"/>
      <c r="D1679" s="219"/>
      <c r="E1679" s="225"/>
      <c r="N1679" s="143"/>
      <c r="O1679" s="143"/>
      <c r="P1679" s="143"/>
      <c r="Q1679" s="143"/>
      <c r="R1679" s="143"/>
      <c r="S1679" s="143"/>
      <c r="T1679" s="143"/>
      <c r="U1679" s="143"/>
      <c r="V1679" s="143"/>
      <c r="W1679" s="143"/>
      <c r="X1679" s="143"/>
      <c r="Y1679" s="143"/>
      <c r="Z1679" s="143"/>
      <c r="AA1679" s="143"/>
      <c r="AB1679" s="143"/>
      <c r="AC1679" s="143"/>
      <c r="AD1679" s="143"/>
      <c r="AE1679" s="143"/>
      <c r="AF1679" s="143"/>
      <c r="AG1679" s="143"/>
      <c r="AH1679" s="143"/>
      <c r="AI1679" s="143"/>
      <c r="AJ1679" s="143"/>
    </row>
    <row r="1680" spans="1:36" s="144" customFormat="1" ht="21.75" customHeight="1">
      <c r="A1680" s="151"/>
      <c r="B1680" s="219"/>
      <c r="C1680" s="219"/>
      <c r="D1680" s="219"/>
      <c r="E1680" s="225"/>
      <c r="N1680" s="143"/>
      <c r="O1680" s="143"/>
      <c r="P1680" s="143"/>
      <c r="Q1680" s="143"/>
      <c r="R1680" s="143"/>
      <c r="S1680" s="143"/>
      <c r="T1680" s="143"/>
      <c r="U1680" s="143"/>
      <c r="V1680" s="143"/>
      <c r="W1680" s="143"/>
      <c r="X1680" s="143"/>
      <c r="Y1680" s="143"/>
      <c r="Z1680" s="143"/>
      <c r="AA1680" s="143"/>
      <c r="AB1680" s="143"/>
      <c r="AC1680" s="143"/>
      <c r="AD1680" s="143"/>
      <c r="AE1680" s="143"/>
      <c r="AF1680" s="143"/>
      <c r="AG1680" s="143"/>
      <c r="AH1680" s="143"/>
      <c r="AI1680" s="143"/>
      <c r="AJ1680" s="143"/>
    </row>
    <row r="1681" spans="1:36" s="144" customFormat="1" ht="21.75" customHeight="1">
      <c r="A1681" s="151"/>
      <c r="B1681" s="219"/>
      <c r="C1681" s="219"/>
      <c r="D1681" s="219"/>
      <c r="E1681" s="225"/>
      <c r="N1681" s="143"/>
      <c r="O1681" s="143"/>
      <c r="P1681" s="143"/>
      <c r="Q1681" s="143"/>
      <c r="R1681" s="143"/>
      <c r="S1681" s="143"/>
      <c r="T1681" s="143"/>
      <c r="U1681" s="143"/>
      <c r="V1681" s="143"/>
      <c r="W1681" s="143"/>
      <c r="X1681" s="143"/>
      <c r="Y1681" s="143"/>
      <c r="Z1681" s="143"/>
      <c r="AA1681" s="143"/>
      <c r="AB1681" s="143"/>
      <c r="AC1681" s="143"/>
      <c r="AD1681" s="143"/>
      <c r="AE1681" s="143"/>
      <c r="AF1681" s="143"/>
      <c r="AG1681" s="143"/>
      <c r="AH1681" s="143"/>
      <c r="AI1681" s="143"/>
      <c r="AJ1681" s="143"/>
    </row>
    <row r="1682" spans="1:36" s="144" customFormat="1" ht="21.75" customHeight="1">
      <c r="A1682" s="151"/>
      <c r="B1682" s="219"/>
      <c r="C1682" s="219"/>
      <c r="D1682" s="219"/>
      <c r="E1682" s="225"/>
      <c r="N1682" s="143"/>
      <c r="O1682" s="143"/>
      <c r="P1682" s="143"/>
      <c r="Q1682" s="143"/>
      <c r="R1682" s="143"/>
      <c r="S1682" s="143"/>
      <c r="T1682" s="143"/>
      <c r="U1682" s="143"/>
      <c r="V1682" s="143"/>
      <c r="W1682" s="143"/>
      <c r="X1682" s="143"/>
      <c r="Y1682" s="143"/>
      <c r="Z1682" s="143"/>
      <c r="AA1682" s="143"/>
      <c r="AB1682" s="143"/>
      <c r="AC1682" s="143"/>
      <c r="AD1682" s="143"/>
      <c r="AE1682" s="143"/>
      <c r="AF1682" s="143"/>
      <c r="AG1682" s="143"/>
      <c r="AH1682" s="143"/>
      <c r="AI1682" s="143"/>
      <c r="AJ1682" s="143"/>
    </row>
    <row r="1683" spans="1:36" s="144" customFormat="1" ht="21.75" customHeight="1">
      <c r="A1683" s="151"/>
      <c r="B1683" s="219"/>
      <c r="C1683" s="219"/>
      <c r="D1683" s="219"/>
      <c r="E1683" s="225"/>
      <c r="N1683" s="143"/>
      <c r="O1683" s="143"/>
      <c r="P1683" s="143"/>
      <c r="Q1683" s="143"/>
      <c r="R1683" s="143"/>
      <c r="S1683" s="143"/>
      <c r="T1683" s="143"/>
      <c r="U1683" s="143"/>
      <c r="V1683" s="143"/>
      <c r="W1683" s="143"/>
      <c r="X1683" s="143"/>
      <c r="Y1683" s="143"/>
      <c r="Z1683" s="143"/>
      <c r="AA1683" s="143"/>
      <c r="AB1683" s="143"/>
      <c r="AC1683" s="143"/>
      <c r="AD1683" s="143"/>
      <c r="AE1683" s="143"/>
      <c r="AF1683" s="143"/>
      <c r="AG1683" s="143"/>
      <c r="AH1683" s="143"/>
      <c r="AI1683" s="143"/>
      <c r="AJ1683" s="143"/>
    </row>
    <row r="1684" spans="1:36" s="144" customFormat="1" ht="21.75" customHeight="1">
      <c r="A1684" s="151"/>
      <c r="B1684" s="219"/>
      <c r="C1684" s="219"/>
      <c r="D1684" s="219"/>
      <c r="E1684" s="225"/>
      <c r="N1684" s="143"/>
      <c r="O1684" s="143"/>
      <c r="P1684" s="143"/>
      <c r="Q1684" s="143"/>
      <c r="R1684" s="143"/>
      <c r="S1684" s="143"/>
      <c r="T1684" s="143"/>
      <c r="U1684" s="143"/>
      <c r="V1684" s="143"/>
      <c r="W1684" s="143"/>
      <c r="X1684" s="143"/>
      <c r="Y1684" s="143"/>
      <c r="Z1684" s="143"/>
      <c r="AA1684" s="143"/>
      <c r="AB1684" s="143"/>
      <c r="AC1684" s="143"/>
      <c r="AD1684" s="143"/>
      <c r="AE1684" s="143"/>
      <c r="AF1684" s="143"/>
      <c r="AG1684" s="143"/>
      <c r="AH1684" s="143"/>
      <c r="AI1684" s="143"/>
      <c r="AJ1684" s="143"/>
    </row>
    <row r="1685" spans="1:36" s="144" customFormat="1" ht="21.75" customHeight="1">
      <c r="A1685" s="151"/>
      <c r="B1685" s="219"/>
      <c r="C1685" s="219"/>
      <c r="D1685" s="219"/>
      <c r="E1685" s="225"/>
      <c r="N1685" s="143"/>
      <c r="O1685" s="143"/>
      <c r="P1685" s="143"/>
      <c r="Q1685" s="143"/>
      <c r="R1685" s="143"/>
      <c r="S1685" s="143"/>
      <c r="T1685" s="143"/>
      <c r="U1685" s="143"/>
      <c r="V1685" s="143"/>
      <c r="W1685" s="143"/>
      <c r="X1685" s="143"/>
      <c r="Y1685" s="143"/>
      <c r="Z1685" s="143"/>
      <c r="AA1685" s="143"/>
      <c r="AB1685" s="143"/>
      <c r="AC1685" s="143"/>
      <c r="AD1685" s="143"/>
      <c r="AE1685" s="143"/>
      <c r="AF1685" s="143"/>
      <c r="AG1685" s="143"/>
      <c r="AH1685" s="143"/>
      <c r="AI1685" s="143"/>
      <c r="AJ1685" s="143"/>
    </row>
    <row r="1686" spans="1:36" s="144" customFormat="1" ht="21.75" customHeight="1">
      <c r="A1686" s="151"/>
      <c r="B1686" s="219"/>
      <c r="C1686" s="219"/>
      <c r="D1686" s="219"/>
      <c r="E1686" s="225"/>
      <c r="N1686" s="143"/>
      <c r="O1686" s="143"/>
      <c r="P1686" s="143"/>
      <c r="Q1686" s="143"/>
      <c r="R1686" s="143"/>
      <c r="S1686" s="143"/>
      <c r="T1686" s="143"/>
      <c r="U1686" s="143"/>
      <c r="V1686" s="143"/>
      <c r="W1686" s="143"/>
      <c r="X1686" s="143"/>
      <c r="Y1686" s="143"/>
      <c r="Z1686" s="143"/>
      <c r="AA1686" s="143"/>
      <c r="AB1686" s="143"/>
      <c r="AC1686" s="143"/>
      <c r="AD1686" s="143"/>
      <c r="AE1686" s="143"/>
      <c r="AF1686" s="143"/>
      <c r="AG1686" s="143"/>
      <c r="AH1686" s="143"/>
      <c r="AI1686" s="143"/>
      <c r="AJ1686" s="143"/>
    </row>
    <row r="1687" spans="1:36" s="144" customFormat="1" ht="21.75" customHeight="1">
      <c r="A1687" s="151"/>
      <c r="B1687" s="219"/>
      <c r="C1687" s="219"/>
      <c r="D1687" s="219"/>
      <c r="E1687" s="225"/>
      <c r="N1687" s="143"/>
      <c r="O1687" s="143"/>
      <c r="P1687" s="143"/>
      <c r="Q1687" s="143"/>
      <c r="R1687" s="143"/>
      <c r="S1687" s="143"/>
      <c r="T1687" s="143"/>
      <c r="U1687" s="143"/>
      <c r="V1687" s="143"/>
      <c r="W1687" s="143"/>
      <c r="X1687" s="143"/>
      <c r="Y1687" s="143"/>
      <c r="Z1687" s="143"/>
      <c r="AA1687" s="143"/>
      <c r="AB1687" s="143"/>
      <c r="AC1687" s="143"/>
      <c r="AD1687" s="143"/>
      <c r="AE1687" s="143"/>
      <c r="AF1687" s="143"/>
      <c r="AG1687" s="143"/>
      <c r="AH1687" s="143"/>
      <c r="AI1687" s="143"/>
      <c r="AJ1687" s="143"/>
    </row>
    <row r="1688" spans="1:36" s="144" customFormat="1" ht="21.75" customHeight="1">
      <c r="A1688" s="151"/>
      <c r="B1688" s="219"/>
      <c r="C1688" s="219"/>
      <c r="D1688" s="219"/>
      <c r="E1688" s="225"/>
      <c r="N1688" s="143"/>
      <c r="O1688" s="143"/>
      <c r="P1688" s="143"/>
      <c r="Q1688" s="143"/>
      <c r="R1688" s="143"/>
      <c r="S1688" s="143"/>
      <c r="T1688" s="143"/>
      <c r="U1688" s="143"/>
      <c r="V1688" s="143"/>
      <c r="W1688" s="143"/>
      <c r="X1688" s="143"/>
      <c r="Y1688" s="143"/>
      <c r="Z1688" s="143"/>
      <c r="AA1688" s="143"/>
      <c r="AB1688" s="143"/>
      <c r="AC1688" s="143"/>
      <c r="AD1688" s="143"/>
      <c r="AE1688" s="143"/>
      <c r="AF1688" s="143"/>
      <c r="AG1688" s="143"/>
      <c r="AH1688" s="143"/>
      <c r="AI1688" s="143"/>
      <c r="AJ1688" s="143"/>
    </row>
    <row r="1689" spans="1:36" s="144" customFormat="1" ht="21.75" customHeight="1">
      <c r="A1689" s="151"/>
      <c r="B1689" s="219"/>
      <c r="C1689" s="219"/>
      <c r="D1689" s="219"/>
      <c r="E1689" s="225"/>
      <c r="N1689" s="143"/>
      <c r="O1689" s="143"/>
      <c r="P1689" s="143"/>
      <c r="Q1689" s="143"/>
      <c r="R1689" s="143"/>
      <c r="S1689" s="143"/>
      <c r="T1689" s="143"/>
      <c r="U1689" s="143"/>
      <c r="V1689" s="143"/>
      <c r="W1689" s="143"/>
      <c r="X1689" s="143"/>
      <c r="Y1689" s="143"/>
      <c r="Z1689" s="143"/>
      <c r="AA1689" s="143"/>
      <c r="AB1689" s="143"/>
      <c r="AC1689" s="143"/>
      <c r="AD1689" s="143"/>
      <c r="AE1689" s="143"/>
      <c r="AF1689" s="143"/>
      <c r="AG1689" s="143"/>
      <c r="AH1689" s="143"/>
      <c r="AI1689" s="143"/>
      <c r="AJ1689" s="143"/>
    </row>
    <row r="1690" spans="1:36" s="144" customFormat="1" ht="21.75" customHeight="1">
      <c r="A1690" s="151"/>
      <c r="B1690" s="219"/>
      <c r="C1690" s="219"/>
      <c r="D1690" s="219"/>
      <c r="E1690" s="225"/>
      <c r="N1690" s="143"/>
      <c r="O1690" s="143"/>
      <c r="P1690" s="143"/>
      <c r="Q1690" s="143"/>
      <c r="R1690" s="143"/>
      <c r="S1690" s="143"/>
      <c r="T1690" s="143"/>
      <c r="U1690" s="143"/>
      <c r="V1690" s="143"/>
      <c r="W1690" s="143"/>
      <c r="X1690" s="143"/>
      <c r="Y1690" s="143"/>
      <c r="Z1690" s="143"/>
      <c r="AA1690" s="143"/>
      <c r="AB1690" s="143"/>
      <c r="AC1690" s="143"/>
      <c r="AD1690" s="143"/>
      <c r="AE1690" s="143"/>
      <c r="AF1690" s="143"/>
      <c r="AG1690" s="143"/>
      <c r="AH1690" s="143"/>
      <c r="AI1690" s="143"/>
      <c r="AJ1690" s="143"/>
    </row>
    <row r="1691" spans="1:36" s="144" customFormat="1" ht="21.75" customHeight="1">
      <c r="A1691" s="151"/>
      <c r="B1691" s="219"/>
      <c r="C1691" s="219"/>
      <c r="D1691" s="219"/>
      <c r="E1691" s="225"/>
      <c r="N1691" s="143"/>
      <c r="O1691" s="143"/>
      <c r="P1691" s="143"/>
      <c r="Q1691" s="143"/>
      <c r="R1691" s="143"/>
      <c r="S1691" s="143"/>
      <c r="T1691" s="143"/>
      <c r="U1691" s="143"/>
      <c r="V1691" s="143"/>
      <c r="W1691" s="143"/>
      <c r="X1691" s="143"/>
      <c r="Y1691" s="143"/>
      <c r="Z1691" s="143"/>
      <c r="AA1691" s="143"/>
      <c r="AB1691" s="143"/>
      <c r="AC1691" s="143"/>
      <c r="AD1691" s="143"/>
      <c r="AE1691" s="143"/>
      <c r="AF1691" s="143"/>
      <c r="AG1691" s="143"/>
      <c r="AH1691" s="143"/>
      <c r="AI1691" s="143"/>
      <c r="AJ1691" s="143"/>
    </row>
    <row r="1692" spans="1:36" s="144" customFormat="1" ht="21.75" customHeight="1">
      <c r="A1692" s="151"/>
      <c r="B1692" s="219"/>
      <c r="C1692" s="219"/>
      <c r="D1692" s="219"/>
      <c r="E1692" s="225"/>
      <c r="N1692" s="143"/>
      <c r="O1692" s="143"/>
      <c r="P1692" s="143"/>
      <c r="Q1692" s="143"/>
      <c r="R1692" s="143"/>
      <c r="S1692" s="143"/>
      <c r="T1692" s="143"/>
      <c r="U1692" s="143"/>
      <c r="V1692" s="143"/>
      <c r="W1692" s="143"/>
      <c r="X1692" s="143"/>
      <c r="Y1692" s="143"/>
      <c r="Z1692" s="143"/>
      <c r="AA1692" s="143"/>
      <c r="AB1692" s="143"/>
      <c r="AC1692" s="143"/>
      <c r="AD1692" s="143"/>
      <c r="AE1692" s="143"/>
      <c r="AF1692" s="143"/>
      <c r="AG1692" s="143"/>
      <c r="AH1692" s="143"/>
      <c r="AI1692" s="143"/>
      <c r="AJ1692" s="143"/>
    </row>
    <row r="1693" spans="1:36" s="144" customFormat="1" ht="21.75" customHeight="1">
      <c r="A1693" s="151"/>
      <c r="B1693" s="219"/>
      <c r="C1693" s="219"/>
      <c r="D1693" s="219"/>
      <c r="E1693" s="225"/>
      <c r="N1693" s="143"/>
      <c r="O1693" s="143"/>
      <c r="P1693" s="143"/>
      <c r="Q1693" s="143"/>
      <c r="R1693" s="143"/>
      <c r="S1693" s="143"/>
      <c r="T1693" s="143"/>
      <c r="U1693" s="143"/>
      <c r="V1693" s="143"/>
      <c r="W1693" s="143"/>
      <c r="X1693" s="143"/>
      <c r="Y1693" s="143"/>
      <c r="Z1693" s="143"/>
      <c r="AA1693" s="143"/>
      <c r="AB1693" s="143"/>
      <c r="AC1693" s="143"/>
      <c r="AD1693" s="143"/>
      <c r="AE1693" s="143"/>
      <c r="AF1693" s="143"/>
      <c r="AG1693" s="143"/>
      <c r="AH1693" s="143"/>
      <c r="AI1693" s="143"/>
      <c r="AJ1693" s="143"/>
    </row>
    <row r="1694" spans="1:36" s="144" customFormat="1" ht="21.75" customHeight="1">
      <c r="A1694" s="151"/>
      <c r="B1694" s="219"/>
      <c r="C1694" s="219"/>
      <c r="D1694" s="219"/>
      <c r="E1694" s="225"/>
      <c r="N1694" s="143"/>
      <c r="O1694" s="143"/>
      <c r="P1694" s="143"/>
      <c r="Q1694" s="143"/>
      <c r="R1694" s="143"/>
      <c r="S1694" s="143"/>
      <c r="T1694" s="143"/>
      <c r="U1694" s="143"/>
      <c r="V1694" s="143"/>
      <c r="W1694" s="143"/>
      <c r="X1694" s="143"/>
      <c r="Y1694" s="143"/>
      <c r="Z1694" s="143"/>
      <c r="AA1694" s="143"/>
      <c r="AB1694" s="143"/>
      <c r="AC1694" s="143"/>
      <c r="AD1694" s="143"/>
      <c r="AE1694" s="143"/>
      <c r="AF1694" s="143"/>
      <c r="AG1694" s="143"/>
      <c r="AH1694" s="143"/>
      <c r="AI1694" s="143"/>
      <c r="AJ1694" s="143"/>
    </row>
    <row r="1695" spans="1:36" s="144" customFormat="1" ht="21.75" customHeight="1">
      <c r="A1695" s="151"/>
      <c r="B1695" s="219"/>
      <c r="C1695" s="219"/>
      <c r="D1695" s="219"/>
      <c r="E1695" s="225"/>
      <c r="N1695" s="143"/>
      <c r="O1695" s="143"/>
      <c r="P1695" s="143"/>
      <c r="Q1695" s="143"/>
      <c r="R1695" s="143"/>
      <c r="S1695" s="143"/>
      <c r="T1695" s="143"/>
      <c r="U1695" s="143"/>
      <c r="V1695" s="143"/>
      <c r="W1695" s="143"/>
      <c r="X1695" s="143"/>
      <c r="Y1695" s="143"/>
      <c r="Z1695" s="143"/>
      <c r="AA1695" s="143"/>
      <c r="AB1695" s="143"/>
      <c r="AC1695" s="143"/>
      <c r="AD1695" s="143"/>
      <c r="AE1695" s="143"/>
      <c r="AF1695" s="143"/>
      <c r="AG1695" s="143"/>
      <c r="AH1695" s="143"/>
      <c r="AI1695" s="143"/>
      <c r="AJ1695" s="143"/>
    </row>
    <row r="1696" spans="1:36" s="144" customFormat="1" ht="21.75" customHeight="1">
      <c r="A1696" s="151"/>
      <c r="B1696" s="219"/>
      <c r="C1696" s="219"/>
      <c r="D1696" s="219"/>
      <c r="E1696" s="225"/>
      <c r="N1696" s="143"/>
      <c r="O1696" s="143"/>
      <c r="P1696" s="143"/>
      <c r="Q1696" s="143"/>
      <c r="R1696" s="143"/>
      <c r="S1696" s="143"/>
      <c r="T1696" s="143"/>
      <c r="U1696" s="143"/>
      <c r="V1696" s="143"/>
      <c r="W1696" s="143"/>
      <c r="X1696" s="143"/>
      <c r="Y1696" s="143"/>
      <c r="Z1696" s="143"/>
      <c r="AA1696" s="143"/>
      <c r="AB1696" s="143"/>
      <c r="AC1696" s="143"/>
      <c r="AD1696" s="143"/>
      <c r="AE1696" s="143"/>
      <c r="AF1696" s="143"/>
      <c r="AG1696" s="143"/>
      <c r="AH1696" s="143"/>
      <c r="AI1696" s="143"/>
      <c r="AJ1696" s="143"/>
    </row>
    <row r="1697" spans="1:36" s="144" customFormat="1" ht="21.75" customHeight="1">
      <c r="A1697" s="151"/>
      <c r="B1697" s="219"/>
      <c r="C1697" s="219"/>
      <c r="D1697" s="219"/>
      <c r="E1697" s="225"/>
      <c r="N1697" s="143"/>
      <c r="O1697" s="143"/>
      <c r="P1697" s="143"/>
      <c r="Q1697" s="143"/>
      <c r="R1697" s="143"/>
      <c r="S1697" s="143"/>
      <c r="T1697" s="143"/>
      <c r="U1697" s="143"/>
      <c r="V1697" s="143"/>
      <c r="W1697" s="143"/>
      <c r="X1697" s="143"/>
      <c r="Y1697" s="143"/>
      <c r="Z1697" s="143"/>
      <c r="AA1697" s="143"/>
      <c r="AB1697" s="143"/>
      <c r="AC1697" s="143"/>
      <c r="AD1697" s="143"/>
      <c r="AE1697" s="143"/>
      <c r="AF1697" s="143"/>
      <c r="AG1697" s="143"/>
      <c r="AH1697" s="143"/>
      <c r="AI1697" s="143"/>
      <c r="AJ1697" s="143"/>
    </row>
    <row r="1698" spans="1:36" s="144" customFormat="1" ht="21.75" customHeight="1">
      <c r="A1698" s="151"/>
      <c r="B1698" s="219"/>
      <c r="C1698" s="219"/>
      <c r="D1698" s="219"/>
      <c r="E1698" s="225"/>
      <c r="N1698" s="143"/>
      <c r="O1698" s="143"/>
      <c r="P1698" s="143"/>
      <c r="Q1698" s="143"/>
      <c r="R1698" s="143"/>
      <c r="S1698" s="143"/>
      <c r="T1698" s="143"/>
      <c r="U1698" s="143"/>
      <c r="V1698" s="143"/>
      <c r="W1698" s="143"/>
      <c r="X1698" s="143"/>
      <c r="Y1698" s="143"/>
      <c r="Z1698" s="143"/>
      <c r="AA1698" s="143"/>
      <c r="AB1698" s="143"/>
      <c r="AC1698" s="143"/>
      <c r="AD1698" s="143"/>
      <c r="AE1698" s="143"/>
      <c r="AF1698" s="143"/>
      <c r="AG1698" s="143"/>
      <c r="AH1698" s="143"/>
      <c r="AI1698" s="143"/>
      <c r="AJ1698" s="143"/>
    </row>
    <row r="1699" spans="1:36" s="144" customFormat="1" ht="21.75" customHeight="1">
      <c r="A1699" s="151"/>
      <c r="B1699" s="219"/>
      <c r="C1699" s="219"/>
      <c r="D1699" s="219"/>
      <c r="E1699" s="225"/>
      <c r="N1699" s="143"/>
      <c r="O1699" s="143"/>
      <c r="P1699" s="143"/>
      <c r="Q1699" s="143"/>
      <c r="R1699" s="143"/>
      <c r="S1699" s="143"/>
      <c r="T1699" s="143"/>
      <c r="U1699" s="143"/>
      <c r="V1699" s="143"/>
      <c r="W1699" s="143"/>
      <c r="X1699" s="143"/>
      <c r="Y1699" s="143"/>
      <c r="Z1699" s="143"/>
      <c r="AA1699" s="143"/>
      <c r="AB1699" s="143"/>
      <c r="AC1699" s="143"/>
      <c r="AD1699" s="143"/>
      <c r="AE1699" s="143"/>
      <c r="AF1699" s="143"/>
      <c r="AG1699" s="143"/>
      <c r="AH1699" s="143"/>
      <c r="AI1699" s="143"/>
      <c r="AJ1699" s="143"/>
    </row>
    <row r="1700" spans="1:36" s="144" customFormat="1" ht="21.75" customHeight="1">
      <c r="A1700" s="151"/>
      <c r="B1700" s="219"/>
      <c r="C1700" s="219"/>
      <c r="D1700" s="219"/>
      <c r="E1700" s="225"/>
      <c r="N1700" s="143"/>
      <c r="O1700" s="143"/>
      <c r="P1700" s="143"/>
      <c r="Q1700" s="143"/>
      <c r="R1700" s="143"/>
      <c r="S1700" s="143"/>
      <c r="T1700" s="143"/>
      <c r="U1700" s="143"/>
      <c r="V1700" s="143"/>
      <c r="W1700" s="143"/>
      <c r="X1700" s="143"/>
      <c r="Y1700" s="143"/>
      <c r="Z1700" s="143"/>
      <c r="AA1700" s="143"/>
      <c r="AB1700" s="143"/>
      <c r="AC1700" s="143"/>
      <c r="AD1700" s="143"/>
      <c r="AE1700" s="143"/>
      <c r="AF1700" s="143"/>
      <c r="AG1700" s="143"/>
      <c r="AH1700" s="143"/>
      <c r="AI1700" s="143"/>
      <c r="AJ1700" s="143"/>
    </row>
    <row r="1701" spans="1:36" s="144" customFormat="1" ht="21.75" customHeight="1">
      <c r="A1701" s="151"/>
      <c r="B1701" s="219"/>
      <c r="C1701" s="219"/>
      <c r="D1701" s="219"/>
      <c r="E1701" s="225"/>
      <c r="N1701" s="143"/>
      <c r="O1701" s="143"/>
      <c r="P1701" s="143"/>
      <c r="Q1701" s="143"/>
      <c r="R1701" s="143"/>
      <c r="S1701" s="143"/>
      <c r="T1701" s="143"/>
      <c r="U1701" s="143"/>
      <c r="V1701" s="143"/>
      <c r="W1701" s="143"/>
      <c r="X1701" s="143"/>
      <c r="Y1701" s="143"/>
      <c r="Z1701" s="143"/>
      <c r="AA1701" s="143"/>
      <c r="AB1701" s="143"/>
      <c r="AC1701" s="143"/>
      <c r="AD1701" s="143"/>
      <c r="AE1701" s="143"/>
      <c r="AF1701" s="143"/>
      <c r="AG1701" s="143"/>
      <c r="AH1701" s="143"/>
      <c r="AI1701" s="143"/>
      <c r="AJ1701" s="143"/>
    </row>
    <row r="1702" spans="1:36" s="144" customFormat="1" ht="21.75" customHeight="1">
      <c r="A1702" s="151"/>
      <c r="B1702" s="219"/>
      <c r="C1702" s="219"/>
      <c r="D1702" s="219"/>
      <c r="E1702" s="225"/>
      <c r="N1702" s="143"/>
      <c r="O1702" s="143"/>
      <c r="P1702" s="143"/>
      <c r="Q1702" s="143"/>
      <c r="R1702" s="143"/>
      <c r="S1702" s="143"/>
      <c r="T1702" s="143"/>
      <c r="U1702" s="143"/>
      <c r="V1702" s="143"/>
      <c r="W1702" s="143"/>
      <c r="X1702" s="143"/>
      <c r="Y1702" s="143"/>
      <c r="Z1702" s="143"/>
      <c r="AA1702" s="143"/>
      <c r="AB1702" s="143"/>
      <c r="AC1702" s="143"/>
      <c r="AD1702" s="143"/>
      <c r="AE1702" s="143"/>
      <c r="AF1702" s="143"/>
      <c r="AG1702" s="143"/>
      <c r="AH1702" s="143"/>
      <c r="AI1702" s="143"/>
      <c r="AJ1702" s="143"/>
    </row>
    <row r="1703" spans="1:36" s="144" customFormat="1" ht="21.75" customHeight="1">
      <c r="A1703" s="151"/>
      <c r="B1703" s="219"/>
      <c r="C1703" s="219"/>
      <c r="D1703" s="219"/>
      <c r="E1703" s="225"/>
      <c r="N1703" s="143"/>
      <c r="O1703" s="143"/>
      <c r="P1703" s="143"/>
      <c r="Q1703" s="143"/>
      <c r="R1703" s="143"/>
      <c r="S1703" s="143"/>
      <c r="T1703" s="143"/>
      <c r="U1703" s="143"/>
      <c r="V1703" s="143"/>
      <c r="W1703" s="143"/>
      <c r="X1703" s="143"/>
      <c r="Y1703" s="143"/>
      <c r="Z1703" s="143"/>
      <c r="AA1703" s="143"/>
      <c r="AB1703" s="143"/>
      <c r="AC1703" s="143"/>
      <c r="AD1703" s="143"/>
      <c r="AE1703" s="143"/>
      <c r="AF1703" s="143"/>
      <c r="AG1703" s="143"/>
      <c r="AH1703" s="143"/>
      <c r="AI1703" s="143"/>
      <c r="AJ1703" s="143"/>
    </row>
    <row r="1704" spans="1:36" s="144" customFormat="1" ht="21.75" customHeight="1">
      <c r="A1704" s="151"/>
      <c r="B1704" s="219"/>
      <c r="C1704" s="219"/>
      <c r="D1704" s="219"/>
      <c r="E1704" s="225"/>
      <c r="N1704" s="143"/>
      <c r="O1704" s="143"/>
      <c r="P1704" s="143"/>
      <c r="Q1704" s="143"/>
      <c r="R1704" s="143"/>
      <c r="S1704" s="143"/>
      <c r="T1704" s="143"/>
      <c r="U1704" s="143"/>
      <c r="V1704" s="143"/>
      <c r="W1704" s="143"/>
      <c r="X1704" s="143"/>
      <c r="Y1704" s="143"/>
      <c r="Z1704" s="143"/>
      <c r="AA1704" s="143"/>
      <c r="AB1704" s="143"/>
      <c r="AC1704" s="143"/>
      <c r="AD1704" s="143"/>
      <c r="AE1704" s="143"/>
      <c r="AF1704" s="143"/>
      <c r="AG1704" s="143"/>
      <c r="AH1704" s="143"/>
      <c r="AI1704" s="143"/>
      <c r="AJ1704" s="143"/>
    </row>
    <row r="1705" spans="1:36" s="144" customFormat="1" ht="21.75" customHeight="1">
      <c r="A1705" s="151"/>
      <c r="B1705" s="219"/>
      <c r="C1705" s="219"/>
      <c r="D1705" s="219"/>
      <c r="E1705" s="225"/>
      <c r="N1705" s="143"/>
      <c r="O1705" s="143"/>
      <c r="P1705" s="143"/>
      <c r="Q1705" s="143"/>
      <c r="R1705" s="143"/>
      <c r="S1705" s="143"/>
      <c r="T1705" s="143"/>
      <c r="U1705" s="143"/>
      <c r="V1705" s="143"/>
      <c r="W1705" s="143"/>
      <c r="X1705" s="143"/>
      <c r="Y1705" s="143"/>
      <c r="Z1705" s="143"/>
      <c r="AA1705" s="143"/>
      <c r="AB1705" s="143"/>
      <c r="AC1705" s="143"/>
      <c r="AD1705" s="143"/>
      <c r="AE1705" s="143"/>
      <c r="AF1705" s="143"/>
      <c r="AG1705" s="143"/>
      <c r="AH1705" s="143"/>
      <c r="AI1705" s="143"/>
      <c r="AJ1705" s="143"/>
    </row>
    <row r="1706" spans="1:36" s="144" customFormat="1" ht="21.75" customHeight="1">
      <c r="A1706" s="151"/>
      <c r="B1706" s="219"/>
      <c r="C1706" s="219"/>
      <c r="D1706" s="219"/>
      <c r="E1706" s="225"/>
      <c r="N1706" s="143"/>
      <c r="O1706" s="143"/>
      <c r="P1706" s="143"/>
      <c r="Q1706" s="143"/>
      <c r="R1706" s="143"/>
      <c r="S1706" s="143"/>
      <c r="T1706" s="143"/>
      <c r="U1706" s="143"/>
      <c r="V1706" s="143"/>
      <c r="W1706" s="143"/>
      <c r="X1706" s="143"/>
      <c r="Y1706" s="143"/>
      <c r="Z1706" s="143"/>
      <c r="AA1706" s="143"/>
      <c r="AB1706" s="143"/>
      <c r="AC1706" s="143"/>
      <c r="AD1706" s="143"/>
      <c r="AE1706" s="143"/>
      <c r="AF1706" s="143"/>
      <c r="AG1706" s="143"/>
      <c r="AH1706" s="143"/>
      <c r="AI1706" s="143"/>
      <c r="AJ1706" s="143"/>
    </row>
    <row r="1707" spans="1:36" s="144" customFormat="1" ht="21.75" customHeight="1">
      <c r="A1707" s="151"/>
      <c r="B1707" s="219"/>
      <c r="C1707" s="219"/>
      <c r="D1707" s="219"/>
      <c r="E1707" s="225"/>
      <c r="N1707" s="143"/>
      <c r="O1707" s="143"/>
      <c r="P1707" s="143"/>
      <c r="Q1707" s="143"/>
      <c r="R1707" s="143"/>
      <c r="S1707" s="143"/>
      <c r="T1707" s="143"/>
      <c r="U1707" s="143"/>
      <c r="V1707" s="143"/>
      <c r="W1707" s="143"/>
      <c r="X1707" s="143"/>
      <c r="Y1707" s="143"/>
      <c r="Z1707" s="143"/>
      <c r="AA1707" s="143"/>
      <c r="AB1707" s="143"/>
      <c r="AC1707" s="143"/>
      <c r="AD1707" s="143"/>
      <c r="AE1707" s="143"/>
      <c r="AF1707" s="143"/>
      <c r="AG1707" s="143"/>
      <c r="AH1707" s="143"/>
      <c r="AI1707" s="143"/>
      <c r="AJ1707" s="143"/>
    </row>
    <row r="1708" spans="1:36" s="144" customFormat="1" ht="21.75" customHeight="1">
      <c r="A1708" s="151"/>
      <c r="B1708" s="219"/>
      <c r="C1708" s="219"/>
      <c r="D1708" s="219"/>
      <c r="E1708" s="225"/>
      <c r="N1708" s="143"/>
      <c r="O1708" s="143"/>
      <c r="P1708" s="143"/>
      <c r="Q1708" s="143"/>
      <c r="R1708" s="143"/>
      <c r="S1708" s="143"/>
      <c r="T1708" s="143"/>
      <c r="U1708" s="143"/>
      <c r="V1708" s="143"/>
      <c r="W1708" s="143"/>
      <c r="X1708" s="143"/>
      <c r="Y1708" s="143"/>
      <c r="Z1708" s="143"/>
      <c r="AA1708" s="143"/>
      <c r="AB1708" s="143"/>
      <c r="AC1708" s="143"/>
      <c r="AD1708" s="143"/>
      <c r="AE1708" s="143"/>
      <c r="AF1708" s="143"/>
      <c r="AG1708" s="143"/>
      <c r="AH1708" s="143"/>
      <c r="AI1708" s="143"/>
      <c r="AJ1708" s="143"/>
    </row>
    <row r="1709" spans="1:36" s="144" customFormat="1" ht="21.75" customHeight="1">
      <c r="A1709" s="151"/>
      <c r="B1709" s="219"/>
      <c r="C1709" s="219"/>
      <c r="D1709" s="219"/>
      <c r="E1709" s="225"/>
      <c r="N1709" s="143"/>
      <c r="O1709" s="143"/>
      <c r="P1709" s="143"/>
      <c r="Q1709" s="143"/>
      <c r="R1709" s="143"/>
      <c r="S1709" s="143"/>
      <c r="T1709" s="143"/>
      <c r="U1709" s="143"/>
      <c r="V1709" s="143"/>
      <c r="W1709" s="143"/>
      <c r="X1709" s="143"/>
      <c r="Y1709" s="143"/>
      <c r="Z1709" s="143"/>
      <c r="AA1709" s="143"/>
      <c r="AB1709" s="143"/>
      <c r="AC1709" s="143"/>
      <c r="AD1709" s="143"/>
      <c r="AE1709" s="143"/>
      <c r="AF1709" s="143"/>
      <c r="AG1709" s="143"/>
      <c r="AH1709" s="143"/>
      <c r="AI1709" s="143"/>
      <c r="AJ1709" s="143"/>
    </row>
    <row r="1710" spans="1:36" s="144" customFormat="1" ht="21.75" customHeight="1">
      <c r="A1710" s="151"/>
      <c r="B1710" s="219"/>
      <c r="C1710" s="219"/>
      <c r="D1710" s="219"/>
      <c r="E1710" s="225"/>
      <c r="N1710" s="143"/>
      <c r="O1710" s="143"/>
      <c r="P1710" s="143"/>
      <c r="Q1710" s="143"/>
      <c r="R1710" s="143"/>
      <c r="S1710" s="143"/>
      <c r="T1710" s="143"/>
      <c r="U1710" s="143"/>
      <c r="V1710" s="143"/>
      <c r="W1710" s="143"/>
      <c r="X1710" s="143"/>
      <c r="Y1710" s="143"/>
      <c r="Z1710" s="143"/>
      <c r="AA1710" s="143"/>
      <c r="AB1710" s="143"/>
      <c r="AC1710" s="143"/>
      <c r="AD1710" s="143"/>
      <c r="AE1710" s="143"/>
      <c r="AF1710" s="143"/>
      <c r="AG1710" s="143"/>
      <c r="AH1710" s="143"/>
      <c r="AI1710" s="143"/>
      <c r="AJ1710" s="143"/>
    </row>
    <row r="1711" spans="1:36" s="144" customFormat="1" ht="21.75" customHeight="1">
      <c r="A1711" s="151"/>
      <c r="B1711" s="219"/>
      <c r="C1711" s="219"/>
      <c r="D1711" s="219"/>
      <c r="E1711" s="225"/>
      <c r="N1711" s="143"/>
      <c r="O1711" s="143"/>
      <c r="P1711" s="143"/>
      <c r="Q1711" s="143"/>
      <c r="R1711" s="143"/>
      <c r="S1711" s="143"/>
      <c r="T1711" s="143"/>
      <c r="U1711" s="143"/>
      <c r="V1711" s="143"/>
      <c r="W1711" s="143"/>
      <c r="X1711" s="143"/>
      <c r="Y1711" s="143"/>
      <c r="Z1711" s="143"/>
      <c r="AA1711" s="143"/>
      <c r="AB1711" s="143"/>
      <c r="AC1711" s="143"/>
      <c r="AD1711" s="143"/>
      <c r="AE1711" s="143"/>
      <c r="AF1711" s="143"/>
      <c r="AG1711" s="143"/>
      <c r="AH1711" s="143"/>
      <c r="AI1711" s="143"/>
      <c r="AJ1711" s="143"/>
    </row>
    <row r="1712" spans="1:36" s="144" customFormat="1" ht="21.75" customHeight="1">
      <c r="A1712" s="151"/>
      <c r="B1712" s="219"/>
      <c r="C1712" s="219"/>
      <c r="D1712" s="219"/>
      <c r="E1712" s="225"/>
      <c r="N1712" s="143"/>
      <c r="O1712" s="143"/>
      <c r="P1712" s="143"/>
      <c r="Q1712" s="143"/>
      <c r="R1712" s="143"/>
      <c r="S1712" s="143"/>
      <c r="T1712" s="143"/>
      <c r="U1712" s="143"/>
      <c r="V1712" s="143"/>
      <c r="W1712" s="143"/>
      <c r="X1712" s="143"/>
      <c r="Y1712" s="143"/>
      <c r="Z1712" s="143"/>
      <c r="AA1712" s="143"/>
      <c r="AB1712" s="143"/>
      <c r="AC1712" s="143"/>
      <c r="AD1712" s="143"/>
      <c r="AE1712" s="143"/>
      <c r="AF1712" s="143"/>
      <c r="AG1712" s="143"/>
      <c r="AH1712" s="143"/>
      <c r="AI1712" s="143"/>
      <c r="AJ1712" s="143"/>
    </row>
    <row r="1713" spans="1:36" s="144" customFormat="1" ht="21.75" customHeight="1">
      <c r="A1713" s="151"/>
      <c r="B1713" s="219"/>
      <c r="C1713" s="219"/>
      <c r="D1713" s="219"/>
      <c r="E1713" s="225"/>
      <c r="N1713" s="143"/>
      <c r="O1713" s="143"/>
      <c r="P1713" s="143"/>
      <c r="Q1713" s="143"/>
      <c r="R1713" s="143"/>
      <c r="S1713" s="143"/>
      <c r="T1713" s="143"/>
      <c r="U1713" s="143"/>
      <c r="V1713" s="143"/>
      <c r="W1713" s="143"/>
      <c r="X1713" s="143"/>
      <c r="Y1713" s="143"/>
      <c r="Z1713" s="143"/>
      <c r="AA1713" s="143"/>
      <c r="AB1713" s="143"/>
      <c r="AC1713" s="143"/>
      <c r="AD1713" s="143"/>
      <c r="AE1713" s="143"/>
      <c r="AF1713" s="143"/>
      <c r="AG1713" s="143"/>
      <c r="AH1713" s="143"/>
      <c r="AI1713" s="143"/>
      <c r="AJ1713" s="143"/>
    </row>
    <row r="1714" spans="1:36" s="144" customFormat="1" ht="21.75" customHeight="1">
      <c r="A1714" s="151"/>
      <c r="B1714" s="219"/>
      <c r="C1714" s="219"/>
      <c r="D1714" s="219"/>
      <c r="E1714" s="225"/>
      <c r="N1714" s="143"/>
      <c r="O1714" s="143"/>
      <c r="P1714" s="143"/>
      <c r="Q1714" s="143"/>
      <c r="R1714" s="143"/>
      <c r="S1714" s="143"/>
      <c r="T1714" s="143"/>
      <c r="U1714" s="143"/>
      <c r="V1714" s="143"/>
      <c r="W1714" s="143"/>
      <c r="X1714" s="143"/>
      <c r="Y1714" s="143"/>
      <c r="Z1714" s="143"/>
      <c r="AA1714" s="143"/>
      <c r="AB1714" s="143"/>
      <c r="AC1714" s="143"/>
      <c r="AD1714" s="143"/>
      <c r="AE1714" s="143"/>
      <c r="AF1714" s="143"/>
      <c r="AG1714" s="143"/>
      <c r="AH1714" s="143"/>
      <c r="AI1714" s="143"/>
      <c r="AJ1714" s="143"/>
    </row>
    <row r="1715" spans="1:36" s="144" customFormat="1" ht="21.75" customHeight="1">
      <c r="A1715" s="151"/>
      <c r="B1715" s="219"/>
      <c r="C1715" s="219"/>
      <c r="D1715" s="219"/>
      <c r="E1715" s="225"/>
      <c r="N1715" s="143"/>
      <c r="O1715" s="143"/>
      <c r="P1715" s="143"/>
      <c r="Q1715" s="143"/>
      <c r="R1715" s="143"/>
      <c r="S1715" s="143"/>
      <c r="T1715" s="143"/>
      <c r="U1715" s="143"/>
      <c r="V1715" s="143"/>
      <c r="W1715" s="143"/>
      <c r="X1715" s="143"/>
      <c r="Y1715" s="143"/>
      <c r="Z1715" s="143"/>
      <c r="AA1715" s="143"/>
      <c r="AB1715" s="143"/>
      <c r="AC1715" s="143"/>
      <c r="AD1715" s="143"/>
      <c r="AE1715" s="143"/>
      <c r="AF1715" s="143"/>
      <c r="AG1715" s="143"/>
      <c r="AH1715" s="143"/>
      <c r="AI1715" s="143"/>
      <c r="AJ1715" s="143"/>
    </row>
    <row r="1716" spans="1:36" s="144" customFormat="1" ht="21.75" customHeight="1">
      <c r="A1716" s="151"/>
      <c r="B1716" s="219"/>
      <c r="C1716" s="219"/>
      <c r="D1716" s="219"/>
      <c r="E1716" s="225"/>
      <c r="N1716" s="143"/>
      <c r="O1716" s="143"/>
      <c r="P1716" s="143"/>
      <c r="Q1716" s="143"/>
      <c r="R1716" s="143"/>
      <c r="S1716" s="143"/>
      <c r="T1716" s="143"/>
      <c r="U1716" s="143"/>
      <c r="V1716" s="143"/>
      <c r="W1716" s="143"/>
      <c r="X1716" s="143"/>
      <c r="Y1716" s="143"/>
      <c r="Z1716" s="143"/>
      <c r="AA1716" s="143"/>
      <c r="AB1716" s="143"/>
      <c r="AC1716" s="143"/>
      <c r="AD1716" s="143"/>
      <c r="AE1716" s="143"/>
      <c r="AF1716" s="143"/>
      <c r="AG1716" s="143"/>
      <c r="AH1716" s="143"/>
      <c r="AI1716" s="143"/>
      <c r="AJ1716" s="143"/>
    </row>
    <row r="1717" spans="1:36" s="144" customFormat="1" ht="21.75" customHeight="1">
      <c r="A1717" s="151"/>
      <c r="B1717" s="219"/>
      <c r="C1717" s="219"/>
      <c r="D1717" s="219"/>
      <c r="E1717" s="225"/>
      <c r="N1717" s="143"/>
      <c r="O1717" s="143"/>
      <c r="P1717" s="143"/>
      <c r="Q1717" s="143"/>
      <c r="R1717" s="143"/>
      <c r="S1717" s="143"/>
      <c r="T1717" s="143"/>
      <c r="U1717" s="143"/>
      <c r="V1717" s="143"/>
      <c r="W1717" s="143"/>
      <c r="X1717" s="143"/>
      <c r="Y1717" s="143"/>
      <c r="Z1717" s="143"/>
      <c r="AA1717" s="143"/>
      <c r="AB1717" s="143"/>
      <c r="AC1717" s="143"/>
      <c r="AD1717" s="143"/>
      <c r="AE1717" s="143"/>
      <c r="AF1717" s="143"/>
      <c r="AG1717" s="143"/>
      <c r="AH1717" s="143"/>
      <c r="AI1717" s="143"/>
      <c r="AJ1717" s="143"/>
    </row>
    <row r="1718" spans="1:36" s="144" customFormat="1" ht="21.75" customHeight="1">
      <c r="A1718" s="151"/>
      <c r="B1718" s="219"/>
      <c r="C1718" s="219"/>
      <c r="D1718" s="219"/>
      <c r="E1718" s="225"/>
      <c r="N1718" s="143"/>
      <c r="O1718" s="143"/>
      <c r="P1718" s="143"/>
      <c r="Q1718" s="143"/>
      <c r="R1718" s="143"/>
      <c r="S1718" s="143"/>
      <c r="T1718" s="143"/>
      <c r="U1718" s="143"/>
      <c r="V1718" s="143"/>
      <c r="W1718" s="143"/>
      <c r="X1718" s="143"/>
      <c r="Y1718" s="143"/>
      <c r="Z1718" s="143"/>
      <c r="AA1718" s="143"/>
      <c r="AB1718" s="143"/>
      <c r="AC1718" s="143"/>
      <c r="AD1718" s="143"/>
      <c r="AE1718" s="143"/>
      <c r="AF1718" s="143"/>
      <c r="AG1718" s="143"/>
      <c r="AH1718" s="143"/>
      <c r="AI1718" s="143"/>
      <c r="AJ1718" s="143"/>
    </row>
    <row r="1719" spans="1:36" s="144" customFormat="1" ht="21.75" customHeight="1">
      <c r="A1719" s="151"/>
      <c r="B1719" s="219"/>
      <c r="C1719" s="219"/>
      <c r="D1719" s="219"/>
      <c r="E1719" s="225"/>
      <c r="N1719" s="143"/>
      <c r="O1719" s="143"/>
      <c r="P1719" s="143"/>
      <c r="Q1719" s="143"/>
      <c r="R1719" s="143"/>
      <c r="S1719" s="143"/>
      <c r="T1719" s="143"/>
      <c r="U1719" s="143"/>
      <c r="V1719" s="143"/>
      <c r="W1719" s="143"/>
      <c r="X1719" s="143"/>
      <c r="Y1719" s="143"/>
      <c r="Z1719" s="143"/>
      <c r="AA1719" s="143"/>
      <c r="AB1719" s="143"/>
      <c r="AC1719" s="143"/>
      <c r="AD1719" s="143"/>
      <c r="AE1719" s="143"/>
      <c r="AF1719" s="143"/>
      <c r="AG1719" s="143"/>
      <c r="AH1719" s="143"/>
      <c r="AI1719" s="143"/>
      <c r="AJ1719" s="143"/>
    </row>
    <row r="1720" spans="1:36" s="144" customFormat="1" ht="21.75" customHeight="1">
      <c r="A1720" s="151"/>
      <c r="B1720" s="219"/>
      <c r="C1720" s="219"/>
      <c r="D1720" s="219"/>
      <c r="E1720" s="225"/>
      <c r="N1720" s="143"/>
      <c r="O1720" s="143"/>
      <c r="P1720" s="143"/>
      <c r="Q1720" s="143"/>
      <c r="R1720" s="143"/>
      <c r="S1720" s="143"/>
      <c r="T1720" s="143"/>
      <c r="U1720" s="143"/>
      <c r="V1720" s="143"/>
      <c r="W1720" s="143"/>
      <c r="X1720" s="143"/>
      <c r="Y1720" s="143"/>
      <c r="Z1720" s="143"/>
      <c r="AA1720" s="143"/>
      <c r="AB1720" s="143"/>
      <c r="AC1720" s="143"/>
      <c r="AD1720" s="143"/>
      <c r="AE1720" s="143"/>
      <c r="AF1720" s="143"/>
      <c r="AG1720" s="143"/>
      <c r="AH1720" s="143"/>
      <c r="AI1720" s="143"/>
      <c r="AJ1720" s="143"/>
    </row>
    <row r="1721" spans="1:36" s="144" customFormat="1" ht="21.75" customHeight="1">
      <c r="A1721" s="151"/>
      <c r="B1721" s="219"/>
      <c r="C1721" s="219"/>
      <c r="D1721" s="219"/>
      <c r="E1721" s="225"/>
      <c r="N1721" s="143"/>
      <c r="O1721" s="143"/>
      <c r="P1721" s="143"/>
      <c r="Q1721" s="143"/>
      <c r="R1721" s="143"/>
      <c r="S1721" s="143"/>
      <c r="T1721" s="143"/>
      <c r="U1721" s="143"/>
      <c r="V1721" s="143"/>
      <c r="W1721" s="143"/>
      <c r="X1721" s="143"/>
      <c r="Y1721" s="143"/>
      <c r="Z1721" s="143"/>
      <c r="AA1721" s="143"/>
      <c r="AB1721" s="143"/>
      <c r="AC1721" s="143"/>
      <c r="AD1721" s="143"/>
      <c r="AE1721" s="143"/>
      <c r="AF1721" s="143"/>
      <c r="AG1721" s="143"/>
      <c r="AH1721" s="143"/>
      <c r="AI1721" s="143"/>
      <c r="AJ1721" s="143"/>
    </row>
    <row r="1722" spans="1:36" s="144" customFormat="1" ht="21.75" customHeight="1">
      <c r="A1722" s="151"/>
      <c r="B1722" s="219"/>
      <c r="C1722" s="219"/>
      <c r="D1722" s="219"/>
      <c r="E1722" s="225"/>
      <c r="N1722" s="143"/>
      <c r="O1722" s="143"/>
      <c r="P1722" s="143"/>
      <c r="Q1722" s="143"/>
      <c r="R1722" s="143"/>
      <c r="S1722" s="143"/>
      <c r="T1722" s="143"/>
      <c r="U1722" s="143"/>
      <c r="V1722" s="143"/>
      <c r="W1722" s="143"/>
      <c r="X1722" s="143"/>
      <c r="Y1722" s="143"/>
      <c r="Z1722" s="143"/>
      <c r="AA1722" s="143"/>
      <c r="AB1722" s="143"/>
      <c r="AC1722" s="143"/>
      <c r="AD1722" s="143"/>
      <c r="AE1722" s="143"/>
      <c r="AF1722" s="143"/>
      <c r="AG1722" s="143"/>
      <c r="AH1722" s="143"/>
      <c r="AI1722" s="143"/>
      <c r="AJ1722" s="143"/>
    </row>
    <row r="1723" spans="1:36" s="144" customFormat="1" ht="21.75" customHeight="1">
      <c r="A1723" s="151"/>
      <c r="B1723" s="219"/>
      <c r="C1723" s="219"/>
      <c r="D1723" s="219"/>
      <c r="E1723" s="225"/>
      <c r="N1723" s="143"/>
      <c r="O1723" s="143"/>
      <c r="P1723" s="143"/>
      <c r="Q1723" s="143"/>
      <c r="R1723" s="143"/>
      <c r="S1723" s="143"/>
      <c r="T1723" s="143"/>
      <c r="U1723" s="143"/>
      <c r="V1723" s="143"/>
      <c r="W1723" s="143"/>
      <c r="X1723" s="143"/>
      <c r="Y1723" s="143"/>
      <c r="Z1723" s="143"/>
      <c r="AA1723" s="143"/>
      <c r="AB1723" s="143"/>
      <c r="AC1723" s="143"/>
      <c r="AD1723" s="143"/>
      <c r="AE1723" s="143"/>
      <c r="AF1723" s="143"/>
      <c r="AG1723" s="143"/>
      <c r="AH1723" s="143"/>
      <c r="AI1723" s="143"/>
      <c r="AJ1723" s="143"/>
    </row>
    <row r="1724" spans="1:36" s="144" customFormat="1" ht="21.75" customHeight="1">
      <c r="A1724" s="151"/>
      <c r="B1724" s="219"/>
      <c r="C1724" s="219"/>
      <c r="D1724" s="219"/>
      <c r="E1724" s="225"/>
      <c r="N1724" s="143"/>
      <c r="O1724" s="143"/>
      <c r="P1724" s="143"/>
      <c r="Q1724" s="143"/>
      <c r="R1724" s="143"/>
      <c r="S1724" s="143"/>
      <c r="T1724" s="143"/>
      <c r="U1724" s="143"/>
      <c r="V1724" s="143"/>
      <c r="W1724" s="143"/>
      <c r="X1724" s="143"/>
      <c r="Y1724" s="143"/>
      <c r="Z1724" s="143"/>
      <c r="AA1724" s="143"/>
      <c r="AB1724" s="143"/>
      <c r="AC1724" s="143"/>
      <c r="AD1724" s="143"/>
      <c r="AE1724" s="143"/>
      <c r="AF1724" s="143"/>
      <c r="AG1724" s="143"/>
      <c r="AH1724" s="143"/>
      <c r="AI1724" s="143"/>
      <c r="AJ1724" s="143"/>
    </row>
    <row r="1725" spans="1:36" s="144" customFormat="1" ht="21.75" customHeight="1">
      <c r="A1725" s="151"/>
      <c r="B1725" s="219"/>
      <c r="C1725" s="219"/>
      <c r="D1725" s="219"/>
      <c r="E1725" s="225"/>
      <c r="N1725" s="143"/>
      <c r="O1725" s="143"/>
      <c r="P1725" s="143"/>
      <c r="Q1725" s="143"/>
      <c r="R1725" s="143"/>
      <c r="S1725" s="143"/>
      <c r="T1725" s="143"/>
      <c r="U1725" s="143"/>
      <c r="V1725" s="143"/>
      <c r="W1725" s="143"/>
      <c r="X1725" s="143"/>
      <c r="Y1725" s="143"/>
      <c r="Z1725" s="143"/>
      <c r="AA1725" s="143"/>
      <c r="AB1725" s="143"/>
      <c r="AC1725" s="143"/>
      <c r="AD1725" s="143"/>
      <c r="AE1725" s="143"/>
      <c r="AF1725" s="143"/>
      <c r="AG1725" s="143"/>
      <c r="AH1725" s="143"/>
      <c r="AI1725" s="143"/>
      <c r="AJ1725" s="143"/>
    </row>
    <row r="1726" spans="1:36" s="144" customFormat="1" ht="21.75" customHeight="1">
      <c r="A1726" s="151"/>
      <c r="B1726" s="219"/>
      <c r="C1726" s="219"/>
      <c r="D1726" s="219"/>
      <c r="E1726" s="225"/>
      <c r="N1726" s="143"/>
      <c r="O1726" s="143"/>
      <c r="P1726" s="143"/>
      <c r="Q1726" s="143"/>
      <c r="R1726" s="143"/>
      <c r="S1726" s="143"/>
      <c r="T1726" s="143"/>
      <c r="U1726" s="143"/>
      <c r="V1726" s="143"/>
      <c r="W1726" s="143"/>
      <c r="X1726" s="143"/>
      <c r="Y1726" s="143"/>
      <c r="Z1726" s="143"/>
      <c r="AA1726" s="143"/>
      <c r="AB1726" s="143"/>
      <c r="AC1726" s="143"/>
      <c r="AD1726" s="143"/>
      <c r="AE1726" s="143"/>
      <c r="AF1726" s="143"/>
      <c r="AG1726" s="143"/>
      <c r="AH1726" s="143"/>
      <c r="AI1726" s="143"/>
      <c r="AJ1726" s="143"/>
    </row>
    <row r="1727" spans="1:36" s="144" customFormat="1" ht="21.75" customHeight="1">
      <c r="A1727" s="151"/>
      <c r="B1727" s="219"/>
      <c r="C1727" s="219"/>
      <c r="D1727" s="219"/>
      <c r="E1727" s="225"/>
      <c r="N1727" s="143"/>
      <c r="O1727" s="143"/>
      <c r="P1727" s="143"/>
      <c r="Q1727" s="143"/>
      <c r="R1727" s="143"/>
      <c r="S1727" s="143"/>
      <c r="T1727" s="143"/>
      <c r="U1727" s="143"/>
      <c r="V1727" s="143"/>
      <c r="W1727" s="143"/>
      <c r="X1727" s="143"/>
      <c r="Y1727" s="143"/>
      <c r="Z1727" s="143"/>
      <c r="AA1727" s="143"/>
      <c r="AB1727" s="143"/>
      <c r="AC1727" s="143"/>
      <c r="AD1727" s="143"/>
      <c r="AE1727" s="143"/>
      <c r="AF1727" s="143"/>
      <c r="AG1727" s="143"/>
      <c r="AH1727" s="143"/>
      <c r="AI1727" s="143"/>
      <c r="AJ1727" s="143"/>
    </row>
    <row r="1728" spans="1:36" s="144" customFormat="1" ht="21.75" customHeight="1">
      <c r="A1728" s="151"/>
      <c r="B1728" s="219"/>
      <c r="C1728" s="219"/>
      <c r="D1728" s="219"/>
      <c r="E1728" s="225"/>
      <c r="N1728" s="143"/>
      <c r="O1728" s="143"/>
      <c r="P1728" s="143"/>
      <c r="Q1728" s="143"/>
      <c r="R1728" s="143"/>
      <c r="S1728" s="143"/>
      <c r="T1728" s="143"/>
      <c r="U1728" s="143"/>
      <c r="V1728" s="143"/>
      <c r="W1728" s="143"/>
      <c r="X1728" s="143"/>
      <c r="Y1728" s="143"/>
      <c r="Z1728" s="143"/>
      <c r="AA1728" s="143"/>
      <c r="AB1728" s="143"/>
      <c r="AC1728" s="143"/>
      <c r="AD1728" s="143"/>
      <c r="AE1728" s="143"/>
      <c r="AF1728" s="143"/>
      <c r="AG1728" s="143"/>
      <c r="AH1728" s="143"/>
      <c r="AI1728" s="143"/>
      <c r="AJ1728" s="143"/>
    </row>
    <row r="1729" spans="1:36" s="144" customFormat="1" ht="21.75" customHeight="1">
      <c r="A1729" s="151"/>
      <c r="B1729" s="219"/>
      <c r="C1729" s="219"/>
      <c r="D1729" s="219"/>
      <c r="E1729" s="225"/>
      <c r="N1729" s="143"/>
      <c r="O1729" s="143"/>
      <c r="P1729" s="143"/>
      <c r="Q1729" s="143"/>
      <c r="R1729" s="143"/>
      <c r="S1729" s="143"/>
      <c r="T1729" s="143"/>
      <c r="U1729" s="143"/>
      <c r="V1729" s="143"/>
      <c r="W1729" s="143"/>
      <c r="X1729" s="143"/>
      <c r="Y1729" s="143"/>
      <c r="Z1729" s="143"/>
      <c r="AA1729" s="143"/>
      <c r="AB1729" s="143"/>
      <c r="AC1729" s="143"/>
      <c r="AD1729" s="143"/>
      <c r="AE1729" s="143"/>
      <c r="AF1729" s="143"/>
      <c r="AG1729" s="143"/>
      <c r="AH1729" s="143"/>
      <c r="AI1729" s="143"/>
      <c r="AJ1729" s="143"/>
    </row>
    <row r="1730" spans="1:36" s="144" customFormat="1" ht="21.75" customHeight="1">
      <c r="A1730" s="151"/>
      <c r="B1730" s="219"/>
      <c r="C1730" s="219"/>
      <c r="D1730" s="219"/>
      <c r="E1730" s="225"/>
      <c r="N1730" s="143"/>
      <c r="O1730" s="143"/>
      <c r="P1730" s="143"/>
      <c r="Q1730" s="143"/>
      <c r="R1730" s="143"/>
      <c r="S1730" s="143"/>
      <c r="T1730" s="143"/>
      <c r="U1730" s="143"/>
      <c r="V1730" s="143"/>
      <c r="W1730" s="143"/>
      <c r="X1730" s="143"/>
      <c r="Y1730" s="143"/>
      <c r="Z1730" s="143"/>
      <c r="AA1730" s="143"/>
      <c r="AB1730" s="143"/>
      <c r="AC1730" s="143"/>
      <c r="AD1730" s="143"/>
      <c r="AE1730" s="143"/>
      <c r="AF1730" s="143"/>
      <c r="AG1730" s="143"/>
      <c r="AH1730" s="143"/>
      <c r="AI1730" s="143"/>
      <c r="AJ1730" s="143"/>
    </row>
    <row r="1731" spans="1:36" s="144" customFormat="1" ht="21.75" customHeight="1">
      <c r="A1731" s="151"/>
      <c r="B1731" s="219"/>
      <c r="C1731" s="219"/>
      <c r="D1731" s="219"/>
      <c r="E1731" s="225"/>
      <c r="N1731" s="143"/>
      <c r="O1731" s="143"/>
      <c r="P1731" s="143"/>
      <c r="Q1731" s="143"/>
      <c r="R1731" s="143"/>
      <c r="S1731" s="143"/>
      <c r="T1731" s="143"/>
      <c r="U1731" s="143"/>
      <c r="V1731" s="143"/>
      <c r="W1731" s="143"/>
      <c r="X1731" s="143"/>
      <c r="Y1731" s="143"/>
      <c r="Z1731" s="143"/>
      <c r="AA1731" s="143"/>
      <c r="AB1731" s="143"/>
      <c r="AC1731" s="143"/>
      <c r="AD1731" s="143"/>
      <c r="AE1731" s="143"/>
      <c r="AF1731" s="143"/>
      <c r="AG1731" s="143"/>
      <c r="AH1731" s="143"/>
      <c r="AI1731" s="143"/>
      <c r="AJ1731" s="143"/>
    </row>
    <row r="1732" spans="1:36" s="144" customFormat="1" ht="21.75" customHeight="1">
      <c r="A1732" s="151"/>
      <c r="B1732" s="219"/>
      <c r="C1732" s="219"/>
      <c r="D1732" s="219"/>
      <c r="E1732" s="225"/>
      <c r="N1732" s="143"/>
      <c r="O1732" s="143"/>
      <c r="P1732" s="143"/>
      <c r="Q1732" s="143"/>
      <c r="R1732" s="143"/>
      <c r="S1732" s="143"/>
      <c r="T1732" s="143"/>
      <c r="U1732" s="143"/>
      <c r="V1732" s="143"/>
      <c r="W1732" s="143"/>
      <c r="X1732" s="143"/>
      <c r="Y1732" s="143"/>
      <c r="Z1732" s="143"/>
      <c r="AA1732" s="143"/>
      <c r="AB1732" s="143"/>
      <c r="AC1732" s="143"/>
      <c r="AD1732" s="143"/>
      <c r="AE1732" s="143"/>
      <c r="AF1732" s="143"/>
      <c r="AG1732" s="143"/>
      <c r="AH1732" s="143"/>
      <c r="AI1732" s="143"/>
      <c r="AJ1732" s="143"/>
    </row>
    <row r="1733" spans="1:36" s="144" customFormat="1" ht="21.75" customHeight="1">
      <c r="A1733" s="151"/>
      <c r="B1733" s="219"/>
      <c r="C1733" s="219"/>
      <c r="D1733" s="219"/>
      <c r="E1733" s="225"/>
      <c r="N1733" s="143"/>
      <c r="O1733" s="143"/>
      <c r="P1733" s="143"/>
      <c r="Q1733" s="143"/>
      <c r="R1733" s="143"/>
      <c r="S1733" s="143"/>
      <c r="T1733" s="143"/>
      <c r="U1733" s="143"/>
      <c r="V1733" s="143"/>
      <c r="W1733" s="143"/>
      <c r="X1733" s="143"/>
      <c r="Y1733" s="143"/>
      <c r="Z1733" s="143"/>
      <c r="AA1733" s="143"/>
      <c r="AB1733" s="143"/>
      <c r="AC1733" s="143"/>
      <c r="AD1733" s="143"/>
      <c r="AE1733" s="143"/>
      <c r="AF1733" s="143"/>
      <c r="AG1733" s="143"/>
      <c r="AH1733" s="143"/>
      <c r="AI1733" s="143"/>
      <c r="AJ1733" s="143"/>
    </row>
    <row r="1734" spans="1:36" s="144" customFormat="1" ht="21.75" customHeight="1">
      <c r="A1734" s="151"/>
      <c r="B1734" s="219"/>
      <c r="C1734" s="219"/>
      <c r="D1734" s="219"/>
      <c r="E1734" s="225"/>
      <c r="N1734" s="143"/>
      <c r="O1734" s="143"/>
      <c r="P1734" s="143"/>
      <c r="Q1734" s="143"/>
      <c r="R1734" s="143"/>
      <c r="S1734" s="143"/>
      <c r="T1734" s="143"/>
      <c r="U1734" s="143"/>
      <c r="V1734" s="143"/>
      <c r="W1734" s="143"/>
      <c r="X1734" s="143"/>
      <c r="Y1734" s="143"/>
      <c r="Z1734" s="143"/>
      <c r="AA1734" s="143"/>
      <c r="AB1734" s="143"/>
      <c r="AC1734" s="143"/>
      <c r="AD1734" s="143"/>
      <c r="AE1734" s="143"/>
      <c r="AF1734" s="143"/>
      <c r="AG1734" s="143"/>
      <c r="AH1734" s="143"/>
      <c r="AI1734" s="143"/>
      <c r="AJ1734" s="143"/>
    </row>
    <row r="1735" spans="1:36" s="144" customFormat="1" ht="21.75" customHeight="1">
      <c r="A1735" s="151"/>
      <c r="B1735" s="219"/>
      <c r="C1735" s="219"/>
      <c r="D1735" s="219"/>
      <c r="E1735" s="225"/>
      <c r="N1735" s="143"/>
      <c r="O1735" s="143"/>
      <c r="P1735" s="143"/>
      <c r="Q1735" s="143"/>
      <c r="R1735" s="143"/>
      <c r="S1735" s="143"/>
      <c r="T1735" s="143"/>
      <c r="U1735" s="143"/>
      <c r="V1735" s="143"/>
      <c r="W1735" s="143"/>
      <c r="X1735" s="143"/>
      <c r="Y1735" s="143"/>
      <c r="Z1735" s="143"/>
      <c r="AA1735" s="143"/>
      <c r="AB1735" s="143"/>
      <c r="AC1735" s="143"/>
      <c r="AD1735" s="143"/>
      <c r="AE1735" s="143"/>
      <c r="AF1735" s="143"/>
      <c r="AG1735" s="143"/>
      <c r="AH1735" s="143"/>
      <c r="AI1735" s="143"/>
      <c r="AJ1735" s="143"/>
    </row>
    <row r="1736" spans="1:36" s="144" customFormat="1" ht="21.75" customHeight="1">
      <c r="A1736" s="151"/>
      <c r="B1736" s="219"/>
      <c r="C1736" s="219"/>
      <c r="D1736" s="219"/>
      <c r="E1736" s="225"/>
      <c r="N1736" s="143"/>
      <c r="O1736" s="143"/>
      <c r="P1736" s="143"/>
      <c r="Q1736" s="143"/>
      <c r="R1736" s="143"/>
      <c r="S1736" s="143"/>
      <c r="T1736" s="143"/>
      <c r="U1736" s="143"/>
      <c r="V1736" s="143"/>
      <c r="W1736" s="143"/>
      <c r="X1736" s="143"/>
      <c r="Y1736" s="143"/>
      <c r="Z1736" s="143"/>
      <c r="AA1736" s="143"/>
      <c r="AB1736" s="143"/>
      <c r="AC1736" s="143"/>
      <c r="AD1736" s="143"/>
      <c r="AE1736" s="143"/>
      <c r="AF1736" s="143"/>
      <c r="AG1736" s="143"/>
      <c r="AH1736" s="143"/>
      <c r="AI1736" s="143"/>
      <c r="AJ1736" s="143"/>
    </row>
    <row r="1737" spans="1:36" s="144" customFormat="1" ht="21.75" customHeight="1">
      <c r="A1737" s="151"/>
      <c r="B1737" s="219"/>
      <c r="C1737" s="219"/>
      <c r="D1737" s="219"/>
      <c r="E1737" s="225"/>
      <c r="N1737" s="143"/>
      <c r="O1737" s="143"/>
      <c r="P1737" s="143"/>
      <c r="Q1737" s="143"/>
      <c r="R1737" s="143"/>
      <c r="S1737" s="143"/>
      <c r="T1737" s="143"/>
      <c r="U1737" s="143"/>
      <c r="V1737" s="143"/>
      <c r="W1737" s="143"/>
      <c r="X1737" s="143"/>
      <c r="Y1737" s="143"/>
      <c r="Z1737" s="143"/>
      <c r="AA1737" s="143"/>
      <c r="AB1737" s="143"/>
      <c r="AC1737" s="143"/>
      <c r="AD1737" s="143"/>
      <c r="AE1737" s="143"/>
      <c r="AF1737" s="143"/>
      <c r="AG1737" s="143"/>
      <c r="AH1737" s="143"/>
      <c r="AI1737" s="143"/>
      <c r="AJ1737" s="143"/>
    </row>
    <row r="1738" spans="1:36" s="144" customFormat="1" ht="21.75" customHeight="1">
      <c r="A1738" s="151"/>
      <c r="B1738" s="219"/>
      <c r="C1738" s="219"/>
      <c r="D1738" s="219"/>
      <c r="E1738" s="225"/>
      <c r="N1738" s="143"/>
      <c r="O1738" s="143"/>
      <c r="P1738" s="143"/>
      <c r="Q1738" s="143"/>
      <c r="R1738" s="143"/>
      <c r="S1738" s="143"/>
      <c r="T1738" s="143"/>
      <c r="U1738" s="143"/>
      <c r="V1738" s="143"/>
      <c r="W1738" s="143"/>
      <c r="X1738" s="143"/>
      <c r="Y1738" s="143"/>
      <c r="Z1738" s="143"/>
      <c r="AA1738" s="143"/>
      <c r="AB1738" s="143"/>
      <c r="AC1738" s="143"/>
      <c r="AD1738" s="143"/>
      <c r="AE1738" s="143"/>
      <c r="AF1738" s="143"/>
      <c r="AG1738" s="143"/>
      <c r="AH1738" s="143"/>
      <c r="AI1738" s="143"/>
      <c r="AJ1738" s="143"/>
    </row>
    <row r="1739" spans="1:36" s="144" customFormat="1" ht="21.75" customHeight="1">
      <c r="A1739" s="151"/>
      <c r="B1739" s="219"/>
      <c r="C1739" s="219"/>
      <c r="D1739" s="219"/>
      <c r="E1739" s="225"/>
      <c r="N1739" s="143"/>
      <c r="O1739" s="143"/>
      <c r="P1739" s="143"/>
      <c r="Q1739" s="143"/>
      <c r="R1739" s="143"/>
      <c r="S1739" s="143"/>
      <c r="T1739" s="143"/>
      <c r="U1739" s="143"/>
      <c r="V1739" s="143"/>
      <c r="W1739" s="143"/>
      <c r="X1739" s="143"/>
      <c r="Y1739" s="143"/>
      <c r="Z1739" s="143"/>
      <c r="AA1739" s="143"/>
      <c r="AB1739" s="143"/>
      <c r="AC1739" s="143"/>
      <c r="AD1739" s="143"/>
      <c r="AE1739" s="143"/>
      <c r="AF1739" s="143"/>
      <c r="AG1739" s="143"/>
      <c r="AH1739" s="143"/>
      <c r="AI1739" s="143"/>
      <c r="AJ1739" s="143"/>
    </row>
    <row r="1740" spans="1:36" s="144" customFormat="1" ht="21.75" customHeight="1">
      <c r="A1740" s="151"/>
      <c r="B1740" s="219"/>
      <c r="C1740" s="219"/>
      <c r="D1740" s="219"/>
      <c r="E1740" s="225"/>
      <c r="N1740" s="143"/>
      <c r="O1740" s="143"/>
      <c r="P1740" s="143"/>
      <c r="Q1740" s="143"/>
      <c r="R1740" s="143"/>
      <c r="S1740" s="143"/>
      <c r="T1740" s="143"/>
      <c r="U1740" s="143"/>
      <c r="V1740" s="143"/>
      <c r="W1740" s="143"/>
      <c r="X1740" s="143"/>
      <c r="Y1740" s="143"/>
      <c r="Z1740" s="143"/>
      <c r="AA1740" s="143"/>
      <c r="AB1740" s="143"/>
      <c r="AC1740" s="143"/>
      <c r="AD1740" s="143"/>
      <c r="AE1740" s="143"/>
      <c r="AF1740" s="143"/>
      <c r="AG1740" s="143"/>
      <c r="AH1740" s="143"/>
      <c r="AI1740" s="143"/>
      <c r="AJ1740" s="143"/>
    </row>
    <row r="1741" spans="1:36" s="144" customFormat="1" ht="21.75" customHeight="1">
      <c r="A1741" s="151"/>
      <c r="B1741" s="219"/>
      <c r="C1741" s="219"/>
      <c r="D1741" s="219"/>
      <c r="E1741" s="225"/>
      <c r="N1741" s="143"/>
      <c r="O1741" s="143"/>
      <c r="P1741" s="143"/>
      <c r="Q1741" s="143"/>
      <c r="R1741" s="143"/>
      <c r="S1741" s="143"/>
      <c r="T1741" s="143"/>
      <c r="U1741" s="143"/>
      <c r="V1741" s="143"/>
      <c r="W1741" s="143"/>
      <c r="X1741" s="143"/>
      <c r="Y1741" s="143"/>
      <c r="Z1741" s="143"/>
      <c r="AA1741" s="143"/>
      <c r="AB1741" s="143"/>
      <c r="AC1741" s="143"/>
      <c r="AD1741" s="143"/>
      <c r="AE1741" s="143"/>
      <c r="AF1741" s="143"/>
      <c r="AG1741" s="143"/>
      <c r="AH1741" s="143"/>
      <c r="AI1741" s="143"/>
      <c r="AJ1741" s="143"/>
    </row>
    <row r="1742" spans="1:36" s="144" customFormat="1" ht="21.75" customHeight="1">
      <c r="A1742" s="151"/>
      <c r="B1742" s="219"/>
      <c r="C1742" s="219"/>
      <c r="D1742" s="219"/>
      <c r="E1742" s="225"/>
      <c r="N1742" s="143"/>
      <c r="O1742" s="143"/>
      <c r="P1742" s="143"/>
      <c r="Q1742" s="143"/>
      <c r="R1742" s="143"/>
      <c r="S1742" s="143"/>
      <c r="T1742" s="143"/>
      <c r="U1742" s="143"/>
      <c r="V1742" s="143"/>
      <c r="W1742" s="143"/>
      <c r="X1742" s="143"/>
      <c r="Y1742" s="143"/>
      <c r="Z1742" s="143"/>
      <c r="AA1742" s="143"/>
      <c r="AB1742" s="143"/>
      <c r="AC1742" s="143"/>
      <c r="AD1742" s="143"/>
      <c r="AE1742" s="143"/>
      <c r="AF1742" s="143"/>
      <c r="AG1742" s="143"/>
      <c r="AH1742" s="143"/>
      <c r="AI1742" s="143"/>
      <c r="AJ1742" s="143"/>
    </row>
    <row r="1743" spans="1:36" s="144" customFormat="1" ht="21.75" customHeight="1">
      <c r="A1743" s="151"/>
      <c r="B1743" s="219"/>
      <c r="C1743" s="219"/>
      <c r="D1743" s="219"/>
      <c r="E1743" s="225"/>
      <c r="N1743" s="143"/>
      <c r="O1743" s="143"/>
      <c r="P1743" s="143"/>
      <c r="Q1743" s="143"/>
      <c r="R1743" s="143"/>
      <c r="S1743" s="143"/>
      <c r="T1743" s="143"/>
      <c r="U1743" s="143"/>
      <c r="V1743" s="143"/>
      <c r="W1743" s="143"/>
      <c r="X1743" s="143"/>
      <c r="Y1743" s="143"/>
      <c r="Z1743" s="143"/>
      <c r="AA1743" s="143"/>
      <c r="AB1743" s="143"/>
      <c r="AC1743" s="143"/>
      <c r="AD1743" s="143"/>
      <c r="AE1743" s="143"/>
      <c r="AF1743" s="143"/>
      <c r="AG1743" s="143"/>
      <c r="AH1743" s="143"/>
      <c r="AI1743" s="143"/>
      <c r="AJ1743" s="143"/>
    </row>
    <row r="1744" spans="1:36" s="144" customFormat="1" ht="21.75" customHeight="1">
      <c r="A1744" s="151"/>
      <c r="B1744" s="219"/>
      <c r="C1744" s="219"/>
      <c r="D1744" s="219"/>
      <c r="E1744" s="225"/>
      <c r="N1744" s="143"/>
      <c r="O1744" s="143"/>
      <c r="P1744" s="143"/>
      <c r="Q1744" s="143"/>
      <c r="R1744" s="143"/>
      <c r="S1744" s="143"/>
      <c r="T1744" s="143"/>
      <c r="U1744" s="143"/>
      <c r="V1744" s="143"/>
      <c r="W1744" s="143"/>
      <c r="X1744" s="143"/>
      <c r="Y1744" s="143"/>
      <c r="Z1744" s="143"/>
      <c r="AA1744" s="143"/>
      <c r="AB1744" s="143"/>
      <c r="AC1744" s="143"/>
      <c r="AD1744" s="143"/>
      <c r="AE1744" s="143"/>
      <c r="AF1744" s="143"/>
      <c r="AG1744" s="143"/>
      <c r="AH1744" s="143"/>
      <c r="AI1744" s="143"/>
      <c r="AJ1744" s="143"/>
    </row>
    <row r="1745" spans="1:36" s="144" customFormat="1" ht="21.75" customHeight="1">
      <c r="A1745" s="151"/>
      <c r="B1745" s="219"/>
      <c r="C1745" s="219"/>
      <c r="D1745" s="219"/>
      <c r="E1745" s="225"/>
      <c r="N1745" s="143"/>
      <c r="O1745" s="143"/>
      <c r="P1745" s="143"/>
      <c r="Q1745" s="143"/>
      <c r="R1745" s="143"/>
      <c r="S1745" s="143"/>
      <c r="T1745" s="143"/>
      <c r="U1745" s="143"/>
      <c r="V1745" s="143"/>
      <c r="W1745" s="143"/>
      <c r="X1745" s="143"/>
      <c r="Y1745" s="143"/>
      <c r="Z1745" s="143"/>
      <c r="AA1745" s="143"/>
      <c r="AB1745" s="143"/>
      <c r="AC1745" s="143"/>
      <c r="AD1745" s="143"/>
      <c r="AE1745" s="143"/>
      <c r="AF1745" s="143"/>
      <c r="AG1745" s="143"/>
      <c r="AH1745" s="143"/>
      <c r="AI1745" s="143"/>
      <c r="AJ1745" s="143"/>
    </row>
    <row r="1746" spans="1:36" s="144" customFormat="1" ht="21.75" customHeight="1">
      <c r="A1746" s="151"/>
      <c r="B1746" s="219"/>
      <c r="C1746" s="219"/>
      <c r="D1746" s="219"/>
      <c r="E1746" s="225"/>
      <c r="N1746" s="143"/>
      <c r="O1746" s="143"/>
      <c r="P1746" s="143"/>
      <c r="Q1746" s="143"/>
      <c r="R1746" s="143"/>
      <c r="S1746" s="143"/>
      <c r="T1746" s="143"/>
      <c r="U1746" s="143"/>
      <c r="V1746" s="143"/>
      <c r="W1746" s="143"/>
      <c r="X1746" s="143"/>
      <c r="Y1746" s="143"/>
      <c r="Z1746" s="143"/>
      <c r="AA1746" s="143"/>
      <c r="AB1746" s="143"/>
      <c r="AC1746" s="143"/>
      <c r="AD1746" s="143"/>
      <c r="AE1746" s="143"/>
      <c r="AF1746" s="143"/>
      <c r="AG1746" s="143"/>
      <c r="AH1746" s="143"/>
      <c r="AI1746" s="143"/>
      <c r="AJ1746" s="143"/>
    </row>
    <row r="1747" spans="1:36" s="144" customFormat="1" ht="21.75" customHeight="1">
      <c r="A1747" s="151"/>
      <c r="B1747" s="219"/>
      <c r="C1747" s="219"/>
      <c r="D1747" s="219"/>
      <c r="E1747" s="225"/>
      <c r="N1747" s="143"/>
      <c r="O1747" s="143"/>
      <c r="P1747" s="143"/>
      <c r="Q1747" s="143"/>
      <c r="R1747" s="143"/>
      <c r="S1747" s="143"/>
      <c r="T1747" s="143"/>
      <c r="U1747" s="143"/>
      <c r="V1747" s="143"/>
      <c r="W1747" s="143"/>
      <c r="X1747" s="143"/>
      <c r="Y1747" s="143"/>
      <c r="Z1747" s="143"/>
      <c r="AA1747" s="143"/>
      <c r="AB1747" s="143"/>
      <c r="AC1747" s="143"/>
      <c r="AD1747" s="143"/>
      <c r="AE1747" s="143"/>
      <c r="AF1747" s="143"/>
      <c r="AG1747" s="143"/>
      <c r="AH1747" s="143"/>
      <c r="AI1747" s="143"/>
      <c r="AJ1747" s="143"/>
    </row>
    <row r="1748" spans="1:36" s="144" customFormat="1" ht="21.75" customHeight="1">
      <c r="A1748" s="151"/>
      <c r="B1748" s="219"/>
      <c r="C1748" s="219"/>
      <c r="D1748" s="219"/>
      <c r="E1748" s="225"/>
      <c r="N1748" s="143"/>
      <c r="O1748" s="143"/>
      <c r="P1748" s="143"/>
      <c r="Q1748" s="143"/>
      <c r="R1748" s="143"/>
      <c r="S1748" s="143"/>
      <c r="T1748" s="143"/>
      <c r="U1748" s="143"/>
      <c r="V1748" s="143"/>
      <c r="W1748" s="143"/>
      <c r="X1748" s="143"/>
      <c r="Y1748" s="143"/>
      <c r="Z1748" s="143"/>
      <c r="AA1748" s="143"/>
      <c r="AB1748" s="143"/>
      <c r="AC1748" s="143"/>
      <c r="AD1748" s="143"/>
      <c r="AE1748" s="143"/>
      <c r="AF1748" s="143"/>
      <c r="AG1748" s="143"/>
      <c r="AH1748" s="143"/>
      <c r="AI1748" s="143"/>
      <c r="AJ1748" s="143"/>
    </row>
    <row r="1749" spans="1:36" s="144" customFormat="1" ht="21.75" customHeight="1">
      <c r="A1749" s="151"/>
      <c r="B1749" s="219"/>
      <c r="C1749" s="219"/>
      <c r="D1749" s="219"/>
      <c r="E1749" s="225"/>
      <c r="N1749" s="143"/>
      <c r="O1749" s="143"/>
      <c r="P1749" s="143"/>
      <c r="Q1749" s="143"/>
      <c r="R1749" s="143"/>
      <c r="S1749" s="143"/>
      <c r="T1749" s="143"/>
      <c r="U1749" s="143"/>
      <c r="V1749" s="143"/>
      <c r="W1749" s="143"/>
      <c r="X1749" s="143"/>
      <c r="Y1749" s="143"/>
      <c r="Z1749" s="143"/>
      <c r="AA1749" s="143"/>
      <c r="AB1749" s="143"/>
      <c r="AC1749" s="143"/>
      <c r="AD1749" s="143"/>
      <c r="AE1749" s="143"/>
      <c r="AF1749" s="143"/>
      <c r="AG1749" s="143"/>
      <c r="AH1749" s="143"/>
      <c r="AI1749" s="143"/>
      <c r="AJ1749" s="143"/>
    </row>
    <row r="1750" spans="1:36" s="144" customFormat="1" ht="21.75" customHeight="1">
      <c r="A1750" s="151"/>
      <c r="B1750" s="219"/>
      <c r="C1750" s="219"/>
      <c r="D1750" s="219"/>
      <c r="E1750" s="225"/>
      <c r="N1750" s="143"/>
      <c r="O1750" s="143"/>
      <c r="P1750" s="143"/>
      <c r="Q1750" s="143"/>
      <c r="R1750" s="143"/>
      <c r="S1750" s="143"/>
      <c r="T1750" s="143"/>
      <c r="U1750" s="143"/>
      <c r="V1750" s="143"/>
      <c r="W1750" s="143"/>
      <c r="X1750" s="143"/>
      <c r="Y1750" s="143"/>
      <c r="Z1750" s="143"/>
      <c r="AA1750" s="143"/>
      <c r="AB1750" s="143"/>
      <c r="AC1750" s="143"/>
      <c r="AD1750" s="143"/>
      <c r="AE1750" s="143"/>
      <c r="AF1750" s="143"/>
      <c r="AG1750" s="143"/>
      <c r="AH1750" s="143"/>
      <c r="AI1750" s="143"/>
      <c r="AJ1750" s="143"/>
    </row>
    <row r="1751" spans="1:36" s="144" customFormat="1" ht="21.75" customHeight="1">
      <c r="A1751" s="151"/>
      <c r="B1751" s="219"/>
      <c r="C1751" s="219"/>
      <c r="D1751" s="219"/>
      <c r="E1751" s="225"/>
      <c r="N1751" s="143"/>
      <c r="O1751" s="143"/>
      <c r="P1751" s="143"/>
      <c r="Q1751" s="143"/>
      <c r="R1751" s="143"/>
      <c r="S1751" s="143"/>
      <c r="T1751" s="143"/>
      <c r="U1751" s="143"/>
      <c r="V1751" s="143"/>
      <c r="W1751" s="143"/>
      <c r="X1751" s="143"/>
      <c r="Y1751" s="143"/>
      <c r="Z1751" s="143"/>
      <c r="AA1751" s="143"/>
      <c r="AB1751" s="143"/>
      <c r="AC1751" s="143"/>
      <c r="AD1751" s="143"/>
      <c r="AE1751" s="143"/>
      <c r="AF1751" s="143"/>
      <c r="AG1751" s="143"/>
      <c r="AH1751" s="143"/>
      <c r="AI1751" s="143"/>
      <c r="AJ1751" s="143"/>
    </row>
    <row r="1752" spans="1:36" s="144" customFormat="1" ht="21.75" customHeight="1">
      <c r="A1752" s="151"/>
      <c r="B1752" s="219"/>
      <c r="C1752" s="219"/>
      <c r="D1752" s="219"/>
      <c r="E1752" s="225"/>
      <c r="N1752" s="143"/>
      <c r="O1752" s="143"/>
      <c r="P1752" s="143"/>
      <c r="Q1752" s="143"/>
      <c r="R1752" s="143"/>
      <c r="S1752" s="143"/>
      <c r="T1752" s="143"/>
      <c r="U1752" s="143"/>
      <c r="V1752" s="143"/>
      <c r="W1752" s="143"/>
      <c r="X1752" s="143"/>
      <c r="Y1752" s="143"/>
      <c r="Z1752" s="143"/>
      <c r="AA1752" s="143"/>
      <c r="AB1752" s="143"/>
      <c r="AC1752" s="143"/>
      <c r="AD1752" s="143"/>
      <c r="AE1752" s="143"/>
      <c r="AF1752" s="143"/>
      <c r="AG1752" s="143"/>
      <c r="AH1752" s="143"/>
      <c r="AI1752" s="143"/>
      <c r="AJ1752" s="143"/>
    </row>
    <row r="1753" spans="1:36" s="144" customFormat="1" ht="21.75" customHeight="1">
      <c r="A1753" s="151"/>
      <c r="B1753" s="219"/>
      <c r="C1753" s="219"/>
      <c r="D1753" s="219"/>
      <c r="E1753" s="225"/>
      <c r="N1753" s="143"/>
      <c r="O1753" s="143"/>
      <c r="P1753" s="143"/>
      <c r="Q1753" s="143"/>
      <c r="R1753" s="143"/>
      <c r="S1753" s="143"/>
      <c r="T1753" s="143"/>
      <c r="U1753" s="143"/>
      <c r="V1753" s="143"/>
      <c r="W1753" s="143"/>
      <c r="X1753" s="143"/>
      <c r="Y1753" s="143"/>
      <c r="Z1753" s="143"/>
      <c r="AA1753" s="143"/>
      <c r="AB1753" s="143"/>
      <c r="AC1753" s="143"/>
      <c r="AD1753" s="143"/>
      <c r="AE1753" s="143"/>
      <c r="AF1753" s="143"/>
      <c r="AG1753" s="143"/>
      <c r="AH1753" s="143"/>
      <c r="AI1753" s="143"/>
      <c r="AJ1753" s="143"/>
    </row>
    <row r="1754" spans="1:36" s="144" customFormat="1" ht="21.75" customHeight="1">
      <c r="A1754" s="151"/>
      <c r="B1754" s="219"/>
      <c r="C1754" s="219"/>
      <c r="D1754" s="219"/>
      <c r="E1754" s="225"/>
      <c r="N1754" s="143"/>
      <c r="O1754" s="143"/>
      <c r="P1754" s="143"/>
      <c r="Q1754" s="143"/>
      <c r="R1754" s="143"/>
      <c r="S1754" s="143"/>
      <c r="T1754" s="143"/>
      <c r="U1754" s="143"/>
      <c r="V1754" s="143"/>
      <c r="W1754" s="143"/>
      <c r="X1754" s="143"/>
      <c r="Y1754" s="143"/>
      <c r="Z1754" s="143"/>
      <c r="AA1754" s="143"/>
      <c r="AB1754" s="143"/>
      <c r="AC1754" s="143"/>
      <c r="AD1754" s="143"/>
      <c r="AE1754" s="143"/>
      <c r="AF1754" s="143"/>
      <c r="AG1754" s="143"/>
      <c r="AH1754" s="143"/>
      <c r="AI1754" s="143"/>
      <c r="AJ1754" s="143"/>
    </row>
    <row r="1755" spans="1:36" s="144" customFormat="1" ht="21.75" customHeight="1">
      <c r="A1755" s="151"/>
      <c r="B1755" s="219"/>
      <c r="C1755" s="219"/>
      <c r="D1755" s="219"/>
      <c r="E1755" s="225"/>
      <c r="N1755" s="143"/>
      <c r="O1755" s="143"/>
      <c r="P1755" s="143"/>
      <c r="Q1755" s="143"/>
      <c r="R1755" s="143"/>
      <c r="S1755" s="143"/>
      <c r="T1755" s="143"/>
      <c r="U1755" s="143"/>
      <c r="V1755" s="143"/>
      <c r="W1755" s="143"/>
      <c r="X1755" s="143"/>
      <c r="Y1755" s="143"/>
      <c r="Z1755" s="143"/>
      <c r="AA1755" s="143"/>
      <c r="AB1755" s="143"/>
      <c r="AC1755" s="143"/>
      <c r="AD1755" s="143"/>
      <c r="AE1755" s="143"/>
      <c r="AF1755" s="143"/>
      <c r="AG1755" s="143"/>
      <c r="AH1755" s="143"/>
      <c r="AI1755" s="143"/>
      <c r="AJ1755" s="143"/>
    </row>
    <row r="1756" spans="1:36" s="144" customFormat="1" ht="21.75" customHeight="1">
      <c r="A1756" s="151"/>
      <c r="B1756" s="219"/>
      <c r="C1756" s="219"/>
      <c r="D1756" s="219"/>
      <c r="E1756" s="225"/>
      <c r="N1756" s="143"/>
      <c r="O1756" s="143"/>
      <c r="P1756" s="143"/>
      <c r="Q1756" s="143"/>
      <c r="R1756" s="143"/>
      <c r="S1756" s="143"/>
      <c r="T1756" s="143"/>
      <c r="U1756" s="143"/>
      <c r="V1756" s="143"/>
      <c r="W1756" s="143"/>
      <c r="X1756" s="143"/>
      <c r="Y1756" s="143"/>
      <c r="Z1756" s="143"/>
      <c r="AA1756" s="143"/>
      <c r="AB1756" s="143"/>
      <c r="AC1756" s="143"/>
      <c r="AD1756" s="143"/>
      <c r="AE1756" s="143"/>
      <c r="AF1756" s="143"/>
      <c r="AG1756" s="143"/>
      <c r="AH1756" s="143"/>
      <c r="AI1756" s="143"/>
      <c r="AJ1756" s="143"/>
    </row>
    <row r="1757" spans="1:36" s="144" customFormat="1" ht="21.75" customHeight="1">
      <c r="A1757" s="151"/>
      <c r="B1757" s="219"/>
      <c r="C1757" s="219"/>
      <c r="D1757" s="219"/>
      <c r="E1757" s="225"/>
      <c r="N1757" s="143"/>
      <c r="O1757" s="143"/>
      <c r="P1757" s="143"/>
      <c r="Q1757" s="143"/>
      <c r="R1757" s="143"/>
      <c r="S1757" s="143"/>
      <c r="T1757" s="143"/>
      <c r="U1757" s="143"/>
      <c r="V1757" s="143"/>
      <c r="W1757" s="143"/>
      <c r="X1757" s="143"/>
      <c r="Y1757" s="143"/>
      <c r="Z1757" s="143"/>
      <c r="AA1757" s="143"/>
      <c r="AB1757" s="143"/>
      <c r="AC1757" s="143"/>
      <c r="AD1757" s="143"/>
      <c r="AE1757" s="143"/>
      <c r="AF1757" s="143"/>
      <c r="AG1757" s="143"/>
      <c r="AH1757" s="143"/>
      <c r="AI1757" s="143"/>
      <c r="AJ1757" s="143"/>
    </row>
    <row r="1758" spans="1:36" s="144" customFormat="1" ht="21.75" customHeight="1">
      <c r="A1758" s="151"/>
      <c r="B1758" s="219"/>
      <c r="C1758" s="219"/>
      <c r="D1758" s="219"/>
      <c r="E1758" s="225"/>
      <c r="N1758" s="143"/>
      <c r="O1758" s="143"/>
      <c r="P1758" s="143"/>
      <c r="Q1758" s="143"/>
      <c r="R1758" s="143"/>
      <c r="S1758" s="143"/>
      <c r="T1758" s="143"/>
      <c r="U1758" s="143"/>
      <c r="V1758" s="143"/>
      <c r="W1758" s="143"/>
      <c r="X1758" s="143"/>
      <c r="Y1758" s="143"/>
      <c r="Z1758" s="143"/>
      <c r="AA1758" s="143"/>
      <c r="AB1758" s="143"/>
      <c r="AC1758" s="143"/>
      <c r="AD1758" s="143"/>
      <c r="AE1758" s="143"/>
      <c r="AF1758" s="143"/>
      <c r="AG1758" s="143"/>
      <c r="AH1758" s="143"/>
      <c r="AI1758" s="143"/>
      <c r="AJ1758" s="143"/>
    </row>
    <row r="1759" spans="1:36" s="144" customFormat="1" ht="21.75" customHeight="1">
      <c r="A1759" s="151"/>
      <c r="B1759" s="219"/>
      <c r="C1759" s="219"/>
      <c r="D1759" s="219"/>
      <c r="E1759" s="225"/>
      <c r="N1759" s="143"/>
      <c r="O1759" s="143"/>
      <c r="P1759" s="143"/>
      <c r="Q1759" s="143"/>
      <c r="R1759" s="143"/>
      <c r="S1759" s="143"/>
      <c r="T1759" s="143"/>
      <c r="U1759" s="143"/>
      <c r="V1759" s="143"/>
      <c r="W1759" s="143"/>
      <c r="X1759" s="143"/>
      <c r="Y1759" s="143"/>
      <c r="Z1759" s="143"/>
      <c r="AA1759" s="143"/>
      <c r="AB1759" s="143"/>
      <c r="AC1759" s="143"/>
      <c r="AD1759" s="143"/>
      <c r="AE1759" s="143"/>
      <c r="AF1759" s="143"/>
      <c r="AG1759" s="143"/>
      <c r="AH1759" s="143"/>
      <c r="AI1759" s="143"/>
      <c r="AJ1759" s="143"/>
    </row>
    <row r="1760" spans="1:36" s="144" customFormat="1" ht="21.75" customHeight="1">
      <c r="A1760" s="151"/>
      <c r="B1760" s="219"/>
      <c r="C1760" s="219"/>
      <c r="D1760" s="219"/>
      <c r="E1760" s="225"/>
      <c r="N1760" s="143"/>
      <c r="O1760" s="143"/>
      <c r="P1760" s="143"/>
      <c r="Q1760" s="143"/>
      <c r="R1760" s="143"/>
      <c r="S1760" s="143"/>
      <c r="T1760" s="143"/>
      <c r="U1760" s="143"/>
      <c r="V1760" s="143"/>
      <c r="W1760" s="143"/>
      <c r="X1760" s="143"/>
      <c r="Y1760" s="143"/>
      <c r="Z1760" s="143"/>
      <c r="AA1760" s="143"/>
      <c r="AB1760" s="143"/>
      <c r="AC1760" s="143"/>
      <c r="AD1760" s="143"/>
      <c r="AE1760" s="143"/>
      <c r="AF1760" s="143"/>
      <c r="AG1760" s="143"/>
      <c r="AH1760" s="143"/>
      <c r="AI1760" s="143"/>
      <c r="AJ1760" s="143"/>
    </row>
    <row r="1761" spans="1:36" s="144" customFormat="1" ht="21.75" customHeight="1">
      <c r="A1761" s="151"/>
      <c r="B1761" s="219"/>
      <c r="C1761" s="219"/>
      <c r="D1761" s="219"/>
      <c r="E1761" s="225"/>
      <c r="N1761" s="143"/>
      <c r="O1761" s="143"/>
      <c r="P1761" s="143"/>
      <c r="Q1761" s="143"/>
      <c r="R1761" s="143"/>
      <c r="S1761" s="143"/>
      <c r="T1761" s="143"/>
      <c r="U1761" s="143"/>
      <c r="V1761" s="143"/>
      <c r="W1761" s="143"/>
      <c r="X1761" s="143"/>
      <c r="Y1761" s="143"/>
      <c r="Z1761" s="143"/>
      <c r="AA1761" s="143"/>
      <c r="AB1761" s="143"/>
      <c r="AC1761" s="143"/>
      <c r="AD1761" s="143"/>
      <c r="AE1761" s="143"/>
      <c r="AF1761" s="143"/>
      <c r="AG1761" s="143"/>
      <c r="AH1761" s="143"/>
      <c r="AI1761" s="143"/>
      <c r="AJ1761" s="143"/>
    </row>
    <row r="1762" spans="1:36" s="144" customFormat="1" ht="21.75" customHeight="1">
      <c r="A1762" s="151"/>
      <c r="B1762" s="219"/>
      <c r="C1762" s="219"/>
      <c r="D1762" s="219"/>
      <c r="E1762" s="225"/>
      <c r="N1762" s="143"/>
      <c r="O1762" s="143"/>
      <c r="P1762" s="143"/>
      <c r="Q1762" s="143"/>
      <c r="R1762" s="143"/>
      <c r="S1762" s="143"/>
      <c r="T1762" s="143"/>
      <c r="U1762" s="143"/>
      <c r="V1762" s="143"/>
      <c r="W1762" s="143"/>
      <c r="X1762" s="143"/>
      <c r="Y1762" s="143"/>
      <c r="Z1762" s="143"/>
      <c r="AA1762" s="143"/>
      <c r="AB1762" s="143"/>
      <c r="AC1762" s="143"/>
      <c r="AD1762" s="143"/>
      <c r="AE1762" s="143"/>
      <c r="AF1762" s="143"/>
      <c r="AG1762" s="143"/>
      <c r="AH1762" s="143"/>
      <c r="AI1762" s="143"/>
      <c r="AJ1762" s="143"/>
    </row>
    <row r="1763" spans="1:36" s="144" customFormat="1" ht="21.75" customHeight="1">
      <c r="A1763" s="151"/>
      <c r="B1763" s="219"/>
      <c r="C1763" s="219"/>
      <c r="D1763" s="219"/>
      <c r="E1763" s="225"/>
      <c r="N1763" s="143"/>
      <c r="O1763" s="143"/>
      <c r="P1763" s="143"/>
      <c r="Q1763" s="143"/>
      <c r="R1763" s="143"/>
      <c r="S1763" s="143"/>
      <c r="T1763" s="143"/>
      <c r="U1763" s="143"/>
      <c r="V1763" s="143"/>
      <c r="W1763" s="143"/>
      <c r="X1763" s="143"/>
      <c r="Y1763" s="143"/>
      <c r="Z1763" s="143"/>
      <c r="AA1763" s="143"/>
      <c r="AB1763" s="143"/>
      <c r="AC1763" s="143"/>
      <c r="AD1763" s="143"/>
      <c r="AE1763" s="143"/>
      <c r="AF1763" s="143"/>
      <c r="AG1763" s="143"/>
      <c r="AH1763" s="143"/>
      <c r="AI1763" s="143"/>
      <c r="AJ1763" s="143"/>
    </row>
    <row r="1764" spans="1:36" s="144" customFormat="1" ht="21.75" customHeight="1">
      <c r="A1764" s="151"/>
      <c r="B1764" s="219"/>
      <c r="C1764" s="219"/>
      <c r="D1764" s="219"/>
      <c r="E1764" s="225"/>
      <c r="N1764" s="143"/>
      <c r="O1764" s="143"/>
      <c r="P1764" s="143"/>
      <c r="Q1764" s="143"/>
      <c r="R1764" s="143"/>
      <c r="S1764" s="143"/>
      <c r="T1764" s="143"/>
      <c r="U1764" s="143"/>
      <c r="V1764" s="143"/>
      <c r="W1764" s="143"/>
      <c r="X1764" s="143"/>
      <c r="Y1764" s="143"/>
      <c r="Z1764" s="143"/>
      <c r="AA1764" s="143"/>
      <c r="AB1764" s="143"/>
      <c r="AC1764" s="143"/>
      <c r="AD1764" s="143"/>
      <c r="AE1764" s="143"/>
      <c r="AF1764" s="143"/>
      <c r="AG1764" s="143"/>
      <c r="AH1764" s="143"/>
      <c r="AI1764" s="143"/>
      <c r="AJ1764" s="143"/>
    </row>
    <row r="1765" spans="1:36" s="144" customFormat="1" ht="21.75" customHeight="1">
      <c r="A1765" s="151"/>
      <c r="B1765" s="219"/>
      <c r="C1765" s="219"/>
      <c r="D1765" s="219"/>
      <c r="E1765" s="225"/>
      <c r="N1765" s="143"/>
      <c r="O1765" s="143"/>
      <c r="P1765" s="143"/>
      <c r="Q1765" s="143"/>
      <c r="R1765" s="143"/>
      <c r="S1765" s="143"/>
      <c r="T1765" s="143"/>
      <c r="U1765" s="143"/>
      <c r="V1765" s="143"/>
      <c r="W1765" s="143"/>
      <c r="X1765" s="143"/>
      <c r="Y1765" s="143"/>
      <c r="Z1765" s="143"/>
      <c r="AA1765" s="143"/>
      <c r="AB1765" s="143"/>
      <c r="AC1765" s="143"/>
      <c r="AD1765" s="143"/>
      <c r="AE1765" s="143"/>
      <c r="AF1765" s="143"/>
      <c r="AG1765" s="143"/>
      <c r="AH1765" s="143"/>
      <c r="AI1765" s="143"/>
      <c r="AJ1765" s="143"/>
    </row>
    <row r="1766" spans="1:36" s="144" customFormat="1" ht="21.75" customHeight="1">
      <c r="A1766" s="151"/>
      <c r="B1766" s="219"/>
      <c r="C1766" s="219"/>
      <c r="D1766" s="219"/>
      <c r="E1766" s="225"/>
      <c r="N1766" s="143"/>
      <c r="O1766" s="143"/>
      <c r="P1766" s="143"/>
      <c r="Q1766" s="143"/>
      <c r="R1766" s="143"/>
      <c r="S1766" s="143"/>
      <c r="T1766" s="143"/>
      <c r="U1766" s="143"/>
      <c r="V1766" s="143"/>
      <c r="W1766" s="143"/>
      <c r="X1766" s="143"/>
      <c r="Y1766" s="143"/>
      <c r="Z1766" s="143"/>
      <c r="AA1766" s="143"/>
      <c r="AB1766" s="143"/>
      <c r="AC1766" s="143"/>
      <c r="AD1766" s="143"/>
      <c r="AE1766" s="143"/>
      <c r="AF1766" s="143"/>
      <c r="AG1766" s="143"/>
      <c r="AH1766" s="143"/>
      <c r="AI1766" s="143"/>
      <c r="AJ1766" s="143"/>
    </row>
    <row r="1767" spans="1:36" s="144" customFormat="1" ht="21.75" customHeight="1">
      <c r="A1767" s="151"/>
      <c r="B1767" s="219"/>
      <c r="C1767" s="219"/>
      <c r="D1767" s="219"/>
      <c r="E1767" s="225"/>
      <c r="N1767" s="143"/>
      <c r="O1767" s="143"/>
      <c r="P1767" s="143"/>
      <c r="Q1767" s="143"/>
      <c r="R1767" s="143"/>
      <c r="S1767" s="143"/>
      <c r="T1767" s="143"/>
      <c r="U1767" s="143"/>
      <c r="V1767" s="143"/>
      <c r="W1767" s="143"/>
      <c r="X1767" s="143"/>
      <c r="Y1767" s="143"/>
      <c r="Z1767" s="143"/>
      <c r="AA1767" s="143"/>
      <c r="AB1767" s="143"/>
      <c r="AC1767" s="143"/>
      <c r="AD1767" s="143"/>
      <c r="AE1767" s="143"/>
      <c r="AF1767" s="143"/>
      <c r="AG1767" s="143"/>
      <c r="AH1767" s="143"/>
      <c r="AI1767" s="143"/>
      <c r="AJ1767" s="143"/>
    </row>
    <row r="1768" spans="1:36" s="144" customFormat="1" ht="21.75" customHeight="1">
      <c r="A1768" s="151"/>
      <c r="B1768" s="219"/>
      <c r="C1768" s="219"/>
      <c r="D1768" s="219"/>
      <c r="E1768" s="225"/>
      <c r="N1768" s="143"/>
      <c r="O1768" s="143"/>
      <c r="P1768" s="143"/>
      <c r="Q1768" s="143"/>
      <c r="R1768" s="143"/>
      <c r="S1768" s="143"/>
      <c r="T1768" s="143"/>
      <c r="U1768" s="143"/>
      <c r="V1768" s="143"/>
      <c r="W1768" s="143"/>
      <c r="X1768" s="143"/>
      <c r="Y1768" s="143"/>
      <c r="Z1768" s="143"/>
      <c r="AA1768" s="143"/>
      <c r="AB1768" s="143"/>
      <c r="AC1768" s="143"/>
      <c r="AD1768" s="143"/>
      <c r="AE1768" s="143"/>
      <c r="AF1768" s="143"/>
      <c r="AG1768" s="143"/>
      <c r="AH1768" s="143"/>
      <c r="AI1768" s="143"/>
      <c r="AJ1768" s="143"/>
    </row>
    <row r="1769" spans="1:36" s="144" customFormat="1" ht="21.75" customHeight="1">
      <c r="A1769" s="151"/>
      <c r="B1769" s="219"/>
      <c r="C1769" s="219"/>
      <c r="D1769" s="219"/>
      <c r="E1769" s="225"/>
      <c r="N1769" s="143"/>
      <c r="O1769" s="143"/>
      <c r="P1769" s="143"/>
      <c r="Q1769" s="143"/>
      <c r="R1769" s="143"/>
      <c r="S1769" s="143"/>
      <c r="T1769" s="143"/>
      <c r="U1769" s="143"/>
      <c r="V1769" s="143"/>
      <c r="W1769" s="143"/>
      <c r="X1769" s="143"/>
      <c r="Y1769" s="143"/>
      <c r="Z1769" s="143"/>
      <c r="AA1769" s="143"/>
      <c r="AB1769" s="143"/>
      <c r="AC1769" s="143"/>
      <c r="AD1769" s="143"/>
      <c r="AE1769" s="143"/>
      <c r="AF1769" s="143"/>
      <c r="AG1769" s="143"/>
      <c r="AH1769" s="143"/>
      <c r="AI1769" s="143"/>
      <c r="AJ1769" s="143"/>
    </row>
    <row r="1770" spans="1:36" s="144" customFormat="1" ht="21.75" customHeight="1">
      <c r="A1770" s="151"/>
      <c r="B1770" s="219"/>
      <c r="C1770" s="219"/>
      <c r="D1770" s="219"/>
      <c r="E1770" s="225"/>
      <c r="N1770" s="143"/>
      <c r="O1770" s="143"/>
      <c r="P1770" s="143"/>
      <c r="Q1770" s="143"/>
      <c r="R1770" s="143"/>
      <c r="S1770" s="143"/>
      <c r="T1770" s="143"/>
      <c r="U1770" s="143"/>
      <c r="V1770" s="143"/>
      <c r="W1770" s="143"/>
      <c r="X1770" s="143"/>
      <c r="Y1770" s="143"/>
      <c r="Z1770" s="143"/>
      <c r="AA1770" s="143"/>
      <c r="AB1770" s="143"/>
      <c r="AC1770" s="143"/>
      <c r="AD1770" s="143"/>
      <c r="AE1770" s="143"/>
      <c r="AF1770" s="143"/>
      <c r="AG1770" s="143"/>
      <c r="AH1770" s="143"/>
      <c r="AI1770" s="143"/>
      <c r="AJ1770" s="143"/>
    </row>
    <row r="1771" spans="1:36" s="144" customFormat="1" ht="21.75" customHeight="1">
      <c r="A1771" s="151"/>
      <c r="B1771" s="219"/>
      <c r="C1771" s="219"/>
      <c r="D1771" s="219"/>
      <c r="E1771" s="225"/>
      <c r="N1771" s="143"/>
      <c r="O1771" s="143"/>
      <c r="P1771" s="143"/>
      <c r="Q1771" s="143"/>
      <c r="R1771" s="143"/>
      <c r="S1771" s="143"/>
      <c r="T1771" s="143"/>
      <c r="U1771" s="143"/>
      <c r="V1771" s="143"/>
      <c r="W1771" s="143"/>
      <c r="X1771" s="143"/>
      <c r="Y1771" s="143"/>
      <c r="Z1771" s="143"/>
      <c r="AA1771" s="143"/>
      <c r="AB1771" s="143"/>
      <c r="AC1771" s="143"/>
      <c r="AD1771" s="143"/>
      <c r="AE1771" s="143"/>
      <c r="AF1771" s="143"/>
      <c r="AG1771" s="143"/>
      <c r="AH1771" s="143"/>
      <c r="AI1771" s="143"/>
      <c r="AJ1771" s="143"/>
    </row>
    <row r="1772" spans="1:36" s="144" customFormat="1" ht="21.75" customHeight="1">
      <c r="A1772" s="151"/>
      <c r="B1772" s="219"/>
      <c r="C1772" s="219"/>
      <c r="D1772" s="219"/>
      <c r="E1772" s="225"/>
      <c r="N1772" s="143"/>
      <c r="O1772" s="143"/>
      <c r="P1772" s="143"/>
      <c r="Q1772" s="143"/>
      <c r="R1772" s="143"/>
      <c r="S1772" s="143"/>
      <c r="T1772" s="143"/>
      <c r="U1772" s="143"/>
      <c r="V1772" s="143"/>
      <c r="W1772" s="143"/>
      <c r="X1772" s="143"/>
      <c r="Y1772" s="143"/>
      <c r="Z1772" s="143"/>
      <c r="AA1772" s="143"/>
      <c r="AB1772" s="143"/>
      <c r="AC1772" s="143"/>
      <c r="AD1772" s="143"/>
      <c r="AE1772" s="143"/>
      <c r="AF1772" s="143"/>
      <c r="AG1772" s="143"/>
      <c r="AH1772" s="143"/>
      <c r="AI1772" s="143"/>
      <c r="AJ1772" s="143"/>
    </row>
    <row r="1773" spans="1:36" s="144" customFormat="1" ht="21.75" customHeight="1">
      <c r="A1773" s="151"/>
      <c r="B1773" s="219"/>
      <c r="C1773" s="219"/>
      <c r="D1773" s="219"/>
      <c r="E1773" s="225"/>
      <c r="N1773" s="143"/>
      <c r="O1773" s="143"/>
      <c r="P1773" s="143"/>
      <c r="Q1773" s="143"/>
      <c r="R1773" s="143"/>
      <c r="S1773" s="143"/>
      <c r="T1773" s="143"/>
      <c r="U1773" s="143"/>
      <c r="V1773" s="143"/>
      <c r="W1773" s="143"/>
      <c r="X1773" s="143"/>
      <c r="Y1773" s="143"/>
      <c r="Z1773" s="143"/>
      <c r="AA1773" s="143"/>
      <c r="AB1773" s="143"/>
      <c r="AC1773" s="143"/>
      <c r="AD1773" s="143"/>
      <c r="AE1773" s="143"/>
      <c r="AF1773" s="143"/>
      <c r="AG1773" s="143"/>
      <c r="AH1773" s="143"/>
      <c r="AI1773" s="143"/>
      <c r="AJ1773" s="143"/>
    </row>
    <row r="1774" spans="1:36" s="144" customFormat="1" ht="21.75" customHeight="1">
      <c r="A1774" s="151"/>
      <c r="B1774" s="219"/>
      <c r="C1774" s="219"/>
      <c r="D1774" s="219"/>
      <c r="E1774" s="225"/>
      <c r="N1774" s="143"/>
      <c r="O1774" s="143"/>
      <c r="P1774" s="143"/>
      <c r="Q1774" s="143"/>
      <c r="R1774" s="143"/>
      <c r="S1774" s="143"/>
      <c r="T1774" s="143"/>
      <c r="U1774" s="143"/>
      <c r="V1774" s="143"/>
      <c r="W1774" s="143"/>
      <c r="X1774" s="143"/>
      <c r="Y1774" s="143"/>
      <c r="Z1774" s="143"/>
      <c r="AA1774" s="143"/>
      <c r="AB1774" s="143"/>
      <c r="AC1774" s="143"/>
      <c r="AD1774" s="143"/>
      <c r="AE1774" s="143"/>
      <c r="AF1774" s="143"/>
      <c r="AG1774" s="143"/>
      <c r="AH1774" s="143"/>
      <c r="AI1774" s="143"/>
      <c r="AJ1774" s="143"/>
    </row>
    <row r="1775" spans="1:36" s="144" customFormat="1" ht="21.75" customHeight="1">
      <c r="A1775" s="151"/>
      <c r="B1775" s="219"/>
      <c r="C1775" s="219"/>
      <c r="D1775" s="219"/>
      <c r="E1775" s="225"/>
      <c r="N1775" s="143"/>
      <c r="O1775" s="143"/>
      <c r="P1775" s="143"/>
      <c r="Q1775" s="143"/>
      <c r="R1775" s="143"/>
      <c r="S1775" s="143"/>
      <c r="T1775" s="143"/>
      <c r="U1775" s="143"/>
      <c r="V1775" s="143"/>
      <c r="W1775" s="143"/>
      <c r="X1775" s="143"/>
      <c r="Y1775" s="143"/>
      <c r="Z1775" s="143"/>
      <c r="AA1775" s="143"/>
      <c r="AB1775" s="143"/>
      <c r="AC1775" s="143"/>
      <c r="AD1775" s="143"/>
      <c r="AE1775" s="143"/>
      <c r="AF1775" s="143"/>
      <c r="AG1775" s="143"/>
      <c r="AH1775" s="143"/>
      <c r="AI1775" s="143"/>
      <c r="AJ1775" s="143"/>
    </row>
    <row r="1776" spans="1:36" s="144" customFormat="1" ht="21.75" customHeight="1">
      <c r="A1776" s="151"/>
      <c r="B1776" s="219"/>
      <c r="C1776" s="219"/>
      <c r="D1776" s="219"/>
      <c r="E1776" s="225"/>
      <c r="N1776" s="143"/>
      <c r="O1776" s="143"/>
      <c r="P1776" s="143"/>
      <c r="Q1776" s="143"/>
      <c r="R1776" s="143"/>
      <c r="S1776" s="143"/>
      <c r="T1776" s="143"/>
      <c r="U1776" s="143"/>
      <c r="V1776" s="143"/>
      <c r="W1776" s="143"/>
      <c r="X1776" s="143"/>
      <c r="Y1776" s="143"/>
      <c r="Z1776" s="143"/>
      <c r="AA1776" s="143"/>
      <c r="AB1776" s="143"/>
      <c r="AC1776" s="143"/>
      <c r="AD1776" s="143"/>
      <c r="AE1776" s="143"/>
      <c r="AF1776" s="143"/>
      <c r="AG1776" s="143"/>
      <c r="AH1776" s="143"/>
      <c r="AI1776" s="143"/>
      <c r="AJ1776" s="143"/>
    </row>
    <row r="1777" spans="1:36" s="144" customFormat="1" ht="21.75" customHeight="1">
      <c r="A1777" s="151"/>
      <c r="B1777" s="219"/>
      <c r="C1777" s="219"/>
      <c r="D1777" s="219"/>
      <c r="E1777" s="225"/>
      <c r="N1777" s="143"/>
      <c r="O1777" s="143"/>
      <c r="P1777" s="143"/>
      <c r="Q1777" s="143"/>
      <c r="R1777" s="143"/>
      <c r="S1777" s="143"/>
      <c r="T1777" s="143"/>
      <c r="U1777" s="143"/>
      <c r="V1777" s="143"/>
      <c r="W1777" s="143"/>
      <c r="X1777" s="143"/>
      <c r="Y1777" s="143"/>
      <c r="Z1777" s="143"/>
      <c r="AA1777" s="143"/>
      <c r="AB1777" s="143"/>
      <c r="AC1777" s="143"/>
      <c r="AD1777" s="143"/>
      <c r="AE1777" s="143"/>
      <c r="AF1777" s="143"/>
      <c r="AG1777" s="143"/>
      <c r="AH1777" s="143"/>
      <c r="AI1777" s="143"/>
      <c r="AJ1777" s="143"/>
    </row>
    <row r="1778" spans="1:36" s="144" customFormat="1" ht="21.75" customHeight="1">
      <c r="A1778" s="151"/>
      <c r="B1778" s="219"/>
      <c r="C1778" s="219"/>
      <c r="D1778" s="219"/>
      <c r="E1778" s="225"/>
      <c r="N1778" s="143"/>
      <c r="O1778" s="143"/>
      <c r="P1778" s="143"/>
      <c r="Q1778" s="143"/>
      <c r="R1778" s="143"/>
      <c r="S1778" s="143"/>
      <c r="T1778" s="143"/>
      <c r="U1778" s="143"/>
      <c r="V1778" s="143"/>
      <c r="W1778" s="143"/>
      <c r="X1778" s="143"/>
      <c r="Y1778" s="143"/>
      <c r="Z1778" s="143"/>
      <c r="AA1778" s="143"/>
      <c r="AB1778" s="143"/>
      <c r="AC1778" s="143"/>
      <c r="AD1778" s="143"/>
      <c r="AE1778" s="143"/>
      <c r="AF1778" s="143"/>
      <c r="AG1778" s="143"/>
      <c r="AH1778" s="143"/>
      <c r="AI1778" s="143"/>
      <c r="AJ1778" s="143"/>
    </row>
    <row r="1779" spans="1:36" s="144" customFormat="1" ht="21.75" customHeight="1">
      <c r="A1779" s="151"/>
      <c r="B1779" s="219"/>
      <c r="C1779" s="219"/>
      <c r="D1779" s="219"/>
      <c r="E1779" s="225"/>
      <c r="N1779" s="143"/>
      <c r="O1779" s="143"/>
      <c r="P1779" s="143"/>
      <c r="Q1779" s="143"/>
      <c r="R1779" s="143"/>
      <c r="S1779" s="143"/>
      <c r="T1779" s="143"/>
      <c r="U1779" s="143"/>
      <c r="V1779" s="143"/>
      <c r="W1779" s="143"/>
      <c r="X1779" s="143"/>
      <c r="Y1779" s="143"/>
      <c r="Z1779" s="143"/>
      <c r="AA1779" s="143"/>
      <c r="AB1779" s="143"/>
      <c r="AC1779" s="143"/>
      <c r="AD1779" s="143"/>
      <c r="AE1779" s="143"/>
      <c r="AF1779" s="143"/>
      <c r="AG1779" s="143"/>
      <c r="AH1779" s="143"/>
      <c r="AI1779" s="143"/>
      <c r="AJ1779" s="143"/>
    </row>
    <row r="1780" spans="1:36" s="144" customFormat="1" ht="21.75" customHeight="1">
      <c r="A1780" s="151"/>
      <c r="B1780" s="219"/>
      <c r="C1780" s="219"/>
      <c r="D1780" s="219"/>
      <c r="E1780" s="225"/>
      <c r="N1780" s="143"/>
      <c r="O1780" s="143"/>
      <c r="P1780" s="143"/>
      <c r="Q1780" s="143"/>
      <c r="R1780" s="143"/>
      <c r="S1780" s="143"/>
      <c r="T1780" s="143"/>
      <c r="U1780" s="143"/>
      <c r="V1780" s="143"/>
      <c r="W1780" s="143"/>
      <c r="X1780" s="143"/>
      <c r="Y1780" s="143"/>
      <c r="Z1780" s="143"/>
      <c r="AA1780" s="143"/>
      <c r="AB1780" s="143"/>
      <c r="AC1780" s="143"/>
      <c r="AD1780" s="143"/>
      <c r="AE1780" s="143"/>
      <c r="AF1780" s="143"/>
      <c r="AG1780" s="143"/>
      <c r="AH1780" s="143"/>
      <c r="AI1780" s="143"/>
      <c r="AJ1780" s="143"/>
    </row>
    <row r="1781" spans="1:36" s="144" customFormat="1" ht="21.75" customHeight="1">
      <c r="A1781" s="151"/>
      <c r="B1781" s="219"/>
      <c r="C1781" s="219"/>
      <c r="D1781" s="219"/>
      <c r="E1781" s="225"/>
      <c r="N1781" s="143"/>
      <c r="O1781" s="143"/>
      <c r="P1781" s="143"/>
      <c r="Q1781" s="143"/>
      <c r="R1781" s="143"/>
      <c r="S1781" s="143"/>
      <c r="T1781" s="143"/>
      <c r="U1781" s="143"/>
      <c r="V1781" s="143"/>
      <c r="W1781" s="143"/>
      <c r="X1781" s="143"/>
      <c r="Y1781" s="143"/>
      <c r="Z1781" s="143"/>
      <c r="AA1781" s="143"/>
      <c r="AB1781" s="143"/>
      <c r="AC1781" s="143"/>
      <c r="AD1781" s="143"/>
      <c r="AE1781" s="143"/>
      <c r="AF1781" s="143"/>
      <c r="AG1781" s="143"/>
      <c r="AH1781" s="143"/>
      <c r="AI1781" s="143"/>
      <c r="AJ1781" s="143"/>
    </row>
    <row r="1782" spans="1:36" s="144" customFormat="1" ht="21.75" customHeight="1">
      <c r="A1782" s="151"/>
      <c r="B1782" s="219"/>
      <c r="C1782" s="219"/>
      <c r="D1782" s="219"/>
      <c r="E1782" s="225"/>
      <c r="N1782" s="143"/>
      <c r="O1782" s="143"/>
      <c r="P1782" s="143"/>
      <c r="Q1782" s="143"/>
      <c r="R1782" s="143"/>
      <c r="S1782" s="143"/>
      <c r="T1782" s="143"/>
      <c r="U1782" s="143"/>
      <c r="V1782" s="143"/>
      <c r="W1782" s="143"/>
      <c r="X1782" s="143"/>
      <c r="Y1782" s="143"/>
      <c r="Z1782" s="143"/>
      <c r="AA1782" s="143"/>
      <c r="AB1782" s="143"/>
      <c r="AC1782" s="143"/>
      <c r="AD1782" s="143"/>
      <c r="AE1782" s="143"/>
      <c r="AF1782" s="143"/>
      <c r="AG1782" s="143"/>
      <c r="AH1782" s="143"/>
      <c r="AI1782" s="143"/>
      <c r="AJ1782" s="143"/>
    </row>
    <row r="1783" spans="1:36" s="144" customFormat="1" ht="21.75" customHeight="1">
      <c r="A1783" s="151"/>
      <c r="B1783" s="219"/>
      <c r="C1783" s="219"/>
      <c r="D1783" s="219"/>
      <c r="E1783" s="225"/>
      <c r="N1783" s="143"/>
      <c r="O1783" s="143"/>
      <c r="P1783" s="143"/>
      <c r="Q1783" s="143"/>
      <c r="R1783" s="143"/>
      <c r="S1783" s="143"/>
      <c r="T1783" s="143"/>
      <c r="U1783" s="143"/>
      <c r="V1783" s="143"/>
      <c r="W1783" s="143"/>
      <c r="X1783" s="143"/>
      <c r="Y1783" s="143"/>
      <c r="Z1783" s="143"/>
      <c r="AA1783" s="143"/>
      <c r="AB1783" s="143"/>
      <c r="AC1783" s="143"/>
      <c r="AD1783" s="143"/>
      <c r="AE1783" s="143"/>
      <c r="AF1783" s="143"/>
      <c r="AG1783" s="143"/>
      <c r="AH1783" s="143"/>
      <c r="AI1783" s="143"/>
      <c r="AJ1783" s="143"/>
    </row>
    <row r="1784" spans="1:36" s="144" customFormat="1" ht="21.75" customHeight="1">
      <c r="A1784" s="151"/>
      <c r="B1784" s="219"/>
      <c r="C1784" s="219"/>
      <c r="D1784" s="219"/>
      <c r="E1784" s="225"/>
      <c r="N1784" s="143"/>
      <c r="O1784" s="143"/>
      <c r="P1784" s="143"/>
      <c r="Q1784" s="143"/>
      <c r="R1784" s="143"/>
      <c r="S1784" s="143"/>
      <c r="T1784" s="143"/>
      <c r="U1784" s="143"/>
      <c r="V1784" s="143"/>
      <c r="W1784" s="143"/>
      <c r="X1784" s="143"/>
      <c r="Y1784" s="143"/>
      <c r="Z1784" s="143"/>
      <c r="AA1784" s="143"/>
      <c r="AB1784" s="143"/>
      <c r="AC1784" s="143"/>
      <c r="AD1784" s="143"/>
      <c r="AE1784" s="143"/>
      <c r="AF1784" s="143"/>
      <c r="AG1784" s="143"/>
      <c r="AH1784" s="143"/>
      <c r="AI1784" s="143"/>
      <c r="AJ1784" s="143"/>
    </row>
    <row r="1785" spans="1:36" s="144" customFormat="1" ht="21.75" customHeight="1">
      <c r="A1785" s="151"/>
      <c r="B1785" s="219"/>
      <c r="C1785" s="219"/>
      <c r="D1785" s="219"/>
      <c r="E1785" s="225"/>
      <c r="N1785" s="143"/>
      <c r="O1785" s="143"/>
      <c r="P1785" s="143"/>
      <c r="Q1785" s="143"/>
      <c r="R1785" s="143"/>
      <c r="S1785" s="143"/>
      <c r="T1785" s="143"/>
      <c r="U1785" s="143"/>
      <c r="V1785" s="143"/>
      <c r="W1785" s="143"/>
      <c r="X1785" s="143"/>
      <c r="Y1785" s="143"/>
      <c r="Z1785" s="143"/>
      <c r="AA1785" s="143"/>
      <c r="AB1785" s="143"/>
      <c r="AC1785" s="143"/>
      <c r="AD1785" s="143"/>
      <c r="AE1785" s="143"/>
      <c r="AF1785" s="143"/>
      <c r="AG1785" s="143"/>
      <c r="AH1785" s="143"/>
      <c r="AI1785" s="143"/>
      <c r="AJ1785" s="143"/>
    </row>
    <row r="1786" spans="1:36" s="144" customFormat="1" ht="21.75" customHeight="1">
      <c r="A1786" s="151"/>
      <c r="B1786" s="219"/>
      <c r="C1786" s="219"/>
      <c r="D1786" s="219"/>
      <c r="E1786" s="225"/>
      <c r="N1786" s="143"/>
      <c r="O1786" s="143"/>
      <c r="P1786" s="143"/>
      <c r="Q1786" s="143"/>
      <c r="R1786" s="143"/>
      <c r="S1786" s="143"/>
      <c r="T1786" s="143"/>
      <c r="U1786" s="143"/>
      <c r="V1786" s="143"/>
      <c r="W1786" s="143"/>
      <c r="X1786" s="143"/>
      <c r="Y1786" s="143"/>
      <c r="Z1786" s="143"/>
      <c r="AA1786" s="143"/>
      <c r="AB1786" s="143"/>
      <c r="AC1786" s="143"/>
      <c r="AD1786" s="143"/>
      <c r="AE1786" s="143"/>
      <c r="AF1786" s="143"/>
      <c r="AG1786" s="143"/>
      <c r="AH1786" s="143"/>
      <c r="AI1786" s="143"/>
      <c r="AJ1786" s="143"/>
    </row>
    <row r="1787" spans="1:36" s="144" customFormat="1" ht="21.75" customHeight="1">
      <c r="A1787" s="151"/>
      <c r="B1787" s="219"/>
      <c r="C1787" s="219"/>
      <c r="D1787" s="219"/>
      <c r="E1787" s="225"/>
      <c r="N1787" s="143"/>
      <c r="O1787" s="143"/>
      <c r="P1787" s="143"/>
      <c r="Q1787" s="143"/>
      <c r="R1787" s="143"/>
      <c r="S1787" s="143"/>
      <c r="T1787" s="143"/>
      <c r="U1787" s="143"/>
      <c r="V1787" s="143"/>
      <c r="W1787" s="143"/>
      <c r="X1787" s="143"/>
      <c r="Y1787" s="143"/>
      <c r="Z1787" s="143"/>
      <c r="AA1787" s="143"/>
      <c r="AB1787" s="143"/>
      <c r="AC1787" s="143"/>
      <c r="AD1787" s="143"/>
      <c r="AE1787" s="143"/>
      <c r="AF1787" s="143"/>
      <c r="AG1787" s="143"/>
      <c r="AH1787" s="143"/>
      <c r="AI1787" s="143"/>
      <c r="AJ1787" s="143"/>
    </row>
    <row r="1788" spans="1:36" s="144" customFormat="1" ht="21.75" customHeight="1">
      <c r="A1788" s="151"/>
      <c r="B1788" s="219"/>
      <c r="C1788" s="219"/>
      <c r="D1788" s="219"/>
      <c r="E1788" s="225"/>
      <c r="N1788" s="143"/>
      <c r="O1788" s="143"/>
      <c r="P1788" s="143"/>
      <c r="Q1788" s="143"/>
      <c r="R1788" s="143"/>
      <c r="S1788" s="143"/>
      <c r="T1788" s="143"/>
      <c r="U1788" s="143"/>
      <c r="V1788" s="143"/>
      <c r="W1788" s="143"/>
      <c r="X1788" s="143"/>
      <c r="Y1788" s="143"/>
      <c r="Z1788" s="143"/>
      <c r="AA1788" s="143"/>
      <c r="AB1788" s="143"/>
      <c r="AC1788" s="143"/>
      <c r="AD1788" s="143"/>
      <c r="AE1788" s="143"/>
      <c r="AF1788" s="143"/>
      <c r="AG1788" s="143"/>
      <c r="AH1788" s="143"/>
      <c r="AI1788" s="143"/>
      <c r="AJ1788" s="143"/>
    </row>
    <row r="1789" spans="1:36" s="144" customFormat="1" ht="21.75" customHeight="1">
      <c r="A1789" s="151"/>
      <c r="B1789" s="219"/>
      <c r="C1789" s="219"/>
      <c r="D1789" s="219"/>
      <c r="E1789" s="225"/>
      <c r="N1789" s="143"/>
      <c r="O1789" s="143"/>
      <c r="P1789" s="143"/>
      <c r="Q1789" s="143"/>
      <c r="R1789" s="143"/>
      <c r="S1789" s="143"/>
      <c r="T1789" s="143"/>
      <c r="U1789" s="143"/>
      <c r="V1789" s="143"/>
      <c r="W1789" s="143"/>
      <c r="X1789" s="143"/>
      <c r="Y1789" s="143"/>
      <c r="Z1789" s="143"/>
      <c r="AA1789" s="143"/>
      <c r="AB1789" s="143"/>
      <c r="AC1789" s="143"/>
      <c r="AD1789" s="143"/>
      <c r="AE1789" s="143"/>
      <c r="AF1789" s="143"/>
      <c r="AG1789" s="143"/>
      <c r="AH1789" s="143"/>
      <c r="AI1789" s="143"/>
      <c r="AJ1789" s="143"/>
    </row>
    <row r="1790" spans="1:36" s="144" customFormat="1" ht="21.75" customHeight="1">
      <c r="A1790" s="151"/>
      <c r="B1790" s="219"/>
      <c r="C1790" s="219"/>
      <c r="D1790" s="219"/>
      <c r="E1790" s="225"/>
      <c r="N1790" s="143"/>
      <c r="O1790" s="143"/>
      <c r="P1790" s="143"/>
      <c r="Q1790" s="143"/>
      <c r="R1790" s="143"/>
      <c r="S1790" s="143"/>
      <c r="T1790" s="143"/>
      <c r="U1790" s="143"/>
      <c r="V1790" s="143"/>
      <c r="W1790" s="143"/>
      <c r="X1790" s="143"/>
      <c r="Y1790" s="143"/>
      <c r="Z1790" s="143"/>
      <c r="AA1790" s="143"/>
      <c r="AB1790" s="143"/>
      <c r="AC1790" s="143"/>
      <c r="AD1790" s="143"/>
      <c r="AE1790" s="143"/>
      <c r="AF1790" s="143"/>
      <c r="AG1790" s="143"/>
      <c r="AH1790" s="143"/>
      <c r="AI1790" s="143"/>
      <c r="AJ1790" s="143"/>
    </row>
    <row r="1791" spans="1:36" s="144" customFormat="1" ht="21.75" customHeight="1">
      <c r="A1791" s="151"/>
      <c r="B1791" s="219"/>
      <c r="C1791" s="219"/>
      <c r="D1791" s="219"/>
      <c r="E1791" s="225"/>
      <c r="N1791" s="143"/>
      <c r="O1791" s="143"/>
      <c r="P1791" s="143"/>
      <c r="Q1791" s="143"/>
      <c r="R1791" s="143"/>
      <c r="S1791" s="143"/>
      <c r="T1791" s="143"/>
      <c r="U1791" s="143"/>
      <c r="V1791" s="143"/>
      <c r="W1791" s="143"/>
      <c r="X1791" s="143"/>
      <c r="Y1791" s="143"/>
      <c r="Z1791" s="143"/>
      <c r="AA1791" s="143"/>
      <c r="AB1791" s="143"/>
      <c r="AC1791" s="143"/>
      <c r="AD1791" s="143"/>
      <c r="AE1791" s="143"/>
      <c r="AF1791" s="143"/>
      <c r="AG1791" s="143"/>
      <c r="AH1791" s="143"/>
      <c r="AI1791" s="143"/>
      <c r="AJ1791" s="143"/>
    </row>
    <row r="1792" spans="1:36" s="144" customFormat="1" ht="21.75" customHeight="1">
      <c r="A1792" s="151"/>
      <c r="B1792" s="219"/>
      <c r="C1792" s="219"/>
      <c r="D1792" s="219"/>
      <c r="E1792" s="225"/>
      <c r="N1792" s="143"/>
      <c r="O1792" s="143"/>
      <c r="P1792" s="143"/>
      <c r="Q1792" s="143"/>
      <c r="R1792" s="143"/>
      <c r="S1792" s="143"/>
      <c r="T1792" s="143"/>
      <c r="U1792" s="143"/>
      <c r="V1792" s="143"/>
      <c r="W1792" s="143"/>
      <c r="X1792" s="143"/>
      <c r="Y1792" s="143"/>
      <c r="Z1792" s="143"/>
      <c r="AA1792" s="143"/>
      <c r="AB1792" s="143"/>
      <c r="AC1792" s="143"/>
      <c r="AD1792" s="143"/>
      <c r="AE1792" s="143"/>
      <c r="AF1792" s="143"/>
      <c r="AG1792" s="143"/>
      <c r="AH1792" s="143"/>
      <c r="AI1792" s="143"/>
      <c r="AJ1792" s="143"/>
    </row>
    <row r="1793" spans="1:36" s="144" customFormat="1" ht="21.75" customHeight="1">
      <c r="A1793" s="151"/>
      <c r="B1793" s="219"/>
      <c r="C1793" s="219"/>
      <c r="D1793" s="219"/>
      <c r="E1793" s="225"/>
      <c r="N1793" s="143"/>
      <c r="O1793" s="143"/>
      <c r="P1793" s="143"/>
      <c r="Q1793" s="143"/>
      <c r="R1793" s="143"/>
      <c r="S1793" s="143"/>
      <c r="T1793" s="143"/>
      <c r="U1793" s="143"/>
      <c r="V1793" s="143"/>
      <c r="W1793" s="143"/>
      <c r="X1793" s="143"/>
      <c r="Y1793" s="143"/>
      <c r="Z1793" s="143"/>
      <c r="AA1793" s="143"/>
      <c r="AB1793" s="143"/>
      <c r="AC1793" s="143"/>
      <c r="AD1793" s="143"/>
      <c r="AE1793" s="143"/>
      <c r="AF1793" s="143"/>
      <c r="AG1793" s="143"/>
      <c r="AH1793" s="143"/>
      <c r="AI1793" s="143"/>
      <c r="AJ1793" s="143"/>
    </row>
    <row r="1794" spans="1:36" s="144" customFormat="1" ht="21.75" customHeight="1">
      <c r="A1794" s="151"/>
      <c r="B1794" s="219"/>
      <c r="C1794" s="219"/>
      <c r="D1794" s="219"/>
      <c r="E1794" s="225"/>
      <c r="N1794" s="143"/>
      <c r="O1794" s="143"/>
      <c r="P1794" s="143"/>
      <c r="Q1794" s="143"/>
      <c r="R1794" s="143"/>
      <c r="S1794" s="143"/>
      <c r="T1794" s="143"/>
      <c r="U1794" s="143"/>
      <c r="V1794" s="143"/>
      <c r="W1794" s="143"/>
      <c r="X1794" s="143"/>
      <c r="Y1794" s="143"/>
      <c r="Z1794" s="143"/>
      <c r="AA1794" s="143"/>
      <c r="AB1794" s="143"/>
      <c r="AC1794" s="143"/>
      <c r="AD1794" s="143"/>
      <c r="AE1794" s="143"/>
      <c r="AF1794" s="143"/>
      <c r="AG1794" s="143"/>
      <c r="AH1794" s="143"/>
      <c r="AI1794" s="143"/>
      <c r="AJ1794" s="143"/>
    </row>
    <row r="1795" spans="1:36" s="144" customFormat="1" ht="21.75" customHeight="1">
      <c r="A1795" s="151"/>
      <c r="B1795" s="219"/>
      <c r="C1795" s="219"/>
      <c r="D1795" s="219"/>
      <c r="E1795" s="225"/>
      <c r="N1795" s="143"/>
      <c r="O1795" s="143"/>
      <c r="P1795" s="143"/>
      <c r="Q1795" s="143"/>
      <c r="R1795" s="143"/>
      <c r="S1795" s="143"/>
      <c r="T1795" s="143"/>
      <c r="U1795" s="143"/>
      <c r="V1795" s="143"/>
      <c r="W1795" s="143"/>
      <c r="X1795" s="143"/>
      <c r="Y1795" s="143"/>
      <c r="Z1795" s="143"/>
      <c r="AA1795" s="143"/>
      <c r="AB1795" s="143"/>
      <c r="AC1795" s="143"/>
      <c r="AD1795" s="143"/>
      <c r="AE1795" s="143"/>
      <c r="AF1795" s="143"/>
      <c r="AG1795" s="143"/>
      <c r="AH1795" s="143"/>
      <c r="AI1795" s="143"/>
      <c r="AJ1795" s="143"/>
    </row>
    <row r="1796" spans="1:36" s="144" customFormat="1" ht="21.75" customHeight="1">
      <c r="A1796" s="151"/>
      <c r="B1796" s="219"/>
      <c r="C1796" s="219"/>
      <c r="D1796" s="219"/>
      <c r="E1796" s="225"/>
      <c r="N1796" s="143"/>
      <c r="O1796" s="143"/>
      <c r="P1796" s="143"/>
      <c r="Q1796" s="143"/>
      <c r="R1796" s="143"/>
      <c r="S1796" s="143"/>
      <c r="T1796" s="143"/>
      <c r="U1796" s="143"/>
      <c r="V1796" s="143"/>
      <c r="W1796" s="143"/>
      <c r="X1796" s="143"/>
      <c r="Y1796" s="143"/>
      <c r="Z1796" s="143"/>
      <c r="AA1796" s="143"/>
      <c r="AB1796" s="143"/>
      <c r="AC1796" s="143"/>
      <c r="AD1796" s="143"/>
      <c r="AE1796" s="143"/>
      <c r="AF1796" s="143"/>
      <c r="AG1796" s="143"/>
      <c r="AH1796" s="143"/>
      <c r="AI1796" s="143"/>
      <c r="AJ1796" s="143"/>
    </row>
    <row r="1797" spans="1:36" s="144" customFormat="1" ht="21.75" customHeight="1">
      <c r="A1797" s="151"/>
      <c r="B1797" s="219"/>
      <c r="C1797" s="219"/>
      <c r="D1797" s="219"/>
      <c r="E1797" s="225"/>
      <c r="N1797" s="143"/>
      <c r="O1797" s="143"/>
      <c r="P1797" s="143"/>
      <c r="Q1797" s="143"/>
      <c r="R1797" s="143"/>
      <c r="S1797" s="143"/>
      <c r="T1797" s="143"/>
      <c r="U1797" s="143"/>
      <c r="V1797" s="143"/>
      <c r="W1797" s="143"/>
      <c r="X1797" s="143"/>
      <c r="Y1797" s="143"/>
      <c r="Z1797" s="143"/>
      <c r="AA1797" s="143"/>
      <c r="AB1797" s="143"/>
      <c r="AC1797" s="143"/>
      <c r="AD1797" s="143"/>
      <c r="AE1797" s="143"/>
      <c r="AF1797" s="143"/>
      <c r="AG1797" s="143"/>
      <c r="AH1797" s="143"/>
      <c r="AI1797" s="143"/>
      <c r="AJ1797" s="143"/>
    </row>
    <row r="1798" spans="1:36" s="144" customFormat="1" ht="21.75" customHeight="1">
      <c r="A1798" s="151"/>
      <c r="B1798" s="219"/>
      <c r="C1798" s="219"/>
      <c r="D1798" s="219"/>
      <c r="E1798" s="225"/>
      <c r="N1798" s="143"/>
      <c r="O1798" s="143"/>
      <c r="P1798" s="143"/>
      <c r="Q1798" s="143"/>
      <c r="R1798" s="143"/>
      <c r="S1798" s="143"/>
      <c r="T1798" s="143"/>
      <c r="U1798" s="143"/>
      <c r="V1798" s="143"/>
      <c r="W1798" s="143"/>
      <c r="X1798" s="143"/>
      <c r="Y1798" s="143"/>
      <c r="Z1798" s="143"/>
      <c r="AA1798" s="143"/>
      <c r="AB1798" s="143"/>
      <c r="AC1798" s="143"/>
      <c r="AD1798" s="143"/>
      <c r="AE1798" s="143"/>
      <c r="AF1798" s="143"/>
      <c r="AG1798" s="143"/>
      <c r="AH1798" s="143"/>
      <c r="AI1798" s="143"/>
      <c r="AJ1798" s="143"/>
    </row>
    <row r="1799" spans="1:36" s="144" customFormat="1" ht="21.75" customHeight="1">
      <c r="A1799" s="151"/>
      <c r="B1799" s="219"/>
      <c r="C1799" s="219"/>
      <c r="D1799" s="219"/>
      <c r="E1799" s="225"/>
      <c r="N1799" s="143"/>
      <c r="O1799" s="143"/>
      <c r="P1799" s="143"/>
      <c r="Q1799" s="143"/>
      <c r="R1799" s="143"/>
      <c r="S1799" s="143"/>
      <c r="T1799" s="143"/>
      <c r="U1799" s="143"/>
      <c r="V1799" s="143"/>
      <c r="W1799" s="143"/>
      <c r="X1799" s="143"/>
      <c r="Y1799" s="143"/>
      <c r="Z1799" s="143"/>
      <c r="AA1799" s="143"/>
      <c r="AB1799" s="143"/>
      <c r="AC1799" s="143"/>
      <c r="AD1799" s="143"/>
      <c r="AE1799" s="143"/>
      <c r="AF1799" s="143"/>
      <c r="AG1799" s="143"/>
      <c r="AH1799" s="143"/>
      <c r="AI1799" s="143"/>
      <c r="AJ1799" s="143"/>
    </row>
    <row r="1800" spans="1:36" s="144" customFormat="1" ht="21.75" customHeight="1">
      <c r="A1800" s="151"/>
      <c r="B1800" s="219"/>
      <c r="C1800" s="219"/>
      <c r="D1800" s="219"/>
      <c r="E1800" s="225"/>
      <c r="N1800" s="143"/>
      <c r="O1800" s="143"/>
      <c r="P1800" s="143"/>
      <c r="Q1800" s="143"/>
      <c r="R1800" s="143"/>
      <c r="S1800" s="143"/>
      <c r="T1800" s="143"/>
      <c r="U1800" s="143"/>
      <c r="V1800" s="143"/>
      <c r="W1800" s="143"/>
      <c r="X1800" s="143"/>
      <c r="Y1800" s="143"/>
      <c r="Z1800" s="143"/>
      <c r="AA1800" s="143"/>
      <c r="AB1800" s="143"/>
      <c r="AC1800" s="143"/>
      <c r="AD1800" s="143"/>
      <c r="AE1800" s="143"/>
      <c r="AF1800" s="143"/>
      <c r="AG1800" s="143"/>
      <c r="AH1800" s="143"/>
      <c r="AI1800" s="143"/>
      <c r="AJ1800" s="143"/>
    </row>
    <row r="1801" spans="1:36" s="144" customFormat="1" ht="21.75" customHeight="1">
      <c r="A1801" s="151"/>
      <c r="B1801" s="219"/>
      <c r="C1801" s="219"/>
      <c r="D1801" s="219"/>
      <c r="E1801" s="225"/>
      <c r="N1801" s="143"/>
      <c r="O1801" s="143"/>
      <c r="P1801" s="143"/>
      <c r="Q1801" s="143"/>
      <c r="R1801" s="143"/>
      <c r="S1801" s="143"/>
      <c r="T1801" s="143"/>
      <c r="U1801" s="143"/>
      <c r="V1801" s="143"/>
      <c r="W1801" s="143"/>
      <c r="X1801" s="143"/>
      <c r="Y1801" s="143"/>
      <c r="Z1801" s="143"/>
      <c r="AA1801" s="143"/>
      <c r="AB1801" s="143"/>
      <c r="AC1801" s="143"/>
      <c r="AD1801" s="143"/>
      <c r="AE1801" s="143"/>
      <c r="AF1801" s="143"/>
      <c r="AG1801" s="143"/>
      <c r="AH1801" s="143"/>
      <c r="AI1801" s="143"/>
      <c r="AJ1801" s="143"/>
    </row>
    <row r="1802" spans="1:36" s="144" customFormat="1" ht="21.75" customHeight="1">
      <c r="A1802" s="151"/>
      <c r="B1802" s="219"/>
      <c r="C1802" s="219"/>
      <c r="D1802" s="219"/>
      <c r="E1802" s="225"/>
      <c r="N1802" s="143"/>
      <c r="O1802" s="143"/>
      <c r="P1802" s="143"/>
      <c r="Q1802" s="143"/>
      <c r="R1802" s="143"/>
      <c r="S1802" s="143"/>
      <c r="T1802" s="143"/>
      <c r="U1802" s="143"/>
      <c r="V1802" s="143"/>
      <c r="W1802" s="143"/>
      <c r="X1802" s="143"/>
      <c r="Y1802" s="143"/>
      <c r="Z1802" s="143"/>
      <c r="AA1802" s="143"/>
      <c r="AB1802" s="143"/>
      <c r="AC1802" s="143"/>
      <c r="AD1802" s="143"/>
      <c r="AE1802" s="143"/>
      <c r="AF1802" s="143"/>
      <c r="AG1802" s="143"/>
      <c r="AH1802" s="143"/>
      <c r="AI1802" s="143"/>
      <c r="AJ1802" s="143"/>
    </row>
    <row r="1803" spans="1:36" s="144" customFormat="1" ht="21.75" customHeight="1">
      <c r="A1803" s="151"/>
      <c r="B1803" s="219"/>
      <c r="C1803" s="219"/>
      <c r="D1803" s="219"/>
      <c r="E1803" s="225"/>
      <c r="N1803" s="143"/>
      <c r="O1803" s="143"/>
      <c r="P1803" s="143"/>
      <c r="Q1803" s="143"/>
      <c r="R1803" s="143"/>
      <c r="S1803" s="143"/>
      <c r="T1803" s="143"/>
      <c r="U1803" s="143"/>
      <c r="V1803" s="143"/>
      <c r="W1803" s="143"/>
      <c r="X1803" s="143"/>
      <c r="Y1803" s="143"/>
      <c r="Z1803" s="143"/>
      <c r="AA1803" s="143"/>
      <c r="AB1803" s="143"/>
      <c r="AC1803" s="143"/>
      <c r="AD1803" s="143"/>
      <c r="AE1803" s="143"/>
      <c r="AF1803" s="143"/>
      <c r="AG1803" s="143"/>
      <c r="AH1803" s="143"/>
      <c r="AI1803" s="143"/>
      <c r="AJ1803" s="143"/>
    </row>
    <row r="1804" spans="1:36" s="144" customFormat="1" ht="21.75" customHeight="1">
      <c r="A1804" s="151"/>
      <c r="B1804" s="219"/>
      <c r="C1804" s="219"/>
      <c r="D1804" s="219"/>
      <c r="E1804" s="225"/>
      <c r="N1804" s="143"/>
      <c r="O1804" s="143"/>
      <c r="P1804" s="143"/>
      <c r="Q1804" s="143"/>
      <c r="R1804" s="143"/>
      <c r="S1804" s="143"/>
      <c r="T1804" s="143"/>
      <c r="U1804" s="143"/>
      <c r="V1804" s="143"/>
      <c r="W1804" s="143"/>
      <c r="X1804" s="143"/>
      <c r="Y1804" s="143"/>
      <c r="Z1804" s="143"/>
      <c r="AA1804" s="143"/>
      <c r="AB1804" s="143"/>
      <c r="AC1804" s="143"/>
      <c r="AD1804" s="143"/>
      <c r="AE1804" s="143"/>
      <c r="AF1804" s="143"/>
      <c r="AG1804" s="143"/>
      <c r="AH1804" s="143"/>
      <c r="AI1804" s="143"/>
      <c r="AJ1804" s="143"/>
    </row>
    <row r="1805" spans="1:36" s="144" customFormat="1" ht="21.75" customHeight="1">
      <c r="A1805" s="151"/>
      <c r="B1805" s="219"/>
      <c r="C1805" s="219"/>
      <c r="D1805" s="219"/>
      <c r="E1805" s="225"/>
      <c r="N1805" s="143"/>
      <c r="O1805" s="143"/>
      <c r="P1805" s="143"/>
      <c r="Q1805" s="143"/>
      <c r="R1805" s="143"/>
      <c r="S1805" s="143"/>
      <c r="T1805" s="143"/>
      <c r="U1805" s="143"/>
      <c r="V1805" s="143"/>
      <c r="W1805" s="143"/>
      <c r="X1805" s="143"/>
      <c r="Y1805" s="143"/>
      <c r="Z1805" s="143"/>
      <c r="AA1805" s="143"/>
      <c r="AB1805" s="143"/>
      <c r="AC1805" s="143"/>
      <c r="AD1805" s="143"/>
      <c r="AE1805" s="143"/>
      <c r="AF1805" s="143"/>
      <c r="AG1805" s="143"/>
      <c r="AH1805" s="143"/>
      <c r="AI1805" s="143"/>
      <c r="AJ1805" s="143"/>
    </row>
    <row r="1806" spans="1:36" s="144" customFormat="1" ht="21.75" customHeight="1">
      <c r="A1806" s="151"/>
      <c r="B1806" s="219"/>
      <c r="C1806" s="219"/>
      <c r="D1806" s="219"/>
      <c r="E1806" s="225"/>
      <c r="N1806" s="143"/>
      <c r="O1806" s="143"/>
      <c r="P1806" s="143"/>
      <c r="Q1806" s="143"/>
      <c r="R1806" s="143"/>
      <c r="S1806" s="143"/>
      <c r="T1806" s="143"/>
      <c r="U1806" s="143"/>
      <c r="V1806" s="143"/>
      <c r="W1806" s="143"/>
      <c r="X1806" s="143"/>
      <c r="Y1806" s="143"/>
      <c r="Z1806" s="143"/>
      <c r="AA1806" s="143"/>
      <c r="AB1806" s="143"/>
      <c r="AC1806" s="143"/>
      <c r="AD1806" s="143"/>
      <c r="AE1806" s="143"/>
      <c r="AF1806" s="143"/>
      <c r="AG1806" s="143"/>
      <c r="AH1806" s="143"/>
      <c r="AI1806" s="143"/>
      <c r="AJ1806" s="143"/>
    </row>
    <row r="1807" spans="1:36" s="144" customFormat="1" ht="21.75" customHeight="1">
      <c r="A1807" s="151"/>
      <c r="B1807" s="219"/>
      <c r="C1807" s="219"/>
      <c r="D1807" s="219"/>
      <c r="E1807" s="225"/>
      <c r="N1807" s="143"/>
      <c r="O1807" s="143"/>
      <c r="P1807" s="143"/>
      <c r="Q1807" s="143"/>
      <c r="R1807" s="143"/>
      <c r="S1807" s="143"/>
      <c r="T1807" s="143"/>
      <c r="U1807" s="143"/>
      <c r="V1807" s="143"/>
      <c r="W1807" s="143"/>
      <c r="X1807" s="143"/>
      <c r="Y1807" s="143"/>
      <c r="Z1807" s="143"/>
      <c r="AA1807" s="143"/>
      <c r="AB1807" s="143"/>
      <c r="AC1807" s="143"/>
      <c r="AD1807" s="143"/>
      <c r="AE1807" s="143"/>
      <c r="AF1807" s="143"/>
      <c r="AG1807" s="143"/>
      <c r="AH1807" s="143"/>
      <c r="AI1807" s="143"/>
      <c r="AJ1807" s="143"/>
    </row>
    <row r="1808" spans="1:36" s="144" customFormat="1" ht="21.75" customHeight="1">
      <c r="A1808" s="151"/>
      <c r="B1808" s="219"/>
      <c r="C1808" s="219"/>
      <c r="D1808" s="219"/>
      <c r="E1808" s="225"/>
      <c r="N1808" s="143"/>
      <c r="O1808" s="143"/>
      <c r="P1808" s="143"/>
      <c r="Q1808" s="143"/>
      <c r="R1808" s="143"/>
      <c r="S1808" s="143"/>
      <c r="T1808" s="143"/>
      <c r="U1808" s="143"/>
      <c r="V1808" s="143"/>
      <c r="W1808" s="143"/>
      <c r="X1808" s="143"/>
      <c r="Y1808" s="143"/>
      <c r="Z1808" s="143"/>
      <c r="AA1808" s="143"/>
      <c r="AB1808" s="143"/>
      <c r="AC1808" s="143"/>
      <c r="AD1808" s="143"/>
      <c r="AE1808" s="143"/>
      <c r="AF1808" s="143"/>
      <c r="AG1808" s="143"/>
      <c r="AH1808" s="143"/>
      <c r="AI1808" s="143"/>
      <c r="AJ1808" s="143"/>
    </row>
    <row r="1809" spans="1:36" s="144" customFormat="1" ht="21.75" customHeight="1">
      <c r="A1809" s="151"/>
      <c r="B1809" s="219"/>
      <c r="C1809" s="219"/>
      <c r="D1809" s="219"/>
      <c r="E1809" s="225"/>
      <c r="N1809" s="143"/>
      <c r="O1809" s="143"/>
      <c r="P1809" s="143"/>
      <c r="Q1809" s="143"/>
      <c r="R1809" s="143"/>
      <c r="S1809" s="143"/>
      <c r="T1809" s="143"/>
      <c r="U1809" s="143"/>
      <c r="V1809" s="143"/>
      <c r="W1809" s="143"/>
      <c r="X1809" s="143"/>
      <c r="Y1809" s="143"/>
      <c r="Z1809" s="143"/>
      <c r="AA1809" s="143"/>
      <c r="AB1809" s="143"/>
      <c r="AC1809" s="143"/>
      <c r="AD1809" s="143"/>
      <c r="AE1809" s="143"/>
      <c r="AF1809" s="143"/>
      <c r="AG1809" s="143"/>
      <c r="AH1809" s="143"/>
      <c r="AI1809" s="143"/>
      <c r="AJ1809" s="143"/>
    </row>
    <row r="1810" spans="1:36" s="144" customFormat="1" ht="21.75" customHeight="1">
      <c r="A1810" s="151"/>
      <c r="B1810" s="219"/>
      <c r="C1810" s="219"/>
      <c r="D1810" s="219"/>
      <c r="E1810" s="225"/>
      <c r="N1810" s="143"/>
      <c r="O1810" s="143"/>
      <c r="P1810" s="143"/>
      <c r="Q1810" s="143"/>
      <c r="R1810" s="143"/>
      <c r="S1810" s="143"/>
      <c r="T1810" s="143"/>
      <c r="U1810" s="143"/>
      <c r="V1810" s="143"/>
      <c r="W1810" s="143"/>
      <c r="X1810" s="143"/>
      <c r="Y1810" s="143"/>
      <c r="Z1810" s="143"/>
      <c r="AA1810" s="143"/>
      <c r="AB1810" s="143"/>
      <c r="AC1810" s="143"/>
      <c r="AD1810" s="143"/>
      <c r="AE1810" s="143"/>
      <c r="AF1810" s="143"/>
      <c r="AG1810" s="143"/>
      <c r="AH1810" s="143"/>
      <c r="AI1810" s="143"/>
      <c r="AJ1810" s="143"/>
    </row>
    <row r="1811" spans="1:36" s="144" customFormat="1" ht="21.75" customHeight="1">
      <c r="A1811" s="151"/>
      <c r="B1811" s="219"/>
      <c r="C1811" s="219"/>
      <c r="D1811" s="219"/>
      <c r="E1811" s="225"/>
      <c r="N1811" s="143"/>
      <c r="O1811" s="143"/>
      <c r="P1811" s="143"/>
      <c r="Q1811" s="143"/>
      <c r="R1811" s="143"/>
      <c r="S1811" s="143"/>
      <c r="T1811" s="143"/>
      <c r="U1811" s="143"/>
      <c r="V1811" s="143"/>
      <c r="W1811" s="143"/>
      <c r="X1811" s="143"/>
      <c r="Y1811" s="143"/>
      <c r="Z1811" s="143"/>
      <c r="AA1811" s="143"/>
      <c r="AB1811" s="143"/>
      <c r="AC1811" s="143"/>
      <c r="AD1811" s="143"/>
      <c r="AE1811" s="143"/>
      <c r="AF1811" s="143"/>
      <c r="AG1811" s="143"/>
      <c r="AH1811" s="143"/>
      <c r="AI1811" s="143"/>
      <c r="AJ1811" s="143"/>
    </row>
    <row r="1812" spans="1:36" s="144" customFormat="1" ht="21.75" customHeight="1">
      <c r="A1812" s="151"/>
      <c r="B1812" s="219"/>
      <c r="C1812" s="219"/>
      <c r="D1812" s="219"/>
      <c r="E1812" s="225"/>
      <c r="N1812" s="143"/>
      <c r="O1812" s="143"/>
      <c r="P1812" s="143"/>
      <c r="Q1812" s="143"/>
      <c r="R1812" s="143"/>
      <c r="S1812" s="143"/>
      <c r="T1812" s="143"/>
      <c r="U1812" s="143"/>
      <c r="V1812" s="143"/>
      <c r="W1812" s="143"/>
      <c r="X1812" s="143"/>
      <c r="Y1812" s="143"/>
      <c r="Z1812" s="143"/>
      <c r="AA1812" s="143"/>
      <c r="AB1812" s="143"/>
      <c r="AC1812" s="143"/>
      <c r="AD1812" s="143"/>
      <c r="AE1812" s="143"/>
      <c r="AF1812" s="143"/>
      <c r="AG1812" s="143"/>
      <c r="AH1812" s="143"/>
      <c r="AI1812" s="143"/>
      <c r="AJ1812" s="143"/>
    </row>
    <row r="1813" spans="1:36" s="144" customFormat="1" ht="21.75" customHeight="1">
      <c r="A1813" s="151"/>
      <c r="B1813" s="219"/>
      <c r="C1813" s="219"/>
      <c r="D1813" s="219"/>
      <c r="E1813" s="225"/>
      <c r="N1813" s="143"/>
      <c r="O1813" s="143"/>
      <c r="P1813" s="143"/>
      <c r="Q1813" s="143"/>
      <c r="R1813" s="143"/>
      <c r="S1813" s="143"/>
      <c r="T1813" s="143"/>
      <c r="U1813" s="143"/>
      <c r="V1813" s="143"/>
      <c r="W1813" s="143"/>
      <c r="X1813" s="143"/>
      <c r="Y1813" s="143"/>
      <c r="Z1813" s="143"/>
      <c r="AA1813" s="143"/>
      <c r="AB1813" s="143"/>
      <c r="AC1813" s="143"/>
      <c r="AD1813" s="143"/>
      <c r="AE1813" s="143"/>
      <c r="AF1813" s="143"/>
      <c r="AG1813" s="143"/>
      <c r="AH1813" s="143"/>
      <c r="AI1813" s="143"/>
      <c r="AJ1813" s="143"/>
    </row>
    <row r="1814" spans="1:36" s="144" customFormat="1" ht="21.75" customHeight="1">
      <c r="A1814" s="151"/>
      <c r="B1814" s="219"/>
      <c r="C1814" s="219"/>
      <c r="D1814" s="219"/>
      <c r="E1814" s="225"/>
      <c r="N1814" s="143"/>
      <c r="O1814" s="143"/>
      <c r="P1814" s="143"/>
      <c r="Q1814" s="143"/>
      <c r="R1814" s="143"/>
      <c r="S1814" s="143"/>
      <c r="T1814" s="143"/>
      <c r="U1814" s="143"/>
      <c r="V1814" s="143"/>
      <c r="W1814" s="143"/>
      <c r="X1814" s="143"/>
      <c r="Y1814" s="143"/>
      <c r="Z1814" s="143"/>
      <c r="AA1814" s="143"/>
      <c r="AB1814" s="143"/>
      <c r="AC1814" s="143"/>
      <c r="AD1814" s="143"/>
      <c r="AE1814" s="143"/>
      <c r="AF1814" s="143"/>
      <c r="AG1814" s="143"/>
      <c r="AH1814" s="143"/>
      <c r="AI1814" s="143"/>
      <c r="AJ1814" s="143"/>
    </row>
    <row r="1815" spans="1:36" s="144" customFormat="1" ht="21.75" customHeight="1">
      <c r="A1815" s="151"/>
      <c r="B1815" s="219"/>
      <c r="C1815" s="219"/>
      <c r="D1815" s="219"/>
      <c r="E1815" s="225"/>
      <c r="N1815" s="143"/>
      <c r="O1815" s="143"/>
      <c r="P1815" s="143"/>
      <c r="Q1815" s="143"/>
      <c r="R1815" s="143"/>
      <c r="S1815" s="143"/>
      <c r="T1815" s="143"/>
      <c r="U1815" s="143"/>
      <c r="V1815" s="143"/>
      <c r="W1815" s="143"/>
      <c r="X1815" s="143"/>
      <c r="Y1815" s="143"/>
      <c r="Z1815" s="143"/>
      <c r="AA1815" s="143"/>
      <c r="AB1815" s="143"/>
      <c r="AC1815" s="143"/>
      <c r="AD1815" s="143"/>
      <c r="AE1815" s="143"/>
      <c r="AF1815" s="143"/>
      <c r="AG1815" s="143"/>
      <c r="AH1815" s="143"/>
      <c r="AI1815" s="143"/>
      <c r="AJ1815" s="143"/>
    </row>
    <row r="1816" spans="1:36" s="144" customFormat="1" ht="21.75" customHeight="1">
      <c r="A1816" s="151"/>
      <c r="B1816" s="219"/>
      <c r="C1816" s="219"/>
      <c r="D1816" s="219"/>
      <c r="E1816" s="225"/>
      <c r="N1816" s="143"/>
      <c r="O1816" s="143"/>
      <c r="P1816" s="143"/>
      <c r="Q1816" s="143"/>
      <c r="R1816" s="143"/>
      <c r="S1816" s="143"/>
      <c r="T1816" s="143"/>
      <c r="U1816" s="143"/>
      <c r="V1816" s="143"/>
      <c r="W1816" s="143"/>
      <c r="X1816" s="143"/>
      <c r="Y1816" s="143"/>
      <c r="Z1816" s="143"/>
      <c r="AA1816" s="143"/>
      <c r="AB1816" s="143"/>
      <c r="AC1816" s="143"/>
      <c r="AD1816" s="143"/>
      <c r="AE1816" s="143"/>
      <c r="AF1816" s="143"/>
      <c r="AG1816" s="143"/>
      <c r="AH1816" s="143"/>
      <c r="AI1816" s="143"/>
      <c r="AJ1816" s="143"/>
    </row>
    <row r="1817" spans="1:36" s="144" customFormat="1" ht="21.75" customHeight="1">
      <c r="A1817" s="151"/>
      <c r="B1817" s="219"/>
      <c r="C1817" s="219"/>
      <c r="D1817" s="219"/>
      <c r="E1817" s="225"/>
      <c r="N1817" s="143"/>
      <c r="O1817" s="143"/>
      <c r="P1817" s="143"/>
      <c r="Q1817" s="143"/>
      <c r="R1817" s="143"/>
      <c r="S1817" s="143"/>
      <c r="T1817" s="143"/>
      <c r="U1817" s="143"/>
      <c r="V1817" s="143"/>
      <c r="W1817" s="143"/>
      <c r="X1817" s="143"/>
      <c r="Y1817" s="143"/>
      <c r="Z1817" s="143"/>
      <c r="AA1817" s="143"/>
      <c r="AB1817" s="143"/>
      <c r="AC1817" s="143"/>
      <c r="AD1817" s="143"/>
      <c r="AE1817" s="143"/>
      <c r="AF1817" s="143"/>
      <c r="AG1817" s="143"/>
      <c r="AH1817" s="143"/>
      <c r="AI1817" s="143"/>
      <c r="AJ1817" s="143"/>
    </row>
    <row r="1818" spans="1:36" s="144" customFormat="1" ht="21.75" customHeight="1">
      <c r="A1818" s="151"/>
      <c r="B1818" s="219"/>
      <c r="C1818" s="219"/>
      <c r="D1818" s="219"/>
      <c r="E1818" s="225"/>
      <c r="N1818" s="143"/>
      <c r="O1818" s="143"/>
      <c r="P1818" s="143"/>
      <c r="Q1818" s="143"/>
      <c r="R1818" s="143"/>
      <c r="S1818" s="143"/>
      <c r="T1818" s="143"/>
      <c r="U1818" s="143"/>
      <c r="V1818" s="143"/>
      <c r="W1818" s="143"/>
      <c r="X1818" s="143"/>
      <c r="Y1818" s="143"/>
      <c r="Z1818" s="143"/>
      <c r="AA1818" s="143"/>
      <c r="AB1818" s="143"/>
      <c r="AC1818" s="143"/>
      <c r="AD1818" s="143"/>
      <c r="AE1818" s="143"/>
      <c r="AF1818" s="143"/>
      <c r="AG1818" s="143"/>
      <c r="AH1818" s="143"/>
      <c r="AI1818" s="143"/>
      <c r="AJ1818" s="143"/>
    </row>
    <row r="1819" spans="1:36" s="144" customFormat="1" ht="21.75" customHeight="1">
      <c r="A1819" s="151"/>
      <c r="B1819" s="219"/>
      <c r="C1819" s="219"/>
      <c r="D1819" s="219"/>
      <c r="E1819" s="225"/>
      <c r="N1819" s="143"/>
      <c r="O1819" s="143"/>
      <c r="P1819" s="143"/>
      <c r="Q1819" s="143"/>
      <c r="R1819" s="143"/>
      <c r="S1819" s="143"/>
      <c r="T1819" s="143"/>
      <c r="U1819" s="143"/>
      <c r="V1819" s="143"/>
      <c r="W1819" s="143"/>
      <c r="X1819" s="143"/>
      <c r="Y1819" s="143"/>
      <c r="Z1819" s="143"/>
      <c r="AA1819" s="143"/>
      <c r="AB1819" s="143"/>
      <c r="AC1819" s="143"/>
      <c r="AD1819" s="143"/>
      <c r="AE1819" s="143"/>
      <c r="AF1819" s="143"/>
      <c r="AG1819" s="143"/>
      <c r="AH1819" s="143"/>
      <c r="AI1819" s="143"/>
      <c r="AJ1819" s="143"/>
    </row>
    <row r="1820" spans="1:36" s="144" customFormat="1" ht="21.75" customHeight="1">
      <c r="A1820" s="151"/>
      <c r="B1820" s="219"/>
      <c r="C1820" s="219"/>
      <c r="D1820" s="219"/>
      <c r="E1820" s="225"/>
      <c r="N1820" s="143"/>
      <c r="O1820" s="143"/>
      <c r="P1820" s="143"/>
      <c r="Q1820" s="143"/>
      <c r="R1820" s="143"/>
      <c r="S1820" s="143"/>
      <c r="T1820" s="143"/>
      <c r="U1820" s="143"/>
      <c r="V1820" s="143"/>
      <c r="W1820" s="143"/>
      <c r="X1820" s="143"/>
      <c r="Y1820" s="143"/>
      <c r="Z1820" s="143"/>
      <c r="AA1820" s="143"/>
      <c r="AB1820" s="143"/>
      <c r="AC1820" s="143"/>
      <c r="AD1820" s="143"/>
      <c r="AE1820" s="143"/>
      <c r="AF1820" s="143"/>
      <c r="AG1820" s="143"/>
      <c r="AH1820" s="143"/>
      <c r="AI1820" s="143"/>
      <c r="AJ1820" s="143"/>
    </row>
    <row r="1821" spans="1:36" s="144" customFormat="1" ht="21.75" customHeight="1">
      <c r="A1821" s="151"/>
      <c r="B1821" s="219"/>
      <c r="C1821" s="219"/>
      <c r="D1821" s="219"/>
      <c r="E1821" s="225"/>
      <c r="N1821" s="143"/>
      <c r="O1821" s="143"/>
      <c r="P1821" s="143"/>
      <c r="Q1821" s="143"/>
      <c r="R1821" s="143"/>
      <c r="S1821" s="143"/>
      <c r="T1821" s="143"/>
      <c r="U1821" s="143"/>
      <c r="V1821" s="143"/>
      <c r="W1821" s="143"/>
      <c r="X1821" s="143"/>
      <c r="Y1821" s="143"/>
      <c r="Z1821" s="143"/>
      <c r="AA1821" s="143"/>
      <c r="AB1821" s="143"/>
      <c r="AC1821" s="143"/>
      <c r="AD1821" s="143"/>
      <c r="AE1821" s="143"/>
      <c r="AF1821" s="143"/>
      <c r="AG1821" s="143"/>
      <c r="AH1821" s="143"/>
      <c r="AI1821" s="143"/>
      <c r="AJ1821" s="143"/>
    </row>
    <row r="1822" spans="1:36" s="144" customFormat="1" ht="21.75" customHeight="1">
      <c r="A1822" s="151"/>
      <c r="B1822" s="219"/>
      <c r="C1822" s="219"/>
      <c r="D1822" s="219"/>
      <c r="E1822" s="225"/>
      <c r="N1822" s="143"/>
      <c r="O1822" s="143"/>
      <c r="P1822" s="143"/>
      <c r="Q1822" s="143"/>
      <c r="R1822" s="143"/>
      <c r="S1822" s="143"/>
      <c r="T1822" s="143"/>
      <c r="U1822" s="143"/>
      <c r="V1822" s="143"/>
      <c r="W1822" s="143"/>
      <c r="X1822" s="143"/>
      <c r="Y1822" s="143"/>
      <c r="Z1822" s="143"/>
      <c r="AA1822" s="143"/>
      <c r="AB1822" s="143"/>
      <c r="AC1822" s="143"/>
      <c r="AD1822" s="143"/>
      <c r="AE1822" s="143"/>
      <c r="AF1822" s="143"/>
      <c r="AG1822" s="143"/>
      <c r="AH1822" s="143"/>
      <c r="AI1822" s="143"/>
      <c r="AJ1822" s="143"/>
    </row>
    <row r="1823" spans="1:36" s="144" customFormat="1" ht="21.75" customHeight="1">
      <c r="A1823" s="151"/>
      <c r="B1823" s="219"/>
      <c r="C1823" s="219"/>
      <c r="D1823" s="219"/>
      <c r="E1823" s="225"/>
      <c r="N1823" s="143"/>
      <c r="O1823" s="143"/>
      <c r="P1823" s="143"/>
      <c r="Q1823" s="143"/>
      <c r="R1823" s="143"/>
      <c r="S1823" s="143"/>
      <c r="T1823" s="143"/>
      <c r="U1823" s="143"/>
      <c r="V1823" s="143"/>
      <c r="W1823" s="143"/>
      <c r="X1823" s="143"/>
      <c r="Y1823" s="143"/>
      <c r="Z1823" s="143"/>
      <c r="AA1823" s="143"/>
      <c r="AB1823" s="143"/>
      <c r="AC1823" s="143"/>
      <c r="AD1823" s="143"/>
      <c r="AE1823" s="143"/>
      <c r="AF1823" s="143"/>
      <c r="AG1823" s="143"/>
      <c r="AH1823" s="143"/>
      <c r="AI1823" s="143"/>
      <c r="AJ1823" s="143"/>
    </row>
    <row r="1824" spans="1:36" s="144" customFormat="1" ht="21.75" customHeight="1">
      <c r="A1824" s="151"/>
      <c r="B1824" s="219"/>
      <c r="C1824" s="219"/>
      <c r="D1824" s="219"/>
      <c r="E1824" s="225"/>
      <c r="N1824" s="143"/>
      <c r="O1824" s="143"/>
      <c r="P1824" s="143"/>
      <c r="Q1824" s="143"/>
      <c r="R1824" s="143"/>
      <c r="S1824" s="143"/>
      <c r="T1824" s="143"/>
      <c r="U1824" s="143"/>
      <c r="V1824" s="143"/>
      <c r="W1824" s="143"/>
      <c r="X1824" s="143"/>
      <c r="Y1824" s="143"/>
      <c r="Z1824" s="143"/>
      <c r="AA1824" s="143"/>
      <c r="AB1824" s="143"/>
      <c r="AC1824" s="143"/>
      <c r="AD1824" s="143"/>
      <c r="AE1824" s="143"/>
      <c r="AF1824" s="143"/>
      <c r="AG1824" s="143"/>
      <c r="AH1824" s="143"/>
      <c r="AI1824" s="143"/>
      <c r="AJ1824" s="143"/>
    </row>
    <row r="1825" spans="1:36" s="144" customFormat="1" ht="21.75" customHeight="1">
      <c r="A1825" s="151"/>
      <c r="B1825" s="219"/>
      <c r="C1825" s="219"/>
      <c r="D1825" s="219"/>
      <c r="E1825" s="225"/>
      <c r="N1825" s="143"/>
      <c r="O1825" s="143"/>
      <c r="P1825" s="143"/>
      <c r="Q1825" s="143"/>
      <c r="R1825" s="143"/>
      <c r="S1825" s="143"/>
      <c r="T1825" s="143"/>
      <c r="U1825" s="143"/>
      <c r="V1825" s="143"/>
      <c r="W1825" s="143"/>
      <c r="X1825" s="143"/>
      <c r="Y1825" s="143"/>
      <c r="Z1825" s="143"/>
      <c r="AA1825" s="143"/>
      <c r="AB1825" s="143"/>
      <c r="AC1825" s="143"/>
      <c r="AD1825" s="143"/>
      <c r="AE1825" s="143"/>
      <c r="AF1825" s="143"/>
      <c r="AG1825" s="143"/>
      <c r="AH1825" s="143"/>
      <c r="AI1825" s="143"/>
      <c r="AJ1825" s="143"/>
    </row>
    <row r="1826" spans="1:36" s="144" customFormat="1" ht="21.75" customHeight="1">
      <c r="A1826" s="151"/>
      <c r="B1826" s="219"/>
      <c r="C1826" s="219"/>
      <c r="D1826" s="219"/>
      <c r="E1826" s="225"/>
      <c r="N1826" s="143"/>
      <c r="O1826" s="143"/>
      <c r="P1826" s="143"/>
      <c r="Q1826" s="143"/>
      <c r="R1826" s="143"/>
      <c r="S1826" s="143"/>
      <c r="T1826" s="143"/>
      <c r="U1826" s="143"/>
      <c r="V1826" s="143"/>
      <c r="W1826" s="143"/>
      <c r="X1826" s="143"/>
      <c r="Y1826" s="143"/>
      <c r="Z1826" s="143"/>
      <c r="AA1826" s="143"/>
      <c r="AB1826" s="143"/>
      <c r="AC1826" s="143"/>
      <c r="AD1826" s="143"/>
      <c r="AE1826" s="143"/>
      <c r="AF1826" s="143"/>
      <c r="AG1826" s="143"/>
      <c r="AH1826" s="143"/>
      <c r="AI1826" s="143"/>
      <c r="AJ1826" s="143"/>
    </row>
    <row r="1827" spans="1:36" s="144" customFormat="1" ht="21.75" customHeight="1">
      <c r="A1827" s="151"/>
      <c r="B1827" s="219"/>
      <c r="C1827" s="219"/>
      <c r="D1827" s="219"/>
      <c r="E1827" s="225"/>
      <c r="N1827" s="143"/>
      <c r="O1827" s="143"/>
      <c r="P1827" s="143"/>
      <c r="Q1827" s="143"/>
      <c r="R1827" s="143"/>
      <c r="S1827" s="143"/>
      <c r="T1827" s="143"/>
      <c r="U1827" s="143"/>
      <c r="V1827" s="143"/>
      <c r="W1827" s="143"/>
      <c r="X1827" s="143"/>
      <c r="Y1827" s="143"/>
      <c r="Z1827" s="143"/>
      <c r="AA1827" s="143"/>
      <c r="AB1827" s="143"/>
      <c r="AC1827" s="143"/>
      <c r="AD1827" s="143"/>
      <c r="AE1827" s="143"/>
      <c r="AF1827" s="143"/>
      <c r="AG1827" s="143"/>
      <c r="AH1827" s="143"/>
      <c r="AI1827" s="143"/>
      <c r="AJ1827" s="143"/>
    </row>
    <row r="1828" spans="1:36" s="144" customFormat="1" ht="21.75" customHeight="1">
      <c r="A1828" s="151"/>
      <c r="B1828" s="219"/>
      <c r="C1828" s="219"/>
      <c r="D1828" s="219"/>
      <c r="E1828" s="225"/>
      <c r="N1828" s="143"/>
      <c r="O1828" s="143"/>
      <c r="P1828" s="143"/>
      <c r="Q1828" s="143"/>
      <c r="R1828" s="143"/>
      <c r="S1828" s="143"/>
      <c r="T1828" s="143"/>
      <c r="U1828" s="143"/>
      <c r="V1828" s="143"/>
      <c r="W1828" s="143"/>
      <c r="X1828" s="143"/>
      <c r="Y1828" s="143"/>
      <c r="Z1828" s="143"/>
      <c r="AA1828" s="143"/>
      <c r="AB1828" s="143"/>
      <c r="AC1828" s="143"/>
      <c r="AD1828" s="143"/>
      <c r="AE1828" s="143"/>
      <c r="AF1828" s="143"/>
      <c r="AG1828" s="143"/>
      <c r="AH1828" s="143"/>
      <c r="AI1828" s="143"/>
      <c r="AJ1828" s="143"/>
    </row>
    <row r="1829" spans="1:36" s="144" customFormat="1" ht="21.75" customHeight="1">
      <c r="A1829" s="151"/>
      <c r="B1829" s="219"/>
      <c r="C1829" s="219"/>
      <c r="D1829" s="219"/>
      <c r="E1829" s="225"/>
      <c r="N1829" s="143"/>
      <c r="O1829" s="143"/>
      <c r="P1829" s="143"/>
      <c r="Q1829" s="143"/>
      <c r="R1829" s="143"/>
      <c r="S1829" s="143"/>
      <c r="T1829" s="143"/>
      <c r="U1829" s="143"/>
      <c r="V1829" s="143"/>
      <c r="W1829" s="143"/>
      <c r="X1829" s="143"/>
      <c r="Y1829" s="143"/>
      <c r="Z1829" s="143"/>
      <c r="AA1829" s="143"/>
      <c r="AB1829" s="143"/>
      <c r="AC1829" s="143"/>
      <c r="AD1829" s="143"/>
      <c r="AE1829" s="143"/>
      <c r="AF1829" s="143"/>
      <c r="AG1829" s="143"/>
      <c r="AH1829" s="143"/>
      <c r="AI1829" s="143"/>
      <c r="AJ1829" s="143"/>
    </row>
    <row r="1830" spans="1:36" s="144" customFormat="1" ht="21.75" customHeight="1">
      <c r="A1830" s="151"/>
      <c r="B1830" s="219"/>
      <c r="C1830" s="219"/>
      <c r="D1830" s="219"/>
      <c r="E1830" s="225"/>
      <c r="N1830" s="143"/>
      <c r="O1830" s="143"/>
      <c r="P1830" s="143"/>
      <c r="Q1830" s="143"/>
      <c r="R1830" s="143"/>
      <c r="S1830" s="143"/>
      <c r="T1830" s="143"/>
      <c r="U1830" s="143"/>
      <c r="V1830" s="143"/>
      <c r="W1830" s="143"/>
      <c r="X1830" s="143"/>
      <c r="Y1830" s="143"/>
      <c r="Z1830" s="143"/>
      <c r="AA1830" s="143"/>
      <c r="AB1830" s="143"/>
      <c r="AC1830" s="143"/>
      <c r="AD1830" s="143"/>
      <c r="AE1830" s="143"/>
      <c r="AF1830" s="143"/>
      <c r="AG1830" s="143"/>
      <c r="AH1830" s="143"/>
      <c r="AI1830" s="143"/>
      <c r="AJ1830" s="143"/>
    </row>
    <row r="1831" spans="1:36" s="144" customFormat="1" ht="21.75" customHeight="1">
      <c r="A1831" s="151"/>
      <c r="B1831" s="219"/>
      <c r="C1831" s="219"/>
      <c r="D1831" s="219"/>
      <c r="E1831" s="225"/>
      <c r="N1831" s="143"/>
      <c r="O1831" s="143"/>
      <c r="P1831" s="143"/>
      <c r="Q1831" s="143"/>
      <c r="R1831" s="143"/>
      <c r="S1831" s="143"/>
      <c r="T1831" s="143"/>
      <c r="U1831" s="143"/>
      <c r="V1831" s="143"/>
      <c r="W1831" s="143"/>
      <c r="X1831" s="143"/>
      <c r="Y1831" s="143"/>
      <c r="Z1831" s="143"/>
      <c r="AA1831" s="143"/>
      <c r="AB1831" s="143"/>
      <c r="AC1831" s="143"/>
      <c r="AD1831" s="143"/>
      <c r="AE1831" s="143"/>
      <c r="AF1831" s="143"/>
      <c r="AG1831" s="143"/>
      <c r="AH1831" s="143"/>
      <c r="AI1831" s="143"/>
      <c r="AJ1831" s="143"/>
    </row>
    <row r="1832" spans="1:36" s="144" customFormat="1" ht="21.75" customHeight="1">
      <c r="A1832" s="151"/>
      <c r="B1832" s="219"/>
      <c r="C1832" s="219"/>
      <c r="D1832" s="219"/>
      <c r="E1832" s="225"/>
      <c r="N1832" s="143"/>
      <c r="O1832" s="143"/>
      <c r="P1832" s="143"/>
      <c r="Q1832" s="143"/>
      <c r="R1832" s="143"/>
      <c r="S1832" s="143"/>
      <c r="T1832" s="143"/>
      <c r="U1832" s="143"/>
      <c r="V1832" s="143"/>
      <c r="W1832" s="143"/>
      <c r="X1832" s="143"/>
      <c r="Y1832" s="143"/>
      <c r="Z1832" s="143"/>
      <c r="AA1832" s="143"/>
      <c r="AB1832" s="143"/>
      <c r="AC1832" s="143"/>
      <c r="AD1832" s="143"/>
      <c r="AE1832" s="143"/>
      <c r="AF1832" s="143"/>
      <c r="AG1832" s="143"/>
      <c r="AH1832" s="143"/>
      <c r="AI1832" s="143"/>
      <c r="AJ1832" s="143"/>
    </row>
    <row r="1833" spans="1:36" s="144" customFormat="1" ht="21.75" customHeight="1">
      <c r="A1833" s="151"/>
      <c r="B1833" s="219"/>
      <c r="C1833" s="219"/>
      <c r="D1833" s="219"/>
      <c r="E1833" s="225"/>
      <c r="N1833" s="143"/>
      <c r="O1833" s="143"/>
      <c r="P1833" s="143"/>
      <c r="Q1833" s="143"/>
      <c r="R1833" s="143"/>
      <c r="S1833" s="143"/>
      <c r="T1833" s="143"/>
      <c r="U1833" s="143"/>
      <c r="V1833" s="143"/>
      <c r="W1833" s="143"/>
      <c r="X1833" s="143"/>
      <c r="Y1833" s="143"/>
      <c r="Z1833" s="143"/>
      <c r="AA1833" s="143"/>
      <c r="AB1833" s="143"/>
      <c r="AC1833" s="143"/>
      <c r="AD1833" s="143"/>
      <c r="AE1833" s="143"/>
      <c r="AF1833" s="143"/>
      <c r="AG1833" s="143"/>
      <c r="AH1833" s="143"/>
      <c r="AI1833" s="143"/>
      <c r="AJ1833" s="143"/>
    </row>
    <row r="1834" spans="1:36" s="144" customFormat="1" ht="21.75" customHeight="1">
      <c r="A1834" s="151"/>
      <c r="B1834" s="219"/>
      <c r="C1834" s="219"/>
      <c r="D1834" s="219"/>
      <c r="E1834" s="225"/>
      <c r="N1834" s="143"/>
      <c r="O1834" s="143"/>
      <c r="P1834" s="143"/>
      <c r="Q1834" s="143"/>
      <c r="R1834" s="143"/>
      <c r="S1834" s="143"/>
      <c r="T1834" s="143"/>
      <c r="U1834" s="143"/>
      <c r="V1834" s="143"/>
      <c r="W1834" s="143"/>
      <c r="X1834" s="143"/>
      <c r="Y1834" s="143"/>
      <c r="Z1834" s="143"/>
      <c r="AA1834" s="143"/>
      <c r="AB1834" s="143"/>
      <c r="AC1834" s="143"/>
      <c r="AD1834" s="143"/>
      <c r="AE1834" s="143"/>
      <c r="AF1834" s="143"/>
      <c r="AG1834" s="143"/>
      <c r="AH1834" s="143"/>
      <c r="AI1834" s="143"/>
      <c r="AJ1834" s="143"/>
    </row>
    <row r="1835" spans="1:36" s="144" customFormat="1" ht="21.75" customHeight="1">
      <c r="A1835" s="151"/>
      <c r="B1835" s="219"/>
      <c r="C1835" s="219"/>
      <c r="D1835" s="219"/>
      <c r="E1835" s="225"/>
      <c r="N1835" s="143"/>
      <c r="O1835" s="143"/>
      <c r="P1835" s="143"/>
      <c r="Q1835" s="143"/>
      <c r="R1835" s="143"/>
      <c r="S1835" s="143"/>
      <c r="T1835" s="143"/>
      <c r="U1835" s="143"/>
      <c r="V1835" s="143"/>
      <c r="W1835" s="143"/>
      <c r="X1835" s="143"/>
      <c r="Y1835" s="143"/>
      <c r="Z1835" s="143"/>
      <c r="AA1835" s="143"/>
      <c r="AB1835" s="143"/>
      <c r="AC1835" s="143"/>
      <c r="AD1835" s="143"/>
      <c r="AE1835" s="143"/>
      <c r="AF1835" s="143"/>
      <c r="AG1835" s="143"/>
      <c r="AH1835" s="143"/>
      <c r="AI1835" s="143"/>
      <c r="AJ1835" s="143"/>
    </row>
    <row r="1836" spans="1:36" s="144" customFormat="1" ht="21.75" customHeight="1">
      <c r="A1836" s="151"/>
      <c r="B1836" s="219"/>
      <c r="C1836" s="219"/>
      <c r="D1836" s="219"/>
      <c r="E1836" s="225"/>
      <c r="N1836" s="143"/>
      <c r="O1836" s="143"/>
      <c r="P1836" s="143"/>
      <c r="Q1836" s="143"/>
      <c r="R1836" s="143"/>
      <c r="S1836" s="143"/>
      <c r="T1836" s="143"/>
      <c r="U1836" s="143"/>
      <c r="V1836" s="143"/>
      <c r="W1836" s="143"/>
      <c r="X1836" s="143"/>
      <c r="Y1836" s="143"/>
      <c r="Z1836" s="143"/>
      <c r="AA1836" s="143"/>
      <c r="AB1836" s="143"/>
      <c r="AC1836" s="143"/>
      <c r="AD1836" s="143"/>
      <c r="AE1836" s="143"/>
      <c r="AF1836" s="143"/>
      <c r="AG1836" s="143"/>
      <c r="AH1836" s="143"/>
      <c r="AI1836" s="143"/>
      <c r="AJ1836" s="143"/>
    </row>
    <row r="1837" spans="1:36" s="144" customFormat="1" ht="21.75" customHeight="1">
      <c r="A1837" s="151"/>
      <c r="B1837" s="219"/>
      <c r="C1837" s="219"/>
      <c r="D1837" s="219"/>
      <c r="E1837" s="225"/>
      <c r="N1837" s="143"/>
      <c r="O1837" s="143"/>
      <c r="P1837" s="143"/>
      <c r="Q1837" s="143"/>
      <c r="R1837" s="143"/>
      <c r="S1837" s="143"/>
      <c r="T1837" s="143"/>
      <c r="U1837" s="143"/>
      <c r="V1837" s="143"/>
      <c r="W1837" s="143"/>
      <c r="X1837" s="143"/>
      <c r="Y1837" s="143"/>
      <c r="Z1837" s="143"/>
      <c r="AA1837" s="143"/>
      <c r="AB1837" s="143"/>
      <c r="AC1837" s="143"/>
      <c r="AD1837" s="143"/>
      <c r="AE1837" s="143"/>
      <c r="AF1837" s="143"/>
      <c r="AG1837" s="143"/>
      <c r="AH1837" s="143"/>
      <c r="AI1837" s="143"/>
      <c r="AJ1837" s="143"/>
    </row>
    <row r="1838" spans="1:36" s="144" customFormat="1" ht="21.75" customHeight="1">
      <c r="A1838" s="151"/>
      <c r="B1838" s="219"/>
      <c r="C1838" s="219"/>
      <c r="D1838" s="219"/>
      <c r="E1838" s="225"/>
      <c r="N1838" s="143"/>
      <c r="O1838" s="143"/>
      <c r="P1838" s="143"/>
      <c r="Q1838" s="143"/>
      <c r="R1838" s="143"/>
      <c r="S1838" s="143"/>
      <c r="T1838" s="143"/>
      <c r="U1838" s="143"/>
      <c r="V1838" s="143"/>
      <c r="W1838" s="143"/>
      <c r="X1838" s="143"/>
      <c r="Y1838" s="143"/>
      <c r="Z1838" s="143"/>
      <c r="AA1838" s="143"/>
      <c r="AB1838" s="143"/>
      <c r="AC1838" s="143"/>
      <c r="AD1838" s="143"/>
      <c r="AE1838" s="143"/>
      <c r="AF1838" s="143"/>
      <c r="AG1838" s="143"/>
      <c r="AH1838" s="143"/>
      <c r="AI1838" s="143"/>
      <c r="AJ1838" s="143"/>
    </row>
    <row r="1839" spans="1:36" s="144" customFormat="1" ht="21.75" customHeight="1">
      <c r="A1839" s="151"/>
      <c r="B1839" s="219"/>
      <c r="C1839" s="219"/>
      <c r="D1839" s="219"/>
      <c r="E1839" s="225"/>
      <c r="N1839" s="143"/>
      <c r="O1839" s="143"/>
      <c r="P1839" s="143"/>
      <c r="Q1839" s="143"/>
      <c r="R1839" s="143"/>
      <c r="S1839" s="143"/>
      <c r="T1839" s="143"/>
      <c r="U1839" s="143"/>
      <c r="V1839" s="143"/>
      <c r="W1839" s="143"/>
      <c r="X1839" s="143"/>
      <c r="Y1839" s="143"/>
      <c r="Z1839" s="143"/>
      <c r="AA1839" s="143"/>
      <c r="AB1839" s="143"/>
      <c r="AC1839" s="143"/>
      <c r="AD1839" s="143"/>
      <c r="AE1839" s="143"/>
      <c r="AF1839" s="143"/>
      <c r="AG1839" s="143"/>
      <c r="AH1839" s="143"/>
      <c r="AI1839" s="143"/>
      <c r="AJ1839" s="143"/>
    </row>
    <row r="1840" spans="1:36" s="144" customFormat="1" ht="21.75" customHeight="1">
      <c r="A1840" s="151"/>
      <c r="B1840" s="219"/>
      <c r="C1840" s="219"/>
      <c r="D1840" s="219"/>
      <c r="E1840" s="225"/>
      <c r="N1840" s="143"/>
      <c r="O1840" s="143"/>
      <c r="P1840" s="143"/>
      <c r="Q1840" s="143"/>
      <c r="R1840" s="143"/>
      <c r="S1840" s="143"/>
      <c r="T1840" s="143"/>
      <c r="U1840" s="143"/>
      <c r="V1840" s="143"/>
      <c r="W1840" s="143"/>
      <c r="X1840" s="143"/>
      <c r="Y1840" s="143"/>
      <c r="Z1840" s="143"/>
      <c r="AA1840" s="143"/>
      <c r="AB1840" s="143"/>
      <c r="AC1840" s="143"/>
      <c r="AD1840" s="143"/>
      <c r="AE1840" s="143"/>
      <c r="AF1840" s="143"/>
      <c r="AG1840" s="143"/>
      <c r="AH1840" s="143"/>
      <c r="AI1840" s="143"/>
      <c r="AJ1840" s="143"/>
    </row>
    <row r="1841" spans="1:36" s="144" customFormat="1" ht="21.75" customHeight="1">
      <c r="A1841" s="151"/>
      <c r="B1841" s="219"/>
      <c r="C1841" s="219"/>
      <c r="D1841" s="219"/>
      <c r="E1841" s="225"/>
      <c r="N1841" s="143"/>
      <c r="O1841" s="143"/>
      <c r="P1841" s="143"/>
      <c r="Q1841" s="143"/>
      <c r="R1841" s="143"/>
      <c r="S1841" s="143"/>
      <c r="T1841" s="143"/>
      <c r="U1841" s="143"/>
      <c r="V1841" s="143"/>
      <c r="W1841" s="143"/>
      <c r="X1841" s="143"/>
      <c r="Y1841" s="143"/>
      <c r="Z1841" s="143"/>
      <c r="AA1841" s="143"/>
      <c r="AB1841" s="143"/>
      <c r="AC1841" s="143"/>
      <c r="AD1841" s="143"/>
      <c r="AE1841" s="143"/>
      <c r="AF1841" s="143"/>
      <c r="AG1841" s="143"/>
      <c r="AH1841" s="143"/>
      <c r="AI1841" s="143"/>
      <c r="AJ1841" s="143"/>
    </row>
    <row r="1842" spans="1:36" s="144" customFormat="1" ht="21.75" customHeight="1">
      <c r="A1842" s="151"/>
      <c r="B1842" s="219"/>
      <c r="C1842" s="219"/>
      <c r="D1842" s="219"/>
      <c r="E1842" s="225"/>
      <c r="N1842" s="143"/>
      <c r="O1842" s="143"/>
      <c r="P1842" s="143"/>
      <c r="Q1842" s="143"/>
      <c r="R1842" s="143"/>
      <c r="S1842" s="143"/>
      <c r="T1842" s="143"/>
      <c r="U1842" s="143"/>
      <c r="V1842" s="143"/>
      <c r="W1842" s="143"/>
      <c r="X1842" s="143"/>
      <c r="Y1842" s="143"/>
      <c r="Z1842" s="143"/>
      <c r="AA1842" s="143"/>
      <c r="AB1842" s="143"/>
      <c r="AC1842" s="143"/>
      <c r="AD1842" s="143"/>
      <c r="AE1842" s="143"/>
      <c r="AF1842" s="143"/>
      <c r="AG1842" s="143"/>
      <c r="AH1842" s="143"/>
      <c r="AI1842" s="143"/>
      <c r="AJ1842" s="143"/>
    </row>
    <row r="1843" spans="1:36" s="144" customFormat="1" ht="21.75" customHeight="1">
      <c r="A1843" s="151"/>
      <c r="B1843" s="219"/>
      <c r="C1843" s="219"/>
      <c r="D1843" s="219"/>
      <c r="E1843" s="225"/>
      <c r="N1843" s="143"/>
      <c r="O1843" s="143"/>
      <c r="P1843" s="143"/>
      <c r="Q1843" s="143"/>
      <c r="R1843" s="143"/>
      <c r="S1843" s="143"/>
      <c r="T1843" s="143"/>
      <c r="U1843" s="143"/>
      <c r="V1843" s="143"/>
      <c r="W1843" s="143"/>
      <c r="X1843" s="143"/>
      <c r="Y1843" s="143"/>
      <c r="Z1843" s="143"/>
      <c r="AA1843" s="143"/>
      <c r="AB1843" s="143"/>
      <c r="AC1843" s="143"/>
      <c r="AD1843" s="143"/>
      <c r="AE1843" s="143"/>
      <c r="AF1843" s="143"/>
      <c r="AG1843" s="143"/>
      <c r="AH1843" s="143"/>
      <c r="AI1843" s="143"/>
      <c r="AJ1843" s="143"/>
    </row>
    <row r="1844" spans="1:36" s="144" customFormat="1" ht="21.75" customHeight="1">
      <c r="A1844" s="151"/>
      <c r="B1844" s="219"/>
      <c r="C1844" s="219"/>
      <c r="D1844" s="219"/>
      <c r="E1844" s="225"/>
      <c r="N1844" s="143"/>
      <c r="O1844" s="143"/>
      <c r="P1844" s="143"/>
      <c r="Q1844" s="143"/>
      <c r="R1844" s="143"/>
      <c r="S1844" s="143"/>
      <c r="T1844" s="143"/>
      <c r="U1844" s="143"/>
      <c r="V1844" s="143"/>
      <c r="W1844" s="143"/>
      <c r="X1844" s="143"/>
      <c r="Y1844" s="143"/>
      <c r="Z1844" s="143"/>
      <c r="AA1844" s="143"/>
      <c r="AB1844" s="143"/>
      <c r="AC1844" s="143"/>
      <c r="AD1844" s="143"/>
      <c r="AE1844" s="143"/>
      <c r="AF1844" s="143"/>
      <c r="AG1844" s="143"/>
      <c r="AH1844" s="143"/>
      <c r="AI1844" s="143"/>
      <c r="AJ1844" s="143"/>
    </row>
    <row r="1845" spans="1:36" s="144" customFormat="1" ht="21.75" customHeight="1">
      <c r="A1845" s="151"/>
      <c r="B1845" s="219"/>
      <c r="C1845" s="219"/>
      <c r="D1845" s="219"/>
      <c r="E1845" s="225"/>
      <c r="N1845" s="143"/>
      <c r="O1845" s="143"/>
      <c r="P1845" s="143"/>
      <c r="Q1845" s="143"/>
      <c r="R1845" s="143"/>
      <c r="S1845" s="143"/>
      <c r="T1845" s="143"/>
      <c r="U1845" s="143"/>
      <c r="V1845" s="143"/>
      <c r="W1845" s="143"/>
      <c r="X1845" s="143"/>
      <c r="Y1845" s="143"/>
      <c r="Z1845" s="143"/>
      <c r="AA1845" s="143"/>
      <c r="AB1845" s="143"/>
      <c r="AC1845" s="143"/>
      <c r="AD1845" s="143"/>
      <c r="AE1845" s="143"/>
      <c r="AF1845" s="143"/>
      <c r="AG1845" s="143"/>
      <c r="AH1845" s="143"/>
      <c r="AI1845" s="143"/>
      <c r="AJ1845" s="143"/>
    </row>
    <row r="1846" spans="1:36" s="144" customFormat="1" ht="21.75" customHeight="1">
      <c r="A1846" s="151"/>
      <c r="B1846" s="219"/>
      <c r="C1846" s="219"/>
      <c r="D1846" s="219"/>
      <c r="E1846" s="225"/>
      <c r="N1846" s="143"/>
      <c r="O1846" s="143"/>
      <c r="P1846" s="143"/>
      <c r="Q1846" s="143"/>
      <c r="R1846" s="143"/>
      <c r="S1846" s="143"/>
      <c r="T1846" s="143"/>
      <c r="U1846" s="143"/>
      <c r="V1846" s="143"/>
      <c r="W1846" s="143"/>
      <c r="X1846" s="143"/>
      <c r="Y1846" s="143"/>
      <c r="Z1846" s="143"/>
      <c r="AA1846" s="143"/>
      <c r="AB1846" s="143"/>
      <c r="AC1846" s="143"/>
      <c r="AD1846" s="143"/>
      <c r="AE1846" s="143"/>
      <c r="AF1846" s="143"/>
      <c r="AG1846" s="143"/>
      <c r="AH1846" s="143"/>
      <c r="AI1846" s="143"/>
      <c r="AJ1846" s="143"/>
    </row>
    <row r="1847" spans="1:36" s="144" customFormat="1" ht="21.75" customHeight="1">
      <c r="A1847" s="151"/>
      <c r="B1847" s="219"/>
      <c r="C1847" s="219"/>
      <c r="D1847" s="219"/>
      <c r="E1847" s="225"/>
      <c r="N1847" s="143"/>
      <c r="O1847" s="143"/>
      <c r="P1847" s="143"/>
      <c r="Q1847" s="143"/>
      <c r="R1847" s="143"/>
      <c r="S1847" s="143"/>
      <c r="T1847" s="143"/>
      <c r="U1847" s="143"/>
      <c r="V1847" s="143"/>
      <c r="W1847" s="143"/>
      <c r="X1847" s="143"/>
      <c r="Y1847" s="143"/>
      <c r="Z1847" s="143"/>
      <c r="AA1847" s="143"/>
      <c r="AB1847" s="143"/>
      <c r="AC1847" s="143"/>
      <c r="AD1847" s="143"/>
      <c r="AE1847" s="143"/>
      <c r="AF1847" s="143"/>
      <c r="AG1847" s="143"/>
      <c r="AH1847" s="143"/>
      <c r="AI1847" s="143"/>
      <c r="AJ1847" s="143"/>
    </row>
    <row r="1848" spans="1:36" s="144" customFormat="1" ht="21.75" customHeight="1">
      <c r="A1848" s="151"/>
      <c r="B1848" s="219"/>
      <c r="C1848" s="219"/>
      <c r="D1848" s="219"/>
      <c r="E1848" s="225"/>
      <c r="N1848" s="143"/>
      <c r="O1848" s="143"/>
      <c r="P1848" s="143"/>
      <c r="Q1848" s="143"/>
      <c r="R1848" s="143"/>
      <c r="S1848" s="143"/>
      <c r="T1848" s="143"/>
      <c r="U1848" s="143"/>
      <c r="V1848" s="143"/>
      <c r="W1848" s="143"/>
      <c r="X1848" s="143"/>
      <c r="Y1848" s="143"/>
      <c r="Z1848" s="143"/>
      <c r="AA1848" s="143"/>
      <c r="AB1848" s="143"/>
      <c r="AC1848" s="143"/>
      <c r="AD1848" s="143"/>
      <c r="AE1848" s="143"/>
      <c r="AF1848" s="143"/>
      <c r="AG1848" s="143"/>
      <c r="AH1848" s="143"/>
      <c r="AI1848" s="143"/>
      <c r="AJ1848" s="143"/>
    </row>
    <row r="1849" spans="1:36" s="144" customFormat="1" ht="21.75" customHeight="1">
      <c r="A1849" s="151"/>
      <c r="B1849" s="219"/>
      <c r="C1849" s="219"/>
      <c r="D1849" s="219"/>
      <c r="E1849" s="225"/>
      <c r="N1849" s="143"/>
      <c r="O1849" s="143"/>
      <c r="P1849" s="143"/>
      <c r="Q1849" s="143"/>
      <c r="R1849" s="143"/>
      <c r="S1849" s="143"/>
      <c r="T1849" s="143"/>
      <c r="U1849" s="143"/>
      <c r="V1849" s="143"/>
      <c r="W1849" s="143"/>
      <c r="X1849" s="143"/>
      <c r="Y1849" s="143"/>
      <c r="Z1849" s="143"/>
      <c r="AA1849" s="143"/>
      <c r="AB1849" s="143"/>
      <c r="AC1849" s="143"/>
      <c r="AD1849" s="143"/>
      <c r="AE1849" s="143"/>
      <c r="AF1849" s="143"/>
      <c r="AG1849" s="143"/>
      <c r="AH1849" s="143"/>
      <c r="AI1849" s="143"/>
      <c r="AJ1849" s="143"/>
    </row>
    <row r="1850" spans="1:36" s="144" customFormat="1" ht="21.75" customHeight="1">
      <c r="A1850" s="151"/>
      <c r="B1850" s="219"/>
      <c r="C1850" s="219"/>
      <c r="D1850" s="219"/>
      <c r="E1850" s="225"/>
      <c r="N1850" s="143"/>
      <c r="O1850" s="143"/>
      <c r="P1850" s="143"/>
      <c r="Q1850" s="143"/>
      <c r="R1850" s="143"/>
      <c r="S1850" s="143"/>
      <c r="T1850" s="143"/>
      <c r="U1850" s="143"/>
      <c r="V1850" s="143"/>
      <c r="W1850" s="143"/>
      <c r="X1850" s="143"/>
      <c r="Y1850" s="143"/>
      <c r="Z1850" s="143"/>
      <c r="AA1850" s="143"/>
      <c r="AB1850" s="143"/>
      <c r="AC1850" s="143"/>
      <c r="AD1850" s="143"/>
      <c r="AE1850" s="143"/>
      <c r="AF1850" s="143"/>
      <c r="AG1850" s="143"/>
      <c r="AH1850" s="143"/>
      <c r="AI1850" s="143"/>
      <c r="AJ1850" s="143"/>
    </row>
    <row r="1851" spans="1:36" s="144" customFormat="1" ht="21.75" customHeight="1">
      <c r="A1851" s="151"/>
      <c r="B1851" s="219"/>
      <c r="C1851" s="219"/>
      <c r="D1851" s="219"/>
      <c r="E1851" s="225"/>
      <c r="N1851" s="143"/>
      <c r="O1851" s="143"/>
      <c r="P1851" s="143"/>
      <c r="Q1851" s="143"/>
      <c r="R1851" s="143"/>
      <c r="S1851" s="143"/>
      <c r="T1851" s="143"/>
      <c r="U1851" s="143"/>
      <c r="V1851" s="143"/>
      <c r="W1851" s="143"/>
      <c r="X1851" s="143"/>
      <c r="Y1851" s="143"/>
      <c r="Z1851" s="143"/>
      <c r="AA1851" s="143"/>
      <c r="AB1851" s="143"/>
      <c r="AC1851" s="143"/>
      <c r="AD1851" s="143"/>
      <c r="AE1851" s="143"/>
      <c r="AF1851" s="143"/>
      <c r="AG1851" s="143"/>
      <c r="AH1851" s="143"/>
      <c r="AI1851" s="143"/>
      <c r="AJ1851" s="143"/>
    </row>
    <row r="1852" spans="1:36" s="144" customFormat="1" ht="21.75" customHeight="1">
      <c r="A1852" s="151"/>
      <c r="B1852" s="219"/>
      <c r="C1852" s="219"/>
      <c r="D1852" s="219"/>
      <c r="E1852" s="225"/>
      <c r="N1852" s="143"/>
      <c r="O1852" s="143"/>
      <c r="P1852" s="143"/>
      <c r="Q1852" s="143"/>
      <c r="R1852" s="143"/>
      <c r="S1852" s="143"/>
      <c r="T1852" s="143"/>
      <c r="U1852" s="143"/>
      <c r="V1852" s="143"/>
      <c r="W1852" s="143"/>
      <c r="X1852" s="143"/>
      <c r="Y1852" s="143"/>
      <c r="Z1852" s="143"/>
      <c r="AA1852" s="143"/>
      <c r="AB1852" s="143"/>
      <c r="AC1852" s="143"/>
      <c r="AD1852" s="143"/>
      <c r="AE1852" s="143"/>
      <c r="AF1852" s="143"/>
      <c r="AG1852" s="143"/>
      <c r="AH1852" s="143"/>
      <c r="AI1852" s="143"/>
      <c r="AJ1852" s="143"/>
    </row>
    <row r="1853" spans="1:36" s="144" customFormat="1" ht="21.75" customHeight="1">
      <c r="A1853" s="151"/>
      <c r="B1853" s="219"/>
      <c r="C1853" s="219"/>
      <c r="D1853" s="219"/>
      <c r="E1853" s="225"/>
      <c r="N1853" s="143"/>
      <c r="O1853" s="143"/>
      <c r="P1853" s="143"/>
      <c r="Q1853" s="143"/>
      <c r="R1853" s="143"/>
      <c r="S1853" s="143"/>
      <c r="T1853" s="143"/>
      <c r="U1853" s="143"/>
      <c r="V1853" s="143"/>
      <c r="W1853" s="143"/>
      <c r="X1853" s="143"/>
      <c r="Y1853" s="143"/>
      <c r="Z1853" s="143"/>
      <c r="AA1853" s="143"/>
      <c r="AB1853" s="143"/>
      <c r="AC1853" s="143"/>
      <c r="AD1853" s="143"/>
      <c r="AE1853" s="143"/>
      <c r="AF1853" s="143"/>
      <c r="AG1853" s="143"/>
      <c r="AH1853" s="143"/>
      <c r="AI1853" s="143"/>
      <c r="AJ1853" s="143"/>
    </row>
    <row r="1854" spans="1:36" s="144" customFormat="1" ht="21.75" customHeight="1">
      <c r="A1854" s="151"/>
      <c r="B1854" s="219"/>
      <c r="C1854" s="219"/>
      <c r="D1854" s="219"/>
      <c r="E1854" s="225"/>
      <c r="N1854" s="143"/>
      <c r="O1854" s="143"/>
      <c r="P1854" s="143"/>
      <c r="Q1854" s="143"/>
      <c r="R1854" s="143"/>
      <c r="S1854" s="143"/>
      <c r="T1854" s="143"/>
      <c r="U1854" s="143"/>
      <c r="V1854" s="143"/>
      <c r="W1854" s="143"/>
      <c r="X1854" s="143"/>
      <c r="Y1854" s="143"/>
      <c r="Z1854" s="143"/>
      <c r="AA1854" s="143"/>
      <c r="AB1854" s="143"/>
      <c r="AC1854" s="143"/>
      <c r="AD1854" s="143"/>
      <c r="AE1854" s="143"/>
      <c r="AF1854" s="143"/>
      <c r="AG1854" s="143"/>
      <c r="AH1854" s="143"/>
      <c r="AI1854" s="143"/>
      <c r="AJ1854" s="143"/>
    </row>
    <row r="1855" spans="1:36" s="144" customFormat="1" ht="21.75" customHeight="1">
      <c r="A1855" s="151"/>
      <c r="B1855" s="219"/>
      <c r="C1855" s="219"/>
      <c r="D1855" s="219"/>
      <c r="E1855" s="225"/>
      <c r="N1855" s="143"/>
      <c r="O1855" s="143"/>
      <c r="P1855" s="143"/>
      <c r="Q1855" s="143"/>
      <c r="R1855" s="143"/>
      <c r="S1855" s="143"/>
      <c r="T1855" s="143"/>
      <c r="U1855" s="143"/>
      <c r="V1855" s="143"/>
      <c r="W1855" s="143"/>
      <c r="X1855" s="143"/>
      <c r="Y1855" s="143"/>
      <c r="Z1855" s="143"/>
      <c r="AA1855" s="143"/>
      <c r="AB1855" s="143"/>
      <c r="AC1855" s="143"/>
      <c r="AD1855" s="143"/>
      <c r="AE1855" s="143"/>
      <c r="AF1855" s="143"/>
      <c r="AG1855" s="143"/>
      <c r="AH1855" s="143"/>
      <c r="AI1855" s="143"/>
      <c r="AJ1855" s="143"/>
    </row>
    <row r="1856" spans="1:36" s="144" customFormat="1" ht="21.75" customHeight="1">
      <c r="A1856" s="151"/>
      <c r="B1856" s="219"/>
      <c r="C1856" s="219"/>
      <c r="D1856" s="219"/>
      <c r="E1856" s="225"/>
      <c r="N1856" s="143"/>
      <c r="O1856" s="143"/>
      <c r="P1856" s="143"/>
      <c r="Q1856" s="143"/>
      <c r="R1856" s="143"/>
      <c r="S1856" s="143"/>
      <c r="T1856" s="143"/>
      <c r="U1856" s="143"/>
      <c r="V1856" s="143"/>
      <c r="W1856" s="143"/>
      <c r="X1856" s="143"/>
      <c r="Y1856" s="143"/>
      <c r="Z1856" s="143"/>
      <c r="AA1856" s="143"/>
      <c r="AB1856" s="143"/>
      <c r="AC1856" s="143"/>
      <c r="AD1856" s="143"/>
      <c r="AE1856" s="143"/>
      <c r="AF1856" s="143"/>
      <c r="AG1856" s="143"/>
      <c r="AH1856" s="143"/>
      <c r="AI1856" s="143"/>
      <c r="AJ1856" s="143"/>
    </row>
    <row r="1857" spans="1:36" s="144" customFormat="1" ht="21.75" customHeight="1">
      <c r="A1857" s="151"/>
      <c r="B1857" s="219"/>
      <c r="C1857" s="219"/>
      <c r="D1857" s="219"/>
      <c r="E1857" s="225"/>
      <c r="N1857" s="143"/>
      <c r="O1857" s="143"/>
      <c r="P1857" s="143"/>
      <c r="Q1857" s="143"/>
      <c r="R1857" s="143"/>
      <c r="S1857" s="143"/>
      <c r="T1857" s="143"/>
      <c r="U1857" s="143"/>
      <c r="V1857" s="143"/>
      <c r="W1857" s="143"/>
      <c r="X1857" s="143"/>
      <c r="Y1857" s="143"/>
      <c r="Z1857" s="143"/>
      <c r="AA1857" s="143"/>
      <c r="AB1857" s="143"/>
      <c r="AC1857" s="143"/>
      <c r="AD1857" s="143"/>
      <c r="AE1857" s="143"/>
      <c r="AF1857" s="143"/>
      <c r="AG1857" s="143"/>
      <c r="AH1857" s="143"/>
      <c r="AI1857" s="143"/>
      <c r="AJ1857" s="143"/>
    </row>
    <row r="1858" spans="1:36" s="144" customFormat="1" ht="21.75" customHeight="1">
      <c r="A1858" s="151"/>
      <c r="B1858" s="219"/>
      <c r="C1858" s="219"/>
      <c r="D1858" s="219"/>
      <c r="E1858" s="225"/>
      <c r="N1858" s="143"/>
      <c r="O1858" s="143"/>
      <c r="P1858" s="143"/>
      <c r="Q1858" s="143"/>
      <c r="R1858" s="143"/>
      <c r="S1858" s="143"/>
      <c r="T1858" s="143"/>
      <c r="U1858" s="143"/>
      <c r="V1858" s="143"/>
      <c r="W1858" s="143"/>
      <c r="X1858" s="143"/>
      <c r="Y1858" s="143"/>
      <c r="Z1858" s="143"/>
      <c r="AA1858" s="143"/>
      <c r="AB1858" s="143"/>
      <c r="AC1858" s="143"/>
      <c r="AD1858" s="143"/>
      <c r="AE1858" s="143"/>
      <c r="AF1858" s="143"/>
      <c r="AG1858" s="143"/>
      <c r="AH1858" s="143"/>
      <c r="AI1858" s="143"/>
      <c r="AJ1858" s="143"/>
    </row>
    <row r="1859" spans="1:36" s="144" customFormat="1" ht="21.75" customHeight="1">
      <c r="A1859" s="151"/>
      <c r="B1859" s="219"/>
      <c r="C1859" s="219"/>
      <c r="D1859" s="219"/>
      <c r="E1859" s="225"/>
      <c r="N1859" s="143"/>
      <c r="O1859" s="143"/>
      <c r="P1859" s="143"/>
      <c r="Q1859" s="143"/>
      <c r="R1859" s="143"/>
      <c r="S1859" s="143"/>
      <c r="T1859" s="143"/>
      <c r="U1859" s="143"/>
      <c r="V1859" s="143"/>
      <c r="W1859" s="143"/>
      <c r="X1859" s="143"/>
      <c r="Y1859" s="143"/>
      <c r="Z1859" s="143"/>
      <c r="AA1859" s="143"/>
      <c r="AB1859" s="143"/>
      <c r="AC1859" s="143"/>
      <c r="AD1859" s="143"/>
      <c r="AE1859" s="143"/>
      <c r="AF1859" s="143"/>
      <c r="AG1859" s="143"/>
      <c r="AH1859" s="143"/>
      <c r="AI1859" s="143"/>
      <c r="AJ1859" s="143"/>
    </row>
    <row r="1860" spans="1:36" s="144" customFormat="1" ht="21.75" customHeight="1">
      <c r="A1860" s="151"/>
      <c r="B1860" s="219"/>
      <c r="C1860" s="219"/>
      <c r="D1860" s="219"/>
      <c r="E1860" s="225"/>
      <c r="N1860" s="143"/>
      <c r="O1860" s="143"/>
      <c r="P1860" s="143"/>
      <c r="Q1860" s="143"/>
      <c r="R1860" s="143"/>
      <c r="S1860" s="143"/>
      <c r="T1860" s="143"/>
      <c r="U1860" s="143"/>
      <c r="V1860" s="143"/>
      <c r="W1860" s="143"/>
      <c r="X1860" s="143"/>
      <c r="Y1860" s="143"/>
      <c r="Z1860" s="143"/>
      <c r="AA1860" s="143"/>
      <c r="AB1860" s="143"/>
      <c r="AC1860" s="143"/>
      <c r="AD1860" s="143"/>
      <c r="AE1860" s="143"/>
      <c r="AF1860" s="143"/>
      <c r="AG1860" s="143"/>
      <c r="AH1860" s="143"/>
      <c r="AI1860" s="143"/>
      <c r="AJ1860" s="143"/>
    </row>
    <row r="1861" spans="1:36" s="144" customFormat="1" ht="21.75" customHeight="1">
      <c r="A1861" s="151"/>
      <c r="B1861" s="219"/>
      <c r="C1861" s="219"/>
      <c r="D1861" s="219"/>
      <c r="E1861" s="225"/>
      <c r="N1861" s="143"/>
      <c r="O1861" s="143"/>
      <c r="P1861" s="143"/>
      <c r="Q1861" s="143"/>
      <c r="R1861" s="143"/>
      <c r="S1861" s="143"/>
      <c r="T1861" s="143"/>
      <c r="U1861" s="143"/>
      <c r="V1861" s="143"/>
      <c r="W1861" s="143"/>
      <c r="X1861" s="143"/>
      <c r="Y1861" s="143"/>
      <c r="Z1861" s="143"/>
      <c r="AA1861" s="143"/>
      <c r="AB1861" s="143"/>
      <c r="AC1861" s="143"/>
      <c r="AD1861" s="143"/>
      <c r="AE1861" s="143"/>
      <c r="AF1861" s="143"/>
      <c r="AG1861" s="143"/>
      <c r="AH1861" s="143"/>
      <c r="AI1861" s="143"/>
      <c r="AJ1861" s="143"/>
    </row>
    <row r="1862" spans="1:36" s="144" customFormat="1" ht="21.75" customHeight="1">
      <c r="A1862" s="151"/>
      <c r="B1862" s="219"/>
      <c r="C1862" s="219"/>
      <c r="D1862" s="219"/>
      <c r="E1862" s="225"/>
      <c r="N1862" s="143"/>
      <c r="O1862" s="143"/>
      <c r="P1862" s="143"/>
      <c r="Q1862" s="143"/>
      <c r="R1862" s="143"/>
      <c r="S1862" s="143"/>
      <c r="T1862" s="143"/>
      <c r="U1862" s="143"/>
      <c r="V1862" s="143"/>
      <c r="W1862" s="143"/>
      <c r="X1862" s="143"/>
      <c r="Y1862" s="143"/>
      <c r="Z1862" s="143"/>
      <c r="AA1862" s="143"/>
      <c r="AB1862" s="143"/>
      <c r="AC1862" s="143"/>
      <c r="AD1862" s="143"/>
      <c r="AE1862" s="143"/>
      <c r="AF1862" s="143"/>
      <c r="AG1862" s="143"/>
      <c r="AH1862" s="143"/>
      <c r="AI1862" s="143"/>
      <c r="AJ1862" s="143"/>
    </row>
    <row r="1863" spans="1:36" s="144" customFormat="1" ht="21.75" customHeight="1">
      <c r="A1863" s="151"/>
      <c r="B1863" s="219"/>
      <c r="C1863" s="219"/>
      <c r="D1863" s="219"/>
      <c r="E1863" s="225"/>
      <c r="N1863" s="143"/>
      <c r="O1863" s="143"/>
      <c r="P1863" s="143"/>
      <c r="Q1863" s="143"/>
      <c r="R1863" s="143"/>
      <c r="S1863" s="143"/>
      <c r="T1863" s="143"/>
      <c r="U1863" s="143"/>
      <c r="V1863" s="143"/>
      <c r="W1863" s="143"/>
      <c r="X1863" s="143"/>
      <c r="Y1863" s="143"/>
      <c r="Z1863" s="143"/>
      <c r="AA1863" s="143"/>
      <c r="AB1863" s="143"/>
      <c r="AC1863" s="143"/>
      <c r="AD1863" s="143"/>
      <c r="AE1863" s="143"/>
      <c r="AF1863" s="143"/>
      <c r="AG1863" s="143"/>
      <c r="AH1863" s="143"/>
      <c r="AI1863" s="143"/>
      <c r="AJ1863" s="143"/>
    </row>
    <row r="1864" spans="1:36" s="144" customFormat="1" ht="21.75" customHeight="1">
      <c r="A1864" s="151"/>
      <c r="B1864" s="219"/>
      <c r="C1864" s="219"/>
      <c r="D1864" s="219"/>
      <c r="E1864" s="225"/>
      <c r="N1864" s="143"/>
      <c r="O1864" s="143"/>
      <c r="P1864" s="143"/>
      <c r="Q1864" s="143"/>
      <c r="R1864" s="143"/>
      <c r="S1864" s="143"/>
      <c r="T1864" s="143"/>
      <c r="U1864" s="143"/>
      <c r="V1864" s="143"/>
      <c r="W1864" s="143"/>
      <c r="X1864" s="143"/>
      <c r="Y1864" s="143"/>
      <c r="Z1864" s="143"/>
      <c r="AA1864" s="143"/>
      <c r="AB1864" s="143"/>
      <c r="AC1864" s="143"/>
      <c r="AD1864" s="143"/>
      <c r="AE1864" s="143"/>
      <c r="AF1864" s="143"/>
      <c r="AG1864" s="143"/>
      <c r="AH1864" s="143"/>
      <c r="AI1864" s="143"/>
      <c r="AJ1864" s="143"/>
    </row>
    <row r="1865" spans="1:36" s="144" customFormat="1" ht="21.75" customHeight="1">
      <c r="A1865" s="151"/>
      <c r="B1865" s="219"/>
      <c r="C1865" s="219"/>
      <c r="D1865" s="219"/>
      <c r="E1865" s="225"/>
      <c r="N1865" s="143"/>
      <c r="O1865" s="143"/>
      <c r="P1865" s="143"/>
      <c r="Q1865" s="143"/>
      <c r="R1865" s="143"/>
      <c r="S1865" s="143"/>
      <c r="T1865" s="143"/>
      <c r="U1865" s="143"/>
      <c r="V1865" s="143"/>
      <c r="W1865" s="143"/>
      <c r="X1865" s="143"/>
      <c r="Y1865" s="143"/>
      <c r="Z1865" s="143"/>
      <c r="AA1865" s="143"/>
      <c r="AB1865" s="143"/>
      <c r="AC1865" s="143"/>
      <c r="AD1865" s="143"/>
      <c r="AE1865" s="143"/>
      <c r="AF1865" s="143"/>
      <c r="AG1865" s="143"/>
      <c r="AH1865" s="143"/>
      <c r="AI1865" s="143"/>
      <c r="AJ1865" s="143"/>
    </row>
    <row r="1866" spans="1:36" s="144" customFormat="1" ht="21.75" customHeight="1">
      <c r="A1866" s="151"/>
      <c r="B1866" s="219"/>
      <c r="C1866" s="219"/>
      <c r="D1866" s="219"/>
      <c r="E1866" s="225"/>
      <c r="N1866" s="143"/>
      <c r="O1866" s="143"/>
      <c r="P1866" s="143"/>
      <c r="Q1866" s="143"/>
      <c r="R1866" s="143"/>
      <c r="S1866" s="143"/>
      <c r="T1866" s="143"/>
      <c r="U1866" s="143"/>
      <c r="V1866" s="143"/>
      <c r="W1866" s="143"/>
      <c r="X1866" s="143"/>
      <c r="Y1866" s="143"/>
      <c r="Z1866" s="143"/>
      <c r="AA1866" s="143"/>
      <c r="AB1866" s="143"/>
      <c r="AC1866" s="143"/>
      <c r="AD1866" s="143"/>
      <c r="AE1866" s="143"/>
      <c r="AF1866" s="143"/>
      <c r="AG1866" s="143"/>
      <c r="AH1866" s="143"/>
      <c r="AI1866" s="143"/>
      <c r="AJ1866" s="143"/>
    </row>
    <row r="1867" spans="1:36" s="144" customFormat="1" ht="21.75" customHeight="1">
      <c r="A1867" s="151"/>
      <c r="B1867" s="219"/>
      <c r="C1867" s="219"/>
      <c r="D1867" s="219"/>
      <c r="E1867" s="225"/>
      <c r="N1867" s="143"/>
      <c r="O1867" s="143"/>
      <c r="P1867" s="143"/>
      <c r="Q1867" s="143"/>
      <c r="R1867" s="143"/>
      <c r="S1867" s="143"/>
      <c r="T1867" s="143"/>
      <c r="U1867" s="143"/>
      <c r="V1867" s="143"/>
      <c r="W1867" s="143"/>
      <c r="X1867" s="143"/>
      <c r="Y1867" s="143"/>
      <c r="Z1867" s="143"/>
      <c r="AA1867" s="143"/>
      <c r="AB1867" s="143"/>
      <c r="AC1867" s="143"/>
      <c r="AD1867" s="143"/>
      <c r="AE1867" s="143"/>
      <c r="AF1867" s="143"/>
      <c r="AG1867" s="143"/>
      <c r="AH1867" s="143"/>
      <c r="AI1867" s="143"/>
      <c r="AJ1867" s="143"/>
    </row>
    <row r="1868" spans="1:36" s="144" customFormat="1" ht="21.75" customHeight="1">
      <c r="A1868" s="151"/>
      <c r="B1868" s="219"/>
      <c r="C1868" s="219"/>
      <c r="D1868" s="219"/>
      <c r="E1868" s="225"/>
      <c r="N1868" s="143"/>
      <c r="O1868" s="143"/>
      <c r="P1868" s="143"/>
      <c r="Q1868" s="143"/>
      <c r="R1868" s="143"/>
      <c r="S1868" s="143"/>
      <c r="T1868" s="143"/>
      <c r="U1868" s="143"/>
      <c r="V1868" s="143"/>
      <c r="W1868" s="143"/>
      <c r="X1868" s="143"/>
      <c r="Y1868" s="143"/>
      <c r="Z1868" s="143"/>
      <c r="AA1868" s="143"/>
      <c r="AB1868" s="143"/>
      <c r="AC1868" s="143"/>
      <c r="AD1868" s="143"/>
      <c r="AE1868" s="143"/>
      <c r="AF1868" s="143"/>
      <c r="AG1868" s="143"/>
      <c r="AH1868" s="143"/>
      <c r="AI1868" s="143"/>
      <c r="AJ1868" s="143"/>
    </row>
    <row r="1869" spans="1:36" s="144" customFormat="1" ht="21.75" customHeight="1">
      <c r="A1869" s="151"/>
      <c r="B1869" s="219"/>
      <c r="C1869" s="219"/>
      <c r="D1869" s="219"/>
      <c r="E1869" s="225"/>
      <c r="N1869" s="143"/>
      <c r="O1869" s="143"/>
      <c r="P1869" s="143"/>
      <c r="Q1869" s="143"/>
      <c r="R1869" s="143"/>
      <c r="S1869" s="143"/>
      <c r="T1869" s="143"/>
      <c r="U1869" s="143"/>
      <c r="V1869" s="143"/>
      <c r="W1869" s="143"/>
      <c r="X1869" s="143"/>
      <c r="Y1869" s="143"/>
      <c r="Z1869" s="143"/>
      <c r="AA1869" s="143"/>
      <c r="AB1869" s="143"/>
      <c r="AC1869" s="143"/>
      <c r="AD1869" s="143"/>
      <c r="AE1869" s="143"/>
      <c r="AF1869" s="143"/>
      <c r="AG1869" s="143"/>
      <c r="AH1869" s="143"/>
      <c r="AI1869" s="143"/>
      <c r="AJ1869" s="143"/>
    </row>
    <row r="1870" spans="1:36" s="144" customFormat="1" ht="21.75" customHeight="1">
      <c r="A1870" s="151"/>
      <c r="B1870" s="219"/>
      <c r="C1870" s="219"/>
      <c r="D1870" s="219"/>
      <c r="E1870" s="225"/>
      <c r="N1870" s="143"/>
      <c r="O1870" s="143"/>
      <c r="P1870" s="143"/>
      <c r="Q1870" s="143"/>
      <c r="R1870" s="143"/>
      <c r="S1870" s="143"/>
      <c r="T1870" s="143"/>
      <c r="U1870" s="143"/>
      <c r="V1870" s="143"/>
      <c r="W1870" s="143"/>
      <c r="X1870" s="143"/>
      <c r="Y1870" s="143"/>
      <c r="Z1870" s="143"/>
      <c r="AA1870" s="143"/>
      <c r="AB1870" s="143"/>
      <c r="AC1870" s="143"/>
      <c r="AD1870" s="143"/>
      <c r="AE1870" s="143"/>
      <c r="AF1870" s="143"/>
      <c r="AG1870" s="143"/>
      <c r="AH1870" s="143"/>
      <c r="AI1870" s="143"/>
      <c r="AJ1870" s="143"/>
    </row>
    <row r="1871" spans="1:36" s="144" customFormat="1" ht="21.75" customHeight="1">
      <c r="A1871" s="151"/>
      <c r="B1871" s="219"/>
      <c r="C1871" s="219"/>
      <c r="D1871" s="219"/>
      <c r="E1871" s="225"/>
      <c r="N1871" s="143"/>
      <c r="O1871" s="143"/>
      <c r="P1871" s="143"/>
      <c r="Q1871" s="143"/>
      <c r="R1871" s="143"/>
      <c r="S1871" s="143"/>
      <c r="T1871" s="143"/>
      <c r="U1871" s="143"/>
      <c r="V1871" s="143"/>
      <c r="W1871" s="143"/>
      <c r="X1871" s="143"/>
      <c r="Y1871" s="143"/>
      <c r="Z1871" s="143"/>
      <c r="AA1871" s="143"/>
      <c r="AB1871" s="143"/>
      <c r="AC1871" s="143"/>
      <c r="AD1871" s="143"/>
      <c r="AE1871" s="143"/>
      <c r="AF1871" s="143"/>
      <c r="AG1871" s="143"/>
      <c r="AH1871" s="143"/>
      <c r="AI1871" s="143"/>
      <c r="AJ1871" s="143"/>
    </row>
    <row r="1872" spans="1:36" s="144" customFormat="1" ht="21.75" customHeight="1">
      <c r="A1872" s="151"/>
      <c r="B1872" s="219"/>
      <c r="C1872" s="219"/>
      <c r="D1872" s="219"/>
      <c r="E1872" s="225"/>
      <c r="N1872" s="143"/>
      <c r="O1872" s="143"/>
      <c r="P1872" s="143"/>
      <c r="Q1872" s="143"/>
      <c r="R1872" s="143"/>
      <c r="S1872" s="143"/>
      <c r="T1872" s="143"/>
      <c r="U1872" s="143"/>
      <c r="V1872" s="143"/>
      <c r="W1872" s="143"/>
      <c r="X1872" s="143"/>
      <c r="Y1872" s="143"/>
      <c r="Z1872" s="143"/>
      <c r="AA1872" s="143"/>
      <c r="AB1872" s="143"/>
      <c r="AC1872" s="143"/>
      <c r="AD1872" s="143"/>
      <c r="AE1872" s="143"/>
      <c r="AF1872" s="143"/>
      <c r="AG1872" s="143"/>
      <c r="AH1872" s="143"/>
      <c r="AI1872" s="143"/>
      <c r="AJ1872" s="143"/>
    </row>
    <row r="1873" spans="1:36" s="144" customFormat="1" ht="21.75" customHeight="1">
      <c r="A1873" s="151"/>
      <c r="B1873" s="219"/>
      <c r="C1873" s="219"/>
      <c r="D1873" s="219"/>
      <c r="E1873" s="225"/>
      <c r="N1873" s="143"/>
      <c r="O1873" s="143"/>
      <c r="P1873" s="143"/>
      <c r="Q1873" s="143"/>
      <c r="R1873" s="143"/>
      <c r="S1873" s="143"/>
      <c r="T1873" s="143"/>
      <c r="U1873" s="143"/>
      <c r="V1873" s="143"/>
      <c r="W1873" s="143"/>
      <c r="X1873" s="143"/>
      <c r="Y1873" s="143"/>
      <c r="Z1873" s="143"/>
      <c r="AA1873" s="143"/>
      <c r="AB1873" s="143"/>
      <c r="AC1873" s="143"/>
      <c r="AD1873" s="143"/>
      <c r="AE1873" s="143"/>
      <c r="AF1873" s="143"/>
      <c r="AG1873" s="143"/>
      <c r="AH1873" s="143"/>
      <c r="AI1873" s="143"/>
      <c r="AJ1873" s="143"/>
    </row>
    <row r="1874" spans="1:36" s="144" customFormat="1" ht="21.75" customHeight="1">
      <c r="A1874" s="151"/>
      <c r="B1874" s="219"/>
      <c r="C1874" s="219"/>
      <c r="D1874" s="219"/>
      <c r="E1874" s="225"/>
      <c r="N1874" s="143"/>
      <c r="O1874" s="143"/>
      <c r="P1874" s="143"/>
      <c r="Q1874" s="143"/>
      <c r="R1874" s="143"/>
      <c r="S1874" s="143"/>
      <c r="T1874" s="143"/>
      <c r="U1874" s="143"/>
      <c r="V1874" s="143"/>
      <c r="W1874" s="143"/>
      <c r="X1874" s="143"/>
      <c r="Y1874" s="143"/>
      <c r="Z1874" s="143"/>
      <c r="AA1874" s="143"/>
      <c r="AB1874" s="143"/>
      <c r="AC1874" s="143"/>
      <c r="AD1874" s="143"/>
      <c r="AE1874" s="143"/>
      <c r="AF1874" s="143"/>
      <c r="AG1874" s="143"/>
      <c r="AH1874" s="143"/>
      <c r="AI1874" s="143"/>
      <c r="AJ1874" s="143"/>
    </row>
    <row r="1875" spans="1:36" s="144" customFormat="1" ht="21.75" customHeight="1">
      <c r="A1875" s="151"/>
      <c r="B1875" s="219"/>
      <c r="C1875" s="219"/>
      <c r="D1875" s="219"/>
      <c r="E1875" s="225"/>
      <c r="N1875" s="143"/>
      <c r="O1875" s="143"/>
      <c r="P1875" s="143"/>
      <c r="Q1875" s="143"/>
      <c r="R1875" s="143"/>
      <c r="S1875" s="143"/>
      <c r="T1875" s="143"/>
      <c r="U1875" s="143"/>
      <c r="V1875" s="143"/>
      <c r="W1875" s="143"/>
      <c r="X1875" s="143"/>
      <c r="Y1875" s="143"/>
      <c r="Z1875" s="143"/>
      <c r="AA1875" s="143"/>
      <c r="AB1875" s="143"/>
      <c r="AC1875" s="143"/>
      <c r="AD1875" s="143"/>
      <c r="AE1875" s="143"/>
      <c r="AF1875" s="143"/>
      <c r="AG1875" s="143"/>
      <c r="AH1875" s="143"/>
      <c r="AI1875" s="143"/>
      <c r="AJ1875" s="143"/>
    </row>
    <row r="1876" spans="1:36" s="144" customFormat="1" ht="21.75" customHeight="1">
      <c r="A1876" s="151"/>
      <c r="B1876" s="219"/>
      <c r="C1876" s="219"/>
      <c r="D1876" s="219"/>
      <c r="E1876" s="225"/>
      <c r="N1876" s="143"/>
      <c r="O1876" s="143"/>
      <c r="P1876" s="143"/>
      <c r="Q1876" s="143"/>
      <c r="R1876" s="143"/>
      <c r="S1876" s="143"/>
      <c r="T1876" s="143"/>
      <c r="U1876" s="143"/>
      <c r="V1876" s="143"/>
      <c r="W1876" s="143"/>
      <c r="X1876" s="143"/>
      <c r="Y1876" s="143"/>
      <c r="Z1876" s="143"/>
      <c r="AA1876" s="143"/>
      <c r="AB1876" s="143"/>
      <c r="AC1876" s="143"/>
      <c r="AD1876" s="143"/>
      <c r="AE1876" s="143"/>
      <c r="AF1876" s="143"/>
      <c r="AG1876" s="143"/>
      <c r="AH1876" s="143"/>
      <c r="AI1876" s="143"/>
      <c r="AJ1876" s="143"/>
    </row>
    <row r="1877" spans="1:36" s="144" customFormat="1" ht="21.75" customHeight="1">
      <c r="A1877" s="151"/>
      <c r="B1877" s="219"/>
      <c r="C1877" s="219"/>
      <c r="D1877" s="219"/>
      <c r="E1877" s="225"/>
      <c r="N1877" s="143"/>
      <c r="O1877" s="143"/>
      <c r="P1877" s="143"/>
      <c r="Q1877" s="143"/>
      <c r="R1877" s="143"/>
      <c r="S1877" s="143"/>
      <c r="T1877" s="143"/>
      <c r="U1877" s="143"/>
      <c r="V1877" s="143"/>
      <c r="W1877" s="143"/>
      <c r="X1877" s="143"/>
      <c r="Y1877" s="143"/>
      <c r="Z1877" s="143"/>
      <c r="AA1877" s="143"/>
      <c r="AB1877" s="143"/>
      <c r="AC1877" s="143"/>
      <c r="AD1877" s="143"/>
      <c r="AE1877" s="143"/>
      <c r="AF1877" s="143"/>
      <c r="AG1877" s="143"/>
      <c r="AH1877" s="143"/>
      <c r="AI1877" s="143"/>
      <c r="AJ1877" s="143"/>
    </row>
    <row r="1878" spans="1:36" s="144" customFormat="1" ht="21.75" customHeight="1">
      <c r="A1878" s="151"/>
      <c r="B1878" s="219"/>
      <c r="C1878" s="219"/>
      <c r="D1878" s="219"/>
      <c r="E1878" s="225"/>
      <c r="N1878" s="143"/>
      <c r="O1878" s="143"/>
      <c r="P1878" s="143"/>
      <c r="Q1878" s="143"/>
      <c r="R1878" s="143"/>
      <c r="S1878" s="143"/>
      <c r="T1878" s="143"/>
      <c r="U1878" s="143"/>
      <c r="V1878" s="143"/>
      <c r="W1878" s="143"/>
      <c r="X1878" s="143"/>
      <c r="Y1878" s="143"/>
      <c r="Z1878" s="143"/>
      <c r="AA1878" s="143"/>
      <c r="AB1878" s="143"/>
      <c r="AC1878" s="143"/>
      <c r="AD1878" s="143"/>
      <c r="AE1878" s="143"/>
      <c r="AF1878" s="143"/>
      <c r="AG1878" s="143"/>
      <c r="AH1878" s="143"/>
      <c r="AI1878" s="143"/>
      <c r="AJ1878" s="143"/>
    </row>
    <row r="1879" spans="1:36" s="144" customFormat="1" ht="21.75" customHeight="1">
      <c r="A1879" s="151"/>
      <c r="B1879" s="219"/>
      <c r="C1879" s="219"/>
      <c r="D1879" s="219"/>
      <c r="E1879" s="225"/>
      <c r="N1879" s="143"/>
      <c r="O1879" s="143"/>
      <c r="P1879" s="143"/>
      <c r="Q1879" s="143"/>
      <c r="R1879" s="143"/>
      <c r="S1879" s="143"/>
      <c r="T1879" s="143"/>
      <c r="U1879" s="143"/>
      <c r="V1879" s="143"/>
      <c r="W1879" s="143"/>
      <c r="X1879" s="143"/>
      <c r="Y1879" s="143"/>
      <c r="Z1879" s="143"/>
      <c r="AA1879" s="143"/>
      <c r="AB1879" s="143"/>
      <c r="AC1879" s="143"/>
      <c r="AD1879" s="143"/>
      <c r="AE1879" s="143"/>
      <c r="AF1879" s="143"/>
      <c r="AG1879" s="143"/>
      <c r="AH1879" s="143"/>
      <c r="AI1879" s="143"/>
      <c r="AJ1879" s="143"/>
    </row>
    <row r="1880" spans="1:36" s="144" customFormat="1" ht="21.75" customHeight="1">
      <c r="A1880" s="151"/>
      <c r="B1880" s="219"/>
      <c r="C1880" s="219"/>
      <c r="D1880" s="219"/>
      <c r="E1880" s="225"/>
      <c r="N1880" s="143"/>
      <c r="O1880" s="143"/>
      <c r="P1880" s="143"/>
      <c r="Q1880" s="143"/>
      <c r="R1880" s="143"/>
      <c r="S1880" s="143"/>
      <c r="T1880" s="143"/>
      <c r="U1880" s="143"/>
      <c r="V1880" s="143"/>
      <c r="W1880" s="143"/>
      <c r="X1880" s="143"/>
      <c r="Y1880" s="143"/>
      <c r="Z1880" s="143"/>
      <c r="AA1880" s="143"/>
      <c r="AB1880" s="143"/>
      <c r="AC1880" s="143"/>
      <c r="AD1880" s="143"/>
      <c r="AE1880" s="143"/>
      <c r="AF1880" s="143"/>
      <c r="AG1880" s="143"/>
      <c r="AH1880" s="143"/>
      <c r="AI1880" s="143"/>
      <c r="AJ1880" s="143"/>
    </row>
    <row r="1881" spans="1:36" s="144" customFormat="1" ht="21.75" customHeight="1">
      <c r="A1881" s="151"/>
      <c r="B1881" s="219"/>
      <c r="C1881" s="219"/>
      <c r="D1881" s="219"/>
      <c r="E1881" s="225"/>
      <c r="N1881" s="143"/>
      <c r="O1881" s="143"/>
      <c r="P1881" s="143"/>
      <c r="Q1881" s="143"/>
      <c r="R1881" s="143"/>
      <c r="S1881" s="143"/>
      <c r="T1881" s="143"/>
      <c r="U1881" s="143"/>
      <c r="V1881" s="143"/>
      <c r="W1881" s="143"/>
      <c r="X1881" s="143"/>
      <c r="Y1881" s="143"/>
      <c r="Z1881" s="143"/>
      <c r="AA1881" s="143"/>
      <c r="AB1881" s="143"/>
      <c r="AC1881" s="143"/>
      <c r="AD1881" s="143"/>
      <c r="AE1881" s="143"/>
      <c r="AF1881" s="143"/>
      <c r="AG1881" s="143"/>
      <c r="AH1881" s="143"/>
      <c r="AI1881" s="143"/>
      <c r="AJ1881" s="143"/>
    </row>
    <row r="1882" spans="1:36" s="144" customFormat="1" ht="21.75" customHeight="1">
      <c r="A1882" s="151"/>
      <c r="B1882" s="219"/>
      <c r="C1882" s="219"/>
      <c r="D1882" s="219"/>
      <c r="E1882" s="225"/>
      <c r="N1882" s="143"/>
      <c r="O1882" s="143"/>
      <c r="P1882" s="143"/>
      <c r="Q1882" s="143"/>
      <c r="R1882" s="143"/>
      <c r="S1882" s="143"/>
      <c r="T1882" s="143"/>
      <c r="U1882" s="143"/>
      <c r="V1882" s="143"/>
      <c r="W1882" s="143"/>
      <c r="X1882" s="143"/>
      <c r="Y1882" s="143"/>
      <c r="Z1882" s="143"/>
      <c r="AA1882" s="143"/>
      <c r="AB1882" s="143"/>
      <c r="AC1882" s="143"/>
      <c r="AD1882" s="143"/>
      <c r="AE1882" s="143"/>
      <c r="AF1882" s="143"/>
      <c r="AG1882" s="143"/>
      <c r="AH1882" s="143"/>
      <c r="AI1882" s="143"/>
      <c r="AJ1882" s="143"/>
    </row>
    <row r="1883" spans="1:36" s="144" customFormat="1" ht="21.75" customHeight="1">
      <c r="A1883" s="151"/>
      <c r="B1883" s="219"/>
      <c r="C1883" s="219"/>
      <c r="D1883" s="219"/>
      <c r="E1883" s="225"/>
      <c r="N1883" s="143"/>
      <c r="O1883" s="143"/>
      <c r="P1883" s="143"/>
      <c r="Q1883" s="143"/>
      <c r="R1883" s="143"/>
      <c r="S1883" s="143"/>
      <c r="T1883" s="143"/>
      <c r="U1883" s="143"/>
      <c r="V1883" s="143"/>
      <c r="W1883" s="143"/>
      <c r="X1883" s="143"/>
      <c r="Y1883" s="143"/>
      <c r="Z1883" s="143"/>
      <c r="AA1883" s="143"/>
      <c r="AB1883" s="143"/>
      <c r="AC1883" s="143"/>
      <c r="AD1883" s="143"/>
      <c r="AE1883" s="143"/>
      <c r="AF1883" s="143"/>
      <c r="AG1883" s="143"/>
      <c r="AH1883" s="143"/>
      <c r="AI1883" s="143"/>
      <c r="AJ1883" s="143"/>
    </row>
    <row r="1884" spans="1:36" s="144" customFormat="1" ht="21.75" customHeight="1">
      <c r="A1884" s="151"/>
      <c r="B1884" s="219"/>
      <c r="C1884" s="219"/>
      <c r="D1884" s="219"/>
      <c r="E1884" s="225"/>
      <c r="N1884" s="143"/>
      <c r="O1884" s="143"/>
      <c r="P1884" s="143"/>
      <c r="Q1884" s="143"/>
      <c r="R1884" s="143"/>
      <c r="S1884" s="143"/>
      <c r="T1884" s="143"/>
      <c r="U1884" s="143"/>
      <c r="V1884" s="143"/>
      <c r="W1884" s="143"/>
      <c r="X1884" s="143"/>
      <c r="Y1884" s="143"/>
      <c r="Z1884" s="143"/>
      <c r="AA1884" s="143"/>
      <c r="AB1884" s="143"/>
      <c r="AC1884" s="143"/>
      <c r="AD1884" s="143"/>
      <c r="AE1884" s="143"/>
      <c r="AF1884" s="143"/>
      <c r="AG1884" s="143"/>
      <c r="AH1884" s="143"/>
      <c r="AI1884" s="143"/>
      <c r="AJ1884" s="143"/>
    </row>
    <row r="1885" spans="1:36" s="144" customFormat="1" ht="21.75" customHeight="1">
      <c r="A1885" s="151"/>
      <c r="B1885" s="219"/>
      <c r="C1885" s="219"/>
      <c r="D1885" s="219"/>
      <c r="E1885" s="225"/>
      <c r="N1885" s="143"/>
      <c r="O1885" s="143"/>
      <c r="P1885" s="143"/>
      <c r="Q1885" s="143"/>
      <c r="R1885" s="143"/>
      <c r="S1885" s="143"/>
      <c r="T1885" s="143"/>
      <c r="U1885" s="143"/>
      <c r="V1885" s="143"/>
      <c r="W1885" s="143"/>
      <c r="X1885" s="143"/>
      <c r="Y1885" s="143"/>
      <c r="Z1885" s="143"/>
      <c r="AA1885" s="143"/>
      <c r="AB1885" s="143"/>
      <c r="AC1885" s="143"/>
      <c r="AD1885" s="143"/>
      <c r="AE1885" s="143"/>
      <c r="AF1885" s="143"/>
      <c r="AG1885" s="143"/>
      <c r="AH1885" s="143"/>
      <c r="AI1885" s="143"/>
      <c r="AJ1885" s="143"/>
    </row>
    <row r="1886" spans="1:36" s="144" customFormat="1" ht="21.75" customHeight="1">
      <c r="A1886" s="151"/>
      <c r="B1886" s="219"/>
      <c r="C1886" s="219"/>
      <c r="D1886" s="219"/>
      <c r="E1886" s="225"/>
      <c r="N1886" s="143"/>
      <c r="O1886" s="143"/>
      <c r="P1886" s="143"/>
      <c r="Q1886" s="143"/>
      <c r="R1886" s="143"/>
      <c r="S1886" s="143"/>
      <c r="T1886" s="143"/>
      <c r="U1886" s="143"/>
      <c r="V1886" s="143"/>
      <c r="W1886" s="143"/>
      <c r="X1886" s="143"/>
      <c r="Y1886" s="143"/>
      <c r="Z1886" s="143"/>
      <c r="AA1886" s="143"/>
      <c r="AB1886" s="143"/>
      <c r="AC1886" s="143"/>
      <c r="AD1886" s="143"/>
      <c r="AE1886" s="143"/>
      <c r="AF1886" s="143"/>
      <c r="AG1886" s="143"/>
      <c r="AH1886" s="143"/>
      <c r="AI1886" s="143"/>
      <c r="AJ1886" s="143"/>
    </row>
    <row r="1887" spans="1:36" s="144" customFormat="1" ht="21.75" customHeight="1">
      <c r="A1887" s="151"/>
      <c r="B1887" s="219"/>
      <c r="C1887" s="219"/>
      <c r="D1887" s="219"/>
      <c r="E1887" s="225"/>
      <c r="N1887" s="143"/>
      <c r="O1887" s="143"/>
      <c r="P1887" s="143"/>
      <c r="Q1887" s="143"/>
      <c r="R1887" s="143"/>
      <c r="S1887" s="143"/>
      <c r="T1887" s="143"/>
      <c r="U1887" s="143"/>
      <c r="V1887" s="143"/>
      <c r="W1887" s="143"/>
      <c r="X1887" s="143"/>
      <c r="Y1887" s="143"/>
      <c r="Z1887" s="143"/>
      <c r="AA1887" s="143"/>
      <c r="AB1887" s="143"/>
      <c r="AC1887" s="143"/>
      <c r="AD1887" s="143"/>
      <c r="AE1887" s="143"/>
      <c r="AF1887" s="143"/>
      <c r="AG1887" s="143"/>
      <c r="AH1887" s="143"/>
      <c r="AI1887" s="143"/>
      <c r="AJ1887" s="143"/>
    </row>
    <row r="1888" spans="1:36" s="144" customFormat="1" ht="21.75" customHeight="1">
      <c r="A1888" s="151"/>
      <c r="B1888" s="219"/>
      <c r="C1888" s="219"/>
      <c r="D1888" s="219"/>
      <c r="E1888" s="225"/>
      <c r="N1888" s="143"/>
      <c r="O1888" s="143"/>
      <c r="P1888" s="143"/>
      <c r="Q1888" s="143"/>
      <c r="R1888" s="143"/>
      <c r="S1888" s="143"/>
      <c r="T1888" s="143"/>
      <c r="U1888" s="143"/>
      <c r="V1888" s="143"/>
      <c r="W1888" s="143"/>
      <c r="X1888" s="143"/>
      <c r="Y1888" s="143"/>
      <c r="Z1888" s="143"/>
      <c r="AA1888" s="143"/>
      <c r="AB1888" s="143"/>
      <c r="AC1888" s="143"/>
      <c r="AD1888" s="143"/>
      <c r="AE1888" s="143"/>
      <c r="AF1888" s="143"/>
      <c r="AG1888" s="143"/>
      <c r="AH1888" s="143"/>
      <c r="AI1888" s="143"/>
      <c r="AJ1888" s="143"/>
    </row>
    <row r="1889" spans="1:36" s="144" customFormat="1" ht="21.75" customHeight="1">
      <c r="A1889" s="151"/>
      <c r="B1889" s="219"/>
      <c r="C1889" s="219"/>
      <c r="D1889" s="219"/>
      <c r="E1889" s="225"/>
      <c r="N1889" s="143"/>
      <c r="O1889" s="143"/>
      <c r="P1889" s="143"/>
      <c r="Q1889" s="143"/>
      <c r="R1889" s="143"/>
      <c r="S1889" s="143"/>
      <c r="T1889" s="143"/>
      <c r="U1889" s="143"/>
      <c r="V1889" s="143"/>
      <c r="W1889" s="143"/>
      <c r="X1889" s="143"/>
      <c r="Y1889" s="143"/>
      <c r="Z1889" s="143"/>
      <c r="AA1889" s="143"/>
      <c r="AB1889" s="143"/>
      <c r="AC1889" s="143"/>
      <c r="AD1889" s="143"/>
      <c r="AE1889" s="143"/>
      <c r="AF1889" s="143"/>
      <c r="AG1889" s="143"/>
      <c r="AH1889" s="143"/>
      <c r="AI1889" s="143"/>
      <c r="AJ1889" s="143"/>
    </row>
    <row r="1890" spans="1:36" s="144" customFormat="1" ht="21.75" customHeight="1">
      <c r="A1890" s="151"/>
      <c r="B1890" s="219"/>
      <c r="C1890" s="219"/>
      <c r="D1890" s="219"/>
      <c r="E1890" s="225"/>
      <c r="N1890" s="143"/>
      <c r="O1890" s="143"/>
      <c r="P1890" s="143"/>
      <c r="Q1890" s="143"/>
      <c r="R1890" s="143"/>
      <c r="S1890" s="143"/>
      <c r="T1890" s="143"/>
      <c r="U1890" s="143"/>
      <c r="V1890" s="143"/>
      <c r="W1890" s="143"/>
      <c r="X1890" s="143"/>
      <c r="Y1890" s="143"/>
      <c r="Z1890" s="143"/>
      <c r="AA1890" s="143"/>
      <c r="AB1890" s="143"/>
      <c r="AC1890" s="143"/>
      <c r="AD1890" s="143"/>
      <c r="AE1890" s="143"/>
      <c r="AF1890" s="143"/>
      <c r="AG1890" s="143"/>
      <c r="AH1890" s="143"/>
      <c r="AI1890" s="143"/>
      <c r="AJ1890" s="143"/>
    </row>
    <row r="1891" spans="1:36" s="144" customFormat="1" ht="21.75" customHeight="1">
      <c r="A1891" s="151"/>
      <c r="B1891" s="219"/>
      <c r="C1891" s="219"/>
      <c r="D1891" s="219"/>
      <c r="E1891" s="225"/>
      <c r="N1891" s="143"/>
      <c r="O1891" s="143"/>
      <c r="P1891" s="143"/>
      <c r="Q1891" s="143"/>
      <c r="R1891" s="143"/>
      <c r="S1891" s="143"/>
      <c r="T1891" s="143"/>
      <c r="U1891" s="143"/>
      <c r="V1891" s="143"/>
      <c r="W1891" s="143"/>
      <c r="X1891" s="143"/>
      <c r="Y1891" s="143"/>
      <c r="Z1891" s="143"/>
      <c r="AA1891" s="143"/>
      <c r="AB1891" s="143"/>
      <c r="AC1891" s="143"/>
      <c r="AD1891" s="143"/>
      <c r="AE1891" s="143"/>
      <c r="AF1891" s="143"/>
      <c r="AG1891" s="143"/>
      <c r="AH1891" s="143"/>
      <c r="AI1891" s="143"/>
      <c r="AJ1891" s="143"/>
    </row>
    <row r="1892" spans="1:36" s="144" customFormat="1" ht="21.75" customHeight="1">
      <c r="A1892" s="151"/>
      <c r="B1892" s="219"/>
      <c r="C1892" s="219"/>
      <c r="D1892" s="219"/>
      <c r="E1892" s="225"/>
      <c r="N1892" s="143"/>
      <c r="O1892" s="143"/>
      <c r="P1892" s="143"/>
      <c r="Q1892" s="143"/>
      <c r="R1892" s="143"/>
      <c r="S1892" s="143"/>
      <c r="T1892" s="143"/>
      <c r="U1892" s="143"/>
      <c r="V1892" s="143"/>
      <c r="W1892" s="143"/>
      <c r="X1892" s="143"/>
      <c r="Y1892" s="143"/>
      <c r="Z1892" s="143"/>
      <c r="AA1892" s="143"/>
      <c r="AB1892" s="143"/>
      <c r="AC1892" s="143"/>
      <c r="AD1892" s="143"/>
      <c r="AE1892" s="143"/>
      <c r="AF1892" s="143"/>
      <c r="AG1892" s="143"/>
      <c r="AH1892" s="143"/>
      <c r="AI1892" s="143"/>
      <c r="AJ1892" s="143"/>
    </row>
    <row r="1893" spans="1:36" s="144" customFormat="1" ht="21.75" customHeight="1">
      <c r="A1893" s="151"/>
      <c r="B1893" s="219"/>
      <c r="C1893" s="219"/>
      <c r="D1893" s="219"/>
      <c r="E1893" s="225"/>
      <c r="N1893" s="143"/>
      <c r="O1893" s="143"/>
      <c r="P1893" s="143"/>
      <c r="Q1893" s="143"/>
      <c r="R1893" s="143"/>
      <c r="S1893" s="143"/>
      <c r="T1893" s="143"/>
      <c r="U1893" s="143"/>
      <c r="V1893" s="143"/>
      <c r="W1893" s="143"/>
      <c r="X1893" s="143"/>
      <c r="Y1893" s="143"/>
      <c r="Z1893" s="143"/>
      <c r="AA1893" s="143"/>
      <c r="AB1893" s="143"/>
      <c r="AC1893" s="143"/>
      <c r="AD1893" s="143"/>
      <c r="AE1893" s="143"/>
      <c r="AF1893" s="143"/>
      <c r="AG1893" s="143"/>
      <c r="AH1893" s="143"/>
      <c r="AI1893" s="143"/>
      <c r="AJ1893" s="143"/>
    </row>
    <row r="1894" spans="1:36" s="144" customFormat="1" ht="21.75" customHeight="1">
      <c r="A1894" s="151"/>
      <c r="B1894" s="219"/>
      <c r="C1894" s="219"/>
      <c r="D1894" s="219"/>
      <c r="E1894" s="225"/>
      <c r="N1894" s="143"/>
      <c r="O1894" s="143"/>
      <c r="P1894" s="143"/>
      <c r="Q1894" s="143"/>
      <c r="R1894" s="143"/>
      <c r="S1894" s="143"/>
      <c r="T1894" s="143"/>
      <c r="U1894" s="143"/>
      <c r="V1894" s="143"/>
      <c r="W1894" s="143"/>
      <c r="X1894" s="143"/>
      <c r="Y1894" s="143"/>
      <c r="Z1894" s="143"/>
      <c r="AA1894" s="143"/>
      <c r="AB1894" s="143"/>
      <c r="AC1894" s="143"/>
      <c r="AD1894" s="143"/>
      <c r="AE1894" s="143"/>
      <c r="AF1894" s="143"/>
      <c r="AG1894" s="143"/>
      <c r="AH1894" s="143"/>
      <c r="AI1894" s="143"/>
      <c r="AJ1894" s="143"/>
    </row>
    <row r="1895" spans="1:36" s="144" customFormat="1" ht="21.75" customHeight="1">
      <c r="A1895" s="151"/>
      <c r="B1895" s="219"/>
      <c r="C1895" s="219"/>
      <c r="D1895" s="219"/>
      <c r="E1895" s="225"/>
      <c r="N1895" s="143"/>
      <c r="O1895" s="143"/>
      <c r="P1895" s="143"/>
      <c r="Q1895" s="143"/>
      <c r="R1895" s="143"/>
      <c r="S1895" s="143"/>
      <c r="T1895" s="143"/>
      <c r="U1895" s="143"/>
      <c r="V1895" s="143"/>
      <c r="W1895" s="143"/>
      <c r="X1895" s="143"/>
      <c r="Y1895" s="143"/>
      <c r="Z1895" s="143"/>
      <c r="AA1895" s="143"/>
      <c r="AB1895" s="143"/>
      <c r="AC1895" s="143"/>
      <c r="AD1895" s="143"/>
      <c r="AE1895" s="143"/>
      <c r="AF1895" s="143"/>
      <c r="AG1895" s="143"/>
      <c r="AH1895" s="143"/>
      <c r="AI1895" s="143"/>
      <c r="AJ1895" s="143"/>
    </row>
    <row r="1896" spans="1:36" s="144" customFormat="1" ht="21.75" customHeight="1">
      <c r="A1896" s="151"/>
      <c r="B1896" s="219"/>
      <c r="C1896" s="219"/>
      <c r="D1896" s="219"/>
      <c r="E1896" s="225"/>
      <c r="N1896" s="143"/>
      <c r="O1896" s="143"/>
      <c r="P1896" s="143"/>
      <c r="Q1896" s="143"/>
      <c r="R1896" s="143"/>
      <c r="S1896" s="143"/>
      <c r="T1896" s="143"/>
      <c r="U1896" s="143"/>
      <c r="V1896" s="143"/>
      <c r="W1896" s="143"/>
      <c r="X1896" s="143"/>
      <c r="Y1896" s="143"/>
      <c r="Z1896" s="143"/>
      <c r="AA1896" s="143"/>
      <c r="AB1896" s="143"/>
      <c r="AC1896" s="143"/>
      <c r="AD1896" s="143"/>
      <c r="AE1896" s="143"/>
      <c r="AF1896" s="143"/>
      <c r="AG1896" s="143"/>
      <c r="AH1896" s="143"/>
      <c r="AI1896" s="143"/>
      <c r="AJ1896" s="143"/>
    </row>
    <row r="1897" spans="1:36" s="144" customFormat="1" ht="21.75" customHeight="1">
      <c r="A1897" s="151"/>
      <c r="B1897" s="219"/>
      <c r="C1897" s="219"/>
      <c r="D1897" s="219"/>
      <c r="E1897" s="225"/>
      <c r="N1897" s="143"/>
      <c r="O1897" s="143"/>
      <c r="P1897" s="143"/>
      <c r="Q1897" s="143"/>
      <c r="R1897" s="143"/>
      <c r="S1897" s="143"/>
      <c r="T1897" s="143"/>
      <c r="U1897" s="143"/>
      <c r="V1897" s="143"/>
      <c r="W1897" s="143"/>
      <c r="X1897" s="143"/>
      <c r="Y1897" s="143"/>
      <c r="Z1897" s="143"/>
      <c r="AA1897" s="143"/>
      <c r="AB1897" s="143"/>
      <c r="AC1897" s="143"/>
      <c r="AD1897" s="143"/>
      <c r="AE1897" s="143"/>
      <c r="AF1897" s="143"/>
      <c r="AG1897" s="143"/>
      <c r="AH1897" s="143"/>
      <c r="AI1897" s="143"/>
      <c r="AJ1897" s="143"/>
    </row>
    <row r="1898" spans="1:36" s="144" customFormat="1" ht="21.75" customHeight="1">
      <c r="A1898" s="151"/>
      <c r="B1898" s="219"/>
      <c r="C1898" s="219"/>
      <c r="D1898" s="219"/>
      <c r="E1898" s="225"/>
      <c r="N1898" s="143"/>
      <c r="O1898" s="143"/>
      <c r="P1898" s="143"/>
      <c r="Q1898" s="143"/>
      <c r="R1898" s="143"/>
      <c r="S1898" s="143"/>
      <c r="T1898" s="143"/>
      <c r="U1898" s="143"/>
      <c r="V1898" s="143"/>
      <c r="W1898" s="143"/>
      <c r="X1898" s="143"/>
      <c r="Y1898" s="143"/>
      <c r="Z1898" s="143"/>
      <c r="AA1898" s="143"/>
      <c r="AB1898" s="143"/>
      <c r="AC1898" s="143"/>
      <c r="AD1898" s="143"/>
      <c r="AE1898" s="143"/>
      <c r="AF1898" s="143"/>
      <c r="AG1898" s="143"/>
      <c r="AH1898" s="143"/>
      <c r="AI1898" s="143"/>
      <c r="AJ1898" s="143"/>
    </row>
    <row r="1899" spans="1:36" s="144" customFormat="1" ht="21.75" customHeight="1">
      <c r="A1899" s="151"/>
      <c r="B1899" s="219"/>
      <c r="C1899" s="219"/>
      <c r="D1899" s="219"/>
      <c r="E1899" s="225"/>
      <c r="N1899" s="143"/>
      <c r="O1899" s="143"/>
      <c r="P1899" s="143"/>
      <c r="Q1899" s="143"/>
      <c r="R1899" s="143"/>
      <c r="S1899" s="143"/>
      <c r="T1899" s="143"/>
      <c r="U1899" s="143"/>
      <c r="V1899" s="143"/>
      <c r="W1899" s="143"/>
      <c r="X1899" s="143"/>
      <c r="Y1899" s="143"/>
      <c r="Z1899" s="143"/>
      <c r="AA1899" s="143"/>
      <c r="AB1899" s="143"/>
      <c r="AC1899" s="143"/>
      <c r="AD1899" s="143"/>
      <c r="AE1899" s="143"/>
      <c r="AF1899" s="143"/>
      <c r="AG1899" s="143"/>
      <c r="AH1899" s="143"/>
      <c r="AI1899" s="143"/>
      <c r="AJ1899" s="143"/>
    </row>
    <row r="1900" spans="1:36" s="144" customFormat="1" ht="21.75" customHeight="1">
      <c r="A1900" s="151"/>
      <c r="B1900" s="219"/>
      <c r="C1900" s="219"/>
      <c r="D1900" s="219"/>
      <c r="E1900" s="225"/>
      <c r="N1900" s="143"/>
      <c r="O1900" s="143"/>
      <c r="P1900" s="143"/>
      <c r="Q1900" s="143"/>
      <c r="R1900" s="143"/>
      <c r="S1900" s="143"/>
      <c r="T1900" s="143"/>
      <c r="U1900" s="143"/>
      <c r="V1900" s="143"/>
      <c r="W1900" s="143"/>
      <c r="X1900" s="143"/>
      <c r="Y1900" s="143"/>
      <c r="Z1900" s="143"/>
      <c r="AA1900" s="143"/>
      <c r="AB1900" s="143"/>
      <c r="AC1900" s="143"/>
      <c r="AD1900" s="143"/>
      <c r="AE1900" s="143"/>
      <c r="AF1900" s="143"/>
      <c r="AG1900" s="143"/>
      <c r="AH1900" s="143"/>
      <c r="AI1900" s="143"/>
      <c r="AJ1900" s="143"/>
    </row>
    <row r="1901" spans="1:36" s="144" customFormat="1" ht="21.75" customHeight="1">
      <c r="A1901" s="151"/>
      <c r="B1901" s="219"/>
      <c r="C1901" s="219"/>
      <c r="D1901" s="219"/>
      <c r="E1901" s="225"/>
      <c r="N1901" s="143"/>
      <c r="O1901" s="143"/>
      <c r="P1901" s="143"/>
      <c r="Q1901" s="143"/>
      <c r="R1901" s="143"/>
      <c r="S1901" s="143"/>
      <c r="T1901" s="143"/>
      <c r="U1901" s="143"/>
      <c r="V1901" s="143"/>
      <c r="W1901" s="143"/>
      <c r="X1901" s="143"/>
      <c r="Y1901" s="143"/>
      <c r="Z1901" s="143"/>
      <c r="AA1901" s="143"/>
      <c r="AB1901" s="143"/>
      <c r="AC1901" s="143"/>
      <c r="AD1901" s="143"/>
      <c r="AE1901" s="143"/>
      <c r="AF1901" s="143"/>
      <c r="AG1901" s="143"/>
      <c r="AH1901" s="143"/>
      <c r="AI1901" s="143"/>
      <c r="AJ1901" s="143"/>
    </row>
    <row r="1902" spans="1:36" s="144" customFormat="1" ht="21.75" customHeight="1">
      <c r="A1902" s="151"/>
      <c r="B1902" s="219"/>
      <c r="C1902" s="219"/>
      <c r="D1902" s="219"/>
      <c r="E1902" s="225"/>
      <c r="N1902" s="143"/>
      <c r="O1902" s="143"/>
      <c r="P1902" s="143"/>
      <c r="Q1902" s="143"/>
      <c r="R1902" s="143"/>
      <c r="S1902" s="143"/>
      <c r="T1902" s="143"/>
      <c r="U1902" s="143"/>
      <c r="V1902" s="143"/>
      <c r="W1902" s="143"/>
      <c r="X1902" s="143"/>
      <c r="Y1902" s="143"/>
      <c r="Z1902" s="143"/>
      <c r="AA1902" s="143"/>
      <c r="AB1902" s="143"/>
      <c r="AC1902" s="143"/>
      <c r="AD1902" s="143"/>
      <c r="AE1902" s="143"/>
      <c r="AF1902" s="143"/>
      <c r="AG1902" s="143"/>
      <c r="AH1902" s="143"/>
      <c r="AI1902" s="143"/>
      <c r="AJ1902" s="143"/>
    </row>
    <row r="1903" spans="1:36" s="144" customFormat="1" ht="21.75" customHeight="1">
      <c r="A1903" s="151"/>
      <c r="B1903" s="219"/>
      <c r="C1903" s="219"/>
      <c r="D1903" s="219"/>
      <c r="E1903" s="225"/>
      <c r="N1903" s="143"/>
      <c r="O1903" s="143"/>
      <c r="P1903" s="143"/>
      <c r="Q1903" s="143"/>
      <c r="R1903" s="143"/>
      <c r="S1903" s="143"/>
      <c r="T1903" s="143"/>
      <c r="U1903" s="143"/>
      <c r="V1903" s="143"/>
      <c r="W1903" s="143"/>
      <c r="X1903" s="143"/>
      <c r="Y1903" s="143"/>
      <c r="Z1903" s="143"/>
      <c r="AA1903" s="143"/>
      <c r="AB1903" s="143"/>
      <c r="AC1903" s="143"/>
      <c r="AD1903" s="143"/>
      <c r="AE1903" s="143"/>
      <c r="AF1903" s="143"/>
      <c r="AG1903" s="143"/>
      <c r="AH1903" s="143"/>
      <c r="AI1903" s="143"/>
      <c r="AJ1903" s="143"/>
    </row>
    <row r="1904" spans="1:36" s="144" customFormat="1" ht="21.75" customHeight="1">
      <c r="A1904" s="151"/>
      <c r="B1904" s="219"/>
      <c r="C1904" s="219"/>
      <c r="D1904" s="219"/>
      <c r="E1904" s="225"/>
      <c r="N1904" s="143"/>
      <c r="O1904" s="143"/>
      <c r="P1904" s="143"/>
      <c r="Q1904" s="143"/>
      <c r="R1904" s="143"/>
      <c r="S1904" s="143"/>
      <c r="T1904" s="143"/>
      <c r="U1904" s="143"/>
      <c r="V1904" s="143"/>
      <c r="W1904" s="143"/>
      <c r="X1904" s="143"/>
      <c r="Y1904" s="143"/>
      <c r="Z1904" s="143"/>
      <c r="AA1904" s="143"/>
      <c r="AB1904" s="143"/>
      <c r="AC1904" s="143"/>
      <c r="AD1904" s="143"/>
      <c r="AE1904" s="143"/>
      <c r="AF1904" s="143"/>
      <c r="AG1904" s="143"/>
      <c r="AH1904" s="143"/>
      <c r="AI1904" s="143"/>
      <c r="AJ1904" s="143"/>
    </row>
    <row r="1905" spans="1:36" s="144" customFormat="1" ht="21.75" customHeight="1">
      <c r="A1905" s="151"/>
      <c r="B1905" s="219"/>
      <c r="C1905" s="219"/>
      <c r="D1905" s="219"/>
      <c r="E1905" s="225"/>
      <c r="N1905" s="143"/>
      <c r="O1905" s="143"/>
      <c r="P1905" s="143"/>
      <c r="Q1905" s="143"/>
      <c r="R1905" s="143"/>
      <c r="S1905" s="143"/>
      <c r="T1905" s="143"/>
      <c r="U1905" s="143"/>
      <c r="V1905" s="143"/>
      <c r="W1905" s="143"/>
      <c r="X1905" s="143"/>
      <c r="Y1905" s="143"/>
      <c r="Z1905" s="143"/>
      <c r="AA1905" s="143"/>
      <c r="AB1905" s="143"/>
      <c r="AC1905" s="143"/>
      <c r="AD1905" s="143"/>
      <c r="AE1905" s="143"/>
      <c r="AF1905" s="143"/>
      <c r="AG1905" s="143"/>
      <c r="AH1905" s="143"/>
      <c r="AI1905" s="143"/>
      <c r="AJ1905" s="143"/>
    </row>
    <row r="1906" spans="1:36" s="144" customFormat="1" ht="21.75" customHeight="1">
      <c r="A1906" s="151"/>
      <c r="B1906" s="219"/>
      <c r="C1906" s="219"/>
      <c r="D1906" s="219"/>
      <c r="E1906" s="225"/>
      <c r="N1906" s="143"/>
      <c r="O1906" s="143"/>
      <c r="P1906" s="143"/>
      <c r="Q1906" s="143"/>
      <c r="R1906" s="143"/>
      <c r="S1906" s="143"/>
      <c r="T1906" s="143"/>
      <c r="U1906" s="143"/>
      <c r="V1906" s="143"/>
      <c r="W1906" s="143"/>
      <c r="X1906" s="143"/>
      <c r="Y1906" s="143"/>
      <c r="Z1906" s="143"/>
      <c r="AA1906" s="143"/>
      <c r="AB1906" s="143"/>
      <c r="AC1906" s="143"/>
      <c r="AD1906" s="143"/>
      <c r="AE1906" s="143"/>
      <c r="AF1906" s="143"/>
      <c r="AG1906" s="143"/>
      <c r="AH1906" s="143"/>
      <c r="AI1906" s="143"/>
      <c r="AJ1906" s="143"/>
    </row>
    <row r="1907" spans="1:36" s="144" customFormat="1" ht="21.75" customHeight="1">
      <c r="A1907" s="151"/>
      <c r="B1907" s="219"/>
      <c r="C1907" s="219"/>
      <c r="D1907" s="219"/>
      <c r="E1907" s="225"/>
      <c r="N1907" s="143"/>
      <c r="O1907" s="143"/>
      <c r="P1907" s="143"/>
      <c r="Q1907" s="143"/>
      <c r="R1907" s="143"/>
      <c r="S1907" s="143"/>
      <c r="T1907" s="143"/>
      <c r="U1907" s="143"/>
      <c r="V1907" s="143"/>
      <c r="W1907" s="143"/>
      <c r="X1907" s="143"/>
      <c r="Y1907" s="143"/>
      <c r="Z1907" s="143"/>
      <c r="AA1907" s="143"/>
      <c r="AB1907" s="143"/>
      <c r="AC1907" s="143"/>
      <c r="AD1907" s="143"/>
      <c r="AE1907" s="143"/>
      <c r="AF1907" s="143"/>
      <c r="AG1907" s="143"/>
      <c r="AH1907" s="143"/>
      <c r="AI1907" s="143"/>
      <c r="AJ1907" s="143"/>
    </row>
    <row r="1908" spans="1:36" s="144" customFormat="1" ht="21.75" customHeight="1">
      <c r="A1908" s="151"/>
      <c r="B1908" s="219"/>
      <c r="C1908" s="219"/>
      <c r="D1908" s="219"/>
      <c r="E1908" s="225"/>
      <c r="N1908" s="143"/>
      <c r="O1908" s="143"/>
      <c r="P1908" s="143"/>
      <c r="Q1908" s="143"/>
      <c r="R1908" s="143"/>
      <c r="S1908" s="143"/>
      <c r="T1908" s="143"/>
      <c r="U1908" s="143"/>
      <c r="V1908" s="143"/>
      <c r="W1908" s="143"/>
      <c r="X1908" s="143"/>
      <c r="Y1908" s="143"/>
      <c r="Z1908" s="143"/>
      <c r="AA1908" s="143"/>
      <c r="AB1908" s="143"/>
      <c r="AC1908" s="143"/>
      <c r="AD1908" s="143"/>
      <c r="AE1908" s="143"/>
      <c r="AF1908" s="143"/>
      <c r="AG1908" s="143"/>
      <c r="AH1908" s="143"/>
      <c r="AI1908" s="143"/>
      <c r="AJ1908" s="143"/>
    </row>
    <row r="1909" spans="1:36" s="144" customFormat="1" ht="21.75" customHeight="1">
      <c r="A1909" s="151"/>
      <c r="B1909" s="219"/>
      <c r="C1909" s="219"/>
      <c r="D1909" s="219"/>
      <c r="E1909" s="225"/>
      <c r="N1909" s="143"/>
      <c r="O1909" s="143"/>
      <c r="P1909" s="143"/>
      <c r="Q1909" s="143"/>
      <c r="R1909" s="143"/>
      <c r="S1909" s="143"/>
      <c r="T1909" s="143"/>
      <c r="U1909" s="143"/>
      <c r="V1909" s="143"/>
      <c r="W1909" s="143"/>
      <c r="X1909" s="143"/>
      <c r="Y1909" s="143"/>
      <c r="Z1909" s="143"/>
      <c r="AA1909" s="143"/>
      <c r="AB1909" s="143"/>
      <c r="AC1909" s="143"/>
      <c r="AD1909" s="143"/>
      <c r="AE1909" s="143"/>
      <c r="AF1909" s="143"/>
      <c r="AG1909" s="143"/>
      <c r="AH1909" s="143"/>
      <c r="AI1909" s="143"/>
      <c r="AJ1909" s="143"/>
    </row>
    <row r="1910" spans="1:36" s="144" customFormat="1" ht="21.75" customHeight="1">
      <c r="A1910" s="151"/>
      <c r="B1910" s="219"/>
      <c r="C1910" s="219"/>
      <c r="D1910" s="219"/>
      <c r="E1910" s="225"/>
      <c r="N1910" s="143"/>
      <c r="O1910" s="143"/>
      <c r="P1910" s="143"/>
      <c r="Q1910" s="143"/>
      <c r="R1910" s="143"/>
      <c r="S1910" s="143"/>
      <c r="T1910" s="143"/>
      <c r="U1910" s="143"/>
      <c r="V1910" s="143"/>
      <c r="W1910" s="143"/>
      <c r="X1910" s="143"/>
      <c r="Y1910" s="143"/>
      <c r="Z1910" s="143"/>
      <c r="AA1910" s="143"/>
      <c r="AB1910" s="143"/>
      <c r="AC1910" s="143"/>
      <c r="AD1910" s="143"/>
      <c r="AE1910" s="143"/>
      <c r="AF1910" s="143"/>
      <c r="AG1910" s="143"/>
      <c r="AH1910" s="143"/>
      <c r="AI1910" s="143"/>
      <c r="AJ1910" s="143"/>
    </row>
    <row r="1911" spans="1:36" s="144" customFormat="1" ht="21.75" customHeight="1">
      <c r="A1911" s="151"/>
      <c r="B1911" s="219"/>
      <c r="C1911" s="219"/>
      <c r="D1911" s="219"/>
      <c r="E1911" s="225"/>
      <c r="N1911" s="143"/>
      <c r="O1911" s="143"/>
      <c r="P1911" s="143"/>
      <c r="Q1911" s="143"/>
      <c r="R1911" s="143"/>
      <c r="S1911" s="143"/>
      <c r="T1911" s="143"/>
      <c r="U1911" s="143"/>
      <c r="V1911" s="143"/>
      <c r="W1911" s="143"/>
      <c r="X1911" s="143"/>
      <c r="Y1911" s="143"/>
      <c r="Z1911" s="143"/>
      <c r="AA1911" s="143"/>
      <c r="AB1911" s="143"/>
      <c r="AC1911" s="143"/>
      <c r="AD1911" s="143"/>
      <c r="AE1911" s="143"/>
      <c r="AF1911" s="143"/>
      <c r="AG1911" s="143"/>
      <c r="AH1911" s="143"/>
      <c r="AI1911" s="143"/>
      <c r="AJ1911" s="143"/>
    </row>
    <row r="1912" spans="1:36" s="144" customFormat="1" ht="21.75" customHeight="1">
      <c r="A1912" s="151"/>
      <c r="B1912" s="219"/>
      <c r="C1912" s="219"/>
      <c r="D1912" s="219"/>
      <c r="E1912" s="225"/>
      <c r="N1912" s="143"/>
      <c r="O1912" s="143"/>
      <c r="P1912" s="143"/>
      <c r="Q1912" s="143"/>
      <c r="R1912" s="143"/>
      <c r="S1912" s="143"/>
      <c r="T1912" s="143"/>
      <c r="U1912" s="143"/>
      <c r="V1912" s="143"/>
      <c r="W1912" s="143"/>
      <c r="X1912" s="143"/>
      <c r="Y1912" s="143"/>
      <c r="Z1912" s="143"/>
      <c r="AA1912" s="143"/>
      <c r="AB1912" s="143"/>
      <c r="AC1912" s="143"/>
      <c r="AD1912" s="143"/>
      <c r="AE1912" s="143"/>
      <c r="AF1912" s="143"/>
      <c r="AG1912" s="143"/>
      <c r="AH1912" s="143"/>
      <c r="AI1912" s="143"/>
      <c r="AJ1912" s="143"/>
    </row>
    <row r="1913" spans="1:36" s="144" customFormat="1" ht="21.75" customHeight="1">
      <c r="A1913" s="151"/>
      <c r="B1913" s="219"/>
      <c r="C1913" s="219"/>
      <c r="D1913" s="219"/>
      <c r="E1913" s="225"/>
      <c r="N1913" s="143"/>
      <c r="O1913" s="143"/>
      <c r="P1913" s="143"/>
      <c r="Q1913" s="143"/>
      <c r="R1913" s="143"/>
      <c r="S1913" s="143"/>
      <c r="T1913" s="143"/>
      <c r="U1913" s="143"/>
      <c r="V1913" s="143"/>
      <c r="W1913" s="143"/>
      <c r="X1913" s="143"/>
      <c r="Y1913" s="143"/>
      <c r="Z1913" s="143"/>
      <c r="AA1913" s="143"/>
      <c r="AB1913" s="143"/>
      <c r="AC1913" s="143"/>
      <c r="AD1913" s="143"/>
      <c r="AE1913" s="143"/>
      <c r="AF1913" s="143"/>
      <c r="AG1913" s="143"/>
      <c r="AH1913" s="143"/>
      <c r="AI1913" s="143"/>
      <c r="AJ1913" s="143"/>
    </row>
    <row r="1914" spans="1:36" s="144" customFormat="1" ht="21.75" customHeight="1">
      <c r="A1914" s="151"/>
      <c r="B1914" s="219"/>
      <c r="C1914" s="219"/>
      <c r="D1914" s="219"/>
      <c r="E1914" s="225"/>
      <c r="N1914" s="143"/>
      <c r="O1914" s="143"/>
      <c r="P1914" s="143"/>
      <c r="Q1914" s="143"/>
      <c r="R1914" s="143"/>
      <c r="S1914" s="143"/>
      <c r="T1914" s="143"/>
      <c r="U1914" s="143"/>
      <c r="V1914" s="143"/>
      <c r="W1914" s="143"/>
      <c r="X1914" s="143"/>
      <c r="Y1914" s="143"/>
      <c r="Z1914" s="143"/>
      <c r="AA1914" s="143"/>
      <c r="AB1914" s="143"/>
      <c r="AC1914" s="143"/>
      <c r="AD1914" s="143"/>
      <c r="AE1914" s="143"/>
      <c r="AF1914" s="143"/>
      <c r="AG1914" s="143"/>
      <c r="AH1914" s="143"/>
      <c r="AI1914" s="143"/>
      <c r="AJ1914" s="143"/>
    </row>
    <row r="1915" spans="1:36" s="144" customFormat="1" ht="21.75" customHeight="1">
      <c r="A1915" s="151"/>
      <c r="B1915" s="219"/>
      <c r="C1915" s="219"/>
      <c r="D1915" s="219"/>
      <c r="E1915" s="225"/>
      <c r="N1915" s="143"/>
      <c r="O1915" s="143"/>
      <c r="P1915" s="143"/>
      <c r="Q1915" s="143"/>
      <c r="R1915" s="143"/>
      <c r="S1915" s="143"/>
      <c r="T1915" s="143"/>
      <c r="U1915" s="143"/>
      <c r="V1915" s="143"/>
      <c r="W1915" s="143"/>
      <c r="X1915" s="143"/>
      <c r="Y1915" s="143"/>
      <c r="Z1915" s="143"/>
      <c r="AA1915" s="143"/>
      <c r="AB1915" s="143"/>
      <c r="AC1915" s="143"/>
      <c r="AD1915" s="143"/>
      <c r="AE1915" s="143"/>
      <c r="AF1915" s="143"/>
      <c r="AG1915" s="143"/>
      <c r="AH1915" s="143"/>
      <c r="AI1915" s="143"/>
      <c r="AJ1915" s="143"/>
    </row>
    <row r="1916" spans="1:36" s="144" customFormat="1" ht="21.75" customHeight="1">
      <c r="A1916" s="151"/>
      <c r="B1916" s="219"/>
      <c r="C1916" s="219"/>
      <c r="D1916" s="219"/>
      <c r="E1916" s="225"/>
      <c r="N1916" s="143"/>
      <c r="O1916" s="143"/>
      <c r="P1916" s="143"/>
      <c r="Q1916" s="143"/>
      <c r="R1916" s="143"/>
      <c r="S1916" s="143"/>
      <c r="T1916" s="143"/>
      <c r="U1916" s="143"/>
      <c r="V1916" s="143"/>
      <c r="W1916" s="143"/>
      <c r="X1916" s="143"/>
      <c r="Y1916" s="143"/>
      <c r="Z1916" s="143"/>
      <c r="AA1916" s="143"/>
      <c r="AB1916" s="143"/>
      <c r="AC1916" s="143"/>
      <c r="AD1916" s="143"/>
      <c r="AE1916" s="143"/>
      <c r="AF1916" s="143"/>
      <c r="AG1916" s="143"/>
      <c r="AH1916" s="143"/>
      <c r="AI1916" s="143"/>
      <c r="AJ1916" s="143"/>
    </row>
    <row r="1917" spans="1:36" s="144" customFormat="1" ht="21.75" customHeight="1">
      <c r="A1917" s="151"/>
      <c r="B1917" s="219"/>
      <c r="C1917" s="219"/>
      <c r="D1917" s="219"/>
      <c r="E1917" s="225"/>
      <c r="N1917" s="143"/>
      <c r="O1917" s="143"/>
      <c r="P1917" s="143"/>
      <c r="Q1917" s="143"/>
      <c r="R1917" s="143"/>
      <c r="S1917" s="143"/>
      <c r="T1917" s="143"/>
      <c r="U1917" s="143"/>
      <c r="V1917" s="143"/>
      <c r="W1917" s="143"/>
      <c r="X1917" s="143"/>
      <c r="Y1917" s="143"/>
      <c r="Z1917" s="143"/>
      <c r="AA1917" s="143"/>
      <c r="AB1917" s="143"/>
      <c r="AC1917" s="143"/>
      <c r="AD1917" s="143"/>
      <c r="AE1917" s="143"/>
      <c r="AF1917" s="143"/>
      <c r="AG1917" s="143"/>
      <c r="AH1917" s="143"/>
      <c r="AI1917" s="143"/>
      <c r="AJ1917" s="143"/>
    </row>
    <row r="1918" spans="1:36" s="144" customFormat="1" ht="21.75" customHeight="1">
      <c r="A1918" s="151"/>
      <c r="B1918" s="219"/>
      <c r="C1918" s="219"/>
      <c r="D1918" s="219"/>
      <c r="E1918" s="225"/>
      <c r="N1918" s="143"/>
      <c r="O1918" s="143"/>
      <c r="P1918" s="143"/>
      <c r="Q1918" s="143"/>
      <c r="R1918" s="143"/>
      <c r="S1918" s="143"/>
      <c r="T1918" s="143"/>
      <c r="U1918" s="143"/>
      <c r="V1918" s="143"/>
      <c r="W1918" s="143"/>
      <c r="X1918" s="143"/>
      <c r="Y1918" s="143"/>
      <c r="Z1918" s="143"/>
      <c r="AA1918" s="143"/>
      <c r="AB1918" s="143"/>
      <c r="AC1918" s="143"/>
      <c r="AD1918" s="143"/>
      <c r="AE1918" s="143"/>
      <c r="AF1918" s="143"/>
      <c r="AG1918" s="143"/>
      <c r="AH1918" s="143"/>
      <c r="AI1918" s="143"/>
      <c r="AJ1918" s="143"/>
    </row>
    <row r="1919" spans="1:36" s="144" customFormat="1" ht="21.75" customHeight="1">
      <c r="A1919" s="151"/>
      <c r="B1919" s="219"/>
      <c r="C1919" s="219"/>
      <c r="D1919" s="219"/>
      <c r="E1919" s="225"/>
      <c r="N1919" s="143"/>
      <c r="O1919" s="143"/>
      <c r="P1919" s="143"/>
      <c r="Q1919" s="143"/>
      <c r="R1919" s="143"/>
      <c r="S1919" s="143"/>
      <c r="T1919" s="143"/>
      <c r="U1919" s="143"/>
      <c r="V1919" s="143"/>
      <c r="W1919" s="143"/>
      <c r="X1919" s="143"/>
      <c r="Y1919" s="143"/>
      <c r="Z1919" s="143"/>
      <c r="AA1919" s="143"/>
      <c r="AB1919" s="143"/>
      <c r="AC1919" s="143"/>
      <c r="AD1919" s="143"/>
      <c r="AE1919" s="143"/>
      <c r="AF1919" s="143"/>
      <c r="AG1919" s="143"/>
      <c r="AH1919" s="143"/>
      <c r="AI1919" s="143"/>
      <c r="AJ1919" s="143"/>
    </row>
    <row r="1920" spans="1:36" s="144" customFormat="1" ht="21.75" customHeight="1">
      <c r="A1920" s="151"/>
      <c r="B1920" s="219"/>
      <c r="C1920" s="219"/>
      <c r="D1920" s="219"/>
      <c r="E1920" s="225"/>
      <c r="N1920" s="143"/>
      <c r="O1920" s="143"/>
      <c r="P1920" s="143"/>
      <c r="Q1920" s="143"/>
      <c r="R1920" s="143"/>
      <c r="S1920" s="143"/>
      <c r="T1920" s="143"/>
      <c r="U1920" s="143"/>
      <c r="V1920" s="143"/>
      <c r="W1920" s="143"/>
      <c r="X1920" s="143"/>
      <c r="Y1920" s="143"/>
      <c r="Z1920" s="143"/>
      <c r="AA1920" s="143"/>
      <c r="AB1920" s="143"/>
      <c r="AC1920" s="143"/>
      <c r="AD1920" s="143"/>
      <c r="AE1920" s="143"/>
      <c r="AF1920" s="143"/>
      <c r="AG1920" s="143"/>
      <c r="AH1920" s="143"/>
      <c r="AI1920" s="143"/>
      <c r="AJ1920" s="143"/>
    </row>
    <row r="1921" spans="1:36" s="144" customFormat="1" ht="21.75" customHeight="1">
      <c r="A1921" s="151"/>
      <c r="B1921" s="219"/>
      <c r="C1921" s="219"/>
      <c r="D1921" s="219"/>
      <c r="E1921" s="225"/>
      <c r="N1921" s="143"/>
      <c r="O1921" s="143"/>
      <c r="P1921" s="143"/>
      <c r="Q1921" s="143"/>
      <c r="R1921" s="143"/>
      <c r="S1921" s="143"/>
      <c r="T1921" s="143"/>
      <c r="U1921" s="143"/>
      <c r="V1921" s="143"/>
      <c r="W1921" s="143"/>
      <c r="X1921" s="143"/>
      <c r="Y1921" s="143"/>
      <c r="Z1921" s="143"/>
      <c r="AA1921" s="143"/>
      <c r="AB1921" s="143"/>
      <c r="AC1921" s="143"/>
      <c r="AD1921" s="143"/>
      <c r="AE1921" s="143"/>
      <c r="AF1921" s="143"/>
      <c r="AG1921" s="143"/>
      <c r="AH1921" s="143"/>
      <c r="AI1921" s="143"/>
      <c r="AJ1921" s="143"/>
    </row>
    <row r="1922" spans="1:36" s="144" customFormat="1" ht="21.75" customHeight="1">
      <c r="A1922" s="151"/>
      <c r="B1922" s="219"/>
      <c r="C1922" s="219"/>
      <c r="D1922" s="219"/>
      <c r="E1922" s="225"/>
      <c r="N1922" s="143"/>
      <c r="O1922" s="143"/>
      <c r="P1922" s="143"/>
      <c r="Q1922" s="143"/>
      <c r="R1922" s="143"/>
      <c r="S1922" s="143"/>
      <c r="T1922" s="143"/>
      <c r="U1922" s="143"/>
      <c r="V1922" s="143"/>
      <c r="W1922" s="143"/>
      <c r="X1922" s="143"/>
      <c r="Y1922" s="143"/>
      <c r="Z1922" s="143"/>
      <c r="AA1922" s="143"/>
      <c r="AB1922" s="143"/>
      <c r="AC1922" s="143"/>
      <c r="AD1922" s="143"/>
      <c r="AE1922" s="143"/>
      <c r="AF1922" s="143"/>
      <c r="AG1922" s="143"/>
      <c r="AH1922" s="143"/>
      <c r="AI1922" s="143"/>
      <c r="AJ1922" s="143"/>
    </row>
    <row r="1923" spans="1:36" s="144" customFormat="1" ht="21.75" customHeight="1">
      <c r="A1923" s="151"/>
      <c r="B1923" s="219"/>
      <c r="C1923" s="219"/>
      <c r="D1923" s="219"/>
      <c r="E1923" s="225"/>
      <c r="N1923" s="143"/>
      <c r="O1923" s="143"/>
      <c r="P1923" s="143"/>
      <c r="Q1923" s="143"/>
      <c r="R1923" s="143"/>
      <c r="S1923" s="143"/>
      <c r="T1923" s="143"/>
      <c r="U1923" s="143"/>
      <c r="V1923" s="143"/>
      <c r="W1923" s="143"/>
      <c r="X1923" s="143"/>
      <c r="Y1923" s="143"/>
      <c r="Z1923" s="143"/>
      <c r="AA1923" s="143"/>
      <c r="AB1923" s="143"/>
      <c r="AC1923" s="143"/>
      <c r="AD1923" s="143"/>
      <c r="AE1923" s="143"/>
      <c r="AF1923" s="143"/>
      <c r="AG1923" s="143"/>
      <c r="AH1923" s="143"/>
      <c r="AI1923" s="143"/>
      <c r="AJ1923" s="143"/>
    </row>
    <row r="1924" spans="1:36" s="144" customFormat="1" ht="21.75" customHeight="1">
      <c r="A1924" s="151"/>
      <c r="B1924" s="219"/>
      <c r="C1924" s="219"/>
      <c r="D1924" s="219"/>
      <c r="E1924" s="225"/>
      <c r="N1924" s="143"/>
      <c r="O1924" s="143"/>
      <c r="P1924" s="143"/>
      <c r="Q1924" s="143"/>
      <c r="R1924" s="143"/>
      <c r="S1924" s="143"/>
      <c r="T1924" s="143"/>
      <c r="U1924" s="143"/>
      <c r="V1924" s="143"/>
      <c r="W1924" s="143"/>
      <c r="X1924" s="143"/>
      <c r="Y1924" s="143"/>
      <c r="Z1924" s="143"/>
      <c r="AA1924" s="143"/>
      <c r="AB1924" s="143"/>
      <c r="AC1924" s="143"/>
      <c r="AD1924" s="143"/>
      <c r="AE1924" s="143"/>
      <c r="AF1924" s="143"/>
      <c r="AG1924" s="143"/>
      <c r="AH1924" s="143"/>
      <c r="AI1924" s="143"/>
      <c r="AJ1924" s="143"/>
    </row>
    <row r="1925" spans="1:36" s="144" customFormat="1" ht="21.75" customHeight="1">
      <c r="A1925" s="151"/>
      <c r="B1925" s="219"/>
      <c r="C1925" s="219"/>
      <c r="D1925" s="219"/>
      <c r="E1925" s="225"/>
      <c r="N1925" s="143"/>
      <c r="O1925" s="143"/>
      <c r="P1925" s="143"/>
      <c r="Q1925" s="143"/>
      <c r="R1925" s="143"/>
      <c r="S1925" s="143"/>
      <c r="T1925" s="143"/>
      <c r="U1925" s="143"/>
      <c r="V1925" s="143"/>
      <c r="W1925" s="143"/>
      <c r="X1925" s="143"/>
      <c r="Y1925" s="143"/>
      <c r="Z1925" s="143"/>
      <c r="AA1925" s="143"/>
      <c r="AB1925" s="143"/>
      <c r="AC1925" s="143"/>
      <c r="AD1925" s="143"/>
      <c r="AE1925" s="143"/>
      <c r="AF1925" s="143"/>
      <c r="AG1925" s="143"/>
      <c r="AH1925" s="143"/>
      <c r="AI1925" s="143"/>
      <c r="AJ1925" s="143"/>
    </row>
    <row r="1926" spans="1:36" s="144" customFormat="1" ht="21.75" customHeight="1">
      <c r="A1926" s="151"/>
      <c r="B1926" s="219"/>
      <c r="C1926" s="219"/>
      <c r="D1926" s="219"/>
      <c r="E1926" s="225"/>
      <c r="N1926" s="143"/>
      <c r="O1926" s="143"/>
      <c r="P1926" s="143"/>
      <c r="Q1926" s="143"/>
      <c r="R1926" s="143"/>
      <c r="S1926" s="143"/>
      <c r="T1926" s="143"/>
      <c r="U1926" s="143"/>
      <c r="V1926" s="143"/>
      <c r="W1926" s="143"/>
      <c r="X1926" s="143"/>
      <c r="Y1926" s="143"/>
      <c r="Z1926" s="143"/>
      <c r="AA1926" s="143"/>
      <c r="AB1926" s="143"/>
      <c r="AC1926" s="143"/>
      <c r="AD1926" s="143"/>
      <c r="AE1926" s="143"/>
      <c r="AF1926" s="143"/>
      <c r="AG1926" s="143"/>
      <c r="AH1926" s="143"/>
      <c r="AI1926" s="143"/>
      <c r="AJ1926" s="143"/>
    </row>
    <row r="1927" spans="1:36" s="144" customFormat="1" ht="21.75" customHeight="1">
      <c r="A1927" s="151"/>
      <c r="B1927" s="219"/>
      <c r="C1927" s="219"/>
      <c r="D1927" s="219"/>
      <c r="E1927" s="225"/>
      <c r="N1927" s="143"/>
      <c r="O1927" s="143"/>
      <c r="P1927" s="143"/>
      <c r="Q1927" s="143"/>
      <c r="R1927" s="143"/>
      <c r="S1927" s="143"/>
      <c r="T1927" s="143"/>
      <c r="U1927" s="143"/>
      <c r="V1927" s="143"/>
      <c r="W1927" s="143"/>
      <c r="X1927" s="143"/>
      <c r="Y1927" s="143"/>
      <c r="Z1927" s="143"/>
      <c r="AA1927" s="143"/>
      <c r="AB1927" s="143"/>
      <c r="AC1927" s="143"/>
      <c r="AD1927" s="143"/>
      <c r="AE1927" s="143"/>
      <c r="AF1927" s="143"/>
      <c r="AG1927" s="143"/>
      <c r="AH1927" s="143"/>
      <c r="AI1927" s="143"/>
      <c r="AJ1927" s="143"/>
    </row>
    <row r="1928" spans="1:36" s="144" customFormat="1" ht="21.75" customHeight="1">
      <c r="A1928" s="151"/>
      <c r="B1928" s="219"/>
      <c r="C1928" s="219"/>
      <c r="D1928" s="219"/>
      <c r="E1928" s="225"/>
      <c r="N1928" s="143"/>
      <c r="O1928" s="143"/>
      <c r="P1928" s="143"/>
      <c r="Q1928" s="143"/>
      <c r="R1928" s="143"/>
      <c r="S1928" s="143"/>
      <c r="T1928" s="143"/>
      <c r="U1928" s="143"/>
      <c r="V1928" s="143"/>
      <c r="W1928" s="143"/>
      <c r="X1928" s="143"/>
      <c r="Y1928" s="143"/>
      <c r="Z1928" s="143"/>
      <c r="AA1928" s="143"/>
      <c r="AB1928" s="143"/>
      <c r="AC1928" s="143"/>
      <c r="AD1928" s="143"/>
      <c r="AE1928" s="143"/>
      <c r="AF1928" s="143"/>
      <c r="AG1928" s="143"/>
      <c r="AH1928" s="143"/>
      <c r="AI1928" s="143"/>
      <c r="AJ1928" s="143"/>
    </row>
    <row r="1929" spans="1:36" s="144" customFormat="1" ht="21.75" customHeight="1">
      <c r="A1929" s="151"/>
      <c r="B1929" s="219"/>
      <c r="C1929" s="219"/>
      <c r="D1929" s="219"/>
      <c r="E1929" s="225"/>
      <c r="N1929" s="143"/>
      <c r="O1929" s="143"/>
      <c r="P1929" s="143"/>
      <c r="Q1929" s="143"/>
      <c r="R1929" s="143"/>
      <c r="S1929" s="143"/>
      <c r="T1929" s="143"/>
      <c r="U1929" s="143"/>
      <c r="V1929" s="143"/>
      <c r="W1929" s="143"/>
      <c r="X1929" s="143"/>
      <c r="Y1929" s="143"/>
      <c r="Z1929" s="143"/>
      <c r="AA1929" s="143"/>
      <c r="AB1929" s="143"/>
      <c r="AC1929" s="143"/>
      <c r="AD1929" s="143"/>
      <c r="AE1929" s="143"/>
      <c r="AF1929" s="143"/>
      <c r="AG1929" s="143"/>
      <c r="AH1929" s="143"/>
      <c r="AI1929" s="143"/>
      <c r="AJ1929" s="143"/>
    </row>
    <row r="1930" spans="1:36" s="144" customFormat="1" ht="21.75" customHeight="1">
      <c r="A1930" s="151"/>
      <c r="B1930" s="219"/>
      <c r="C1930" s="219"/>
      <c r="D1930" s="219"/>
      <c r="E1930" s="225"/>
      <c r="N1930" s="143"/>
      <c r="O1930" s="143"/>
      <c r="P1930" s="143"/>
      <c r="Q1930" s="143"/>
      <c r="R1930" s="143"/>
      <c r="S1930" s="143"/>
      <c r="T1930" s="143"/>
      <c r="U1930" s="143"/>
      <c r="V1930" s="143"/>
      <c r="W1930" s="143"/>
      <c r="X1930" s="143"/>
      <c r="Y1930" s="143"/>
      <c r="Z1930" s="143"/>
      <c r="AA1930" s="143"/>
      <c r="AB1930" s="143"/>
      <c r="AC1930" s="143"/>
      <c r="AD1930" s="143"/>
      <c r="AE1930" s="143"/>
      <c r="AF1930" s="143"/>
      <c r="AG1930" s="143"/>
      <c r="AH1930" s="143"/>
      <c r="AI1930" s="143"/>
      <c r="AJ1930" s="143"/>
    </row>
    <row r="1931" spans="1:36" s="144" customFormat="1" ht="21.75" customHeight="1">
      <c r="A1931" s="151"/>
      <c r="B1931" s="219"/>
      <c r="C1931" s="219"/>
      <c r="D1931" s="219"/>
      <c r="E1931" s="225"/>
      <c r="N1931" s="143"/>
      <c r="O1931" s="143"/>
      <c r="P1931" s="143"/>
      <c r="Q1931" s="143"/>
      <c r="R1931" s="143"/>
      <c r="S1931" s="143"/>
      <c r="T1931" s="143"/>
      <c r="U1931" s="143"/>
      <c r="V1931" s="143"/>
      <c r="W1931" s="143"/>
      <c r="X1931" s="143"/>
      <c r="Y1931" s="143"/>
      <c r="Z1931" s="143"/>
      <c r="AA1931" s="143"/>
      <c r="AB1931" s="143"/>
      <c r="AC1931" s="143"/>
      <c r="AD1931" s="143"/>
      <c r="AE1931" s="143"/>
      <c r="AF1931" s="143"/>
      <c r="AG1931" s="143"/>
      <c r="AH1931" s="143"/>
      <c r="AI1931" s="143"/>
      <c r="AJ1931" s="143"/>
    </row>
    <row r="1932" spans="1:36" s="144" customFormat="1" ht="21.75" customHeight="1">
      <c r="A1932" s="151"/>
      <c r="B1932" s="219"/>
      <c r="C1932" s="219"/>
      <c r="D1932" s="219"/>
      <c r="E1932" s="225"/>
      <c r="N1932" s="143"/>
      <c r="O1932" s="143"/>
      <c r="P1932" s="143"/>
      <c r="Q1932" s="143"/>
      <c r="R1932" s="143"/>
      <c r="S1932" s="143"/>
      <c r="T1932" s="143"/>
      <c r="U1932" s="143"/>
      <c r="V1932" s="143"/>
      <c r="W1932" s="143"/>
      <c r="X1932" s="143"/>
      <c r="Y1932" s="143"/>
      <c r="Z1932" s="143"/>
      <c r="AA1932" s="143"/>
      <c r="AB1932" s="143"/>
      <c r="AC1932" s="143"/>
      <c r="AD1932" s="143"/>
      <c r="AE1932" s="143"/>
      <c r="AF1932" s="143"/>
      <c r="AG1932" s="143"/>
      <c r="AH1932" s="143"/>
      <c r="AI1932" s="143"/>
      <c r="AJ1932" s="143"/>
    </row>
    <row r="1933" spans="1:36" s="144" customFormat="1" ht="21.75" customHeight="1">
      <c r="A1933" s="151"/>
      <c r="B1933" s="219"/>
      <c r="C1933" s="219"/>
      <c r="D1933" s="219"/>
      <c r="E1933" s="225"/>
      <c r="N1933" s="143"/>
      <c r="O1933" s="143"/>
      <c r="P1933" s="143"/>
      <c r="Q1933" s="143"/>
      <c r="R1933" s="143"/>
      <c r="S1933" s="143"/>
      <c r="T1933" s="143"/>
      <c r="U1933" s="143"/>
      <c r="V1933" s="143"/>
      <c r="W1933" s="143"/>
      <c r="X1933" s="143"/>
      <c r="Y1933" s="143"/>
      <c r="Z1933" s="143"/>
      <c r="AA1933" s="143"/>
      <c r="AB1933" s="143"/>
      <c r="AC1933" s="143"/>
      <c r="AD1933" s="143"/>
      <c r="AE1933" s="143"/>
      <c r="AF1933" s="143"/>
      <c r="AG1933" s="143"/>
      <c r="AH1933" s="143"/>
      <c r="AI1933" s="143"/>
      <c r="AJ1933" s="143"/>
    </row>
    <row r="1934" spans="1:36" s="144" customFormat="1" ht="21.75" customHeight="1">
      <c r="A1934" s="151"/>
      <c r="B1934" s="219"/>
      <c r="C1934" s="219"/>
      <c r="D1934" s="219"/>
      <c r="E1934" s="225"/>
      <c r="N1934" s="143"/>
      <c r="O1934" s="143"/>
      <c r="P1934" s="143"/>
      <c r="Q1934" s="143"/>
      <c r="R1934" s="143"/>
      <c r="S1934" s="143"/>
      <c r="T1934" s="143"/>
      <c r="U1934" s="143"/>
      <c r="V1934" s="143"/>
      <c r="W1934" s="143"/>
      <c r="X1934" s="143"/>
      <c r="Y1934" s="143"/>
      <c r="Z1934" s="143"/>
      <c r="AA1934" s="143"/>
      <c r="AB1934" s="143"/>
      <c r="AC1934" s="143"/>
      <c r="AD1934" s="143"/>
      <c r="AE1934" s="143"/>
      <c r="AF1934" s="143"/>
      <c r="AG1934" s="143"/>
      <c r="AH1934" s="143"/>
      <c r="AI1934" s="143"/>
      <c r="AJ1934" s="143"/>
    </row>
    <row r="1935" spans="1:36" s="144" customFormat="1" ht="21.75" customHeight="1">
      <c r="A1935" s="151"/>
      <c r="B1935" s="219"/>
      <c r="C1935" s="219"/>
      <c r="D1935" s="219"/>
      <c r="E1935" s="225"/>
      <c r="N1935" s="143"/>
      <c r="O1935" s="143"/>
      <c r="P1935" s="143"/>
      <c r="Q1935" s="143"/>
      <c r="R1935" s="143"/>
      <c r="S1935" s="143"/>
      <c r="T1935" s="143"/>
      <c r="U1935" s="143"/>
      <c r="V1935" s="143"/>
      <c r="W1935" s="143"/>
      <c r="X1935" s="143"/>
      <c r="Y1935" s="143"/>
      <c r="Z1935" s="143"/>
      <c r="AA1935" s="143"/>
      <c r="AB1935" s="143"/>
      <c r="AC1935" s="143"/>
      <c r="AD1935" s="143"/>
      <c r="AE1935" s="143"/>
      <c r="AF1935" s="143"/>
      <c r="AG1935" s="143"/>
      <c r="AH1935" s="143"/>
      <c r="AI1935" s="143"/>
      <c r="AJ1935" s="143"/>
    </row>
    <row r="1936" spans="1:36" s="144" customFormat="1" ht="21.75" customHeight="1">
      <c r="A1936" s="151"/>
      <c r="B1936" s="219"/>
      <c r="C1936" s="219"/>
      <c r="D1936" s="219"/>
      <c r="E1936" s="225"/>
      <c r="N1936" s="143"/>
      <c r="O1936" s="143"/>
      <c r="P1936" s="143"/>
      <c r="Q1936" s="143"/>
      <c r="R1936" s="143"/>
      <c r="S1936" s="143"/>
      <c r="T1936" s="143"/>
      <c r="U1936" s="143"/>
      <c r="V1936" s="143"/>
      <c r="W1936" s="143"/>
      <c r="X1936" s="143"/>
      <c r="Y1936" s="143"/>
      <c r="Z1936" s="143"/>
      <c r="AA1936" s="143"/>
      <c r="AB1936" s="143"/>
      <c r="AC1936" s="143"/>
      <c r="AD1936" s="143"/>
      <c r="AE1936" s="143"/>
      <c r="AF1936" s="143"/>
      <c r="AG1936" s="143"/>
      <c r="AH1936" s="143"/>
      <c r="AI1936" s="143"/>
      <c r="AJ1936" s="143"/>
    </row>
    <row r="1937" spans="1:36" s="144" customFormat="1" ht="21.75" customHeight="1">
      <c r="A1937" s="151"/>
      <c r="B1937" s="219"/>
      <c r="C1937" s="219"/>
      <c r="D1937" s="219"/>
      <c r="E1937" s="225"/>
      <c r="N1937" s="143"/>
      <c r="O1937" s="143"/>
      <c r="P1937" s="143"/>
      <c r="Q1937" s="143"/>
      <c r="R1937" s="143"/>
      <c r="S1937" s="143"/>
      <c r="T1937" s="143"/>
      <c r="U1937" s="143"/>
      <c r="V1937" s="143"/>
      <c r="W1937" s="143"/>
      <c r="X1937" s="143"/>
      <c r="Y1937" s="143"/>
      <c r="Z1937" s="143"/>
      <c r="AA1937" s="143"/>
      <c r="AB1937" s="143"/>
      <c r="AC1937" s="143"/>
      <c r="AD1937" s="143"/>
      <c r="AE1937" s="143"/>
      <c r="AF1937" s="143"/>
      <c r="AG1937" s="143"/>
      <c r="AH1937" s="143"/>
      <c r="AI1937" s="143"/>
      <c r="AJ1937" s="143"/>
    </row>
    <row r="1938" spans="1:36" s="144" customFormat="1" ht="21.75" customHeight="1">
      <c r="A1938" s="151"/>
      <c r="B1938" s="219"/>
      <c r="C1938" s="219"/>
      <c r="D1938" s="219"/>
      <c r="E1938" s="225"/>
      <c r="N1938" s="143"/>
      <c r="O1938" s="143"/>
      <c r="P1938" s="143"/>
      <c r="Q1938" s="143"/>
      <c r="R1938" s="143"/>
      <c r="S1938" s="143"/>
      <c r="T1938" s="143"/>
      <c r="U1938" s="143"/>
      <c r="V1938" s="143"/>
      <c r="W1938" s="143"/>
      <c r="X1938" s="143"/>
      <c r="Y1938" s="143"/>
      <c r="Z1938" s="143"/>
      <c r="AA1938" s="143"/>
      <c r="AB1938" s="143"/>
      <c r="AC1938" s="143"/>
      <c r="AD1938" s="143"/>
      <c r="AE1938" s="143"/>
      <c r="AF1938" s="143"/>
      <c r="AG1938" s="143"/>
      <c r="AH1938" s="143"/>
      <c r="AI1938" s="143"/>
      <c r="AJ1938" s="143"/>
    </row>
    <row r="1939" spans="1:36" s="144" customFormat="1" ht="21.75" customHeight="1">
      <c r="A1939" s="151"/>
      <c r="B1939" s="219"/>
      <c r="C1939" s="219"/>
      <c r="D1939" s="219"/>
      <c r="E1939" s="225"/>
      <c r="N1939" s="143"/>
      <c r="O1939" s="143"/>
      <c r="P1939" s="143"/>
      <c r="Q1939" s="143"/>
      <c r="R1939" s="143"/>
      <c r="S1939" s="143"/>
      <c r="T1939" s="143"/>
      <c r="U1939" s="143"/>
      <c r="V1939" s="143"/>
      <c r="W1939" s="143"/>
      <c r="X1939" s="143"/>
      <c r="Y1939" s="143"/>
      <c r="Z1939" s="143"/>
      <c r="AA1939" s="143"/>
      <c r="AB1939" s="143"/>
      <c r="AC1939" s="143"/>
      <c r="AD1939" s="143"/>
      <c r="AE1939" s="143"/>
      <c r="AF1939" s="143"/>
      <c r="AG1939" s="143"/>
      <c r="AH1939" s="143"/>
      <c r="AI1939" s="143"/>
      <c r="AJ1939" s="143"/>
    </row>
    <row r="1940" spans="1:36" s="144" customFormat="1" ht="21.75" customHeight="1">
      <c r="A1940" s="151"/>
      <c r="B1940" s="219"/>
      <c r="C1940" s="219"/>
      <c r="D1940" s="219"/>
      <c r="E1940" s="225"/>
      <c r="N1940" s="143"/>
      <c r="O1940" s="143"/>
      <c r="P1940" s="143"/>
      <c r="Q1940" s="143"/>
      <c r="R1940" s="143"/>
      <c r="S1940" s="143"/>
      <c r="T1940" s="143"/>
      <c r="U1940" s="143"/>
      <c r="V1940" s="143"/>
      <c r="W1940" s="143"/>
      <c r="X1940" s="143"/>
      <c r="Y1940" s="143"/>
      <c r="Z1940" s="143"/>
      <c r="AA1940" s="143"/>
      <c r="AB1940" s="143"/>
      <c r="AC1940" s="143"/>
      <c r="AD1940" s="143"/>
      <c r="AE1940" s="143"/>
      <c r="AF1940" s="143"/>
      <c r="AG1940" s="143"/>
      <c r="AH1940" s="143"/>
      <c r="AI1940" s="143"/>
      <c r="AJ1940" s="143"/>
    </row>
    <row r="1941" spans="1:36" s="144" customFormat="1" ht="21.75" customHeight="1">
      <c r="A1941" s="151"/>
      <c r="B1941" s="219"/>
      <c r="C1941" s="219"/>
      <c r="D1941" s="219"/>
      <c r="E1941" s="225"/>
      <c r="N1941" s="143"/>
      <c r="O1941" s="143"/>
      <c r="P1941" s="143"/>
      <c r="Q1941" s="143"/>
      <c r="R1941" s="143"/>
      <c r="S1941" s="143"/>
      <c r="T1941" s="143"/>
      <c r="U1941" s="143"/>
      <c r="V1941" s="143"/>
      <c r="W1941" s="143"/>
      <c r="X1941" s="143"/>
      <c r="Y1941" s="143"/>
      <c r="Z1941" s="143"/>
      <c r="AA1941" s="143"/>
      <c r="AB1941" s="143"/>
      <c r="AC1941" s="143"/>
      <c r="AD1941" s="143"/>
      <c r="AE1941" s="143"/>
      <c r="AF1941" s="143"/>
      <c r="AG1941" s="143"/>
      <c r="AH1941" s="143"/>
      <c r="AI1941" s="143"/>
      <c r="AJ1941" s="143"/>
    </row>
    <row r="1942" spans="1:36" s="144" customFormat="1" ht="21.75" customHeight="1">
      <c r="A1942" s="151"/>
      <c r="B1942" s="219"/>
      <c r="C1942" s="219"/>
      <c r="D1942" s="219"/>
      <c r="E1942" s="225"/>
      <c r="N1942" s="143"/>
      <c r="O1942" s="143"/>
      <c r="P1942" s="143"/>
      <c r="Q1942" s="143"/>
      <c r="R1942" s="143"/>
      <c r="S1942" s="143"/>
      <c r="T1942" s="143"/>
      <c r="U1942" s="143"/>
      <c r="V1942" s="143"/>
      <c r="W1942" s="143"/>
      <c r="X1942" s="143"/>
      <c r="Y1942" s="143"/>
      <c r="Z1942" s="143"/>
      <c r="AA1942" s="143"/>
      <c r="AB1942" s="143"/>
      <c r="AC1942" s="143"/>
      <c r="AD1942" s="143"/>
      <c r="AE1942" s="143"/>
      <c r="AF1942" s="143"/>
      <c r="AG1942" s="143"/>
      <c r="AH1942" s="143"/>
      <c r="AI1942" s="143"/>
      <c r="AJ1942" s="143"/>
    </row>
    <row r="1943" spans="1:36" s="144" customFormat="1" ht="21.75" customHeight="1">
      <c r="A1943" s="151"/>
      <c r="B1943" s="219"/>
      <c r="C1943" s="219"/>
      <c r="D1943" s="219"/>
      <c r="E1943" s="225"/>
      <c r="N1943" s="143"/>
      <c r="O1943" s="143"/>
      <c r="P1943" s="143"/>
      <c r="Q1943" s="143"/>
      <c r="R1943" s="143"/>
      <c r="S1943" s="143"/>
      <c r="T1943" s="143"/>
      <c r="U1943" s="143"/>
      <c r="V1943" s="143"/>
      <c r="W1943" s="143"/>
      <c r="X1943" s="143"/>
      <c r="Y1943" s="143"/>
      <c r="Z1943" s="143"/>
      <c r="AA1943" s="143"/>
      <c r="AB1943" s="143"/>
      <c r="AC1943" s="143"/>
      <c r="AD1943" s="143"/>
      <c r="AE1943" s="143"/>
      <c r="AF1943" s="143"/>
      <c r="AG1943" s="143"/>
      <c r="AH1943" s="143"/>
      <c r="AI1943" s="143"/>
      <c r="AJ1943" s="143"/>
    </row>
    <row r="1944" spans="1:36" s="144" customFormat="1" ht="21.75" customHeight="1">
      <c r="A1944" s="151"/>
      <c r="B1944" s="219"/>
      <c r="C1944" s="219"/>
      <c r="D1944" s="219"/>
      <c r="E1944" s="225"/>
      <c r="N1944" s="143"/>
      <c r="O1944" s="143"/>
      <c r="P1944" s="143"/>
      <c r="Q1944" s="143"/>
      <c r="R1944" s="143"/>
      <c r="S1944" s="143"/>
      <c r="T1944" s="143"/>
      <c r="U1944" s="143"/>
      <c r="V1944" s="143"/>
      <c r="W1944" s="143"/>
      <c r="X1944" s="143"/>
      <c r="Y1944" s="143"/>
      <c r="Z1944" s="143"/>
      <c r="AA1944" s="143"/>
      <c r="AB1944" s="143"/>
      <c r="AC1944" s="143"/>
      <c r="AD1944" s="143"/>
      <c r="AE1944" s="143"/>
      <c r="AF1944" s="143"/>
      <c r="AG1944" s="143"/>
      <c r="AH1944" s="143"/>
      <c r="AI1944" s="143"/>
      <c r="AJ1944" s="143"/>
    </row>
    <row r="1945" spans="1:36" s="144" customFormat="1" ht="21.75" customHeight="1">
      <c r="A1945" s="151"/>
      <c r="B1945" s="219"/>
      <c r="C1945" s="219"/>
      <c r="D1945" s="219"/>
      <c r="E1945" s="225"/>
      <c r="N1945" s="143"/>
      <c r="O1945" s="143"/>
      <c r="P1945" s="143"/>
      <c r="Q1945" s="143"/>
      <c r="R1945" s="143"/>
      <c r="S1945" s="143"/>
      <c r="T1945" s="143"/>
      <c r="U1945" s="143"/>
      <c r="V1945" s="143"/>
      <c r="W1945" s="143"/>
      <c r="X1945" s="143"/>
      <c r="Y1945" s="143"/>
      <c r="Z1945" s="143"/>
      <c r="AA1945" s="143"/>
      <c r="AB1945" s="143"/>
      <c r="AC1945" s="143"/>
      <c r="AD1945" s="143"/>
      <c r="AE1945" s="143"/>
      <c r="AF1945" s="143"/>
      <c r="AG1945" s="143"/>
      <c r="AH1945" s="143"/>
      <c r="AI1945" s="143"/>
      <c r="AJ1945" s="143"/>
    </row>
    <row r="1946" spans="1:36" s="144" customFormat="1" ht="21.75" customHeight="1">
      <c r="A1946" s="151"/>
      <c r="B1946" s="219"/>
      <c r="C1946" s="219"/>
      <c r="D1946" s="219"/>
      <c r="E1946" s="225"/>
      <c r="N1946" s="143"/>
      <c r="O1946" s="143"/>
      <c r="P1946" s="143"/>
      <c r="Q1946" s="143"/>
      <c r="R1946" s="143"/>
      <c r="S1946" s="143"/>
      <c r="T1946" s="143"/>
      <c r="U1946" s="143"/>
      <c r="V1946" s="143"/>
      <c r="W1946" s="143"/>
      <c r="X1946" s="143"/>
      <c r="Y1946" s="143"/>
      <c r="Z1946" s="143"/>
      <c r="AA1946" s="143"/>
      <c r="AB1946" s="143"/>
      <c r="AC1946" s="143"/>
      <c r="AD1946" s="143"/>
      <c r="AE1946" s="143"/>
      <c r="AF1946" s="143"/>
      <c r="AG1946" s="143"/>
      <c r="AH1946" s="143"/>
      <c r="AI1946" s="143"/>
      <c r="AJ1946" s="143"/>
    </row>
    <row r="1947" spans="1:36" s="144" customFormat="1" ht="21.75" customHeight="1">
      <c r="A1947" s="151"/>
      <c r="B1947" s="219"/>
      <c r="C1947" s="219"/>
      <c r="D1947" s="219"/>
      <c r="E1947" s="225"/>
      <c r="N1947" s="143"/>
      <c r="O1947" s="143"/>
      <c r="P1947" s="143"/>
      <c r="Q1947" s="143"/>
      <c r="R1947" s="143"/>
      <c r="S1947" s="143"/>
      <c r="T1947" s="143"/>
      <c r="U1947" s="143"/>
      <c r="V1947" s="143"/>
      <c r="W1947" s="143"/>
      <c r="X1947" s="143"/>
      <c r="Y1947" s="143"/>
      <c r="Z1947" s="143"/>
      <c r="AA1947" s="143"/>
      <c r="AB1947" s="143"/>
      <c r="AC1947" s="143"/>
      <c r="AD1947" s="143"/>
      <c r="AE1947" s="143"/>
      <c r="AF1947" s="143"/>
      <c r="AG1947" s="143"/>
      <c r="AH1947" s="143"/>
      <c r="AI1947" s="143"/>
      <c r="AJ1947" s="143"/>
    </row>
    <row r="1948" spans="1:36" s="144" customFormat="1" ht="21.75" customHeight="1">
      <c r="A1948" s="151"/>
      <c r="B1948" s="219"/>
      <c r="C1948" s="219"/>
      <c r="D1948" s="219"/>
      <c r="E1948" s="225"/>
      <c r="N1948" s="143"/>
      <c r="O1948" s="143"/>
      <c r="P1948" s="143"/>
      <c r="Q1948" s="143"/>
      <c r="R1948" s="143"/>
      <c r="S1948" s="143"/>
      <c r="T1948" s="143"/>
      <c r="U1948" s="143"/>
      <c r="V1948" s="143"/>
      <c r="W1948" s="143"/>
      <c r="X1948" s="143"/>
      <c r="Y1948" s="143"/>
      <c r="Z1948" s="143"/>
      <c r="AA1948" s="143"/>
      <c r="AB1948" s="143"/>
      <c r="AC1948" s="143"/>
      <c r="AD1948" s="143"/>
      <c r="AE1948" s="143"/>
      <c r="AF1948" s="143"/>
      <c r="AG1948" s="143"/>
      <c r="AH1948" s="143"/>
      <c r="AI1948" s="143"/>
      <c r="AJ1948" s="143"/>
    </row>
    <row r="1949" spans="1:36" s="144" customFormat="1" ht="21.75" customHeight="1">
      <c r="A1949" s="151"/>
      <c r="B1949" s="219"/>
      <c r="C1949" s="219"/>
      <c r="D1949" s="219"/>
      <c r="E1949" s="225"/>
      <c r="N1949" s="143"/>
      <c r="O1949" s="143"/>
      <c r="P1949" s="143"/>
      <c r="Q1949" s="143"/>
      <c r="R1949" s="143"/>
      <c r="S1949" s="143"/>
      <c r="T1949" s="143"/>
      <c r="U1949" s="143"/>
      <c r="V1949" s="143"/>
      <c r="W1949" s="143"/>
      <c r="X1949" s="143"/>
      <c r="Y1949" s="143"/>
      <c r="Z1949" s="143"/>
      <c r="AA1949" s="143"/>
      <c r="AB1949" s="143"/>
      <c r="AC1949" s="143"/>
      <c r="AD1949" s="143"/>
      <c r="AE1949" s="143"/>
      <c r="AF1949" s="143"/>
      <c r="AG1949" s="143"/>
      <c r="AH1949" s="143"/>
      <c r="AI1949" s="143"/>
      <c r="AJ1949" s="143"/>
    </row>
    <row r="1950" spans="1:36" s="144" customFormat="1" ht="21.75" customHeight="1">
      <c r="A1950" s="151"/>
      <c r="B1950" s="219"/>
      <c r="C1950" s="219"/>
      <c r="D1950" s="219"/>
      <c r="E1950" s="225"/>
      <c r="N1950" s="143"/>
      <c r="O1950" s="143"/>
      <c r="P1950" s="143"/>
      <c r="Q1950" s="143"/>
      <c r="R1950" s="143"/>
      <c r="S1950" s="143"/>
      <c r="T1950" s="143"/>
      <c r="U1950" s="143"/>
      <c r="V1950" s="143"/>
      <c r="W1950" s="143"/>
      <c r="X1950" s="143"/>
      <c r="Y1950" s="143"/>
      <c r="Z1950" s="143"/>
      <c r="AA1950" s="143"/>
      <c r="AB1950" s="143"/>
      <c r="AC1950" s="143"/>
      <c r="AD1950" s="143"/>
      <c r="AE1950" s="143"/>
      <c r="AF1950" s="143"/>
      <c r="AG1950" s="143"/>
      <c r="AH1950" s="143"/>
      <c r="AI1950" s="143"/>
      <c r="AJ1950" s="143"/>
    </row>
    <row r="1951" spans="1:36" s="144" customFormat="1" ht="21.75" customHeight="1">
      <c r="A1951" s="151"/>
      <c r="B1951" s="219"/>
      <c r="C1951" s="219"/>
      <c r="D1951" s="219"/>
      <c r="E1951" s="225"/>
      <c r="N1951" s="143"/>
      <c r="O1951" s="143"/>
      <c r="P1951" s="143"/>
      <c r="Q1951" s="143"/>
      <c r="R1951" s="143"/>
      <c r="S1951" s="143"/>
      <c r="T1951" s="143"/>
      <c r="U1951" s="143"/>
      <c r="V1951" s="143"/>
      <c r="W1951" s="143"/>
      <c r="X1951" s="143"/>
      <c r="Y1951" s="143"/>
      <c r="Z1951" s="143"/>
      <c r="AA1951" s="143"/>
      <c r="AB1951" s="143"/>
      <c r="AC1951" s="143"/>
      <c r="AD1951" s="143"/>
      <c r="AE1951" s="143"/>
      <c r="AF1951" s="143"/>
      <c r="AG1951" s="143"/>
      <c r="AH1951" s="143"/>
      <c r="AI1951" s="143"/>
      <c r="AJ1951" s="143"/>
    </row>
    <row r="1952" spans="1:36" s="144" customFormat="1" ht="21.75" customHeight="1">
      <c r="A1952" s="151"/>
      <c r="B1952" s="219"/>
      <c r="C1952" s="219"/>
      <c r="D1952" s="219"/>
      <c r="E1952" s="225"/>
      <c r="N1952" s="143"/>
      <c r="O1952" s="143"/>
      <c r="P1952" s="143"/>
      <c r="Q1952" s="143"/>
      <c r="R1952" s="143"/>
      <c r="S1952" s="143"/>
      <c r="T1952" s="143"/>
      <c r="U1952" s="143"/>
      <c r="V1952" s="143"/>
      <c r="W1952" s="143"/>
      <c r="X1952" s="143"/>
      <c r="Y1952" s="143"/>
      <c r="Z1952" s="143"/>
      <c r="AA1952" s="143"/>
      <c r="AB1952" s="143"/>
      <c r="AC1952" s="143"/>
      <c r="AD1952" s="143"/>
      <c r="AE1952" s="143"/>
      <c r="AF1952" s="143"/>
      <c r="AG1952" s="143"/>
      <c r="AH1952" s="143"/>
      <c r="AI1952" s="143"/>
      <c r="AJ1952" s="143"/>
    </row>
    <row r="1953" spans="1:36" s="144" customFormat="1" ht="21.75" customHeight="1">
      <c r="A1953" s="151"/>
      <c r="B1953" s="219"/>
      <c r="C1953" s="219"/>
      <c r="D1953" s="219"/>
      <c r="E1953" s="225"/>
      <c r="N1953" s="143"/>
      <c r="O1953" s="143"/>
      <c r="P1953" s="143"/>
      <c r="Q1953" s="143"/>
      <c r="R1953" s="143"/>
      <c r="S1953" s="143"/>
      <c r="T1953" s="143"/>
      <c r="U1953" s="143"/>
      <c r="V1953" s="143"/>
      <c r="W1953" s="143"/>
      <c r="X1953" s="143"/>
      <c r="Y1953" s="143"/>
      <c r="Z1953" s="143"/>
      <c r="AA1953" s="143"/>
      <c r="AB1953" s="143"/>
      <c r="AC1953" s="143"/>
      <c r="AD1953" s="143"/>
      <c r="AE1953" s="143"/>
      <c r="AF1953" s="143"/>
      <c r="AG1953" s="143"/>
      <c r="AH1953" s="143"/>
      <c r="AI1953" s="143"/>
      <c r="AJ1953" s="143"/>
    </row>
    <row r="1954" spans="1:36" s="144" customFormat="1" ht="21.75" customHeight="1">
      <c r="A1954" s="151"/>
      <c r="B1954" s="219"/>
      <c r="C1954" s="219"/>
      <c r="D1954" s="219"/>
      <c r="E1954" s="225"/>
      <c r="N1954" s="143"/>
      <c r="O1954" s="143"/>
      <c r="P1954" s="143"/>
      <c r="Q1954" s="143"/>
      <c r="R1954" s="143"/>
      <c r="S1954" s="143"/>
      <c r="T1954" s="143"/>
      <c r="U1954" s="143"/>
      <c r="V1954" s="143"/>
      <c r="W1954" s="143"/>
      <c r="X1954" s="143"/>
      <c r="Y1954" s="143"/>
      <c r="Z1954" s="143"/>
      <c r="AA1954" s="143"/>
      <c r="AB1954" s="143"/>
      <c r="AC1954" s="143"/>
      <c r="AD1954" s="143"/>
      <c r="AE1954" s="143"/>
      <c r="AF1954" s="143"/>
      <c r="AG1954" s="143"/>
      <c r="AH1954" s="143"/>
      <c r="AI1954" s="143"/>
      <c r="AJ1954" s="143"/>
    </row>
    <row r="1955" spans="1:36" s="144" customFormat="1" ht="21.75" customHeight="1">
      <c r="A1955" s="151"/>
      <c r="B1955" s="219"/>
      <c r="C1955" s="219"/>
      <c r="D1955" s="219"/>
      <c r="E1955" s="225"/>
      <c r="N1955" s="143"/>
      <c r="O1955" s="143"/>
      <c r="P1955" s="143"/>
      <c r="Q1955" s="143"/>
      <c r="R1955" s="143"/>
      <c r="S1955" s="143"/>
      <c r="T1955" s="143"/>
      <c r="U1955" s="143"/>
      <c r="V1955" s="143"/>
      <c r="W1955" s="143"/>
      <c r="X1955" s="143"/>
      <c r="Y1955" s="143"/>
      <c r="Z1955" s="143"/>
      <c r="AA1955" s="143"/>
      <c r="AB1955" s="143"/>
      <c r="AC1955" s="143"/>
      <c r="AD1955" s="143"/>
      <c r="AE1955" s="143"/>
      <c r="AF1955" s="143"/>
      <c r="AG1955" s="143"/>
      <c r="AH1955" s="143"/>
      <c r="AI1955" s="143"/>
      <c r="AJ1955" s="143"/>
    </row>
    <row r="1956" spans="1:36" s="144" customFormat="1" ht="21.75" customHeight="1">
      <c r="A1956" s="151"/>
      <c r="B1956" s="219"/>
      <c r="C1956" s="219"/>
      <c r="D1956" s="219"/>
      <c r="E1956" s="225"/>
      <c r="N1956" s="143"/>
      <c r="O1956" s="143"/>
      <c r="P1956" s="143"/>
      <c r="Q1956" s="143"/>
      <c r="R1956" s="143"/>
      <c r="S1956" s="143"/>
      <c r="T1956" s="143"/>
      <c r="U1956" s="143"/>
      <c r="V1956" s="143"/>
      <c r="W1956" s="143"/>
      <c r="X1956" s="143"/>
      <c r="Y1956" s="143"/>
      <c r="Z1956" s="143"/>
      <c r="AA1956" s="143"/>
      <c r="AB1956" s="143"/>
      <c r="AC1956" s="143"/>
      <c r="AD1956" s="143"/>
      <c r="AE1956" s="143"/>
      <c r="AF1956" s="143"/>
      <c r="AG1956" s="143"/>
      <c r="AH1956" s="143"/>
      <c r="AI1956" s="143"/>
      <c r="AJ1956" s="143"/>
    </row>
    <row r="1957" spans="1:36" s="144" customFormat="1" ht="21.75" customHeight="1">
      <c r="A1957" s="151"/>
      <c r="B1957" s="219"/>
      <c r="C1957" s="219"/>
      <c r="D1957" s="219"/>
      <c r="E1957" s="225"/>
      <c r="N1957" s="143"/>
      <c r="O1957" s="143"/>
      <c r="P1957" s="143"/>
      <c r="Q1957" s="143"/>
      <c r="R1957" s="143"/>
      <c r="S1957" s="143"/>
      <c r="T1957" s="143"/>
      <c r="U1957" s="143"/>
      <c r="V1957" s="143"/>
      <c r="W1957" s="143"/>
      <c r="X1957" s="143"/>
      <c r="Y1957" s="143"/>
      <c r="Z1957" s="143"/>
      <c r="AA1957" s="143"/>
      <c r="AB1957" s="143"/>
      <c r="AC1957" s="143"/>
      <c r="AD1957" s="143"/>
      <c r="AE1957" s="143"/>
      <c r="AF1957" s="143"/>
      <c r="AG1957" s="143"/>
      <c r="AH1957" s="143"/>
      <c r="AI1957" s="143"/>
      <c r="AJ1957" s="143"/>
    </row>
    <row r="1958" spans="1:36" s="144" customFormat="1" ht="21.75" customHeight="1">
      <c r="A1958" s="151"/>
      <c r="B1958" s="219"/>
      <c r="C1958" s="219"/>
      <c r="D1958" s="219"/>
      <c r="E1958" s="225"/>
      <c r="N1958" s="143"/>
      <c r="O1958" s="143"/>
      <c r="P1958" s="143"/>
      <c r="Q1958" s="143"/>
      <c r="R1958" s="143"/>
      <c r="S1958" s="143"/>
      <c r="T1958" s="143"/>
      <c r="U1958" s="143"/>
      <c r="V1958" s="143"/>
      <c r="W1958" s="143"/>
      <c r="X1958" s="143"/>
      <c r="Y1958" s="143"/>
      <c r="Z1958" s="143"/>
      <c r="AA1958" s="143"/>
      <c r="AB1958" s="143"/>
      <c r="AC1958" s="143"/>
      <c r="AD1958" s="143"/>
      <c r="AE1958" s="143"/>
      <c r="AF1958" s="143"/>
      <c r="AG1958" s="143"/>
      <c r="AH1958" s="143"/>
      <c r="AI1958" s="143"/>
      <c r="AJ1958" s="143"/>
    </row>
    <row r="1959" spans="1:36" s="144" customFormat="1" ht="21.75" customHeight="1">
      <c r="A1959" s="151"/>
      <c r="B1959" s="219"/>
      <c r="C1959" s="219"/>
      <c r="D1959" s="219"/>
      <c r="E1959" s="225"/>
      <c r="N1959" s="143"/>
      <c r="O1959" s="143"/>
      <c r="P1959" s="143"/>
      <c r="Q1959" s="143"/>
      <c r="R1959" s="143"/>
      <c r="S1959" s="143"/>
      <c r="T1959" s="143"/>
      <c r="U1959" s="143"/>
      <c r="V1959" s="143"/>
      <c r="W1959" s="143"/>
      <c r="X1959" s="143"/>
      <c r="Y1959" s="143"/>
      <c r="Z1959" s="143"/>
      <c r="AA1959" s="143"/>
      <c r="AB1959" s="143"/>
      <c r="AC1959" s="143"/>
      <c r="AD1959" s="143"/>
      <c r="AE1959" s="143"/>
      <c r="AF1959" s="143"/>
      <c r="AG1959" s="143"/>
      <c r="AH1959" s="143"/>
      <c r="AI1959" s="143"/>
      <c r="AJ1959" s="143"/>
    </row>
    <row r="1960" spans="1:36" s="144" customFormat="1" ht="21.75" customHeight="1">
      <c r="A1960" s="151"/>
      <c r="B1960" s="219"/>
      <c r="C1960" s="219"/>
      <c r="D1960" s="219"/>
      <c r="E1960" s="225"/>
      <c r="N1960" s="143"/>
      <c r="O1960" s="143"/>
      <c r="P1960" s="143"/>
      <c r="Q1960" s="143"/>
      <c r="R1960" s="143"/>
      <c r="S1960" s="143"/>
      <c r="T1960" s="143"/>
      <c r="U1960" s="143"/>
      <c r="V1960" s="143"/>
      <c r="W1960" s="143"/>
      <c r="X1960" s="143"/>
      <c r="Y1960" s="143"/>
      <c r="Z1960" s="143"/>
      <c r="AA1960" s="143"/>
      <c r="AB1960" s="143"/>
      <c r="AC1960" s="143"/>
      <c r="AD1960" s="143"/>
      <c r="AE1960" s="143"/>
      <c r="AF1960" s="143"/>
      <c r="AG1960" s="143"/>
      <c r="AH1960" s="143"/>
      <c r="AI1960" s="143"/>
      <c r="AJ1960" s="143"/>
    </row>
    <row r="1961" spans="1:36" s="144" customFormat="1" ht="21.75" customHeight="1">
      <c r="A1961" s="151"/>
      <c r="B1961" s="219"/>
      <c r="C1961" s="219"/>
      <c r="D1961" s="219"/>
      <c r="E1961" s="225"/>
      <c r="N1961" s="143"/>
      <c r="O1961" s="143"/>
      <c r="P1961" s="143"/>
      <c r="Q1961" s="143"/>
      <c r="R1961" s="143"/>
      <c r="S1961" s="143"/>
      <c r="T1961" s="143"/>
      <c r="U1961" s="143"/>
      <c r="V1961" s="143"/>
      <c r="W1961" s="143"/>
      <c r="X1961" s="143"/>
      <c r="Y1961" s="143"/>
      <c r="Z1961" s="143"/>
      <c r="AA1961" s="143"/>
      <c r="AB1961" s="143"/>
      <c r="AC1961" s="143"/>
      <c r="AD1961" s="143"/>
      <c r="AE1961" s="143"/>
      <c r="AF1961" s="143"/>
      <c r="AG1961" s="143"/>
      <c r="AH1961" s="143"/>
      <c r="AI1961" s="143"/>
      <c r="AJ1961" s="143"/>
    </row>
    <row r="1962" spans="1:36" s="144" customFormat="1" ht="21.75" customHeight="1">
      <c r="A1962" s="151"/>
      <c r="B1962" s="219"/>
      <c r="C1962" s="219"/>
      <c r="D1962" s="219"/>
      <c r="E1962" s="225"/>
      <c r="N1962" s="143"/>
      <c r="O1962" s="143"/>
      <c r="P1962" s="143"/>
      <c r="Q1962" s="143"/>
      <c r="R1962" s="143"/>
      <c r="S1962" s="143"/>
      <c r="T1962" s="143"/>
      <c r="U1962" s="143"/>
      <c r="V1962" s="143"/>
      <c r="W1962" s="143"/>
      <c r="X1962" s="143"/>
      <c r="Y1962" s="143"/>
      <c r="Z1962" s="143"/>
      <c r="AA1962" s="143"/>
      <c r="AB1962" s="143"/>
      <c r="AC1962" s="143"/>
      <c r="AD1962" s="143"/>
      <c r="AE1962" s="143"/>
      <c r="AF1962" s="143"/>
      <c r="AG1962" s="143"/>
      <c r="AH1962" s="143"/>
      <c r="AI1962" s="143"/>
      <c r="AJ1962" s="143"/>
    </row>
    <row r="1963" spans="1:36" s="144" customFormat="1" ht="21.75" customHeight="1">
      <c r="A1963" s="151"/>
      <c r="B1963" s="219"/>
      <c r="C1963" s="219"/>
      <c r="D1963" s="219"/>
      <c r="E1963" s="225"/>
      <c r="N1963" s="143"/>
      <c r="O1963" s="143"/>
      <c r="P1963" s="143"/>
      <c r="Q1963" s="143"/>
      <c r="R1963" s="143"/>
      <c r="S1963" s="143"/>
      <c r="T1963" s="143"/>
      <c r="U1963" s="143"/>
      <c r="V1963" s="143"/>
      <c r="W1963" s="143"/>
      <c r="X1963" s="143"/>
      <c r="Y1963" s="143"/>
      <c r="Z1963" s="143"/>
      <c r="AA1963" s="143"/>
      <c r="AB1963" s="143"/>
      <c r="AC1963" s="143"/>
      <c r="AD1963" s="143"/>
      <c r="AE1963" s="143"/>
      <c r="AF1963" s="143"/>
      <c r="AG1963" s="143"/>
      <c r="AH1963" s="143"/>
      <c r="AI1963" s="143"/>
      <c r="AJ1963" s="143"/>
    </row>
    <row r="1964" spans="1:36" s="144" customFormat="1" ht="21.75" customHeight="1">
      <c r="A1964" s="151"/>
      <c r="B1964" s="219"/>
      <c r="C1964" s="219"/>
      <c r="D1964" s="219"/>
      <c r="E1964" s="225"/>
      <c r="N1964" s="143"/>
      <c r="O1964" s="143"/>
      <c r="P1964" s="143"/>
      <c r="Q1964" s="143"/>
      <c r="R1964" s="143"/>
      <c r="S1964" s="143"/>
      <c r="T1964" s="143"/>
      <c r="U1964" s="143"/>
      <c r="V1964" s="143"/>
      <c r="W1964" s="143"/>
      <c r="X1964" s="143"/>
      <c r="Y1964" s="143"/>
      <c r="Z1964" s="143"/>
      <c r="AA1964" s="143"/>
      <c r="AB1964" s="143"/>
      <c r="AC1964" s="143"/>
      <c r="AD1964" s="143"/>
      <c r="AE1964" s="143"/>
      <c r="AF1964" s="143"/>
      <c r="AG1964" s="143"/>
      <c r="AH1964" s="143"/>
      <c r="AI1964" s="143"/>
      <c r="AJ1964" s="143"/>
    </row>
    <row r="1965" spans="1:36" s="144" customFormat="1" ht="21.75" customHeight="1">
      <c r="A1965" s="151"/>
      <c r="B1965" s="219"/>
      <c r="C1965" s="219"/>
      <c r="D1965" s="219"/>
      <c r="E1965" s="225"/>
      <c r="N1965" s="143"/>
      <c r="O1965" s="143"/>
      <c r="P1965" s="143"/>
      <c r="Q1965" s="143"/>
      <c r="R1965" s="143"/>
      <c r="S1965" s="143"/>
      <c r="T1965" s="143"/>
      <c r="U1965" s="143"/>
      <c r="V1965" s="143"/>
      <c r="W1965" s="143"/>
      <c r="X1965" s="143"/>
      <c r="Y1965" s="143"/>
      <c r="Z1965" s="143"/>
      <c r="AA1965" s="143"/>
      <c r="AB1965" s="143"/>
      <c r="AC1965" s="143"/>
      <c r="AD1965" s="143"/>
      <c r="AE1965" s="143"/>
      <c r="AF1965" s="143"/>
      <c r="AG1965" s="143"/>
      <c r="AH1965" s="143"/>
      <c r="AI1965" s="143"/>
      <c r="AJ1965" s="143"/>
    </row>
    <row r="1966" spans="1:36" s="144" customFormat="1" ht="21.75" customHeight="1">
      <c r="A1966" s="151"/>
      <c r="B1966" s="219"/>
      <c r="C1966" s="219"/>
      <c r="D1966" s="219"/>
      <c r="E1966" s="225"/>
      <c r="N1966" s="143"/>
      <c r="O1966" s="143"/>
      <c r="P1966" s="143"/>
      <c r="Q1966" s="143"/>
      <c r="R1966" s="143"/>
      <c r="S1966" s="143"/>
      <c r="T1966" s="143"/>
      <c r="U1966" s="143"/>
      <c r="V1966" s="143"/>
      <c r="W1966" s="143"/>
      <c r="X1966" s="143"/>
      <c r="Y1966" s="143"/>
      <c r="Z1966" s="143"/>
      <c r="AA1966" s="143"/>
      <c r="AB1966" s="143"/>
      <c r="AC1966" s="143"/>
      <c r="AD1966" s="143"/>
      <c r="AE1966" s="143"/>
      <c r="AF1966" s="143"/>
      <c r="AG1966" s="143"/>
      <c r="AH1966" s="143"/>
      <c r="AI1966" s="143"/>
      <c r="AJ1966" s="143"/>
    </row>
    <row r="1967" spans="1:36" s="144" customFormat="1" ht="21.75" customHeight="1">
      <c r="A1967" s="151"/>
      <c r="B1967" s="219"/>
      <c r="C1967" s="219"/>
      <c r="D1967" s="219"/>
      <c r="E1967" s="225"/>
      <c r="N1967" s="143"/>
      <c r="O1967" s="143"/>
      <c r="P1967" s="143"/>
      <c r="Q1967" s="143"/>
      <c r="R1967" s="143"/>
      <c r="S1967" s="143"/>
      <c r="T1967" s="143"/>
      <c r="U1967" s="143"/>
      <c r="V1967" s="143"/>
      <c r="W1967" s="143"/>
      <c r="X1967" s="143"/>
      <c r="Y1967" s="143"/>
      <c r="Z1967" s="143"/>
      <c r="AA1967" s="143"/>
      <c r="AB1967" s="143"/>
      <c r="AC1967" s="143"/>
      <c r="AD1967" s="143"/>
      <c r="AE1967" s="143"/>
      <c r="AF1967" s="143"/>
      <c r="AG1967" s="143"/>
      <c r="AH1967" s="143"/>
      <c r="AI1967" s="143"/>
      <c r="AJ1967" s="143"/>
    </row>
    <row r="1968" spans="1:36" s="144" customFormat="1" ht="21.75" customHeight="1">
      <c r="A1968" s="151"/>
      <c r="B1968" s="219"/>
      <c r="C1968" s="219"/>
      <c r="D1968" s="219"/>
      <c r="E1968" s="225"/>
      <c r="N1968" s="143"/>
      <c r="O1968" s="143"/>
      <c r="P1968" s="143"/>
      <c r="Q1968" s="143"/>
      <c r="R1968" s="143"/>
      <c r="S1968" s="143"/>
      <c r="T1968" s="143"/>
      <c r="U1968" s="143"/>
      <c r="V1968" s="143"/>
      <c r="W1968" s="143"/>
      <c r="X1968" s="143"/>
      <c r="Y1968" s="143"/>
      <c r="Z1968" s="143"/>
      <c r="AA1968" s="143"/>
      <c r="AB1968" s="143"/>
      <c r="AC1968" s="143"/>
      <c r="AD1968" s="143"/>
      <c r="AE1968" s="143"/>
      <c r="AF1968" s="143"/>
      <c r="AG1968" s="143"/>
      <c r="AH1968" s="143"/>
      <c r="AI1968" s="143"/>
      <c r="AJ1968" s="143"/>
    </row>
    <row r="1969" spans="1:36" s="144" customFormat="1" ht="21.75" customHeight="1">
      <c r="A1969" s="151"/>
      <c r="B1969" s="219"/>
      <c r="C1969" s="219"/>
      <c r="D1969" s="219"/>
      <c r="E1969" s="225"/>
      <c r="N1969" s="143"/>
      <c r="O1969" s="143"/>
      <c r="P1969" s="143"/>
      <c r="Q1969" s="143"/>
      <c r="R1969" s="143"/>
      <c r="S1969" s="143"/>
      <c r="T1969" s="143"/>
      <c r="U1969" s="143"/>
      <c r="V1969" s="143"/>
      <c r="W1969" s="143"/>
      <c r="X1969" s="143"/>
      <c r="Y1969" s="143"/>
      <c r="Z1969" s="143"/>
      <c r="AA1969" s="143"/>
      <c r="AB1969" s="143"/>
      <c r="AC1969" s="143"/>
      <c r="AD1969" s="143"/>
      <c r="AE1969" s="143"/>
      <c r="AF1969" s="143"/>
      <c r="AG1969" s="143"/>
      <c r="AH1969" s="143"/>
      <c r="AI1969" s="143"/>
      <c r="AJ1969" s="143"/>
    </row>
    <row r="1970" spans="1:36" s="144" customFormat="1" ht="21.75" customHeight="1">
      <c r="A1970" s="151"/>
      <c r="B1970" s="219"/>
      <c r="C1970" s="219"/>
      <c r="D1970" s="219"/>
      <c r="E1970" s="225"/>
      <c r="N1970" s="143"/>
      <c r="O1970" s="143"/>
      <c r="P1970" s="143"/>
      <c r="Q1970" s="143"/>
      <c r="R1970" s="143"/>
      <c r="S1970" s="143"/>
      <c r="T1970" s="143"/>
      <c r="U1970" s="143"/>
      <c r="V1970" s="143"/>
      <c r="W1970" s="143"/>
      <c r="X1970" s="143"/>
      <c r="Y1970" s="143"/>
      <c r="Z1970" s="143"/>
      <c r="AA1970" s="143"/>
      <c r="AB1970" s="143"/>
      <c r="AC1970" s="143"/>
      <c r="AD1970" s="143"/>
      <c r="AE1970" s="143"/>
      <c r="AF1970" s="143"/>
      <c r="AG1970" s="143"/>
      <c r="AH1970" s="143"/>
      <c r="AI1970" s="143"/>
      <c r="AJ1970" s="143"/>
    </row>
    <row r="1971" spans="1:36" s="144" customFormat="1" ht="21.75" customHeight="1">
      <c r="A1971" s="151"/>
      <c r="B1971" s="219"/>
      <c r="C1971" s="219"/>
      <c r="D1971" s="219"/>
      <c r="E1971" s="225"/>
      <c r="N1971" s="143"/>
      <c r="O1971" s="143"/>
      <c r="P1971" s="143"/>
      <c r="Q1971" s="143"/>
      <c r="R1971" s="143"/>
      <c r="S1971" s="143"/>
      <c r="T1971" s="143"/>
      <c r="U1971" s="143"/>
      <c r="V1971" s="143"/>
      <c r="W1971" s="143"/>
      <c r="X1971" s="143"/>
      <c r="Y1971" s="143"/>
      <c r="Z1971" s="143"/>
      <c r="AA1971" s="143"/>
      <c r="AB1971" s="143"/>
      <c r="AC1971" s="143"/>
      <c r="AD1971" s="143"/>
      <c r="AE1971" s="143"/>
      <c r="AF1971" s="143"/>
      <c r="AG1971" s="143"/>
      <c r="AH1971" s="143"/>
      <c r="AI1971" s="143"/>
      <c r="AJ1971" s="143"/>
    </row>
    <row r="1972" spans="1:36" s="144" customFormat="1" ht="21.75" customHeight="1">
      <c r="A1972" s="151"/>
      <c r="B1972" s="219"/>
      <c r="C1972" s="219"/>
      <c r="D1972" s="219"/>
      <c r="E1972" s="225"/>
      <c r="N1972" s="143"/>
      <c r="O1972" s="143"/>
      <c r="P1972" s="143"/>
      <c r="Q1972" s="143"/>
      <c r="R1972" s="143"/>
      <c r="S1972" s="143"/>
      <c r="T1972" s="143"/>
      <c r="U1972" s="143"/>
      <c r="V1972" s="143"/>
      <c r="W1972" s="143"/>
      <c r="X1972" s="143"/>
      <c r="Y1972" s="143"/>
      <c r="Z1972" s="143"/>
      <c r="AA1972" s="143"/>
      <c r="AB1972" s="143"/>
      <c r="AC1972" s="143"/>
      <c r="AD1972" s="143"/>
      <c r="AE1972" s="143"/>
      <c r="AF1972" s="143"/>
      <c r="AG1972" s="143"/>
      <c r="AH1972" s="143"/>
      <c r="AI1972" s="143"/>
      <c r="AJ1972" s="143"/>
    </row>
    <row r="1973" spans="1:36" s="144" customFormat="1" ht="21.75" customHeight="1">
      <c r="A1973" s="151"/>
      <c r="B1973" s="219"/>
      <c r="C1973" s="219"/>
      <c r="D1973" s="219"/>
      <c r="E1973" s="225"/>
      <c r="N1973" s="143"/>
      <c r="O1973" s="143"/>
      <c r="P1973" s="143"/>
      <c r="Q1973" s="143"/>
      <c r="R1973" s="143"/>
      <c r="S1973" s="143"/>
      <c r="T1973" s="143"/>
      <c r="U1973" s="143"/>
      <c r="V1973" s="143"/>
      <c r="W1973" s="143"/>
      <c r="X1973" s="143"/>
      <c r="Y1973" s="143"/>
      <c r="Z1973" s="143"/>
      <c r="AA1973" s="143"/>
      <c r="AB1973" s="143"/>
      <c r="AC1973" s="143"/>
      <c r="AD1973" s="143"/>
      <c r="AE1973" s="143"/>
      <c r="AF1973" s="143"/>
      <c r="AG1973" s="143"/>
      <c r="AH1973" s="143"/>
      <c r="AI1973" s="143"/>
      <c r="AJ1973" s="143"/>
    </row>
    <row r="1974" spans="1:36" s="144" customFormat="1" ht="21.75" customHeight="1">
      <c r="A1974" s="151"/>
      <c r="B1974" s="219"/>
      <c r="C1974" s="219"/>
      <c r="D1974" s="219"/>
      <c r="E1974" s="225"/>
      <c r="N1974" s="143"/>
      <c r="O1974" s="143"/>
      <c r="P1974" s="143"/>
      <c r="Q1974" s="143"/>
      <c r="R1974" s="143"/>
      <c r="S1974" s="143"/>
      <c r="T1974" s="143"/>
      <c r="U1974" s="143"/>
      <c r="V1974" s="143"/>
      <c r="W1974" s="143"/>
      <c r="X1974" s="143"/>
      <c r="Y1974" s="143"/>
      <c r="Z1974" s="143"/>
      <c r="AA1974" s="143"/>
      <c r="AB1974" s="143"/>
      <c r="AC1974" s="143"/>
      <c r="AD1974" s="143"/>
      <c r="AE1974" s="143"/>
      <c r="AF1974" s="143"/>
      <c r="AG1974" s="143"/>
      <c r="AH1974" s="143"/>
      <c r="AI1974" s="143"/>
      <c r="AJ1974" s="143"/>
    </row>
    <row r="1975" spans="1:36" s="144" customFormat="1" ht="21.75" customHeight="1">
      <c r="A1975" s="151"/>
      <c r="B1975" s="219"/>
      <c r="C1975" s="219"/>
      <c r="D1975" s="219"/>
      <c r="E1975" s="225"/>
      <c r="N1975" s="143"/>
      <c r="O1975" s="143"/>
      <c r="P1975" s="143"/>
      <c r="Q1975" s="143"/>
      <c r="R1975" s="143"/>
      <c r="S1975" s="143"/>
      <c r="T1975" s="143"/>
      <c r="U1975" s="143"/>
      <c r="V1975" s="143"/>
      <c r="W1975" s="143"/>
      <c r="X1975" s="143"/>
      <c r="Y1975" s="143"/>
      <c r="Z1975" s="143"/>
      <c r="AA1975" s="143"/>
      <c r="AB1975" s="143"/>
      <c r="AC1975" s="143"/>
      <c r="AD1975" s="143"/>
      <c r="AE1975" s="143"/>
      <c r="AF1975" s="143"/>
      <c r="AG1975" s="143"/>
      <c r="AH1975" s="143"/>
      <c r="AI1975" s="143"/>
      <c r="AJ1975" s="143"/>
    </row>
    <row r="1976" spans="1:36" s="144" customFormat="1" ht="21.75" customHeight="1">
      <c r="A1976" s="151"/>
      <c r="B1976" s="219"/>
      <c r="C1976" s="219"/>
      <c r="D1976" s="219"/>
      <c r="E1976" s="225"/>
      <c r="N1976" s="143"/>
      <c r="O1976" s="143"/>
      <c r="P1976" s="143"/>
      <c r="Q1976" s="143"/>
      <c r="R1976" s="143"/>
      <c r="S1976" s="143"/>
      <c r="T1976" s="143"/>
      <c r="U1976" s="143"/>
      <c r="V1976" s="143"/>
      <c r="W1976" s="143"/>
      <c r="X1976" s="143"/>
      <c r="Y1976" s="143"/>
      <c r="Z1976" s="143"/>
      <c r="AA1976" s="143"/>
      <c r="AB1976" s="143"/>
      <c r="AC1976" s="143"/>
      <c r="AD1976" s="143"/>
      <c r="AE1976" s="143"/>
      <c r="AF1976" s="143"/>
      <c r="AG1976" s="143"/>
      <c r="AH1976" s="143"/>
      <c r="AI1976" s="143"/>
      <c r="AJ1976" s="143"/>
    </row>
    <row r="1977" spans="1:36" s="144" customFormat="1" ht="21.75" customHeight="1">
      <c r="A1977" s="151"/>
      <c r="B1977" s="219"/>
      <c r="C1977" s="219"/>
      <c r="D1977" s="219"/>
      <c r="E1977" s="225"/>
      <c r="N1977" s="143"/>
      <c r="O1977" s="143"/>
      <c r="P1977" s="143"/>
      <c r="Q1977" s="143"/>
      <c r="R1977" s="143"/>
      <c r="S1977" s="143"/>
      <c r="T1977" s="143"/>
      <c r="U1977" s="143"/>
      <c r="V1977" s="143"/>
      <c r="W1977" s="143"/>
      <c r="X1977" s="143"/>
      <c r="Y1977" s="143"/>
      <c r="Z1977" s="143"/>
      <c r="AA1977" s="143"/>
      <c r="AB1977" s="143"/>
      <c r="AC1977" s="143"/>
      <c r="AD1977" s="143"/>
      <c r="AE1977" s="143"/>
      <c r="AF1977" s="143"/>
      <c r="AG1977" s="143"/>
      <c r="AH1977" s="143"/>
      <c r="AI1977" s="143"/>
      <c r="AJ1977" s="143"/>
    </row>
    <row r="1978" spans="1:36" s="144" customFormat="1" ht="21.75" customHeight="1">
      <c r="A1978" s="151"/>
      <c r="B1978" s="219"/>
      <c r="C1978" s="219"/>
      <c r="D1978" s="219"/>
      <c r="E1978" s="225"/>
      <c r="N1978" s="143"/>
      <c r="O1978" s="143"/>
      <c r="P1978" s="143"/>
      <c r="Q1978" s="143"/>
      <c r="R1978" s="143"/>
      <c r="S1978" s="143"/>
      <c r="T1978" s="143"/>
      <c r="U1978" s="143"/>
      <c r="V1978" s="143"/>
      <c r="W1978" s="143"/>
      <c r="X1978" s="143"/>
      <c r="Y1978" s="143"/>
      <c r="Z1978" s="143"/>
      <c r="AA1978" s="143"/>
      <c r="AB1978" s="143"/>
      <c r="AC1978" s="143"/>
      <c r="AD1978" s="143"/>
      <c r="AE1978" s="143"/>
      <c r="AF1978" s="143"/>
      <c r="AG1978" s="143"/>
      <c r="AH1978" s="143"/>
      <c r="AI1978" s="143"/>
      <c r="AJ1978" s="143"/>
    </row>
    <row r="1979" spans="1:36" s="144" customFormat="1" ht="21.75" customHeight="1">
      <c r="A1979" s="151"/>
      <c r="B1979" s="219"/>
      <c r="C1979" s="219"/>
      <c r="D1979" s="219"/>
      <c r="E1979" s="225"/>
      <c r="N1979" s="143"/>
      <c r="O1979" s="143"/>
      <c r="P1979" s="143"/>
      <c r="Q1979" s="143"/>
      <c r="R1979" s="143"/>
      <c r="S1979" s="143"/>
      <c r="T1979" s="143"/>
      <c r="U1979" s="143"/>
      <c r="V1979" s="143"/>
      <c r="W1979" s="143"/>
      <c r="X1979" s="143"/>
      <c r="Y1979" s="143"/>
      <c r="Z1979" s="143"/>
      <c r="AA1979" s="143"/>
      <c r="AB1979" s="143"/>
      <c r="AC1979" s="143"/>
      <c r="AD1979" s="143"/>
      <c r="AE1979" s="143"/>
      <c r="AF1979" s="143"/>
      <c r="AG1979" s="143"/>
      <c r="AH1979" s="143"/>
      <c r="AI1979" s="143"/>
      <c r="AJ1979" s="143"/>
    </row>
    <row r="1980" spans="1:36" s="144" customFormat="1" ht="21.75" customHeight="1">
      <c r="A1980" s="151"/>
      <c r="B1980" s="219"/>
      <c r="C1980" s="219"/>
      <c r="D1980" s="219"/>
      <c r="E1980" s="225"/>
      <c r="N1980" s="143"/>
      <c r="O1980" s="143"/>
      <c r="P1980" s="143"/>
      <c r="Q1980" s="143"/>
      <c r="R1980" s="143"/>
      <c r="S1980" s="143"/>
      <c r="T1980" s="143"/>
      <c r="U1980" s="143"/>
      <c r="V1980" s="143"/>
      <c r="W1980" s="143"/>
      <c r="X1980" s="143"/>
      <c r="Y1980" s="143"/>
      <c r="Z1980" s="143"/>
      <c r="AA1980" s="143"/>
      <c r="AB1980" s="143"/>
      <c r="AC1980" s="143"/>
      <c r="AD1980" s="143"/>
      <c r="AE1980" s="143"/>
      <c r="AF1980" s="143"/>
      <c r="AG1980" s="143"/>
      <c r="AH1980" s="143"/>
      <c r="AI1980" s="143"/>
      <c r="AJ1980" s="143"/>
    </row>
    <row r="1981" spans="1:36" s="144" customFormat="1" ht="21.75" customHeight="1">
      <c r="A1981" s="151"/>
      <c r="B1981" s="219"/>
      <c r="C1981" s="219"/>
      <c r="D1981" s="219"/>
      <c r="E1981" s="225"/>
      <c r="N1981" s="143"/>
      <c r="O1981" s="143"/>
      <c r="P1981" s="143"/>
      <c r="Q1981" s="143"/>
      <c r="R1981" s="143"/>
      <c r="S1981" s="143"/>
      <c r="T1981" s="143"/>
      <c r="U1981" s="143"/>
      <c r="V1981" s="143"/>
      <c r="W1981" s="143"/>
      <c r="X1981" s="143"/>
      <c r="Y1981" s="143"/>
      <c r="Z1981" s="143"/>
      <c r="AA1981" s="143"/>
      <c r="AB1981" s="143"/>
      <c r="AC1981" s="143"/>
      <c r="AD1981" s="143"/>
      <c r="AE1981" s="143"/>
      <c r="AF1981" s="143"/>
      <c r="AG1981" s="143"/>
      <c r="AH1981" s="143"/>
      <c r="AI1981" s="143"/>
      <c r="AJ1981" s="143"/>
    </row>
    <row r="1982" spans="1:36" s="144" customFormat="1" ht="21.75" customHeight="1">
      <c r="A1982" s="151"/>
      <c r="B1982" s="219"/>
      <c r="C1982" s="219"/>
      <c r="D1982" s="219"/>
      <c r="E1982" s="225"/>
      <c r="N1982" s="143"/>
      <c r="O1982" s="143"/>
      <c r="P1982" s="143"/>
      <c r="Q1982" s="143"/>
      <c r="R1982" s="143"/>
      <c r="S1982" s="143"/>
      <c r="T1982" s="143"/>
      <c r="U1982" s="143"/>
      <c r="V1982" s="143"/>
      <c r="W1982" s="143"/>
      <c r="X1982" s="143"/>
      <c r="Y1982" s="143"/>
      <c r="Z1982" s="143"/>
      <c r="AA1982" s="143"/>
      <c r="AB1982" s="143"/>
      <c r="AC1982" s="143"/>
      <c r="AD1982" s="143"/>
      <c r="AE1982" s="143"/>
      <c r="AF1982" s="143"/>
      <c r="AG1982" s="143"/>
      <c r="AH1982" s="143"/>
      <c r="AI1982" s="143"/>
      <c r="AJ1982" s="143"/>
    </row>
    <row r="1983" spans="1:36" s="144" customFormat="1" ht="21.75" customHeight="1">
      <c r="A1983" s="151"/>
      <c r="B1983" s="219"/>
      <c r="C1983" s="219"/>
      <c r="D1983" s="219"/>
      <c r="E1983" s="225"/>
      <c r="N1983" s="143"/>
      <c r="O1983" s="143"/>
      <c r="P1983" s="143"/>
      <c r="Q1983" s="143"/>
      <c r="R1983" s="143"/>
      <c r="S1983" s="143"/>
      <c r="T1983" s="143"/>
      <c r="U1983" s="143"/>
      <c r="V1983" s="143"/>
      <c r="W1983" s="143"/>
      <c r="X1983" s="143"/>
      <c r="Y1983" s="143"/>
      <c r="Z1983" s="143"/>
      <c r="AA1983" s="143"/>
      <c r="AB1983" s="143"/>
      <c r="AC1983" s="143"/>
      <c r="AD1983" s="143"/>
      <c r="AE1983" s="143"/>
      <c r="AF1983" s="143"/>
      <c r="AG1983" s="143"/>
      <c r="AH1983" s="143"/>
      <c r="AI1983" s="143"/>
      <c r="AJ1983" s="143"/>
    </row>
    <row r="1984" spans="1:36" s="144" customFormat="1" ht="21.75" customHeight="1">
      <c r="A1984" s="151"/>
      <c r="B1984" s="219"/>
      <c r="C1984" s="219"/>
      <c r="D1984" s="219"/>
      <c r="E1984" s="225"/>
      <c r="N1984" s="143"/>
      <c r="O1984" s="143"/>
      <c r="P1984" s="143"/>
      <c r="Q1984" s="143"/>
      <c r="R1984" s="143"/>
      <c r="S1984" s="143"/>
      <c r="T1984" s="143"/>
      <c r="U1984" s="143"/>
      <c r="V1984" s="143"/>
      <c r="W1984" s="143"/>
      <c r="X1984" s="143"/>
      <c r="Y1984" s="143"/>
      <c r="Z1984" s="143"/>
      <c r="AA1984" s="143"/>
      <c r="AB1984" s="143"/>
      <c r="AC1984" s="143"/>
      <c r="AD1984" s="143"/>
      <c r="AE1984" s="143"/>
      <c r="AF1984" s="143"/>
      <c r="AG1984" s="143"/>
      <c r="AH1984" s="143"/>
      <c r="AI1984" s="143"/>
      <c r="AJ1984" s="143"/>
    </row>
    <row r="1985" spans="1:36" s="144" customFormat="1" ht="21.75" customHeight="1">
      <c r="A1985" s="151"/>
      <c r="B1985" s="219"/>
      <c r="C1985" s="219"/>
      <c r="D1985" s="219"/>
      <c r="E1985" s="225"/>
      <c r="N1985" s="143"/>
      <c r="O1985" s="143"/>
      <c r="P1985" s="143"/>
      <c r="Q1985" s="143"/>
      <c r="R1985" s="143"/>
      <c r="S1985" s="143"/>
      <c r="T1985" s="143"/>
      <c r="U1985" s="143"/>
      <c r="V1985" s="143"/>
      <c r="W1985" s="143"/>
      <c r="X1985" s="143"/>
      <c r="Y1985" s="143"/>
      <c r="Z1985" s="143"/>
      <c r="AA1985" s="143"/>
      <c r="AB1985" s="143"/>
      <c r="AC1985" s="143"/>
      <c r="AD1985" s="143"/>
      <c r="AE1985" s="143"/>
      <c r="AF1985" s="143"/>
      <c r="AG1985" s="143"/>
      <c r="AH1985" s="143"/>
      <c r="AI1985" s="143"/>
      <c r="AJ1985" s="143"/>
    </row>
    <row r="1986" spans="1:36" s="144" customFormat="1" ht="21.75" customHeight="1">
      <c r="A1986" s="151"/>
      <c r="B1986" s="219"/>
      <c r="C1986" s="219"/>
      <c r="D1986" s="219"/>
      <c r="E1986" s="225"/>
      <c r="N1986" s="143"/>
      <c r="O1986" s="143"/>
      <c r="P1986" s="143"/>
      <c r="Q1986" s="143"/>
      <c r="R1986" s="143"/>
      <c r="S1986" s="143"/>
      <c r="T1986" s="143"/>
      <c r="U1986" s="143"/>
      <c r="V1986" s="143"/>
      <c r="W1986" s="143"/>
      <c r="X1986" s="143"/>
      <c r="Y1986" s="143"/>
      <c r="Z1986" s="143"/>
      <c r="AA1986" s="143"/>
      <c r="AB1986" s="143"/>
      <c r="AC1986" s="143"/>
      <c r="AD1986" s="143"/>
      <c r="AE1986" s="143"/>
      <c r="AF1986" s="143"/>
      <c r="AG1986" s="143"/>
      <c r="AH1986" s="143"/>
      <c r="AI1986" s="143"/>
      <c r="AJ1986" s="143"/>
    </row>
    <row r="1987" spans="1:36" s="144" customFormat="1" ht="21.75" customHeight="1">
      <c r="A1987" s="151"/>
      <c r="B1987" s="219"/>
      <c r="C1987" s="219"/>
      <c r="D1987" s="219"/>
      <c r="E1987" s="225"/>
      <c r="N1987" s="143"/>
      <c r="O1987" s="143"/>
      <c r="P1987" s="143"/>
      <c r="Q1987" s="143"/>
      <c r="R1987" s="143"/>
      <c r="S1987" s="143"/>
      <c r="T1987" s="143"/>
      <c r="U1987" s="143"/>
      <c r="V1987" s="143"/>
      <c r="W1987" s="143"/>
      <c r="X1987" s="143"/>
      <c r="Y1987" s="143"/>
      <c r="Z1987" s="143"/>
      <c r="AA1987" s="143"/>
      <c r="AB1987" s="143"/>
      <c r="AC1987" s="143"/>
      <c r="AD1987" s="143"/>
      <c r="AE1987" s="143"/>
      <c r="AF1987" s="143"/>
      <c r="AG1987" s="143"/>
      <c r="AH1987" s="143"/>
      <c r="AI1987" s="143"/>
      <c r="AJ1987" s="143"/>
    </row>
    <row r="1988" spans="1:36" s="144" customFormat="1" ht="21.75" customHeight="1">
      <c r="A1988" s="151"/>
      <c r="B1988" s="219"/>
      <c r="C1988" s="219"/>
      <c r="D1988" s="219"/>
      <c r="E1988" s="225"/>
      <c r="N1988" s="143"/>
      <c r="O1988" s="143"/>
      <c r="P1988" s="143"/>
      <c r="Q1988" s="143"/>
      <c r="R1988" s="143"/>
      <c r="S1988" s="143"/>
      <c r="T1988" s="143"/>
      <c r="U1988" s="143"/>
      <c r="V1988" s="143"/>
      <c r="W1988" s="143"/>
      <c r="X1988" s="143"/>
      <c r="Y1988" s="143"/>
      <c r="Z1988" s="143"/>
      <c r="AA1988" s="143"/>
      <c r="AB1988" s="143"/>
      <c r="AC1988" s="143"/>
      <c r="AD1988" s="143"/>
      <c r="AE1988" s="143"/>
      <c r="AF1988" s="143"/>
      <c r="AG1988" s="143"/>
      <c r="AH1988" s="143"/>
      <c r="AI1988" s="143"/>
      <c r="AJ1988" s="143"/>
    </row>
    <row r="1989" spans="1:36" s="144" customFormat="1" ht="21.75" customHeight="1">
      <c r="A1989" s="151"/>
      <c r="B1989" s="219"/>
      <c r="C1989" s="219"/>
      <c r="D1989" s="219"/>
      <c r="E1989" s="225"/>
      <c r="N1989" s="143"/>
      <c r="O1989" s="143"/>
      <c r="P1989" s="143"/>
      <c r="Q1989" s="143"/>
      <c r="R1989" s="143"/>
      <c r="S1989" s="143"/>
      <c r="T1989" s="143"/>
      <c r="U1989" s="143"/>
      <c r="V1989" s="143"/>
      <c r="W1989" s="143"/>
      <c r="X1989" s="143"/>
      <c r="Y1989" s="143"/>
      <c r="Z1989" s="143"/>
      <c r="AA1989" s="143"/>
      <c r="AB1989" s="143"/>
      <c r="AC1989" s="143"/>
      <c r="AD1989" s="143"/>
      <c r="AE1989" s="143"/>
      <c r="AF1989" s="143"/>
      <c r="AG1989" s="143"/>
      <c r="AH1989" s="143"/>
      <c r="AI1989" s="143"/>
      <c r="AJ1989" s="143"/>
    </row>
    <row r="1990" spans="1:36" s="144" customFormat="1" ht="21.75" customHeight="1">
      <c r="A1990" s="151"/>
      <c r="B1990" s="219"/>
      <c r="C1990" s="219"/>
      <c r="D1990" s="219"/>
      <c r="E1990" s="225"/>
      <c r="N1990" s="143"/>
      <c r="O1990" s="143"/>
      <c r="P1990" s="143"/>
      <c r="Q1990" s="143"/>
      <c r="R1990" s="143"/>
      <c r="S1990" s="143"/>
      <c r="T1990" s="143"/>
      <c r="U1990" s="143"/>
      <c r="V1990" s="143"/>
      <c r="W1990" s="143"/>
      <c r="X1990" s="143"/>
      <c r="Y1990" s="143"/>
      <c r="Z1990" s="143"/>
      <c r="AA1990" s="143"/>
      <c r="AB1990" s="143"/>
      <c r="AC1990" s="143"/>
      <c r="AD1990" s="143"/>
      <c r="AE1990" s="143"/>
      <c r="AF1990" s="143"/>
      <c r="AG1990" s="143"/>
      <c r="AH1990" s="143"/>
      <c r="AI1990" s="143"/>
      <c r="AJ1990" s="143"/>
    </row>
    <row r="1991" spans="1:36" s="144" customFormat="1" ht="21.75" customHeight="1">
      <c r="A1991" s="151"/>
      <c r="B1991" s="219"/>
      <c r="C1991" s="219"/>
      <c r="D1991" s="219"/>
      <c r="E1991" s="225"/>
      <c r="N1991" s="143"/>
      <c r="O1991" s="143"/>
      <c r="P1991" s="143"/>
      <c r="Q1991" s="143"/>
      <c r="R1991" s="143"/>
      <c r="S1991" s="143"/>
      <c r="T1991" s="143"/>
      <c r="U1991" s="143"/>
      <c r="V1991" s="143"/>
      <c r="W1991" s="143"/>
      <c r="X1991" s="143"/>
      <c r="Y1991" s="143"/>
      <c r="Z1991" s="143"/>
      <c r="AA1991" s="143"/>
      <c r="AB1991" s="143"/>
      <c r="AC1991" s="143"/>
      <c r="AD1991" s="143"/>
      <c r="AE1991" s="143"/>
      <c r="AF1991" s="143"/>
      <c r="AG1991" s="143"/>
      <c r="AH1991" s="143"/>
      <c r="AI1991" s="143"/>
      <c r="AJ1991" s="143"/>
    </row>
    <row r="1992" spans="1:36" s="144" customFormat="1" ht="21.75" customHeight="1">
      <c r="A1992" s="151"/>
      <c r="B1992" s="219"/>
      <c r="C1992" s="219"/>
      <c r="D1992" s="219"/>
      <c r="E1992" s="225"/>
      <c r="N1992" s="143"/>
      <c r="O1992" s="143"/>
      <c r="P1992" s="143"/>
      <c r="Q1992" s="143"/>
      <c r="R1992" s="143"/>
      <c r="S1992" s="143"/>
      <c r="T1992" s="143"/>
      <c r="U1992" s="143"/>
      <c r="V1992" s="143"/>
      <c r="W1992" s="143"/>
      <c r="X1992" s="143"/>
      <c r="Y1992" s="143"/>
      <c r="Z1992" s="143"/>
      <c r="AA1992" s="143"/>
      <c r="AB1992" s="143"/>
      <c r="AC1992" s="143"/>
      <c r="AD1992" s="143"/>
      <c r="AE1992" s="143"/>
      <c r="AF1992" s="143"/>
      <c r="AG1992" s="143"/>
      <c r="AH1992" s="143"/>
      <c r="AI1992" s="143"/>
      <c r="AJ1992" s="143"/>
    </row>
    <row r="1993" spans="1:36" s="144" customFormat="1" ht="21.75" customHeight="1">
      <c r="A1993" s="151"/>
      <c r="B1993" s="219"/>
      <c r="C1993" s="219"/>
      <c r="D1993" s="219"/>
      <c r="E1993" s="225"/>
      <c r="N1993" s="143"/>
      <c r="O1993" s="143"/>
      <c r="P1993" s="143"/>
      <c r="Q1993" s="143"/>
      <c r="R1993" s="143"/>
      <c r="S1993" s="143"/>
      <c r="T1993" s="143"/>
      <c r="U1993" s="143"/>
      <c r="V1993" s="143"/>
      <c r="W1993" s="143"/>
      <c r="X1993" s="143"/>
      <c r="Y1993" s="143"/>
      <c r="Z1993" s="143"/>
      <c r="AA1993" s="143"/>
      <c r="AB1993" s="143"/>
      <c r="AC1993" s="143"/>
      <c r="AD1993" s="143"/>
      <c r="AE1993" s="143"/>
      <c r="AF1993" s="143"/>
      <c r="AG1993" s="143"/>
      <c r="AH1993" s="143"/>
      <c r="AI1993" s="143"/>
      <c r="AJ1993" s="143"/>
    </row>
    <row r="1994" spans="1:36" s="144" customFormat="1" ht="21.75" customHeight="1">
      <c r="A1994" s="151"/>
      <c r="B1994" s="219"/>
      <c r="C1994" s="219"/>
      <c r="D1994" s="219"/>
      <c r="E1994" s="225"/>
      <c r="N1994" s="143"/>
      <c r="O1994" s="143"/>
      <c r="P1994" s="143"/>
      <c r="Q1994" s="143"/>
      <c r="R1994" s="143"/>
      <c r="S1994" s="143"/>
      <c r="T1994" s="143"/>
      <c r="U1994" s="143"/>
      <c r="V1994" s="143"/>
      <c r="W1994" s="143"/>
      <c r="X1994" s="143"/>
      <c r="Y1994" s="143"/>
      <c r="Z1994" s="143"/>
      <c r="AA1994" s="143"/>
      <c r="AB1994" s="143"/>
      <c r="AC1994" s="143"/>
      <c r="AD1994" s="143"/>
      <c r="AE1994" s="143"/>
      <c r="AF1994" s="143"/>
      <c r="AG1994" s="143"/>
      <c r="AH1994" s="143"/>
      <c r="AI1994" s="143"/>
      <c r="AJ1994" s="143"/>
    </row>
    <row r="1995" spans="1:36" s="144" customFormat="1" ht="21.75" customHeight="1">
      <c r="A1995" s="151"/>
      <c r="B1995" s="219"/>
      <c r="C1995" s="219"/>
      <c r="D1995" s="219"/>
      <c r="E1995" s="225"/>
      <c r="N1995" s="143"/>
      <c r="O1995" s="143"/>
      <c r="P1995" s="143"/>
      <c r="Q1995" s="143"/>
      <c r="R1995" s="143"/>
      <c r="S1995" s="143"/>
      <c r="T1995" s="143"/>
      <c r="U1995" s="143"/>
      <c r="V1995" s="143"/>
      <c r="W1995" s="143"/>
      <c r="X1995" s="143"/>
      <c r="Y1995" s="143"/>
      <c r="Z1995" s="143"/>
      <c r="AA1995" s="143"/>
      <c r="AB1995" s="143"/>
      <c r="AC1995" s="143"/>
      <c r="AD1995" s="143"/>
      <c r="AE1995" s="143"/>
      <c r="AF1995" s="143"/>
      <c r="AG1995" s="143"/>
      <c r="AH1995" s="143"/>
      <c r="AI1995" s="143"/>
      <c r="AJ1995" s="143"/>
    </row>
    <row r="1996" spans="1:36" s="144" customFormat="1" ht="21.75" customHeight="1">
      <c r="A1996" s="151"/>
      <c r="B1996" s="219"/>
      <c r="C1996" s="219"/>
      <c r="D1996" s="219"/>
      <c r="E1996" s="225"/>
      <c r="N1996" s="143"/>
      <c r="O1996" s="143"/>
      <c r="P1996" s="143"/>
      <c r="Q1996" s="143"/>
      <c r="R1996" s="143"/>
      <c r="S1996" s="143"/>
      <c r="T1996" s="143"/>
      <c r="U1996" s="143"/>
      <c r="V1996" s="143"/>
      <c r="W1996" s="143"/>
      <c r="X1996" s="143"/>
      <c r="Y1996" s="143"/>
      <c r="Z1996" s="143"/>
      <c r="AA1996" s="143"/>
      <c r="AB1996" s="143"/>
      <c r="AC1996" s="143"/>
      <c r="AD1996" s="143"/>
      <c r="AE1996" s="143"/>
      <c r="AF1996" s="143"/>
      <c r="AG1996" s="143"/>
      <c r="AH1996" s="143"/>
      <c r="AI1996" s="143"/>
      <c r="AJ1996" s="143"/>
    </row>
    <row r="1997" spans="1:36" s="144" customFormat="1" ht="21.75" customHeight="1">
      <c r="A1997" s="151"/>
      <c r="B1997" s="219"/>
      <c r="C1997" s="219"/>
      <c r="D1997" s="219"/>
      <c r="E1997" s="225"/>
      <c r="N1997" s="143"/>
      <c r="O1997" s="143"/>
      <c r="P1997" s="143"/>
      <c r="Q1997" s="143"/>
      <c r="R1997" s="143"/>
      <c r="S1997" s="143"/>
      <c r="T1997" s="143"/>
      <c r="U1997" s="143"/>
      <c r="V1997" s="143"/>
      <c r="W1997" s="143"/>
      <c r="X1997" s="143"/>
      <c r="Y1997" s="143"/>
      <c r="Z1997" s="143"/>
      <c r="AA1997" s="143"/>
      <c r="AB1997" s="143"/>
      <c r="AC1997" s="143"/>
      <c r="AD1997" s="143"/>
      <c r="AE1997" s="143"/>
      <c r="AF1997" s="143"/>
      <c r="AG1997" s="143"/>
      <c r="AH1997" s="143"/>
      <c r="AI1997" s="143"/>
      <c r="AJ1997" s="143"/>
    </row>
    <row r="1998" spans="1:36" s="144" customFormat="1" ht="21.75" customHeight="1">
      <c r="A1998" s="151"/>
      <c r="B1998" s="219"/>
      <c r="C1998" s="219"/>
      <c r="D1998" s="219"/>
      <c r="E1998" s="225"/>
      <c r="N1998" s="143"/>
      <c r="O1998" s="143"/>
      <c r="P1998" s="143"/>
      <c r="Q1998" s="143"/>
      <c r="R1998" s="143"/>
      <c r="S1998" s="143"/>
      <c r="T1998" s="143"/>
      <c r="U1998" s="143"/>
      <c r="V1998" s="143"/>
      <c r="W1998" s="143"/>
      <c r="X1998" s="143"/>
      <c r="Y1998" s="143"/>
      <c r="Z1998" s="143"/>
      <c r="AA1998" s="143"/>
      <c r="AB1998" s="143"/>
      <c r="AC1998" s="143"/>
      <c r="AD1998" s="143"/>
      <c r="AE1998" s="143"/>
      <c r="AF1998" s="143"/>
      <c r="AG1998" s="143"/>
      <c r="AH1998" s="143"/>
      <c r="AI1998" s="143"/>
      <c r="AJ1998" s="143"/>
    </row>
    <row r="1999" spans="1:36" s="144" customFormat="1" ht="21.75" customHeight="1">
      <c r="A1999" s="151"/>
      <c r="B1999" s="219"/>
      <c r="C1999" s="219"/>
      <c r="D1999" s="219"/>
      <c r="E1999" s="225"/>
      <c r="N1999" s="143"/>
      <c r="O1999" s="143"/>
      <c r="P1999" s="143"/>
      <c r="Q1999" s="143"/>
      <c r="R1999" s="143"/>
      <c r="S1999" s="143"/>
      <c r="T1999" s="143"/>
      <c r="U1999" s="143"/>
      <c r="V1999" s="143"/>
      <c r="W1999" s="143"/>
      <c r="X1999" s="143"/>
      <c r="Y1999" s="143"/>
      <c r="Z1999" s="143"/>
      <c r="AA1999" s="143"/>
      <c r="AB1999" s="143"/>
      <c r="AC1999" s="143"/>
      <c r="AD1999" s="143"/>
      <c r="AE1999" s="143"/>
      <c r="AF1999" s="143"/>
      <c r="AG1999" s="143"/>
      <c r="AH1999" s="143"/>
      <c r="AI1999" s="143"/>
      <c r="AJ1999" s="143"/>
    </row>
    <row r="2000" spans="1:36" s="144" customFormat="1" ht="21.75" customHeight="1">
      <c r="A2000" s="151"/>
      <c r="B2000" s="219"/>
      <c r="C2000" s="219"/>
      <c r="D2000" s="219"/>
      <c r="E2000" s="225"/>
      <c r="N2000" s="143"/>
      <c r="O2000" s="143"/>
      <c r="P2000" s="143"/>
      <c r="Q2000" s="143"/>
      <c r="R2000" s="143"/>
      <c r="S2000" s="143"/>
      <c r="T2000" s="143"/>
      <c r="U2000" s="143"/>
      <c r="V2000" s="143"/>
      <c r="W2000" s="143"/>
      <c r="X2000" s="143"/>
      <c r="Y2000" s="143"/>
      <c r="Z2000" s="143"/>
      <c r="AA2000" s="143"/>
      <c r="AB2000" s="143"/>
      <c r="AC2000" s="143"/>
      <c r="AD2000" s="143"/>
      <c r="AE2000" s="143"/>
      <c r="AF2000" s="143"/>
      <c r="AG2000" s="143"/>
      <c r="AH2000" s="143"/>
      <c r="AI2000" s="143"/>
      <c r="AJ2000" s="143"/>
    </row>
    <row r="2001" spans="1:36" s="144" customFormat="1" ht="21.75" customHeight="1">
      <c r="A2001" s="151"/>
      <c r="B2001" s="219"/>
      <c r="C2001" s="219"/>
      <c r="D2001" s="219"/>
      <c r="E2001" s="225"/>
      <c r="N2001" s="143"/>
      <c r="O2001" s="143"/>
      <c r="P2001" s="143"/>
      <c r="Q2001" s="143"/>
      <c r="R2001" s="143"/>
      <c r="S2001" s="143"/>
      <c r="T2001" s="143"/>
      <c r="U2001" s="143"/>
      <c r="V2001" s="143"/>
      <c r="W2001" s="143"/>
      <c r="X2001" s="143"/>
      <c r="Y2001" s="143"/>
      <c r="Z2001" s="143"/>
      <c r="AA2001" s="143"/>
      <c r="AB2001" s="143"/>
      <c r="AC2001" s="143"/>
      <c r="AD2001" s="143"/>
      <c r="AE2001" s="143"/>
      <c r="AF2001" s="143"/>
      <c r="AG2001" s="143"/>
      <c r="AH2001" s="143"/>
      <c r="AI2001" s="143"/>
      <c r="AJ2001" s="143"/>
    </row>
    <row r="2002" spans="1:36" s="144" customFormat="1" ht="21.75" customHeight="1">
      <c r="A2002" s="151"/>
      <c r="B2002" s="219"/>
      <c r="C2002" s="219"/>
      <c r="D2002" s="219"/>
      <c r="E2002" s="225"/>
      <c r="N2002" s="143"/>
      <c r="O2002" s="143"/>
      <c r="P2002" s="143"/>
      <c r="Q2002" s="143"/>
      <c r="R2002" s="143"/>
      <c r="S2002" s="143"/>
      <c r="T2002" s="143"/>
      <c r="U2002" s="143"/>
      <c r="V2002" s="143"/>
      <c r="W2002" s="143"/>
      <c r="X2002" s="143"/>
      <c r="Y2002" s="143"/>
      <c r="Z2002" s="143"/>
      <c r="AA2002" s="143"/>
      <c r="AB2002" s="143"/>
      <c r="AC2002" s="143"/>
      <c r="AD2002" s="143"/>
      <c r="AE2002" s="143"/>
      <c r="AF2002" s="143"/>
      <c r="AG2002" s="143"/>
      <c r="AH2002" s="143"/>
      <c r="AI2002" s="143"/>
      <c r="AJ2002" s="143"/>
    </row>
    <row r="2003" spans="1:36" s="144" customFormat="1" ht="21.75" customHeight="1">
      <c r="A2003" s="151"/>
      <c r="B2003" s="219"/>
      <c r="C2003" s="219"/>
      <c r="D2003" s="219"/>
      <c r="E2003" s="225"/>
      <c r="N2003" s="143"/>
      <c r="O2003" s="143"/>
      <c r="P2003" s="143"/>
      <c r="Q2003" s="143"/>
      <c r="R2003" s="143"/>
      <c r="S2003" s="143"/>
      <c r="T2003" s="143"/>
      <c r="U2003" s="143"/>
      <c r="V2003" s="143"/>
      <c r="W2003" s="143"/>
      <c r="X2003" s="143"/>
      <c r="Y2003" s="143"/>
      <c r="Z2003" s="143"/>
      <c r="AA2003" s="143"/>
      <c r="AB2003" s="143"/>
      <c r="AC2003" s="143"/>
      <c r="AD2003" s="143"/>
      <c r="AE2003" s="143"/>
      <c r="AF2003" s="143"/>
      <c r="AG2003" s="143"/>
      <c r="AH2003" s="143"/>
      <c r="AI2003" s="143"/>
      <c r="AJ2003" s="143"/>
    </row>
    <row r="2004" spans="1:36" s="144" customFormat="1" ht="21.75" customHeight="1">
      <c r="A2004" s="151"/>
      <c r="B2004" s="219"/>
      <c r="C2004" s="219"/>
      <c r="D2004" s="219"/>
      <c r="E2004" s="225"/>
      <c r="N2004" s="143"/>
      <c r="O2004" s="143"/>
      <c r="P2004" s="143"/>
      <c r="Q2004" s="143"/>
      <c r="R2004" s="143"/>
      <c r="S2004" s="143"/>
      <c r="T2004" s="143"/>
      <c r="U2004" s="143"/>
      <c r="V2004" s="143"/>
      <c r="W2004" s="143"/>
      <c r="X2004" s="143"/>
      <c r="Y2004" s="143"/>
      <c r="Z2004" s="143"/>
      <c r="AA2004" s="143"/>
      <c r="AB2004" s="143"/>
      <c r="AC2004" s="143"/>
      <c r="AD2004" s="143"/>
      <c r="AE2004" s="143"/>
      <c r="AF2004" s="143"/>
      <c r="AG2004" s="143"/>
      <c r="AH2004" s="143"/>
      <c r="AI2004" s="143"/>
      <c r="AJ2004" s="143"/>
    </row>
    <row r="2005" spans="1:36" s="144" customFormat="1" ht="21.75" customHeight="1">
      <c r="A2005" s="151"/>
      <c r="B2005" s="219"/>
      <c r="C2005" s="219"/>
      <c r="D2005" s="219"/>
      <c r="E2005" s="225"/>
      <c r="N2005" s="143"/>
      <c r="O2005" s="143"/>
      <c r="P2005" s="143"/>
      <c r="Q2005" s="143"/>
      <c r="R2005" s="143"/>
      <c r="S2005" s="143"/>
      <c r="T2005" s="143"/>
      <c r="U2005" s="143"/>
      <c r="V2005" s="143"/>
      <c r="W2005" s="143"/>
      <c r="X2005" s="143"/>
      <c r="Y2005" s="143"/>
      <c r="Z2005" s="143"/>
      <c r="AA2005" s="143"/>
      <c r="AB2005" s="143"/>
      <c r="AC2005" s="143"/>
      <c r="AD2005" s="143"/>
      <c r="AE2005" s="143"/>
      <c r="AF2005" s="143"/>
      <c r="AG2005" s="143"/>
      <c r="AH2005" s="143"/>
      <c r="AI2005" s="143"/>
      <c r="AJ2005" s="143"/>
    </row>
    <row r="2006" spans="1:36" s="144" customFormat="1" ht="21.75" customHeight="1">
      <c r="A2006" s="151"/>
      <c r="B2006" s="219"/>
      <c r="C2006" s="219"/>
      <c r="D2006" s="219"/>
      <c r="E2006" s="225"/>
      <c r="N2006" s="143"/>
      <c r="O2006" s="143"/>
      <c r="P2006" s="143"/>
      <c r="Q2006" s="143"/>
      <c r="R2006" s="143"/>
      <c r="S2006" s="143"/>
      <c r="T2006" s="143"/>
      <c r="U2006" s="143"/>
      <c r="V2006" s="143"/>
      <c r="W2006" s="143"/>
      <c r="X2006" s="143"/>
      <c r="Y2006" s="143"/>
      <c r="Z2006" s="143"/>
      <c r="AA2006" s="143"/>
      <c r="AB2006" s="143"/>
      <c r="AC2006" s="143"/>
      <c r="AD2006" s="143"/>
      <c r="AE2006" s="143"/>
      <c r="AF2006" s="143"/>
      <c r="AG2006" s="143"/>
      <c r="AH2006" s="143"/>
      <c r="AI2006" s="143"/>
      <c r="AJ2006" s="143"/>
    </row>
    <row r="2007" spans="1:36" s="144" customFormat="1" ht="21.75" customHeight="1">
      <c r="A2007" s="151"/>
      <c r="B2007" s="219"/>
      <c r="C2007" s="219"/>
      <c r="D2007" s="219"/>
      <c r="E2007" s="225"/>
      <c r="N2007" s="143"/>
      <c r="O2007" s="143"/>
      <c r="P2007" s="143"/>
      <c r="Q2007" s="143"/>
      <c r="R2007" s="143"/>
      <c r="S2007" s="143"/>
      <c r="T2007" s="143"/>
      <c r="U2007" s="143"/>
      <c r="V2007" s="143"/>
      <c r="W2007" s="143"/>
      <c r="X2007" s="143"/>
      <c r="Y2007" s="143"/>
      <c r="Z2007" s="143"/>
      <c r="AA2007" s="143"/>
      <c r="AB2007" s="143"/>
      <c r="AC2007" s="143"/>
      <c r="AD2007" s="143"/>
      <c r="AE2007" s="143"/>
      <c r="AF2007" s="143"/>
      <c r="AG2007" s="143"/>
      <c r="AH2007" s="143"/>
      <c r="AI2007" s="143"/>
      <c r="AJ2007" s="143"/>
    </row>
    <row r="2008" spans="1:36" s="144" customFormat="1" ht="21.75" customHeight="1">
      <c r="A2008" s="151"/>
      <c r="B2008" s="219"/>
      <c r="C2008" s="219"/>
      <c r="D2008" s="219"/>
      <c r="E2008" s="225"/>
      <c r="N2008" s="143"/>
      <c r="O2008" s="143"/>
      <c r="P2008" s="143"/>
      <c r="Q2008" s="143"/>
      <c r="R2008" s="143"/>
      <c r="S2008" s="143"/>
      <c r="T2008" s="143"/>
      <c r="U2008" s="143"/>
      <c r="V2008" s="143"/>
      <c r="W2008" s="143"/>
      <c r="X2008" s="143"/>
      <c r="Y2008" s="143"/>
      <c r="Z2008" s="143"/>
      <c r="AA2008" s="143"/>
      <c r="AB2008" s="143"/>
      <c r="AC2008" s="143"/>
      <c r="AD2008" s="143"/>
      <c r="AE2008" s="143"/>
      <c r="AF2008" s="143"/>
      <c r="AG2008" s="143"/>
      <c r="AH2008" s="143"/>
      <c r="AI2008" s="143"/>
      <c r="AJ2008" s="143"/>
    </row>
    <row r="2009" spans="1:36" s="144" customFormat="1" ht="21.75" customHeight="1">
      <c r="A2009" s="151"/>
      <c r="B2009" s="219"/>
      <c r="C2009" s="219"/>
      <c r="D2009" s="219"/>
      <c r="E2009" s="225"/>
      <c r="N2009" s="143"/>
      <c r="O2009" s="143"/>
      <c r="P2009" s="143"/>
      <c r="Q2009" s="143"/>
      <c r="R2009" s="143"/>
      <c r="S2009" s="143"/>
      <c r="T2009" s="143"/>
      <c r="U2009" s="143"/>
      <c r="V2009" s="143"/>
      <c r="W2009" s="143"/>
      <c r="X2009" s="143"/>
      <c r="Y2009" s="143"/>
      <c r="Z2009" s="143"/>
      <c r="AA2009" s="143"/>
      <c r="AB2009" s="143"/>
      <c r="AC2009" s="143"/>
      <c r="AD2009" s="143"/>
      <c r="AE2009" s="143"/>
      <c r="AF2009" s="143"/>
      <c r="AG2009" s="143"/>
      <c r="AH2009" s="143"/>
      <c r="AI2009" s="143"/>
      <c r="AJ2009" s="143"/>
    </row>
    <row r="2010" spans="1:36" s="144" customFormat="1" ht="21.75" customHeight="1">
      <c r="A2010" s="151"/>
      <c r="B2010" s="219"/>
      <c r="C2010" s="219"/>
      <c r="D2010" s="219"/>
      <c r="E2010" s="225"/>
      <c r="N2010" s="143"/>
      <c r="O2010" s="143"/>
      <c r="P2010" s="143"/>
      <c r="Q2010" s="143"/>
      <c r="R2010" s="143"/>
      <c r="S2010" s="143"/>
      <c r="T2010" s="143"/>
      <c r="U2010" s="143"/>
      <c r="V2010" s="143"/>
      <c r="W2010" s="143"/>
      <c r="X2010" s="143"/>
      <c r="Y2010" s="143"/>
      <c r="Z2010" s="143"/>
      <c r="AA2010" s="143"/>
      <c r="AB2010" s="143"/>
      <c r="AC2010" s="143"/>
      <c r="AD2010" s="143"/>
      <c r="AE2010" s="143"/>
      <c r="AF2010" s="143"/>
      <c r="AG2010" s="143"/>
      <c r="AH2010" s="143"/>
      <c r="AI2010" s="143"/>
      <c r="AJ2010" s="143"/>
    </row>
    <row r="2011" spans="1:36" s="144" customFormat="1" ht="21.75" customHeight="1">
      <c r="A2011" s="151"/>
      <c r="B2011" s="219"/>
      <c r="C2011" s="219"/>
      <c r="D2011" s="219"/>
      <c r="E2011" s="225"/>
      <c r="N2011" s="143"/>
      <c r="O2011" s="143"/>
      <c r="P2011" s="143"/>
      <c r="Q2011" s="143"/>
      <c r="R2011" s="143"/>
      <c r="S2011" s="143"/>
      <c r="T2011" s="143"/>
      <c r="U2011" s="143"/>
      <c r="V2011" s="143"/>
      <c r="W2011" s="143"/>
      <c r="X2011" s="143"/>
      <c r="Y2011" s="143"/>
      <c r="Z2011" s="143"/>
      <c r="AA2011" s="143"/>
      <c r="AB2011" s="143"/>
      <c r="AC2011" s="143"/>
      <c r="AD2011" s="143"/>
      <c r="AE2011" s="143"/>
      <c r="AF2011" s="143"/>
      <c r="AG2011" s="143"/>
      <c r="AH2011" s="143"/>
      <c r="AI2011" s="143"/>
      <c r="AJ2011" s="143"/>
    </row>
    <row r="2012" spans="1:36" s="144" customFormat="1" ht="21.75" customHeight="1">
      <c r="A2012" s="151"/>
      <c r="B2012" s="219"/>
      <c r="C2012" s="219"/>
      <c r="D2012" s="219"/>
      <c r="E2012" s="225"/>
      <c r="N2012" s="143"/>
      <c r="O2012" s="143"/>
      <c r="P2012" s="143"/>
      <c r="Q2012" s="143"/>
      <c r="R2012" s="143"/>
      <c r="S2012" s="143"/>
      <c r="T2012" s="143"/>
      <c r="U2012" s="143"/>
      <c r="V2012" s="143"/>
      <c r="W2012" s="143"/>
      <c r="X2012" s="143"/>
      <c r="Y2012" s="143"/>
      <c r="Z2012" s="143"/>
      <c r="AA2012" s="143"/>
      <c r="AB2012" s="143"/>
      <c r="AC2012" s="143"/>
      <c r="AD2012" s="143"/>
      <c r="AE2012" s="143"/>
      <c r="AF2012" s="143"/>
      <c r="AG2012" s="143"/>
      <c r="AH2012" s="143"/>
      <c r="AI2012" s="143"/>
      <c r="AJ2012" s="143"/>
    </row>
    <row r="2013" spans="1:36" s="144" customFormat="1" ht="21.75" customHeight="1">
      <c r="A2013" s="151"/>
      <c r="B2013" s="219"/>
      <c r="C2013" s="219"/>
      <c r="D2013" s="219"/>
      <c r="E2013" s="225"/>
      <c r="N2013" s="143"/>
      <c r="O2013" s="143"/>
      <c r="P2013" s="143"/>
      <c r="Q2013" s="143"/>
      <c r="R2013" s="143"/>
      <c r="S2013" s="143"/>
      <c r="T2013" s="143"/>
      <c r="U2013" s="143"/>
      <c r="V2013" s="143"/>
      <c r="W2013" s="143"/>
      <c r="X2013" s="143"/>
      <c r="Y2013" s="143"/>
      <c r="Z2013" s="143"/>
      <c r="AA2013" s="143"/>
      <c r="AB2013" s="143"/>
      <c r="AC2013" s="143"/>
      <c r="AD2013" s="143"/>
      <c r="AE2013" s="143"/>
      <c r="AF2013" s="143"/>
      <c r="AG2013" s="143"/>
      <c r="AH2013" s="143"/>
      <c r="AI2013" s="143"/>
      <c r="AJ2013" s="143"/>
    </row>
    <row r="2014" spans="1:36" s="144" customFormat="1" ht="21.75" customHeight="1">
      <c r="A2014" s="151"/>
      <c r="B2014" s="219"/>
      <c r="C2014" s="219"/>
      <c r="D2014" s="219"/>
      <c r="E2014" s="225"/>
      <c r="N2014" s="143"/>
      <c r="O2014" s="143"/>
      <c r="P2014" s="143"/>
      <c r="Q2014" s="143"/>
      <c r="R2014" s="143"/>
      <c r="S2014" s="143"/>
      <c r="T2014" s="143"/>
      <c r="U2014" s="143"/>
      <c r="V2014" s="143"/>
      <c r="W2014" s="143"/>
      <c r="X2014" s="143"/>
      <c r="Y2014" s="143"/>
      <c r="Z2014" s="143"/>
      <c r="AA2014" s="143"/>
      <c r="AB2014" s="143"/>
      <c r="AC2014" s="143"/>
      <c r="AD2014" s="143"/>
      <c r="AE2014" s="143"/>
      <c r="AF2014" s="143"/>
      <c r="AG2014" s="143"/>
      <c r="AH2014" s="143"/>
      <c r="AI2014" s="143"/>
      <c r="AJ2014" s="143"/>
    </row>
    <row r="2015" spans="1:36" s="144" customFormat="1" ht="21.75" customHeight="1">
      <c r="A2015" s="151"/>
      <c r="B2015" s="219"/>
      <c r="C2015" s="219"/>
      <c r="D2015" s="219"/>
      <c r="E2015" s="225"/>
      <c r="N2015" s="143"/>
      <c r="O2015" s="143"/>
      <c r="P2015" s="143"/>
      <c r="Q2015" s="143"/>
      <c r="R2015" s="143"/>
      <c r="S2015" s="143"/>
      <c r="T2015" s="143"/>
      <c r="U2015" s="143"/>
      <c r="V2015" s="143"/>
      <c r="W2015" s="143"/>
      <c r="X2015" s="143"/>
      <c r="Y2015" s="143"/>
      <c r="Z2015" s="143"/>
      <c r="AA2015" s="143"/>
      <c r="AB2015" s="143"/>
      <c r="AC2015" s="143"/>
      <c r="AD2015" s="143"/>
      <c r="AE2015" s="143"/>
      <c r="AF2015" s="143"/>
      <c r="AG2015" s="143"/>
      <c r="AH2015" s="143"/>
      <c r="AI2015" s="143"/>
      <c r="AJ2015" s="143"/>
    </row>
    <row r="2016" spans="1:36" s="144" customFormat="1" ht="21.75" customHeight="1">
      <c r="A2016" s="151"/>
      <c r="B2016" s="219"/>
      <c r="C2016" s="219"/>
      <c r="D2016" s="219"/>
      <c r="E2016" s="225"/>
      <c r="N2016" s="143"/>
      <c r="O2016" s="143"/>
      <c r="P2016" s="143"/>
      <c r="Q2016" s="143"/>
      <c r="R2016" s="143"/>
      <c r="S2016" s="143"/>
      <c r="T2016" s="143"/>
      <c r="U2016" s="143"/>
      <c r="V2016" s="143"/>
      <c r="W2016" s="143"/>
      <c r="X2016" s="143"/>
      <c r="Y2016" s="143"/>
      <c r="Z2016" s="143"/>
      <c r="AA2016" s="143"/>
      <c r="AB2016" s="143"/>
      <c r="AC2016" s="143"/>
      <c r="AD2016" s="143"/>
      <c r="AE2016" s="143"/>
      <c r="AF2016" s="143"/>
      <c r="AG2016" s="143"/>
      <c r="AH2016" s="143"/>
      <c r="AI2016" s="143"/>
      <c r="AJ2016" s="143"/>
    </row>
    <row r="2017" spans="1:36" s="144" customFormat="1" ht="21.75" customHeight="1">
      <c r="A2017" s="151"/>
      <c r="B2017" s="219"/>
      <c r="C2017" s="219"/>
      <c r="D2017" s="219"/>
      <c r="E2017" s="225"/>
      <c r="N2017" s="143"/>
      <c r="O2017" s="143"/>
      <c r="P2017" s="143"/>
      <c r="Q2017" s="143"/>
      <c r="R2017" s="143"/>
      <c r="S2017" s="143"/>
      <c r="T2017" s="143"/>
      <c r="U2017" s="143"/>
      <c r="V2017" s="143"/>
      <c r="W2017" s="143"/>
      <c r="X2017" s="143"/>
      <c r="Y2017" s="143"/>
      <c r="Z2017" s="143"/>
      <c r="AA2017" s="143"/>
      <c r="AB2017" s="143"/>
      <c r="AC2017" s="143"/>
      <c r="AD2017" s="143"/>
      <c r="AE2017" s="143"/>
      <c r="AF2017" s="143"/>
      <c r="AG2017" s="143"/>
      <c r="AH2017" s="143"/>
      <c r="AI2017" s="143"/>
      <c r="AJ2017" s="143"/>
    </row>
    <row r="2018" spans="1:36" s="144" customFormat="1" ht="21.75" customHeight="1">
      <c r="A2018" s="151"/>
      <c r="B2018" s="219"/>
      <c r="C2018" s="219"/>
      <c r="D2018" s="219"/>
      <c r="E2018" s="225"/>
      <c r="N2018" s="143"/>
      <c r="O2018" s="143"/>
      <c r="P2018" s="143"/>
      <c r="Q2018" s="143"/>
      <c r="R2018" s="143"/>
      <c r="S2018" s="143"/>
      <c r="T2018" s="143"/>
      <c r="U2018" s="143"/>
      <c r="V2018" s="143"/>
      <c r="W2018" s="143"/>
      <c r="X2018" s="143"/>
      <c r="Y2018" s="143"/>
      <c r="Z2018" s="143"/>
      <c r="AA2018" s="143"/>
      <c r="AB2018" s="143"/>
      <c r="AC2018" s="143"/>
      <c r="AD2018" s="143"/>
      <c r="AE2018" s="143"/>
      <c r="AF2018" s="143"/>
      <c r="AG2018" s="143"/>
      <c r="AH2018" s="143"/>
      <c r="AI2018" s="143"/>
      <c r="AJ2018" s="143"/>
    </row>
    <row r="2019" spans="1:36" s="144" customFormat="1" ht="21.75" customHeight="1">
      <c r="A2019" s="151"/>
      <c r="B2019" s="219"/>
      <c r="C2019" s="219"/>
      <c r="D2019" s="219"/>
      <c r="E2019" s="225"/>
      <c r="N2019" s="143"/>
      <c r="O2019" s="143"/>
      <c r="P2019" s="143"/>
      <c r="Q2019" s="143"/>
      <c r="R2019" s="143"/>
      <c r="S2019" s="143"/>
      <c r="T2019" s="143"/>
      <c r="U2019" s="143"/>
      <c r="V2019" s="143"/>
      <c r="W2019" s="143"/>
      <c r="X2019" s="143"/>
      <c r="Y2019" s="143"/>
      <c r="Z2019" s="143"/>
      <c r="AA2019" s="143"/>
      <c r="AB2019" s="143"/>
      <c r="AC2019" s="143"/>
      <c r="AD2019" s="143"/>
      <c r="AE2019" s="143"/>
      <c r="AF2019" s="143"/>
      <c r="AG2019" s="143"/>
      <c r="AH2019" s="143"/>
      <c r="AI2019" s="143"/>
      <c r="AJ2019" s="143"/>
    </row>
    <row r="2020" spans="1:36" s="144" customFormat="1" ht="21.75" customHeight="1">
      <c r="A2020" s="151"/>
      <c r="B2020" s="219"/>
      <c r="C2020" s="219"/>
      <c r="D2020" s="219"/>
      <c r="E2020" s="225"/>
      <c r="N2020" s="143"/>
      <c r="O2020" s="143"/>
      <c r="P2020" s="143"/>
      <c r="Q2020" s="143"/>
      <c r="R2020" s="143"/>
      <c r="S2020" s="143"/>
      <c r="T2020" s="143"/>
      <c r="U2020" s="143"/>
      <c r="V2020" s="143"/>
      <c r="W2020" s="143"/>
      <c r="X2020" s="143"/>
      <c r="Y2020" s="143"/>
      <c r="Z2020" s="143"/>
      <c r="AA2020" s="143"/>
      <c r="AB2020" s="143"/>
      <c r="AC2020" s="143"/>
      <c r="AD2020" s="143"/>
      <c r="AE2020" s="143"/>
      <c r="AF2020" s="143"/>
      <c r="AG2020" s="143"/>
      <c r="AH2020" s="143"/>
      <c r="AI2020" s="143"/>
      <c r="AJ2020" s="143"/>
    </row>
    <row r="2021" spans="1:36" s="144" customFormat="1" ht="21.75" customHeight="1">
      <c r="A2021" s="151"/>
      <c r="B2021" s="219"/>
      <c r="C2021" s="219"/>
      <c r="D2021" s="219"/>
      <c r="E2021" s="225"/>
      <c r="N2021" s="143"/>
      <c r="O2021" s="143"/>
      <c r="P2021" s="143"/>
      <c r="Q2021" s="143"/>
      <c r="R2021" s="143"/>
      <c r="S2021" s="143"/>
      <c r="T2021" s="143"/>
      <c r="U2021" s="143"/>
      <c r="V2021" s="143"/>
      <c r="W2021" s="143"/>
      <c r="X2021" s="143"/>
      <c r="Y2021" s="143"/>
      <c r="Z2021" s="143"/>
      <c r="AA2021" s="143"/>
      <c r="AB2021" s="143"/>
      <c r="AC2021" s="143"/>
      <c r="AD2021" s="143"/>
      <c r="AE2021" s="143"/>
      <c r="AF2021" s="143"/>
      <c r="AG2021" s="143"/>
      <c r="AH2021" s="143"/>
      <c r="AI2021" s="143"/>
      <c r="AJ2021" s="143"/>
    </row>
    <row r="2022" spans="1:36" s="144" customFormat="1" ht="21.75" customHeight="1">
      <c r="A2022" s="151"/>
      <c r="B2022" s="219"/>
      <c r="C2022" s="219"/>
      <c r="D2022" s="219"/>
      <c r="E2022" s="225"/>
      <c r="N2022" s="143"/>
      <c r="O2022" s="143"/>
      <c r="P2022" s="143"/>
      <c r="Q2022" s="143"/>
      <c r="R2022" s="143"/>
      <c r="S2022" s="143"/>
      <c r="T2022" s="143"/>
      <c r="U2022" s="143"/>
      <c r="V2022" s="143"/>
      <c r="W2022" s="143"/>
      <c r="X2022" s="143"/>
      <c r="Y2022" s="143"/>
      <c r="Z2022" s="143"/>
      <c r="AA2022" s="143"/>
      <c r="AB2022" s="143"/>
      <c r="AC2022" s="143"/>
      <c r="AD2022" s="143"/>
      <c r="AE2022" s="143"/>
      <c r="AF2022" s="143"/>
      <c r="AG2022" s="143"/>
      <c r="AH2022" s="143"/>
      <c r="AI2022" s="143"/>
      <c r="AJ2022" s="143"/>
    </row>
    <row r="2023" spans="1:36" s="144" customFormat="1" ht="21.75" customHeight="1">
      <c r="A2023" s="151"/>
      <c r="B2023" s="219"/>
      <c r="C2023" s="219"/>
      <c r="D2023" s="219"/>
      <c r="E2023" s="225"/>
      <c r="N2023" s="143"/>
      <c r="O2023" s="143"/>
      <c r="P2023" s="143"/>
      <c r="Q2023" s="143"/>
      <c r="R2023" s="143"/>
      <c r="S2023" s="143"/>
      <c r="T2023" s="143"/>
      <c r="U2023" s="143"/>
      <c r="V2023" s="143"/>
      <c r="W2023" s="143"/>
      <c r="X2023" s="143"/>
      <c r="Y2023" s="143"/>
      <c r="Z2023" s="143"/>
      <c r="AA2023" s="143"/>
      <c r="AB2023" s="143"/>
      <c r="AC2023" s="143"/>
      <c r="AD2023" s="143"/>
      <c r="AE2023" s="143"/>
      <c r="AF2023" s="143"/>
      <c r="AG2023" s="143"/>
      <c r="AH2023" s="143"/>
      <c r="AI2023" s="143"/>
      <c r="AJ2023" s="143"/>
    </row>
    <row r="2024" spans="1:36" s="144" customFormat="1" ht="21.75" customHeight="1">
      <c r="A2024" s="151"/>
      <c r="B2024" s="219"/>
      <c r="C2024" s="219"/>
      <c r="D2024" s="219"/>
      <c r="E2024" s="225"/>
      <c r="N2024" s="143"/>
      <c r="O2024" s="143"/>
      <c r="P2024" s="143"/>
      <c r="Q2024" s="143"/>
      <c r="R2024" s="143"/>
      <c r="S2024" s="143"/>
      <c r="T2024" s="143"/>
      <c r="U2024" s="143"/>
      <c r="V2024" s="143"/>
      <c r="W2024" s="143"/>
      <c r="X2024" s="143"/>
      <c r="Y2024" s="143"/>
      <c r="Z2024" s="143"/>
      <c r="AA2024" s="143"/>
      <c r="AB2024" s="143"/>
      <c r="AC2024" s="143"/>
      <c r="AD2024" s="143"/>
      <c r="AE2024" s="143"/>
      <c r="AF2024" s="143"/>
      <c r="AG2024" s="143"/>
      <c r="AH2024" s="143"/>
      <c r="AI2024" s="143"/>
      <c r="AJ2024" s="143"/>
    </row>
    <row r="2025" spans="1:36" s="144" customFormat="1" ht="21.75" customHeight="1">
      <c r="A2025" s="151"/>
      <c r="B2025" s="219"/>
      <c r="C2025" s="219"/>
      <c r="D2025" s="219"/>
      <c r="E2025" s="225"/>
      <c r="N2025" s="143"/>
      <c r="O2025" s="143"/>
      <c r="P2025" s="143"/>
      <c r="Q2025" s="143"/>
      <c r="R2025" s="143"/>
      <c r="S2025" s="143"/>
      <c r="T2025" s="143"/>
      <c r="U2025" s="143"/>
      <c r="V2025" s="143"/>
      <c r="W2025" s="143"/>
      <c r="X2025" s="143"/>
      <c r="Y2025" s="143"/>
      <c r="Z2025" s="143"/>
      <c r="AA2025" s="143"/>
      <c r="AB2025" s="143"/>
      <c r="AC2025" s="143"/>
      <c r="AD2025" s="143"/>
      <c r="AE2025" s="143"/>
      <c r="AF2025" s="143"/>
      <c r="AG2025" s="143"/>
      <c r="AH2025" s="143"/>
      <c r="AI2025" s="143"/>
      <c r="AJ2025" s="143"/>
    </row>
    <row r="2026" spans="1:36" s="144" customFormat="1" ht="21.75" customHeight="1">
      <c r="A2026" s="151"/>
      <c r="B2026" s="219"/>
      <c r="C2026" s="219"/>
      <c r="D2026" s="219"/>
      <c r="E2026" s="225"/>
      <c r="N2026" s="143"/>
      <c r="O2026" s="143"/>
      <c r="P2026" s="143"/>
      <c r="Q2026" s="143"/>
      <c r="R2026" s="143"/>
      <c r="S2026" s="143"/>
      <c r="T2026" s="143"/>
      <c r="U2026" s="143"/>
      <c r="V2026" s="143"/>
      <c r="W2026" s="143"/>
      <c r="X2026" s="143"/>
      <c r="Y2026" s="143"/>
      <c r="Z2026" s="143"/>
      <c r="AA2026" s="143"/>
      <c r="AB2026" s="143"/>
      <c r="AC2026" s="143"/>
      <c r="AD2026" s="143"/>
      <c r="AE2026" s="143"/>
      <c r="AF2026" s="143"/>
      <c r="AG2026" s="143"/>
      <c r="AH2026" s="143"/>
      <c r="AI2026" s="143"/>
      <c r="AJ2026" s="143"/>
    </row>
    <row r="2027" spans="1:36" s="144" customFormat="1" ht="21.75" customHeight="1">
      <c r="A2027" s="151"/>
      <c r="B2027" s="219"/>
      <c r="C2027" s="219"/>
      <c r="D2027" s="219"/>
      <c r="E2027" s="225"/>
      <c r="N2027" s="143"/>
      <c r="O2027" s="143"/>
      <c r="P2027" s="143"/>
      <c r="Q2027" s="143"/>
      <c r="R2027" s="143"/>
      <c r="S2027" s="143"/>
      <c r="T2027" s="143"/>
      <c r="U2027" s="143"/>
      <c r="V2027" s="143"/>
      <c r="W2027" s="143"/>
      <c r="X2027" s="143"/>
      <c r="Y2027" s="143"/>
      <c r="Z2027" s="143"/>
      <c r="AA2027" s="143"/>
      <c r="AB2027" s="143"/>
      <c r="AC2027" s="143"/>
      <c r="AD2027" s="143"/>
      <c r="AE2027" s="143"/>
      <c r="AF2027" s="143"/>
      <c r="AG2027" s="143"/>
      <c r="AH2027" s="143"/>
      <c r="AI2027" s="143"/>
      <c r="AJ2027" s="143"/>
    </row>
    <row r="2028" spans="1:36" s="144" customFormat="1" ht="21.75" customHeight="1">
      <c r="A2028" s="151"/>
      <c r="B2028" s="219"/>
      <c r="C2028" s="219"/>
      <c r="D2028" s="219"/>
      <c r="E2028" s="225"/>
      <c r="N2028" s="143"/>
      <c r="O2028" s="143"/>
      <c r="P2028" s="143"/>
      <c r="Q2028" s="143"/>
      <c r="R2028" s="143"/>
      <c r="S2028" s="143"/>
      <c r="T2028" s="143"/>
      <c r="U2028" s="143"/>
      <c r="V2028" s="143"/>
      <c r="W2028" s="143"/>
      <c r="X2028" s="143"/>
      <c r="Y2028" s="143"/>
      <c r="Z2028" s="143"/>
      <c r="AA2028" s="143"/>
      <c r="AB2028" s="143"/>
      <c r="AC2028" s="143"/>
      <c r="AD2028" s="143"/>
      <c r="AE2028" s="143"/>
      <c r="AF2028" s="143"/>
      <c r="AG2028" s="143"/>
      <c r="AH2028" s="143"/>
      <c r="AI2028" s="143"/>
      <c r="AJ2028" s="143"/>
    </row>
    <row r="2029" spans="1:36" s="144" customFormat="1" ht="21.75" customHeight="1">
      <c r="A2029" s="151"/>
      <c r="B2029" s="219"/>
      <c r="C2029" s="219"/>
      <c r="D2029" s="219"/>
      <c r="E2029" s="225"/>
      <c r="N2029" s="143"/>
      <c r="O2029" s="143"/>
      <c r="P2029" s="143"/>
      <c r="Q2029" s="143"/>
      <c r="R2029" s="143"/>
      <c r="S2029" s="143"/>
      <c r="T2029" s="143"/>
      <c r="U2029" s="143"/>
      <c r="V2029" s="143"/>
      <c r="W2029" s="143"/>
      <c r="X2029" s="143"/>
      <c r="Y2029" s="143"/>
      <c r="Z2029" s="143"/>
      <c r="AA2029" s="143"/>
      <c r="AB2029" s="143"/>
      <c r="AC2029" s="143"/>
      <c r="AD2029" s="143"/>
      <c r="AE2029" s="143"/>
      <c r="AF2029" s="143"/>
      <c r="AG2029" s="143"/>
      <c r="AH2029" s="143"/>
      <c r="AI2029" s="143"/>
      <c r="AJ2029" s="143"/>
    </row>
    <row r="2030" spans="1:36" s="144" customFormat="1" ht="21.75" customHeight="1">
      <c r="A2030" s="151"/>
      <c r="B2030" s="219"/>
      <c r="C2030" s="219"/>
      <c r="D2030" s="219"/>
      <c r="E2030" s="225"/>
      <c r="N2030" s="143"/>
      <c r="O2030" s="143"/>
      <c r="P2030" s="143"/>
      <c r="Q2030" s="143"/>
      <c r="R2030" s="143"/>
      <c r="S2030" s="143"/>
      <c r="T2030" s="143"/>
      <c r="U2030" s="143"/>
      <c r="V2030" s="143"/>
      <c r="W2030" s="143"/>
      <c r="X2030" s="143"/>
      <c r="Y2030" s="143"/>
      <c r="Z2030" s="143"/>
      <c r="AA2030" s="143"/>
      <c r="AB2030" s="143"/>
      <c r="AC2030" s="143"/>
      <c r="AD2030" s="143"/>
      <c r="AE2030" s="143"/>
      <c r="AF2030" s="143"/>
      <c r="AG2030" s="143"/>
      <c r="AH2030" s="143"/>
      <c r="AI2030" s="143"/>
      <c r="AJ2030" s="143"/>
    </row>
    <row r="2031" spans="1:36" s="144" customFormat="1" ht="21.75" customHeight="1">
      <c r="A2031" s="151"/>
      <c r="B2031" s="219"/>
      <c r="C2031" s="219"/>
      <c r="D2031" s="219"/>
      <c r="E2031" s="225"/>
      <c r="N2031" s="143"/>
      <c r="O2031" s="143"/>
      <c r="P2031" s="143"/>
      <c r="Q2031" s="143"/>
      <c r="R2031" s="143"/>
      <c r="S2031" s="143"/>
      <c r="T2031" s="143"/>
      <c r="U2031" s="143"/>
      <c r="V2031" s="143"/>
      <c r="W2031" s="143"/>
      <c r="X2031" s="143"/>
      <c r="Y2031" s="143"/>
      <c r="Z2031" s="143"/>
      <c r="AA2031" s="143"/>
      <c r="AB2031" s="143"/>
      <c r="AC2031" s="143"/>
      <c r="AD2031" s="143"/>
      <c r="AE2031" s="143"/>
      <c r="AF2031" s="143"/>
      <c r="AG2031" s="143"/>
      <c r="AH2031" s="143"/>
      <c r="AI2031" s="143"/>
      <c r="AJ2031" s="143"/>
    </row>
    <row r="2032" spans="1:36" s="144" customFormat="1" ht="21.75" customHeight="1">
      <c r="A2032" s="151"/>
      <c r="B2032" s="219"/>
      <c r="C2032" s="219"/>
      <c r="D2032" s="219"/>
      <c r="E2032" s="225"/>
      <c r="N2032" s="143"/>
      <c r="O2032" s="143"/>
      <c r="P2032" s="143"/>
      <c r="Q2032" s="143"/>
      <c r="R2032" s="143"/>
      <c r="S2032" s="143"/>
      <c r="T2032" s="143"/>
      <c r="U2032" s="143"/>
      <c r="V2032" s="143"/>
      <c r="W2032" s="143"/>
      <c r="X2032" s="143"/>
      <c r="Y2032" s="143"/>
      <c r="Z2032" s="143"/>
      <c r="AA2032" s="143"/>
      <c r="AB2032" s="143"/>
      <c r="AC2032" s="143"/>
      <c r="AD2032" s="143"/>
      <c r="AE2032" s="143"/>
      <c r="AF2032" s="143"/>
      <c r="AG2032" s="143"/>
      <c r="AH2032" s="143"/>
      <c r="AI2032" s="143"/>
      <c r="AJ2032" s="143"/>
    </row>
    <row r="2033" spans="1:36" s="144" customFormat="1" ht="21.75" customHeight="1">
      <c r="A2033" s="151"/>
      <c r="B2033" s="219"/>
      <c r="C2033" s="219"/>
      <c r="D2033" s="219"/>
      <c r="E2033" s="225"/>
      <c r="N2033" s="143"/>
      <c r="O2033" s="143"/>
      <c r="P2033" s="143"/>
      <c r="Q2033" s="143"/>
      <c r="R2033" s="143"/>
      <c r="S2033" s="143"/>
      <c r="T2033" s="143"/>
      <c r="U2033" s="143"/>
      <c r="V2033" s="143"/>
      <c r="W2033" s="143"/>
      <c r="X2033" s="143"/>
      <c r="Y2033" s="143"/>
      <c r="Z2033" s="143"/>
      <c r="AA2033" s="143"/>
      <c r="AB2033" s="143"/>
      <c r="AC2033" s="143"/>
      <c r="AD2033" s="143"/>
      <c r="AE2033" s="143"/>
      <c r="AF2033" s="143"/>
      <c r="AG2033" s="143"/>
      <c r="AH2033" s="143"/>
      <c r="AI2033" s="143"/>
      <c r="AJ2033" s="143"/>
    </row>
    <row r="2034" spans="1:36" s="144" customFormat="1" ht="21.75" customHeight="1">
      <c r="A2034" s="151"/>
      <c r="B2034" s="219"/>
      <c r="C2034" s="219"/>
      <c r="D2034" s="219"/>
      <c r="E2034" s="225"/>
      <c r="N2034" s="143"/>
      <c r="O2034" s="143"/>
      <c r="P2034" s="143"/>
      <c r="Q2034" s="143"/>
      <c r="R2034" s="143"/>
      <c r="S2034" s="143"/>
      <c r="T2034" s="143"/>
      <c r="U2034" s="143"/>
      <c r="V2034" s="143"/>
      <c r="W2034" s="143"/>
      <c r="X2034" s="143"/>
      <c r="Y2034" s="143"/>
      <c r="Z2034" s="143"/>
      <c r="AA2034" s="143"/>
      <c r="AB2034" s="143"/>
      <c r="AC2034" s="143"/>
      <c r="AD2034" s="143"/>
      <c r="AE2034" s="143"/>
      <c r="AF2034" s="143"/>
      <c r="AG2034" s="143"/>
      <c r="AH2034" s="143"/>
      <c r="AI2034" s="143"/>
      <c r="AJ2034" s="143"/>
    </row>
    <row r="2035" spans="1:36" s="144" customFormat="1" ht="21.75" customHeight="1">
      <c r="A2035" s="151"/>
      <c r="B2035" s="219"/>
      <c r="C2035" s="219"/>
      <c r="D2035" s="219"/>
      <c r="E2035" s="225"/>
      <c r="N2035" s="143"/>
      <c r="O2035" s="143"/>
      <c r="P2035" s="143"/>
      <c r="Q2035" s="143"/>
      <c r="R2035" s="143"/>
      <c r="S2035" s="143"/>
      <c r="T2035" s="143"/>
      <c r="U2035" s="143"/>
      <c r="V2035" s="143"/>
      <c r="W2035" s="143"/>
      <c r="X2035" s="143"/>
      <c r="Y2035" s="143"/>
      <c r="Z2035" s="143"/>
      <c r="AA2035" s="143"/>
      <c r="AB2035" s="143"/>
      <c r="AC2035" s="143"/>
      <c r="AD2035" s="143"/>
      <c r="AE2035" s="143"/>
      <c r="AF2035" s="143"/>
      <c r="AG2035" s="143"/>
      <c r="AH2035" s="143"/>
      <c r="AI2035" s="143"/>
      <c r="AJ2035" s="143"/>
    </row>
    <row r="2036" spans="1:36" s="144" customFormat="1" ht="21.75" customHeight="1">
      <c r="A2036" s="151"/>
      <c r="B2036" s="219"/>
      <c r="C2036" s="219"/>
      <c r="D2036" s="219"/>
      <c r="E2036" s="225"/>
      <c r="N2036" s="143"/>
      <c r="O2036" s="143"/>
      <c r="P2036" s="143"/>
      <c r="Q2036" s="143"/>
      <c r="R2036" s="143"/>
      <c r="S2036" s="143"/>
      <c r="T2036" s="143"/>
      <c r="U2036" s="143"/>
      <c r="V2036" s="143"/>
      <c r="W2036" s="143"/>
      <c r="X2036" s="143"/>
      <c r="Y2036" s="143"/>
      <c r="Z2036" s="143"/>
      <c r="AA2036" s="143"/>
      <c r="AB2036" s="143"/>
      <c r="AC2036" s="143"/>
      <c r="AD2036" s="143"/>
      <c r="AE2036" s="143"/>
      <c r="AF2036" s="143"/>
      <c r="AG2036" s="143"/>
      <c r="AH2036" s="143"/>
      <c r="AI2036" s="143"/>
      <c r="AJ2036" s="143"/>
    </row>
    <row r="2037" spans="1:36" s="144" customFormat="1" ht="21.75" customHeight="1">
      <c r="A2037" s="151"/>
      <c r="B2037" s="219"/>
      <c r="C2037" s="219"/>
      <c r="D2037" s="219"/>
      <c r="E2037" s="225"/>
      <c r="N2037" s="143"/>
      <c r="O2037" s="143"/>
      <c r="P2037" s="143"/>
      <c r="Q2037" s="143"/>
      <c r="R2037" s="143"/>
      <c r="S2037" s="143"/>
      <c r="T2037" s="143"/>
      <c r="U2037" s="143"/>
      <c r="V2037" s="143"/>
      <c r="W2037" s="143"/>
      <c r="X2037" s="143"/>
      <c r="Y2037" s="143"/>
      <c r="Z2037" s="143"/>
      <c r="AA2037" s="143"/>
      <c r="AB2037" s="143"/>
      <c r="AC2037" s="143"/>
      <c r="AD2037" s="143"/>
      <c r="AE2037" s="143"/>
      <c r="AF2037" s="143"/>
      <c r="AG2037" s="143"/>
      <c r="AH2037" s="143"/>
      <c r="AI2037" s="143"/>
      <c r="AJ2037" s="143"/>
    </row>
    <row r="2038" spans="1:36" s="144" customFormat="1" ht="21.75" customHeight="1">
      <c r="A2038" s="151"/>
      <c r="B2038" s="219"/>
      <c r="C2038" s="219"/>
      <c r="D2038" s="219"/>
      <c r="E2038" s="225"/>
      <c r="N2038" s="143"/>
      <c r="O2038" s="143"/>
      <c r="P2038" s="143"/>
      <c r="Q2038" s="143"/>
      <c r="R2038" s="143"/>
      <c r="S2038" s="143"/>
      <c r="T2038" s="143"/>
      <c r="U2038" s="143"/>
      <c r="V2038" s="143"/>
      <c r="W2038" s="143"/>
      <c r="X2038" s="143"/>
      <c r="Y2038" s="143"/>
      <c r="Z2038" s="143"/>
      <c r="AA2038" s="143"/>
      <c r="AB2038" s="143"/>
      <c r="AC2038" s="143"/>
      <c r="AD2038" s="143"/>
      <c r="AE2038" s="143"/>
      <c r="AF2038" s="143"/>
      <c r="AG2038" s="143"/>
      <c r="AH2038" s="143"/>
      <c r="AI2038" s="143"/>
      <c r="AJ2038" s="143"/>
    </row>
    <row r="2039" spans="1:36" s="144" customFormat="1" ht="21.75" customHeight="1">
      <c r="A2039" s="151"/>
      <c r="B2039" s="219"/>
      <c r="C2039" s="219"/>
      <c r="D2039" s="219"/>
      <c r="E2039" s="225"/>
      <c r="N2039" s="143"/>
      <c r="O2039" s="143"/>
      <c r="P2039" s="143"/>
      <c r="Q2039" s="143"/>
      <c r="R2039" s="143"/>
      <c r="S2039" s="143"/>
      <c r="T2039" s="143"/>
      <c r="U2039" s="143"/>
      <c r="V2039" s="143"/>
      <c r="W2039" s="143"/>
      <c r="X2039" s="143"/>
      <c r="Y2039" s="143"/>
      <c r="Z2039" s="143"/>
      <c r="AA2039" s="143"/>
      <c r="AB2039" s="143"/>
      <c r="AC2039" s="143"/>
      <c r="AD2039" s="143"/>
      <c r="AE2039" s="143"/>
      <c r="AF2039" s="143"/>
      <c r="AG2039" s="143"/>
      <c r="AH2039" s="143"/>
      <c r="AI2039" s="143"/>
      <c r="AJ2039" s="143"/>
    </row>
    <row r="2040" spans="1:36" s="144" customFormat="1" ht="21.75" customHeight="1">
      <c r="A2040" s="151"/>
      <c r="B2040" s="219"/>
      <c r="C2040" s="219"/>
      <c r="D2040" s="219"/>
      <c r="E2040" s="225"/>
      <c r="N2040" s="143"/>
      <c r="O2040" s="143"/>
      <c r="P2040" s="143"/>
      <c r="Q2040" s="143"/>
      <c r="R2040" s="143"/>
      <c r="S2040" s="143"/>
      <c r="T2040" s="143"/>
      <c r="U2040" s="143"/>
      <c r="V2040" s="143"/>
      <c r="W2040" s="143"/>
      <c r="X2040" s="143"/>
      <c r="Y2040" s="143"/>
      <c r="Z2040" s="143"/>
      <c r="AA2040" s="143"/>
      <c r="AB2040" s="143"/>
      <c r="AC2040" s="143"/>
      <c r="AD2040" s="143"/>
      <c r="AE2040" s="143"/>
      <c r="AF2040" s="143"/>
      <c r="AG2040" s="143"/>
      <c r="AH2040" s="143"/>
      <c r="AI2040" s="143"/>
      <c r="AJ2040" s="143"/>
    </row>
    <row r="2041" spans="1:36" s="144" customFormat="1" ht="21.75" customHeight="1">
      <c r="A2041" s="151"/>
      <c r="B2041" s="219"/>
      <c r="C2041" s="219"/>
      <c r="D2041" s="219"/>
      <c r="E2041" s="225"/>
      <c r="N2041" s="143"/>
      <c r="O2041" s="143"/>
      <c r="P2041" s="143"/>
      <c r="Q2041" s="143"/>
      <c r="R2041" s="143"/>
      <c r="S2041" s="143"/>
      <c r="T2041" s="143"/>
      <c r="U2041" s="143"/>
      <c r="V2041" s="143"/>
      <c r="W2041" s="143"/>
      <c r="X2041" s="143"/>
      <c r="Y2041" s="143"/>
      <c r="Z2041" s="143"/>
      <c r="AA2041" s="143"/>
      <c r="AB2041" s="143"/>
      <c r="AC2041" s="143"/>
      <c r="AD2041" s="143"/>
      <c r="AE2041" s="143"/>
      <c r="AF2041" s="143"/>
      <c r="AG2041" s="143"/>
      <c r="AH2041" s="143"/>
      <c r="AI2041" s="143"/>
      <c r="AJ2041" s="143"/>
    </row>
    <row r="2042" spans="1:36" s="144" customFormat="1" ht="21.75" customHeight="1">
      <c r="A2042" s="151"/>
      <c r="B2042" s="219"/>
      <c r="C2042" s="219"/>
      <c r="D2042" s="219"/>
      <c r="E2042" s="225"/>
      <c r="N2042" s="143"/>
      <c r="O2042" s="143"/>
      <c r="P2042" s="143"/>
      <c r="Q2042" s="143"/>
      <c r="R2042" s="143"/>
      <c r="S2042" s="143"/>
      <c r="T2042" s="143"/>
      <c r="U2042" s="143"/>
      <c r="V2042" s="143"/>
      <c r="W2042" s="143"/>
      <c r="X2042" s="143"/>
      <c r="Y2042" s="143"/>
      <c r="Z2042" s="143"/>
      <c r="AA2042" s="143"/>
      <c r="AB2042" s="143"/>
      <c r="AC2042" s="143"/>
      <c r="AD2042" s="143"/>
      <c r="AE2042" s="143"/>
      <c r="AF2042" s="143"/>
      <c r="AG2042" s="143"/>
      <c r="AH2042" s="143"/>
      <c r="AI2042" s="143"/>
      <c r="AJ2042" s="143"/>
    </row>
    <row r="2043" spans="1:36" s="144" customFormat="1" ht="21.75" customHeight="1">
      <c r="A2043" s="151"/>
      <c r="B2043" s="219"/>
      <c r="C2043" s="219"/>
      <c r="D2043" s="219"/>
      <c r="E2043" s="225"/>
      <c r="N2043" s="143"/>
      <c r="O2043" s="143"/>
      <c r="P2043" s="143"/>
      <c r="Q2043" s="143"/>
      <c r="R2043" s="143"/>
      <c r="S2043" s="143"/>
      <c r="T2043" s="143"/>
      <c r="U2043" s="143"/>
      <c r="V2043" s="143"/>
      <c r="W2043" s="143"/>
      <c r="X2043" s="143"/>
      <c r="Y2043" s="143"/>
      <c r="Z2043" s="143"/>
      <c r="AA2043" s="143"/>
      <c r="AB2043" s="143"/>
      <c r="AC2043" s="143"/>
      <c r="AD2043" s="143"/>
      <c r="AE2043" s="143"/>
      <c r="AF2043" s="143"/>
      <c r="AG2043" s="143"/>
      <c r="AH2043" s="143"/>
      <c r="AI2043" s="143"/>
      <c r="AJ2043" s="143"/>
    </row>
    <row r="2044" spans="1:36" s="144" customFormat="1" ht="21.75" customHeight="1">
      <c r="A2044" s="151"/>
      <c r="B2044" s="219"/>
      <c r="C2044" s="219"/>
      <c r="D2044" s="219"/>
      <c r="E2044" s="225"/>
      <c r="N2044" s="143"/>
      <c r="O2044" s="143"/>
      <c r="P2044" s="143"/>
      <c r="Q2044" s="143"/>
      <c r="R2044" s="143"/>
      <c r="S2044" s="143"/>
      <c r="T2044" s="143"/>
      <c r="U2044" s="143"/>
      <c r="V2044" s="143"/>
      <c r="W2044" s="143"/>
      <c r="X2044" s="143"/>
      <c r="Y2044" s="143"/>
      <c r="Z2044" s="143"/>
      <c r="AA2044" s="143"/>
      <c r="AB2044" s="143"/>
      <c r="AC2044" s="143"/>
      <c r="AD2044" s="143"/>
      <c r="AE2044" s="143"/>
      <c r="AF2044" s="143"/>
      <c r="AG2044" s="143"/>
      <c r="AH2044" s="143"/>
      <c r="AI2044" s="143"/>
      <c r="AJ2044" s="143"/>
    </row>
    <row r="2045" spans="1:36" s="144" customFormat="1" ht="21.75" customHeight="1">
      <c r="A2045" s="151"/>
      <c r="B2045" s="219"/>
      <c r="C2045" s="219"/>
      <c r="D2045" s="219"/>
      <c r="E2045" s="225"/>
      <c r="N2045" s="143"/>
      <c r="O2045" s="143"/>
      <c r="P2045" s="143"/>
      <c r="Q2045" s="143"/>
      <c r="R2045" s="143"/>
      <c r="S2045" s="143"/>
      <c r="T2045" s="143"/>
      <c r="U2045" s="143"/>
      <c r="V2045" s="143"/>
      <c r="W2045" s="143"/>
      <c r="X2045" s="143"/>
      <c r="Y2045" s="143"/>
      <c r="Z2045" s="143"/>
      <c r="AA2045" s="143"/>
      <c r="AB2045" s="143"/>
      <c r="AC2045" s="143"/>
      <c r="AD2045" s="143"/>
      <c r="AE2045" s="143"/>
      <c r="AF2045" s="143"/>
      <c r="AG2045" s="143"/>
      <c r="AH2045" s="143"/>
      <c r="AI2045" s="143"/>
      <c r="AJ2045" s="143"/>
    </row>
    <row r="2046" spans="1:36" s="144" customFormat="1" ht="21.75" customHeight="1">
      <c r="A2046" s="151"/>
      <c r="B2046" s="219"/>
      <c r="C2046" s="219"/>
      <c r="D2046" s="219"/>
      <c r="E2046" s="225"/>
      <c r="N2046" s="143"/>
      <c r="O2046" s="143"/>
      <c r="P2046" s="143"/>
      <c r="Q2046" s="143"/>
      <c r="R2046" s="143"/>
      <c r="S2046" s="143"/>
      <c r="T2046" s="143"/>
      <c r="U2046" s="143"/>
      <c r="V2046" s="143"/>
      <c r="W2046" s="143"/>
      <c r="X2046" s="143"/>
      <c r="Y2046" s="143"/>
      <c r="Z2046" s="143"/>
      <c r="AA2046" s="143"/>
      <c r="AB2046" s="143"/>
      <c r="AC2046" s="143"/>
      <c r="AD2046" s="143"/>
      <c r="AE2046" s="143"/>
      <c r="AF2046" s="143"/>
      <c r="AG2046" s="143"/>
      <c r="AH2046" s="143"/>
      <c r="AI2046" s="143"/>
      <c r="AJ2046" s="143"/>
    </row>
    <row r="2047" spans="1:36" s="144" customFormat="1" ht="21.75" customHeight="1">
      <c r="A2047" s="151"/>
      <c r="B2047" s="219"/>
      <c r="C2047" s="219"/>
      <c r="D2047" s="219"/>
      <c r="E2047" s="225"/>
      <c r="N2047" s="143"/>
      <c r="O2047" s="143"/>
      <c r="P2047" s="143"/>
      <c r="Q2047" s="143"/>
      <c r="R2047" s="143"/>
      <c r="S2047" s="143"/>
      <c r="T2047" s="143"/>
      <c r="U2047" s="143"/>
      <c r="V2047" s="143"/>
      <c r="W2047" s="143"/>
      <c r="X2047" s="143"/>
      <c r="Y2047" s="143"/>
      <c r="Z2047" s="143"/>
      <c r="AA2047" s="143"/>
      <c r="AB2047" s="143"/>
      <c r="AC2047" s="143"/>
      <c r="AD2047" s="143"/>
      <c r="AE2047" s="143"/>
      <c r="AF2047" s="143"/>
      <c r="AG2047" s="143"/>
      <c r="AH2047" s="143"/>
      <c r="AI2047" s="143"/>
      <c r="AJ2047" s="143"/>
    </row>
    <row r="2048" spans="1:36" s="144" customFormat="1" ht="21.75" customHeight="1">
      <c r="A2048" s="151"/>
      <c r="B2048" s="219"/>
      <c r="C2048" s="219"/>
      <c r="D2048" s="219"/>
      <c r="E2048" s="225"/>
      <c r="N2048" s="143"/>
      <c r="O2048" s="143"/>
      <c r="P2048" s="143"/>
      <c r="Q2048" s="143"/>
      <c r="R2048" s="143"/>
      <c r="S2048" s="143"/>
      <c r="T2048" s="143"/>
      <c r="U2048" s="143"/>
      <c r="V2048" s="143"/>
      <c r="W2048" s="143"/>
      <c r="X2048" s="143"/>
      <c r="Y2048" s="143"/>
      <c r="Z2048" s="143"/>
      <c r="AA2048" s="143"/>
      <c r="AB2048" s="143"/>
      <c r="AC2048" s="143"/>
      <c r="AD2048" s="143"/>
      <c r="AE2048" s="143"/>
      <c r="AF2048" s="143"/>
      <c r="AG2048" s="143"/>
      <c r="AH2048" s="143"/>
      <c r="AI2048" s="143"/>
      <c r="AJ2048" s="143"/>
    </row>
    <row r="2049" spans="1:36" s="144" customFormat="1" ht="21.75" customHeight="1">
      <c r="A2049" s="151"/>
      <c r="B2049" s="219"/>
      <c r="C2049" s="219"/>
      <c r="D2049" s="219"/>
      <c r="E2049" s="225"/>
      <c r="N2049" s="143"/>
      <c r="O2049" s="143"/>
      <c r="P2049" s="143"/>
      <c r="Q2049" s="143"/>
      <c r="R2049" s="143"/>
      <c r="S2049" s="143"/>
      <c r="T2049" s="143"/>
      <c r="U2049" s="143"/>
      <c r="V2049" s="143"/>
      <c r="W2049" s="143"/>
      <c r="X2049" s="143"/>
      <c r="Y2049" s="143"/>
      <c r="Z2049" s="143"/>
      <c r="AA2049" s="143"/>
      <c r="AB2049" s="143"/>
      <c r="AC2049" s="143"/>
      <c r="AD2049" s="143"/>
      <c r="AE2049" s="143"/>
      <c r="AF2049" s="143"/>
      <c r="AG2049" s="143"/>
      <c r="AH2049" s="143"/>
      <c r="AI2049" s="143"/>
      <c r="AJ2049" s="143"/>
    </row>
    <row r="2050" spans="1:36" s="144" customFormat="1" ht="21.75" customHeight="1">
      <c r="A2050" s="151"/>
      <c r="B2050" s="219"/>
      <c r="C2050" s="219"/>
      <c r="D2050" s="219"/>
      <c r="E2050" s="225"/>
      <c r="N2050" s="143"/>
      <c r="O2050" s="143"/>
      <c r="P2050" s="143"/>
      <c r="Q2050" s="143"/>
      <c r="R2050" s="143"/>
      <c r="S2050" s="143"/>
      <c r="T2050" s="143"/>
      <c r="U2050" s="143"/>
      <c r="V2050" s="143"/>
      <c r="W2050" s="143"/>
      <c r="X2050" s="143"/>
      <c r="Y2050" s="143"/>
      <c r="Z2050" s="143"/>
      <c r="AA2050" s="143"/>
      <c r="AB2050" s="143"/>
      <c r="AC2050" s="143"/>
      <c r="AD2050" s="143"/>
      <c r="AE2050" s="143"/>
      <c r="AF2050" s="143"/>
      <c r="AG2050" s="143"/>
      <c r="AH2050" s="143"/>
      <c r="AI2050" s="143"/>
      <c r="AJ2050" s="143"/>
    </row>
    <row r="2051" spans="1:36" s="144" customFormat="1" ht="21.75" customHeight="1">
      <c r="A2051" s="151"/>
      <c r="B2051" s="219"/>
      <c r="C2051" s="219"/>
      <c r="D2051" s="219"/>
      <c r="E2051" s="225"/>
      <c r="N2051" s="143"/>
      <c r="O2051" s="143"/>
      <c r="P2051" s="143"/>
      <c r="Q2051" s="143"/>
      <c r="R2051" s="143"/>
      <c r="S2051" s="143"/>
      <c r="T2051" s="143"/>
      <c r="U2051" s="143"/>
      <c r="V2051" s="143"/>
      <c r="W2051" s="143"/>
      <c r="X2051" s="143"/>
      <c r="Y2051" s="143"/>
      <c r="Z2051" s="143"/>
      <c r="AA2051" s="143"/>
      <c r="AB2051" s="143"/>
      <c r="AC2051" s="143"/>
      <c r="AD2051" s="143"/>
      <c r="AE2051" s="143"/>
      <c r="AF2051" s="143"/>
      <c r="AG2051" s="143"/>
      <c r="AH2051" s="143"/>
      <c r="AI2051" s="143"/>
      <c r="AJ2051" s="143"/>
    </row>
    <row r="2052" spans="1:36" s="144" customFormat="1" ht="21.75" customHeight="1">
      <c r="A2052" s="151"/>
      <c r="B2052" s="219"/>
      <c r="C2052" s="219"/>
      <c r="D2052" s="219"/>
      <c r="E2052" s="225"/>
      <c r="N2052" s="143"/>
      <c r="O2052" s="143"/>
      <c r="P2052" s="143"/>
      <c r="Q2052" s="143"/>
      <c r="R2052" s="143"/>
      <c r="S2052" s="143"/>
      <c r="T2052" s="143"/>
      <c r="U2052" s="143"/>
      <c r="V2052" s="143"/>
      <c r="W2052" s="143"/>
      <c r="X2052" s="143"/>
      <c r="Y2052" s="143"/>
      <c r="Z2052" s="143"/>
      <c r="AA2052" s="143"/>
      <c r="AB2052" s="143"/>
      <c r="AC2052" s="143"/>
      <c r="AD2052" s="143"/>
      <c r="AE2052" s="143"/>
      <c r="AF2052" s="143"/>
      <c r="AG2052" s="143"/>
      <c r="AH2052" s="143"/>
      <c r="AI2052" s="143"/>
      <c r="AJ2052" s="143"/>
    </row>
    <row r="2053" spans="1:36" s="144" customFormat="1" ht="21.75" customHeight="1">
      <c r="A2053" s="151"/>
      <c r="B2053" s="219"/>
      <c r="C2053" s="219"/>
      <c r="D2053" s="219"/>
      <c r="E2053" s="225"/>
      <c r="N2053" s="143"/>
      <c r="O2053" s="143"/>
      <c r="P2053" s="143"/>
      <c r="Q2053" s="143"/>
      <c r="R2053" s="143"/>
      <c r="S2053" s="143"/>
      <c r="T2053" s="143"/>
      <c r="U2053" s="143"/>
      <c r="V2053" s="143"/>
      <c r="W2053" s="143"/>
      <c r="X2053" s="143"/>
      <c r="Y2053" s="143"/>
      <c r="Z2053" s="143"/>
      <c r="AA2053" s="143"/>
      <c r="AB2053" s="143"/>
      <c r="AC2053" s="143"/>
      <c r="AD2053" s="143"/>
      <c r="AE2053" s="143"/>
      <c r="AF2053" s="143"/>
      <c r="AG2053" s="143"/>
      <c r="AH2053" s="143"/>
      <c r="AI2053" s="143"/>
      <c r="AJ2053" s="143"/>
    </row>
    <row r="2054" spans="1:36" s="144" customFormat="1" ht="21.75" customHeight="1">
      <c r="A2054" s="151"/>
      <c r="B2054" s="219"/>
      <c r="C2054" s="219"/>
      <c r="D2054" s="219"/>
      <c r="E2054" s="225"/>
      <c r="N2054" s="143"/>
      <c r="O2054" s="143"/>
      <c r="P2054" s="143"/>
      <c r="Q2054" s="143"/>
      <c r="R2054" s="143"/>
      <c r="S2054" s="143"/>
      <c r="T2054" s="143"/>
      <c r="U2054" s="143"/>
      <c r="V2054" s="143"/>
      <c r="W2054" s="143"/>
      <c r="X2054" s="143"/>
      <c r="Y2054" s="143"/>
      <c r="Z2054" s="143"/>
      <c r="AA2054" s="143"/>
      <c r="AB2054" s="143"/>
      <c r="AC2054" s="143"/>
      <c r="AD2054" s="143"/>
      <c r="AE2054" s="143"/>
      <c r="AF2054" s="143"/>
      <c r="AG2054" s="143"/>
      <c r="AH2054" s="143"/>
      <c r="AI2054" s="143"/>
      <c r="AJ2054" s="143"/>
    </row>
    <row r="2055" spans="1:36" s="144" customFormat="1" ht="21.75" customHeight="1">
      <c r="A2055" s="151"/>
      <c r="B2055" s="219"/>
      <c r="C2055" s="219"/>
      <c r="D2055" s="219"/>
      <c r="E2055" s="225"/>
      <c r="N2055" s="143"/>
      <c r="O2055" s="143"/>
      <c r="P2055" s="143"/>
      <c r="Q2055" s="143"/>
      <c r="R2055" s="143"/>
      <c r="S2055" s="143"/>
      <c r="T2055" s="143"/>
      <c r="U2055" s="143"/>
      <c r="V2055" s="143"/>
      <c r="W2055" s="143"/>
      <c r="X2055" s="143"/>
      <c r="Y2055" s="143"/>
      <c r="Z2055" s="143"/>
      <c r="AA2055" s="143"/>
      <c r="AB2055" s="143"/>
      <c r="AC2055" s="143"/>
      <c r="AD2055" s="143"/>
      <c r="AE2055" s="143"/>
      <c r="AF2055" s="143"/>
      <c r="AG2055" s="143"/>
      <c r="AH2055" s="143"/>
      <c r="AI2055" s="143"/>
      <c r="AJ2055" s="143"/>
    </row>
    <row r="2056" spans="1:36" s="144" customFormat="1" ht="21.75" customHeight="1">
      <c r="A2056" s="151"/>
      <c r="B2056" s="219"/>
      <c r="C2056" s="219"/>
      <c r="D2056" s="219"/>
      <c r="E2056" s="225"/>
      <c r="N2056" s="143"/>
      <c r="O2056" s="143"/>
      <c r="P2056" s="143"/>
      <c r="Q2056" s="143"/>
      <c r="R2056" s="143"/>
      <c r="S2056" s="143"/>
      <c r="T2056" s="143"/>
      <c r="U2056" s="143"/>
      <c r="V2056" s="143"/>
      <c r="W2056" s="143"/>
      <c r="X2056" s="143"/>
      <c r="Y2056" s="143"/>
      <c r="Z2056" s="143"/>
      <c r="AA2056" s="143"/>
      <c r="AB2056" s="143"/>
      <c r="AC2056" s="143"/>
      <c r="AD2056" s="143"/>
      <c r="AE2056" s="143"/>
      <c r="AF2056" s="143"/>
      <c r="AG2056" s="143"/>
      <c r="AH2056" s="143"/>
      <c r="AI2056" s="143"/>
      <c r="AJ2056" s="143"/>
    </row>
    <row r="2057" spans="1:36" s="144" customFormat="1" ht="21.75" customHeight="1">
      <c r="A2057" s="151"/>
      <c r="B2057" s="219"/>
      <c r="C2057" s="219"/>
      <c r="D2057" s="219"/>
      <c r="E2057" s="225"/>
      <c r="N2057" s="143"/>
      <c r="O2057" s="143"/>
      <c r="P2057" s="143"/>
      <c r="Q2057" s="143"/>
      <c r="R2057" s="143"/>
      <c r="S2057" s="143"/>
      <c r="T2057" s="143"/>
      <c r="U2057" s="143"/>
      <c r="V2057" s="143"/>
      <c r="W2057" s="143"/>
      <c r="X2057" s="143"/>
      <c r="Y2057" s="143"/>
      <c r="Z2057" s="143"/>
      <c r="AA2057" s="143"/>
      <c r="AB2057" s="143"/>
      <c r="AC2057" s="143"/>
      <c r="AD2057" s="143"/>
      <c r="AE2057" s="143"/>
      <c r="AF2057" s="143"/>
      <c r="AG2057" s="143"/>
      <c r="AH2057" s="143"/>
      <c r="AI2057" s="143"/>
      <c r="AJ2057" s="143"/>
    </row>
    <row r="2058" spans="1:36" s="144" customFormat="1" ht="21.75" customHeight="1">
      <c r="A2058" s="151"/>
      <c r="B2058" s="219"/>
      <c r="C2058" s="219"/>
      <c r="D2058" s="219"/>
      <c r="E2058" s="225"/>
      <c r="N2058" s="143"/>
      <c r="O2058" s="143"/>
      <c r="P2058" s="143"/>
      <c r="Q2058" s="143"/>
      <c r="R2058" s="143"/>
      <c r="S2058" s="143"/>
      <c r="T2058" s="143"/>
      <c r="U2058" s="143"/>
      <c r="V2058" s="143"/>
      <c r="W2058" s="143"/>
      <c r="X2058" s="143"/>
      <c r="Y2058" s="143"/>
      <c r="Z2058" s="143"/>
      <c r="AA2058" s="143"/>
      <c r="AB2058" s="143"/>
      <c r="AC2058" s="143"/>
      <c r="AD2058" s="143"/>
      <c r="AE2058" s="143"/>
      <c r="AF2058" s="143"/>
      <c r="AG2058" s="143"/>
      <c r="AH2058" s="143"/>
      <c r="AI2058" s="143"/>
      <c r="AJ2058" s="143"/>
    </row>
    <row r="2059" spans="1:36" s="144" customFormat="1" ht="21.75" customHeight="1">
      <c r="A2059" s="151"/>
      <c r="B2059" s="219"/>
      <c r="C2059" s="219"/>
      <c r="D2059" s="219"/>
      <c r="E2059" s="225"/>
      <c r="N2059" s="143"/>
      <c r="O2059" s="143"/>
      <c r="P2059" s="143"/>
      <c r="Q2059" s="143"/>
      <c r="R2059" s="143"/>
      <c r="S2059" s="143"/>
      <c r="T2059" s="143"/>
      <c r="U2059" s="143"/>
      <c r="V2059" s="143"/>
      <c r="W2059" s="143"/>
      <c r="X2059" s="143"/>
      <c r="Y2059" s="143"/>
      <c r="Z2059" s="143"/>
      <c r="AA2059" s="143"/>
      <c r="AB2059" s="143"/>
      <c r="AC2059" s="143"/>
      <c r="AD2059" s="143"/>
      <c r="AE2059" s="143"/>
      <c r="AF2059" s="143"/>
      <c r="AG2059" s="143"/>
      <c r="AH2059" s="143"/>
      <c r="AI2059" s="143"/>
      <c r="AJ2059" s="143"/>
    </row>
    <row r="2060" spans="1:36" s="144" customFormat="1" ht="21.75" customHeight="1">
      <c r="A2060" s="151"/>
      <c r="B2060" s="219"/>
      <c r="C2060" s="219"/>
      <c r="D2060" s="219"/>
      <c r="E2060" s="225"/>
      <c r="N2060" s="143"/>
      <c r="O2060" s="143"/>
      <c r="P2060" s="143"/>
      <c r="Q2060" s="143"/>
      <c r="R2060" s="143"/>
      <c r="S2060" s="143"/>
      <c r="T2060" s="143"/>
      <c r="U2060" s="143"/>
      <c r="V2060" s="143"/>
      <c r="W2060" s="143"/>
      <c r="X2060" s="143"/>
      <c r="Y2060" s="143"/>
      <c r="Z2060" s="143"/>
      <c r="AA2060" s="143"/>
      <c r="AB2060" s="143"/>
      <c r="AC2060" s="143"/>
      <c r="AD2060" s="143"/>
      <c r="AE2060" s="143"/>
      <c r="AF2060" s="143"/>
      <c r="AG2060" s="143"/>
      <c r="AH2060" s="143"/>
      <c r="AI2060" s="143"/>
      <c r="AJ2060" s="143"/>
    </row>
    <row r="2061" spans="1:36" s="144" customFormat="1" ht="21.75" customHeight="1">
      <c r="A2061" s="151"/>
      <c r="B2061" s="219"/>
      <c r="C2061" s="219"/>
      <c r="D2061" s="219"/>
      <c r="E2061" s="225"/>
      <c r="N2061" s="143"/>
      <c r="O2061" s="143"/>
      <c r="P2061" s="143"/>
      <c r="Q2061" s="143"/>
      <c r="R2061" s="143"/>
      <c r="S2061" s="143"/>
      <c r="T2061" s="143"/>
      <c r="U2061" s="143"/>
      <c r="V2061" s="143"/>
      <c r="W2061" s="143"/>
      <c r="X2061" s="143"/>
      <c r="Y2061" s="143"/>
      <c r="Z2061" s="143"/>
      <c r="AA2061" s="143"/>
      <c r="AB2061" s="143"/>
      <c r="AC2061" s="143"/>
      <c r="AD2061" s="143"/>
      <c r="AE2061" s="143"/>
      <c r="AF2061" s="143"/>
      <c r="AG2061" s="143"/>
      <c r="AH2061" s="143"/>
      <c r="AI2061" s="143"/>
      <c r="AJ2061" s="143"/>
    </row>
    <row r="2062" spans="1:36" s="144" customFormat="1" ht="21.75" customHeight="1">
      <c r="A2062" s="151"/>
      <c r="B2062" s="219"/>
      <c r="C2062" s="219"/>
      <c r="D2062" s="219"/>
      <c r="E2062" s="225"/>
      <c r="N2062" s="143"/>
      <c r="O2062" s="143"/>
      <c r="P2062" s="143"/>
      <c r="Q2062" s="143"/>
      <c r="R2062" s="143"/>
      <c r="S2062" s="143"/>
      <c r="T2062" s="143"/>
      <c r="U2062" s="143"/>
      <c r="V2062" s="143"/>
      <c r="W2062" s="143"/>
      <c r="X2062" s="143"/>
      <c r="Y2062" s="143"/>
      <c r="Z2062" s="143"/>
      <c r="AA2062" s="143"/>
      <c r="AB2062" s="143"/>
      <c r="AC2062" s="143"/>
      <c r="AD2062" s="143"/>
      <c r="AE2062" s="143"/>
      <c r="AF2062" s="143"/>
      <c r="AG2062" s="143"/>
      <c r="AH2062" s="143"/>
      <c r="AI2062" s="143"/>
      <c r="AJ2062" s="143"/>
    </row>
    <row r="2063" spans="1:36" s="144" customFormat="1" ht="21.75" customHeight="1">
      <c r="A2063" s="151"/>
      <c r="B2063" s="219"/>
      <c r="C2063" s="219"/>
      <c r="D2063" s="219"/>
      <c r="E2063" s="225"/>
      <c r="N2063" s="143"/>
      <c r="O2063" s="143"/>
      <c r="P2063" s="143"/>
      <c r="Q2063" s="143"/>
      <c r="R2063" s="143"/>
      <c r="S2063" s="143"/>
      <c r="T2063" s="143"/>
      <c r="U2063" s="143"/>
      <c r="V2063" s="143"/>
      <c r="W2063" s="143"/>
      <c r="X2063" s="143"/>
      <c r="Y2063" s="143"/>
      <c r="Z2063" s="143"/>
      <c r="AA2063" s="143"/>
      <c r="AB2063" s="143"/>
      <c r="AC2063" s="143"/>
      <c r="AD2063" s="143"/>
      <c r="AE2063" s="143"/>
      <c r="AF2063" s="143"/>
      <c r="AG2063" s="143"/>
      <c r="AH2063" s="143"/>
      <c r="AI2063" s="143"/>
      <c r="AJ2063" s="143"/>
    </row>
    <row r="2064" spans="1:36" s="144" customFormat="1" ht="21.75" customHeight="1">
      <c r="A2064" s="151"/>
      <c r="B2064" s="219"/>
      <c r="C2064" s="219"/>
      <c r="D2064" s="219"/>
      <c r="E2064" s="225"/>
      <c r="N2064" s="143"/>
      <c r="O2064" s="143"/>
      <c r="P2064" s="143"/>
      <c r="Q2064" s="143"/>
      <c r="R2064" s="143"/>
      <c r="S2064" s="143"/>
      <c r="T2064" s="143"/>
      <c r="U2064" s="143"/>
      <c r="V2064" s="143"/>
      <c r="W2064" s="143"/>
      <c r="X2064" s="143"/>
      <c r="Y2064" s="143"/>
      <c r="Z2064" s="143"/>
      <c r="AA2064" s="143"/>
      <c r="AB2064" s="143"/>
      <c r="AC2064" s="143"/>
      <c r="AD2064" s="143"/>
      <c r="AE2064" s="143"/>
      <c r="AF2064" s="143"/>
      <c r="AG2064" s="143"/>
      <c r="AH2064" s="143"/>
      <c r="AI2064" s="143"/>
      <c r="AJ2064" s="143"/>
    </row>
    <row r="2065" spans="1:36" s="144" customFormat="1" ht="21.75" customHeight="1">
      <c r="A2065" s="151"/>
      <c r="B2065" s="219"/>
      <c r="C2065" s="219"/>
      <c r="D2065" s="219"/>
      <c r="E2065" s="225"/>
      <c r="N2065" s="143"/>
      <c r="O2065" s="143"/>
      <c r="P2065" s="143"/>
      <c r="Q2065" s="143"/>
      <c r="R2065" s="143"/>
      <c r="S2065" s="143"/>
      <c r="T2065" s="143"/>
      <c r="U2065" s="143"/>
      <c r="V2065" s="143"/>
      <c r="W2065" s="143"/>
      <c r="X2065" s="143"/>
      <c r="Y2065" s="143"/>
      <c r="Z2065" s="143"/>
      <c r="AA2065" s="143"/>
      <c r="AB2065" s="143"/>
      <c r="AC2065" s="143"/>
      <c r="AD2065" s="143"/>
      <c r="AE2065" s="143"/>
      <c r="AF2065" s="143"/>
      <c r="AG2065" s="143"/>
      <c r="AH2065" s="143"/>
      <c r="AI2065" s="143"/>
      <c r="AJ2065" s="143"/>
    </row>
    <row r="2066" spans="1:36" s="144" customFormat="1" ht="21.75" customHeight="1">
      <c r="A2066" s="151"/>
      <c r="B2066" s="219"/>
      <c r="C2066" s="219"/>
      <c r="D2066" s="219"/>
      <c r="E2066" s="225"/>
      <c r="N2066" s="143"/>
      <c r="O2066" s="143"/>
      <c r="P2066" s="143"/>
      <c r="Q2066" s="143"/>
      <c r="R2066" s="143"/>
      <c r="S2066" s="143"/>
      <c r="T2066" s="143"/>
      <c r="U2066" s="143"/>
      <c r="V2066" s="143"/>
      <c r="W2066" s="143"/>
      <c r="X2066" s="143"/>
      <c r="Y2066" s="143"/>
      <c r="Z2066" s="143"/>
      <c r="AA2066" s="143"/>
      <c r="AB2066" s="143"/>
      <c r="AC2066" s="143"/>
      <c r="AD2066" s="143"/>
      <c r="AE2066" s="143"/>
      <c r="AF2066" s="143"/>
      <c r="AG2066" s="143"/>
      <c r="AH2066" s="143"/>
      <c r="AI2066" s="143"/>
      <c r="AJ2066" s="143"/>
    </row>
    <row r="2067" spans="1:36" s="144" customFormat="1" ht="21.75" customHeight="1">
      <c r="A2067" s="151"/>
      <c r="B2067" s="219"/>
      <c r="C2067" s="219"/>
      <c r="D2067" s="219"/>
      <c r="E2067" s="225"/>
      <c r="N2067" s="143"/>
      <c r="O2067" s="143"/>
      <c r="P2067" s="143"/>
      <c r="Q2067" s="143"/>
      <c r="R2067" s="143"/>
      <c r="S2067" s="143"/>
      <c r="T2067" s="143"/>
      <c r="U2067" s="143"/>
      <c r="V2067" s="143"/>
      <c r="W2067" s="143"/>
      <c r="X2067" s="143"/>
      <c r="Y2067" s="143"/>
      <c r="Z2067" s="143"/>
      <c r="AA2067" s="143"/>
      <c r="AB2067" s="143"/>
      <c r="AC2067" s="143"/>
      <c r="AD2067" s="143"/>
      <c r="AE2067" s="143"/>
      <c r="AF2067" s="143"/>
      <c r="AG2067" s="143"/>
      <c r="AH2067" s="143"/>
      <c r="AI2067" s="143"/>
      <c r="AJ2067" s="143"/>
    </row>
    <row r="2068" spans="1:36" s="144" customFormat="1" ht="21.75" customHeight="1">
      <c r="A2068" s="151"/>
      <c r="B2068" s="219"/>
      <c r="C2068" s="219"/>
      <c r="D2068" s="219"/>
      <c r="E2068" s="225"/>
      <c r="N2068" s="143"/>
      <c r="O2068" s="143"/>
      <c r="P2068" s="143"/>
      <c r="Q2068" s="143"/>
      <c r="R2068" s="143"/>
      <c r="S2068" s="143"/>
      <c r="T2068" s="143"/>
      <c r="U2068" s="143"/>
      <c r="V2068" s="143"/>
      <c r="W2068" s="143"/>
      <c r="X2068" s="143"/>
      <c r="Y2068" s="143"/>
      <c r="Z2068" s="143"/>
      <c r="AA2068" s="143"/>
      <c r="AB2068" s="143"/>
      <c r="AC2068" s="143"/>
      <c r="AD2068" s="143"/>
      <c r="AE2068" s="143"/>
      <c r="AF2068" s="143"/>
      <c r="AG2068" s="143"/>
      <c r="AH2068" s="143"/>
      <c r="AI2068" s="143"/>
      <c r="AJ2068" s="143"/>
    </row>
    <row r="2069" spans="1:36" s="144" customFormat="1" ht="21.75" customHeight="1">
      <c r="A2069" s="151"/>
      <c r="B2069" s="219"/>
      <c r="C2069" s="219"/>
      <c r="D2069" s="219"/>
      <c r="E2069" s="225"/>
      <c r="N2069" s="143"/>
      <c r="O2069" s="143"/>
      <c r="P2069" s="143"/>
      <c r="Q2069" s="143"/>
      <c r="R2069" s="143"/>
      <c r="S2069" s="143"/>
      <c r="T2069" s="143"/>
      <c r="U2069" s="143"/>
      <c r="V2069" s="143"/>
      <c r="W2069" s="143"/>
      <c r="X2069" s="143"/>
      <c r="Y2069" s="143"/>
      <c r="Z2069" s="143"/>
      <c r="AA2069" s="143"/>
      <c r="AB2069" s="143"/>
      <c r="AC2069" s="143"/>
      <c r="AD2069" s="143"/>
      <c r="AE2069" s="143"/>
      <c r="AF2069" s="143"/>
      <c r="AG2069" s="143"/>
      <c r="AH2069" s="143"/>
      <c r="AI2069" s="143"/>
      <c r="AJ2069" s="143"/>
    </row>
    <row r="2070" spans="1:36" s="144" customFormat="1" ht="21.75" customHeight="1">
      <c r="A2070" s="151"/>
      <c r="B2070" s="219"/>
      <c r="C2070" s="219"/>
      <c r="D2070" s="219"/>
      <c r="E2070" s="225"/>
      <c r="N2070" s="143"/>
      <c r="O2070" s="143"/>
      <c r="P2070" s="143"/>
      <c r="Q2070" s="143"/>
      <c r="R2070" s="143"/>
      <c r="S2070" s="143"/>
      <c r="T2070" s="143"/>
      <c r="U2070" s="143"/>
      <c r="V2070" s="143"/>
      <c r="W2070" s="143"/>
      <c r="X2070" s="143"/>
      <c r="Y2070" s="143"/>
      <c r="Z2070" s="143"/>
      <c r="AA2070" s="143"/>
      <c r="AB2070" s="143"/>
      <c r="AC2070" s="143"/>
      <c r="AD2070" s="143"/>
      <c r="AE2070" s="143"/>
      <c r="AF2070" s="143"/>
      <c r="AG2070" s="143"/>
      <c r="AH2070" s="143"/>
      <c r="AI2070" s="143"/>
      <c r="AJ2070" s="143"/>
    </row>
    <row r="2071" spans="1:36" s="144" customFormat="1" ht="21.75" customHeight="1">
      <c r="A2071" s="151"/>
      <c r="B2071" s="219"/>
      <c r="C2071" s="219"/>
      <c r="D2071" s="219"/>
      <c r="E2071" s="225"/>
      <c r="N2071" s="143"/>
      <c r="O2071" s="143"/>
      <c r="P2071" s="143"/>
      <c r="Q2071" s="143"/>
      <c r="R2071" s="143"/>
      <c r="S2071" s="143"/>
      <c r="T2071" s="143"/>
      <c r="U2071" s="143"/>
      <c r="V2071" s="143"/>
      <c r="W2071" s="143"/>
      <c r="X2071" s="143"/>
      <c r="Y2071" s="143"/>
      <c r="Z2071" s="143"/>
      <c r="AA2071" s="143"/>
      <c r="AB2071" s="143"/>
      <c r="AC2071" s="143"/>
      <c r="AD2071" s="143"/>
      <c r="AE2071" s="143"/>
      <c r="AF2071" s="143"/>
      <c r="AG2071" s="143"/>
      <c r="AH2071" s="143"/>
      <c r="AI2071" s="143"/>
      <c r="AJ2071" s="143"/>
    </row>
    <row r="2072" spans="1:36" s="144" customFormat="1" ht="21.75" customHeight="1">
      <c r="A2072" s="151"/>
      <c r="B2072" s="219"/>
      <c r="C2072" s="219"/>
      <c r="D2072" s="219"/>
      <c r="E2072" s="225"/>
      <c r="N2072" s="143"/>
      <c r="O2072" s="143"/>
      <c r="P2072" s="143"/>
      <c r="Q2072" s="143"/>
      <c r="R2072" s="143"/>
      <c r="S2072" s="143"/>
      <c r="T2072" s="143"/>
      <c r="U2072" s="143"/>
      <c r="V2072" s="143"/>
      <c r="W2072" s="143"/>
      <c r="X2072" s="143"/>
      <c r="Y2072" s="143"/>
      <c r="Z2072" s="143"/>
      <c r="AA2072" s="143"/>
      <c r="AB2072" s="143"/>
      <c r="AC2072" s="143"/>
      <c r="AD2072" s="143"/>
      <c r="AE2072" s="143"/>
      <c r="AF2072" s="143"/>
      <c r="AG2072" s="143"/>
      <c r="AH2072" s="143"/>
      <c r="AI2072" s="143"/>
      <c r="AJ2072" s="143"/>
    </row>
    <row r="2073" spans="1:36" s="144" customFormat="1" ht="21.75" customHeight="1">
      <c r="A2073" s="151"/>
      <c r="B2073" s="219"/>
      <c r="C2073" s="219"/>
      <c r="D2073" s="219"/>
      <c r="E2073" s="225"/>
      <c r="N2073" s="143"/>
      <c r="O2073" s="143"/>
      <c r="P2073" s="143"/>
      <c r="Q2073" s="143"/>
      <c r="R2073" s="143"/>
      <c r="S2073" s="143"/>
      <c r="T2073" s="143"/>
      <c r="U2073" s="143"/>
      <c r="V2073" s="143"/>
      <c r="W2073" s="143"/>
      <c r="X2073" s="143"/>
      <c r="Y2073" s="143"/>
      <c r="Z2073" s="143"/>
      <c r="AA2073" s="143"/>
      <c r="AB2073" s="143"/>
      <c r="AC2073" s="143"/>
      <c r="AD2073" s="143"/>
      <c r="AE2073" s="143"/>
      <c r="AF2073" s="143"/>
      <c r="AG2073" s="143"/>
      <c r="AH2073" s="143"/>
      <c r="AI2073" s="143"/>
      <c r="AJ2073" s="143"/>
    </row>
    <row r="2074" spans="1:36" s="144" customFormat="1" ht="21.75" customHeight="1">
      <c r="A2074" s="151"/>
      <c r="B2074" s="219"/>
      <c r="C2074" s="219"/>
      <c r="D2074" s="219"/>
      <c r="E2074" s="225"/>
      <c r="N2074" s="143"/>
      <c r="O2074" s="143"/>
      <c r="P2074" s="143"/>
      <c r="Q2074" s="143"/>
      <c r="R2074" s="143"/>
      <c r="S2074" s="143"/>
      <c r="T2074" s="143"/>
      <c r="U2074" s="143"/>
      <c r="V2074" s="143"/>
      <c r="W2074" s="143"/>
      <c r="X2074" s="143"/>
      <c r="Y2074" s="143"/>
      <c r="Z2074" s="143"/>
      <c r="AA2074" s="143"/>
      <c r="AB2074" s="143"/>
      <c r="AC2074" s="143"/>
      <c r="AD2074" s="143"/>
      <c r="AE2074" s="143"/>
      <c r="AF2074" s="143"/>
      <c r="AG2074" s="143"/>
      <c r="AH2074" s="143"/>
      <c r="AI2074" s="143"/>
      <c r="AJ2074" s="143"/>
    </row>
    <row r="2075" spans="1:36" s="144" customFormat="1" ht="21.75" customHeight="1">
      <c r="A2075" s="151"/>
      <c r="B2075" s="219"/>
      <c r="C2075" s="219"/>
      <c r="D2075" s="219"/>
      <c r="E2075" s="225"/>
      <c r="N2075" s="143"/>
      <c r="O2075" s="143"/>
      <c r="P2075" s="143"/>
      <c r="Q2075" s="143"/>
      <c r="R2075" s="143"/>
      <c r="S2075" s="143"/>
      <c r="T2075" s="143"/>
      <c r="U2075" s="143"/>
      <c r="V2075" s="143"/>
      <c r="W2075" s="143"/>
      <c r="X2075" s="143"/>
      <c r="Y2075" s="143"/>
      <c r="Z2075" s="143"/>
      <c r="AA2075" s="143"/>
      <c r="AB2075" s="143"/>
      <c r="AC2075" s="143"/>
      <c r="AD2075" s="143"/>
      <c r="AE2075" s="143"/>
      <c r="AF2075" s="143"/>
      <c r="AG2075" s="143"/>
      <c r="AH2075" s="143"/>
      <c r="AI2075" s="143"/>
      <c r="AJ2075" s="143"/>
    </row>
    <row r="2076" spans="1:36" s="144" customFormat="1" ht="21.75" customHeight="1">
      <c r="A2076" s="151"/>
      <c r="B2076" s="219"/>
      <c r="C2076" s="219"/>
      <c r="D2076" s="219"/>
      <c r="E2076" s="225"/>
      <c r="N2076" s="143"/>
      <c r="O2076" s="143"/>
      <c r="P2076" s="143"/>
      <c r="Q2076" s="143"/>
      <c r="R2076" s="143"/>
      <c r="S2076" s="143"/>
      <c r="T2076" s="143"/>
      <c r="U2076" s="143"/>
      <c r="V2076" s="143"/>
      <c r="W2076" s="143"/>
      <c r="X2076" s="143"/>
      <c r="Y2076" s="143"/>
      <c r="Z2076" s="143"/>
      <c r="AA2076" s="143"/>
      <c r="AB2076" s="143"/>
      <c r="AC2076" s="143"/>
      <c r="AD2076" s="143"/>
      <c r="AE2076" s="143"/>
      <c r="AF2076" s="143"/>
      <c r="AG2076" s="143"/>
      <c r="AH2076" s="143"/>
      <c r="AI2076" s="143"/>
      <c r="AJ2076" s="143"/>
    </row>
    <row r="2077" spans="1:36" ht="21.75" customHeight="1">
      <c r="A2077" s="151"/>
      <c r="B2077" s="219"/>
      <c r="C2077" s="219"/>
      <c r="D2077" s="219"/>
      <c r="E2077" s="225"/>
      <c r="F2077" s="144"/>
      <c r="G2077" s="144"/>
      <c r="H2077" s="144"/>
      <c r="I2077" s="144"/>
      <c r="J2077" s="144"/>
      <c r="K2077" s="144"/>
      <c r="L2077" s="144"/>
      <c r="M2077" s="144"/>
    </row>
    <row r="2078" spans="1:36" ht="21.75" customHeight="1">
      <c r="A2078" s="151"/>
      <c r="B2078" s="219"/>
      <c r="C2078" s="219"/>
      <c r="D2078" s="219"/>
      <c r="E2078" s="225"/>
      <c r="F2078" s="144"/>
      <c r="G2078" s="144"/>
      <c r="H2078" s="144"/>
      <c r="I2078" s="144"/>
      <c r="J2078" s="144"/>
      <c r="K2078" s="144"/>
      <c r="L2078" s="144"/>
      <c r="M2078" s="144"/>
    </row>
    <row r="2079" spans="1:36" ht="21.75" customHeight="1">
      <c r="A2079" s="151"/>
      <c r="B2079" s="219"/>
      <c r="C2079" s="219"/>
      <c r="D2079" s="219"/>
      <c r="E2079" s="225"/>
      <c r="F2079" s="144"/>
      <c r="G2079" s="144"/>
      <c r="H2079" s="144"/>
      <c r="I2079" s="144"/>
      <c r="J2079" s="144"/>
      <c r="K2079" s="144"/>
      <c r="L2079" s="144"/>
      <c r="M2079" s="144"/>
    </row>
    <row r="2080" spans="1:36" ht="21.75" customHeight="1">
      <c r="A2080" s="151"/>
      <c r="B2080" s="219"/>
      <c r="C2080" s="219"/>
      <c r="D2080" s="219"/>
      <c r="E2080" s="225"/>
      <c r="F2080" s="144"/>
      <c r="G2080" s="144"/>
      <c r="H2080" s="144"/>
      <c r="I2080" s="144"/>
      <c r="J2080" s="144"/>
      <c r="K2080" s="144"/>
      <c r="L2080" s="144"/>
      <c r="M2080" s="144"/>
    </row>
    <row r="2081" spans="1:13" ht="21.75" customHeight="1">
      <c r="A2081" s="151"/>
      <c r="B2081" s="219"/>
      <c r="C2081" s="219"/>
      <c r="D2081" s="219"/>
      <c r="E2081" s="225"/>
      <c r="F2081" s="144"/>
      <c r="G2081" s="144"/>
      <c r="H2081" s="144"/>
      <c r="I2081" s="144"/>
      <c r="J2081" s="144"/>
      <c r="K2081" s="144"/>
      <c r="L2081" s="144"/>
      <c r="M2081" s="144"/>
    </row>
    <row r="2082" spans="1:13" ht="21.75" customHeight="1">
      <c r="A2082" s="151"/>
      <c r="B2082" s="219"/>
      <c r="C2082" s="219"/>
      <c r="D2082" s="219"/>
      <c r="E2082" s="225"/>
      <c r="F2082" s="144"/>
      <c r="G2082" s="144"/>
      <c r="H2082" s="144"/>
      <c r="I2082" s="144"/>
      <c r="J2082" s="144"/>
      <c r="K2082" s="144"/>
      <c r="L2082" s="144"/>
      <c r="M2082" s="144"/>
    </row>
  </sheetData>
  <mergeCells count="4">
    <mergeCell ref="A1:M1"/>
    <mergeCell ref="A2:M2"/>
    <mergeCell ref="A50:L50"/>
    <mergeCell ref="A98:B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3.2</vt:lpstr>
      <vt:lpstr>3.9</vt:lpstr>
      <vt:lpstr>3.18</vt:lpstr>
      <vt:lpstr>'3.2'!Print_Area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2020-07-10T06:15:08Z</cp:lastPrinted>
  <dcterms:created xsi:type="dcterms:W3CDTF">2019-07-22T06:02:33Z</dcterms:created>
  <dcterms:modified xsi:type="dcterms:W3CDTF">2020-07-10T06:15:25Z</dcterms:modified>
</cp:coreProperties>
</file>