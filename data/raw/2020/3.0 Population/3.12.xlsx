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20\SYB 2020 _latest\YEARBOOK 2020_Final\web\3. POPULATION\"/>
    </mc:Choice>
  </mc:AlternateContent>
  <bookViews>
    <workbookView xWindow="0" yWindow="0" windowWidth="28800" windowHeight="11835" tabRatio="769"/>
  </bookViews>
  <sheets>
    <sheet name="3.12" sheetId="12" r:id="rId1"/>
  </sheets>
  <definedNames>
    <definedName name="_xlnm.Print_Area" localSheetId="0">'3.12'!$A$1:$Q$69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63" i="12" l="1"/>
  <c r="J63" i="12"/>
  <c r="F63" i="12"/>
  <c r="E63" i="12"/>
  <c r="D63" i="12"/>
  <c r="C63" i="12"/>
  <c r="N62" i="12"/>
  <c r="J62" i="12"/>
  <c r="F62" i="12"/>
  <c r="D62" i="12"/>
  <c r="C62" i="12"/>
  <c r="N61" i="12"/>
  <c r="J61" i="12"/>
  <c r="F61" i="12"/>
  <c r="D61" i="12"/>
  <c r="C61" i="12"/>
  <c r="N60" i="12"/>
  <c r="J60" i="12"/>
  <c r="F60" i="12"/>
  <c r="D60" i="12"/>
  <c r="C60" i="12"/>
  <c r="N59" i="12"/>
  <c r="J59" i="12"/>
  <c r="F59" i="12"/>
  <c r="D59" i="12"/>
  <c r="C59" i="12"/>
  <c r="N58" i="12"/>
  <c r="J58" i="12"/>
  <c r="F58" i="12"/>
  <c r="D58" i="12"/>
  <c r="C58" i="12"/>
  <c r="N57" i="12"/>
  <c r="J57" i="12"/>
  <c r="F57" i="12"/>
  <c r="D57" i="12"/>
  <c r="C57" i="12"/>
  <c r="N56" i="12"/>
  <c r="J56" i="12"/>
  <c r="F56" i="12"/>
  <c r="D56" i="12"/>
  <c r="C56" i="12"/>
  <c r="N55" i="12"/>
  <c r="J55" i="12"/>
  <c r="F55" i="12"/>
  <c r="D55" i="12"/>
  <c r="C55" i="12"/>
  <c r="N54" i="12"/>
  <c r="J54" i="12"/>
  <c r="F54" i="12"/>
  <c r="D54" i="12"/>
  <c r="C54" i="12"/>
  <c r="N53" i="12"/>
  <c r="J53" i="12"/>
  <c r="F53" i="12"/>
  <c r="D53" i="12"/>
  <c r="C53" i="12"/>
  <c r="N52" i="12"/>
  <c r="J52" i="12"/>
  <c r="F52" i="12"/>
  <c r="D52" i="12"/>
  <c r="C52" i="12"/>
  <c r="N51" i="12"/>
  <c r="J51" i="12"/>
  <c r="F51" i="12"/>
  <c r="D51" i="12"/>
  <c r="C51" i="12"/>
  <c r="N50" i="12"/>
  <c r="J50" i="12"/>
  <c r="F50" i="12"/>
  <c r="D50" i="12"/>
  <c r="C50" i="12"/>
  <c r="N49" i="12"/>
  <c r="J49" i="12"/>
  <c r="F49" i="12"/>
  <c r="D49" i="12"/>
  <c r="C49" i="12"/>
  <c r="N48" i="12"/>
  <c r="J48" i="12"/>
  <c r="F48" i="12"/>
  <c r="D48" i="12"/>
  <c r="C48" i="12"/>
  <c r="P47" i="12"/>
  <c r="O47" i="12"/>
  <c r="M47" i="12"/>
  <c r="L47" i="12"/>
  <c r="K47" i="12"/>
  <c r="H47" i="12"/>
  <c r="G47" i="12"/>
  <c r="G43" i="12" s="1"/>
  <c r="E47" i="12"/>
  <c r="N46" i="12"/>
  <c r="J46" i="12"/>
  <c r="F46" i="12"/>
  <c r="D46" i="12"/>
  <c r="C46" i="12"/>
  <c r="N45" i="12"/>
  <c r="J45" i="12"/>
  <c r="F45" i="12"/>
  <c r="D45" i="12"/>
  <c r="C45" i="12"/>
  <c r="N44" i="12"/>
  <c r="J44" i="12"/>
  <c r="F44" i="12"/>
  <c r="D44" i="12"/>
  <c r="C44" i="12"/>
  <c r="P43" i="12"/>
  <c r="O43" i="12"/>
  <c r="M43" i="12"/>
  <c r="L43" i="12"/>
  <c r="K43" i="12"/>
  <c r="K29" i="12"/>
  <c r="H29" i="12"/>
  <c r="E29" i="12"/>
  <c r="D29" i="12"/>
  <c r="C29" i="12"/>
  <c r="K28" i="12"/>
  <c r="H28" i="12"/>
  <c r="E28" i="12"/>
  <c r="D28" i="12"/>
  <c r="C28" i="12"/>
  <c r="K27" i="12"/>
  <c r="H27" i="12"/>
  <c r="E27" i="12"/>
  <c r="D27" i="12"/>
  <c r="C27" i="12"/>
  <c r="K26" i="12"/>
  <c r="H26" i="12"/>
  <c r="E26" i="12"/>
  <c r="D26" i="12"/>
  <c r="C26" i="12"/>
  <c r="K25" i="12"/>
  <c r="H25" i="12"/>
  <c r="E25" i="12"/>
  <c r="D25" i="12"/>
  <c r="C25" i="12"/>
  <c r="K24" i="12"/>
  <c r="H24" i="12"/>
  <c r="E24" i="12"/>
  <c r="D24" i="12"/>
  <c r="C24" i="12"/>
  <c r="K23" i="12"/>
  <c r="H23" i="12"/>
  <c r="E23" i="12"/>
  <c r="D23" i="12"/>
  <c r="C23" i="12"/>
  <c r="K22" i="12"/>
  <c r="H22" i="12"/>
  <c r="E22" i="12"/>
  <c r="D22" i="12"/>
  <c r="C22" i="12"/>
  <c r="K21" i="12"/>
  <c r="H21" i="12"/>
  <c r="E21" i="12"/>
  <c r="D21" i="12"/>
  <c r="C21" i="12"/>
  <c r="K20" i="12"/>
  <c r="H20" i="12"/>
  <c r="E20" i="12"/>
  <c r="D20" i="12"/>
  <c r="C20" i="12"/>
  <c r="K19" i="12"/>
  <c r="H19" i="12"/>
  <c r="E19" i="12"/>
  <c r="D19" i="12"/>
  <c r="C19" i="12"/>
  <c r="K18" i="12"/>
  <c r="H18" i="12"/>
  <c r="E18" i="12"/>
  <c r="D18" i="12"/>
  <c r="C18" i="12"/>
  <c r="K17" i="12"/>
  <c r="H17" i="12"/>
  <c r="E17" i="12"/>
  <c r="D17" i="12"/>
  <c r="C17" i="12"/>
  <c r="K16" i="12"/>
  <c r="H16" i="12"/>
  <c r="E16" i="12"/>
  <c r="D16" i="12"/>
  <c r="C16" i="12"/>
  <c r="K15" i="12"/>
  <c r="H15" i="12"/>
  <c r="E15" i="12"/>
  <c r="D15" i="12"/>
  <c r="C15" i="12"/>
  <c r="M14" i="12"/>
  <c r="M9" i="12" s="1"/>
  <c r="L14" i="12"/>
  <c r="L9" i="12" s="1"/>
  <c r="J14" i="12"/>
  <c r="I14" i="12"/>
  <c r="I9" i="12" s="1"/>
  <c r="G14" i="12"/>
  <c r="F14" i="12"/>
  <c r="F9" i="12" s="1"/>
  <c r="K13" i="12"/>
  <c r="H13" i="12"/>
  <c r="E13" i="12"/>
  <c r="D13" i="12"/>
  <c r="C13" i="12"/>
  <c r="K12" i="12"/>
  <c r="H12" i="12"/>
  <c r="E12" i="12"/>
  <c r="D12" i="12"/>
  <c r="C12" i="12"/>
  <c r="K11" i="12"/>
  <c r="H11" i="12"/>
  <c r="E11" i="12"/>
  <c r="D11" i="12"/>
  <c r="C11" i="12"/>
  <c r="K10" i="12"/>
  <c r="H10" i="12"/>
  <c r="E10" i="12"/>
  <c r="D10" i="12"/>
  <c r="C10" i="12"/>
  <c r="J9" i="12"/>
  <c r="J43" i="12" l="1"/>
  <c r="E43" i="12"/>
  <c r="B11" i="12"/>
  <c r="B52" i="12"/>
  <c r="B15" i="12"/>
  <c r="B23" i="12"/>
  <c r="B49" i="12"/>
  <c r="B54" i="12"/>
  <c r="B62" i="12"/>
  <c r="B21" i="12"/>
  <c r="B17" i="12"/>
  <c r="B25" i="12"/>
  <c r="J47" i="12"/>
  <c r="B10" i="12"/>
  <c r="B51" i="12"/>
  <c r="B26" i="12"/>
  <c r="B29" i="12"/>
  <c r="N43" i="12"/>
  <c r="B59" i="12"/>
  <c r="B44" i="12"/>
  <c r="B56" i="12"/>
  <c r="B55" i="12"/>
  <c r="B18" i="12"/>
  <c r="B57" i="12"/>
  <c r="B63" i="12"/>
  <c r="E14" i="12"/>
  <c r="E9" i="12" s="1"/>
  <c r="B13" i="12"/>
  <c r="B16" i="12"/>
  <c r="B19" i="12"/>
  <c r="B22" i="12"/>
  <c r="D47" i="12"/>
  <c r="D43" i="12" s="1"/>
  <c r="B50" i="12"/>
  <c r="B53" i="12"/>
  <c r="K14" i="12"/>
  <c r="K9" i="12" s="1"/>
  <c r="B27" i="12"/>
  <c r="B46" i="12"/>
  <c r="B58" i="12"/>
  <c r="B61" i="12"/>
  <c r="H14" i="12"/>
  <c r="H9" i="12" s="1"/>
  <c r="B20" i="12"/>
  <c r="H43" i="12"/>
  <c r="F43" i="12" s="1"/>
  <c r="F47" i="12"/>
  <c r="B48" i="12"/>
  <c r="B60" i="12"/>
  <c r="C14" i="12"/>
  <c r="C9" i="12" s="1"/>
  <c r="D14" i="12"/>
  <c r="D9" i="12" s="1"/>
  <c r="B12" i="12"/>
  <c r="B28" i="12"/>
  <c r="B45" i="12"/>
  <c r="B24" i="12"/>
  <c r="N47" i="12"/>
  <c r="C47" i="12"/>
  <c r="G9" i="12"/>
  <c r="B14" i="12" l="1"/>
  <c r="B9" i="12" s="1"/>
  <c r="B47" i="12"/>
  <c r="C43" i="12"/>
  <c r="B43" i="12" s="1"/>
</calcChain>
</file>

<file path=xl/sharedStrings.xml><?xml version="1.0" encoding="utf-8"?>
<sst xmlns="http://schemas.openxmlformats.org/spreadsheetml/2006/main" count="100" uniqueCount="42">
  <si>
    <t>Both Sexes</t>
  </si>
  <si>
    <t>Male</t>
  </si>
  <si>
    <t>Female</t>
  </si>
  <si>
    <t>5 - 9</t>
  </si>
  <si>
    <t>Less than 1 year</t>
  </si>
  <si>
    <t>10 - 14</t>
  </si>
  <si>
    <t>1 - 4</t>
  </si>
  <si>
    <t>15 - 19</t>
  </si>
  <si>
    <t>20 - 24</t>
  </si>
  <si>
    <t>30 - 34</t>
  </si>
  <si>
    <t>35 - 39</t>
  </si>
  <si>
    <t>45 - 49</t>
  </si>
  <si>
    <t>50 - 54</t>
  </si>
  <si>
    <t>55 - 59</t>
  </si>
  <si>
    <t>60 - 64</t>
  </si>
  <si>
    <t>65 - 69</t>
  </si>
  <si>
    <t>Republic</t>
  </si>
  <si>
    <t>Male'</t>
  </si>
  <si>
    <t>Atolls</t>
  </si>
  <si>
    <t>Abroad</t>
  </si>
  <si>
    <t xml:space="preserve">Source: Ministry of Health </t>
  </si>
  <si>
    <t>Less than 7 days</t>
  </si>
  <si>
    <t>7 - 27 days</t>
  </si>
  <si>
    <t>Age Groups</t>
  </si>
  <si>
    <t>Both  Sexes</t>
  </si>
  <si>
    <t>ދެޖިންސް</t>
  </si>
  <si>
    <t>ފިރިހެން</t>
  </si>
  <si>
    <t>އަންހެން</t>
  </si>
  <si>
    <t>All Ages</t>
  </si>
  <si>
    <t xml:space="preserve">28 - 364 days </t>
  </si>
  <si>
    <t>ތާވަލު 3.12: މާލެއާއި، ރާއްޖެ އަދި ރާއްޖޭންބޭރުގައި މަރުވި މީހުންގެ ޢަދަދު، ޖިންސާއި ޢުމުރުގެ ގޮތުން، 2019</t>
  </si>
  <si>
    <t>Table 3.12 :   DEATHS BY AGE AND SEX, BY MAJOR ADMINISTRATIVE UNITS, 2019</t>
  </si>
  <si>
    <t>Not stated</t>
  </si>
  <si>
    <t xml:space="preserve">25 - 29 </t>
  </si>
  <si>
    <t xml:space="preserve">40 - 44 </t>
  </si>
  <si>
    <t xml:space="preserve">70 &amp; Over </t>
  </si>
  <si>
    <t>Note:  2019 figures are tentative and is expected to change</t>
  </si>
  <si>
    <t>ތާވަލު 3.12: މާލެއާއި، ރާއްޖެ އަދި ރާއްޖޭންބޭރުގައި މަރުވި މީހުންގެ ޢަދަދު، ޖިންސާއި ޢުމުރުގެ ގޮތުން، 2018</t>
  </si>
  <si>
    <t>Table 3.12 :   DEATHS BY AGE AND SEX, BY MAJOR ADMINISTRATIVE UNITS, 2018</t>
  </si>
  <si>
    <t>40 - 44 *</t>
  </si>
  <si>
    <t>NS</t>
  </si>
  <si>
    <t>Note:  2019 figures are revised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</si>
</sst>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General_)"/>
    <numFmt numFmtId="165" formatCode="_-* #,##0.00\ _ރ_._-;_-* #,##0.00\ _ރ_.\-;_-* &quot;-&quot;??\ _ރ_._-;_-@_-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1"/>
      <name val="Calibri"/>
      <family val="2"/>
    </font>
    <font>
      <b/>
      <sz val="10"/>
      <name val="Arial"/>
      <family val="2"/>
    </font>
    <font>
      <b/>
      <sz val="11"/>
      <name val="Faruma"/>
    </font>
    <font>
      <b/>
      <sz val="9"/>
      <name val="Faruma"/>
    </font>
    <font>
      <sz val="9"/>
      <name val="Arial"/>
      <family val="2"/>
    </font>
    <font>
      <sz val="8"/>
      <name val="Arial"/>
      <family val="2"/>
    </font>
    <font>
      <i/>
      <sz val="9"/>
      <name val="Calibri"/>
      <family val="2"/>
    </font>
    <font>
      <sz val="10"/>
      <name val="Arial"/>
      <family val="2"/>
    </font>
    <font>
      <sz val="11"/>
      <name val="Arial"/>
      <family val="2"/>
    </font>
    <font>
      <sz val="10"/>
      <name val="Calibri"/>
      <family val="2"/>
    </font>
    <font>
      <sz val="11"/>
      <color theme="1"/>
      <name val="Calibri"/>
      <family val="2"/>
      <charset val="1"/>
      <scheme val="minor"/>
    </font>
    <font>
      <b/>
      <sz val="9"/>
      <name val="Calibri"/>
      <family val="2"/>
    </font>
    <font>
      <b/>
      <sz val="10"/>
      <name val="Calibri"/>
      <family val="2"/>
      <scheme val="minor"/>
    </font>
    <font>
      <sz val="10"/>
      <name val="Faruma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9"/>
      </left>
      <right/>
      <top style="thin">
        <color indexed="64"/>
      </top>
      <bottom/>
      <diagonal/>
    </border>
    <border>
      <left style="thin">
        <color indexed="9"/>
      </left>
      <right/>
      <top/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 style="hair">
        <color indexed="64"/>
      </left>
      <right/>
      <top/>
      <bottom style="thin">
        <color indexed="9"/>
      </bottom>
      <diagonal/>
    </border>
    <border>
      <left style="thin">
        <color indexed="9"/>
      </left>
      <right/>
      <top/>
      <bottom style="thin">
        <color indexed="64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 style="hair">
        <color indexed="64"/>
      </left>
      <right/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theme="1"/>
      </top>
      <bottom style="hair">
        <color theme="1"/>
      </bottom>
      <diagonal/>
    </border>
    <border>
      <left style="thin">
        <color indexed="9"/>
      </left>
      <right/>
      <top style="thin">
        <color theme="1"/>
      </top>
      <bottom style="hair">
        <color theme="1"/>
      </bottom>
      <diagonal/>
    </border>
    <border>
      <left style="hair">
        <color theme="1"/>
      </left>
      <right/>
      <top style="thin">
        <color theme="1"/>
      </top>
      <bottom style="hair">
        <color theme="1"/>
      </bottom>
      <diagonal/>
    </border>
    <border>
      <left/>
      <right/>
      <top style="thin">
        <color theme="1"/>
      </top>
      <bottom style="hair">
        <color theme="1"/>
      </bottom>
      <diagonal/>
    </border>
    <border>
      <left/>
      <right style="hair">
        <color theme="1"/>
      </right>
      <top style="thin">
        <color theme="1"/>
      </top>
      <bottom style="hair">
        <color theme="1"/>
      </bottom>
      <diagonal/>
    </border>
    <border>
      <left style="hair">
        <color theme="1"/>
      </left>
      <right/>
      <top/>
      <bottom style="thin">
        <color indexed="9"/>
      </bottom>
      <diagonal/>
    </border>
    <border>
      <left/>
      <right style="hair">
        <color theme="1"/>
      </right>
      <top/>
      <bottom style="thin">
        <color indexed="9"/>
      </bottom>
      <diagonal/>
    </border>
    <border>
      <left style="hair">
        <color theme="1"/>
      </left>
      <right/>
      <top style="thin">
        <color indexed="9"/>
      </top>
      <bottom style="thin">
        <color indexed="64"/>
      </bottom>
      <diagonal/>
    </border>
    <border>
      <left/>
      <right style="hair">
        <color theme="1"/>
      </right>
      <top style="thin">
        <color indexed="9"/>
      </top>
      <bottom style="thin">
        <color indexed="64"/>
      </bottom>
      <diagonal/>
    </border>
    <border>
      <left style="hair">
        <color theme="1"/>
      </left>
      <right/>
      <top/>
      <bottom/>
      <diagonal/>
    </border>
    <border>
      <left/>
      <right style="hair">
        <color theme="1"/>
      </right>
      <top/>
      <bottom/>
      <diagonal/>
    </border>
    <border>
      <left style="hair">
        <color theme="1"/>
      </left>
      <right/>
      <top/>
      <bottom style="thin">
        <color indexed="64"/>
      </bottom>
      <diagonal/>
    </border>
    <border>
      <left/>
      <right style="hair">
        <color theme="1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14">
    <xf numFmtId="0" fontId="0" fillId="0" borderId="0"/>
    <xf numFmtId="0" fontId="11" fillId="0" borderId="0"/>
    <xf numFmtId="0" fontId="11" fillId="0" borderId="0"/>
    <xf numFmtId="165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4" fillId="0" borderId="0"/>
    <xf numFmtId="0" fontId="11" fillId="0" borderId="0"/>
    <xf numFmtId="0" fontId="11" fillId="0" borderId="0"/>
    <xf numFmtId="0" fontId="1" fillId="0" borderId="0"/>
    <xf numFmtId="164" fontId="2" fillId="0" borderId="0"/>
    <xf numFmtId="0" fontId="3" fillId="0" borderId="0"/>
    <xf numFmtId="43" fontId="3" fillId="0" borderId="0" applyFont="0" applyFill="0" applyBorder="0" applyAlignment="0" applyProtection="0"/>
    <xf numFmtId="164" fontId="2" fillId="0" borderId="0"/>
  </cellStyleXfs>
  <cellXfs count="95">
    <xf numFmtId="0" fontId="0" fillId="0" borderId="0" xfId="0"/>
    <xf numFmtId="164" fontId="10" fillId="2" borderId="0" xfId="0" applyNumberFormat="1" applyFont="1" applyFill="1" applyAlignment="1" applyProtection="1">
      <alignment horizontal="left" vertical="center"/>
    </xf>
    <xf numFmtId="3" fontId="16" fillId="3" borderId="0" xfId="0" applyNumberFormat="1" applyFont="1" applyFill="1" applyBorder="1" applyAlignment="1">
      <alignment horizontal="right" vertical="center"/>
    </xf>
    <xf numFmtId="3" fontId="16" fillId="3" borderId="3" xfId="0" applyNumberFormat="1" applyFont="1" applyFill="1" applyBorder="1" applyAlignment="1">
      <alignment horizontal="right" vertical="center"/>
    </xf>
    <xf numFmtId="164" fontId="15" fillId="3" borderId="15" xfId="0" applyNumberFormat="1" applyFont="1" applyFill="1" applyBorder="1" applyAlignment="1">
      <alignment horizontal="right" vertical="center"/>
    </xf>
    <xf numFmtId="3" fontId="20" fillId="3" borderId="0" xfId="0" applyNumberFormat="1" applyFont="1" applyFill="1" applyBorder="1" applyAlignment="1">
      <alignment horizontal="right" vertical="center"/>
    </xf>
    <xf numFmtId="3" fontId="16" fillId="3" borderId="4" xfId="0" applyNumberFormat="1" applyFont="1" applyFill="1" applyBorder="1" applyAlignment="1">
      <alignment horizontal="right" vertical="center"/>
    </xf>
    <xf numFmtId="164" fontId="18" fillId="3" borderId="0" xfId="0" applyNumberFormat="1" applyFont="1" applyFill="1" applyBorder="1" applyAlignment="1" applyProtection="1">
      <alignment horizontal="left" vertical="center"/>
    </xf>
    <xf numFmtId="164" fontId="18" fillId="3" borderId="0" xfId="0" applyNumberFormat="1" applyFont="1" applyFill="1" applyBorder="1" applyAlignment="1" applyProtection="1">
      <alignment horizontal="right" vertical="center"/>
    </xf>
    <xf numFmtId="164" fontId="18" fillId="3" borderId="0" xfId="0" applyNumberFormat="1" applyFont="1" applyFill="1" applyBorder="1" applyAlignment="1" applyProtection="1">
      <alignment horizontal="right" vertical="center" wrapText="1"/>
    </xf>
    <xf numFmtId="164" fontId="18" fillId="3" borderId="0" xfId="0" applyNumberFormat="1" applyFont="1" applyFill="1" applyBorder="1" applyAlignment="1" applyProtection="1">
      <alignment horizontal="center" vertical="center" wrapText="1"/>
    </xf>
    <xf numFmtId="164" fontId="18" fillId="3" borderId="0" xfId="0" applyNumberFormat="1" applyFont="1" applyFill="1" applyBorder="1" applyAlignment="1" applyProtection="1">
      <alignment horizontal="center" vertical="center"/>
    </xf>
    <xf numFmtId="164" fontId="18" fillId="3" borderId="0" xfId="0" applyNumberFormat="1" applyFont="1" applyFill="1" applyBorder="1" applyAlignment="1" applyProtection="1">
      <alignment horizontal="center" vertical="center"/>
    </xf>
    <xf numFmtId="164" fontId="3" fillId="3" borderId="0" xfId="0" applyNumberFormat="1" applyFont="1" applyFill="1"/>
    <xf numFmtId="164" fontId="6" fillId="3" borderId="0" xfId="0" applyNumberFormat="1" applyFont="1" applyFill="1" applyAlignment="1">
      <alignment horizontal="center" vertical="center"/>
    </xf>
    <xf numFmtId="164" fontId="12" fillId="3" borderId="0" xfId="0" applyNumberFormat="1" applyFont="1" applyFill="1"/>
    <xf numFmtId="164" fontId="4" fillId="3" borderId="0" xfId="0" applyNumberFormat="1" applyFont="1" applyFill="1" applyBorder="1" applyAlignment="1" applyProtection="1">
      <alignment horizontal="center" vertical="center"/>
    </xf>
    <xf numFmtId="164" fontId="5" fillId="3" borderId="0" xfId="0" applyNumberFormat="1" applyFont="1" applyFill="1" applyBorder="1" applyAlignment="1">
      <alignment vertical="center"/>
    </xf>
    <xf numFmtId="164" fontId="4" fillId="3" borderId="0" xfId="0" applyNumberFormat="1" applyFont="1" applyFill="1" applyBorder="1" applyAlignment="1" applyProtection="1">
      <alignment horizontal="center" vertical="center"/>
    </xf>
    <xf numFmtId="164" fontId="5" fillId="3" borderId="0" xfId="0" applyNumberFormat="1" applyFont="1" applyFill="1" applyAlignment="1">
      <alignment vertical="center"/>
    </xf>
    <xf numFmtId="164" fontId="15" fillId="3" borderId="7" xfId="0" applyNumberFormat="1" applyFont="1" applyFill="1" applyBorder="1" applyAlignment="1" applyProtection="1">
      <alignment horizontal="left" vertical="center"/>
    </xf>
    <xf numFmtId="164" fontId="15" fillId="3" borderId="16" xfId="0" applyNumberFormat="1" applyFont="1" applyFill="1" applyBorder="1" applyAlignment="1" applyProtection="1">
      <alignment horizontal="center" vertical="center"/>
    </xf>
    <xf numFmtId="164" fontId="15" fillId="3" borderId="17" xfId="0" applyNumberFormat="1" applyFont="1" applyFill="1" applyBorder="1" applyAlignment="1" applyProtection="1">
      <alignment horizontal="center" vertical="center"/>
    </xf>
    <xf numFmtId="164" fontId="15" fillId="3" borderId="18" xfId="0" applyNumberFormat="1" applyFont="1" applyFill="1" applyBorder="1" applyAlignment="1" applyProtection="1">
      <alignment horizontal="center" vertical="center"/>
    </xf>
    <xf numFmtId="164" fontId="15" fillId="3" borderId="19" xfId="0" applyNumberFormat="1" applyFont="1" applyFill="1" applyBorder="1" applyAlignment="1" applyProtection="1">
      <alignment horizontal="center" vertical="center"/>
    </xf>
    <xf numFmtId="164" fontId="15" fillId="3" borderId="20" xfId="0" applyNumberFormat="1" applyFont="1" applyFill="1" applyBorder="1" applyAlignment="1" applyProtection="1">
      <alignment horizontal="center" vertical="center"/>
    </xf>
    <xf numFmtId="164" fontId="9" fillId="3" borderId="0" xfId="0" applyNumberFormat="1" applyFont="1" applyFill="1" applyAlignment="1">
      <alignment vertical="center"/>
    </xf>
    <xf numFmtId="164" fontId="15" fillId="3" borderId="0" xfId="0" applyNumberFormat="1" applyFont="1" applyFill="1" applyBorder="1" applyAlignment="1" applyProtection="1">
      <alignment vertical="center"/>
    </xf>
    <xf numFmtId="164" fontId="15" fillId="3" borderId="8" xfId="0" applyNumberFormat="1" applyFont="1" applyFill="1" applyBorder="1" applyAlignment="1" applyProtection="1">
      <alignment horizontal="left" vertical="center"/>
    </xf>
    <xf numFmtId="164" fontId="15" fillId="3" borderId="9" xfId="0" applyNumberFormat="1" applyFont="1" applyFill="1" applyBorder="1" applyAlignment="1" applyProtection="1">
      <alignment horizontal="right" vertical="center"/>
    </xf>
    <xf numFmtId="164" fontId="15" fillId="3" borderId="10" xfId="0" applyNumberFormat="1" applyFont="1" applyFill="1" applyBorder="1" applyAlignment="1" applyProtection="1">
      <alignment horizontal="right" vertical="center"/>
    </xf>
    <xf numFmtId="164" fontId="15" fillId="3" borderId="10" xfId="0" applyNumberFormat="1" applyFont="1" applyFill="1" applyBorder="1" applyAlignment="1" applyProtection="1">
      <alignment horizontal="right" vertical="center" wrapText="1"/>
    </xf>
    <xf numFmtId="164" fontId="15" fillId="3" borderId="21" xfId="0" applyNumberFormat="1" applyFont="1" applyFill="1" applyBorder="1" applyAlignment="1" applyProtection="1">
      <alignment horizontal="right" vertical="center"/>
    </xf>
    <xf numFmtId="164" fontId="15" fillId="3" borderId="22" xfId="0" applyNumberFormat="1" applyFont="1" applyFill="1" applyBorder="1" applyAlignment="1" applyProtection="1">
      <alignment horizontal="right" vertical="center" wrapText="1"/>
    </xf>
    <xf numFmtId="164" fontId="15" fillId="3" borderId="11" xfId="0" applyNumberFormat="1" applyFont="1" applyFill="1" applyBorder="1" applyAlignment="1" applyProtection="1">
      <alignment horizontal="right" vertical="center"/>
    </xf>
    <xf numFmtId="164" fontId="3" fillId="3" borderId="10" xfId="0" applyNumberFormat="1" applyFont="1" applyFill="1" applyBorder="1"/>
    <xf numFmtId="164" fontId="3" fillId="3" borderId="0" xfId="0" applyNumberFormat="1" applyFont="1" applyFill="1" applyBorder="1"/>
    <xf numFmtId="164" fontId="15" fillId="3" borderId="12" xfId="0" applyNumberFormat="1" applyFont="1" applyFill="1" applyBorder="1" applyAlignment="1" applyProtection="1">
      <alignment horizontal="left" vertical="center"/>
    </xf>
    <xf numFmtId="164" fontId="7" fillId="3" borderId="13" xfId="0" applyNumberFormat="1" applyFont="1" applyFill="1" applyBorder="1" applyAlignment="1" applyProtection="1">
      <alignment horizontal="right" vertical="center"/>
    </xf>
    <xf numFmtId="164" fontId="7" fillId="3" borderId="13" xfId="0" applyNumberFormat="1" applyFont="1" applyFill="1" applyBorder="1" applyAlignment="1" applyProtection="1">
      <alignment horizontal="right" vertical="center" wrapText="1"/>
    </xf>
    <xf numFmtId="164" fontId="7" fillId="3" borderId="23" xfId="0" applyNumberFormat="1" applyFont="1" applyFill="1" applyBorder="1" applyAlignment="1" applyProtection="1">
      <alignment horizontal="right" vertical="center"/>
    </xf>
    <xf numFmtId="164" fontId="7" fillId="3" borderId="24" xfId="0" applyNumberFormat="1" applyFont="1" applyFill="1" applyBorder="1" applyAlignment="1" applyProtection="1">
      <alignment horizontal="right" vertical="center" wrapText="1"/>
    </xf>
    <xf numFmtId="164" fontId="7" fillId="3" borderId="14" xfId="0" applyNumberFormat="1" applyFont="1" applyFill="1" applyBorder="1" applyAlignment="1" applyProtection="1">
      <alignment horizontal="right" vertical="center"/>
    </xf>
    <xf numFmtId="164" fontId="17" fillId="3" borderId="0" xfId="0" applyNumberFormat="1" applyFont="1" applyFill="1"/>
    <xf numFmtId="164" fontId="17" fillId="3" borderId="0" xfId="0" applyNumberFormat="1" applyFont="1" applyFill="1" applyBorder="1"/>
    <xf numFmtId="164" fontId="18" fillId="3" borderId="0" xfId="0" applyNumberFormat="1" applyFont="1" applyFill="1" applyBorder="1" applyAlignment="1" applyProtection="1">
      <alignment horizontal="left"/>
    </xf>
    <xf numFmtId="3" fontId="16" fillId="3" borderId="25" xfId="0" applyNumberFormat="1" applyFont="1" applyFill="1" applyBorder="1" applyAlignment="1">
      <alignment horizontal="right" vertical="center"/>
    </xf>
    <xf numFmtId="3" fontId="16" fillId="3" borderId="26" xfId="0" applyNumberFormat="1" applyFont="1" applyFill="1" applyBorder="1" applyAlignment="1">
      <alignment horizontal="right" vertical="center"/>
    </xf>
    <xf numFmtId="164" fontId="19" fillId="3" borderId="0" xfId="0" applyNumberFormat="1" applyFont="1" applyFill="1" applyBorder="1" applyAlignment="1" applyProtection="1">
      <alignment horizontal="left" indent="1"/>
    </xf>
    <xf numFmtId="164" fontId="19" fillId="3" borderId="0" xfId="0" applyNumberFormat="1" applyFont="1" applyFill="1" applyBorder="1" applyAlignment="1" applyProtection="1">
      <alignment horizontal="right" vertical="center"/>
      <protection locked="0"/>
    </xf>
    <xf numFmtId="164" fontId="19" fillId="3" borderId="26" xfId="0" applyNumberFormat="1" applyFont="1" applyFill="1" applyBorder="1" applyAlignment="1" applyProtection="1">
      <alignment horizontal="right" vertical="center"/>
      <protection locked="0"/>
    </xf>
    <xf numFmtId="164" fontId="13" fillId="3" borderId="0" xfId="0" quotePrefix="1" applyNumberFormat="1" applyFont="1" applyFill="1" applyBorder="1" applyAlignment="1" applyProtection="1">
      <alignment horizontal="left" indent="1"/>
    </xf>
    <xf numFmtId="164" fontId="16" fillId="3" borderId="0" xfId="0" applyNumberFormat="1" applyFont="1" applyFill="1" applyBorder="1" applyAlignment="1" applyProtection="1">
      <alignment horizontal="right" vertical="center"/>
      <protection locked="0"/>
    </xf>
    <xf numFmtId="164" fontId="16" fillId="3" borderId="26" xfId="0" applyNumberFormat="1" applyFont="1" applyFill="1" applyBorder="1" applyAlignment="1" applyProtection="1">
      <alignment horizontal="right" vertical="center"/>
      <protection locked="0"/>
    </xf>
    <xf numFmtId="164" fontId="19" fillId="3" borderId="0" xfId="0" applyNumberFormat="1" applyFont="1" applyFill="1" applyBorder="1" applyAlignment="1" applyProtection="1">
      <alignment horizontal="left" vertical="center" indent="1"/>
    </xf>
    <xf numFmtId="164" fontId="19" fillId="3" borderId="0" xfId="0" quotePrefix="1" applyNumberFormat="1" applyFont="1" applyFill="1" applyBorder="1" applyAlignment="1" applyProtection="1">
      <alignment horizontal="left" vertical="center" indent="1"/>
    </xf>
    <xf numFmtId="37" fontId="19" fillId="3" borderId="26" xfId="0" applyNumberFormat="1" applyFont="1" applyFill="1" applyBorder="1" applyAlignment="1" applyProtection="1">
      <alignment horizontal="right" vertical="center"/>
      <protection locked="0"/>
    </xf>
    <xf numFmtId="37" fontId="19" fillId="3" borderId="0" xfId="0" applyNumberFormat="1" applyFont="1" applyFill="1" applyBorder="1" applyAlignment="1" applyProtection="1">
      <alignment horizontal="right" vertical="center"/>
      <protection locked="0"/>
    </xf>
    <xf numFmtId="164" fontId="3" fillId="3" borderId="26" xfId="0" applyNumberFormat="1" applyFont="1" applyFill="1" applyBorder="1"/>
    <xf numFmtId="164" fontId="19" fillId="3" borderId="0" xfId="0" applyNumberFormat="1" applyFont="1" applyFill="1" applyBorder="1" applyAlignment="1">
      <alignment horizontal="right" vertical="center"/>
    </xf>
    <xf numFmtId="164" fontId="8" fillId="3" borderId="0" xfId="0" applyNumberFormat="1" applyFont="1" applyFill="1" applyBorder="1" applyAlignment="1">
      <alignment vertical="center"/>
    </xf>
    <xf numFmtId="164" fontId="19" fillId="3" borderId="26" xfId="0" applyNumberFormat="1" applyFont="1" applyFill="1" applyBorder="1" applyAlignment="1">
      <alignment horizontal="right" vertical="center"/>
    </xf>
    <xf numFmtId="3" fontId="16" fillId="3" borderId="27" xfId="0" applyNumberFormat="1" applyFont="1" applyFill="1" applyBorder="1" applyAlignment="1">
      <alignment horizontal="right" vertical="center"/>
    </xf>
    <xf numFmtId="164" fontId="19" fillId="3" borderId="1" xfId="0" applyNumberFormat="1" applyFont="1" applyFill="1" applyBorder="1" applyAlignment="1" applyProtection="1">
      <alignment horizontal="right" vertical="center"/>
      <protection locked="0"/>
    </xf>
    <xf numFmtId="164" fontId="19" fillId="3" borderId="28" xfId="0" applyNumberFormat="1" applyFont="1" applyFill="1" applyBorder="1" applyAlignment="1" applyProtection="1">
      <alignment horizontal="right" vertical="center"/>
      <protection locked="0"/>
    </xf>
    <xf numFmtId="164" fontId="21" fillId="2" borderId="2" xfId="13" applyFont="1" applyFill="1" applyBorder="1" applyAlignment="1" applyProtection="1">
      <alignment horizontal="left" vertical="center"/>
      <protection hidden="1"/>
    </xf>
    <xf numFmtId="164" fontId="21" fillId="2" borderId="0" xfId="13" applyFont="1" applyFill="1" applyBorder="1" applyAlignment="1" applyProtection="1">
      <alignment horizontal="left" vertical="center"/>
      <protection hidden="1"/>
    </xf>
    <xf numFmtId="164" fontId="18" fillId="3" borderId="29" xfId="0" applyNumberFormat="1" applyFont="1" applyFill="1" applyBorder="1" applyAlignment="1" applyProtection="1">
      <alignment horizontal="center" vertical="center"/>
    </xf>
    <xf numFmtId="164" fontId="18" fillId="3" borderId="30" xfId="0" applyNumberFormat="1" applyFont="1" applyFill="1" applyBorder="1" applyAlignment="1" applyProtection="1">
      <alignment horizontal="center" vertical="center"/>
    </xf>
    <xf numFmtId="164" fontId="18" fillId="3" borderId="31" xfId="0" applyNumberFormat="1" applyFont="1" applyFill="1" applyBorder="1" applyAlignment="1" applyProtection="1">
      <alignment horizontal="center" vertical="center"/>
    </xf>
    <xf numFmtId="164" fontId="18" fillId="3" borderId="32" xfId="0" applyNumberFormat="1" applyFont="1" applyFill="1" applyBorder="1" applyAlignment="1" applyProtection="1">
      <alignment horizontal="center" vertical="center"/>
    </xf>
    <xf numFmtId="164" fontId="18" fillId="3" borderId="33" xfId="0" applyNumberFormat="1" applyFont="1" applyFill="1" applyBorder="1" applyAlignment="1" applyProtection="1">
      <alignment horizontal="center" vertical="center"/>
    </xf>
    <xf numFmtId="164" fontId="18" fillId="3" borderId="34" xfId="0" applyNumberFormat="1" applyFont="1" applyFill="1" applyBorder="1" applyAlignment="1" applyProtection="1">
      <alignment horizontal="center" vertical="center"/>
    </xf>
    <xf numFmtId="164" fontId="18" fillId="3" borderId="35" xfId="0" applyNumberFormat="1" applyFont="1" applyFill="1" applyBorder="1" applyAlignment="1" applyProtection="1">
      <alignment horizontal="center" vertical="center"/>
    </xf>
    <xf numFmtId="164" fontId="18" fillId="3" borderId="36" xfId="0" applyNumberFormat="1" applyFont="1" applyFill="1" applyBorder="1" applyAlignment="1" applyProtection="1">
      <alignment horizontal="center" vertical="center"/>
    </xf>
    <xf numFmtId="164" fontId="18" fillId="3" borderId="1" xfId="0" applyNumberFormat="1" applyFont="1" applyFill="1" applyBorder="1" applyAlignment="1" applyProtection="1">
      <alignment horizontal="right" vertical="center" wrapText="1"/>
    </xf>
    <xf numFmtId="164" fontId="18" fillId="3" borderId="6" xfId="0" applyNumberFormat="1" applyFont="1" applyFill="1" applyBorder="1" applyAlignment="1" applyProtection="1">
      <alignment horizontal="right" vertical="center" wrapText="1"/>
    </xf>
    <xf numFmtId="164" fontId="18" fillId="3" borderId="4" xfId="0" applyNumberFormat="1" applyFont="1" applyFill="1" applyBorder="1" applyAlignment="1" applyProtection="1">
      <alignment horizontal="right" vertical="center" wrapText="1"/>
    </xf>
    <xf numFmtId="164" fontId="22" fillId="3" borderId="0" xfId="0" applyNumberFormat="1" applyFont="1" applyFill="1" applyBorder="1" applyAlignment="1">
      <alignment horizontal="right" vertical="center"/>
    </xf>
    <xf numFmtId="164" fontId="18" fillId="3" borderId="0" xfId="0" applyNumberFormat="1" applyFont="1" applyFill="1" applyBorder="1" applyAlignment="1">
      <alignment horizontal="right" vertical="center"/>
    </xf>
    <xf numFmtId="164" fontId="18" fillId="3" borderId="5" xfId="0" applyNumberFormat="1" applyFont="1" applyFill="1" applyBorder="1" applyAlignment="1">
      <alignment horizontal="right" vertical="center"/>
    </xf>
    <xf numFmtId="164" fontId="22" fillId="3" borderId="3" xfId="0" applyNumberFormat="1" applyFont="1" applyFill="1" applyBorder="1" applyAlignment="1">
      <alignment horizontal="right" vertical="center"/>
    </xf>
    <xf numFmtId="164" fontId="22" fillId="3" borderId="37" xfId="0" applyNumberFormat="1" applyFont="1" applyFill="1" applyBorder="1" applyAlignment="1">
      <alignment horizontal="right" vertical="center"/>
    </xf>
    <xf numFmtId="164" fontId="19" fillId="3" borderId="5" xfId="0" applyNumberFormat="1" applyFont="1" applyFill="1" applyBorder="1" applyAlignment="1" applyProtection="1">
      <alignment horizontal="right" vertical="center"/>
      <protection locked="0"/>
    </xf>
    <xf numFmtId="164" fontId="19" fillId="3" borderId="5" xfId="0" applyNumberFormat="1" applyFont="1" applyFill="1" applyBorder="1" applyAlignment="1">
      <alignment horizontal="right" vertical="center"/>
    </xf>
    <xf numFmtId="164" fontId="19" fillId="3" borderId="0" xfId="0" applyNumberFormat="1" applyFont="1" applyFill="1" applyBorder="1" applyAlignment="1" applyProtection="1">
      <alignment horizontal="left" vertical="center"/>
    </xf>
    <xf numFmtId="164" fontId="16" fillId="3" borderId="5" xfId="0" applyNumberFormat="1" applyFont="1" applyFill="1" applyBorder="1" applyAlignment="1" applyProtection="1">
      <alignment horizontal="right" vertical="center"/>
      <protection locked="0"/>
    </xf>
    <xf numFmtId="164" fontId="19" fillId="3" borderId="1" xfId="0" quotePrefix="1" applyNumberFormat="1" applyFont="1" applyFill="1" applyBorder="1" applyAlignment="1" applyProtection="1">
      <alignment horizontal="left" vertical="center" indent="1"/>
    </xf>
    <xf numFmtId="164" fontId="18" fillId="3" borderId="1" xfId="0" applyNumberFormat="1" applyFont="1" applyFill="1" applyBorder="1" applyAlignment="1">
      <alignment horizontal="right" vertical="center"/>
    </xf>
    <xf numFmtId="164" fontId="19" fillId="3" borderId="1" xfId="0" applyNumberFormat="1" applyFont="1" applyFill="1" applyBorder="1" applyAlignment="1">
      <alignment horizontal="right" vertical="center"/>
    </xf>
    <xf numFmtId="164" fontId="19" fillId="3" borderId="6" xfId="0" applyNumberFormat="1" applyFont="1" applyFill="1" applyBorder="1" applyAlignment="1">
      <alignment horizontal="right" vertical="center"/>
    </xf>
    <xf numFmtId="164" fontId="18" fillId="3" borderId="4" xfId="0" applyNumberFormat="1" applyFont="1" applyFill="1" applyBorder="1" applyAlignment="1">
      <alignment horizontal="right" vertical="center"/>
    </xf>
    <xf numFmtId="164" fontId="8" fillId="3" borderId="1" xfId="0" applyNumberFormat="1" applyFont="1" applyFill="1" applyBorder="1" applyAlignment="1">
      <alignment vertical="center"/>
    </xf>
    <xf numFmtId="164" fontId="19" fillId="3" borderId="6" xfId="0" applyNumberFormat="1" applyFont="1" applyFill="1" applyBorder="1" applyAlignment="1" applyProtection="1">
      <alignment horizontal="right" vertical="center"/>
      <protection locked="0"/>
    </xf>
    <xf numFmtId="164" fontId="22" fillId="3" borderId="4" xfId="0" applyNumberFormat="1" applyFont="1" applyFill="1" applyBorder="1" applyAlignment="1">
      <alignment horizontal="right" vertical="center"/>
    </xf>
  </cellXfs>
  <cellStyles count="14">
    <cellStyle name="Comma 2" xfId="12"/>
    <cellStyle name="Comma 3" xfId="5"/>
    <cellStyle name="Comma 4" xfId="3"/>
    <cellStyle name="Normal" xfId="0" builtinId="0"/>
    <cellStyle name="Normal 11" xfId="6"/>
    <cellStyle name="Normal 2" xfId="4"/>
    <cellStyle name="Normal 20" xfId="2"/>
    <cellStyle name="Normal 3" xfId="11"/>
    <cellStyle name="Normal 32" xfId="7"/>
    <cellStyle name="Normal 4" xfId="10"/>
    <cellStyle name="Normal 44" xfId="8"/>
    <cellStyle name="Normal 48" xfId="9"/>
    <cellStyle name="Normal 5" xfId="1"/>
    <cellStyle name="Normal_Stat Year Book 2007 tables" xfId="13"/>
  </cellStyles>
  <dxfs count="0"/>
  <tableStyles count="0" defaultTableStyle="TableStyleMedium2" defaultPivotStyle="PivotStyleLight16"/>
  <colors>
    <mruColors>
      <color rgb="FFCD9B69"/>
      <color rgb="FFA85400"/>
      <color rgb="FF996633"/>
      <color rgb="FFF3E6D9"/>
      <color rgb="FF993366"/>
      <color rgb="FF663300"/>
      <color rgb="FFEDDBC9"/>
      <color rgb="FFE3ABC7"/>
      <color rgb="FF990033"/>
      <color rgb="FFFFEF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Q65"/>
  <sheetViews>
    <sheetView tabSelected="1" zoomScaleNormal="100" workbookViewId="0">
      <selection activeCell="X13" sqref="X13"/>
    </sheetView>
  </sheetViews>
  <sheetFormatPr defaultColWidth="11.140625" defaultRowHeight="12.75" x14ac:dyDescent="0.2"/>
  <cols>
    <col min="1" max="1" width="19.42578125" style="13" customWidth="1"/>
    <col min="2" max="13" width="8.85546875" style="13" customWidth="1"/>
    <col min="14" max="16" width="8.28515625" style="13" customWidth="1"/>
    <col min="17" max="17" width="5.42578125" style="13" customWidth="1"/>
    <col min="18" max="16384" width="11.140625" style="13"/>
  </cols>
  <sheetData>
    <row r="3" spans="1:17" s="15" customFormat="1" ht="21" x14ac:dyDescent="0.2">
      <c r="A3" s="14" t="s">
        <v>30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</row>
    <row r="4" spans="1:17" s="17" customFormat="1" ht="15" x14ac:dyDescent="0.25">
      <c r="A4" s="16" t="s">
        <v>31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</row>
    <row r="5" spans="1:17" s="19" customFormat="1" ht="15" x14ac:dyDescent="0.25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</row>
    <row r="6" spans="1:17" s="26" customFormat="1" ht="15" customHeight="1" x14ac:dyDescent="0.25">
      <c r="A6" s="20" t="s">
        <v>23</v>
      </c>
      <c r="B6" s="21" t="s">
        <v>16</v>
      </c>
      <c r="C6" s="21"/>
      <c r="D6" s="22"/>
      <c r="E6" s="23" t="s">
        <v>17</v>
      </c>
      <c r="F6" s="24"/>
      <c r="G6" s="25"/>
      <c r="H6" s="23" t="s">
        <v>18</v>
      </c>
      <c r="I6" s="24"/>
      <c r="J6" s="25"/>
      <c r="K6" s="24" t="s">
        <v>19</v>
      </c>
      <c r="L6" s="24"/>
      <c r="M6" s="24"/>
      <c r="O6" s="27"/>
      <c r="P6" s="27"/>
    </row>
    <row r="7" spans="1:17" s="35" customFormat="1" ht="13.5" customHeight="1" x14ac:dyDescent="0.2">
      <c r="A7" s="28" t="s">
        <v>23</v>
      </c>
      <c r="B7" s="29" t="s">
        <v>24</v>
      </c>
      <c r="C7" s="30" t="s">
        <v>1</v>
      </c>
      <c r="D7" s="31" t="s">
        <v>2</v>
      </c>
      <c r="E7" s="32" t="s">
        <v>0</v>
      </c>
      <c r="F7" s="30" t="s">
        <v>1</v>
      </c>
      <c r="G7" s="33" t="s">
        <v>2</v>
      </c>
      <c r="H7" s="30" t="s">
        <v>0</v>
      </c>
      <c r="I7" s="30" t="s">
        <v>1</v>
      </c>
      <c r="J7" s="31" t="s">
        <v>2</v>
      </c>
      <c r="K7" s="34" t="s">
        <v>0</v>
      </c>
      <c r="L7" s="30" t="s">
        <v>1</v>
      </c>
      <c r="M7" s="31" t="s">
        <v>2</v>
      </c>
      <c r="O7" s="36"/>
      <c r="P7" s="36"/>
    </row>
    <row r="8" spans="1:17" s="43" customFormat="1" ht="18.75" x14ac:dyDescent="0.5">
      <c r="A8" s="37"/>
      <c r="B8" s="38" t="s">
        <v>25</v>
      </c>
      <c r="C8" s="38" t="s">
        <v>26</v>
      </c>
      <c r="D8" s="39" t="s">
        <v>27</v>
      </c>
      <c r="E8" s="40" t="s">
        <v>25</v>
      </c>
      <c r="F8" s="38" t="s">
        <v>26</v>
      </c>
      <c r="G8" s="41" t="s">
        <v>27</v>
      </c>
      <c r="H8" s="38" t="s">
        <v>25</v>
      </c>
      <c r="I8" s="38" t="s">
        <v>26</v>
      </c>
      <c r="J8" s="39" t="s">
        <v>27</v>
      </c>
      <c r="K8" s="42" t="s">
        <v>25</v>
      </c>
      <c r="L8" s="38" t="s">
        <v>26</v>
      </c>
      <c r="M8" s="39" t="s">
        <v>27</v>
      </c>
      <c r="O8" s="44"/>
      <c r="P8" s="44"/>
    </row>
    <row r="9" spans="1:17" x14ac:dyDescent="0.2">
      <c r="A9" s="45" t="s">
        <v>28</v>
      </c>
      <c r="B9" s="2">
        <f>SUM(B14:B29)</f>
        <v>1041</v>
      </c>
      <c r="C9" s="2">
        <f>SUM(C14:C29)</f>
        <v>633</v>
      </c>
      <c r="D9" s="2">
        <f>SUM(D14:D29)</f>
        <v>408</v>
      </c>
      <c r="E9" s="46">
        <f>SUM(E14:E29)</f>
        <v>651</v>
      </c>
      <c r="F9" s="2">
        <f>SUM(F14:F29)</f>
        <v>388</v>
      </c>
      <c r="G9" s="47">
        <f>SUM(G14:G29)</f>
        <v>263</v>
      </c>
      <c r="H9" s="2">
        <f>SUM(H14:H29)</f>
        <v>313</v>
      </c>
      <c r="I9" s="2">
        <f>SUM(I14:I29)</f>
        <v>199</v>
      </c>
      <c r="J9" s="2">
        <f>SUM(J14:J29)</f>
        <v>114</v>
      </c>
      <c r="K9" s="3">
        <f>SUM(K14:K29)</f>
        <v>77</v>
      </c>
      <c r="L9" s="2">
        <f>SUM(L14:L29)</f>
        <v>46</v>
      </c>
      <c r="M9" s="2">
        <f>SUM(M14:M29)</f>
        <v>31</v>
      </c>
      <c r="Q9" s="4"/>
    </row>
    <row r="10" spans="1:17" x14ac:dyDescent="0.2">
      <c r="A10" s="48" t="s">
        <v>21</v>
      </c>
      <c r="B10" s="2">
        <f>SUM(C10:D10)</f>
        <v>14</v>
      </c>
      <c r="C10" s="5">
        <f>F10+I10+L10</f>
        <v>8</v>
      </c>
      <c r="D10" s="5">
        <f>G10+J10+M10</f>
        <v>6</v>
      </c>
      <c r="E10" s="46">
        <f>SUM(F10:G10)</f>
        <v>11</v>
      </c>
      <c r="F10" s="49">
        <v>6</v>
      </c>
      <c r="G10" s="50">
        <v>5</v>
      </c>
      <c r="H10" s="2">
        <f>SUM(I10:J10)</f>
        <v>1</v>
      </c>
      <c r="I10" s="49">
        <v>0</v>
      </c>
      <c r="J10" s="49">
        <v>1</v>
      </c>
      <c r="K10" s="3">
        <f t="shared" ref="K10:K29" si="0">SUM(L10:M10)</f>
        <v>2</v>
      </c>
      <c r="L10" s="49">
        <v>2</v>
      </c>
      <c r="M10" s="49">
        <v>0</v>
      </c>
    </row>
    <row r="11" spans="1:17" x14ac:dyDescent="0.2">
      <c r="A11" s="48" t="s">
        <v>22</v>
      </c>
      <c r="B11" s="2">
        <f>SUM(C11:D11)</f>
        <v>4</v>
      </c>
      <c r="C11" s="5">
        <f>F11+I11+L11</f>
        <v>1</v>
      </c>
      <c r="D11" s="5">
        <f>G11+J11+M11</f>
        <v>3</v>
      </c>
      <c r="E11" s="46">
        <f>SUM(F11:G11)</f>
        <v>3</v>
      </c>
      <c r="F11" s="49">
        <v>1</v>
      </c>
      <c r="G11" s="50">
        <v>2</v>
      </c>
      <c r="H11" s="2">
        <f>SUM(I11:J11)</f>
        <v>1</v>
      </c>
      <c r="I11" s="49">
        <v>0</v>
      </c>
      <c r="J11" s="49">
        <v>1</v>
      </c>
      <c r="K11" s="3">
        <f t="shared" si="0"/>
        <v>0</v>
      </c>
      <c r="L11" s="49">
        <v>0</v>
      </c>
      <c r="M11" s="49">
        <v>0</v>
      </c>
    </row>
    <row r="12" spans="1:17" x14ac:dyDescent="0.2">
      <c r="A12" s="48" t="s">
        <v>29</v>
      </c>
      <c r="B12" s="2">
        <f>SUM(C12:D12)</f>
        <v>15</v>
      </c>
      <c r="C12" s="5">
        <f>F12+I12+L12</f>
        <v>9</v>
      </c>
      <c r="D12" s="5">
        <f>G12+J12+M12</f>
        <v>6</v>
      </c>
      <c r="E12" s="46">
        <f>SUM(F12:G12)</f>
        <v>5</v>
      </c>
      <c r="F12" s="49">
        <v>2</v>
      </c>
      <c r="G12" s="50">
        <v>3</v>
      </c>
      <c r="H12" s="2">
        <f>SUM(I12:J12)</f>
        <v>1</v>
      </c>
      <c r="I12" s="49">
        <v>1</v>
      </c>
      <c r="J12" s="49">
        <v>0</v>
      </c>
      <c r="K12" s="3">
        <f t="shared" si="0"/>
        <v>9</v>
      </c>
      <c r="L12" s="49">
        <v>6</v>
      </c>
      <c r="M12" s="49">
        <v>3</v>
      </c>
    </row>
    <row r="13" spans="1:17" x14ac:dyDescent="0.2">
      <c r="A13" s="51" t="s">
        <v>32</v>
      </c>
      <c r="B13" s="2">
        <f>SUM(C13:D13)</f>
        <v>10</v>
      </c>
      <c r="C13" s="5">
        <f>F13+I13+L13</f>
        <v>5</v>
      </c>
      <c r="D13" s="5">
        <f>G13+J13+M13</f>
        <v>5</v>
      </c>
      <c r="E13" s="46">
        <f>SUM(F13:G13)</f>
        <v>5</v>
      </c>
      <c r="F13" s="52">
        <v>2</v>
      </c>
      <c r="G13" s="53">
        <v>3</v>
      </c>
      <c r="H13" s="2">
        <f>SUM(I13:J13)</f>
        <v>5</v>
      </c>
      <c r="I13" s="52">
        <v>3</v>
      </c>
      <c r="J13" s="52">
        <v>2</v>
      </c>
      <c r="K13" s="3">
        <f t="shared" si="0"/>
        <v>0</v>
      </c>
      <c r="L13" s="52">
        <v>0</v>
      </c>
      <c r="M13" s="52">
        <v>0</v>
      </c>
    </row>
    <row r="14" spans="1:17" x14ac:dyDescent="0.2">
      <c r="A14" s="54" t="s">
        <v>4</v>
      </c>
      <c r="B14" s="2">
        <f>SUM(C14:D14)</f>
        <v>43</v>
      </c>
      <c r="C14" s="5">
        <f>SUM(C10:C13)</f>
        <v>23</v>
      </c>
      <c r="D14" s="5">
        <f>SUM(D10:D13)</f>
        <v>20</v>
      </c>
      <c r="E14" s="46">
        <f>SUM(F14:G14)</f>
        <v>24</v>
      </c>
      <c r="F14" s="49">
        <f>SUM(F10:F13)</f>
        <v>11</v>
      </c>
      <c r="G14" s="50">
        <f>SUM(G10:G13)</f>
        <v>13</v>
      </c>
      <c r="H14" s="2">
        <f>SUM(I14:J14)</f>
        <v>8</v>
      </c>
      <c r="I14" s="49">
        <f>SUM(I10:I13)</f>
        <v>4</v>
      </c>
      <c r="J14" s="49">
        <f>SUM(J10:J13)</f>
        <v>4</v>
      </c>
      <c r="K14" s="3">
        <f t="shared" si="0"/>
        <v>11</v>
      </c>
      <c r="L14" s="49">
        <f>SUM(L10:L13)</f>
        <v>8</v>
      </c>
      <c r="M14" s="49">
        <f>SUM(M10:M13)</f>
        <v>3</v>
      </c>
    </row>
    <row r="15" spans="1:17" x14ac:dyDescent="0.2">
      <c r="A15" s="55" t="s">
        <v>6</v>
      </c>
      <c r="B15" s="2">
        <f t="shared" ref="B15:B29" si="1">SUM(C15:D15)</f>
        <v>7</v>
      </c>
      <c r="C15" s="5">
        <f>F15+I15+L15</f>
        <v>6</v>
      </c>
      <c r="D15" s="5">
        <f>G15+J15+M15</f>
        <v>1</v>
      </c>
      <c r="E15" s="46">
        <f t="shared" ref="E15:E29" si="2">SUM(F15:G15)</f>
        <v>3</v>
      </c>
      <c r="F15" s="49">
        <v>2</v>
      </c>
      <c r="G15" s="56">
        <v>1</v>
      </c>
      <c r="H15" s="2">
        <f t="shared" ref="H15:H29" si="3">SUM(I15:J15)</f>
        <v>2</v>
      </c>
      <c r="I15" s="49">
        <v>2</v>
      </c>
      <c r="J15" s="57">
        <v>0</v>
      </c>
      <c r="K15" s="3">
        <f t="shared" si="0"/>
        <v>2</v>
      </c>
      <c r="L15" s="49">
        <v>2</v>
      </c>
      <c r="M15" s="49">
        <v>0</v>
      </c>
    </row>
    <row r="16" spans="1:17" x14ac:dyDescent="0.2">
      <c r="A16" s="55" t="s">
        <v>3</v>
      </c>
      <c r="B16" s="2">
        <f t="shared" si="1"/>
        <v>1</v>
      </c>
      <c r="C16" s="5">
        <f>F16+I16+L16</f>
        <v>0</v>
      </c>
      <c r="D16" s="5">
        <f>G16+J16+M16</f>
        <v>1</v>
      </c>
      <c r="E16" s="46">
        <f t="shared" si="2"/>
        <v>0</v>
      </c>
      <c r="F16" s="49">
        <v>0</v>
      </c>
      <c r="G16" s="50">
        <v>0</v>
      </c>
      <c r="H16" s="2">
        <f t="shared" si="3"/>
        <v>1</v>
      </c>
      <c r="I16" s="49">
        <v>0</v>
      </c>
      <c r="J16" s="49">
        <v>1</v>
      </c>
      <c r="K16" s="3">
        <f t="shared" si="0"/>
        <v>0</v>
      </c>
      <c r="L16" s="49">
        <v>0</v>
      </c>
      <c r="M16" s="49">
        <v>0</v>
      </c>
    </row>
    <row r="17" spans="1:16" x14ac:dyDescent="0.2">
      <c r="A17" s="55" t="s">
        <v>5</v>
      </c>
      <c r="B17" s="2">
        <f t="shared" si="1"/>
        <v>4</v>
      </c>
      <c r="C17" s="5">
        <f>F17+I17+L17</f>
        <v>2</v>
      </c>
      <c r="D17" s="5">
        <f>G17+J17+M17</f>
        <v>2</v>
      </c>
      <c r="E17" s="46">
        <f t="shared" si="2"/>
        <v>2</v>
      </c>
      <c r="F17" s="49">
        <v>1</v>
      </c>
      <c r="G17" s="50">
        <v>1</v>
      </c>
      <c r="H17" s="2">
        <f t="shared" si="3"/>
        <v>1</v>
      </c>
      <c r="I17" s="49">
        <v>0</v>
      </c>
      <c r="J17" s="49">
        <v>1</v>
      </c>
      <c r="K17" s="3">
        <f t="shared" si="0"/>
        <v>1</v>
      </c>
      <c r="L17" s="49">
        <v>1</v>
      </c>
      <c r="M17" s="49">
        <v>0</v>
      </c>
    </row>
    <row r="18" spans="1:16" x14ac:dyDescent="0.2">
      <c r="A18" s="55" t="s">
        <v>7</v>
      </c>
      <c r="B18" s="2">
        <f t="shared" si="1"/>
        <v>14</v>
      </c>
      <c r="C18" s="5">
        <f>F18+I18+L18</f>
        <v>8</v>
      </c>
      <c r="D18" s="5">
        <f>G18+J18+M18</f>
        <v>6</v>
      </c>
      <c r="E18" s="46">
        <f t="shared" si="2"/>
        <v>11</v>
      </c>
      <c r="F18" s="49">
        <v>6</v>
      </c>
      <c r="G18" s="50">
        <v>5</v>
      </c>
      <c r="H18" s="2">
        <f t="shared" si="3"/>
        <v>1</v>
      </c>
      <c r="I18" s="49">
        <v>1</v>
      </c>
      <c r="J18" s="49">
        <v>0</v>
      </c>
      <c r="K18" s="3">
        <f t="shared" si="0"/>
        <v>2</v>
      </c>
      <c r="L18" s="49">
        <v>1</v>
      </c>
      <c r="M18" s="49">
        <v>1</v>
      </c>
    </row>
    <row r="19" spans="1:16" x14ac:dyDescent="0.2">
      <c r="A19" s="55" t="s">
        <v>8</v>
      </c>
      <c r="B19" s="2">
        <f t="shared" si="1"/>
        <v>14</v>
      </c>
      <c r="C19" s="5">
        <f>F19+I19+L19</f>
        <v>11</v>
      </c>
      <c r="D19" s="5">
        <f>G19+J19+M19</f>
        <v>3</v>
      </c>
      <c r="E19" s="46">
        <f t="shared" si="2"/>
        <v>8</v>
      </c>
      <c r="F19" s="49">
        <v>6</v>
      </c>
      <c r="G19" s="58">
        <v>2</v>
      </c>
      <c r="H19" s="2">
        <f t="shared" si="3"/>
        <v>3</v>
      </c>
      <c r="I19" s="49">
        <v>3</v>
      </c>
      <c r="J19" s="49">
        <v>0</v>
      </c>
      <c r="K19" s="3">
        <f t="shared" si="0"/>
        <v>3</v>
      </c>
      <c r="L19" s="49">
        <v>2</v>
      </c>
      <c r="M19" s="49">
        <v>1</v>
      </c>
    </row>
    <row r="20" spans="1:16" x14ac:dyDescent="0.2">
      <c r="A20" s="55" t="s">
        <v>33</v>
      </c>
      <c r="B20" s="2">
        <f t="shared" si="1"/>
        <v>17</v>
      </c>
      <c r="C20" s="5">
        <f>F20+I20+L20</f>
        <v>10</v>
      </c>
      <c r="D20" s="5">
        <f>G20+J20+M20</f>
        <v>7</v>
      </c>
      <c r="E20" s="46">
        <f t="shared" si="2"/>
        <v>11</v>
      </c>
      <c r="F20" s="49">
        <v>5</v>
      </c>
      <c r="G20" s="50">
        <v>6</v>
      </c>
      <c r="H20" s="2">
        <f t="shared" si="3"/>
        <v>5</v>
      </c>
      <c r="I20" s="49">
        <v>4</v>
      </c>
      <c r="J20" s="49">
        <v>1</v>
      </c>
      <c r="K20" s="3">
        <f t="shared" si="0"/>
        <v>1</v>
      </c>
      <c r="L20" s="49">
        <v>1</v>
      </c>
      <c r="M20" s="49">
        <v>0</v>
      </c>
    </row>
    <row r="21" spans="1:16" x14ac:dyDescent="0.2">
      <c r="A21" s="55" t="s">
        <v>9</v>
      </c>
      <c r="B21" s="2">
        <f t="shared" si="1"/>
        <v>19</v>
      </c>
      <c r="C21" s="5">
        <f>F21+I21+L21</f>
        <v>10</v>
      </c>
      <c r="D21" s="5">
        <f>G21+J21+M21</f>
        <v>9</v>
      </c>
      <c r="E21" s="46">
        <f t="shared" si="2"/>
        <v>12</v>
      </c>
      <c r="F21" s="49">
        <v>6</v>
      </c>
      <c r="G21" s="50">
        <v>6</v>
      </c>
      <c r="H21" s="2">
        <f t="shared" si="3"/>
        <v>4</v>
      </c>
      <c r="I21" s="49">
        <v>2</v>
      </c>
      <c r="J21" s="49">
        <v>2</v>
      </c>
      <c r="K21" s="3">
        <f t="shared" si="0"/>
        <v>3</v>
      </c>
      <c r="L21" s="49">
        <v>2</v>
      </c>
      <c r="M21" s="49">
        <v>1</v>
      </c>
    </row>
    <row r="22" spans="1:16" x14ac:dyDescent="0.2">
      <c r="A22" s="55" t="s">
        <v>10</v>
      </c>
      <c r="B22" s="2">
        <f t="shared" si="1"/>
        <v>10</v>
      </c>
      <c r="C22" s="5">
        <f>F22+I22+L22</f>
        <v>4</v>
      </c>
      <c r="D22" s="5">
        <f>G22+J22+M22</f>
        <v>6</v>
      </c>
      <c r="E22" s="46">
        <f t="shared" si="2"/>
        <v>6</v>
      </c>
      <c r="F22" s="49">
        <v>3</v>
      </c>
      <c r="G22" s="50">
        <v>3</v>
      </c>
      <c r="H22" s="2">
        <f t="shared" si="3"/>
        <v>1</v>
      </c>
      <c r="I22" s="49">
        <v>1</v>
      </c>
      <c r="J22" s="49">
        <v>0</v>
      </c>
      <c r="K22" s="3">
        <f t="shared" si="0"/>
        <v>3</v>
      </c>
      <c r="L22" s="49">
        <v>0</v>
      </c>
      <c r="M22" s="49">
        <v>3</v>
      </c>
    </row>
    <row r="23" spans="1:16" ht="18" customHeight="1" x14ac:dyDescent="0.2">
      <c r="A23" s="55" t="s">
        <v>34</v>
      </c>
      <c r="B23" s="2">
        <f t="shared" si="1"/>
        <v>27</v>
      </c>
      <c r="C23" s="5">
        <f>F23+I23+L23</f>
        <v>14</v>
      </c>
      <c r="D23" s="5">
        <f>G23+J23+M23</f>
        <v>13</v>
      </c>
      <c r="E23" s="46">
        <f t="shared" si="2"/>
        <v>14</v>
      </c>
      <c r="F23" s="49">
        <v>9</v>
      </c>
      <c r="G23" s="50">
        <v>5</v>
      </c>
      <c r="H23" s="2">
        <f t="shared" si="3"/>
        <v>7</v>
      </c>
      <c r="I23" s="49">
        <v>4</v>
      </c>
      <c r="J23" s="49">
        <v>3</v>
      </c>
      <c r="K23" s="3">
        <f t="shared" si="0"/>
        <v>6</v>
      </c>
      <c r="L23" s="49">
        <v>1</v>
      </c>
      <c r="M23" s="49">
        <v>5</v>
      </c>
    </row>
    <row r="24" spans="1:16" x14ac:dyDescent="0.2">
      <c r="A24" s="55" t="s">
        <v>11</v>
      </c>
      <c r="B24" s="2">
        <f t="shared" si="1"/>
        <v>28</v>
      </c>
      <c r="C24" s="5">
        <f>F24+I24+L24</f>
        <v>17</v>
      </c>
      <c r="D24" s="5">
        <f>G24+J24+M24</f>
        <v>11</v>
      </c>
      <c r="E24" s="46">
        <f t="shared" si="2"/>
        <v>15</v>
      </c>
      <c r="F24" s="49">
        <v>8</v>
      </c>
      <c r="G24" s="50">
        <v>7</v>
      </c>
      <c r="H24" s="2">
        <f t="shared" si="3"/>
        <v>11</v>
      </c>
      <c r="I24" s="49">
        <v>8</v>
      </c>
      <c r="J24" s="49">
        <v>3</v>
      </c>
      <c r="K24" s="3">
        <f t="shared" si="0"/>
        <v>2</v>
      </c>
      <c r="L24" s="49">
        <v>1</v>
      </c>
      <c r="M24" s="49">
        <v>1</v>
      </c>
    </row>
    <row r="25" spans="1:16" x14ac:dyDescent="0.2">
      <c r="A25" s="55" t="s">
        <v>12</v>
      </c>
      <c r="B25" s="2">
        <f t="shared" si="1"/>
        <v>35</v>
      </c>
      <c r="C25" s="5">
        <f>F25+I25+L25</f>
        <v>26</v>
      </c>
      <c r="D25" s="5">
        <f>G25+J25+M25</f>
        <v>9</v>
      </c>
      <c r="E25" s="46">
        <f t="shared" si="2"/>
        <v>24</v>
      </c>
      <c r="F25" s="49">
        <v>17</v>
      </c>
      <c r="G25" s="50">
        <v>7</v>
      </c>
      <c r="H25" s="2">
        <f t="shared" si="3"/>
        <v>3</v>
      </c>
      <c r="I25" s="49">
        <v>3</v>
      </c>
      <c r="J25" s="49">
        <v>0</v>
      </c>
      <c r="K25" s="3">
        <f t="shared" si="0"/>
        <v>8</v>
      </c>
      <c r="L25" s="49">
        <v>6</v>
      </c>
      <c r="M25" s="49">
        <v>2</v>
      </c>
    </row>
    <row r="26" spans="1:16" x14ac:dyDescent="0.2">
      <c r="A26" s="55" t="s">
        <v>13</v>
      </c>
      <c r="B26" s="2">
        <f t="shared" si="1"/>
        <v>65</v>
      </c>
      <c r="C26" s="5">
        <f>F26+I26+L26</f>
        <v>42</v>
      </c>
      <c r="D26" s="5">
        <f>G26+J26+M26</f>
        <v>23</v>
      </c>
      <c r="E26" s="46">
        <f t="shared" si="2"/>
        <v>44</v>
      </c>
      <c r="F26" s="59">
        <v>27</v>
      </c>
      <c r="G26" s="50">
        <v>17</v>
      </c>
      <c r="H26" s="2">
        <f t="shared" si="3"/>
        <v>12</v>
      </c>
      <c r="I26" s="59">
        <v>10</v>
      </c>
      <c r="J26" s="49">
        <v>2</v>
      </c>
      <c r="K26" s="3">
        <f t="shared" si="0"/>
        <v>9</v>
      </c>
      <c r="L26" s="49">
        <v>5</v>
      </c>
      <c r="M26" s="49">
        <v>4</v>
      </c>
    </row>
    <row r="27" spans="1:16" x14ac:dyDescent="0.2">
      <c r="A27" s="55" t="s">
        <v>14</v>
      </c>
      <c r="B27" s="2">
        <f t="shared" si="1"/>
        <v>72</v>
      </c>
      <c r="C27" s="5">
        <f>F27+I27+L27</f>
        <v>49</v>
      </c>
      <c r="D27" s="5">
        <f>G27+J27+M27</f>
        <v>23</v>
      </c>
      <c r="E27" s="46">
        <f t="shared" si="2"/>
        <v>47</v>
      </c>
      <c r="F27" s="49">
        <v>31</v>
      </c>
      <c r="G27" s="50">
        <v>16</v>
      </c>
      <c r="H27" s="2">
        <f t="shared" si="3"/>
        <v>22</v>
      </c>
      <c r="I27" s="49">
        <v>15</v>
      </c>
      <c r="J27" s="59">
        <v>7</v>
      </c>
      <c r="K27" s="3">
        <f t="shared" si="0"/>
        <v>3</v>
      </c>
      <c r="L27" s="59">
        <v>3</v>
      </c>
      <c r="M27" s="49">
        <v>0</v>
      </c>
    </row>
    <row r="28" spans="1:16" x14ac:dyDescent="0.2">
      <c r="A28" s="55" t="s">
        <v>15</v>
      </c>
      <c r="B28" s="2">
        <f t="shared" si="1"/>
        <v>72</v>
      </c>
      <c r="C28" s="5">
        <f>F28+I28+L28</f>
        <v>41</v>
      </c>
      <c r="D28" s="5">
        <f>G28+J28+M28</f>
        <v>31</v>
      </c>
      <c r="E28" s="46">
        <f t="shared" si="2"/>
        <v>59</v>
      </c>
      <c r="F28" s="60">
        <v>35</v>
      </c>
      <c r="G28" s="61">
        <v>24</v>
      </c>
      <c r="H28" s="2">
        <f t="shared" si="3"/>
        <v>8</v>
      </c>
      <c r="I28" s="60">
        <v>3</v>
      </c>
      <c r="J28" s="49">
        <v>5</v>
      </c>
      <c r="K28" s="3">
        <f t="shared" si="0"/>
        <v>5</v>
      </c>
      <c r="L28" s="49">
        <v>3</v>
      </c>
      <c r="M28" s="49">
        <v>2</v>
      </c>
    </row>
    <row r="29" spans="1:16" ht="18" customHeight="1" x14ac:dyDescent="0.2">
      <c r="A29" s="55" t="s">
        <v>35</v>
      </c>
      <c r="B29" s="2">
        <f t="shared" si="1"/>
        <v>613</v>
      </c>
      <c r="C29" s="5">
        <f>F29+I29+L29</f>
        <v>370</v>
      </c>
      <c r="D29" s="5">
        <f>G29+J29+M29</f>
        <v>243</v>
      </c>
      <c r="E29" s="62">
        <f t="shared" si="2"/>
        <v>371</v>
      </c>
      <c r="F29" s="63">
        <v>221</v>
      </c>
      <c r="G29" s="64">
        <v>150</v>
      </c>
      <c r="H29" s="2">
        <f t="shared" si="3"/>
        <v>224</v>
      </c>
      <c r="I29" s="49">
        <v>139</v>
      </c>
      <c r="J29" s="63">
        <v>85</v>
      </c>
      <c r="K29" s="6">
        <f t="shared" si="0"/>
        <v>18</v>
      </c>
      <c r="L29" s="63">
        <v>10</v>
      </c>
      <c r="M29" s="63">
        <v>8</v>
      </c>
    </row>
    <row r="30" spans="1:16" x14ac:dyDescent="0.2">
      <c r="A30" s="65" t="s">
        <v>36</v>
      </c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6"/>
      <c r="M30" s="11"/>
      <c r="N30" s="12"/>
      <c r="O30" s="12"/>
      <c r="P30" s="12"/>
    </row>
    <row r="31" spans="1:16" x14ac:dyDescent="0.2">
      <c r="A31" s="1" t="s">
        <v>20</v>
      </c>
      <c r="B31" s="8"/>
      <c r="C31" s="8"/>
      <c r="D31" s="9"/>
      <c r="E31" s="9"/>
      <c r="F31" s="11"/>
      <c r="G31" s="11"/>
      <c r="H31" s="10"/>
      <c r="I31" s="9"/>
      <c r="J31" s="8"/>
      <c r="K31" s="8"/>
      <c r="L31" s="9"/>
      <c r="M31" s="9"/>
      <c r="N31" s="8"/>
      <c r="O31" s="8"/>
      <c r="P31" s="9"/>
    </row>
    <row r="32" spans="1:16" x14ac:dyDescent="0.2">
      <c r="A32" s="7"/>
      <c r="B32" s="8"/>
      <c r="C32" s="8"/>
      <c r="D32" s="9"/>
      <c r="E32" s="9"/>
      <c r="F32" s="11"/>
      <c r="G32" s="11"/>
      <c r="H32" s="10"/>
      <c r="I32" s="9"/>
      <c r="J32" s="8"/>
      <c r="K32" s="8"/>
      <c r="L32" s="9"/>
      <c r="M32" s="9"/>
      <c r="N32" s="8"/>
      <c r="O32" s="8"/>
      <c r="P32" s="9"/>
    </row>
    <row r="33" spans="1:17" x14ac:dyDescent="0.2">
      <c r="A33" s="7"/>
      <c r="B33" s="8"/>
      <c r="C33" s="8"/>
      <c r="D33" s="9"/>
      <c r="E33" s="9"/>
      <c r="F33" s="11"/>
      <c r="G33" s="11"/>
      <c r="H33" s="10"/>
      <c r="I33" s="9"/>
      <c r="J33" s="8"/>
      <c r="K33" s="8"/>
      <c r="L33" s="9"/>
      <c r="M33" s="9"/>
      <c r="N33" s="8"/>
      <c r="O33" s="8"/>
      <c r="P33" s="9"/>
    </row>
    <row r="34" spans="1:17" x14ac:dyDescent="0.2">
      <c r="A34" s="7"/>
      <c r="B34" s="8"/>
      <c r="C34" s="8"/>
      <c r="D34" s="9"/>
      <c r="E34" s="9"/>
      <c r="F34" s="11"/>
      <c r="G34" s="11"/>
      <c r="H34" s="10"/>
      <c r="I34" s="9"/>
      <c r="J34" s="8"/>
      <c r="K34" s="8"/>
      <c r="L34" s="9"/>
      <c r="M34" s="9"/>
      <c r="N34" s="8"/>
      <c r="O34" s="8"/>
      <c r="P34" s="9"/>
    </row>
    <row r="35" spans="1:17" x14ac:dyDescent="0.2">
      <c r="A35" s="7"/>
      <c r="B35" s="8"/>
      <c r="C35" s="8"/>
      <c r="D35" s="9"/>
      <c r="E35" s="9"/>
      <c r="F35" s="11"/>
      <c r="G35" s="11"/>
      <c r="H35" s="10"/>
      <c r="I35" s="9"/>
      <c r="J35" s="8"/>
      <c r="K35" s="8"/>
      <c r="L35" s="9"/>
      <c r="M35" s="9"/>
      <c r="N35" s="8"/>
      <c r="O35" s="8"/>
      <c r="P35" s="9"/>
    </row>
    <row r="37" spans="1:17" ht="21" x14ac:dyDescent="0.2">
      <c r="A37" s="14" t="s">
        <v>37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</row>
    <row r="38" spans="1:17" ht="15" x14ac:dyDescent="0.2">
      <c r="A38" s="16" t="s">
        <v>38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</row>
    <row r="41" spans="1:17" ht="15" customHeight="1" x14ac:dyDescent="0.2">
      <c r="A41" s="67" t="s">
        <v>23</v>
      </c>
      <c r="B41" s="68" t="s">
        <v>16</v>
      </c>
      <c r="C41" s="68"/>
      <c r="D41" s="68"/>
      <c r="E41" s="69"/>
      <c r="F41" s="70" t="s">
        <v>17</v>
      </c>
      <c r="G41" s="68"/>
      <c r="H41" s="68"/>
      <c r="I41" s="69"/>
      <c r="J41" s="70" t="s">
        <v>18</v>
      </c>
      <c r="K41" s="68"/>
      <c r="L41" s="68"/>
      <c r="M41" s="69"/>
      <c r="N41" s="71" t="s">
        <v>19</v>
      </c>
      <c r="O41" s="72"/>
      <c r="P41" s="73"/>
    </row>
    <row r="42" spans="1:17" ht="24" x14ac:dyDescent="0.2">
      <c r="A42" s="74"/>
      <c r="B42" s="75" t="s">
        <v>24</v>
      </c>
      <c r="C42" s="75" t="s">
        <v>1</v>
      </c>
      <c r="D42" s="75" t="s">
        <v>2</v>
      </c>
      <c r="E42" s="76" t="s">
        <v>32</v>
      </c>
      <c r="F42" s="77" t="s">
        <v>0</v>
      </c>
      <c r="G42" s="75" t="s">
        <v>1</v>
      </c>
      <c r="H42" s="75" t="s">
        <v>2</v>
      </c>
      <c r="I42" s="76" t="s">
        <v>32</v>
      </c>
      <c r="J42" s="77" t="s">
        <v>0</v>
      </c>
      <c r="K42" s="75" t="s">
        <v>1</v>
      </c>
      <c r="L42" s="75" t="s">
        <v>2</v>
      </c>
      <c r="M42" s="76" t="s">
        <v>32</v>
      </c>
      <c r="N42" s="77" t="s">
        <v>0</v>
      </c>
      <c r="O42" s="75" t="s">
        <v>1</v>
      </c>
      <c r="P42" s="75" t="s">
        <v>2</v>
      </c>
    </row>
    <row r="43" spans="1:17" ht="15" x14ac:dyDescent="0.2">
      <c r="A43" s="45" t="s">
        <v>28</v>
      </c>
      <c r="B43" s="78">
        <f>SUM(C43:E43)</f>
        <v>1216</v>
      </c>
      <c r="C43" s="79">
        <f>C47+C48+C49+C50+C51+C52+C53+C54+C55+C56+C57+C58+C59+C60+C61+C62+C63</f>
        <v>716</v>
      </c>
      <c r="D43" s="79">
        <f>D47+D48+D49+D50+D51+D52+D53+D54+D55+D56+D57+D58+D59+D60+D61+D62+D63</f>
        <v>498</v>
      </c>
      <c r="E43" s="80">
        <f>E47+E48+E49+E50+E51+E52+E53+E54+E55+E56+E57+E58+E59+E60+E61+E62+E63</f>
        <v>2</v>
      </c>
      <c r="F43" s="81">
        <f>SUM(G43:H43)</f>
        <v>635</v>
      </c>
      <c r="G43" s="78">
        <f>G47+G48+G49+G50+G51+G52+G53+G54+G55+G56+G57+G58+G59+G60+G61+G62</f>
        <v>378</v>
      </c>
      <c r="H43" s="78">
        <f>H47+H48+H49+H50+H51+H52+H53+H54+H55+H56+H57+H58+H59+H60+H61+H62</f>
        <v>257</v>
      </c>
      <c r="I43" s="80">
        <v>0</v>
      </c>
      <c r="J43" s="81">
        <f>SUM(K43:L43)</f>
        <v>541</v>
      </c>
      <c r="K43" s="78">
        <f>K44+K45+K46+K48+K49+K50+K51+K52+K53+K54+K55+K56+K57+K58+K59+K60+K61+K62+K63</f>
        <v>321</v>
      </c>
      <c r="L43" s="78">
        <f t="shared" ref="L43:M43" si="4">L44+L45+L46+L48+L49+L50+L51+L52+L53+L54+L55+L56+L57+L58+L59+L60+L61+L62+L63</f>
        <v>220</v>
      </c>
      <c r="M43" s="82">
        <f t="shared" si="4"/>
        <v>2</v>
      </c>
      <c r="N43" s="78">
        <f>SUM(O43:P43)</f>
        <v>37</v>
      </c>
      <c r="O43" s="78">
        <f>O44+O45+O46+O48+O49+O50+O51+O52+O53+O54+O55+O56+O57+O58+O59+O60+O61+O62</f>
        <v>16</v>
      </c>
      <c r="P43" s="78">
        <f>P44+P45+P46+P48+P49+P50+P51+P52+P53+P54+P55+P56+P57+P58+P59+P60+P61+P62</f>
        <v>21</v>
      </c>
    </row>
    <row r="44" spans="1:17" ht="15" x14ac:dyDescent="0.2">
      <c r="A44" s="54" t="s">
        <v>21</v>
      </c>
      <c r="B44" s="78">
        <f>SUM(C44:E44)</f>
        <v>30</v>
      </c>
      <c r="C44" s="79">
        <f t="shared" ref="C44:D59" si="5">G44+K44+O44</f>
        <v>14</v>
      </c>
      <c r="D44" s="79">
        <f t="shared" si="5"/>
        <v>15</v>
      </c>
      <c r="E44" s="83">
        <v>1</v>
      </c>
      <c r="F44" s="81">
        <f t="shared" ref="F44:F61" si="6">SUM(G44:H44)</f>
        <v>20</v>
      </c>
      <c r="G44" s="49">
        <v>12</v>
      </c>
      <c r="H44" s="49">
        <v>8</v>
      </c>
      <c r="I44" s="83">
        <v>0</v>
      </c>
      <c r="J44" s="81">
        <f>SUM(K44:M44)</f>
        <v>9</v>
      </c>
      <c r="K44" s="49">
        <v>2</v>
      </c>
      <c r="L44" s="49">
        <v>6</v>
      </c>
      <c r="M44" s="83">
        <v>1</v>
      </c>
      <c r="N44" s="78">
        <f t="shared" ref="N44:N53" si="7">SUM(O44:P44)</f>
        <v>1</v>
      </c>
      <c r="O44" s="49">
        <v>0</v>
      </c>
      <c r="P44" s="49">
        <v>1</v>
      </c>
    </row>
    <row r="45" spans="1:17" ht="15" x14ac:dyDescent="0.2">
      <c r="A45" s="54" t="s">
        <v>22</v>
      </c>
      <c r="B45" s="78">
        <f t="shared" ref="B45:B62" si="8">SUM(C45:D45)</f>
        <v>3</v>
      </c>
      <c r="C45" s="79">
        <f t="shared" si="5"/>
        <v>2</v>
      </c>
      <c r="D45" s="79">
        <f t="shared" si="5"/>
        <v>1</v>
      </c>
      <c r="E45" s="84">
        <v>0</v>
      </c>
      <c r="F45" s="81">
        <f t="shared" si="6"/>
        <v>3</v>
      </c>
      <c r="G45" s="49">
        <v>2</v>
      </c>
      <c r="H45" s="49">
        <v>1</v>
      </c>
      <c r="I45" s="83">
        <v>0</v>
      </c>
      <c r="J45" s="81">
        <f t="shared" ref="J45:J62" si="9">SUM(K45:L45)</f>
        <v>0</v>
      </c>
      <c r="K45" s="49">
        <v>0</v>
      </c>
      <c r="L45" s="49">
        <v>0</v>
      </c>
      <c r="M45" s="83">
        <v>0</v>
      </c>
      <c r="N45" s="78">
        <f t="shared" si="7"/>
        <v>0</v>
      </c>
      <c r="O45" s="49">
        <v>0</v>
      </c>
      <c r="P45" s="49">
        <v>0</v>
      </c>
      <c r="Q45" s="36"/>
    </row>
    <row r="46" spans="1:17" ht="15" x14ac:dyDescent="0.2">
      <c r="A46" s="54" t="s">
        <v>29</v>
      </c>
      <c r="B46" s="78">
        <f t="shared" si="8"/>
        <v>13</v>
      </c>
      <c r="C46" s="79">
        <f t="shared" si="5"/>
        <v>8</v>
      </c>
      <c r="D46" s="79">
        <f t="shared" si="5"/>
        <v>5</v>
      </c>
      <c r="E46" s="84">
        <v>0</v>
      </c>
      <c r="F46" s="81">
        <f t="shared" si="6"/>
        <v>9</v>
      </c>
      <c r="G46" s="49">
        <v>5</v>
      </c>
      <c r="H46" s="49">
        <v>4</v>
      </c>
      <c r="I46" s="83">
        <v>0</v>
      </c>
      <c r="J46" s="81">
        <f t="shared" si="9"/>
        <v>3</v>
      </c>
      <c r="K46" s="49">
        <v>2</v>
      </c>
      <c r="L46" s="49">
        <v>1</v>
      </c>
      <c r="M46" s="83">
        <v>0</v>
      </c>
      <c r="N46" s="78">
        <f t="shared" si="7"/>
        <v>1</v>
      </c>
      <c r="O46" s="49">
        <v>1</v>
      </c>
      <c r="P46" s="49">
        <v>0</v>
      </c>
      <c r="Q46" s="36"/>
    </row>
    <row r="47" spans="1:17" ht="15" x14ac:dyDescent="0.2">
      <c r="A47" s="85" t="s">
        <v>4</v>
      </c>
      <c r="B47" s="78">
        <f>SUM(C47:E47)</f>
        <v>46</v>
      </c>
      <c r="C47" s="79">
        <f t="shared" si="5"/>
        <v>24</v>
      </c>
      <c r="D47" s="79">
        <f t="shared" si="5"/>
        <v>21</v>
      </c>
      <c r="E47" s="84">
        <f>SUM(E44:E46)</f>
        <v>1</v>
      </c>
      <c r="F47" s="81">
        <f t="shared" si="6"/>
        <v>32</v>
      </c>
      <c r="G47" s="52">
        <f>SUM(G44:G46)</f>
        <v>19</v>
      </c>
      <c r="H47" s="52">
        <f>SUM(H44:H46)</f>
        <v>13</v>
      </c>
      <c r="I47" s="83">
        <v>0</v>
      </c>
      <c r="J47" s="81">
        <f>SUM(K47:M47)</f>
        <v>12</v>
      </c>
      <c r="K47" s="52">
        <f>SUM(K44:K46)</f>
        <v>4</v>
      </c>
      <c r="L47" s="52">
        <f>SUM(L44:L46)</f>
        <v>7</v>
      </c>
      <c r="M47" s="86">
        <f>SUM(M44:M46)</f>
        <v>1</v>
      </c>
      <c r="N47" s="78">
        <f t="shared" si="7"/>
        <v>2</v>
      </c>
      <c r="O47" s="52">
        <f>SUM(O44:O46)</f>
        <v>1</v>
      </c>
      <c r="P47" s="52">
        <f>SUM(P44:P46)</f>
        <v>1</v>
      </c>
      <c r="Q47" s="36"/>
    </row>
    <row r="48" spans="1:17" ht="15" x14ac:dyDescent="0.2">
      <c r="A48" s="55" t="s">
        <v>6</v>
      </c>
      <c r="B48" s="78">
        <f t="shared" si="8"/>
        <v>9</v>
      </c>
      <c r="C48" s="79">
        <f t="shared" si="5"/>
        <v>4</v>
      </c>
      <c r="D48" s="79">
        <f t="shared" si="5"/>
        <v>5</v>
      </c>
      <c r="E48" s="84">
        <v>0</v>
      </c>
      <c r="F48" s="81">
        <f t="shared" si="6"/>
        <v>5</v>
      </c>
      <c r="G48" s="49">
        <v>3</v>
      </c>
      <c r="H48" s="49">
        <v>2</v>
      </c>
      <c r="I48" s="83">
        <v>0</v>
      </c>
      <c r="J48" s="81">
        <f>SUM(K48:L48)</f>
        <v>2</v>
      </c>
      <c r="K48" s="49">
        <v>1</v>
      </c>
      <c r="L48" s="49">
        <v>1</v>
      </c>
      <c r="M48" s="84">
        <v>0</v>
      </c>
      <c r="N48" s="78">
        <f t="shared" si="7"/>
        <v>2</v>
      </c>
      <c r="O48" s="49">
        <v>0</v>
      </c>
      <c r="P48" s="49">
        <v>2</v>
      </c>
      <c r="Q48" s="36"/>
    </row>
    <row r="49" spans="1:17" ht="15" x14ac:dyDescent="0.2">
      <c r="A49" s="55" t="s">
        <v>3</v>
      </c>
      <c r="B49" s="78">
        <f t="shared" si="8"/>
        <v>4</v>
      </c>
      <c r="C49" s="79">
        <f t="shared" si="5"/>
        <v>1</v>
      </c>
      <c r="D49" s="79">
        <f t="shared" si="5"/>
        <v>3</v>
      </c>
      <c r="E49" s="84">
        <v>0</v>
      </c>
      <c r="F49" s="81">
        <f t="shared" si="6"/>
        <v>1</v>
      </c>
      <c r="G49" s="49">
        <v>1</v>
      </c>
      <c r="H49" s="57">
        <v>0</v>
      </c>
      <c r="I49" s="83">
        <v>0</v>
      </c>
      <c r="J49" s="81">
        <f t="shared" si="9"/>
        <v>2</v>
      </c>
      <c r="K49" s="49">
        <v>0</v>
      </c>
      <c r="L49" s="57">
        <v>2</v>
      </c>
      <c r="M49" s="83">
        <v>0</v>
      </c>
      <c r="N49" s="78">
        <f t="shared" si="7"/>
        <v>1</v>
      </c>
      <c r="O49" s="49">
        <v>0</v>
      </c>
      <c r="P49" s="49">
        <v>1</v>
      </c>
      <c r="Q49" s="36"/>
    </row>
    <row r="50" spans="1:17" ht="15" x14ac:dyDescent="0.2">
      <c r="A50" s="55" t="s">
        <v>5</v>
      </c>
      <c r="B50" s="78">
        <f t="shared" si="8"/>
        <v>3</v>
      </c>
      <c r="C50" s="79">
        <f t="shared" si="5"/>
        <v>2</v>
      </c>
      <c r="D50" s="79">
        <f t="shared" si="5"/>
        <v>1</v>
      </c>
      <c r="E50" s="84">
        <v>0</v>
      </c>
      <c r="F50" s="81">
        <f t="shared" si="6"/>
        <v>2</v>
      </c>
      <c r="G50" s="49">
        <v>2</v>
      </c>
      <c r="H50" s="49">
        <v>0</v>
      </c>
      <c r="I50" s="83">
        <v>0</v>
      </c>
      <c r="J50" s="81">
        <f t="shared" si="9"/>
        <v>1</v>
      </c>
      <c r="K50" s="49">
        <v>0</v>
      </c>
      <c r="L50" s="49">
        <v>1</v>
      </c>
      <c r="M50" s="83">
        <v>0</v>
      </c>
      <c r="N50" s="78">
        <f t="shared" si="7"/>
        <v>0</v>
      </c>
      <c r="O50" s="49">
        <v>0</v>
      </c>
      <c r="P50" s="49">
        <v>0</v>
      </c>
      <c r="Q50" s="36"/>
    </row>
    <row r="51" spans="1:17" ht="15" x14ac:dyDescent="0.2">
      <c r="A51" s="55" t="s">
        <v>7</v>
      </c>
      <c r="B51" s="78">
        <f t="shared" si="8"/>
        <v>13</v>
      </c>
      <c r="C51" s="79">
        <f t="shared" si="5"/>
        <v>11</v>
      </c>
      <c r="D51" s="79">
        <f t="shared" si="5"/>
        <v>2</v>
      </c>
      <c r="E51" s="84">
        <v>0</v>
      </c>
      <c r="F51" s="81">
        <f t="shared" si="6"/>
        <v>5</v>
      </c>
      <c r="G51" s="49">
        <v>5</v>
      </c>
      <c r="H51" s="49">
        <v>0</v>
      </c>
      <c r="I51" s="83">
        <v>0</v>
      </c>
      <c r="J51" s="81">
        <f t="shared" si="9"/>
        <v>8</v>
      </c>
      <c r="K51" s="49">
        <v>6</v>
      </c>
      <c r="L51" s="49">
        <v>2</v>
      </c>
      <c r="M51" s="83">
        <v>0</v>
      </c>
      <c r="N51" s="78">
        <f t="shared" si="7"/>
        <v>0</v>
      </c>
      <c r="O51" s="49">
        <v>0</v>
      </c>
      <c r="P51" s="49">
        <v>0</v>
      </c>
      <c r="Q51" s="36"/>
    </row>
    <row r="52" spans="1:17" ht="15" x14ac:dyDescent="0.2">
      <c r="A52" s="55" t="s">
        <v>8</v>
      </c>
      <c r="B52" s="78">
        <f t="shared" si="8"/>
        <v>13</v>
      </c>
      <c r="C52" s="79">
        <f t="shared" si="5"/>
        <v>8</v>
      </c>
      <c r="D52" s="79">
        <f t="shared" si="5"/>
        <v>5</v>
      </c>
      <c r="E52" s="84">
        <v>0</v>
      </c>
      <c r="F52" s="81">
        <f t="shared" si="6"/>
        <v>10</v>
      </c>
      <c r="G52" s="49">
        <v>8</v>
      </c>
      <c r="H52" s="49">
        <v>2</v>
      </c>
      <c r="I52" s="83">
        <v>0</v>
      </c>
      <c r="J52" s="81">
        <f t="shared" si="9"/>
        <v>3</v>
      </c>
      <c r="K52" s="49">
        <v>0</v>
      </c>
      <c r="L52" s="49">
        <v>3</v>
      </c>
      <c r="M52" s="83">
        <v>0</v>
      </c>
      <c r="N52" s="78">
        <f t="shared" si="7"/>
        <v>0</v>
      </c>
      <c r="O52" s="49">
        <v>0</v>
      </c>
      <c r="P52" s="49">
        <v>0</v>
      </c>
      <c r="Q52" s="36"/>
    </row>
    <row r="53" spans="1:17" ht="15" x14ac:dyDescent="0.2">
      <c r="A53" s="55" t="s">
        <v>33</v>
      </c>
      <c r="B53" s="78">
        <f t="shared" si="8"/>
        <v>23</v>
      </c>
      <c r="C53" s="79">
        <f>G53+K53+O53+Q53</f>
        <v>15</v>
      </c>
      <c r="D53" s="79">
        <f t="shared" si="5"/>
        <v>8</v>
      </c>
      <c r="E53" s="84">
        <v>0</v>
      </c>
      <c r="F53" s="81">
        <f t="shared" si="6"/>
        <v>10</v>
      </c>
      <c r="G53" s="49">
        <v>8</v>
      </c>
      <c r="H53" s="36">
        <v>2</v>
      </c>
      <c r="I53" s="83">
        <v>0</v>
      </c>
      <c r="J53" s="81">
        <f t="shared" si="9"/>
        <v>12</v>
      </c>
      <c r="K53" s="49">
        <v>7</v>
      </c>
      <c r="L53" s="49">
        <v>5</v>
      </c>
      <c r="M53" s="83">
        <v>0</v>
      </c>
      <c r="N53" s="78">
        <f t="shared" si="7"/>
        <v>1</v>
      </c>
      <c r="O53" s="49">
        <v>0</v>
      </c>
      <c r="P53" s="49">
        <v>1</v>
      </c>
      <c r="Q53" s="36"/>
    </row>
    <row r="54" spans="1:17" ht="15" x14ac:dyDescent="0.2">
      <c r="A54" s="55" t="s">
        <v>9</v>
      </c>
      <c r="B54" s="78">
        <f t="shared" si="8"/>
        <v>22</v>
      </c>
      <c r="C54" s="79">
        <f>G54+K54+O54</f>
        <v>18</v>
      </c>
      <c r="D54" s="79">
        <f t="shared" si="5"/>
        <v>4</v>
      </c>
      <c r="E54" s="84">
        <v>0</v>
      </c>
      <c r="F54" s="81">
        <f t="shared" si="6"/>
        <v>11</v>
      </c>
      <c r="G54" s="49">
        <v>7</v>
      </c>
      <c r="H54" s="49">
        <v>4</v>
      </c>
      <c r="I54" s="83">
        <v>0</v>
      </c>
      <c r="J54" s="81">
        <f t="shared" si="9"/>
        <v>11</v>
      </c>
      <c r="K54" s="49">
        <v>11</v>
      </c>
      <c r="L54" s="49">
        <v>0</v>
      </c>
      <c r="M54" s="83">
        <v>0</v>
      </c>
      <c r="N54" s="78">
        <f>SUM(O54:P54)</f>
        <v>0</v>
      </c>
      <c r="O54" s="49">
        <v>0</v>
      </c>
      <c r="P54" s="49">
        <v>0</v>
      </c>
      <c r="Q54" s="36"/>
    </row>
    <row r="55" spans="1:17" ht="15" x14ac:dyDescent="0.2">
      <c r="A55" s="55" t="s">
        <v>10</v>
      </c>
      <c r="B55" s="78">
        <f t="shared" si="8"/>
        <v>24</v>
      </c>
      <c r="C55" s="79">
        <f>G55+K55+O55</f>
        <v>14</v>
      </c>
      <c r="D55" s="79">
        <f t="shared" si="5"/>
        <v>10</v>
      </c>
      <c r="E55" s="84">
        <v>0</v>
      </c>
      <c r="F55" s="81">
        <f t="shared" si="6"/>
        <v>13</v>
      </c>
      <c r="G55" s="49">
        <v>7</v>
      </c>
      <c r="H55" s="49">
        <v>6</v>
      </c>
      <c r="I55" s="83">
        <v>0</v>
      </c>
      <c r="J55" s="81">
        <f t="shared" si="9"/>
        <v>10</v>
      </c>
      <c r="K55" s="49">
        <v>6</v>
      </c>
      <c r="L55" s="49">
        <v>4</v>
      </c>
      <c r="M55" s="83">
        <v>0</v>
      </c>
      <c r="N55" s="78">
        <f>SUM(O55:P55)</f>
        <v>1</v>
      </c>
      <c r="O55" s="49">
        <v>1</v>
      </c>
      <c r="P55" s="49">
        <v>0</v>
      </c>
      <c r="Q55" s="36"/>
    </row>
    <row r="56" spans="1:17" ht="15" x14ac:dyDescent="0.2">
      <c r="A56" s="55" t="s">
        <v>39</v>
      </c>
      <c r="B56" s="78">
        <f t="shared" si="8"/>
        <v>18</v>
      </c>
      <c r="C56" s="79">
        <f>G56+K56+O56+Q56</f>
        <v>10</v>
      </c>
      <c r="D56" s="79">
        <f t="shared" si="5"/>
        <v>8</v>
      </c>
      <c r="E56" s="84">
        <v>0</v>
      </c>
      <c r="F56" s="81">
        <f t="shared" si="6"/>
        <v>14</v>
      </c>
      <c r="G56" s="49">
        <v>7</v>
      </c>
      <c r="H56" s="49">
        <v>7</v>
      </c>
      <c r="I56" s="83">
        <v>0</v>
      </c>
      <c r="J56" s="81">
        <f t="shared" si="9"/>
        <v>4</v>
      </c>
      <c r="K56" s="49">
        <v>3</v>
      </c>
      <c r="L56" s="49">
        <v>1</v>
      </c>
      <c r="M56" s="83">
        <v>0</v>
      </c>
      <c r="N56" s="78">
        <f>SUM(O56:Q56)</f>
        <v>0</v>
      </c>
      <c r="O56" s="49">
        <v>0</v>
      </c>
      <c r="P56" s="49">
        <v>0</v>
      </c>
      <c r="Q56" s="36"/>
    </row>
    <row r="57" spans="1:17" ht="15" x14ac:dyDescent="0.2">
      <c r="A57" s="55" t="s">
        <v>11</v>
      </c>
      <c r="B57" s="78">
        <f t="shared" si="8"/>
        <v>26</v>
      </c>
      <c r="C57" s="79">
        <f>G57+K57+O57</f>
        <v>14</v>
      </c>
      <c r="D57" s="79">
        <f t="shared" si="5"/>
        <v>12</v>
      </c>
      <c r="E57" s="84">
        <v>0</v>
      </c>
      <c r="F57" s="81">
        <f t="shared" si="6"/>
        <v>21</v>
      </c>
      <c r="G57" s="49">
        <v>11</v>
      </c>
      <c r="H57" s="49">
        <v>10</v>
      </c>
      <c r="I57" s="83">
        <v>0</v>
      </c>
      <c r="J57" s="81">
        <f t="shared" si="9"/>
        <v>3</v>
      </c>
      <c r="K57" s="49">
        <v>2</v>
      </c>
      <c r="L57" s="49">
        <v>1</v>
      </c>
      <c r="M57" s="83">
        <v>0</v>
      </c>
      <c r="N57" s="78">
        <f t="shared" ref="N57:N63" si="10">SUM(O57:P57)</f>
        <v>2</v>
      </c>
      <c r="O57" s="49">
        <v>1</v>
      </c>
      <c r="P57" s="49">
        <v>1</v>
      </c>
      <c r="Q57" s="36"/>
    </row>
    <row r="58" spans="1:17" ht="15" x14ac:dyDescent="0.2">
      <c r="A58" s="55" t="s">
        <v>12</v>
      </c>
      <c r="B58" s="78">
        <f t="shared" si="8"/>
        <v>33</v>
      </c>
      <c r="C58" s="79">
        <f>G58+K58+O58</f>
        <v>22</v>
      </c>
      <c r="D58" s="79">
        <f t="shared" si="5"/>
        <v>11</v>
      </c>
      <c r="E58" s="84">
        <v>0</v>
      </c>
      <c r="F58" s="81">
        <f t="shared" si="6"/>
        <v>19</v>
      </c>
      <c r="G58" s="49">
        <v>13</v>
      </c>
      <c r="H58" s="49">
        <v>6</v>
      </c>
      <c r="I58" s="83">
        <v>0</v>
      </c>
      <c r="J58" s="81">
        <f t="shared" si="9"/>
        <v>12</v>
      </c>
      <c r="K58" s="49">
        <v>8</v>
      </c>
      <c r="L58" s="49">
        <v>4</v>
      </c>
      <c r="M58" s="83">
        <v>0</v>
      </c>
      <c r="N58" s="78">
        <f t="shared" si="10"/>
        <v>2</v>
      </c>
      <c r="O58" s="49">
        <v>1</v>
      </c>
      <c r="P58" s="49">
        <v>1</v>
      </c>
      <c r="Q58" s="36"/>
    </row>
    <row r="59" spans="1:17" ht="15" x14ac:dyDescent="0.2">
      <c r="A59" s="55" t="s">
        <v>13</v>
      </c>
      <c r="B59" s="78">
        <f t="shared" si="8"/>
        <v>81</v>
      </c>
      <c r="C59" s="79">
        <f>G59+K59+O59</f>
        <v>48</v>
      </c>
      <c r="D59" s="79">
        <f t="shared" si="5"/>
        <v>33</v>
      </c>
      <c r="E59" s="84">
        <v>0</v>
      </c>
      <c r="F59" s="81">
        <f t="shared" si="6"/>
        <v>47</v>
      </c>
      <c r="G59" s="49">
        <v>27</v>
      </c>
      <c r="H59" s="49">
        <v>20</v>
      </c>
      <c r="I59" s="83">
        <v>0</v>
      </c>
      <c r="J59" s="81">
        <f t="shared" si="9"/>
        <v>26</v>
      </c>
      <c r="K59" s="49">
        <v>16</v>
      </c>
      <c r="L59" s="49">
        <v>10</v>
      </c>
      <c r="M59" s="83">
        <v>0</v>
      </c>
      <c r="N59" s="78">
        <f t="shared" si="10"/>
        <v>8</v>
      </c>
      <c r="O59" s="49">
        <v>5</v>
      </c>
      <c r="P59" s="49">
        <v>3</v>
      </c>
      <c r="Q59" s="36"/>
    </row>
    <row r="60" spans="1:17" ht="15" x14ac:dyDescent="0.2">
      <c r="A60" s="55" t="s">
        <v>14</v>
      </c>
      <c r="B60" s="78">
        <f t="shared" si="8"/>
        <v>86</v>
      </c>
      <c r="C60" s="79">
        <f>G60+K60+O60</f>
        <v>52</v>
      </c>
      <c r="D60" s="79">
        <f t="shared" ref="D60:E63" si="11">H60+L60+P60</f>
        <v>34</v>
      </c>
      <c r="E60" s="84">
        <v>0</v>
      </c>
      <c r="F60" s="81">
        <f t="shared" si="6"/>
        <v>46</v>
      </c>
      <c r="G60" s="59">
        <v>27</v>
      </c>
      <c r="H60" s="49">
        <v>19</v>
      </c>
      <c r="I60" s="83">
        <v>0</v>
      </c>
      <c r="J60" s="81">
        <f t="shared" si="9"/>
        <v>38</v>
      </c>
      <c r="K60" s="59">
        <v>24</v>
      </c>
      <c r="L60" s="49">
        <v>14</v>
      </c>
      <c r="M60" s="83">
        <v>0</v>
      </c>
      <c r="N60" s="78">
        <f t="shared" si="10"/>
        <v>2</v>
      </c>
      <c r="O60" s="49">
        <v>1</v>
      </c>
      <c r="P60" s="49">
        <v>1</v>
      </c>
      <c r="Q60" s="36"/>
    </row>
    <row r="61" spans="1:17" ht="15" x14ac:dyDescent="0.2">
      <c r="A61" s="55" t="s">
        <v>15</v>
      </c>
      <c r="B61" s="78">
        <f t="shared" si="8"/>
        <v>64</v>
      </c>
      <c r="C61" s="79">
        <f>G61+K61+O61</f>
        <v>40</v>
      </c>
      <c r="D61" s="79">
        <f t="shared" si="11"/>
        <v>24</v>
      </c>
      <c r="E61" s="84">
        <v>0</v>
      </c>
      <c r="F61" s="81">
        <f t="shared" si="6"/>
        <v>42</v>
      </c>
      <c r="G61" s="49">
        <v>28</v>
      </c>
      <c r="H61" s="49">
        <v>14</v>
      </c>
      <c r="I61" s="83">
        <v>0</v>
      </c>
      <c r="J61" s="81">
        <f t="shared" si="9"/>
        <v>16</v>
      </c>
      <c r="K61" s="49">
        <v>9</v>
      </c>
      <c r="L61" s="59">
        <v>7</v>
      </c>
      <c r="M61" s="83">
        <v>0</v>
      </c>
      <c r="N61" s="78">
        <f t="shared" si="10"/>
        <v>6</v>
      </c>
      <c r="O61" s="59">
        <v>3</v>
      </c>
      <c r="P61" s="59">
        <v>3</v>
      </c>
      <c r="Q61" s="36"/>
    </row>
    <row r="62" spans="1:17" ht="15" x14ac:dyDescent="0.2">
      <c r="A62" s="55" t="s">
        <v>35</v>
      </c>
      <c r="B62" s="78">
        <f t="shared" si="8"/>
        <v>748</v>
      </c>
      <c r="C62" s="79">
        <f>G62+K62+O62+Q62</f>
        <v>431</v>
      </c>
      <c r="D62" s="79">
        <f t="shared" si="11"/>
        <v>317</v>
      </c>
      <c r="E62" s="84">
        <v>0</v>
      </c>
      <c r="F62" s="81">
        <f>SUM(G62:H62)</f>
        <v>357</v>
      </c>
      <c r="G62" s="60">
        <v>205</v>
      </c>
      <c r="H62" s="59">
        <v>152</v>
      </c>
      <c r="I62" s="83">
        <v>0</v>
      </c>
      <c r="J62" s="81">
        <f t="shared" si="9"/>
        <v>381</v>
      </c>
      <c r="K62" s="60">
        <v>223</v>
      </c>
      <c r="L62" s="49">
        <v>158</v>
      </c>
      <c r="M62" s="83">
        <v>0</v>
      </c>
      <c r="N62" s="78">
        <f t="shared" si="10"/>
        <v>10</v>
      </c>
      <c r="O62" s="49">
        <v>3</v>
      </c>
      <c r="P62" s="49">
        <v>7</v>
      </c>
      <c r="Q62" s="36"/>
    </row>
    <row r="63" spans="1:17" ht="15" x14ac:dyDescent="0.2">
      <c r="A63" s="87" t="s">
        <v>40</v>
      </c>
      <c r="B63" s="88">
        <f>SUM(C63:E63)</f>
        <v>3</v>
      </c>
      <c r="C63" s="89">
        <f>G63+K63+O63+Q63</f>
        <v>2</v>
      </c>
      <c r="D63" s="89">
        <f t="shared" si="11"/>
        <v>0</v>
      </c>
      <c r="E63" s="90">
        <f t="shared" si="11"/>
        <v>1</v>
      </c>
      <c r="F63" s="91">
        <f>SUM(G63:H63)</f>
        <v>1</v>
      </c>
      <c r="G63" s="92">
        <v>1</v>
      </c>
      <c r="H63" s="63">
        <v>0</v>
      </c>
      <c r="I63" s="93">
        <v>0</v>
      </c>
      <c r="J63" s="94">
        <f>SUM(K63:M63)</f>
        <v>2</v>
      </c>
      <c r="K63" s="63">
        <v>1</v>
      </c>
      <c r="L63" s="63">
        <v>0</v>
      </c>
      <c r="M63" s="93">
        <v>1</v>
      </c>
      <c r="N63" s="88">
        <f t="shared" si="10"/>
        <v>0</v>
      </c>
      <c r="O63" s="63">
        <v>0</v>
      </c>
      <c r="P63" s="63">
        <v>0</v>
      </c>
      <c r="Q63" s="36"/>
    </row>
    <row r="64" spans="1:17" x14ac:dyDescent="0.2">
      <c r="A64" s="65" t="s">
        <v>41</v>
      </c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6"/>
    </row>
    <row r="65" spans="1:12" x14ac:dyDescent="0.2">
      <c r="A65" s="1" t="s">
        <v>20</v>
      </c>
      <c r="B65" s="8"/>
      <c r="C65" s="8"/>
      <c r="D65" s="9"/>
      <c r="E65" s="9"/>
      <c r="F65" s="11"/>
      <c r="G65" s="11"/>
      <c r="H65" s="10"/>
      <c r="I65" s="9"/>
      <c r="J65" s="8"/>
      <c r="K65" s="8"/>
      <c r="L65" s="9"/>
    </row>
  </sheetData>
  <mergeCells count="17">
    <mergeCell ref="A64:L64"/>
    <mergeCell ref="A30:L30"/>
    <mergeCell ref="N30:P30"/>
    <mergeCell ref="A37:P37"/>
    <mergeCell ref="A38:P38"/>
    <mergeCell ref="A41:A42"/>
    <mergeCell ref="B41:E41"/>
    <mergeCell ref="F41:I41"/>
    <mergeCell ref="J41:M41"/>
    <mergeCell ref="N41:P41"/>
    <mergeCell ref="A4:P4"/>
    <mergeCell ref="A6:A8"/>
    <mergeCell ref="B6:D6"/>
    <mergeCell ref="E6:G6"/>
    <mergeCell ref="H6:J6"/>
    <mergeCell ref="K6:M6"/>
    <mergeCell ref="A3:P3"/>
  </mergeCells>
  <pageMargins left="0.7" right="0.7" top="0.75" bottom="0.75" header="0.3" footer="0.3"/>
  <pageSetup scale="55" orientation="portrait" horizontalDpi="4294967295" verticalDpi="4294967295" r:id="rId1"/>
  <rowBreaks count="1" manualBreakCount="1">
    <brk id="33" max="1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3.12</vt:lpstr>
      <vt:lpstr>'3.12'!Print_Area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2021-03-31T05:46:01Z</cp:lastPrinted>
  <dcterms:created xsi:type="dcterms:W3CDTF">2019-07-22T06:02:33Z</dcterms:created>
  <dcterms:modified xsi:type="dcterms:W3CDTF">2021-03-31T05:46:06Z</dcterms:modified>
</cp:coreProperties>
</file>