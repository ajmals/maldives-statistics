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20\SYB 2020 _latest\YEARBOOK 2020_Final\web\3. POPULATION\"/>
    </mc:Choice>
  </mc:AlternateContent>
  <bookViews>
    <workbookView xWindow="0" yWindow="0" windowWidth="28800" windowHeight="12435" tabRatio="769"/>
  </bookViews>
  <sheets>
    <sheet name="3.10" sheetId="10" r:id="rId1"/>
  </sheets>
  <definedNames>
    <definedName name="_xlnm.Print_Area" localSheetId="0">'3.10'!$A$1:$P$38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3" i="10" l="1"/>
  <c r="L23" i="10"/>
  <c r="K23" i="10"/>
  <c r="J23" i="10"/>
  <c r="I23" i="10"/>
  <c r="H23" i="10"/>
  <c r="G23" i="10"/>
  <c r="F23" i="10"/>
  <c r="E23" i="10"/>
  <c r="D23" i="10"/>
  <c r="C23" i="10"/>
  <c r="B23" i="10"/>
  <c r="M14" i="10"/>
  <c r="L14" i="10"/>
  <c r="K14" i="10"/>
  <c r="K5" i="10" s="1"/>
  <c r="J14" i="10"/>
  <c r="J5" i="10" s="1"/>
  <c r="I14" i="10"/>
  <c r="H14" i="10"/>
  <c r="G14" i="10"/>
  <c r="F14" i="10"/>
  <c r="E14" i="10"/>
  <c r="D14" i="10"/>
  <c r="C14" i="10"/>
  <c r="B14" i="10"/>
  <c r="M12" i="10"/>
  <c r="K12" i="10"/>
  <c r="B12" i="10"/>
  <c r="M11" i="10"/>
  <c r="K11" i="10"/>
  <c r="B11" i="10"/>
  <c r="M10" i="10"/>
  <c r="K10" i="10"/>
  <c r="B10" i="10"/>
  <c r="M9" i="10"/>
  <c r="K9" i="10"/>
  <c r="B9" i="10"/>
  <c r="M8" i="10"/>
  <c r="K8" i="10"/>
  <c r="B8" i="10"/>
  <c r="M7" i="10"/>
  <c r="K7" i="10"/>
  <c r="B7" i="10"/>
  <c r="B5" i="10" s="1"/>
  <c r="M6" i="10"/>
  <c r="K6" i="10"/>
  <c r="B6" i="10"/>
  <c r="M5" i="10"/>
  <c r="L5" i="10"/>
  <c r="I5" i="10"/>
  <c r="H5" i="10"/>
  <c r="D5" i="10"/>
  <c r="C5" i="10"/>
</calcChain>
</file>

<file path=xl/sharedStrings.xml><?xml version="1.0" encoding="utf-8"?>
<sst xmlns="http://schemas.openxmlformats.org/spreadsheetml/2006/main" count="96" uniqueCount="41">
  <si>
    <t>cnehirif</t>
  </si>
  <si>
    <t>cnehcnwa</t>
  </si>
  <si>
    <t>Both Sexes</t>
  </si>
  <si>
    <t>Male</t>
  </si>
  <si>
    <t>Female</t>
  </si>
  <si>
    <r>
      <rPr>
        <b/>
        <i/>
        <sz val="9"/>
        <rFont val="Calibri"/>
        <family val="2"/>
      </rPr>
      <t>Source:</t>
    </r>
    <r>
      <rPr>
        <i/>
        <sz val="9"/>
        <rFont val="Calibri"/>
        <family val="2"/>
      </rPr>
      <t xml:space="preserve"> Ministry of Health </t>
    </r>
  </si>
  <si>
    <t>Age Group and Sex</t>
  </si>
  <si>
    <r>
      <t>2007</t>
    </r>
    <r>
      <rPr>
        <b/>
        <vertAlign val="superscript"/>
        <sz val="10"/>
        <rFont val="Calibri"/>
        <family val="2"/>
      </rPr>
      <t>1_/</t>
    </r>
  </si>
  <si>
    <r>
      <t>2008</t>
    </r>
    <r>
      <rPr>
        <b/>
        <vertAlign val="superscript"/>
        <sz val="10"/>
        <rFont val="Calibri"/>
        <family val="2"/>
      </rPr>
      <t>1_/</t>
    </r>
  </si>
  <si>
    <r>
      <t>2009</t>
    </r>
    <r>
      <rPr>
        <b/>
        <vertAlign val="superscript"/>
        <sz val="10"/>
        <rFont val="Calibri"/>
        <family val="2"/>
      </rPr>
      <t>1_/</t>
    </r>
  </si>
  <si>
    <t>uscnij iaWawrufurumua</t>
  </si>
  <si>
    <t>cscnij ed</t>
  </si>
  <si>
    <t xml:space="preserve">   All Ages</t>
  </si>
  <si>
    <t>caerumua Whiruh</t>
  </si>
  <si>
    <t xml:space="preserve">   Under 1</t>
  </si>
  <si>
    <t>cSwdcnurwhwa 1</t>
  </si>
  <si>
    <t xml:space="preserve">   1 - 4</t>
  </si>
  <si>
    <t>4 - 1</t>
  </si>
  <si>
    <t xml:space="preserve">   5 - 14</t>
  </si>
  <si>
    <t>14 - 5</t>
  </si>
  <si>
    <t xml:space="preserve">  15 - 44</t>
  </si>
  <si>
    <t>44 - 15</t>
  </si>
  <si>
    <t xml:space="preserve">  45 - 64</t>
  </si>
  <si>
    <t>64 - 45</t>
  </si>
  <si>
    <t xml:space="preserve">  65 &amp; Over</t>
  </si>
  <si>
    <t>itwmcnurwhwa 65</t>
  </si>
  <si>
    <t xml:space="preserve">  Not Stated</t>
  </si>
  <si>
    <t>WrukuncnWywb</t>
  </si>
  <si>
    <t>Please note that the birth/death figures in the The Maldives Health Statistics (published annually) are taken from the VRS. Under-reporting is challenge with regards to the VRS system, whereby data received from various sources are entered at various points in time. For instance, a 2004 birth record may be entered into the system today as it may have only been reported today. Therefore, the statistics are correct at the point of data retrieval and will change as more events are reported and recorded in the system. These continuous changes will therefore not be reflected once statistics are published.</t>
  </si>
  <si>
    <r>
      <t>2018</t>
    </r>
    <r>
      <rPr>
        <b/>
        <vertAlign val="superscript"/>
        <sz val="11"/>
        <rFont val="Calibri"/>
        <family val="2"/>
      </rPr>
      <t>2_/</t>
    </r>
  </si>
  <si>
    <r>
      <t>1_/:</t>
    </r>
    <r>
      <rPr>
        <i/>
        <sz val="9"/>
        <rFont val="Calibri"/>
        <family val="2"/>
      </rPr>
      <t xml:space="preserve"> From 2007 - 2009  figures are revised. (taken from VRS database (1998- 2008) and E-Government birth and death registration (from Nov.2009 onwards)</t>
    </r>
  </si>
  <si>
    <t>2019 - 2007 ,cscnij iaWa wrufegurumua egcnuhImivurwm : 3.10 ulwvWt</t>
  </si>
  <si>
    <t>Table 3.10 : DEATHS BY AGE GROUP AND SEX, 2007 - 2019</t>
  </si>
  <si>
    <r>
      <t>2019</t>
    </r>
    <r>
      <rPr>
        <b/>
        <vertAlign val="superscript"/>
        <sz val="11"/>
        <rFont val="Calibri"/>
        <family val="2"/>
      </rPr>
      <t>3_/</t>
    </r>
  </si>
  <si>
    <t>Sex  Not Stated</t>
  </si>
  <si>
    <t>-</t>
  </si>
  <si>
    <t>ޖިންސު ބަޔާންނުކުރާ</t>
  </si>
  <si>
    <t>Age Not Stated</t>
  </si>
  <si>
    <t>އުމުރު ބަޔާންނުކުރާ</t>
  </si>
  <si>
    <t xml:space="preserve"> 2_/: 2018 figures are revised</t>
  </si>
  <si>
    <t>3_/: 2019 figures are tentative and is expected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</si>
</sst>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General_)"/>
    <numFmt numFmtId="165" formatCode="_-* #,##0.00\ _ރ_._-;_-* #,##0.00\ _ރ_.\-;_-* &quot;-&quot;??\ _ރ_._-;_-@_-"/>
    <numFmt numFmtId="166" formatCode="_(* #,##0.0_);_(* \(#,##0.0\);_(* &quot;-&quot;??_);_(@_)"/>
  </numFmts>
  <fonts count="21" x14ac:knownFonts="1">
    <font>
      <sz val="11"/>
      <color theme="1"/>
      <name val="Calibri"/>
      <family val="2"/>
      <scheme val="minor"/>
    </font>
    <font>
      <sz val="11"/>
      <color theme="1"/>
      <name val="Calibri"/>
      <family val="2"/>
      <scheme val="minor"/>
    </font>
    <font>
      <sz val="10"/>
      <name val="Courier"/>
      <family val="3"/>
    </font>
    <font>
      <sz val="10"/>
      <name val="Arial"/>
      <family val="2"/>
    </font>
    <font>
      <b/>
      <sz val="11"/>
      <name val="Calibri"/>
      <family val="2"/>
    </font>
    <font>
      <b/>
      <sz val="10"/>
      <name val="Arial"/>
      <family val="2"/>
    </font>
    <font>
      <sz val="9"/>
      <name val="Arial"/>
      <family val="2"/>
    </font>
    <font>
      <b/>
      <i/>
      <sz val="9"/>
      <name val="Calibri"/>
      <family val="2"/>
    </font>
    <font>
      <sz val="11"/>
      <name val="Calibri"/>
      <family val="2"/>
    </font>
    <font>
      <i/>
      <sz val="9"/>
      <name val="Calibri"/>
      <family val="2"/>
    </font>
    <font>
      <sz val="10"/>
      <name val="Arial"/>
      <family val="2"/>
    </font>
    <font>
      <b/>
      <sz val="10"/>
      <name val="Calibri"/>
      <family val="2"/>
    </font>
    <font>
      <sz val="11"/>
      <color theme="1"/>
      <name val="Calibri"/>
      <family val="2"/>
      <charset val="1"/>
      <scheme val="minor"/>
    </font>
    <font>
      <b/>
      <vertAlign val="superscript"/>
      <sz val="10"/>
      <name val="Calibri"/>
      <family val="2"/>
    </font>
    <font>
      <b/>
      <sz val="10"/>
      <name val="A_Faseyha"/>
    </font>
    <font>
      <sz val="10"/>
      <name val="A_Faseyha"/>
    </font>
    <font>
      <b/>
      <vertAlign val="superscript"/>
      <sz val="11"/>
      <name val="Calibri"/>
      <family val="2"/>
    </font>
    <font>
      <b/>
      <sz val="11"/>
      <color theme="1"/>
      <name val="Calibri"/>
      <family val="2"/>
      <scheme val="minor"/>
    </font>
    <font>
      <sz val="10"/>
      <name val="Faruma"/>
    </font>
    <font>
      <sz val="10"/>
      <name val="A_Randhoo"/>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bottom style="hair">
        <color indexed="64"/>
      </bottom>
      <diagonal/>
    </border>
  </borders>
  <cellStyleXfs count="14">
    <xf numFmtId="0" fontId="0" fillId="0" borderId="0"/>
    <xf numFmtId="0" fontId="10" fillId="0" borderId="0"/>
    <xf numFmtId="0" fontId="10" fillId="0" borderId="0"/>
    <xf numFmtId="165" fontId="10" fillId="0" borderId="0" applyFont="0" applyFill="0" applyBorder="0" applyAlignment="0" applyProtection="0"/>
    <xf numFmtId="0" fontId="10" fillId="0" borderId="0"/>
    <xf numFmtId="43" fontId="10" fillId="0" borderId="0" applyFont="0" applyFill="0" applyBorder="0" applyAlignment="0" applyProtection="0"/>
    <xf numFmtId="0" fontId="12" fillId="0" borderId="0"/>
    <xf numFmtId="0" fontId="10" fillId="0" borderId="0"/>
    <xf numFmtId="0" fontId="10" fillId="0" borderId="0"/>
    <xf numFmtId="0" fontId="1" fillId="0" borderId="0"/>
    <xf numFmtId="164" fontId="2" fillId="0" borderId="0"/>
    <xf numFmtId="0" fontId="3" fillId="0" borderId="0"/>
    <xf numFmtId="43" fontId="3" fillId="0" borderId="0" applyFont="0" applyFill="0" applyBorder="0" applyAlignment="0" applyProtection="0"/>
    <xf numFmtId="43" fontId="1" fillId="0" borderId="0" applyFont="0" applyFill="0" applyBorder="0" applyAlignment="0" applyProtection="0"/>
  </cellStyleXfs>
  <cellXfs count="53">
    <xf numFmtId="0" fontId="0" fillId="0" borderId="0" xfId="0"/>
    <xf numFmtId="164" fontId="5" fillId="2" borderId="0" xfId="0" applyNumberFormat="1" applyFont="1" applyFill="1" applyAlignment="1">
      <alignment vertical="center"/>
    </xf>
    <xf numFmtId="164" fontId="11" fillId="2" borderId="2" xfId="0" applyNumberFormat="1" applyFont="1" applyFill="1" applyBorder="1" applyAlignment="1" applyProtection="1">
      <alignment horizontal="center" vertical="center" wrapText="1"/>
    </xf>
    <xf numFmtId="164" fontId="11" fillId="2" borderId="2" xfId="0" applyNumberFormat="1" applyFont="1" applyFill="1" applyBorder="1" applyAlignment="1" applyProtection="1">
      <alignment horizontal="right" vertical="center"/>
    </xf>
    <xf numFmtId="164" fontId="11" fillId="2" borderId="2" xfId="0" applyNumberFormat="1" applyFont="1" applyFill="1" applyBorder="1" applyAlignment="1" applyProtection="1">
      <alignment vertical="center"/>
    </xf>
    <xf numFmtId="164" fontId="4" fillId="2" borderId="0" xfId="0" applyNumberFormat="1" applyFont="1" applyFill="1" applyAlignment="1" applyProtection="1">
      <alignment horizontal="left" vertical="center"/>
    </xf>
    <xf numFmtId="164" fontId="4" fillId="2" borderId="0" xfId="0" applyNumberFormat="1" applyFont="1" applyFill="1" applyBorder="1" applyAlignment="1">
      <alignment vertical="center"/>
    </xf>
    <xf numFmtId="3" fontId="4" fillId="2" borderId="0" xfId="0" applyNumberFormat="1" applyFont="1" applyFill="1" applyBorder="1" applyAlignment="1" applyProtection="1">
      <alignment vertical="center"/>
    </xf>
    <xf numFmtId="3" fontId="4" fillId="2" borderId="0" xfId="0" applyNumberFormat="1" applyFont="1" applyFill="1" applyBorder="1" applyAlignment="1" applyProtection="1">
      <alignment horizontal="right" vertical="center"/>
    </xf>
    <xf numFmtId="164" fontId="8" fillId="2" borderId="0" xfId="0" applyNumberFormat="1" applyFont="1" applyFill="1" applyAlignment="1" applyProtection="1">
      <alignment horizontal="left" vertical="center"/>
    </xf>
    <xf numFmtId="3" fontId="8" fillId="2" borderId="0" xfId="0" applyNumberFormat="1" applyFont="1" applyFill="1" applyBorder="1" applyAlignment="1" applyProtection="1">
      <alignment horizontal="right" vertical="center"/>
      <protection locked="0"/>
    </xf>
    <xf numFmtId="3" fontId="8" fillId="2" borderId="0" xfId="0" applyNumberFormat="1" applyFont="1" applyFill="1" applyBorder="1" applyAlignment="1" applyProtection="1">
      <alignment vertical="center"/>
    </xf>
    <xf numFmtId="3" fontId="8" fillId="2" borderId="0" xfId="0" applyNumberFormat="1" applyFont="1" applyFill="1" applyBorder="1" applyAlignment="1" applyProtection="1">
      <alignment horizontal="right" vertical="center"/>
    </xf>
    <xf numFmtId="3" fontId="8" fillId="2" borderId="0" xfId="0" applyNumberFormat="1" applyFont="1" applyFill="1" applyBorder="1" applyAlignment="1" applyProtection="1">
      <alignment vertical="center"/>
      <protection locked="0"/>
    </xf>
    <xf numFmtId="3" fontId="8" fillId="2" borderId="0" xfId="0" applyNumberFormat="1" applyFont="1" applyFill="1" applyBorder="1" applyProtection="1">
      <protection locked="0"/>
    </xf>
    <xf numFmtId="3" fontId="8" fillId="2" borderId="0" xfId="0" applyNumberFormat="1" applyFont="1" applyFill="1" applyBorder="1" applyAlignment="1" applyProtection="1">
      <alignment horizontal="right"/>
      <protection locked="0"/>
    </xf>
    <xf numFmtId="3" fontId="8" fillId="2" borderId="0" xfId="0" applyNumberFormat="1" applyFont="1" applyFill="1" applyBorder="1"/>
    <xf numFmtId="3" fontId="8" fillId="2" borderId="0" xfId="0" applyNumberFormat="1" applyFont="1" applyFill="1" applyBorder="1" applyAlignment="1">
      <alignment horizontal="right"/>
    </xf>
    <xf numFmtId="164" fontId="8" fillId="2" borderId="0" xfId="0" applyNumberFormat="1" applyFont="1" applyFill="1" applyBorder="1" applyAlignment="1" applyProtection="1">
      <alignment horizontal="left" vertical="center"/>
    </xf>
    <xf numFmtId="164" fontId="14" fillId="2" borderId="2" xfId="0" applyNumberFormat="1" applyFont="1" applyFill="1" applyBorder="1" applyAlignment="1">
      <alignment horizontal="right" vertical="center"/>
    </xf>
    <xf numFmtId="164" fontId="14" fillId="2" borderId="0" xfId="0" applyNumberFormat="1" applyFont="1" applyFill="1" applyAlignment="1">
      <alignment horizontal="right" vertical="center"/>
    </xf>
    <xf numFmtId="164" fontId="15" fillId="2" borderId="0" xfId="0" applyNumberFormat="1" applyFont="1" applyFill="1" applyAlignment="1">
      <alignment horizontal="right" vertical="center"/>
    </xf>
    <xf numFmtId="164" fontId="15" fillId="2" borderId="0" xfId="0" applyNumberFormat="1" applyFont="1" applyFill="1" applyBorder="1" applyAlignment="1">
      <alignment horizontal="right" vertical="center"/>
    </xf>
    <xf numFmtId="164" fontId="3" fillId="2" borderId="0" xfId="0" applyNumberFormat="1" applyFont="1" applyFill="1" applyAlignment="1">
      <alignment vertical="center"/>
    </xf>
    <xf numFmtId="0" fontId="9" fillId="2" borderId="0" xfId="0" applyFont="1" applyFill="1" applyBorder="1" applyAlignment="1">
      <alignment vertical="center" wrapText="1"/>
    </xf>
    <xf numFmtId="0" fontId="9" fillId="0" borderId="0" xfId="0" applyFont="1" applyBorder="1" applyAlignment="1">
      <alignment horizontal="left" vertical="center" wrapText="1"/>
    </xf>
    <xf numFmtId="0" fontId="9" fillId="2" borderId="0" xfId="0" applyFont="1" applyFill="1" applyBorder="1" applyAlignment="1">
      <alignment horizontal="left" vertical="center" wrapText="1"/>
    </xf>
    <xf numFmtId="164" fontId="14" fillId="2" borderId="0" xfId="0" applyNumberFormat="1" applyFont="1" applyFill="1" applyAlignment="1">
      <alignment horizontal="center" vertical="center"/>
    </xf>
    <xf numFmtId="164" fontId="4" fillId="2" borderId="1" xfId="0" applyNumberFormat="1" applyFont="1" applyFill="1" applyBorder="1" applyAlignment="1" applyProtection="1">
      <alignment horizontal="center" vertical="center"/>
    </xf>
    <xf numFmtId="164" fontId="3" fillId="2" borderId="0" xfId="0" applyNumberFormat="1" applyFont="1" applyFill="1" applyAlignment="1">
      <alignment vertical="top"/>
    </xf>
    <xf numFmtId="164" fontId="18" fillId="2" borderId="0" xfId="0" quotePrefix="1" applyNumberFormat="1" applyFont="1" applyFill="1" applyAlignment="1">
      <alignment horizontal="right" vertical="center"/>
    </xf>
    <xf numFmtId="164" fontId="8" fillId="3" borderId="3" xfId="0" applyNumberFormat="1" applyFont="1" applyFill="1" applyBorder="1" applyAlignment="1" applyProtection="1">
      <alignment horizontal="left" vertical="center"/>
    </xf>
    <xf numFmtId="3" fontId="8" fillId="2" borderId="3" xfId="0" applyNumberFormat="1" applyFont="1" applyFill="1" applyBorder="1" applyAlignment="1" applyProtection="1">
      <alignment horizontal="right" vertical="center"/>
      <protection locked="0"/>
    </xf>
    <xf numFmtId="164" fontId="15" fillId="2" borderId="3" xfId="0" applyNumberFormat="1" applyFont="1" applyFill="1" applyBorder="1" applyAlignment="1">
      <alignment horizontal="right" vertical="center"/>
    </xf>
    <xf numFmtId="164" fontId="3" fillId="2" borderId="0" xfId="0" applyNumberFormat="1" applyFont="1" applyFill="1"/>
    <xf numFmtId="3" fontId="8" fillId="2" borderId="3" xfId="0" applyNumberFormat="1" applyFont="1" applyFill="1" applyBorder="1" applyProtection="1">
      <protection locked="0"/>
    </xf>
    <xf numFmtId="3" fontId="8" fillId="2" borderId="3" xfId="0" applyNumberFormat="1" applyFont="1" applyFill="1" applyBorder="1" applyAlignment="1" applyProtection="1">
      <alignment horizontal="right"/>
      <protection locked="0"/>
    </xf>
    <xf numFmtId="164" fontId="3" fillId="2" borderId="0" xfId="0" applyNumberFormat="1" applyFont="1" applyFill="1" applyBorder="1"/>
    <xf numFmtId="164" fontId="18" fillId="2" borderId="0" xfId="0" quotePrefix="1" applyNumberFormat="1" applyFont="1" applyFill="1" applyBorder="1" applyAlignment="1">
      <alignment horizontal="right" vertical="center"/>
    </xf>
    <xf numFmtId="164" fontId="19" fillId="2" borderId="3" xfId="0" applyNumberFormat="1" applyFont="1" applyFill="1" applyBorder="1" applyAlignment="1">
      <alignment horizontal="right" vertical="center"/>
    </xf>
    <xf numFmtId="166" fontId="17" fillId="3" borderId="0" xfId="13" applyNumberFormat="1" applyFont="1" applyFill="1" applyBorder="1" applyAlignment="1">
      <alignment horizontal="right" vertical="center"/>
    </xf>
    <xf numFmtId="3" fontId="20" fillId="2" borderId="0" xfId="0" applyNumberFormat="1" applyFont="1" applyFill="1" applyBorder="1" applyAlignment="1" applyProtection="1">
      <alignment horizontal="right" vertical="center"/>
      <protection locked="0"/>
    </xf>
    <xf numFmtId="164" fontId="18" fillId="2" borderId="0" xfId="0" applyNumberFormat="1" applyFont="1" applyFill="1" applyBorder="1" applyAlignment="1">
      <alignment horizontal="right" vertical="center"/>
    </xf>
    <xf numFmtId="164" fontId="8" fillId="2" borderId="1" xfId="0" applyNumberFormat="1" applyFont="1" applyFill="1" applyBorder="1" applyAlignment="1" applyProtection="1">
      <alignment horizontal="left" vertical="center"/>
    </xf>
    <xf numFmtId="166" fontId="17" fillId="3" borderId="1" xfId="13" applyNumberFormat="1" applyFont="1" applyFill="1" applyBorder="1" applyAlignment="1">
      <alignment horizontal="right" vertical="center"/>
    </xf>
    <xf numFmtId="3" fontId="20" fillId="3" borderId="1" xfId="1" applyNumberFormat="1" applyFont="1" applyFill="1" applyBorder="1" applyAlignment="1" applyProtection="1">
      <alignment horizontal="right" vertical="center"/>
      <protection locked="0"/>
    </xf>
    <xf numFmtId="164" fontId="18" fillId="2" borderId="1" xfId="0" applyNumberFormat="1" applyFont="1" applyFill="1" applyBorder="1" applyAlignment="1">
      <alignment horizontal="right" vertical="center"/>
    </xf>
    <xf numFmtId="0" fontId="9" fillId="2" borderId="0" xfId="0" applyFont="1" applyFill="1" applyAlignment="1">
      <alignment vertical="center" wrapText="1"/>
    </xf>
    <xf numFmtId="0" fontId="9" fillId="3" borderId="0" xfId="0" applyFont="1" applyFill="1" applyBorder="1" applyAlignment="1">
      <alignment horizontal="left" vertical="center" wrapText="1"/>
    </xf>
    <xf numFmtId="164" fontId="9" fillId="3" borderId="0" xfId="0" applyNumberFormat="1" applyFont="1" applyFill="1" applyAlignment="1" applyProtection="1">
      <alignment horizontal="left" vertical="center"/>
    </xf>
    <xf numFmtId="3" fontId="6" fillId="3" borderId="0" xfId="0" applyNumberFormat="1" applyFont="1" applyFill="1" applyBorder="1" applyAlignment="1" applyProtection="1">
      <alignment horizontal="right" vertical="center"/>
      <protection locked="0"/>
    </xf>
    <xf numFmtId="164" fontId="3" fillId="3" borderId="0" xfId="0" applyNumberFormat="1" applyFont="1" applyFill="1" applyAlignment="1">
      <alignment vertical="center"/>
    </xf>
    <xf numFmtId="164" fontId="3" fillId="2" borderId="0" xfId="0" applyNumberFormat="1" applyFont="1" applyFill="1" applyBorder="1" applyAlignment="1">
      <alignment vertical="center"/>
    </xf>
  </cellXfs>
  <cellStyles count="14">
    <cellStyle name="Comma" xfId="13" builtinId="3"/>
    <cellStyle name="Comma 2" xfId="12"/>
    <cellStyle name="Comma 3" xfId="5"/>
    <cellStyle name="Comma 4" xfId="3"/>
    <cellStyle name="Normal" xfId="0" builtinId="0"/>
    <cellStyle name="Normal 11" xfId="6"/>
    <cellStyle name="Normal 2" xfId="4"/>
    <cellStyle name="Normal 20" xfId="2"/>
    <cellStyle name="Normal 3" xfId="11"/>
    <cellStyle name="Normal 32" xfId="7"/>
    <cellStyle name="Normal 4" xfId="10"/>
    <cellStyle name="Normal 44" xfId="8"/>
    <cellStyle name="Normal 48" xfId="9"/>
    <cellStyle name="Normal 5" xfId="1"/>
  </cellStyles>
  <dxfs count="0"/>
  <tableStyles count="0" defaultTableStyle="TableStyleMedium2" defaultPivotStyle="PivotStyleLight16"/>
  <colors>
    <mruColors>
      <color rgb="FFCD9B69"/>
      <color rgb="FFA85400"/>
      <color rgb="FF996633"/>
      <color rgb="FFF3E6D9"/>
      <color rgb="FF993366"/>
      <color rgb="FF663300"/>
      <color rgb="FFEDDBC9"/>
      <color rgb="FFE3ABC7"/>
      <color rgb="FF990033"/>
      <color rgb="FFFFEF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1"/>
  <sheetViews>
    <sheetView tabSelected="1" zoomScaleNormal="100" workbookViewId="0">
      <selection activeCell="T15" sqref="T15"/>
    </sheetView>
  </sheetViews>
  <sheetFormatPr defaultColWidth="11.140625" defaultRowHeight="12.75" x14ac:dyDescent="0.2"/>
  <cols>
    <col min="1" max="1" width="16.5703125" style="34" customWidth="1"/>
    <col min="2" max="14" width="9.140625" style="34" customWidth="1"/>
    <col min="15" max="15" width="20.28515625" style="34" customWidth="1"/>
    <col min="16" max="16" width="1.140625" style="34" customWidth="1"/>
    <col min="17" max="253" width="11.140625" style="34"/>
    <col min="254" max="254" width="16.5703125" style="34" customWidth="1"/>
    <col min="255" max="258" width="0" style="34" hidden="1" customWidth="1"/>
    <col min="259" max="269" width="9.140625" style="34" customWidth="1"/>
    <col min="270" max="270" width="0" style="34" hidden="1" customWidth="1"/>
    <col min="271" max="271" width="26.140625" style="34" customWidth="1"/>
    <col min="272" max="272" width="1.140625" style="34" customWidth="1"/>
    <col min="273" max="509" width="11.140625" style="34"/>
    <col min="510" max="510" width="16.5703125" style="34" customWidth="1"/>
    <col min="511" max="514" width="0" style="34" hidden="1" customWidth="1"/>
    <col min="515" max="525" width="9.140625" style="34" customWidth="1"/>
    <col min="526" max="526" width="0" style="34" hidden="1" customWidth="1"/>
    <col min="527" max="527" width="26.140625" style="34" customWidth="1"/>
    <col min="528" max="528" width="1.140625" style="34" customWidth="1"/>
    <col min="529" max="765" width="11.140625" style="34"/>
    <col min="766" max="766" width="16.5703125" style="34" customWidth="1"/>
    <col min="767" max="770" width="0" style="34" hidden="1" customWidth="1"/>
    <col min="771" max="781" width="9.140625" style="34" customWidth="1"/>
    <col min="782" max="782" width="0" style="34" hidden="1" customWidth="1"/>
    <col min="783" max="783" width="26.140625" style="34" customWidth="1"/>
    <col min="784" max="784" width="1.140625" style="34" customWidth="1"/>
    <col min="785" max="1021" width="11.140625" style="34"/>
    <col min="1022" max="1022" width="16.5703125" style="34" customWidth="1"/>
    <col min="1023" max="1026" width="0" style="34" hidden="1" customWidth="1"/>
    <col min="1027" max="1037" width="9.140625" style="34" customWidth="1"/>
    <col min="1038" max="1038" width="0" style="34" hidden="1" customWidth="1"/>
    <col min="1039" max="1039" width="26.140625" style="34" customWidth="1"/>
    <col min="1040" max="1040" width="1.140625" style="34" customWidth="1"/>
    <col min="1041" max="1277" width="11.140625" style="34"/>
    <col min="1278" max="1278" width="16.5703125" style="34" customWidth="1"/>
    <col min="1279" max="1282" width="0" style="34" hidden="1" customWidth="1"/>
    <col min="1283" max="1293" width="9.140625" style="34" customWidth="1"/>
    <col min="1294" max="1294" width="0" style="34" hidden="1" customWidth="1"/>
    <col min="1295" max="1295" width="26.140625" style="34" customWidth="1"/>
    <col min="1296" max="1296" width="1.140625" style="34" customWidth="1"/>
    <col min="1297" max="1533" width="11.140625" style="34"/>
    <col min="1534" max="1534" width="16.5703125" style="34" customWidth="1"/>
    <col min="1535" max="1538" width="0" style="34" hidden="1" customWidth="1"/>
    <col min="1539" max="1549" width="9.140625" style="34" customWidth="1"/>
    <col min="1550" max="1550" width="0" style="34" hidden="1" customWidth="1"/>
    <col min="1551" max="1551" width="26.140625" style="34" customWidth="1"/>
    <col min="1552" max="1552" width="1.140625" style="34" customWidth="1"/>
    <col min="1553" max="1789" width="11.140625" style="34"/>
    <col min="1790" max="1790" width="16.5703125" style="34" customWidth="1"/>
    <col min="1791" max="1794" width="0" style="34" hidden="1" customWidth="1"/>
    <col min="1795" max="1805" width="9.140625" style="34" customWidth="1"/>
    <col min="1806" max="1806" width="0" style="34" hidden="1" customWidth="1"/>
    <col min="1807" max="1807" width="26.140625" style="34" customWidth="1"/>
    <col min="1808" max="1808" width="1.140625" style="34" customWidth="1"/>
    <col min="1809" max="2045" width="11.140625" style="34"/>
    <col min="2046" max="2046" width="16.5703125" style="34" customWidth="1"/>
    <col min="2047" max="2050" width="0" style="34" hidden="1" customWidth="1"/>
    <col min="2051" max="2061" width="9.140625" style="34" customWidth="1"/>
    <col min="2062" max="2062" width="0" style="34" hidden="1" customWidth="1"/>
    <col min="2063" max="2063" width="26.140625" style="34" customWidth="1"/>
    <col min="2064" max="2064" width="1.140625" style="34" customWidth="1"/>
    <col min="2065" max="2301" width="11.140625" style="34"/>
    <col min="2302" max="2302" width="16.5703125" style="34" customWidth="1"/>
    <col min="2303" max="2306" width="0" style="34" hidden="1" customWidth="1"/>
    <col min="2307" max="2317" width="9.140625" style="34" customWidth="1"/>
    <col min="2318" max="2318" width="0" style="34" hidden="1" customWidth="1"/>
    <col min="2319" max="2319" width="26.140625" style="34" customWidth="1"/>
    <col min="2320" max="2320" width="1.140625" style="34" customWidth="1"/>
    <col min="2321" max="2557" width="11.140625" style="34"/>
    <col min="2558" max="2558" width="16.5703125" style="34" customWidth="1"/>
    <col min="2559" max="2562" width="0" style="34" hidden="1" customWidth="1"/>
    <col min="2563" max="2573" width="9.140625" style="34" customWidth="1"/>
    <col min="2574" max="2574" width="0" style="34" hidden="1" customWidth="1"/>
    <col min="2575" max="2575" width="26.140625" style="34" customWidth="1"/>
    <col min="2576" max="2576" width="1.140625" style="34" customWidth="1"/>
    <col min="2577" max="2813" width="11.140625" style="34"/>
    <col min="2814" max="2814" width="16.5703125" style="34" customWidth="1"/>
    <col min="2815" max="2818" width="0" style="34" hidden="1" customWidth="1"/>
    <col min="2819" max="2829" width="9.140625" style="34" customWidth="1"/>
    <col min="2830" max="2830" width="0" style="34" hidden="1" customWidth="1"/>
    <col min="2831" max="2831" width="26.140625" style="34" customWidth="1"/>
    <col min="2832" max="2832" width="1.140625" style="34" customWidth="1"/>
    <col min="2833" max="3069" width="11.140625" style="34"/>
    <col min="3070" max="3070" width="16.5703125" style="34" customWidth="1"/>
    <col min="3071" max="3074" width="0" style="34" hidden="1" customWidth="1"/>
    <col min="3075" max="3085" width="9.140625" style="34" customWidth="1"/>
    <col min="3086" max="3086" width="0" style="34" hidden="1" customWidth="1"/>
    <col min="3087" max="3087" width="26.140625" style="34" customWidth="1"/>
    <col min="3088" max="3088" width="1.140625" style="34" customWidth="1"/>
    <col min="3089" max="3325" width="11.140625" style="34"/>
    <col min="3326" max="3326" width="16.5703125" style="34" customWidth="1"/>
    <col min="3327" max="3330" width="0" style="34" hidden="1" customWidth="1"/>
    <col min="3331" max="3341" width="9.140625" style="34" customWidth="1"/>
    <col min="3342" max="3342" width="0" style="34" hidden="1" customWidth="1"/>
    <col min="3343" max="3343" width="26.140625" style="34" customWidth="1"/>
    <col min="3344" max="3344" width="1.140625" style="34" customWidth="1"/>
    <col min="3345" max="3581" width="11.140625" style="34"/>
    <col min="3582" max="3582" width="16.5703125" style="34" customWidth="1"/>
    <col min="3583" max="3586" width="0" style="34" hidden="1" customWidth="1"/>
    <col min="3587" max="3597" width="9.140625" style="34" customWidth="1"/>
    <col min="3598" max="3598" width="0" style="34" hidden="1" customWidth="1"/>
    <col min="3599" max="3599" width="26.140625" style="34" customWidth="1"/>
    <col min="3600" max="3600" width="1.140625" style="34" customWidth="1"/>
    <col min="3601" max="3837" width="11.140625" style="34"/>
    <col min="3838" max="3838" width="16.5703125" style="34" customWidth="1"/>
    <col min="3839" max="3842" width="0" style="34" hidden="1" customWidth="1"/>
    <col min="3843" max="3853" width="9.140625" style="34" customWidth="1"/>
    <col min="3854" max="3854" width="0" style="34" hidden="1" customWidth="1"/>
    <col min="3855" max="3855" width="26.140625" style="34" customWidth="1"/>
    <col min="3856" max="3856" width="1.140625" style="34" customWidth="1"/>
    <col min="3857" max="4093" width="11.140625" style="34"/>
    <col min="4094" max="4094" width="16.5703125" style="34" customWidth="1"/>
    <col min="4095" max="4098" width="0" style="34" hidden="1" customWidth="1"/>
    <col min="4099" max="4109" width="9.140625" style="34" customWidth="1"/>
    <col min="4110" max="4110" width="0" style="34" hidden="1" customWidth="1"/>
    <col min="4111" max="4111" width="26.140625" style="34" customWidth="1"/>
    <col min="4112" max="4112" width="1.140625" style="34" customWidth="1"/>
    <col min="4113" max="4349" width="11.140625" style="34"/>
    <col min="4350" max="4350" width="16.5703125" style="34" customWidth="1"/>
    <col min="4351" max="4354" width="0" style="34" hidden="1" customWidth="1"/>
    <col min="4355" max="4365" width="9.140625" style="34" customWidth="1"/>
    <col min="4366" max="4366" width="0" style="34" hidden="1" customWidth="1"/>
    <col min="4367" max="4367" width="26.140625" style="34" customWidth="1"/>
    <col min="4368" max="4368" width="1.140625" style="34" customWidth="1"/>
    <col min="4369" max="4605" width="11.140625" style="34"/>
    <col min="4606" max="4606" width="16.5703125" style="34" customWidth="1"/>
    <col min="4607" max="4610" width="0" style="34" hidden="1" customWidth="1"/>
    <col min="4611" max="4621" width="9.140625" style="34" customWidth="1"/>
    <col min="4622" max="4622" width="0" style="34" hidden="1" customWidth="1"/>
    <col min="4623" max="4623" width="26.140625" style="34" customWidth="1"/>
    <col min="4624" max="4624" width="1.140625" style="34" customWidth="1"/>
    <col min="4625" max="4861" width="11.140625" style="34"/>
    <col min="4862" max="4862" width="16.5703125" style="34" customWidth="1"/>
    <col min="4863" max="4866" width="0" style="34" hidden="1" customWidth="1"/>
    <col min="4867" max="4877" width="9.140625" style="34" customWidth="1"/>
    <col min="4878" max="4878" width="0" style="34" hidden="1" customWidth="1"/>
    <col min="4879" max="4879" width="26.140625" style="34" customWidth="1"/>
    <col min="4880" max="4880" width="1.140625" style="34" customWidth="1"/>
    <col min="4881" max="5117" width="11.140625" style="34"/>
    <col min="5118" max="5118" width="16.5703125" style="34" customWidth="1"/>
    <col min="5119" max="5122" width="0" style="34" hidden="1" customWidth="1"/>
    <col min="5123" max="5133" width="9.140625" style="34" customWidth="1"/>
    <col min="5134" max="5134" width="0" style="34" hidden="1" customWidth="1"/>
    <col min="5135" max="5135" width="26.140625" style="34" customWidth="1"/>
    <col min="5136" max="5136" width="1.140625" style="34" customWidth="1"/>
    <col min="5137" max="5373" width="11.140625" style="34"/>
    <col min="5374" max="5374" width="16.5703125" style="34" customWidth="1"/>
    <col min="5375" max="5378" width="0" style="34" hidden="1" customWidth="1"/>
    <col min="5379" max="5389" width="9.140625" style="34" customWidth="1"/>
    <col min="5390" max="5390" width="0" style="34" hidden="1" customWidth="1"/>
    <col min="5391" max="5391" width="26.140625" style="34" customWidth="1"/>
    <col min="5392" max="5392" width="1.140625" style="34" customWidth="1"/>
    <col min="5393" max="5629" width="11.140625" style="34"/>
    <col min="5630" max="5630" width="16.5703125" style="34" customWidth="1"/>
    <col min="5631" max="5634" width="0" style="34" hidden="1" customWidth="1"/>
    <col min="5635" max="5645" width="9.140625" style="34" customWidth="1"/>
    <col min="5646" max="5646" width="0" style="34" hidden="1" customWidth="1"/>
    <col min="5647" max="5647" width="26.140625" style="34" customWidth="1"/>
    <col min="5648" max="5648" width="1.140625" style="34" customWidth="1"/>
    <col min="5649" max="5885" width="11.140625" style="34"/>
    <col min="5886" max="5886" width="16.5703125" style="34" customWidth="1"/>
    <col min="5887" max="5890" width="0" style="34" hidden="1" customWidth="1"/>
    <col min="5891" max="5901" width="9.140625" style="34" customWidth="1"/>
    <col min="5902" max="5902" width="0" style="34" hidden="1" customWidth="1"/>
    <col min="5903" max="5903" width="26.140625" style="34" customWidth="1"/>
    <col min="5904" max="5904" width="1.140625" style="34" customWidth="1"/>
    <col min="5905" max="6141" width="11.140625" style="34"/>
    <col min="6142" max="6142" width="16.5703125" style="34" customWidth="1"/>
    <col min="6143" max="6146" width="0" style="34" hidden="1" customWidth="1"/>
    <col min="6147" max="6157" width="9.140625" style="34" customWidth="1"/>
    <col min="6158" max="6158" width="0" style="34" hidden="1" customWidth="1"/>
    <col min="6159" max="6159" width="26.140625" style="34" customWidth="1"/>
    <col min="6160" max="6160" width="1.140625" style="34" customWidth="1"/>
    <col min="6161" max="6397" width="11.140625" style="34"/>
    <col min="6398" max="6398" width="16.5703125" style="34" customWidth="1"/>
    <col min="6399" max="6402" width="0" style="34" hidden="1" customWidth="1"/>
    <col min="6403" max="6413" width="9.140625" style="34" customWidth="1"/>
    <col min="6414" max="6414" width="0" style="34" hidden="1" customWidth="1"/>
    <col min="6415" max="6415" width="26.140625" style="34" customWidth="1"/>
    <col min="6416" max="6416" width="1.140625" style="34" customWidth="1"/>
    <col min="6417" max="6653" width="11.140625" style="34"/>
    <col min="6654" max="6654" width="16.5703125" style="34" customWidth="1"/>
    <col min="6655" max="6658" width="0" style="34" hidden="1" customWidth="1"/>
    <col min="6659" max="6669" width="9.140625" style="34" customWidth="1"/>
    <col min="6670" max="6670" width="0" style="34" hidden="1" customWidth="1"/>
    <col min="6671" max="6671" width="26.140625" style="34" customWidth="1"/>
    <col min="6672" max="6672" width="1.140625" style="34" customWidth="1"/>
    <col min="6673" max="6909" width="11.140625" style="34"/>
    <col min="6910" max="6910" width="16.5703125" style="34" customWidth="1"/>
    <col min="6911" max="6914" width="0" style="34" hidden="1" customWidth="1"/>
    <col min="6915" max="6925" width="9.140625" style="34" customWidth="1"/>
    <col min="6926" max="6926" width="0" style="34" hidden="1" customWidth="1"/>
    <col min="6927" max="6927" width="26.140625" style="34" customWidth="1"/>
    <col min="6928" max="6928" width="1.140625" style="34" customWidth="1"/>
    <col min="6929" max="7165" width="11.140625" style="34"/>
    <col min="7166" max="7166" width="16.5703125" style="34" customWidth="1"/>
    <col min="7167" max="7170" width="0" style="34" hidden="1" customWidth="1"/>
    <col min="7171" max="7181" width="9.140625" style="34" customWidth="1"/>
    <col min="7182" max="7182" width="0" style="34" hidden="1" customWidth="1"/>
    <col min="7183" max="7183" width="26.140625" style="34" customWidth="1"/>
    <col min="7184" max="7184" width="1.140625" style="34" customWidth="1"/>
    <col min="7185" max="7421" width="11.140625" style="34"/>
    <col min="7422" max="7422" width="16.5703125" style="34" customWidth="1"/>
    <col min="7423" max="7426" width="0" style="34" hidden="1" customWidth="1"/>
    <col min="7427" max="7437" width="9.140625" style="34" customWidth="1"/>
    <col min="7438" max="7438" width="0" style="34" hidden="1" customWidth="1"/>
    <col min="7439" max="7439" width="26.140625" style="34" customWidth="1"/>
    <col min="7440" max="7440" width="1.140625" style="34" customWidth="1"/>
    <col min="7441" max="7677" width="11.140625" style="34"/>
    <col min="7678" max="7678" width="16.5703125" style="34" customWidth="1"/>
    <col min="7679" max="7682" width="0" style="34" hidden="1" customWidth="1"/>
    <col min="7683" max="7693" width="9.140625" style="34" customWidth="1"/>
    <col min="7694" max="7694" width="0" style="34" hidden="1" customWidth="1"/>
    <col min="7695" max="7695" width="26.140625" style="34" customWidth="1"/>
    <col min="7696" max="7696" width="1.140625" style="34" customWidth="1"/>
    <col min="7697" max="7933" width="11.140625" style="34"/>
    <col min="7934" max="7934" width="16.5703125" style="34" customWidth="1"/>
    <col min="7935" max="7938" width="0" style="34" hidden="1" customWidth="1"/>
    <col min="7939" max="7949" width="9.140625" style="34" customWidth="1"/>
    <col min="7950" max="7950" width="0" style="34" hidden="1" customWidth="1"/>
    <col min="7951" max="7951" width="26.140625" style="34" customWidth="1"/>
    <col min="7952" max="7952" width="1.140625" style="34" customWidth="1"/>
    <col min="7953" max="8189" width="11.140625" style="34"/>
    <col min="8190" max="8190" width="16.5703125" style="34" customWidth="1"/>
    <col min="8191" max="8194" width="0" style="34" hidden="1" customWidth="1"/>
    <col min="8195" max="8205" width="9.140625" style="34" customWidth="1"/>
    <col min="8206" max="8206" width="0" style="34" hidden="1" customWidth="1"/>
    <col min="8207" max="8207" width="26.140625" style="34" customWidth="1"/>
    <col min="8208" max="8208" width="1.140625" style="34" customWidth="1"/>
    <col min="8209" max="8445" width="11.140625" style="34"/>
    <col min="8446" max="8446" width="16.5703125" style="34" customWidth="1"/>
    <col min="8447" max="8450" width="0" style="34" hidden="1" customWidth="1"/>
    <col min="8451" max="8461" width="9.140625" style="34" customWidth="1"/>
    <col min="8462" max="8462" width="0" style="34" hidden="1" customWidth="1"/>
    <col min="8463" max="8463" width="26.140625" style="34" customWidth="1"/>
    <col min="8464" max="8464" width="1.140625" style="34" customWidth="1"/>
    <col min="8465" max="8701" width="11.140625" style="34"/>
    <col min="8702" max="8702" width="16.5703125" style="34" customWidth="1"/>
    <col min="8703" max="8706" width="0" style="34" hidden="1" customWidth="1"/>
    <col min="8707" max="8717" width="9.140625" style="34" customWidth="1"/>
    <col min="8718" max="8718" width="0" style="34" hidden="1" customWidth="1"/>
    <col min="8719" max="8719" width="26.140625" style="34" customWidth="1"/>
    <col min="8720" max="8720" width="1.140625" style="34" customWidth="1"/>
    <col min="8721" max="8957" width="11.140625" style="34"/>
    <col min="8958" max="8958" width="16.5703125" style="34" customWidth="1"/>
    <col min="8959" max="8962" width="0" style="34" hidden="1" customWidth="1"/>
    <col min="8963" max="8973" width="9.140625" style="34" customWidth="1"/>
    <col min="8974" max="8974" width="0" style="34" hidden="1" customWidth="1"/>
    <col min="8975" max="8975" width="26.140625" style="34" customWidth="1"/>
    <col min="8976" max="8976" width="1.140625" style="34" customWidth="1"/>
    <col min="8977" max="9213" width="11.140625" style="34"/>
    <col min="9214" max="9214" width="16.5703125" style="34" customWidth="1"/>
    <col min="9215" max="9218" width="0" style="34" hidden="1" customWidth="1"/>
    <col min="9219" max="9229" width="9.140625" style="34" customWidth="1"/>
    <col min="9230" max="9230" width="0" style="34" hidden="1" customWidth="1"/>
    <col min="9231" max="9231" width="26.140625" style="34" customWidth="1"/>
    <col min="9232" max="9232" width="1.140625" style="34" customWidth="1"/>
    <col min="9233" max="9469" width="11.140625" style="34"/>
    <col min="9470" max="9470" width="16.5703125" style="34" customWidth="1"/>
    <col min="9471" max="9474" width="0" style="34" hidden="1" customWidth="1"/>
    <col min="9475" max="9485" width="9.140625" style="34" customWidth="1"/>
    <col min="9486" max="9486" width="0" style="34" hidden="1" customWidth="1"/>
    <col min="9487" max="9487" width="26.140625" style="34" customWidth="1"/>
    <col min="9488" max="9488" width="1.140625" style="34" customWidth="1"/>
    <col min="9489" max="9725" width="11.140625" style="34"/>
    <col min="9726" max="9726" width="16.5703125" style="34" customWidth="1"/>
    <col min="9727" max="9730" width="0" style="34" hidden="1" customWidth="1"/>
    <col min="9731" max="9741" width="9.140625" style="34" customWidth="1"/>
    <col min="9742" max="9742" width="0" style="34" hidden="1" customWidth="1"/>
    <col min="9743" max="9743" width="26.140625" style="34" customWidth="1"/>
    <col min="9744" max="9744" width="1.140625" style="34" customWidth="1"/>
    <col min="9745" max="9981" width="11.140625" style="34"/>
    <col min="9982" max="9982" width="16.5703125" style="34" customWidth="1"/>
    <col min="9983" max="9986" width="0" style="34" hidden="1" customWidth="1"/>
    <col min="9987" max="9997" width="9.140625" style="34" customWidth="1"/>
    <col min="9998" max="9998" width="0" style="34" hidden="1" customWidth="1"/>
    <col min="9999" max="9999" width="26.140625" style="34" customWidth="1"/>
    <col min="10000" max="10000" width="1.140625" style="34" customWidth="1"/>
    <col min="10001" max="10237" width="11.140625" style="34"/>
    <col min="10238" max="10238" width="16.5703125" style="34" customWidth="1"/>
    <col min="10239" max="10242" width="0" style="34" hidden="1" customWidth="1"/>
    <col min="10243" max="10253" width="9.140625" style="34" customWidth="1"/>
    <col min="10254" max="10254" width="0" style="34" hidden="1" customWidth="1"/>
    <col min="10255" max="10255" width="26.140625" style="34" customWidth="1"/>
    <col min="10256" max="10256" width="1.140625" style="34" customWidth="1"/>
    <col min="10257" max="10493" width="11.140625" style="34"/>
    <col min="10494" max="10494" width="16.5703125" style="34" customWidth="1"/>
    <col min="10495" max="10498" width="0" style="34" hidden="1" customWidth="1"/>
    <col min="10499" max="10509" width="9.140625" style="34" customWidth="1"/>
    <col min="10510" max="10510" width="0" style="34" hidden="1" customWidth="1"/>
    <col min="10511" max="10511" width="26.140625" style="34" customWidth="1"/>
    <col min="10512" max="10512" width="1.140625" style="34" customWidth="1"/>
    <col min="10513" max="10749" width="11.140625" style="34"/>
    <col min="10750" max="10750" width="16.5703125" style="34" customWidth="1"/>
    <col min="10751" max="10754" width="0" style="34" hidden="1" customWidth="1"/>
    <col min="10755" max="10765" width="9.140625" style="34" customWidth="1"/>
    <col min="10766" max="10766" width="0" style="34" hidden="1" customWidth="1"/>
    <col min="10767" max="10767" width="26.140625" style="34" customWidth="1"/>
    <col min="10768" max="10768" width="1.140625" style="34" customWidth="1"/>
    <col min="10769" max="11005" width="11.140625" style="34"/>
    <col min="11006" max="11006" width="16.5703125" style="34" customWidth="1"/>
    <col min="11007" max="11010" width="0" style="34" hidden="1" customWidth="1"/>
    <col min="11011" max="11021" width="9.140625" style="34" customWidth="1"/>
    <col min="11022" max="11022" width="0" style="34" hidden="1" customWidth="1"/>
    <col min="11023" max="11023" width="26.140625" style="34" customWidth="1"/>
    <col min="11024" max="11024" width="1.140625" style="34" customWidth="1"/>
    <col min="11025" max="11261" width="11.140625" style="34"/>
    <col min="11262" max="11262" width="16.5703125" style="34" customWidth="1"/>
    <col min="11263" max="11266" width="0" style="34" hidden="1" customWidth="1"/>
    <col min="11267" max="11277" width="9.140625" style="34" customWidth="1"/>
    <col min="11278" max="11278" width="0" style="34" hidden="1" customWidth="1"/>
    <col min="11279" max="11279" width="26.140625" style="34" customWidth="1"/>
    <col min="11280" max="11280" width="1.140625" style="34" customWidth="1"/>
    <col min="11281" max="11517" width="11.140625" style="34"/>
    <col min="11518" max="11518" width="16.5703125" style="34" customWidth="1"/>
    <col min="11519" max="11522" width="0" style="34" hidden="1" customWidth="1"/>
    <col min="11523" max="11533" width="9.140625" style="34" customWidth="1"/>
    <col min="11534" max="11534" width="0" style="34" hidden="1" customWidth="1"/>
    <col min="11535" max="11535" width="26.140625" style="34" customWidth="1"/>
    <col min="11536" max="11536" width="1.140625" style="34" customWidth="1"/>
    <col min="11537" max="11773" width="11.140625" style="34"/>
    <col min="11774" max="11774" width="16.5703125" style="34" customWidth="1"/>
    <col min="11775" max="11778" width="0" style="34" hidden="1" customWidth="1"/>
    <col min="11779" max="11789" width="9.140625" style="34" customWidth="1"/>
    <col min="11790" max="11790" width="0" style="34" hidden="1" customWidth="1"/>
    <col min="11791" max="11791" width="26.140625" style="34" customWidth="1"/>
    <col min="11792" max="11792" width="1.140625" style="34" customWidth="1"/>
    <col min="11793" max="12029" width="11.140625" style="34"/>
    <col min="12030" max="12030" width="16.5703125" style="34" customWidth="1"/>
    <col min="12031" max="12034" width="0" style="34" hidden="1" customWidth="1"/>
    <col min="12035" max="12045" width="9.140625" style="34" customWidth="1"/>
    <col min="12046" max="12046" width="0" style="34" hidden="1" customWidth="1"/>
    <col min="12047" max="12047" width="26.140625" style="34" customWidth="1"/>
    <col min="12048" max="12048" width="1.140625" style="34" customWidth="1"/>
    <col min="12049" max="12285" width="11.140625" style="34"/>
    <col min="12286" max="12286" width="16.5703125" style="34" customWidth="1"/>
    <col min="12287" max="12290" width="0" style="34" hidden="1" customWidth="1"/>
    <col min="12291" max="12301" width="9.140625" style="34" customWidth="1"/>
    <col min="12302" max="12302" width="0" style="34" hidden="1" customWidth="1"/>
    <col min="12303" max="12303" width="26.140625" style="34" customWidth="1"/>
    <col min="12304" max="12304" width="1.140625" style="34" customWidth="1"/>
    <col min="12305" max="12541" width="11.140625" style="34"/>
    <col min="12542" max="12542" width="16.5703125" style="34" customWidth="1"/>
    <col min="12543" max="12546" width="0" style="34" hidden="1" customWidth="1"/>
    <col min="12547" max="12557" width="9.140625" style="34" customWidth="1"/>
    <col min="12558" max="12558" width="0" style="34" hidden="1" customWidth="1"/>
    <col min="12559" max="12559" width="26.140625" style="34" customWidth="1"/>
    <col min="12560" max="12560" width="1.140625" style="34" customWidth="1"/>
    <col min="12561" max="12797" width="11.140625" style="34"/>
    <col min="12798" max="12798" width="16.5703125" style="34" customWidth="1"/>
    <col min="12799" max="12802" width="0" style="34" hidden="1" customWidth="1"/>
    <col min="12803" max="12813" width="9.140625" style="34" customWidth="1"/>
    <col min="12814" max="12814" width="0" style="34" hidden="1" customWidth="1"/>
    <col min="12815" max="12815" width="26.140625" style="34" customWidth="1"/>
    <col min="12816" max="12816" width="1.140625" style="34" customWidth="1"/>
    <col min="12817" max="13053" width="11.140625" style="34"/>
    <col min="13054" max="13054" width="16.5703125" style="34" customWidth="1"/>
    <col min="13055" max="13058" width="0" style="34" hidden="1" customWidth="1"/>
    <col min="13059" max="13069" width="9.140625" style="34" customWidth="1"/>
    <col min="13070" max="13070" width="0" style="34" hidden="1" customWidth="1"/>
    <col min="13071" max="13071" width="26.140625" style="34" customWidth="1"/>
    <col min="13072" max="13072" width="1.140625" style="34" customWidth="1"/>
    <col min="13073" max="13309" width="11.140625" style="34"/>
    <col min="13310" max="13310" width="16.5703125" style="34" customWidth="1"/>
    <col min="13311" max="13314" width="0" style="34" hidden="1" customWidth="1"/>
    <col min="13315" max="13325" width="9.140625" style="34" customWidth="1"/>
    <col min="13326" max="13326" width="0" style="34" hidden="1" customWidth="1"/>
    <col min="13327" max="13327" width="26.140625" style="34" customWidth="1"/>
    <col min="13328" max="13328" width="1.140625" style="34" customWidth="1"/>
    <col min="13329" max="13565" width="11.140625" style="34"/>
    <col min="13566" max="13566" width="16.5703125" style="34" customWidth="1"/>
    <col min="13567" max="13570" width="0" style="34" hidden="1" customWidth="1"/>
    <col min="13571" max="13581" width="9.140625" style="34" customWidth="1"/>
    <col min="13582" max="13582" width="0" style="34" hidden="1" customWidth="1"/>
    <col min="13583" max="13583" width="26.140625" style="34" customWidth="1"/>
    <col min="13584" max="13584" width="1.140625" style="34" customWidth="1"/>
    <col min="13585" max="13821" width="11.140625" style="34"/>
    <col min="13822" max="13822" width="16.5703125" style="34" customWidth="1"/>
    <col min="13823" max="13826" width="0" style="34" hidden="1" customWidth="1"/>
    <col min="13827" max="13837" width="9.140625" style="34" customWidth="1"/>
    <col min="13838" max="13838" width="0" style="34" hidden="1" customWidth="1"/>
    <col min="13839" max="13839" width="26.140625" style="34" customWidth="1"/>
    <col min="13840" max="13840" width="1.140625" style="34" customWidth="1"/>
    <col min="13841" max="14077" width="11.140625" style="34"/>
    <col min="14078" max="14078" width="16.5703125" style="34" customWidth="1"/>
    <col min="14079" max="14082" width="0" style="34" hidden="1" customWidth="1"/>
    <col min="14083" max="14093" width="9.140625" style="34" customWidth="1"/>
    <col min="14094" max="14094" width="0" style="34" hidden="1" customWidth="1"/>
    <col min="14095" max="14095" width="26.140625" style="34" customWidth="1"/>
    <col min="14096" max="14096" width="1.140625" style="34" customWidth="1"/>
    <col min="14097" max="14333" width="11.140625" style="34"/>
    <col min="14334" max="14334" width="16.5703125" style="34" customWidth="1"/>
    <col min="14335" max="14338" width="0" style="34" hidden="1" customWidth="1"/>
    <col min="14339" max="14349" width="9.140625" style="34" customWidth="1"/>
    <col min="14350" max="14350" width="0" style="34" hidden="1" customWidth="1"/>
    <col min="14351" max="14351" width="26.140625" style="34" customWidth="1"/>
    <col min="14352" max="14352" width="1.140625" style="34" customWidth="1"/>
    <col min="14353" max="14589" width="11.140625" style="34"/>
    <col min="14590" max="14590" width="16.5703125" style="34" customWidth="1"/>
    <col min="14591" max="14594" width="0" style="34" hidden="1" customWidth="1"/>
    <col min="14595" max="14605" width="9.140625" style="34" customWidth="1"/>
    <col min="14606" max="14606" width="0" style="34" hidden="1" customWidth="1"/>
    <col min="14607" max="14607" width="26.140625" style="34" customWidth="1"/>
    <col min="14608" max="14608" width="1.140625" style="34" customWidth="1"/>
    <col min="14609" max="14845" width="11.140625" style="34"/>
    <col min="14846" max="14846" width="16.5703125" style="34" customWidth="1"/>
    <col min="14847" max="14850" width="0" style="34" hidden="1" customWidth="1"/>
    <col min="14851" max="14861" width="9.140625" style="34" customWidth="1"/>
    <col min="14862" max="14862" width="0" style="34" hidden="1" customWidth="1"/>
    <col min="14863" max="14863" width="26.140625" style="34" customWidth="1"/>
    <col min="14864" max="14864" width="1.140625" style="34" customWidth="1"/>
    <col min="14865" max="15101" width="11.140625" style="34"/>
    <col min="15102" max="15102" width="16.5703125" style="34" customWidth="1"/>
    <col min="15103" max="15106" width="0" style="34" hidden="1" customWidth="1"/>
    <col min="15107" max="15117" width="9.140625" style="34" customWidth="1"/>
    <col min="15118" max="15118" width="0" style="34" hidden="1" customWidth="1"/>
    <col min="15119" max="15119" width="26.140625" style="34" customWidth="1"/>
    <col min="15120" max="15120" width="1.140625" style="34" customWidth="1"/>
    <col min="15121" max="15357" width="11.140625" style="34"/>
    <col min="15358" max="15358" width="16.5703125" style="34" customWidth="1"/>
    <col min="15359" max="15362" width="0" style="34" hidden="1" customWidth="1"/>
    <col min="15363" max="15373" width="9.140625" style="34" customWidth="1"/>
    <col min="15374" max="15374" width="0" style="34" hidden="1" customWidth="1"/>
    <col min="15375" max="15375" width="26.140625" style="34" customWidth="1"/>
    <col min="15376" max="15376" width="1.140625" style="34" customWidth="1"/>
    <col min="15377" max="15613" width="11.140625" style="34"/>
    <col min="15614" max="15614" width="16.5703125" style="34" customWidth="1"/>
    <col min="15615" max="15618" width="0" style="34" hidden="1" customWidth="1"/>
    <col min="15619" max="15629" width="9.140625" style="34" customWidth="1"/>
    <col min="15630" max="15630" width="0" style="34" hidden="1" customWidth="1"/>
    <col min="15631" max="15631" width="26.140625" style="34" customWidth="1"/>
    <col min="15632" max="15632" width="1.140625" style="34" customWidth="1"/>
    <col min="15633" max="15869" width="11.140625" style="34"/>
    <col min="15870" max="15870" width="16.5703125" style="34" customWidth="1"/>
    <col min="15871" max="15874" width="0" style="34" hidden="1" customWidth="1"/>
    <col min="15875" max="15885" width="9.140625" style="34" customWidth="1"/>
    <col min="15886" max="15886" width="0" style="34" hidden="1" customWidth="1"/>
    <col min="15887" max="15887" width="26.140625" style="34" customWidth="1"/>
    <col min="15888" max="15888" width="1.140625" style="34" customWidth="1"/>
    <col min="15889" max="16125" width="11.140625" style="34"/>
    <col min="16126" max="16126" width="16.5703125" style="34" customWidth="1"/>
    <col min="16127" max="16130" width="0" style="34" hidden="1" customWidth="1"/>
    <col min="16131" max="16141" width="9.140625" style="34" customWidth="1"/>
    <col min="16142" max="16142" width="0" style="34" hidden="1" customWidth="1"/>
    <col min="16143" max="16143" width="26.140625" style="34" customWidth="1"/>
    <col min="16144" max="16144" width="1.140625" style="34" customWidth="1"/>
    <col min="16145" max="16384" width="11.140625" style="34"/>
  </cols>
  <sheetData>
    <row r="1" spans="1:25" s="29" customFormat="1" ht="15.75" x14ac:dyDescent="0.25">
      <c r="A1" s="27" t="s">
        <v>31</v>
      </c>
      <c r="B1" s="27"/>
      <c r="C1" s="27"/>
      <c r="D1" s="27"/>
      <c r="E1" s="27"/>
      <c r="F1" s="27"/>
      <c r="G1" s="27"/>
      <c r="H1" s="27"/>
      <c r="I1" s="27"/>
      <c r="J1" s="27"/>
      <c r="K1" s="27"/>
      <c r="L1" s="27"/>
      <c r="M1" s="27"/>
      <c r="N1" s="27"/>
      <c r="O1" s="27"/>
    </row>
    <row r="2" spans="1:25" s="1" customFormat="1" ht="15" x14ac:dyDescent="0.25">
      <c r="A2" s="28" t="s">
        <v>32</v>
      </c>
      <c r="B2" s="28"/>
      <c r="C2" s="28"/>
      <c r="D2" s="28"/>
      <c r="E2" s="28"/>
      <c r="F2" s="28"/>
      <c r="G2" s="28"/>
      <c r="H2" s="28"/>
      <c r="I2" s="28"/>
      <c r="J2" s="28"/>
      <c r="K2" s="28"/>
      <c r="L2" s="28"/>
      <c r="M2" s="28"/>
      <c r="N2" s="28"/>
      <c r="O2" s="28"/>
      <c r="Q2" s="29"/>
      <c r="R2" s="29"/>
      <c r="S2" s="29"/>
      <c r="T2" s="29"/>
      <c r="U2" s="29"/>
      <c r="V2" s="29"/>
      <c r="W2" s="29"/>
      <c r="X2" s="29"/>
    </row>
    <row r="3" spans="1:25" s="1" customFormat="1" ht="17.25" x14ac:dyDescent="0.25">
      <c r="A3" s="2" t="s">
        <v>6</v>
      </c>
      <c r="B3" s="3" t="s">
        <v>7</v>
      </c>
      <c r="C3" s="3" t="s">
        <v>8</v>
      </c>
      <c r="D3" s="3" t="s">
        <v>9</v>
      </c>
      <c r="E3" s="4">
        <v>2010</v>
      </c>
      <c r="F3" s="4">
        <v>2011</v>
      </c>
      <c r="G3" s="4">
        <v>2012</v>
      </c>
      <c r="H3" s="4">
        <v>2013</v>
      </c>
      <c r="I3" s="4">
        <v>2014</v>
      </c>
      <c r="J3" s="4">
        <v>2015</v>
      </c>
      <c r="K3" s="4">
        <v>2016</v>
      </c>
      <c r="L3" s="4">
        <v>2017</v>
      </c>
      <c r="M3" s="3" t="s">
        <v>29</v>
      </c>
      <c r="N3" s="3" t="s">
        <v>33</v>
      </c>
      <c r="O3" s="19" t="s">
        <v>10</v>
      </c>
      <c r="Q3" s="29"/>
      <c r="R3" s="29"/>
      <c r="S3" s="29"/>
      <c r="T3" s="29"/>
      <c r="U3" s="29"/>
      <c r="V3" s="29"/>
      <c r="W3" s="29"/>
      <c r="X3" s="29"/>
    </row>
    <row r="4" spans="1:25" s="1" customFormat="1" ht="15.75" x14ac:dyDescent="0.25">
      <c r="A4" s="5" t="s">
        <v>2</v>
      </c>
      <c r="B4" s="6"/>
      <c r="C4" s="6"/>
      <c r="D4" s="6"/>
      <c r="E4" s="6"/>
      <c r="F4" s="6"/>
      <c r="G4" s="6"/>
      <c r="H4" s="6"/>
      <c r="I4" s="6"/>
      <c r="J4" s="6"/>
      <c r="K4" s="6"/>
      <c r="L4" s="6"/>
      <c r="M4" s="6"/>
      <c r="N4" s="6"/>
      <c r="O4" s="20" t="s">
        <v>11</v>
      </c>
      <c r="Q4" s="29"/>
      <c r="R4" s="29"/>
      <c r="S4" s="29"/>
      <c r="T4" s="29"/>
      <c r="U4" s="29"/>
      <c r="V4" s="29"/>
      <c r="W4" s="29"/>
      <c r="X4" s="29"/>
    </row>
    <row r="5" spans="1:25" s="1" customFormat="1" ht="15.75" x14ac:dyDescent="0.25">
      <c r="A5" s="5" t="s">
        <v>12</v>
      </c>
      <c r="B5" s="7">
        <f>SUM(B6:B12)</f>
        <v>1126</v>
      </c>
      <c r="C5" s="7">
        <f t="shared" ref="C5:D5" si="0">SUM(C6:C12)</f>
        <v>1090</v>
      </c>
      <c r="D5" s="7">
        <f t="shared" si="0"/>
        <v>1164</v>
      </c>
      <c r="E5" s="7">
        <v>1105</v>
      </c>
      <c r="F5" s="7">
        <v>1137</v>
      </c>
      <c r="G5" s="8">
        <v>1135</v>
      </c>
      <c r="H5" s="8">
        <f>H14+H23</f>
        <v>1120</v>
      </c>
      <c r="I5" s="8">
        <f>I14+I23</f>
        <v>1143</v>
      </c>
      <c r="J5" s="8">
        <f>J14+J23</f>
        <v>1130</v>
      </c>
      <c r="K5" s="8">
        <f>SUM(K14+K23)</f>
        <v>1226</v>
      </c>
      <c r="L5" s="8">
        <f>SUM(L14+L23)</f>
        <v>1241</v>
      </c>
      <c r="M5" s="8">
        <f>SUM(M14+M23)+M31+M32</f>
        <v>1216</v>
      </c>
      <c r="N5" s="8">
        <v>1041</v>
      </c>
      <c r="O5" s="20" t="s">
        <v>13</v>
      </c>
      <c r="Q5" s="29"/>
      <c r="R5" s="29"/>
    </row>
    <row r="6" spans="1:25" s="1" customFormat="1" ht="15.75" x14ac:dyDescent="0.25">
      <c r="A6" s="9" t="s">
        <v>14</v>
      </c>
      <c r="B6" s="10">
        <f>B15+B24</f>
        <v>66</v>
      </c>
      <c r="C6" s="10">
        <v>76</v>
      </c>
      <c r="D6" s="10">
        <v>81</v>
      </c>
      <c r="E6" s="10">
        <v>78</v>
      </c>
      <c r="F6" s="10">
        <v>65</v>
      </c>
      <c r="G6" s="10">
        <v>66</v>
      </c>
      <c r="H6" s="10">
        <v>46</v>
      </c>
      <c r="I6" s="10">
        <v>59</v>
      </c>
      <c r="J6" s="10">
        <v>63</v>
      </c>
      <c r="K6" s="10">
        <f t="shared" ref="K6:K11" si="1">K15+K24</f>
        <v>53</v>
      </c>
      <c r="L6" s="10">
        <v>64</v>
      </c>
      <c r="M6" s="10">
        <f t="shared" ref="M6:M12" si="2">SUM(M15+M24)</f>
        <v>45</v>
      </c>
      <c r="N6" s="10">
        <v>43</v>
      </c>
      <c r="O6" s="21" t="s">
        <v>15</v>
      </c>
      <c r="Q6" s="29"/>
      <c r="R6" s="29"/>
      <c r="S6" s="29"/>
      <c r="T6" s="29"/>
      <c r="U6" s="29"/>
      <c r="V6" s="29"/>
      <c r="W6" s="29"/>
      <c r="X6" s="29"/>
    </row>
    <row r="7" spans="1:25" s="1" customFormat="1" ht="18.75" x14ac:dyDescent="0.25">
      <c r="A7" s="9" t="s">
        <v>16</v>
      </c>
      <c r="B7" s="10">
        <f t="shared" ref="B7:B12" si="3">B16+B25</f>
        <v>10</v>
      </c>
      <c r="C7" s="10">
        <v>20</v>
      </c>
      <c r="D7" s="10">
        <v>10</v>
      </c>
      <c r="E7" s="10">
        <v>11</v>
      </c>
      <c r="F7" s="10">
        <v>16</v>
      </c>
      <c r="G7" s="10">
        <v>18</v>
      </c>
      <c r="H7" s="10">
        <v>21</v>
      </c>
      <c r="I7" s="10">
        <v>15</v>
      </c>
      <c r="J7" s="10">
        <v>13</v>
      </c>
      <c r="K7" s="10">
        <f t="shared" si="1"/>
        <v>10</v>
      </c>
      <c r="L7" s="10">
        <v>8</v>
      </c>
      <c r="M7" s="10">
        <f t="shared" si="2"/>
        <v>9</v>
      </c>
      <c r="N7" s="10">
        <v>7</v>
      </c>
      <c r="O7" s="30" t="s">
        <v>17</v>
      </c>
      <c r="Q7" s="29"/>
      <c r="R7" s="29"/>
      <c r="S7" s="29"/>
      <c r="T7" s="29"/>
      <c r="U7" s="29"/>
      <c r="V7" s="29"/>
      <c r="W7" s="29"/>
      <c r="X7" s="29"/>
    </row>
    <row r="8" spans="1:25" s="1" customFormat="1" ht="18.75" x14ac:dyDescent="0.25">
      <c r="A8" s="9" t="s">
        <v>18</v>
      </c>
      <c r="B8" s="10">
        <f t="shared" si="3"/>
        <v>22</v>
      </c>
      <c r="C8" s="10">
        <v>23</v>
      </c>
      <c r="D8" s="10">
        <v>24</v>
      </c>
      <c r="E8" s="10">
        <v>20</v>
      </c>
      <c r="F8" s="10">
        <v>19</v>
      </c>
      <c r="G8" s="10">
        <v>14</v>
      </c>
      <c r="H8" s="10">
        <v>13</v>
      </c>
      <c r="I8" s="10">
        <v>8</v>
      </c>
      <c r="J8" s="10">
        <v>19</v>
      </c>
      <c r="K8" s="10">
        <f t="shared" si="1"/>
        <v>15</v>
      </c>
      <c r="L8" s="10">
        <v>13</v>
      </c>
      <c r="M8" s="10">
        <f t="shared" si="2"/>
        <v>7</v>
      </c>
      <c r="N8" s="10">
        <v>5</v>
      </c>
      <c r="O8" s="30" t="s">
        <v>19</v>
      </c>
      <c r="Q8" s="29"/>
      <c r="R8" s="29"/>
    </row>
    <row r="9" spans="1:25" s="1" customFormat="1" ht="18.75" x14ac:dyDescent="0.25">
      <c r="A9" s="9" t="s">
        <v>20</v>
      </c>
      <c r="B9" s="10">
        <f t="shared" si="3"/>
        <v>98</v>
      </c>
      <c r="C9" s="10">
        <v>104</v>
      </c>
      <c r="D9" s="10">
        <v>96</v>
      </c>
      <c r="E9" s="10">
        <v>100</v>
      </c>
      <c r="F9" s="10">
        <v>88</v>
      </c>
      <c r="G9" s="10">
        <v>85</v>
      </c>
      <c r="H9" s="10">
        <v>109</v>
      </c>
      <c r="I9" s="10">
        <v>102</v>
      </c>
      <c r="J9" s="10">
        <v>83</v>
      </c>
      <c r="K9" s="10">
        <f t="shared" si="1"/>
        <v>92</v>
      </c>
      <c r="L9" s="10">
        <v>121</v>
      </c>
      <c r="M9" s="10">
        <f t="shared" si="2"/>
        <v>113</v>
      </c>
      <c r="N9" s="10">
        <v>101</v>
      </c>
      <c r="O9" s="30" t="s">
        <v>21</v>
      </c>
      <c r="Q9" s="29"/>
      <c r="R9" s="29"/>
      <c r="S9" s="29"/>
      <c r="T9" s="29"/>
      <c r="U9" s="29"/>
      <c r="V9" s="29"/>
      <c r="W9" s="29"/>
      <c r="X9" s="29"/>
    </row>
    <row r="10" spans="1:25" s="1" customFormat="1" ht="18.75" x14ac:dyDescent="0.25">
      <c r="A10" s="9" t="s">
        <v>22</v>
      </c>
      <c r="B10" s="10">
        <f t="shared" si="3"/>
        <v>179</v>
      </c>
      <c r="C10" s="10">
        <v>182</v>
      </c>
      <c r="D10" s="10">
        <v>163</v>
      </c>
      <c r="E10" s="10">
        <v>195</v>
      </c>
      <c r="F10" s="10">
        <v>157</v>
      </c>
      <c r="G10" s="10">
        <v>213</v>
      </c>
      <c r="H10" s="10">
        <v>190</v>
      </c>
      <c r="I10" s="10">
        <v>211</v>
      </c>
      <c r="J10" s="10">
        <v>181</v>
      </c>
      <c r="K10" s="10">
        <f t="shared" si="1"/>
        <v>197</v>
      </c>
      <c r="L10" s="10">
        <v>222</v>
      </c>
      <c r="M10" s="10">
        <f t="shared" si="2"/>
        <v>226</v>
      </c>
      <c r="N10" s="10">
        <v>200</v>
      </c>
      <c r="O10" s="30" t="s">
        <v>23</v>
      </c>
      <c r="Q10" s="29"/>
      <c r="R10" s="29"/>
      <c r="S10" s="29"/>
      <c r="T10" s="29"/>
      <c r="U10" s="29"/>
      <c r="V10" s="29"/>
      <c r="W10" s="29"/>
      <c r="X10" s="29"/>
    </row>
    <row r="11" spans="1:25" s="1" customFormat="1" ht="15.75" x14ac:dyDescent="0.25">
      <c r="A11" s="9" t="s">
        <v>24</v>
      </c>
      <c r="B11" s="10">
        <f t="shared" si="3"/>
        <v>751</v>
      </c>
      <c r="C11" s="10">
        <v>685</v>
      </c>
      <c r="D11" s="10">
        <v>790</v>
      </c>
      <c r="E11" s="10">
        <v>701</v>
      </c>
      <c r="F11" s="10">
        <v>792</v>
      </c>
      <c r="G11" s="10">
        <v>739</v>
      </c>
      <c r="H11" s="10">
        <v>741</v>
      </c>
      <c r="I11" s="10">
        <v>748</v>
      </c>
      <c r="J11" s="10">
        <v>771</v>
      </c>
      <c r="K11" s="10">
        <f t="shared" si="1"/>
        <v>859</v>
      </c>
      <c r="L11" s="10">
        <v>813</v>
      </c>
      <c r="M11" s="10">
        <f t="shared" si="2"/>
        <v>812</v>
      </c>
      <c r="N11" s="10">
        <v>685</v>
      </c>
      <c r="O11" s="21" t="s">
        <v>25</v>
      </c>
      <c r="Q11" s="29"/>
      <c r="R11" s="29"/>
    </row>
    <row r="12" spans="1:25" s="1" customFormat="1" ht="16.5" hidden="1" customHeight="1" x14ac:dyDescent="0.25">
      <c r="A12" s="31" t="s">
        <v>26</v>
      </c>
      <c r="B12" s="32">
        <f t="shared" si="3"/>
        <v>0</v>
      </c>
      <c r="C12" s="32">
        <v>0</v>
      </c>
      <c r="D12" s="32">
        <v>0</v>
      </c>
      <c r="E12" s="32">
        <v>0</v>
      </c>
      <c r="F12" s="32">
        <v>0</v>
      </c>
      <c r="G12" s="32">
        <v>0</v>
      </c>
      <c r="H12" s="32">
        <v>0</v>
      </c>
      <c r="I12" s="32">
        <v>0</v>
      </c>
      <c r="J12" s="32">
        <v>0</v>
      </c>
      <c r="K12" s="32">
        <f>K21+K30</f>
        <v>0</v>
      </c>
      <c r="L12" s="32">
        <v>0</v>
      </c>
      <c r="M12" s="32">
        <f t="shared" si="2"/>
        <v>2</v>
      </c>
      <c r="N12" s="32">
        <v>0</v>
      </c>
      <c r="O12" s="33" t="s">
        <v>27</v>
      </c>
      <c r="Q12" s="29"/>
      <c r="R12" s="29"/>
      <c r="S12" s="29"/>
      <c r="T12" s="29"/>
      <c r="U12" s="29"/>
      <c r="V12" s="29"/>
      <c r="W12" s="29"/>
      <c r="X12" s="29"/>
    </row>
    <row r="13" spans="1:25" s="23" customFormat="1" ht="15.75" x14ac:dyDescent="0.25">
      <c r="A13" s="5" t="s">
        <v>3</v>
      </c>
      <c r="B13" s="11"/>
      <c r="C13" s="11"/>
      <c r="D13" s="11"/>
      <c r="E13" s="11"/>
      <c r="F13" s="11"/>
      <c r="G13" s="12"/>
      <c r="H13" s="12"/>
      <c r="I13" s="12"/>
      <c r="J13" s="12"/>
      <c r="K13" s="12"/>
      <c r="L13" s="12"/>
      <c r="M13" s="12"/>
      <c r="N13" s="12"/>
      <c r="O13" s="20" t="s">
        <v>0</v>
      </c>
      <c r="R13" s="29"/>
      <c r="S13" s="29"/>
      <c r="T13" s="29"/>
      <c r="U13" s="29"/>
      <c r="V13" s="29"/>
      <c r="W13" s="29"/>
      <c r="X13" s="29"/>
      <c r="Y13" s="1"/>
    </row>
    <row r="14" spans="1:25" s="23" customFormat="1" ht="15.75" x14ac:dyDescent="0.25">
      <c r="A14" s="5" t="s">
        <v>12</v>
      </c>
      <c r="B14" s="7">
        <f t="shared" ref="B14:J14" si="4">SUM(B15:B21)</f>
        <v>690</v>
      </c>
      <c r="C14" s="7">
        <f t="shared" si="4"/>
        <v>643</v>
      </c>
      <c r="D14" s="7">
        <f t="shared" si="4"/>
        <v>676</v>
      </c>
      <c r="E14" s="7">
        <f t="shared" si="4"/>
        <v>660</v>
      </c>
      <c r="F14" s="7">
        <f t="shared" si="4"/>
        <v>686</v>
      </c>
      <c r="G14" s="7">
        <f>SUM(G15:G21)</f>
        <v>656</v>
      </c>
      <c r="H14" s="7">
        <f t="shared" si="4"/>
        <v>649</v>
      </c>
      <c r="I14" s="7">
        <f t="shared" si="4"/>
        <v>663</v>
      </c>
      <c r="J14" s="7">
        <f t="shared" si="4"/>
        <v>666</v>
      </c>
      <c r="K14" s="7">
        <f>SUM(K15:K21)</f>
        <v>658</v>
      </c>
      <c r="L14" s="7">
        <f>SUM(L15:L21)</f>
        <v>750</v>
      </c>
      <c r="M14" s="7">
        <f>SUM(M15:M21)</f>
        <v>716</v>
      </c>
      <c r="N14" s="7">
        <v>633</v>
      </c>
      <c r="O14" s="20" t="s">
        <v>13</v>
      </c>
      <c r="R14" s="29"/>
    </row>
    <row r="15" spans="1:25" s="23" customFormat="1" ht="15.75" x14ac:dyDescent="0.25">
      <c r="A15" s="9" t="s">
        <v>14</v>
      </c>
      <c r="B15" s="13">
        <v>47</v>
      </c>
      <c r="C15" s="13">
        <v>38</v>
      </c>
      <c r="D15" s="13">
        <v>42</v>
      </c>
      <c r="E15" s="13">
        <v>45</v>
      </c>
      <c r="F15" s="13">
        <v>37</v>
      </c>
      <c r="G15" s="10">
        <v>40</v>
      </c>
      <c r="H15" s="10">
        <v>29</v>
      </c>
      <c r="I15" s="10">
        <v>32</v>
      </c>
      <c r="J15" s="10">
        <v>34</v>
      </c>
      <c r="K15" s="10">
        <v>21</v>
      </c>
      <c r="L15" s="10">
        <v>42</v>
      </c>
      <c r="M15" s="10">
        <v>24</v>
      </c>
      <c r="N15" s="10">
        <v>23</v>
      </c>
      <c r="O15" s="21" t="s">
        <v>15</v>
      </c>
      <c r="R15" s="29"/>
    </row>
    <row r="16" spans="1:25" s="23" customFormat="1" ht="18.75" x14ac:dyDescent="0.25">
      <c r="A16" s="9" t="s">
        <v>16</v>
      </c>
      <c r="B16" s="13">
        <v>5</v>
      </c>
      <c r="C16" s="13">
        <v>10</v>
      </c>
      <c r="D16" s="13">
        <v>5</v>
      </c>
      <c r="E16" s="13">
        <v>5</v>
      </c>
      <c r="F16" s="13">
        <v>9</v>
      </c>
      <c r="G16" s="10">
        <v>15</v>
      </c>
      <c r="H16" s="10">
        <v>11</v>
      </c>
      <c r="I16" s="10">
        <v>6</v>
      </c>
      <c r="J16" s="10">
        <v>8</v>
      </c>
      <c r="K16" s="10">
        <v>5</v>
      </c>
      <c r="L16" s="10">
        <v>5</v>
      </c>
      <c r="M16" s="10">
        <v>4</v>
      </c>
      <c r="N16" s="10">
        <v>6</v>
      </c>
      <c r="O16" s="30" t="s">
        <v>17</v>
      </c>
      <c r="R16" s="29"/>
    </row>
    <row r="17" spans="1:39" s="23" customFormat="1" ht="18.75" x14ac:dyDescent="0.25">
      <c r="A17" s="9" t="s">
        <v>18</v>
      </c>
      <c r="B17" s="13">
        <v>12</v>
      </c>
      <c r="C17" s="13">
        <v>13</v>
      </c>
      <c r="D17" s="13">
        <v>14</v>
      </c>
      <c r="E17" s="13">
        <v>14</v>
      </c>
      <c r="F17" s="13">
        <v>10</v>
      </c>
      <c r="G17" s="10">
        <v>6</v>
      </c>
      <c r="H17" s="10">
        <v>7</v>
      </c>
      <c r="I17" s="10">
        <v>6</v>
      </c>
      <c r="J17" s="10">
        <v>10</v>
      </c>
      <c r="K17" s="10">
        <v>11</v>
      </c>
      <c r="L17" s="10">
        <v>4</v>
      </c>
      <c r="M17" s="10">
        <v>3</v>
      </c>
      <c r="N17" s="10">
        <v>2</v>
      </c>
      <c r="O17" s="30" t="s">
        <v>19</v>
      </c>
    </row>
    <row r="18" spans="1:39" s="23" customFormat="1" ht="18.75" x14ac:dyDescent="0.25">
      <c r="A18" s="9" t="s">
        <v>20</v>
      </c>
      <c r="B18" s="13">
        <v>65</v>
      </c>
      <c r="C18" s="13">
        <v>63</v>
      </c>
      <c r="D18" s="13">
        <v>61</v>
      </c>
      <c r="E18" s="13">
        <v>64</v>
      </c>
      <c r="F18" s="13">
        <v>56</v>
      </c>
      <c r="G18" s="10">
        <v>45</v>
      </c>
      <c r="H18" s="10">
        <v>66</v>
      </c>
      <c r="I18" s="10">
        <v>71</v>
      </c>
      <c r="J18" s="10">
        <v>52</v>
      </c>
      <c r="K18" s="10">
        <v>52</v>
      </c>
      <c r="L18" s="10">
        <v>81</v>
      </c>
      <c r="M18" s="10">
        <v>76</v>
      </c>
      <c r="N18" s="10">
        <v>57</v>
      </c>
      <c r="O18" s="30" t="s">
        <v>21</v>
      </c>
    </row>
    <row r="19" spans="1:39" s="23" customFormat="1" ht="18.75" x14ac:dyDescent="0.25">
      <c r="A19" s="9" t="s">
        <v>22</v>
      </c>
      <c r="B19" s="13">
        <v>98</v>
      </c>
      <c r="C19" s="13">
        <v>114</v>
      </c>
      <c r="D19" s="13">
        <v>94</v>
      </c>
      <c r="E19" s="13">
        <v>125</v>
      </c>
      <c r="F19" s="13">
        <v>99</v>
      </c>
      <c r="G19" s="10">
        <v>127</v>
      </c>
      <c r="H19" s="10">
        <v>121</v>
      </c>
      <c r="I19" s="10">
        <v>131</v>
      </c>
      <c r="J19" s="10">
        <v>129</v>
      </c>
      <c r="K19" s="10">
        <v>113</v>
      </c>
      <c r="L19" s="10">
        <v>143</v>
      </c>
      <c r="M19" s="10">
        <v>136</v>
      </c>
      <c r="N19" s="10">
        <v>134</v>
      </c>
      <c r="O19" s="30" t="s">
        <v>23</v>
      </c>
    </row>
    <row r="20" spans="1:39" ht="15.75" x14ac:dyDescent="0.25">
      <c r="A20" s="9" t="s">
        <v>24</v>
      </c>
      <c r="B20" s="14">
        <v>463</v>
      </c>
      <c r="C20" s="14">
        <v>405</v>
      </c>
      <c r="D20" s="14">
        <v>460</v>
      </c>
      <c r="E20" s="14">
        <v>407</v>
      </c>
      <c r="F20" s="14">
        <v>475</v>
      </c>
      <c r="G20" s="15">
        <v>423</v>
      </c>
      <c r="H20" s="15">
        <v>415</v>
      </c>
      <c r="I20" s="15">
        <v>417</v>
      </c>
      <c r="J20" s="15">
        <v>433</v>
      </c>
      <c r="K20" s="15">
        <v>456</v>
      </c>
      <c r="L20" s="15">
        <v>475</v>
      </c>
      <c r="M20" s="15">
        <v>471</v>
      </c>
      <c r="N20" s="15">
        <v>411</v>
      </c>
      <c r="O20" s="21" t="s">
        <v>25</v>
      </c>
    </row>
    <row r="21" spans="1:39" ht="18" hidden="1" customHeight="1" x14ac:dyDescent="0.25">
      <c r="A21" s="31" t="s">
        <v>26</v>
      </c>
      <c r="B21" s="35">
        <v>0</v>
      </c>
      <c r="C21" s="35">
        <v>0</v>
      </c>
      <c r="D21" s="35">
        <v>0</v>
      </c>
      <c r="E21" s="35">
        <v>0</v>
      </c>
      <c r="F21" s="35">
        <v>0</v>
      </c>
      <c r="G21" s="36">
        <v>0</v>
      </c>
      <c r="H21" s="36">
        <v>0</v>
      </c>
      <c r="I21" s="36">
        <v>0</v>
      </c>
      <c r="J21" s="36">
        <v>0</v>
      </c>
      <c r="K21" s="36">
        <v>0</v>
      </c>
      <c r="L21" s="36">
        <v>0</v>
      </c>
      <c r="M21" s="36">
        <v>2</v>
      </c>
      <c r="N21" s="36">
        <v>0</v>
      </c>
      <c r="O21" s="33" t="s">
        <v>27</v>
      </c>
    </row>
    <row r="22" spans="1:39" ht="15.75" x14ac:dyDescent="0.25">
      <c r="A22" s="5" t="s">
        <v>4</v>
      </c>
      <c r="B22" s="16"/>
      <c r="C22" s="16"/>
      <c r="D22" s="16"/>
      <c r="E22" s="16"/>
      <c r="F22" s="16"/>
      <c r="G22" s="17"/>
      <c r="H22" s="17"/>
      <c r="I22" s="17"/>
      <c r="J22" s="17"/>
      <c r="K22" s="17"/>
      <c r="L22" s="17"/>
      <c r="M22" s="17"/>
      <c r="N22" s="17"/>
      <c r="O22" s="20" t="s">
        <v>1</v>
      </c>
      <c r="R22" s="37"/>
      <c r="S22" s="37"/>
      <c r="T22" s="37"/>
      <c r="U22" s="37"/>
      <c r="V22" s="37"/>
      <c r="W22" s="37"/>
      <c r="X22" s="37"/>
      <c r="Y22" s="37"/>
      <c r="Z22" s="37"/>
      <c r="AA22" s="37"/>
      <c r="AB22" s="37"/>
      <c r="AC22" s="37"/>
      <c r="AD22" s="37"/>
      <c r="AE22" s="37"/>
      <c r="AF22" s="37"/>
      <c r="AG22" s="37"/>
      <c r="AH22" s="37"/>
      <c r="AI22" s="37"/>
      <c r="AJ22" s="37"/>
      <c r="AK22" s="37"/>
      <c r="AL22" s="37"/>
      <c r="AM22" s="37"/>
    </row>
    <row r="23" spans="1:39" ht="15.75" x14ac:dyDescent="0.2">
      <c r="A23" s="5" t="s">
        <v>12</v>
      </c>
      <c r="B23" s="7">
        <f>SUM(B24:B30)</f>
        <v>436</v>
      </c>
      <c r="C23" s="7">
        <f t="shared" ref="C23:J23" si="5">SUM(C24:C30)</f>
        <v>447</v>
      </c>
      <c r="D23" s="7">
        <f t="shared" si="5"/>
        <v>488</v>
      </c>
      <c r="E23" s="7">
        <f t="shared" si="5"/>
        <v>445</v>
      </c>
      <c r="F23" s="7">
        <f t="shared" si="5"/>
        <v>451</v>
      </c>
      <c r="G23" s="7">
        <f t="shared" si="5"/>
        <v>479</v>
      </c>
      <c r="H23" s="7">
        <f t="shared" si="5"/>
        <v>471</v>
      </c>
      <c r="I23" s="7">
        <f t="shared" si="5"/>
        <v>480</v>
      </c>
      <c r="J23" s="7">
        <f t="shared" si="5"/>
        <v>464</v>
      </c>
      <c r="K23" s="7">
        <f>SUM(K24:K30)</f>
        <v>568</v>
      </c>
      <c r="L23" s="7">
        <f>SUM(L24:L30)</f>
        <v>491</v>
      </c>
      <c r="M23" s="7">
        <f>SUM(M24:M30)</f>
        <v>498</v>
      </c>
      <c r="N23" s="7">
        <v>408</v>
      </c>
      <c r="O23" s="20" t="s">
        <v>13</v>
      </c>
      <c r="R23" s="37"/>
      <c r="S23" s="37"/>
      <c r="T23" s="37"/>
      <c r="U23" s="37"/>
      <c r="V23" s="37"/>
      <c r="W23" s="37"/>
      <c r="X23" s="37"/>
      <c r="Y23" s="37"/>
      <c r="Z23" s="37"/>
      <c r="AA23" s="37"/>
      <c r="AB23" s="37"/>
      <c r="AC23" s="37"/>
      <c r="AD23" s="37"/>
      <c r="AE23" s="37"/>
      <c r="AF23" s="37"/>
      <c r="AG23" s="37"/>
      <c r="AH23" s="37"/>
      <c r="AI23" s="37"/>
      <c r="AJ23" s="37"/>
      <c r="AK23" s="37"/>
      <c r="AL23" s="37"/>
      <c r="AM23" s="37"/>
    </row>
    <row r="24" spans="1:39" ht="15.75" x14ac:dyDescent="0.25">
      <c r="A24" s="9" t="s">
        <v>14</v>
      </c>
      <c r="B24" s="14">
        <v>19</v>
      </c>
      <c r="C24" s="14">
        <v>38</v>
      </c>
      <c r="D24" s="14">
        <v>39</v>
      </c>
      <c r="E24" s="14">
        <v>33</v>
      </c>
      <c r="F24" s="14">
        <v>28</v>
      </c>
      <c r="G24" s="15">
        <v>26</v>
      </c>
      <c r="H24" s="15">
        <v>17</v>
      </c>
      <c r="I24" s="15">
        <v>27</v>
      </c>
      <c r="J24" s="15">
        <v>29</v>
      </c>
      <c r="K24" s="15">
        <v>32</v>
      </c>
      <c r="L24" s="15">
        <v>22</v>
      </c>
      <c r="M24" s="15">
        <v>21</v>
      </c>
      <c r="N24" s="15">
        <v>20</v>
      </c>
      <c r="O24" s="21" t="s">
        <v>15</v>
      </c>
      <c r="R24" s="37"/>
      <c r="S24" s="37"/>
      <c r="T24" s="37"/>
      <c r="U24" s="37"/>
      <c r="V24" s="37"/>
      <c r="W24" s="37"/>
      <c r="X24" s="37"/>
      <c r="Y24" s="37"/>
      <c r="Z24" s="37"/>
      <c r="AA24" s="37"/>
      <c r="AB24" s="37"/>
      <c r="AC24" s="37"/>
      <c r="AD24" s="37"/>
      <c r="AE24" s="37"/>
      <c r="AF24" s="37"/>
      <c r="AG24" s="37"/>
      <c r="AH24" s="37"/>
      <c r="AI24" s="37"/>
      <c r="AJ24" s="37"/>
      <c r="AK24" s="37"/>
      <c r="AL24" s="37"/>
      <c r="AM24" s="37"/>
    </row>
    <row r="25" spans="1:39" ht="18.75" x14ac:dyDescent="0.25">
      <c r="A25" s="9" t="s">
        <v>16</v>
      </c>
      <c r="B25" s="14">
        <v>5</v>
      </c>
      <c r="C25" s="14">
        <v>10</v>
      </c>
      <c r="D25" s="14">
        <v>5</v>
      </c>
      <c r="E25" s="14">
        <v>6</v>
      </c>
      <c r="F25" s="14">
        <v>7</v>
      </c>
      <c r="G25" s="15">
        <v>3</v>
      </c>
      <c r="H25" s="15">
        <v>10</v>
      </c>
      <c r="I25" s="15">
        <v>9</v>
      </c>
      <c r="J25" s="15">
        <v>5</v>
      </c>
      <c r="K25" s="15">
        <v>5</v>
      </c>
      <c r="L25" s="15">
        <v>3</v>
      </c>
      <c r="M25" s="15">
        <v>5</v>
      </c>
      <c r="N25" s="15">
        <v>1</v>
      </c>
      <c r="O25" s="30" t="s">
        <v>17</v>
      </c>
      <c r="R25" s="37"/>
      <c r="S25" s="37"/>
      <c r="T25" s="37"/>
      <c r="U25" s="37"/>
      <c r="V25" s="37"/>
      <c r="W25" s="37"/>
      <c r="X25" s="37"/>
      <c r="Y25" s="37"/>
      <c r="Z25" s="37"/>
      <c r="AA25" s="37"/>
      <c r="AB25" s="37"/>
      <c r="AC25" s="37"/>
      <c r="AD25" s="37"/>
      <c r="AE25" s="37"/>
      <c r="AF25" s="37"/>
      <c r="AG25" s="37"/>
      <c r="AH25" s="37"/>
      <c r="AI25" s="37"/>
      <c r="AJ25" s="37"/>
      <c r="AK25" s="37"/>
      <c r="AL25" s="37"/>
      <c r="AM25" s="37"/>
    </row>
    <row r="26" spans="1:39" ht="18.75" x14ac:dyDescent="0.25">
      <c r="A26" s="9" t="s">
        <v>18</v>
      </c>
      <c r="B26" s="14">
        <v>10</v>
      </c>
      <c r="C26" s="14">
        <v>10</v>
      </c>
      <c r="D26" s="14">
        <v>10</v>
      </c>
      <c r="E26" s="14">
        <v>6</v>
      </c>
      <c r="F26" s="14">
        <v>9</v>
      </c>
      <c r="G26" s="15">
        <v>8</v>
      </c>
      <c r="H26" s="15">
        <v>6</v>
      </c>
      <c r="I26" s="15">
        <v>2</v>
      </c>
      <c r="J26" s="15">
        <v>9</v>
      </c>
      <c r="K26" s="15">
        <v>4</v>
      </c>
      <c r="L26" s="15">
        <v>9</v>
      </c>
      <c r="M26" s="15">
        <v>4</v>
      </c>
      <c r="N26" s="15">
        <v>3</v>
      </c>
      <c r="O26" s="30" t="s">
        <v>19</v>
      </c>
      <c r="R26" s="37"/>
      <c r="S26" s="37"/>
      <c r="T26" s="37"/>
      <c r="U26" s="37"/>
      <c r="V26" s="37"/>
      <c r="W26" s="37"/>
      <c r="X26" s="37"/>
      <c r="Y26" s="37"/>
      <c r="Z26" s="37"/>
      <c r="AA26" s="37"/>
      <c r="AB26" s="37"/>
      <c r="AC26" s="37"/>
      <c r="AD26" s="37"/>
      <c r="AE26" s="37"/>
      <c r="AF26" s="37"/>
      <c r="AG26" s="37"/>
      <c r="AH26" s="37"/>
      <c r="AI26" s="37"/>
      <c r="AJ26" s="37"/>
      <c r="AK26" s="37"/>
      <c r="AL26" s="37"/>
      <c r="AM26" s="37"/>
    </row>
    <row r="27" spans="1:39" ht="18.75" x14ac:dyDescent="0.25">
      <c r="A27" s="18" t="s">
        <v>20</v>
      </c>
      <c r="B27" s="14">
        <v>33</v>
      </c>
      <c r="C27" s="14">
        <v>41</v>
      </c>
      <c r="D27" s="14">
        <v>35</v>
      </c>
      <c r="E27" s="14">
        <v>36</v>
      </c>
      <c r="F27" s="14">
        <v>32</v>
      </c>
      <c r="G27" s="15">
        <v>40</v>
      </c>
      <c r="H27" s="15">
        <v>43</v>
      </c>
      <c r="I27" s="15">
        <v>31</v>
      </c>
      <c r="J27" s="15">
        <v>31</v>
      </c>
      <c r="K27" s="15">
        <v>40</v>
      </c>
      <c r="L27" s="15">
        <v>40</v>
      </c>
      <c r="M27" s="15">
        <v>37</v>
      </c>
      <c r="N27" s="15">
        <v>44</v>
      </c>
      <c r="O27" s="38" t="s">
        <v>21</v>
      </c>
      <c r="R27" s="37"/>
      <c r="S27" s="37"/>
      <c r="T27" s="37"/>
      <c r="U27" s="37"/>
      <c r="V27" s="37"/>
      <c r="W27" s="37"/>
      <c r="X27" s="37"/>
      <c r="Y27" s="37"/>
      <c r="Z27" s="37"/>
      <c r="AA27" s="37"/>
      <c r="AB27" s="37"/>
      <c r="AC27" s="37"/>
      <c r="AD27" s="37"/>
      <c r="AE27" s="37"/>
      <c r="AF27" s="37"/>
      <c r="AG27" s="37"/>
      <c r="AH27" s="37"/>
      <c r="AI27" s="37"/>
      <c r="AJ27" s="37"/>
      <c r="AK27" s="37"/>
      <c r="AL27" s="37"/>
      <c r="AM27" s="37"/>
    </row>
    <row r="28" spans="1:39" ht="18.75" x14ac:dyDescent="0.25">
      <c r="A28" s="18" t="s">
        <v>22</v>
      </c>
      <c r="B28" s="14">
        <v>81</v>
      </c>
      <c r="C28" s="14">
        <v>68</v>
      </c>
      <c r="D28" s="14">
        <v>69</v>
      </c>
      <c r="E28" s="14">
        <v>70</v>
      </c>
      <c r="F28" s="14">
        <v>58</v>
      </c>
      <c r="G28" s="15">
        <v>86</v>
      </c>
      <c r="H28" s="15">
        <v>69</v>
      </c>
      <c r="I28" s="15">
        <v>80</v>
      </c>
      <c r="J28" s="15">
        <v>52</v>
      </c>
      <c r="K28" s="15">
        <v>84</v>
      </c>
      <c r="L28" s="15">
        <v>79</v>
      </c>
      <c r="M28" s="15">
        <v>90</v>
      </c>
      <c r="N28" s="15">
        <v>66</v>
      </c>
      <c r="O28" s="38" t="s">
        <v>23</v>
      </c>
      <c r="R28" s="37"/>
      <c r="S28" s="37"/>
      <c r="T28" s="37"/>
      <c r="U28" s="37"/>
      <c r="V28" s="37"/>
      <c r="W28" s="37"/>
      <c r="X28" s="37"/>
      <c r="Y28" s="37"/>
      <c r="Z28" s="37"/>
      <c r="AA28" s="37"/>
      <c r="AB28" s="37"/>
      <c r="AC28" s="37"/>
      <c r="AD28" s="37"/>
      <c r="AE28" s="37"/>
      <c r="AF28" s="37"/>
      <c r="AG28" s="37"/>
      <c r="AH28" s="37"/>
      <c r="AI28" s="37"/>
      <c r="AJ28" s="37"/>
      <c r="AK28" s="37"/>
      <c r="AL28" s="37"/>
      <c r="AM28" s="37"/>
    </row>
    <row r="29" spans="1:39" ht="15.75" x14ac:dyDescent="0.25">
      <c r="A29" s="18" t="s">
        <v>24</v>
      </c>
      <c r="B29" s="14">
        <v>288</v>
      </c>
      <c r="C29" s="14">
        <v>280</v>
      </c>
      <c r="D29" s="14">
        <v>330</v>
      </c>
      <c r="E29" s="14">
        <v>294</v>
      </c>
      <c r="F29" s="14">
        <v>317</v>
      </c>
      <c r="G29" s="15">
        <v>316</v>
      </c>
      <c r="H29" s="15">
        <v>326</v>
      </c>
      <c r="I29" s="15">
        <v>331</v>
      </c>
      <c r="J29" s="15">
        <v>338</v>
      </c>
      <c r="K29" s="15">
        <v>403</v>
      </c>
      <c r="L29" s="15">
        <v>338</v>
      </c>
      <c r="M29" s="15">
        <v>341</v>
      </c>
      <c r="N29" s="15">
        <v>274</v>
      </c>
      <c r="O29" s="22" t="s">
        <v>25</v>
      </c>
      <c r="R29" s="37"/>
      <c r="S29" s="37"/>
      <c r="T29" s="37"/>
      <c r="U29" s="37"/>
      <c r="V29" s="37"/>
      <c r="W29" s="37"/>
      <c r="X29" s="37"/>
      <c r="Y29" s="37"/>
      <c r="Z29" s="37"/>
      <c r="AA29" s="37"/>
      <c r="AB29" s="37"/>
      <c r="AC29" s="37"/>
      <c r="AD29" s="37"/>
      <c r="AE29" s="37"/>
      <c r="AF29" s="37"/>
      <c r="AG29" s="37"/>
      <c r="AH29" s="37"/>
      <c r="AI29" s="37"/>
      <c r="AJ29" s="37"/>
      <c r="AK29" s="37"/>
      <c r="AL29" s="37"/>
      <c r="AM29" s="37"/>
    </row>
    <row r="30" spans="1:39" ht="21" customHeight="1" x14ac:dyDescent="0.25">
      <c r="A30" s="31" t="s">
        <v>26</v>
      </c>
      <c r="B30" s="35">
        <v>0</v>
      </c>
      <c r="C30" s="35">
        <v>0</v>
      </c>
      <c r="D30" s="35">
        <v>0</v>
      </c>
      <c r="E30" s="35">
        <v>0</v>
      </c>
      <c r="F30" s="35">
        <v>0</v>
      </c>
      <c r="G30" s="36">
        <v>0</v>
      </c>
      <c r="H30" s="36">
        <v>0</v>
      </c>
      <c r="I30" s="36">
        <v>0</v>
      </c>
      <c r="J30" s="36"/>
      <c r="K30" s="35">
        <v>0</v>
      </c>
      <c r="L30" s="36">
        <v>0</v>
      </c>
      <c r="M30" s="36">
        <v>0</v>
      </c>
      <c r="N30" s="36">
        <v>0</v>
      </c>
      <c r="O30" s="39" t="s">
        <v>27</v>
      </c>
      <c r="R30" s="37"/>
      <c r="S30" s="37"/>
      <c r="T30" s="37"/>
      <c r="U30" s="37"/>
      <c r="V30" s="37"/>
      <c r="W30" s="37"/>
      <c r="X30" s="37"/>
      <c r="Y30" s="37"/>
      <c r="Z30" s="37"/>
      <c r="AA30" s="37"/>
      <c r="AB30" s="37"/>
      <c r="AC30" s="37"/>
      <c r="AD30" s="37"/>
      <c r="AE30" s="37"/>
      <c r="AF30" s="37"/>
      <c r="AG30" s="37"/>
      <c r="AH30" s="37"/>
      <c r="AI30" s="37"/>
      <c r="AJ30" s="37"/>
      <c r="AK30" s="37"/>
      <c r="AL30" s="37"/>
      <c r="AM30" s="37"/>
    </row>
    <row r="31" spans="1:39" ht="42.75" customHeight="1" x14ac:dyDescent="0.2">
      <c r="A31" s="18" t="s">
        <v>34</v>
      </c>
      <c r="B31" s="40" t="s">
        <v>35</v>
      </c>
      <c r="C31" s="40" t="s">
        <v>35</v>
      </c>
      <c r="D31" s="40" t="s">
        <v>35</v>
      </c>
      <c r="E31" s="40" t="s">
        <v>35</v>
      </c>
      <c r="F31" s="40" t="s">
        <v>35</v>
      </c>
      <c r="G31" s="40" t="s">
        <v>35</v>
      </c>
      <c r="H31" s="40" t="s">
        <v>35</v>
      </c>
      <c r="I31" s="40" t="s">
        <v>35</v>
      </c>
      <c r="J31" s="40" t="s">
        <v>35</v>
      </c>
      <c r="K31" s="40" t="s">
        <v>35</v>
      </c>
      <c r="L31" s="40" t="s">
        <v>35</v>
      </c>
      <c r="M31" s="41">
        <v>1</v>
      </c>
      <c r="N31" s="40" t="s">
        <v>35</v>
      </c>
      <c r="O31" s="42" t="s">
        <v>36</v>
      </c>
      <c r="R31" s="37"/>
      <c r="S31" s="37"/>
      <c r="T31" s="37"/>
      <c r="U31" s="37"/>
      <c r="V31" s="37"/>
      <c r="W31" s="37"/>
      <c r="X31" s="37"/>
      <c r="Y31" s="37"/>
      <c r="Z31" s="37"/>
      <c r="AA31" s="37"/>
      <c r="AB31" s="37"/>
      <c r="AC31" s="37"/>
      <c r="AD31" s="37"/>
      <c r="AE31" s="37"/>
      <c r="AF31" s="37"/>
      <c r="AG31" s="37"/>
      <c r="AH31" s="37"/>
      <c r="AI31" s="37"/>
      <c r="AJ31" s="37"/>
      <c r="AK31" s="37"/>
      <c r="AL31" s="37"/>
      <c r="AM31" s="37"/>
    </row>
    <row r="32" spans="1:39" ht="12.75" customHeight="1" x14ac:dyDescent="0.2">
      <c r="A32" s="43" t="s">
        <v>37</v>
      </c>
      <c r="B32" s="44" t="s">
        <v>35</v>
      </c>
      <c r="C32" s="44" t="s">
        <v>35</v>
      </c>
      <c r="D32" s="44" t="s">
        <v>35</v>
      </c>
      <c r="E32" s="44" t="s">
        <v>35</v>
      </c>
      <c r="F32" s="44" t="s">
        <v>35</v>
      </c>
      <c r="G32" s="44" t="s">
        <v>35</v>
      </c>
      <c r="H32" s="44" t="s">
        <v>35</v>
      </c>
      <c r="I32" s="44" t="s">
        <v>35</v>
      </c>
      <c r="J32" s="44" t="s">
        <v>35</v>
      </c>
      <c r="K32" s="44" t="s">
        <v>35</v>
      </c>
      <c r="L32" s="44" t="s">
        <v>35</v>
      </c>
      <c r="M32" s="45">
        <v>1</v>
      </c>
      <c r="N32" s="44" t="s">
        <v>35</v>
      </c>
      <c r="O32" s="46" t="s">
        <v>38</v>
      </c>
      <c r="R32" s="37"/>
      <c r="S32" s="37"/>
      <c r="T32" s="37"/>
      <c r="U32" s="37"/>
      <c r="V32" s="37"/>
      <c r="W32" s="37"/>
      <c r="X32" s="37"/>
      <c r="Y32" s="37"/>
      <c r="Z32" s="37"/>
      <c r="AA32" s="37"/>
      <c r="AB32" s="37"/>
      <c r="AC32" s="37"/>
      <c r="AD32" s="37"/>
      <c r="AE32" s="37"/>
      <c r="AF32" s="37"/>
      <c r="AG32" s="37"/>
      <c r="AH32" s="37"/>
      <c r="AI32" s="37"/>
      <c r="AJ32" s="37"/>
      <c r="AK32" s="37"/>
      <c r="AL32" s="37"/>
      <c r="AM32" s="37"/>
    </row>
    <row r="33" spans="1:39" x14ac:dyDescent="0.2">
      <c r="A33" s="25" t="s">
        <v>30</v>
      </c>
      <c r="B33" s="25"/>
      <c r="C33" s="25"/>
      <c r="D33" s="25"/>
      <c r="E33" s="25"/>
      <c r="F33" s="25"/>
      <c r="G33" s="25"/>
      <c r="H33" s="25"/>
      <c r="I33" s="25"/>
      <c r="J33" s="25"/>
      <c r="K33" s="25"/>
      <c r="L33" s="25"/>
      <c r="M33" s="25"/>
      <c r="N33" s="25"/>
      <c r="O33" s="25"/>
      <c r="R33" s="37"/>
      <c r="S33" s="37"/>
      <c r="T33" s="37"/>
      <c r="U33" s="37"/>
      <c r="V33" s="37"/>
      <c r="W33" s="37"/>
      <c r="X33" s="37"/>
      <c r="Y33" s="37"/>
      <c r="Z33" s="37"/>
      <c r="AA33" s="37"/>
      <c r="AB33" s="37"/>
      <c r="AC33" s="37"/>
      <c r="AD33" s="37"/>
      <c r="AE33" s="37"/>
      <c r="AF33" s="37"/>
      <c r="AG33" s="37"/>
      <c r="AH33" s="37"/>
      <c r="AI33" s="37"/>
      <c r="AJ33" s="37"/>
      <c r="AK33" s="37"/>
      <c r="AL33" s="37"/>
      <c r="AM33" s="37"/>
    </row>
    <row r="34" spans="1:39" x14ac:dyDescent="0.2">
      <c r="A34" s="26" t="s">
        <v>28</v>
      </c>
      <c r="B34" s="26"/>
      <c r="C34" s="26"/>
      <c r="D34" s="26"/>
      <c r="E34" s="26"/>
      <c r="F34" s="26"/>
      <c r="G34" s="26"/>
      <c r="H34" s="26"/>
      <c r="I34" s="26"/>
      <c r="J34" s="26"/>
      <c r="K34" s="26"/>
      <c r="L34" s="26"/>
      <c r="M34" s="26"/>
      <c r="N34" s="26"/>
      <c r="O34" s="26"/>
      <c r="P34" s="47"/>
      <c r="R34" s="37"/>
      <c r="S34" s="37"/>
      <c r="T34" s="37"/>
      <c r="U34" s="37"/>
      <c r="V34" s="37"/>
      <c r="W34" s="37"/>
      <c r="X34" s="37"/>
      <c r="Y34" s="37"/>
      <c r="Z34" s="37"/>
      <c r="AA34" s="37"/>
      <c r="AB34" s="37"/>
      <c r="AC34" s="37"/>
      <c r="AD34" s="37"/>
      <c r="AE34" s="37"/>
      <c r="AF34" s="37"/>
      <c r="AG34" s="37"/>
      <c r="AH34" s="37"/>
      <c r="AI34" s="37"/>
      <c r="AJ34" s="37"/>
      <c r="AK34" s="37"/>
      <c r="AL34" s="37"/>
      <c r="AM34" s="37"/>
    </row>
    <row r="35" spans="1:39" s="37" customFormat="1" ht="12.75" customHeight="1" x14ac:dyDescent="0.2">
      <c r="A35" s="48" t="s">
        <v>39</v>
      </c>
      <c r="B35" s="48"/>
      <c r="C35" s="48"/>
      <c r="D35" s="48"/>
      <c r="E35" s="48"/>
      <c r="F35" s="48"/>
      <c r="G35" s="48"/>
      <c r="H35" s="48"/>
      <c r="I35" s="48"/>
      <c r="J35" s="48"/>
      <c r="K35" s="48"/>
      <c r="L35" s="48"/>
      <c r="M35" s="48"/>
      <c r="N35" s="48"/>
      <c r="O35" s="48"/>
      <c r="P35" s="24"/>
    </row>
    <row r="36" spans="1:39" s="37" customFormat="1" x14ac:dyDescent="0.2">
      <c r="A36" s="48" t="s">
        <v>40</v>
      </c>
      <c r="B36" s="48"/>
      <c r="C36" s="48"/>
      <c r="D36" s="48"/>
      <c r="E36" s="48"/>
      <c r="F36" s="48"/>
      <c r="G36" s="48"/>
      <c r="H36" s="48"/>
      <c r="I36" s="48"/>
      <c r="J36" s="48"/>
      <c r="K36" s="48"/>
      <c r="L36" s="48"/>
      <c r="M36" s="48"/>
      <c r="N36" s="48"/>
      <c r="O36" s="48"/>
      <c r="P36" s="24"/>
    </row>
    <row r="37" spans="1:39" s="23" customFormat="1" x14ac:dyDescent="0.25">
      <c r="A37" s="49" t="s">
        <v>5</v>
      </c>
      <c r="B37" s="50"/>
      <c r="C37" s="50"/>
      <c r="D37" s="50"/>
      <c r="E37" s="50"/>
      <c r="F37" s="50"/>
      <c r="G37" s="50"/>
      <c r="H37" s="50"/>
      <c r="I37" s="50"/>
      <c r="J37" s="50"/>
      <c r="K37" s="50"/>
      <c r="L37" s="50"/>
      <c r="M37" s="50"/>
      <c r="N37" s="50"/>
      <c r="O37" s="51"/>
      <c r="R37" s="52"/>
      <c r="S37" s="52"/>
      <c r="T37" s="52"/>
      <c r="U37" s="52"/>
      <c r="V37" s="52"/>
      <c r="W37" s="52"/>
      <c r="X37" s="52"/>
      <c r="Y37" s="52"/>
      <c r="Z37" s="52"/>
      <c r="AA37" s="52"/>
      <c r="AB37" s="52"/>
      <c r="AC37" s="52"/>
      <c r="AD37" s="52"/>
      <c r="AE37" s="52"/>
      <c r="AF37" s="52"/>
      <c r="AG37" s="52"/>
      <c r="AH37" s="52"/>
      <c r="AI37" s="52"/>
      <c r="AJ37" s="52"/>
      <c r="AK37" s="52"/>
      <c r="AL37" s="52"/>
      <c r="AM37" s="52"/>
    </row>
    <row r="38" spans="1:39" x14ac:dyDescent="0.2">
      <c r="R38" s="37"/>
      <c r="S38" s="37"/>
      <c r="T38" s="37"/>
      <c r="U38" s="37"/>
      <c r="V38" s="37"/>
      <c r="W38" s="37"/>
      <c r="X38" s="37"/>
      <c r="Y38" s="37"/>
      <c r="Z38" s="37"/>
      <c r="AA38" s="37"/>
      <c r="AB38" s="37"/>
      <c r="AC38" s="37"/>
      <c r="AD38" s="37"/>
      <c r="AE38" s="37"/>
      <c r="AF38" s="37"/>
      <c r="AG38" s="37"/>
      <c r="AH38" s="37"/>
      <c r="AI38" s="37"/>
      <c r="AJ38" s="37"/>
      <c r="AK38" s="37"/>
      <c r="AL38" s="37"/>
      <c r="AM38" s="37"/>
    </row>
    <row r="39" spans="1:39" x14ac:dyDescent="0.2">
      <c r="R39" s="37"/>
      <c r="S39" s="37"/>
      <c r="T39" s="37"/>
      <c r="U39" s="37"/>
      <c r="V39" s="37"/>
      <c r="W39" s="37"/>
      <c r="X39" s="37"/>
      <c r="Y39" s="37"/>
      <c r="Z39" s="37"/>
      <c r="AA39" s="37"/>
      <c r="AB39" s="37"/>
      <c r="AC39" s="37"/>
      <c r="AD39" s="37"/>
      <c r="AE39" s="37"/>
      <c r="AF39" s="37"/>
      <c r="AG39" s="37"/>
      <c r="AH39" s="37"/>
      <c r="AI39" s="37"/>
      <c r="AJ39" s="37"/>
      <c r="AK39" s="37"/>
      <c r="AL39" s="37"/>
      <c r="AM39" s="37"/>
    </row>
    <row r="40" spans="1:39" x14ac:dyDescent="0.2">
      <c r="R40" s="37"/>
      <c r="S40" s="37"/>
      <c r="T40" s="37"/>
      <c r="U40" s="37"/>
      <c r="V40" s="37"/>
      <c r="W40" s="37"/>
      <c r="X40" s="37"/>
      <c r="Y40" s="37"/>
      <c r="Z40" s="37"/>
      <c r="AA40" s="37"/>
      <c r="AB40" s="37"/>
      <c r="AC40" s="37"/>
      <c r="AD40" s="37"/>
      <c r="AE40" s="37"/>
      <c r="AF40" s="37"/>
      <c r="AG40" s="37"/>
      <c r="AH40" s="37"/>
      <c r="AI40" s="37"/>
      <c r="AJ40" s="37"/>
      <c r="AK40" s="37"/>
      <c r="AL40" s="37"/>
      <c r="AM40" s="37"/>
    </row>
    <row r="41" spans="1:39" x14ac:dyDescent="0.2">
      <c r="R41" s="37"/>
      <c r="S41" s="37"/>
      <c r="T41" s="37"/>
      <c r="U41" s="37"/>
      <c r="V41" s="37"/>
      <c r="W41" s="37"/>
      <c r="X41" s="37"/>
      <c r="Y41" s="37"/>
      <c r="Z41" s="37"/>
      <c r="AA41" s="37"/>
      <c r="AB41" s="37"/>
      <c r="AC41" s="37"/>
      <c r="AD41" s="37"/>
      <c r="AE41" s="37"/>
      <c r="AF41" s="37"/>
      <c r="AG41" s="37"/>
      <c r="AH41" s="37"/>
      <c r="AI41" s="37"/>
      <c r="AJ41" s="37"/>
      <c r="AK41" s="37"/>
      <c r="AL41" s="37"/>
      <c r="AM41" s="37"/>
    </row>
  </sheetData>
  <mergeCells count="6">
    <mergeCell ref="A33:O33"/>
    <mergeCell ref="A34:O34"/>
    <mergeCell ref="A35:O35"/>
    <mergeCell ref="A36:O36"/>
    <mergeCell ref="A1:O1"/>
    <mergeCell ref="A2:O2"/>
  </mergeCells>
  <pageMargins left="0.7" right="0.7" top="0.75" bottom="0.75" header="0.3" footer="0.3"/>
  <pageSetup scale="57"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3.10</vt:lpstr>
      <vt:lpstr>'3.10'!Print_Area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2021-03-31T05:44:08Z</cp:lastPrinted>
  <dcterms:created xsi:type="dcterms:W3CDTF">2019-07-22T06:02:33Z</dcterms:created>
  <dcterms:modified xsi:type="dcterms:W3CDTF">2021-03-31T05:44:15Z</dcterms:modified>
</cp:coreProperties>
</file>