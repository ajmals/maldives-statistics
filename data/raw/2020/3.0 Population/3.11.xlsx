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SYB 2020_Final\web\3. POPULATION\"/>
    </mc:Choice>
  </mc:AlternateContent>
  <bookViews>
    <workbookView xWindow="0" yWindow="0" windowWidth="28800" windowHeight="12435" tabRatio="769"/>
  </bookViews>
  <sheets>
    <sheet name="3.11" sheetId="11" r:id="rId1"/>
  </sheets>
  <definedNames>
    <definedName name="_xlnm.Print_Area" localSheetId="0">'3.11'!$A$1:$P$19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3" i="11" l="1"/>
  <c r="N9" i="11"/>
  <c r="N5" i="11" s="1"/>
  <c r="N8" i="11"/>
  <c r="N7" i="11"/>
  <c r="N6" i="11"/>
  <c r="M13" i="11" l="1"/>
  <c r="J13" i="11"/>
  <c r="I13" i="11"/>
  <c r="H13" i="11"/>
  <c r="H5" i="11" s="1"/>
  <c r="G13" i="11"/>
  <c r="F13" i="11"/>
  <c r="E13" i="11"/>
  <c r="D13" i="11"/>
  <c r="D5" i="11" s="1"/>
  <c r="C13" i="11"/>
  <c r="B13" i="11"/>
  <c r="M9" i="11"/>
  <c r="M5" i="11" s="1"/>
  <c r="J9" i="11"/>
  <c r="I9" i="11"/>
  <c r="H9" i="11"/>
  <c r="G9" i="11"/>
  <c r="F9" i="11"/>
  <c r="E9" i="11"/>
  <c r="D9" i="11"/>
  <c r="C9" i="11"/>
  <c r="B9" i="11"/>
  <c r="M8" i="11"/>
  <c r="L8" i="11"/>
  <c r="K8" i="11"/>
  <c r="J8" i="11"/>
  <c r="I8" i="11"/>
  <c r="H8" i="11"/>
  <c r="G8" i="11"/>
  <c r="F8" i="11"/>
  <c r="E8" i="11"/>
  <c r="D8" i="11"/>
  <c r="C8" i="11"/>
  <c r="B8" i="11"/>
  <c r="M7" i="11"/>
  <c r="L7" i="11"/>
  <c r="K7" i="11"/>
  <c r="J7" i="11"/>
  <c r="I7" i="11"/>
  <c r="H7" i="11"/>
  <c r="G7" i="11"/>
  <c r="F7" i="11"/>
  <c r="E7" i="11"/>
  <c r="D7" i="11"/>
  <c r="C7" i="11"/>
  <c r="B7" i="11"/>
  <c r="M6" i="11"/>
  <c r="L6" i="11"/>
  <c r="K6" i="11"/>
  <c r="J6" i="11"/>
  <c r="I6" i="11"/>
  <c r="H6" i="11"/>
  <c r="G6" i="11"/>
  <c r="F6" i="11"/>
  <c r="E6" i="11"/>
  <c r="D6" i="11"/>
  <c r="C6" i="11"/>
  <c r="B6" i="11"/>
  <c r="L5" i="11"/>
  <c r="K5" i="11"/>
  <c r="E5" i="11" l="1"/>
  <c r="I5" i="11"/>
  <c r="B5" i="11"/>
  <c r="F5" i="11"/>
  <c r="J5" i="11"/>
  <c r="C5" i="11"/>
  <c r="G5" i="11"/>
</calcChain>
</file>

<file path=xl/sharedStrings.xml><?xml version="1.0" encoding="utf-8"?>
<sst xmlns="http://schemas.openxmlformats.org/spreadsheetml/2006/main" count="32" uniqueCount="22">
  <si>
    <t>cnehirif</t>
  </si>
  <si>
    <t>cnehcnwa</t>
  </si>
  <si>
    <t>Both Sexes</t>
  </si>
  <si>
    <t>Male</t>
  </si>
  <si>
    <t>Female</t>
  </si>
  <si>
    <t xml:space="preserve">Source: Ministry of Health </t>
  </si>
  <si>
    <t xml:space="preserve">މަޢުލޫމާތު ދެއްވީ: މިނިސްޓްރީ އޮފް ހެލްތު </t>
  </si>
  <si>
    <t>caerumua Whiruh</t>
  </si>
  <si>
    <t>Age (in days) and Sex</t>
  </si>
  <si>
    <t>uscnij idwa /(cnuhwvud) urumua</t>
  </si>
  <si>
    <t>Less than 7 days</t>
  </si>
  <si>
    <t>udwm eruvcSwhwvud 7</t>
  </si>
  <si>
    <t>7 - 27 days</t>
  </si>
  <si>
    <t>cswvud 27 - 7</t>
  </si>
  <si>
    <t>28 - 364</t>
  </si>
  <si>
    <t>364 - 28</t>
  </si>
  <si>
    <t>7 - 27</t>
  </si>
  <si>
    <t>27 - 7</t>
  </si>
  <si>
    <r>
      <t>2018</t>
    </r>
    <r>
      <rPr>
        <b/>
        <vertAlign val="superscript"/>
        <sz val="11"/>
        <rFont val="Calibri"/>
        <family val="2"/>
      </rPr>
      <t>1_/</t>
    </r>
  </si>
  <si>
    <t>Note: 1_/: 2018 figures are tentative and is expected to change</t>
  </si>
  <si>
    <t>Table 3.11 : INFANT DEATHS BY AGE AND SEX, 2006 - 2018</t>
  </si>
  <si>
    <t>2018 - 2006 ,cnutogegurumua iaWscnij ,cnidukwDukivurwm : 3.11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</si>
</sst>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General_)"/>
    <numFmt numFmtId="165" formatCode="_-* #,##0.00\ _ރ_._-;_-* #,##0.00\ _ރ_.\-;_-* &quot;-&quot;??\ _ރ_.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1"/>
      <name val="Calibri"/>
      <family val="2"/>
    </font>
    <font>
      <i/>
      <sz val="9"/>
      <name val="Calibri"/>
      <family val="2"/>
    </font>
    <font>
      <sz val="9"/>
      <name val="Faruma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9"/>
      <name val="Calibri"/>
      <family val="2"/>
    </font>
    <font>
      <sz val="9"/>
      <name val="Calibri"/>
      <family val="2"/>
    </font>
    <font>
      <b/>
      <i/>
      <sz val="12"/>
      <color indexed="18"/>
      <name val="Verdana"/>
      <family val="2"/>
    </font>
    <font>
      <b/>
      <sz val="10"/>
      <name val="A_Faseyha"/>
    </font>
    <font>
      <sz val="10"/>
      <name val="A_Faseyha"/>
    </font>
    <font>
      <b/>
      <sz val="11"/>
      <name val="A_Faseyha"/>
    </font>
    <font>
      <b/>
      <sz val="8"/>
      <name val="A_Faseyha"/>
    </font>
    <font>
      <b/>
      <sz val="10"/>
      <name val="Calibri"/>
      <family val="2"/>
    </font>
    <font>
      <b/>
      <vertAlign val="superscript"/>
      <sz val="11"/>
      <name val="Calibri"/>
      <family val="2"/>
    </font>
    <font>
      <i/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7" fillId="0" borderId="0"/>
    <xf numFmtId="0" fontId="7" fillId="0" borderId="0"/>
    <xf numFmtId="165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8" fillId="0" borderId="0"/>
    <xf numFmtId="0" fontId="7" fillId="0" borderId="0"/>
    <xf numFmtId="0" fontId="7" fillId="0" borderId="0"/>
    <xf numFmtId="0" fontId="1" fillId="0" borderId="0"/>
    <xf numFmtId="164" fontId="2" fillId="0" borderId="0"/>
    <xf numFmtId="0" fontId="3" fillId="0" borderId="0"/>
    <xf numFmtId="43" fontId="3" fillId="0" borderId="0" applyFont="0" applyFill="0" applyBorder="0" applyAlignment="0" applyProtection="0"/>
    <xf numFmtId="164" fontId="2" fillId="0" borderId="0"/>
  </cellStyleXfs>
  <cellXfs count="35">
    <xf numFmtId="0" fontId="0" fillId="0" borderId="0" xfId="0"/>
    <xf numFmtId="164" fontId="7" fillId="2" borderId="0" xfId="0" applyNumberFormat="1" applyFont="1" applyFill="1" applyAlignment="1">
      <alignment vertical="center"/>
    </xf>
    <xf numFmtId="164" fontId="7" fillId="2" borderId="0" xfId="0" applyNumberFormat="1" applyFont="1" applyFill="1"/>
    <xf numFmtId="164" fontId="5" fillId="2" borderId="0" xfId="0" applyNumberFormat="1" applyFont="1" applyFill="1" applyAlignment="1" applyProtection="1">
      <alignment horizontal="left" vertical="center"/>
    </xf>
    <xf numFmtId="0" fontId="0" fillId="2" borderId="0" xfId="0" applyFill="1"/>
    <xf numFmtId="164" fontId="7" fillId="2" borderId="0" xfId="0" applyNumberFormat="1" applyFont="1" applyFill="1" applyBorder="1"/>
    <xf numFmtId="0" fontId="0" fillId="2" borderId="0" xfId="0" applyFill="1" applyBorder="1"/>
    <xf numFmtId="164" fontId="4" fillId="2" borderId="1" xfId="0" applyNumberFormat="1" applyFont="1" applyFill="1" applyBorder="1" applyAlignment="1" applyProtection="1">
      <alignment horizontal="center" vertical="center"/>
    </xf>
    <xf numFmtId="164" fontId="4" fillId="2" borderId="0" xfId="0" applyNumberFormat="1" applyFont="1" applyFill="1" applyBorder="1" applyAlignment="1" applyProtection="1">
      <alignment horizontal="center" vertical="center"/>
    </xf>
    <xf numFmtId="164" fontId="9" fillId="2" borderId="2" xfId="0" applyNumberFormat="1" applyFont="1" applyFill="1" applyBorder="1" applyAlignment="1" applyProtection="1">
      <alignment horizontal="left" vertical="center"/>
    </xf>
    <xf numFmtId="164" fontId="9" fillId="2" borderId="2" xfId="0" applyNumberFormat="1" applyFont="1" applyFill="1" applyBorder="1" applyAlignment="1">
      <alignment horizontal="right" vertical="center"/>
    </xf>
    <xf numFmtId="164" fontId="9" fillId="2" borderId="0" xfId="0" applyNumberFormat="1" applyFont="1" applyFill="1" applyAlignment="1" applyProtection="1">
      <alignment horizontal="left" vertical="center" indent="1"/>
    </xf>
    <xf numFmtId="164" fontId="9" fillId="2" borderId="0" xfId="0" applyNumberFormat="1" applyFont="1" applyFill="1" applyAlignment="1" applyProtection="1">
      <alignment vertical="center"/>
    </xf>
    <xf numFmtId="164" fontId="10" fillId="2" borderId="0" xfId="0" applyNumberFormat="1" applyFont="1" applyFill="1" applyAlignment="1" applyProtection="1">
      <alignment horizontal="left" vertical="center" indent="1"/>
    </xf>
    <xf numFmtId="164" fontId="10" fillId="2" borderId="0" xfId="0" applyNumberFormat="1" applyFont="1" applyFill="1" applyAlignment="1" applyProtection="1">
      <alignment vertical="center"/>
    </xf>
    <xf numFmtId="164" fontId="10" fillId="2" borderId="0" xfId="0" quotePrefix="1" applyNumberFormat="1" applyFont="1" applyFill="1" applyAlignment="1" applyProtection="1">
      <alignment horizontal="left" vertical="center" indent="1"/>
    </xf>
    <xf numFmtId="164" fontId="9" fillId="2" borderId="0" xfId="0" applyNumberFormat="1" applyFont="1" applyFill="1" applyBorder="1" applyAlignment="1">
      <alignment vertical="center"/>
    </xf>
    <xf numFmtId="164" fontId="10" fillId="2" borderId="0" xfId="0" applyNumberFormat="1" applyFont="1" applyFill="1" applyAlignment="1">
      <alignment vertical="center"/>
    </xf>
    <xf numFmtId="164" fontId="10" fillId="2" borderId="0" xfId="0" applyNumberFormat="1" applyFont="1" applyFill="1" applyBorder="1" applyAlignment="1">
      <alignment vertical="center"/>
    </xf>
    <xf numFmtId="164" fontId="10" fillId="2" borderId="1" xfId="0" quotePrefix="1" applyNumberFormat="1" applyFont="1" applyFill="1" applyBorder="1" applyAlignment="1" applyProtection="1">
      <alignment horizontal="left" vertical="center" indent="1"/>
    </xf>
    <xf numFmtId="164" fontId="10" fillId="2" borderId="1" xfId="0" applyNumberFormat="1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164" fontId="6" fillId="2" borderId="0" xfId="10" applyFont="1" applyFill="1" applyAlignment="1" applyProtection="1">
      <alignment horizontal="right"/>
      <protection hidden="1"/>
    </xf>
    <xf numFmtId="0" fontId="7" fillId="2" borderId="0" xfId="0" applyFont="1" applyFill="1"/>
    <xf numFmtId="0" fontId="11" fillId="2" borderId="0" xfId="0" applyFont="1" applyFill="1"/>
    <xf numFmtId="164" fontId="15" fillId="2" borderId="2" xfId="0" applyNumberFormat="1" applyFont="1" applyFill="1" applyBorder="1" applyAlignment="1">
      <alignment horizontal="right" vertical="center"/>
    </xf>
    <xf numFmtId="164" fontId="12" fillId="2" borderId="0" xfId="0" applyNumberFormat="1" applyFont="1" applyFill="1" applyBorder="1" applyAlignment="1">
      <alignment horizontal="right" vertical="center" indent="1"/>
    </xf>
    <xf numFmtId="164" fontId="13" fillId="2" borderId="0" xfId="0" applyNumberFormat="1" applyFont="1" applyFill="1" applyAlignment="1" applyProtection="1">
      <alignment horizontal="right" vertical="center" indent="1"/>
    </xf>
    <xf numFmtId="164" fontId="13" fillId="2" borderId="0" xfId="0" quotePrefix="1" applyNumberFormat="1" applyFont="1" applyFill="1" applyAlignment="1" applyProtection="1">
      <alignment horizontal="right" vertical="center" indent="1"/>
    </xf>
    <xf numFmtId="164" fontId="13" fillId="2" borderId="1" xfId="0" quotePrefix="1" applyNumberFormat="1" applyFont="1" applyFill="1" applyBorder="1" applyAlignment="1" applyProtection="1">
      <alignment horizontal="right" vertical="center" indent="1"/>
    </xf>
    <xf numFmtId="164" fontId="4" fillId="2" borderId="0" xfId="0" applyNumberFormat="1" applyFont="1" applyFill="1" applyBorder="1" applyAlignment="1" applyProtection="1">
      <alignment horizontal="center" vertical="center"/>
    </xf>
    <xf numFmtId="164" fontId="14" fillId="2" borderId="0" xfId="0" applyNumberFormat="1" applyFont="1" applyFill="1" applyAlignment="1">
      <alignment horizontal="center" vertical="center"/>
    </xf>
    <xf numFmtId="164" fontId="4" fillId="2" borderId="0" xfId="0" applyNumberFormat="1" applyFont="1" applyFill="1" applyBorder="1" applyAlignment="1" applyProtection="1">
      <alignment horizontal="center" vertical="center"/>
    </xf>
    <xf numFmtId="164" fontId="16" fillId="2" borderId="2" xfId="0" applyNumberFormat="1" applyFont="1" applyFill="1" applyBorder="1" applyAlignment="1" applyProtection="1">
      <alignment horizontal="right" vertical="center"/>
    </xf>
    <xf numFmtId="164" fontId="18" fillId="2" borderId="0" xfId="13" applyFont="1" applyFill="1" applyBorder="1" applyAlignment="1" applyProtection="1">
      <alignment vertical="center"/>
      <protection hidden="1"/>
    </xf>
  </cellXfs>
  <cellStyles count="14">
    <cellStyle name="Comma 2" xfId="12"/>
    <cellStyle name="Comma 3" xfId="5"/>
    <cellStyle name="Comma 4" xfId="3"/>
    <cellStyle name="Normal" xfId="0" builtinId="0"/>
    <cellStyle name="Normal 11" xfId="6"/>
    <cellStyle name="Normal 2" xfId="4"/>
    <cellStyle name="Normal 20" xfId="2"/>
    <cellStyle name="Normal 3" xfId="11"/>
    <cellStyle name="Normal 32" xfId="7"/>
    <cellStyle name="Normal 4" xfId="10"/>
    <cellStyle name="Normal 44" xfId="8"/>
    <cellStyle name="Normal 48" xfId="9"/>
    <cellStyle name="Normal 5" xfId="1"/>
    <cellStyle name="Normal_Stat Year Book 2007 tables" xfId="13"/>
  </cellStyles>
  <dxfs count="0"/>
  <tableStyles count="0" defaultTableStyle="TableStyleMedium2" defaultPivotStyle="PivotStyleLight16"/>
  <colors>
    <mruColors>
      <color rgb="FFCD9B69"/>
      <color rgb="FFA85400"/>
      <color rgb="FF996633"/>
      <color rgb="FFF3E6D9"/>
      <color rgb="FF993366"/>
      <color rgb="FF663300"/>
      <color rgb="FFEDDBC9"/>
      <color rgb="FFE3ABC7"/>
      <color rgb="FF990033"/>
      <color rgb="FFFFEF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tabSelected="1" zoomScaleNormal="100" workbookViewId="0">
      <selection activeCell="O23" sqref="O23"/>
    </sheetView>
  </sheetViews>
  <sheetFormatPr defaultRowHeight="15" x14ac:dyDescent="0.25"/>
  <cols>
    <col min="1" max="1" width="19.140625" style="4" customWidth="1"/>
    <col min="2" max="11" width="8.140625" style="4" customWidth="1"/>
    <col min="12" max="14" width="8.5703125" style="4" customWidth="1"/>
    <col min="15" max="15" width="22.7109375" style="4" customWidth="1"/>
    <col min="16" max="16" width="2.42578125" style="4" customWidth="1"/>
    <col min="17" max="16384" width="9.140625" style="4"/>
  </cols>
  <sheetData>
    <row r="1" spans="1:16" ht="18" x14ac:dyDescent="0.25">
      <c r="A1" s="31" t="s">
        <v>21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2"/>
    </row>
    <row r="2" spans="1:16" s="6" customFormat="1" x14ac:dyDescent="0.25">
      <c r="A2" s="32" t="s">
        <v>20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5"/>
    </row>
    <row r="3" spans="1:16" x14ac:dyDescent="0.25">
      <c r="A3" s="7"/>
      <c r="B3" s="7"/>
      <c r="C3" s="7"/>
      <c r="D3" s="7"/>
      <c r="E3" s="7"/>
      <c r="F3" s="7"/>
      <c r="G3" s="7"/>
      <c r="H3" s="7"/>
      <c r="I3" s="8"/>
      <c r="J3" s="8"/>
      <c r="K3" s="8"/>
      <c r="L3" s="8"/>
      <c r="M3" s="8"/>
      <c r="N3" s="30"/>
      <c r="O3" s="7"/>
      <c r="P3" s="2"/>
    </row>
    <row r="4" spans="1:16" ht="17.25" x14ac:dyDescent="0.25">
      <c r="A4" s="9" t="s">
        <v>8</v>
      </c>
      <c r="B4" s="10">
        <v>2006</v>
      </c>
      <c r="C4" s="10">
        <v>2007</v>
      </c>
      <c r="D4" s="10">
        <v>2008</v>
      </c>
      <c r="E4" s="10">
        <v>2009</v>
      </c>
      <c r="F4" s="10">
        <v>2010</v>
      </c>
      <c r="G4" s="10">
        <v>2011</v>
      </c>
      <c r="H4" s="10">
        <v>2012</v>
      </c>
      <c r="I4" s="10">
        <v>2013</v>
      </c>
      <c r="J4" s="10">
        <v>2014</v>
      </c>
      <c r="K4" s="10">
        <v>2015</v>
      </c>
      <c r="L4" s="10">
        <v>2016</v>
      </c>
      <c r="M4" s="10">
        <v>2017</v>
      </c>
      <c r="N4" s="33" t="s">
        <v>18</v>
      </c>
      <c r="O4" s="25" t="s">
        <v>9</v>
      </c>
      <c r="P4" s="2"/>
    </row>
    <row r="5" spans="1:16" ht="15.75" x14ac:dyDescent="0.25">
      <c r="A5" s="11" t="s">
        <v>2</v>
      </c>
      <c r="B5" s="12">
        <f>B9+B13</f>
        <v>92</v>
      </c>
      <c r="C5" s="12">
        <f t="shared" ref="C5:N8" si="0">C9+C13</f>
        <v>66</v>
      </c>
      <c r="D5" s="12">
        <f t="shared" si="0"/>
        <v>76</v>
      </c>
      <c r="E5" s="12">
        <f t="shared" si="0"/>
        <v>81</v>
      </c>
      <c r="F5" s="12">
        <f t="shared" si="0"/>
        <v>78</v>
      </c>
      <c r="G5" s="12">
        <f t="shared" si="0"/>
        <v>65</v>
      </c>
      <c r="H5" s="12">
        <f t="shared" si="0"/>
        <v>66</v>
      </c>
      <c r="I5" s="12">
        <f t="shared" si="0"/>
        <v>46</v>
      </c>
      <c r="J5" s="12">
        <f t="shared" si="0"/>
        <v>59</v>
      </c>
      <c r="K5" s="12">
        <f t="shared" si="0"/>
        <v>63</v>
      </c>
      <c r="L5" s="12">
        <f t="shared" si="0"/>
        <v>53</v>
      </c>
      <c r="M5" s="12">
        <f t="shared" si="0"/>
        <v>64</v>
      </c>
      <c r="N5" s="12">
        <f t="shared" si="0"/>
        <v>41</v>
      </c>
      <c r="O5" s="26" t="s">
        <v>7</v>
      </c>
      <c r="P5" s="2"/>
    </row>
    <row r="6" spans="1:16" ht="15.75" x14ac:dyDescent="0.25">
      <c r="A6" s="13" t="s">
        <v>10</v>
      </c>
      <c r="B6" s="14">
        <f t="shared" ref="B6:M8" si="1">B10+B14</f>
        <v>51</v>
      </c>
      <c r="C6" s="14">
        <f t="shared" si="1"/>
        <v>41</v>
      </c>
      <c r="D6" s="14">
        <f t="shared" si="1"/>
        <v>41</v>
      </c>
      <c r="E6" s="14">
        <f t="shared" si="1"/>
        <v>51</v>
      </c>
      <c r="F6" s="14">
        <f t="shared" si="1"/>
        <v>44</v>
      </c>
      <c r="G6" s="14">
        <f t="shared" si="1"/>
        <v>41</v>
      </c>
      <c r="H6" s="14">
        <f t="shared" si="1"/>
        <v>33</v>
      </c>
      <c r="I6" s="14">
        <f t="shared" si="1"/>
        <v>22</v>
      </c>
      <c r="J6" s="14">
        <f t="shared" si="1"/>
        <v>33</v>
      </c>
      <c r="K6" s="14">
        <f t="shared" si="1"/>
        <v>29</v>
      </c>
      <c r="L6" s="14">
        <f t="shared" si="1"/>
        <v>28</v>
      </c>
      <c r="M6" s="14">
        <f t="shared" si="1"/>
        <v>45</v>
      </c>
      <c r="N6" s="14">
        <f t="shared" si="0"/>
        <v>25</v>
      </c>
      <c r="O6" s="27" t="s">
        <v>11</v>
      </c>
      <c r="P6" s="2"/>
    </row>
    <row r="7" spans="1:16" ht="15.75" x14ac:dyDescent="0.25">
      <c r="A7" s="15" t="s">
        <v>12</v>
      </c>
      <c r="B7" s="14">
        <f t="shared" si="1"/>
        <v>16</v>
      </c>
      <c r="C7" s="14">
        <f t="shared" si="1"/>
        <v>6</v>
      </c>
      <c r="D7" s="14">
        <f t="shared" si="1"/>
        <v>15</v>
      </c>
      <c r="E7" s="14">
        <f t="shared" si="1"/>
        <v>8</v>
      </c>
      <c r="F7" s="14">
        <f t="shared" si="1"/>
        <v>14</v>
      </c>
      <c r="G7" s="14">
        <f t="shared" si="1"/>
        <v>8</v>
      </c>
      <c r="H7" s="14">
        <f t="shared" si="1"/>
        <v>11</v>
      </c>
      <c r="I7" s="14">
        <f t="shared" si="1"/>
        <v>7</v>
      </c>
      <c r="J7" s="14">
        <f t="shared" si="1"/>
        <v>4</v>
      </c>
      <c r="K7" s="14">
        <f t="shared" si="1"/>
        <v>8</v>
      </c>
      <c r="L7" s="14">
        <f t="shared" si="1"/>
        <v>8</v>
      </c>
      <c r="M7" s="14">
        <f t="shared" si="1"/>
        <v>6</v>
      </c>
      <c r="N7" s="14">
        <f t="shared" si="0"/>
        <v>3</v>
      </c>
      <c r="O7" s="27" t="s">
        <v>13</v>
      </c>
      <c r="P7" s="2"/>
    </row>
    <row r="8" spans="1:16" ht="15.75" x14ac:dyDescent="0.25">
      <c r="A8" s="15" t="s">
        <v>14</v>
      </c>
      <c r="B8" s="14">
        <f t="shared" si="1"/>
        <v>25</v>
      </c>
      <c r="C8" s="14">
        <f t="shared" si="1"/>
        <v>19</v>
      </c>
      <c r="D8" s="14">
        <f t="shared" si="1"/>
        <v>20</v>
      </c>
      <c r="E8" s="14">
        <f t="shared" si="1"/>
        <v>22</v>
      </c>
      <c r="F8" s="14">
        <f t="shared" si="1"/>
        <v>20</v>
      </c>
      <c r="G8" s="14">
        <f t="shared" si="1"/>
        <v>16</v>
      </c>
      <c r="H8" s="14">
        <f t="shared" si="1"/>
        <v>22</v>
      </c>
      <c r="I8" s="14">
        <f t="shared" si="1"/>
        <v>17</v>
      </c>
      <c r="J8" s="14">
        <f t="shared" si="1"/>
        <v>22</v>
      </c>
      <c r="K8" s="14">
        <f t="shared" si="1"/>
        <v>26</v>
      </c>
      <c r="L8" s="14">
        <f t="shared" si="1"/>
        <v>17</v>
      </c>
      <c r="M8" s="14">
        <f t="shared" si="1"/>
        <v>13</v>
      </c>
      <c r="N8" s="14">
        <f t="shared" si="0"/>
        <v>13</v>
      </c>
      <c r="O8" s="28" t="s">
        <v>15</v>
      </c>
      <c r="P8" s="2"/>
    </row>
    <row r="9" spans="1:16" ht="15.75" x14ac:dyDescent="0.25">
      <c r="A9" s="11" t="s">
        <v>3</v>
      </c>
      <c r="B9" s="16">
        <f t="shared" ref="B9:G9" si="2">SUM(B10:B12)</f>
        <v>54</v>
      </c>
      <c r="C9" s="16">
        <f t="shared" si="2"/>
        <v>47</v>
      </c>
      <c r="D9" s="16">
        <f t="shared" si="2"/>
        <v>38</v>
      </c>
      <c r="E9" s="16">
        <f t="shared" si="2"/>
        <v>42</v>
      </c>
      <c r="F9" s="16">
        <f t="shared" si="2"/>
        <v>45</v>
      </c>
      <c r="G9" s="16">
        <f t="shared" si="2"/>
        <v>37</v>
      </c>
      <c r="H9" s="16">
        <f>SUM(H10:H12)</f>
        <v>40</v>
      </c>
      <c r="I9" s="16">
        <f>SUM(I10:I12)</f>
        <v>29</v>
      </c>
      <c r="J9" s="16">
        <f>SUM(J10:J12)</f>
        <v>32</v>
      </c>
      <c r="K9" s="16">
        <v>34</v>
      </c>
      <c r="L9" s="16">
        <v>21</v>
      </c>
      <c r="M9" s="16">
        <f>SUM(M10:M12)</f>
        <v>42</v>
      </c>
      <c r="N9" s="16">
        <f>SUM(N10:N12)</f>
        <v>20</v>
      </c>
      <c r="O9" s="26" t="s">
        <v>0</v>
      </c>
      <c r="P9" s="2"/>
    </row>
    <row r="10" spans="1:16" ht="15.75" x14ac:dyDescent="0.25">
      <c r="A10" s="13" t="s">
        <v>10</v>
      </c>
      <c r="B10" s="17">
        <v>33</v>
      </c>
      <c r="C10" s="17">
        <v>26</v>
      </c>
      <c r="D10" s="17">
        <v>22</v>
      </c>
      <c r="E10" s="17">
        <v>25</v>
      </c>
      <c r="F10" s="17">
        <v>25</v>
      </c>
      <c r="G10" s="17">
        <v>23</v>
      </c>
      <c r="H10" s="17">
        <v>19</v>
      </c>
      <c r="I10" s="18">
        <v>14</v>
      </c>
      <c r="J10" s="18">
        <v>21</v>
      </c>
      <c r="K10" s="18">
        <v>21</v>
      </c>
      <c r="L10" s="18">
        <v>9</v>
      </c>
      <c r="M10" s="18">
        <v>29</v>
      </c>
      <c r="N10" s="18">
        <v>11</v>
      </c>
      <c r="O10" s="27" t="s">
        <v>11</v>
      </c>
      <c r="P10" s="2"/>
    </row>
    <row r="11" spans="1:16" ht="15.75" x14ac:dyDescent="0.25">
      <c r="A11" s="15" t="s">
        <v>16</v>
      </c>
      <c r="B11" s="17">
        <v>7</v>
      </c>
      <c r="C11" s="17">
        <v>5</v>
      </c>
      <c r="D11" s="17">
        <v>6</v>
      </c>
      <c r="E11" s="17">
        <v>4</v>
      </c>
      <c r="F11" s="17">
        <v>9</v>
      </c>
      <c r="G11" s="17">
        <v>3</v>
      </c>
      <c r="H11" s="17">
        <v>8</v>
      </c>
      <c r="I11" s="18">
        <v>4</v>
      </c>
      <c r="J11" s="18">
        <v>1</v>
      </c>
      <c r="K11" s="18">
        <v>4</v>
      </c>
      <c r="L11" s="18">
        <v>3</v>
      </c>
      <c r="M11" s="18">
        <v>3</v>
      </c>
      <c r="N11" s="18">
        <v>2</v>
      </c>
      <c r="O11" s="28" t="s">
        <v>17</v>
      </c>
      <c r="P11" s="2"/>
    </row>
    <row r="12" spans="1:16" ht="15.75" x14ac:dyDescent="0.25">
      <c r="A12" s="15" t="s">
        <v>14</v>
      </c>
      <c r="B12" s="17">
        <v>14</v>
      </c>
      <c r="C12" s="17">
        <v>16</v>
      </c>
      <c r="D12" s="17">
        <v>10</v>
      </c>
      <c r="E12" s="17">
        <v>13</v>
      </c>
      <c r="F12" s="17">
        <v>11</v>
      </c>
      <c r="G12" s="17">
        <v>11</v>
      </c>
      <c r="H12" s="17">
        <v>13</v>
      </c>
      <c r="I12" s="18">
        <v>11</v>
      </c>
      <c r="J12" s="18">
        <v>10</v>
      </c>
      <c r="K12" s="18">
        <v>9</v>
      </c>
      <c r="L12" s="18">
        <v>9</v>
      </c>
      <c r="M12" s="18">
        <v>10</v>
      </c>
      <c r="N12" s="18">
        <v>7</v>
      </c>
      <c r="O12" s="28" t="s">
        <v>15</v>
      </c>
      <c r="P12" s="2"/>
    </row>
    <row r="13" spans="1:16" ht="15.75" x14ac:dyDescent="0.25">
      <c r="A13" s="11" t="s">
        <v>4</v>
      </c>
      <c r="B13" s="16">
        <f t="shared" ref="B13:G13" si="3">SUM(B14:B16)</f>
        <v>38</v>
      </c>
      <c r="C13" s="16">
        <f t="shared" si="3"/>
        <v>19</v>
      </c>
      <c r="D13" s="16">
        <f t="shared" si="3"/>
        <v>38</v>
      </c>
      <c r="E13" s="16">
        <f t="shared" si="3"/>
        <v>39</v>
      </c>
      <c r="F13" s="16">
        <f t="shared" si="3"/>
        <v>33</v>
      </c>
      <c r="G13" s="16">
        <f t="shared" si="3"/>
        <v>28</v>
      </c>
      <c r="H13" s="16">
        <f>SUM(H14:H16)</f>
        <v>26</v>
      </c>
      <c r="I13" s="16">
        <f>SUM(I14:I16)</f>
        <v>17</v>
      </c>
      <c r="J13" s="16">
        <f>SUM(J14:J16)</f>
        <v>27</v>
      </c>
      <c r="K13" s="16">
        <v>29</v>
      </c>
      <c r="L13" s="16">
        <v>32</v>
      </c>
      <c r="M13" s="16">
        <f>SUM(M14:M16)</f>
        <v>22</v>
      </c>
      <c r="N13" s="16">
        <f>SUM(N14:N16)</f>
        <v>21</v>
      </c>
      <c r="O13" s="26" t="s">
        <v>1</v>
      </c>
      <c r="P13" s="2"/>
    </row>
    <row r="14" spans="1:16" ht="15.75" x14ac:dyDescent="0.25">
      <c r="A14" s="13" t="s">
        <v>10</v>
      </c>
      <c r="B14" s="17">
        <v>18</v>
      </c>
      <c r="C14" s="17">
        <v>15</v>
      </c>
      <c r="D14" s="17">
        <v>19</v>
      </c>
      <c r="E14" s="17">
        <v>26</v>
      </c>
      <c r="F14" s="17">
        <v>19</v>
      </c>
      <c r="G14" s="17">
        <v>18</v>
      </c>
      <c r="H14" s="17">
        <v>14</v>
      </c>
      <c r="I14" s="18">
        <v>8</v>
      </c>
      <c r="J14" s="18">
        <v>12</v>
      </c>
      <c r="K14" s="18">
        <v>8</v>
      </c>
      <c r="L14" s="18">
        <v>19</v>
      </c>
      <c r="M14" s="18">
        <v>16</v>
      </c>
      <c r="N14" s="18">
        <v>14</v>
      </c>
      <c r="O14" s="27" t="s">
        <v>11</v>
      </c>
      <c r="P14" s="2"/>
    </row>
    <row r="15" spans="1:16" ht="15.75" x14ac:dyDescent="0.25">
      <c r="A15" s="15" t="s">
        <v>16</v>
      </c>
      <c r="B15" s="17">
        <v>9</v>
      </c>
      <c r="C15" s="17">
        <v>1</v>
      </c>
      <c r="D15" s="17">
        <v>9</v>
      </c>
      <c r="E15" s="17">
        <v>4</v>
      </c>
      <c r="F15" s="17">
        <v>5</v>
      </c>
      <c r="G15" s="17">
        <v>5</v>
      </c>
      <c r="H15" s="17">
        <v>3</v>
      </c>
      <c r="I15" s="18">
        <v>3</v>
      </c>
      <c r="J15" s="18">
        <v>3</v>
      </c>
      <c r="K15" s="18">
        <v>4</v>
      </c>
      <c r="L15" s="18">
        <v>5</v>
      </c>
      <c r="M15" s="18">
        <v>3</v>
      </c>
      <c r="N15" s="18">
        <v>1</v>
      </c>
      <c r="O15" s="28" t="s">
        <v>17</v>
      </c>
      <c r="P15" s="2"/>
    </row>
    <row r="16" spans="1:16" ht="15.75" x14ac:dyDescent="0.25">
      <c r="A16" s="19" t="s">
        <v>14</v>
      </c>
      <c r="B16" s="20">
        <v>11</v>
      </c>
      <c r="C16" s="20">
        <v>3</v>
      </c>
      <c r="D16" s="20">
        <v>10</v>
      </c>
      <c r="E16" s="20">
        <v>9</v>
      </c>
      <c r="F16" s="20">
        <v>9</v>
      </c>
      <c r="G16" s="20">
        <v>5</v>
      </c>
      <c r="H16" s="20">
        <v>9</v>
      </c>
      <c r="I16" s="20">
        <v>6</v>
      </c>
      <c r="J16" s="20">
        <v>12</v>
      </c>
      <c r="K16" s="20">
        <v>17</v>
      </c>
      <c r="L16" s="20">
        <v>8</v>
      </c>
      <c r="M16" s="20">
        <v>3</v>
      </c>
      <c r="N16" s="20">
        <v>6</v>
      </c>
      <c r="O16" s="29" t="s">
        <v>15</v>
      </c>
      <c r="P16" s="2"/>
    </row>
    <row r="17" spans="1:16" s="23" customFormat="1" ht="17.25" x14ac:dyDescent="0.45">
      <c r="A17" s="34" t="s">
        <v>19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2" t="s">
        <v>6</v>
      </c>
    </row>
    <row r="18" spans="1:16" s="21" customFormat="1" ht="12.75" x14ac:dyDescent="0.25">
      <c r="A18" s="3" t="s">
        <v>5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P18" s="1"/>
    </row>
    <row r="19" spans="1:16" s="23" customFormat="1" x14ac:dyDescent="0.2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24"/>
    </row>
    <row r="20" spans="1:16" s="23" customFormat="1" x14ac:dyDescent="0.2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24"/>
    </row>
    <row r="21" spans="1:16" x14ac:dyDescent="0.25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6" x14ac:dyDescent="0.25">
      <c r="B22" s="1"/>
    </row>
    <row r="23" spans="1:16" x14ac:dyDescent="0.25">
      <c r="B23" s="1"/>
    </row>
    <row r="24" spans="1:16" x14ac:dyDescent="0.25">
      <c r="B24" s="1"/>
    </row>
    <row r="25" spans="1:16" x14ac:dyDescent="0.25">
      <c r="B25" s="1"/>
    </row>
  </sheetData>
  <mergeCells count="2">
    <mergeCell ref="A1:O1"/>
    <mergeCell ref="A2:O2"/>
  </mergeCells>
  <pageMargins left="0.7" right="0.7" top="0.75" bottom="0.75" header="0.3" footer="0.3"/>
  <pageSetup scale="59" orientation="portrait" horizontalDpi="0" verticalDpi="0" r:id="rId1"/>
  <colBreaks count="1" manualBreakCount="1">
    <brk id="1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3.11</vt:lpstr>
      <vt:lpstr>'3.11'!Print_Area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2020-10-14T05:02:19Z</cp:lastPrinted>
  <dcterms:created xsi:type="dcterms:W3CDTF">2019-07-22T06:02:33Z</dcterms:created>
  <dcterms:modified xsi:type="dcterms:W3CDTF">2020-10-14T05:02:35Z</dcterms:modified>
</cp:coreProperties>
</file>