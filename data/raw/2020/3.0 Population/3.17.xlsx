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20\SYB 2020 _latest\YEARBOOK 2020_Final\web\3. POPULATION\"/>
    </mc:Choice>
  </mc:AlternateContent>
  <bookViews>
    <workbookView xWindow="0" yWindow="0" windowWidth="28800" windowHeight="12435" tabRatio="769"/>
  </bookViews>
  <sheets>
    <sheet name="3.17" sheetId="17" r:id="rId1"/>
  </sheets>
  <externalReferences>
    <externalReference r:id="rId2"/>
    <externalReference r:id="rId3"/>
    <externalReference r:id="rId4"/>
  </externalReferences>
  <definedNames>
    <definedName name="_xlnm.Print_Area" localSheetId="0">'3.17'!$A$1:$IZH$61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2" i="17" l="1"/>
  <c r="V31" i="17" l="1"/>
  <c r="U31" i="17"/>
  <c r="V30" i="17"/>
  <c r="U30" i="17"/>
  <c r="V29" i="17"/>
  <c r="U29" i="17"/>
  <c r="V28" i="17"/>
  <c r="U28" i="17"/>
  <c r="V27" i="17"/>
  <c r="U27" i="17"/>
  <c r="V26" i="17"/>
  <c r="U26" i="17"/>
  <c r="V25" i="17"/>
  <c r="U25" i="17"/>
  <c r="V24" i="17"/>
  <c r="U24" i="17"/>
  <c r="V23" i="17"/>
  <c r="U23" i="17"/>
  <c r="V22" i="17"/>
  <c r="U22" i="17"/>
  <c r="V21" i="17"/>
  <c r="U21" i="17"/>
  <c r="V20" i="17"/>
  <c r="U20" i="17"/>
  <c r="V19" i="17"/>
  <c r="U19" i="17"/>
  <c r="V18" i="17"/>
  <c r="U18" i="17"/>
  <c r="V17" i="17"/>
  <c r="U17" i="17"/>
  <c r="V16" i="17"/>
  <c r="U16" i="17"/>
  <c r="V15" i="17"/>
  <c r="U15" i="17"/>
  <c r="V14" i="17"/>
  <c r="U14" i="17"/>
  <c r="V13" i="17"/>
  <c r="U13" i="17"/>
  <c r="U12" i="17"/>
  <c r="T11" i="17"/>
  <c r="T8" i="17" s="1"/>
  <c r="S11" i="17"/>
  <c r="S8" i="17" s="1"/>
  <c r="R11" i="17"/>
  <c r="R8" i="17" s="1"/>
  <c r="Q11" i="17"/>
  <c r="P11" i="17"/>
  <c r="P8" i="17" s="1"/>
  <c r="O11" i="17"/>
  <c r="O8" i="17" s="1"/>
  <c r="N11" i="17"/>
  <c r="N8" i="17" s="1"/>
  <c r="M11" i="17"/>
  <c r="M8" i="17" s="1"/>
  <c r="K11" i="17"/>
  <c r="K8" i="17" s="1"/>
  <c r="J11" i="17"/>
  <c r="J8" i="17" s="1"/>
  <c r="I11" i="17"/>
  <c r="I8" i="17" s="1"/>
  <c r="H11" i="17"/>
  <c r="H8" i="17" s="1"/>
  <c r="F11" i="17"/>
  <c r="F8" i="17" s="1"/>
  <c r="E11" i="17"/>
  <c r="E8" i="17" s="1"/>
  <c r="D11" i="17"/>
  <c r="D8" i="17" s="1"/>
  <c r="C11" i="17"/>
  <c r="C8" i="17" s="1"/>
  <c r="V10" i="17"/>
  <c r="U10" i="17"/>
  <c r="V9" i="17"/>
  <c r="U9" i="17"/>
  <c r="U11" i="17" l="1"/>
  <c r="V11" i="17"/>
  <c r="Q8" i="17"/>
  <c r="U8" i="17" s="1"/>
  <c r="V8" i="17"/>
  <c r="BE43" i="17"/>
  <c r="BD43" i="17"/>
  <c r="BE42" i="17"/>
  <c r="BD42" i="17"/>
  <c r="BE44" i="17"/>
  <c r="BD44" i="17"/>
</calcChain>
</file>

<file path=xl/sharedStrings.xml><?xml version="1.0" encoding="utf-8"?>
<sst xmlns="http://schemas.openxmlformats.org/spreadsheetml/2006/main" count="87" uniqueCount="40">
  <si>
    <t>Locality</t>
  </si>
  <si>
    <t>Republic</t>
  </si>
  <si>
    <t>Hulhumale'</t>
  </si>
  <si>
    <t>Male'</t>
  </si>
  <si>
    <t>Atolls</t>
  </si>
  <si>
    <t xml:space="preserve"> HA</t>
  </si>
  <si>
    <t xml:space="preserve"> HDh</t>
  </si>
  <si>
    <t xml:space="preserve"> Sh</t>
  </si>
  <si>
    <t>S</t>
  </si>
  <si>
    <t xml:space="preserve"> N</t>
  </si>
  <si>
    <t xml:space="preserve"> R</t>
  </si>
  <si>
    <t>B</t>
  </si>
  <si>
    <t>Lh</t>
  </si>
  <si>
    <t>AA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</si>
  <si>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</si>
  <si>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</si>
  <si>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</si>
  <si>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</si>
  <si>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</si>
  <si>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</si>
  <si>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</si>
  <si>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</si>
  <si>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</si>
  <si>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</si>
  <si>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K</t>
  </si>
  <si>
    <t>ކައިވެނި</t>
  </si>
  <si>
    <t>ވަރި</t>
  </si>
  <si>
    <t>ފަސްޚް</t>
  </si>
  <si>
    <t>ތަފްރީޤް</t>
  </si>
  <si>
    <t>Marriages</t>
  </si>
  <si>
    <t>Divorces</t>
  </si>
  <si>
    <t>Faskh</t>
  </si>
  <si>
    <t>Thafreeq</t>
  </si>
  <si>
    <t>Source: Department of Judicial Administration</t>
  </si>
  <si>
    <t xml:space="preserve">Marriages </t>
  </si>
  <si>
    <t xml:space="preserve">Divorces </t>
  </si>
  <si>
    <t>% Change over previous year of</t>
  </si>
  <si>
    <t xml:space="preserve">މަޢުލޫމާތު ދެއްވި ފަރާތް: ޑިޕާޓްމަންޓް އޮފް ޖުޑީޝަލް އެޑްމިނިސްޓްރޭޝަން </t>
  </si>
  <si>
    <t>ތާވަލު 3.17: މާލެ އާއި އަތޮޅުތަކުގައި ކުރެވުނު ކައިވެންޏާއި ވަރި، 2016 - 2019</t>
  </si>
  <si>
    <t>Table 3.17 :  MARRIAGES AND DIVORCES IN MALE' AND ATOLLS, 2016 - 2019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</si>
</sst>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-* #,##0.00\ _ރ_._-;_-* #,##0.00\ _ރ_.\-;_-* &quot;-&quot;??\ _ރ_._-;_-@_-"/>
    <numFmt numFmtId="166" formatCode="#,##0\ &quot;ރ.&quot;_-;#,##0\ &quot;ރ.&quot;\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1"/>
      <name val="Faruma"/>
    </font>
    <font>
      <b/>
      <sz val="10"/>
      <name val="Faruma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indexed="8"/>
      <name val="Calibri"/>
      <family val="2"/>
    </font>
    <font>
      <sz val="11"/>
      <name val="Calibri"/>
      <family val="2"/>
    </font>
    <font>
      <sz val="9"/>
      <color indexed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dotted">
        <color indexed="64"/>
      </bottom>
      <diagonal/>
    </border>
  </borders>
  <cellStyleXfs count="14">
    <xf numFmtId="0" fontId="0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3" fillId="0" borderId="0"/>
    <xf numFmtId="0" fontId="7" fillId="0" borderId="0"/>
    <xf numFmtId="0" fontId="7" fillId="0" borderId="0"/>
    <xf numFmtId="0" fontId="1" fillId="0" borderId="0"/>
    <xf numFmtId="164" fontId="2" fillId="0" borderId="0"/>
    <xf numFmtId="166" fontId="2" fillId="0" borderId="0"/>
    <xf numFmtId="0" fontId="3" fillId="0" borderId="0"/>
    <xf numFmtId="43" fontId="3" fillId="0" borderId="0" applyFont="0" applyFill="0" applyBorder="0" applyAlignment="0" applyProtection="0"/>
  </cellStyleXfs>
  <cellXfs count="87">
    <xf numFmtId="0" fontId="0" fillId="0" borderId="0" xfId="0"/>
    <xf numFmtId="164" fontId="11" fillId="2" borderId="0" xfId="11" applyNumberFormat="1" applyFont="1" applyFill="1" applyAlignment="1" applyProtection="1">
      <alignment vertical="center"/>
      <protection locked="0"/>
    </xf>
    <xf numFmtId="164" fontId="4" fillId="2" borderId="0" xfId="11" applyNumberFormat="1" applyFont="1" applyFill="1" applyBorder="1" applyAlignment="1" applyProtection="1">
      <alignment horizontal="center" vertical="center" wrapText="1"/>
      <protection locked="0"/>
    </xf>
    <xf numFmtId="164" fontId="10" fillId="2" borderId="0" xfId="11" applyNumberFormat="1" applyFont="1" applyFill="1" applyBorder="1" applyAlignment="1" applyProtection="1">
      <alignment vertical="center"/>
      <protection locked="0"/>
    </xf>
    <xf numFmtId="164" fontId="14" fillId="2" borderId="0" xfId="11" applyNumberFormat="1" applyFont="1" applyFill="1" applyBorder="1" applyAlignment="1" applyProtection="1">
      <alignment horizontal="center" vertical="center" wrapText="1"/>
      <protection locked="0"/>
    </xf>
    <xf numFmtId="164" fontId="10" fillId="2" borderId="0" xfId="11" applyNumberFormat="1" applyFont="1" applyFill="1" applyBorder="1" applyAlignment="1" applyProtection="1">
      <alignment horizontal="center" vertical="center" wrapText="1"/>
      <protection locked="0"/>
    </xf>
    <xf numFmtId="164" fontId="10" fillId="2" borderId="0" xfId="11" applyNumberFormat="1" applyFont="1" applyFill="1" applyAlignment="1" applyProtection="1">
      <alignment vertical="center"/>
      <protection locked="0"/>
    </xf>
    <xf numFmtId="164" fontId="14" fillId="2" borderId="2" xfId="11" applyNumberFormat="1" applyFont="1" applyFill="1" applyBorder="1" applyAlignment="1" applyProtection="1">
      <alignment horizontal="center" vertical="center"/>
      <protection locked="0"/>
    </xf>
    <xf numFmtId="1" fontId="10" fillId="2" borderId="0" xfId="11" applyNumberFormat="1" applyFont="1" applyFill="1" applyBorder="1" applyAlignment="1" applyProtection="1">
      <alignment horizontal="center" vertical="center" wrapText="1"/>
      <protection locked="0"/>
    </xf>
    <xf numFmtId="164" fontId="14" fillId="2" borderId="0" xfId="11" applyNumberFormat="1" applyFont="1" applyFill="1" applyBorder="1" applyAlignment="1" applyProtection="1">
      <alignment horizontal="center" vertical="center"/>
      <protection locked="0"/>
    </xf>
    <xf numFmtId="164" fontId="6" fillId="2" borderId="0" xfId="11" applyNumberFormat="1" applyFont="1" applyFill="1" applyBorder="1" applyAlignment="1" applyProtection="1">
      <alignment horizontal="right" vertical="center"/>
      <protection locked="0"/>
    </xf>
    <xf numFmtId="164" fontId="6" fillId="2" borderId="4" xfId="11" applyNumberFormat="1" applyFont="1" applyFill="1" applyBorder="1" applyAlignment="1" applyProtection="1">
      <alignment horizontal="right" vertical="center"/>
      <protection locked="0"/>
    </xf>
    <xf numFmtId="1" fontId="14" fillId="2" borderId="1" xfId="11" applyNumberFormat="1" applyFont="1" applyFill="1" applyBorder="1" applyAlignment="1" applyProtection="1">
      <alignment horizontal="right" vertical="center"/>
      <protection locked="0"/>
    </xf>
    <xf numFmtId="1" fontId="14" fillId="2" borderId="5" xfId="11" applyNumberFormat="1" applyFont="1" applyFill="1" applyBorder="1" applyAlignment="1" applyProtection="1">
      <alignment horizontal="right" vertical="center"/>
      <protection locked="0"/>
    </xf>
    <xf numFmtId="1" fontId="14" fillId="2" borderId="0" xfId="11" applyNumberFormat="1" applyFont="1" applyFill="1" applyBorder="1" applyAlignment="1" applyProtection="1">
      <alignment horizontal="right" vertical="center"/>
      <protection locked="0"/>
    </xf>
    <xf numFmtId="1" fontId="10" fillId="2" borderId="1" xfId="11" applyNumberFormat="1" applyFont="1" applyFill="1" applyBorder="1" applyAlignment="1" applyProtection="1">
      <alignment horizontal="right" vertical="center"/>
      <protection locked="0"/>
    </xf>
    <xf numFmtId="1" fontId="10" fillId="2" borderId="0" xfId="11" applyNumberFormat="1" applyFont="1" applyFill="1" applyBorder="1" applyAlignment="1" applyProtection="1">
      <alignment horizontal="right" vertical="center"/>
      <protection locked="0"/>
    </xf>
    <xf numFmtId="164" fontId="10" fillId="2" borderId="0" xfId="11" applyNumberFormat="1" applyFont="1" applyFill="1" applyAlignment="1" applyProtection="1">
      <alignment horizontal="right" vertical="center"/>
      <protection locked="0"/>
    </xf>
    <xf numFmtId="164" fontId="8" fillId="2" borderId="0" xfId="11" applyNumberFormat="1" applyFont="1" applyFill="1" applyBorder="1" applyAlignment="1" applyProtection="1">
      <alignment vertical="center"/>
      <protection locked="0"/>
    </xf>
    <xf numFmtId="3" fontId="8" fillId="2" borderId="0" xfId="11" applyNumberFormat="1" applyFont="1" applyFill="1" applyBorder="1" applyAlignment="1" applyProtection="1">
      <alignment vertical="center"/>
      <protection locked="0"/>
    </xf>
    <xf numFmtId="3" fontId="8" fillId="2" borderId="0" xfId="11" applyNumberFormat="1" applyFont="1" applyFill="1" applyBorder="1" applyAlignment="1" applyProtection="1">
      <alignment horizontal="right" vertical="center"/>
      <protection hidden="1"/>
    </xf>
    <xf numFmtId="3" fontId="8" fillId="2" borderId="4" xfId="11" applyNumberFormat="1" applyFont="1" applyFill="1" applyBorder="1" applyAlignment="1" applyProtection="1">
      <alignment horizontal="right" vertical="center"/>
      <protection hidden="1"/>
    </xf>
    <xf numFmtId="3" fontId="8" fillId="2" borderId="2" xfId="11" applyNumberFormat="1" applyFont="1" applyFill="1" applyBorder="1" applyAlignment="1" applyProtection="1">
      <alignment horizontal="right" vertical="center"/>
      <protection hidden="1"/>
    </xf>
    <xf numFmtId="1" fontId="10" fillId="2" borderId="0" xfId="11" applyNumberFormat="1" applyFont="1" applyFill="1" applyBorder="1" applyAlignment="1" applyProtection="1">
      <alignment vertical="center"/>
      <protection locked="0"/>
    </xf>
    <xf numFmtId="164" fontId="10" fillId="2" borderId="0" xfId="11" applyNumberFormat="1" applyFont="1" applyFill="1" applyAlignment="1" applyProtection="1">
      <alignment vertical="center"/>
      <protection hidden="1"/>
    </xf>
    <xf numFmtId="3" fontId="8" fillId="2" borderId="0" xfId="11" applyNumberFormat="1" applyFont="1" applyFill="1" applyBorder="1" applyAlignment="1" applyProtection="1">
      <alignment horizontal="right" vertical="center"/>
      <protection locked="0"/>
    </xf>
    <xf numFmtId="3" fontId="8" fillId="2" borderId="4" xfId="11" applyNumberFormat="1" applyFont="1" applyFill="1" applyBorder="1" applyAlignment="1" applyProtection="1">
      <alignment horizontal="right" vertical="center"/>
      <protection locked="0"/>
    </xf>
    <xf numFmtId="164" fontId="8" fillId="2" borderId="0" xfId="11" applyNumberFormat="1" applyFont="1" applyFill="1" applyBorder="1" applyAlignment="1" applyProtection="1">
      <alignment horizontal="left" vertical="center"/>
      <protection locked="0"/>
    </xf>
    <xf numFmtId="1" fontId="11" fillId="2" borderId="0" xfId="11" applyNumberFormat="1" applyFont="1" applyFill="1" applyBorder="1" applyAlignment="1" applyProtection="1">
      <alignment vertical="center"/>
      <protection locked="0"/>
    </xf>
    <xf numFmtId="164" fontId="9" fillId="2" borderId="0" xfId="11" applyNumberFormat="1" applyFont="1" applyFill="1" applyBorder="1" applyAlignment="1" applyProtection="1">
      <alignment horizontal="left" vertical="center" indent="1"/>
      <protection locked="0"/>
    </xf>
    <xf numFmtId="3" fontId="9" fillId="2" borderId="0" xfId="11" applyNumberFormat="1" applyFont="1" applyFill="1" applyBorder="1" applyAlignment="1" applyProtection="1">
      <alignment vertical="center"/>
      <protection locked="0"/>
    </xf>
    <xf numFmtId="3" fontId="9" fillId="2" borderId="0" xfId="11" applyNumberFormat="1" applyFont="1" applyFill="1" applyBorder="1" applyAlignment="1" applyProtection="1">
      <alignment horizontal="right" vertical="center"/>
      <protection locked="0"/>
    </xf>
    <xf numFmtId="3" fontId="9" fillId="2" borderId="4" xfId="11" applyNumberFormat="1" applyFont="1" applyFill="1" applyBorder="1" applyAlignment="1" applyProtection="1">
      <alignment horizontal="right" vertical="center"/>
      <protection locked="0"/>
    </xf>
    <xf numFmtId="164" fontId="11" fillId="2" borderId="0" xfId="11" applyNumberFormat="1" applyFont="1" applyFill="1" applyAlignment="1" applyProtection="1">
      <alignment vertical="center"/>
      <protection hidden="1"/>
    </xf>
    <xf numFmtId="164" fontId="11" fillId="2" borderId="0" xfId="11" applyNumberFormat="1" applyFont="1" applyFill="1" applyBorder="1" applyAlignment="1" applyProtection="1">
      <alignment vertical="center"/>
      <protection locked="0"/>
    </xf>
    <xf numFmtId="164" fontId="11" fillId="2" borderId="0" xfId="11" applyNumberFormat="1" applyFont="1" applyFill="1" applyBorder="1" applyAlignment="1" applyProtection="1">
      <alignment horizontal="center"/>
      <protection locked="0"/>
    </xf>
    <xf numFmtId="3" fontId="9" fillId="2" borderId="1" xfId="11" applyNumberFormat="1" applyFont="1" applyFill="1" applyBorder="1" applyAlignment="1" applyProtection="1">
      <alignment horizontal="left" vertical="center" indent="1"/>
      <protection locked="0"/>
    </xf>
    <xf numFmtId="3" fontId="9" fillId="2" borderId="1" xfId="11" applyNumberFormat="1" applyFont="1" applyFill="1" applyBorder="1" applyAlignment="1" applyProtection="1">
      <alignment horizontal="right" vertical="center"/>
      <protection locked="0"/>
    </xf>
    <xf numFmtId="3" fontId="9" fillId="2" borderId="5" xfId="11" applyNumberFormat="1" applyFont="1" applyFill="1" applyBorder="1" applyAlignment="1" applyProtection="1">
      <alignment horizontal="right" vertical="center"/>
      <protection locked="0"/>
    </xf>
    <xf numFmtId="164" fontId="16" fillId="2" borderId="0" xfId="11" applyNumberFormat="1" applyFont="1" applyFill="1" applyBorder="1" applyAlignment="1" applyProtection="1">
      <protection locked="0"/>
    </xf>
    <xf numFmtId="164" fontId="16" fillId="2" borderId="0" xfId="11" applyNumberFormat="1" applyFont="1" applyFill="1" applyBorder="1" applyProtection="1">
      <protection locked="0"/>
    </xf>
    <xf numFmtId="164" fontId="16" fillId="2" borderId="0" xfId="11" applyNumberFormat="1" applyFont="1" applyFill="1" applyProtection="1">
      <protection locked="0"/>
    </xf>
    <xf numFmtId="164" fontId="16" fillId="2" borderId="0" xfId="11" applyNumberFormat="1" applyFont="1" applyFill="1" applyProtection="1">
      <protection hidden="1"/>
    </xf>
    <xf numFmtId="164" fontId="15" fillId="2" borderId="2" xfId="11" applyNumberFormat="1" applyFont="1" applyFill="1" applyBorder="1" applyAlignment="1" applyProtection="1">
      <protection hidden="1"/>
    </xf>
    <xf numFmtId="1" fontId="12" fillId="2" borderId="0" xfId="11" applyNumberFormat="1" applyFont="1" applyFill="1" applyProtection="1">
      <protection hidden="1"/>
    </xf>
    <xf numFmtId="164" fontId="11" fillId="2" borderId="0" xfId="11" applyNumberFormat="1" applyFont="1" applyFill="1" applyBorder="1" applyAlignment="1" applyProtection="1">
      <alignment horizontal="left" vertical="center"/>
      <protection locked="0"/>
    </xf>
    <xf numFmtId="164" fontId="11" fillId="2" borderId="0" xfId="11" applyNumberFormat="1" applyFont="1" applyFill="1" applyBorder="1" applyProtection="1">
      <protection locked="0"/>
    </xf>
    <xf numFmtId="164" fontId="11" fillId="2" borderId="0" xfId="11" applyNumberFormat="1" applyFont="1" applyFill="1" applyProtection="1">
      <protection locked="0"/>
    </xf>
    <xf numFmtId="1" fontId="11" fillId="2" borderId="0" xfId="11" applyNumberFormat="1" applyFont="1" applyFill="1" applyProtection="1">
      <protection locked="0"/>
    </xf>
    <xf numFmtId="3" fontId="10" fillId="2" borderId="0" xfId="11" applyNumberFormat="1" applyFont="1" applyFill="1" applyBorder="1" applyAlignment="1" applyProtection="1">
      <alignment horizontal="right" vertical="center"/>
      <protection locked="0"/>
    </xf>
    <xf numFmtId="164" fontId="10" fillId="2" borderId="0" xfId="11" applyNumberFormat="1" applyFont="1" applyFill="1" applyBorder="1" applyAlignment="1" applyProtection="1">
      <alignment horizontal="left" vertical="center"/>
      <protection locked="0"/>
    </xf>
    <xf numFmtId="3" fontId="10" fillId="2" borderId="0" xfId="11" applyNumberFormat="1" applyFont="1" applyFill="1" applyAlignment="1" applyProtection="1">
      <alignment horizontal="right" vertical="center"/>
      <protection locked="0"/>
    </xf>
    <xf numFmtId="164" fontId="10" fillId="2" borderId="0" xfId="11" applyNumberFormat="1" applyFont="1" applyFill="1" applyAlignment="1" applyProtection="1">
      <alignment horizontal="left" vertical="center"/>
      <protection locked="0"/>
    </xf>
    <xf numFmtId="3" fontId="10" fillId="2" borderId="0" xfId="11" applyNumberFormat="1" applyFont="1" applyFill="1" applyAlignment="1" applyProtection="1">
      <alignment horizontal="right" vertical="center"/>
      <protection hidden="1"/>
    </xf>
    <xf numFmtId="3" fontId="11" fillId="2" borderId="0" xfId="11" applyNumberFormat="1" applyFont="1" applyFill="1" applyBorder="1" applyAlignment="1" applyProtection="1">
      <alignment horizontal="right" vertical="center"/>
      <protection locked="0"/>
    </xf>
    <xf numFmtId="3" fontId="11" fillId="2" borderId="0" xfId="11" applyNumberFormat="1" applyFont="1" applyFill="1" applyBorder="1" applyAlignment="1" applyProtection="1">
      <alignment vertical="center"/>
      <protection locked="0"/>
    </xf>
    <xf numFmtId="164" fontId="11" fillId="2" borderId="0" xfId="11" applyNumberFormat="1" applyFont="1" applyFill="1" applyProtection="1">
      <protection hidden="1"/>
    </xf>
    <xf numFmtId="1" fontId="11" fillId="2" borderId="0" xfId="11" applyNumberFormat="1" applyFont="1" applyFill="1" applyProtection="1">
      <protection hidden="1"/>
    </xf>
    <xf numFmtId="164" fontId="14" fillId="2" borderId="2" xfId="11" applyNumberFormat="1" applyFont="1" applyFill="1" applyBorder="1" applyAlignment="1" applyProtection="1">
      <alignment horizontal="center" vertical="center"/>
      <protection locked="0"/>
    </xf>
    <xf numFmtId="164" fontId="14" fillId="2" borderId="3" xfId="11" applyNumberFormat="1" applyFont="1" applyFill="1" applyBorder="1" applyAlignment="1" applyProtection="1">
      <alignment horizontal="center" vertical="center"/>
      <protection locked="0"/>
    </xf>
    <xf numFmtId="164" fontId="5" fillId="2" borderId="0" xfId="11" applyNumberFormat="1" applyFont="1" applyFill="1" applyAlignment="1" applyProtection="1">
      <alignment horizontal="center" vertical="center"/>
      <protection locked="0"/>
    </xf>
    <xf numFmtId="1" fontId="14" fillId="2" borderId="4" xfId="11" applyNumberFormat="1" applyFont="1" applyFill="1" applyBorder="1" applyAlignment="1" applyProtection="1">
      <alignment horizontal="right" vertical="center"/>
      <protection locked="0"/>
    </xf>
    <xf numFmtId="1" fontId="4" fillId="2" borderId="6" xfId="11" applyNumberFormat="1" applyFont="1" applyFill="1" applyBorder="1" applyAlignment="1" applyProtection="1">
      <alignment vertical="center"/>
      <protection locked="0"/>
    </xf>
    <xf numFmtId="1" fontId="17" fillId="2" borderId="4" xfId="11" applyNumberFormat="1" applyFont="1" applyFill="1" applyBorder="1" applyAlignment="1" applyProtection="1">
      <alignment vertical="center"/>
      <protection locked="0"/>
    </xf>
    <xf numFmtId="1" fontId="17" fillId="2" borderId="0" xfId="11" applyNumberFormat="1" applyFont="1" applyFill="1" applyBorder="1" applyAlignment="1" applyProtection="1">
      <alignment vertical="center"/>
      <protection locked="0"/>
    </xf>
    <xf numFmtId="1" fontId="17" fillId="2" borderId="5" xfId="11" applyNumberFormat="1" applyFont="1" applyFill="1" applyBorder="1" applyAlignment="1" applyProtection="1">
      <alignment vertical="center"/>
      <protection locked="0"/>
    </xf>
    <xf numFmtId="1" fontId="17" fillId="2" borderId="1" xfId="11" applyNumberFormat="1" applyFont="1" applyFill="1" applyBorder="1" applyAlignment="1" applyProtection="1">
      <alignment vertical="center"/>
      <protection locked="0"/>
    </xf>
    <xf numFmtId="0" fontId="18" fillId="2" borderId="0" xfId="0" applyFont="1" applyFill="1"/>
    <xf numFmtId="164" fontId="5" fillId="2" borderId="0" xfId="11" applyNumberFormat="1" applyFont="1" applyFill="1" applyAlignment="1" applyProtection="1">
      <alignment vertical="center"/>
      <protection locked="0"/>
    </xf>
    <xf numFmtId="164" fontId="8" fillId="2" borderId="0" xfId="11" applyNumberFormat="1" applyFont="1" applyFill="1" applyBorder="1" applyAlignment="1" applyProtection="1">
      <alignment vertical="center" wrapText="1"/>
      <protection locked="0"/>
    </xf>
    <xf numFmtId="1" fontId="10" fillId="2" borderId="0" xfId="11" applyNumberFormat="1" applyFont="1" applyFill="1" applyBorder="1" applyAlignment="1" applyProtection="1">
      <alignment horizontal="center" vertical="center"/>
      <protection locked="0"/>
    </xf>
    <xf numFmtId="164" fontId="14" fillId="2" borderId="2" xfId="11" applyNumberFormat="1" applyFont="1" applyFill="1" applyBorder="1" applyAlignment="1" applyProtection="1">
      <alignment horizontal="left" vertical="center"/>
      <protection locked="0"/>
    </xf>
    <xf numFmtId="164" fontId="14" fillId="2" borderId="0" xfId="11" applyNumberFormat="1" applyFont="1" applyFill="1" applyBorder="1" applyAlignment="1" applyProtection="1">
      <alignment horizontal="left" vertical="center"/>
      <protection locked="0"/>
    </xf>
    <xf numFmtId="164" fontId="14" fillId="2" borderId="1" xfId="11" applyNumberFormat="1" applyFont="1" applyFill="1" applyBorder="1" applyAlignment="1" applyProtection="1">
      <alignment horizontal="left" vertical="center"/>
      <protection locked="0"/>
    </xf>
    <xf numFmtId="164" fontId="14" fillId="2" borderId="6" xfId="11" applyNumberFormat="1" applyFont="1" applyFill="1" applyBorder="1" applyAlignment="1" applyProtection="1">
      <alignment horizontal="center" vertical="center"/>
      <protection locked="0"/>
    </xf>
    <xf numFmtId="164" fontId="14" fillId="2" borderId="2" xfId="11" applyNumberFormat="1" applyFont="1" applyFill="1" applyBorder="1" applyAlignment="1" applyProtection="1">
      <alignment horizontal="center" vertical="center"/>
      <protection locked="0"/>
    </xf>
    <xf numFmtId="164" fontId="14" fillId="2" borderId="7" xfId="11" applyNumberFormat="1" applyFont="1" applyFill="1" applyBorder="1" applyAlignment="1" applyProtection="1">
      <alignment horizontal="center" vertical="center"/>
      <protection locked="0"/>
    </xf>
    <xf numFmtId="164" fontId="14" fillId="2" borderId="3" xfId="11" applyNumberFormat="1" applyFont="1" applyFill="1" applyBorder="1" applyAlignment="1" applyProtection="1">
      <alignment horizontal="center" vertical="center"/>
      <protection locked="0"/>
    </xf>
    <xf numFmtId="1" fontId="14" fillId="2" borderId="6" xfId="11" applyNumberFormat="1" applyFont="1" applyFill="1" applyBorder="1" applyAlignment="1" applyProtection="1">
      <alignment horizontal="center" vertical="center" wrapText="1"/>
      <protection locked="0"/>
    </xf>
    <xf numFmtId="1" fontId="14" fillId="2" borderId="2" xfId="11" applyNumberFormat="1" applyFont="1" applyFill="1" applyBorder="1" applyAlignment="1" applyProtection="1">
      <alignment horizontal="center" vertical="center" wrapText="1"/>
      <protection locked="0"/>
    </xf>
    <xf numFmtId="1" fontId="14" fillId="2" borderId="7" xfId="11" applyNumberFormat="1" applyFont="1" applyFill="1" applyBorder="1" applyAlignment="1" applyProtection="1">
      <alignment horizontal="center" vertical="center" wrapText="1"/>
      <protection locked="0"/>
    </xf>
    <xf numFmtId="1" fontId="14" fillId="2" borderId="3" xfId="11" applyNumberFormat="1" applyFont="1" applyFill="1" applyBorder="1" applyAlignment="1" applyProtection="1">
      <alignment horizontal="center" vertical="center" wrapText="1"/>
      <protection locked="0"/>
    </xf>
    <xf numFmtId="164" fontId="5" fillId="2" borderId="0" xfId="11" applyNumberFormat="1" applyFont="1" applyFill="1" applyAlignment="1" applyProtection="1">
      <alignment horizontal="center" vertical="center"/>
      <protection locked="0"/>
    </xf>
    <xf numFmtId="164" fontId="8" fillId="2" borderId="0" xfId="11" applyNumberFormat="1" applyFont="1" applyFill="1" applyBorder="1" applyAlignment="1" applyProtection="1">
      <alignment horizontal="center" vertical="center" wrapText="1"/>
      <protection locked="0"/>
    </xf>
    <xf numFmtId="164" fontId="11" fillId="2" borderId="0" xfId="11" applyNumberFormat="1" applyFont="1" applyFill="1" applyAlignment="1" applyProtection="1">
      <alignment horizontal="center"/>
      <protection locked="0"/>
    </xf>
    <xf numFmtId="164" fontId="11" fillId="2" borderId="1" xfId="11" applyNumberFormat="1" applyFont="1" applyFill="1" applyBorder="1" applyAlignment="1" applyProtection="1">
      <alignment vertical="center"/>
      <protection locked="0"/>
    </xf>
    <xf numFmtId="1" fontId="4" fillId="2" borderId="2" xfId="11" applyNumberFormat="1" applyFont="1" applyFill="1" applyBorder="1" applyAlignment="1" applyProtection="1">
      <alignment vertical="center"/>
      <protection locked="0"/>
    </xf>
  </cellXfs>
  <cellStyles count="14">
    <cellStyle name="Comma 2" xfId="13"/>
    <cellStyle name="Comma 3" xfId="5"/>
    <cellStyle name="Comma 4" xfId="3"/>
    <cellStyle name="Normal" xfId="0" builtinId="0"/>
    <cellStyle name="Normal 11" xfId="6"/>
    <cellStyle name="Normal 2" xfId="4"/>
    <cellStyle name="Normal 20" xfId="2"/>
    <cellStyle name="Normal 3" xfId="12"/>
    <cellStyle name="Normal 32" xfId="7"/>
    <cellStyle name="Normal 4" xfId="10"/>
    <cellStyle name="Normal 44" xfId="8"/>
    <cellStyle name="Normal 48" xfId="9"/>
    <cellStyle name="Normal 5" xfId="1"/>
    <cellStyle name="Normal_3 - Population" xfId="11"/>
  </cellStyles>
  <dxfs count="0"/>
  <tableStyles count="0" defaultTableStyle="TableStyleMedium2" defaultPivotStyle="PivotStyleLight16"/>
  <colors>
    <mruColors>
      <color rgb="FFCD9B69"/>
      <color rgb="FFA85400"/>
      <color rgb="FF996633"/>
      <color rgb="FFF3E6D9"/>
      <color rgb="FF993366"/>
      <color rgb="FF663300"/>
      <color rgb="FFEDDBC9"/>
      <color rgb="FFE3ABC7"/>
      <color rgb="FF990033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3.14: Marriages and Divorces in Male' and Atolls, 2013 - 2015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3129094401141506E-2"/>
          <c:y val="0.17123845223492679"/>
          <c:w val="0.8782754341900284"/>
          <c:h val="0.56172446625093286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'[1]3.17'!$AN$42</c:f>
              <c:strCache>
                <c:ptCount val="1"/>
              </c:strCache>
            </c:strRef>
          </c:tx>
          <c:spPr>
            <a:solidFill>
              <a:srgbClr val="1C706E"/>
            </a:solidFill>
          </c:spPr>
          <c:invertIfNegative val="0"/>
          <c:cat>
            <c:multiLvlStrRef>
              <c:f>'[1]3.17'!$AU$40:$AZ$41</c:f>
              <c:multiLvlStrCache>
                <c:ptCount val="6"/>
                <c:lvl>
                  <c:pt idx="0">
                    <c:v>Divorces </c:v>
                  </c:pt>
                  <c:pt idx="1">
                    <c:v>Marriages </c:v>
                  </c:pt>
                  <c:pt idx="2">
                    <c:v>Divorces </c:v>
                  </c:pt>
                  <c:pt idx="3">
                    <c:v>Marriages </c:v>
                  </c:pt>
                  <c:pt idx="4">
                    <c:v>Divorces </c:v>
                  </c:pt>
                  <c:pt idx="5">
                    <c:v>Marriages </c:v>
                  </c:pt>
                </c:lvl>
                <c:lvl>
                  <c:pt idx="1">
                    <c:v>2011</c:v>
                  </c:pt>
                  <c:pt idx="3">
                    <c:v>2012</c:v>
                  </c:pt>
                  <c:pt idx="5">
                    <c:v>2013</c:v>
                  </c:pt>
                </c:lvl>
              </c:multiLvlStrCache>
            </c:multiLvlStrRef>
          </c:cat>
          <c:val>
            <c:numRef>
              <c:f>'[1]3.17'!$AU$42:$AZ$42</c:f>
              <c:numCache>
                <c:formatCode>General</c:formatCode>
                <c:ptCount val="6"/>
                <c:pt idx="0">
                  <c:v>1248</c:v>
                </c:pt>
                <c:pt idx="1">
                  <c:v>2366</c:v>
                </c:pt>
                <c:pt idx="2">
                  <c:v>1209</c:v>
                </c:pt>
                <c:pt idx="3">
                  <c:v>2404</c:v>
                </c:pt>
                <c:pt idx="4">
                  <c:v>1320</c:v>
                </c:pt>
                <c:pt idx="5">
                  <c:v>2463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3-49AD-AAA2-A8C2484540DC}"/>
            </c:ext>
          </c:extLst>
        </c:ser>
        <c:ser>
          <c:idx val="7"/>
          <c:order val="1"/>
          <c:tx>
            <c:strRef>
              <c:f>'[1]3.17'!$AN$43</c:f>
              <c:strCache>
                <c:ptCount val="1"/>
              </c:strCache>
            </c:strRef>
          </c:tx>
          <c:spPr>
            <a:solidFill>
              <a:srgbClr val="33CCCC"/>
            </a:solidFill>
          </c:spPr>
          <c:invertIfNegative val="0"/>
          <c:cat>
            <c:multiLvlStrRef>
              <c:f>'[1]3.17'!$AU$40:$AZ$41</c:f>
              <c:multiLvlStrCache>
                <c:ptCount val="6"/>
                <c:lvl>
                  <c:pt idx="0">
                    <c:v>Divorces </c:v>
                  </c:pt>
                  <c:pt idx="1">
                    <c:v>Marriages </c:v>
                  </c:pt>
                  <c:pt idx="2">
                    <c:v>Divorces </c:v>
                  </c:pt>
                  <c:pt idx="3">
                    <c:v>Marriages </c:v>
                  </c:pt>
                  <c:pt idx="4">
                    <c:v>Divorces </c:v>
                  </c:pt>
                  <c:pt idx="5">
                    <c:v>Marriages </c:v>
                  </c:pt>
                </c:lvl>
                <c:lvl>
                  <c:pt idx="1">
                    <c:v>2011</c:v>
                  </c:pt>
                  <c:pt idx="3">
                    <c:v>2012</c:v>
                  </c:pt>
                  <c:pt idx="5">
                    <c:v>2013</c:v>
                  </c:pt>
                </c:lvl>
              </c:multiLvlStrCache>
            </c:multiLvlStrRef>
          </c:cat>
          <c:val>
            <c:numRef>
              <c:f>'[1]3.17'!$AU$44:$AZ$44</c:f>
              <c:numCache>
                <c:formatCode>General</c:formatCode>
                <c:ptCount val="6"/>
                <c:pt idx="0">
                  <c:v>1547</c:v>
                </c:pt>
                <c:pt idx="1">
                  <c:v>3649</c:v>
                </c:pt>
                <c:pt idx="2">
                  <c:v>1807</c:v>
                </c:pt>
                <c:pt idx="3">
                  <c:v>3295</c:v>
                </c:pt>
                <c:pt idx="4">
                  <c:v>1691</c:v>
                </c:pt>
                <c:pt idx="5">
                  <c:v>3157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83-49AD-AAA2-A8C248454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4494944"/>
        <c:axId val="534488280"/>
      </c:barChart>
      <c:catAx>
        <c:axId val="53449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4488280"/>
        <c:crosses val="autoZero"/>
        <c:auto val="1"/>
        <c:lblAlgn val="ctr"/>
        <c:lblOffset val="100"/>
        <c:noMultiLvlLbl val="0"/>
      </c:catAx>
      <c:valAx>
        <c:axId val="534488280"/>
        <c:scaling>
          <c:orientation val="minMax"/>
          <c:max val="40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1115971614659279E-2"/>
              <c:y val="5.5209153543307084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4494944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6292310683386795"/>
          <c:y val="0.20319963910761155"/>
          <c:w val="0.28933313891319146"/>
          <c:h val="9.4525508530183738E-2"/>
        </c:manualLayout>
      </c:layout>
      <c:overlay val="0"/>
      <c:txPr>
        <a:bodyPr/>
        <a:lstStyle/>
        <a:p>
          <a:pPr>
            <a:defRPr sz="78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200"/>
              <a:t>Figure 3.19: Marriages and Divorces in Male', Hulhumale'  and Atolls, 2016 - 2018</a:t>
            </a:r>
          </a:p>
        </c:rich>
      </c:tx>
      <c:layout>
        <c:manualLayout>
          <c:xMode val="edge"/>
          <c:yMode val="edge"/>
          <c:x val="0.15269736951139515"/>
          <c:y val="4.202740370465905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129094401141506E-2"/>
          <c:y val="0.17123845223492679"/>
          <c:w val="0.8782754341900284"/>
          <c:h val="0.60767886883429123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'3.17'!$AM$42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CD9B69"/>
            </a:solidFill>
          </c:spPr>
          <c:invertIfNegative val="0"/>
          <c:cat>
            <c:multiLvlStrRef>
              <c:f>'3.17'!$AZ$40:$BE$41</c:f>
              <c:multiLvlStrCache>
                <c:ptCount val="6"/>
                <c:lvl>
                  <c:pt idx="0">
                    <c:v>Marriages </c:v>
                  </c:pt>
                  <c:pt idx="1">
                    <c:v>Divorces </c:v>
                  </c:pt>
                  <c:pt idx="2">
                    <c:v>Marriages </c:v>
                  </c:pt>
                  <c:pt idx="3">
                    <c:v>Divorces </c:v>
                  </c:pt>
                  <c:pt idx="4">
                    <c:v>Marriages </c:v>
                  </c:pt>
                  <c:pt idx="5">
                    <c:v>Divorces </c:v>
                  </c:pt>
                </c:lvl>
                <c:lvl>
                  <c:pt idx="0">
                    <c:v>2016 </c:v>
                  </c:pt>
                  <c:pt idx="2">
                    <c:v>2017 </c:v>
                  </c:pt>
                  <c:pt idx="4">
                    <c:v>2018 </c:v>
                  </c:pt>
                </c:lvl>
              </c:multiLvlStrCache>
            </c:multiLvlStrRef>
          </c:cat>
          <c:val>
            <c:numRef>
              <c:f>'3.17'!$AZ$42:$BE$42</c:f>
              <c:numCache>
                <c:formatCode>General_)</c:formatCode>
                <c:ptCount val="6"/>
                <c:pt idx="0">
                  <c:v>2304</c:v>
                </c:pt>
                <c:pt idx="1">
                  <c:v>1341</c:v>
                </c:pt>
                <c:pt idx="2">
                  <c:v>2168</c:v>
                </c:pt>
                <c:pt idx="3">
                  <c:v>1248</c:v>
                </c:pt>
                <c:pt idx="4">
                  <c:v>2191</c:v>
                </c:pt>
                <c:pt idx="5">
                  <c:v>1156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5-4C59-A154-E1DB424A89EF}"/>
            </c:ext>
          </c:extLst>
        </c:ser>
        <c:ser>
          <c:idx val="7"/>
          <c:order val="1"/>
          <c:tx>
            <c:strRef>
              <c:f>'3.17'!$AM$43</c:f>
              <c:strCache>
                <c:ptCount val="1"/>
                <c:pt idx="0">
                  <c:v>Hulhumale'</c:v>
                </c:pt>
              </c:strCache>
            </c:strRef>
          </c:tx>
          <c:spPr>
            <a:solidFill>
              <a:srgbClr val="A85400"/>
            </a:solidFill>
          </c:spPr>
          <c:invertIfNegative val="0"/>
          <c:cat>
            <c:multiLvlStrRef>
              <c:f>'3.17'!$AZ$40:$BE$41</c:f>
              <c:multiLvlStrCache>
                <c:ptCount val="6"/>
                <c:lvl>
                  <c:pt idx="0">
                    <c:v>Marriages </c:v>
                  </c:pt>
                  <c:pt idx="1">
                    <c:v>Divorces </c:v>
                  </c:pt>
                  <c:pt idx="2">
                    <c:v>Marriages </c:v>
                  </c:pt>
                  <c:pt idx="3">
                    <c:v>Divorces </c:v>
                  </c:pt>
                  <c:pt idx="4">
                    <c:v>Marriages </c:v>
                  </c:pt>
                  <c:pt idx="5">
                    <c:v>Divorces </c:v>
                  </c:pt>
                </c:lvl>
                <c:lvl>
                  <c:pt idx="0">
                    <c:v>2016 </c:v>
                  </c:pt>
                  <c:pt idx="2">
                    <c:v>2017 </c:v>
                  </c:pt>
                  <c:pt idx="4">
                    <c:v>2018 </c:v>
                  </c:pt>
                </c:lvl>
              </c:multiLvlStrCache>
            </c:multiLvlStrRef>
          </c:cat>
          <c:val>
            <c:numRef>
              <c:f>'3.17'!$AZ$43:$BE$43</c:f>
              <c:numCache>
                <c:formatCode>General_)</c:formatCode>
                <c:ptCount val="6"/>
                <c:pt idx="0">
                  <c:v>223</c:v>
                </c:pt>
                <c:pt idx="1">
                  <c:v>155</c:v>
                </c:pt>
                <c:pt idx="2">
                  <c:v>207</c:v>
                </c:pt>
                <c:pt idx="3">
                  <c:v>149</c:v>
                </c:pt>
                <c:pt idx="4">
                  <c:v>258</c:v>
                </c:pt>
                <c:pt idx="5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C5-4C59-A154-E1DB424A89EF}"/>
            </c:ext>
          </c:extLst>
        </c:ser>
        <c:ser>
          <c:idx val="0"/>
          <c:order val="2"/>
          <c:tx>
            <c:strRef>
              <c:f>'3.17'!$AM$44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multiLvlStrRef>
              <c:f>'3.17'!$AZ$40:$BE$41</c:f>
              <c:multiLvlStrCache>
                <c:ptCount val="6"/>
                <c:lvl>
                  <c:pt idx="0">
                    <c:v>Marriages </c:v>
                  </c:pt>
                  <c:pt idx="1">
                    <c:v>Divorces </c:v>
                  </c:pt>
                  <c:pt idx="2">
                    <c:v>Marriages </c:v>
                  </c:pt>
                  <c:pt idx="3">
                    <c:v>Divorces </c:v>
                  </c:pt>
                  <c:pt idx="4">
                    <c:v>Marriages </c:v>
                  </c:pt>
                  <c:pt idx="5">
                    <c:v>Divorces </c:v>
                  </c:pt>
                </c:lvl>
                <c:lvl>
                  <c:pt idx="0">
                    <c:v>2016 </c:v>
                  </c:pt>
                  <c:pt idx="2">
                    <c:v>2017 </c:v>
                  </c:pt>
                  <c:pt idx="4">
                    <c:v>2018 </c:v>
                  </c:pt>
                </c:lvl>
              </c:multiLvlStrCache>
            </c:multiLvlStrRef>
          </c:cat>
          <c:val>
            <c:numRef>
              <c:f>'3.17'!$AZ$44:$BE$44</c:f>
              <c:numCache>
                <c:formatCode>General_)</c:formatCode>
                <c:ptCount val="6"/>
                <c:pt idx="0">
                  <c:v>2961</c:v>
                </c:pt>
                <c:pt idx="1">
                  <c:v>1921</c:v>
                </c:pt>
                <c:pt idx="2">
                  <c:v>2862</c:v>
                </c:pt>
                <c:pt idx="3">
                  <c:v>1814</c:v>
                </c:pt>
                <c:pt idx="4">
                  <c:v>2841</c:v>
                </c:pt>
                <c:pt idx="5">
                  <c:v>1793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C5-4C59-A154-E1DB424A8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4495728"/>
        <c:axId val="534496512"/>
      </c:barChart>
      <c:catAx>
        <c:axId val="53449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4496512"/>
        <c:crosses val="autoZero"/>
        <c:auto val="1"/>
        <c:lblAlgn val="ctr"/>
        <c:lblOffset val="100"/>
        <c:noMultiLvlLbl val="0"/>
      </c:catAx>
      <c:valAx>
        <c:axId val="534496512"/>
        <c:scaling>
          <c:orientation val="minMax"/>
          <c:max val="40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1116306707395364E-2"/>
              <c:y val="5.5208909697098671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4495728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4026545316647705"/>
          <c:y val="0.20319973516823911"/>
          <c:w val="0.327658906117964"/>
          <c:h val="9.4525391533265529E-2"/>
        </c:manualLayout>
      </c:layout>
      <c:overlay val="0"/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3.14: Marriages and Divorces in Male' and Atolls, 2013 - 2015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3129094401141506E-2"/>
          <c:y val="0.17123845223492679"/>
          <c:w val="0.8782754341900284"/>
          <c:h val="0.56172446625093286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'[1]3.17'!$AN$42</c:f>
              <c:strCache>
                <c:ptCount val="1"/>
              </c:strCache>
            </c:strRef>
          </c:tx>
          <c:spPr>
            <a:solidFill>
              <a:srgbClr val="1C706E"/>
            </a:solidFill>
          </c:spPr>
          <c:invertIfNegative val="0"/>
          <c:cat>
            <c:multiLvlStrRef>
              <c:f>'[1]3.17'!$AU$40:$AZ$41</c:f>
              <c:multiLvlStrCache>
                <c:ptCount val="6"/>
                <c:lvl>
                  <c:pt idx="0">
                    <c:v>Divorces </c:v>
                  </c:pt>
                  <c:pt idx="1">
                    <c:v>Marriages </c:v>
                  </c:pt>
                  <c:pt idx="2">
                    <c:v>Divorces </c:v>
                  </c:pt>
                  <c:pt idx="3">
                    <c:v>Marriages </c:v>
                  </c:pt>
                  <c:pt idx="4">
                    <c:v>Divorces </c:v>
                  </c:pt>
                  <c:pt idx="5">
                    <c:v>Marriages </c:v>
                  </c:pt>
                </c:lvl>
                <c:lvl>
                  <c:pt idx="1">
                    <c:v>2011</c:v>
                  </c:pt>
                  <c:pt idx="3">
                    <c:v>2012</c:v>
                  </c:pt>
                  <c:pt idx="5">
                    <c:v>2013</c:v>
                  </c:pt>
                </c:lvl>
              </c:multiLvlStrCache>
            </c:multiLvlStrRef>
          </c:cat>
          <c:val>
            <c:numRef>
              <c:f>'[1]3.17'!$AU$42:$AZ$42</c:f>
              <c:numCache>
                <c:formatCode>General</c:formatCode>
                <c:ptCount val="6"/>
                <c:pt idx="0">
                  <c:v>1248</c:v>
                </c:pt>
                <c:pt idx="1">
                  <c:v>2366</c:v>
                </c:pt>
                <c:pt idx="2">
                  <c:v>1209</c:v>
                </c:pt>
                <c:pt idx="3">
                  <c:v>2404</c:v>
                </c:pt>
                <c:pt idx="4">
                  <c:v>1320</c:v>
                </c:pt>
                <c:pt idx="5">
                  <c:v>2463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3-49AD-AAA2-A8C2484540DC}"/>
            </c:ext>
          </c:extLst>
        </c:ser>
        <c:ser>
          <c:idx val="7"/>
          <c:order val="1"/>
          <c:tx>
            <c:strRef>
              <c:f>'[1]3.17'!$AN$43</c:f>
              <c:strCache>
                <c:ptCount val="1"/>
              </c:strCache>
            </c:strRef>
          </c:tx>
          <c:spPr>
            <a:solidFill>
              <a:srgbClr val="33CCCC"/>
            </a:solidFill>
          </c:spPr>
          <c:invertIfNegative val="0"/>
          <c:cat>
            <c:multiLvlStrRef>
              <c:f>'[1]3.17'!$AU$40:$AZ$41</c:f>
              <c:multiLvlStrCache>
                <c:ptCount val="6"/>
                <c:lvl>
                  <c:pt idx="0">
                    <c:v>Divorces </c:v>
                  </c:pt>
                  <c:pt idx="1">
                    <c:v>Marriages </c:v>
                  </c:pt>
                  <c:pt idx="2">
                    <c:v>Divorces </c:v>
                  </c:pt>
                  <c:pt idx="3">
                    <c:v>Marriages </c:v>
                  </c:pt>
                  <c:pt idx="4">
                    <c:v>Divorces </c:v>
                  </c:pt>
                  <c:pt idx="5">
                    <c:v>Marriages </c:v>
                  </c:pt>
                </c:lvl>
                <c:lvl>
                  <c:pt idx="1">
                    <c:v>2011</c:v>
                  </c:pt>
                  <c:pt idx="3">
                    <c:v>2012</c:v>
                  </c:pt>
                  <c:pt idx="5">
                    <c:v>2013</c:v>
                  </c:pt>
                </c:lvl>
              </c:multiLvlStrCache>
            </c:multiLvlStrRef>
          </c:cat>
          <c:val>
            <c:numRef>
              <c:f>'[1]3.17'!$AU$44:$AZ$44</c:f>
              <c:numCache>
                <c:formatCode>General</c:formatCode>
                <c:ptCount val="6"/>
                <c:pt idx="0">
                  <c:v>1547</c:v>
                </c:pt>
                <c:pt idx="1">
                  <c:v>3649</c:v>
                </c:pt>
                <c:pt idx="2">
                  <c:v>1807</c:v>
                </c:pt>
                <c:pt idx="3">
                  <c:v>3295</c:v>
                </c:pt>
                <c:pt idx="4">
                  <c:v>1691</c:v>
                </c:pt>
                <c:pt idx="5">
                  <c:v>3157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83-49AD-AAA2-A8C248454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8410192"/>
        <c:axId val="534494552"/>
      </c:barChart>
      <c:catAx>
        <c:axId val="41841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4494552"/>
        <c:crosses val="autoZero"/>
        <c:auto val="1"/>
        <c:lblAlgn val="ctr"/>
        <c:lblOffset val="100"/>
        <c:noMultiLvlLbl val="0"/>
      </c:catAx>
      <c:valAx>
        <c:axId val="534494552"/>
        <c:scaling>
          <c:orientation val="minMax"/>
          <c:max val="40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1115971614659279E-2"/>
              <c:y val="5.5209153543307084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8410192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6292310683386795"/>
          <c:y val="0.20319963910761155"/>
          <c:w val="0.28933313891319146"/>
          <c:h val="9.4525508530183738E-2"/>
        </c:manualLayout>
      </c:layout>
      <c:overlay val="0"/>
      <c:txPr>
        <a:bodyPr/>
        <a:lstStyle/>
        <a:p>
          <a:pPr>
            <a:defRPr sz="78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/>
              <a:t>Figure 3.19: Marriages and Divorces in Male', Hulhumale'  and Atolls, 2016 - 2019</a:t>
            </a:r>
          </a:p>
        </c:rich>
      </c:tx>
      <c:layout>
        <c:manualLayout>
          <c:xMode val="edge"/>
          <c:yMode val="edge"/>
          <c:x val="0.14251281729715526"/>
          <c:y val="2.398808257075973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129094401141506E-2"/>
          <c:y val="0.17123845223492679"/>
          <c:w val="0.8782754341900284"/>
          <c:h val="0.60767886883429123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'[2]3.17'!$AW$42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CD9B69"/>
            </a:solidFill>
          </c:spPr>
          <c:invertIfNegative val="0"/>
          <c:cat>
            <c:multiLvlStrRef>
              <c:f>'[2]3.17'!$BJ$40:$BQ$41</c:f>
              <c:multiLvlStrCache>
                <c:ptCount val="8"/>
                <c:lvl>
                  <c:pt idx="0">
                    <c:v>Marriages </c:v>
                  </c:pt>
                  <c:pt idx="1">
                    <c:v>Divorces </c:v>
                  </c:pt>
                  <c:pt idx="2">
                    <c:v>Marriages </c:v>
                  </c:pt>
                  <c:pt idx="3">
                    <c:v>Divorces </c:v>
                  </c:pt>
                  <c:pt idx="4">
                    <c:v>Marriages </c:v>
                  </c:pt>
                  <c:pt idx="5">
                    <c:v>Divorces </c:v>
                  </c:pt>
                  <c:pt idx="6">
                    <c:v>Marriages </c:v>
                  </c:pt>
                  <c:pt idx="7">
                    <c:v>Divorces </c:v>
                  </c:pt>
                </c:lvl>
                <c:lvl>
                  <c:pt idx="0">
                    <c:v>2016</c:v>
                  </c:pt>
                  <c:pt idx="2">
                    <c:v>2017</c:v>
                  </c:pt>
                  <c:pt idx="4">
                    <c:v>2018</c:v>
                  </c:pt>
                  <c:pt idx="6">
                    <c:v>2019</c:v>
                  </c:pt>
                </c:lvl>
              </c:multiLvlStrCache>
            </c:multiLvlStrRef>
          </c:cat>
          <c:val>
            <c:numRef>
              <c:f>'[2]3.17'!$BJ$42:$BQ$42</c:f>
              <c:numCache>
                <c:formatCode>General</c:formatCode>
                <c:ptCount val="8"/>
                <c:pt idx="0">
                  <c:v>2304</c:v>
                </c:pt>
                <c:pt idx="1">
                  <c:v>1341</c:v>
                </c:pt>
                <c:pt idx="2">
                  <c:v>2168</c:v>
                </c:pt>
                <c:pt idx="3">
                  <c:v>1248</c:v>
                </c:pt>
                <c:pt idx="4">
                  <c:v>2191</c:v>
                </c:pt>
                <c:pt idx="5">
                  <c:v>1156</c:v>
                </c:pt>
                <c:pt idx="6">
                  <c:v>2055</c:v>
                </c:pt>
                <c:pt idx="7">
                  <c:v>1216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5-4C59-A154-E1DB424A89EF}"/>
            </c:ext>
          </c:extLst>
        </c:ser>
        <c:ser>
          <c:idx val="7"/>
          <c:order val="1"/>
          <c:tx>
            <c:strRef>
              <c:f>'[2]3.17'!$AW$43</c:f>
              <c:strCache>
                <c:ptCount val="1"/>
                <c:pt idx="0">
                  <c:v>Hulhumale'</c:v>
                </c:pt>
              </c:strCache>
            </c:strRef>
          </c:tx>
          <c:spPr>
            <a:solidFill>
              <a:srgbClr val="A85400"/>
            </a:solidFill>
          </c:spPr>
          <c:invertIfNegative val="0"/>
          <c:cat>
            <c:multiLvlStrRef>
              <c:f>'[2]3.17'!$BJ$40:$BQ$41</c:f>
              <c:multiLvlStrCache>
                <c:ptCount val="8"/>
                <c:lvl>
                  <c:pt idx="0">
                    <c:v>Marriages </c:v>
                  </c:pt>
                  <c:pt idx="1">
                    <c:v>Divorces </c:v>
                  </c:pt>
                  <c:pt idx="2">
                    <c:v>Marriages </c:v>
                  </c:pt>
                  <c:pt idx="3">
                    <c:v>Divorces </c:v>
                  </c:pt>
                  <c:pt idx="4">
                    <c:v>Marriages </c:v>
                  </c:pt>
                  <c:pt idx="5">
                    <c:v>Divorces </c:v>
                  </c:pt>
                  <c:pt idx="6">
                    <c:v>Marriages </c:v>
                  </c:pt>
                  <c:pt idx="7">
                    <c:v>Divorces </c:v>
                  </c:pt>
                </c:lvl>
                <c:lvl>
                  <c:pt idx="0">
                    <c:v>2016</c:v>
                  </c:pt>
                  <c:pt idx="2">
                    <c:v>2017</c:v>
                  </c:pt>
                  <c:pt idx="4">
                    <c:v>2018</c:v>
                  </c:pt>
                  <c:pt idx="6">
                    <c:v>2019</c:v>
                  </c:pt>
                </c:lvl>
              </c:multiLvlStrCache>
            </c:multiLvlStrRef>
          </c:cat>
          <c:val>
            <c:numRef>
              <c:f>'[2]3.17'!$BJ$43:$BQ$43</c:f>
              <c:numCache>
                <c:formatCode>General</c:formatCode>
                <c:ptCount val="8"/>
                <c:pt idx="0">
                  <c:v>223</c:v>
                </c:pt>
                <c:pt idx="1">
                  <c:v>155</c:v>
                </c:pt>
                <c:pt idx="2">
                  <c:v>207</c:v>
                </c:pt>
                <c:pt idx="3">
                  <c:v>149</c:v>
                </c:pt>
                <c:pt idx="4">
                  <c:v>258</c:v>
                </c:pt>
                <c:pt idx="5">
                  <c:v>217</c:v>
                </c:pt>
                <c:pt idx="6">
                  <c:v>312</c:v>
                </c:pt>
                <c:pt idx="7">
                  <c:v>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C5-4C59-A154-E1DB424A89EF}"/>
            </c:ext>
          </c:extLst>
        </c:ser>
        <c:ser>
          <c:idx val="0"/>
          <c:order val="2"/>
          <c:tx>
            <c:strRef>
              <c:f>'[2]3.17'!$AW$44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multiLvlStrRef>
              <c:f>'[2]3.17'!$BJ$40:$BQ$41</c:f>
              <c:multiLvlStrCache>
                <c:ptCount val="8"/>
                <c:lvl>
                  <c:pt idx="0">
                    <c:v>Marriages </c:v>
                  </c:pt>
                  <c:pt idx="1">
                    <c:v>Divorces </c:v>
                  </c:pt>
                  <c:pt idx="2">
                    <c:v>Marriages </c:v>
                  </c:pt>
                  <c:pt idx="3">
                    <c:v>Divorces </c:v>
                  </c:pt>
                  <c:pt idx="4">
                    <c:v>Marriages </c:v>
                  </c:pt>
                  <c:pt idx="5">
                    <c:v>Divorces </c:v>
                  </c:pt>
                  <c:pt idx="6">
                    <c:v>Marriages </c:v>
                  </c:pt>
                  <c:pt idx="7">
                    <c:v>Divorces </c:v>
                  </c:pt>
                </c:lvl>
                <c:lvl>
                  <c:pt idx="0">
                    <c:v>2016</c:v>
                  </c:pt>
                  <c:pt idx="2">
                    <c:v>2017</c:v>
                  </c:pt>
                  <c:pt idx="4">
                    <c:v>2018</c:v>
                  </c:pt>
                  <c:pt idx="6">
                    <c:v>2019</c:v>
                  </c:pt>
                </c:lvl>
              </c:multiLvlStrCache>
            </c:multiLvlStrRef>
          </c:cat>
          <c:val>
            <c:numRef>
              <c:f>'[2]3.17'!$BJ$44:$BQ$44</c:f>
              <c:numCache>
                <c:formatCode>General</c:formatCode>
                <c:ptCount val="8"/>
                <c:pt idx="0">
                  <c:v>2961</c:v>
                </c:pt>
                <c:pt idx="1">
                  <c:v>1921</c:v>
                </c:pt>
                <c:pt idx="2">
                  <c:v>2862</c:v>
                </c:pt>
                <c:pt idx="3">
                  <c:v>1814</c:v>
                </c:pt>
                <c:pt idx="4">
                  <c:v>2841</c:v>
                </c:pt>
                <c:pt idx="5">
                  <c:v>1793</c:v>
                </c:pt>
                <c:pt idx="6">
                  <c:v>2702</c:v>
                </c:pt>
                <c:pt idx="7">
                  <c:v>1854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C5-4C59-A154-E1DB424A8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4487496"/>
        <c:axId val="534489848"/>
      </c:barChart>
      <c:catAx>
        <c:axId val="534487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4489848"/>
        <c:crosses val="autoZero"/>
        <c:auto val="1"/>
        <c:lblAlgn val="ctr"/>
        <c:lblOffset val="100"/>
        <c:noMultiLvlLbl val="0"/>
      </c:catAx>
      <c:valAx>
        <c:axId val="534489848"/>
        <c:scaling>
          <c:orientation val="minMax"/>
          <c:max val="40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1116306707395364E-2"/>
              <c:y val="5.5208909697098671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4487496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4026545316647705"/>
          <c:y val="0.20319973516823911"/>
          <c:w val="0.327658906117964"/>
          <c:h val="9.4525391533265529E-2"/>
        </c:manualLayout>
      </c:layout>
      <c:overlay val="0"/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33</xdr:row>
      <xdr:rowOff>0</xdr:rowOff>
    </xdr:from>
    <xdr:to>
      <xdr:col>3</xdr:col>
      <xdr:colOff>428625</xdr:colOff>
      <xdr:row>47</xdr:row>
      <xdr:rowOff>85725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32</xdr:row>
      <xdr:rowOff>165651</xdr:rowOff>
    </xdr:from>
    <xdr:to>
      <xdr:col>16</xdr:col>
      <xdr:colOff>0</xdr:colOff>
      <xdr:row>54</xdr:row>
      <xdr:rowOff>13803</xdr:rowOff>
    </xdr:to>
    <xdr:graphicFrame macro="">
      <xdr:nvGraphicFramePr>
        <xdr:cNvPr id="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3</xdr:col>
      <xdr:colOff>428625</xdr:colOff>
      <xdr:row>47</xdr:row>
      <xdr:rowOff>85725</xdr:rowOff>
    </xdr:to>
    <xdr:graphicFrame macro="">
      <xdr:nvGraphicFramePr>
        <xdr:cNvPr id="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32</xdr:row>
      <xdr:rowOff>165651</xdr:rowOff>
    </xdr:from>
    <xdr:to>
      <xdr:col>21</xdr:col>
      <xdr:colOff>247650</xdr:colOff>
      <xdr:row>54</xdr:row>
      <xdr:rowOff>13803</xdr:rowOff>
    </xdr:to>
    <xdr:graphicFrame macro="">
      <xdr:nvGraphicFramePr>
        <xdr:cNvPr id="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\Desktop\yearbook%202020%20=update\SYB%202020_Final\FINAL\3.%20POPUL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20/SYB%202020%20_latest/YEARBOOK%202020_Final/FINAL/3.%20POP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0">
          <cell r="BJ40">
            <v>2016</v>
          </cell>
          <cell r="BL40">
            <v>2017</v>
          </cell>
          <cell r="BN40">
            <v>2018</v>
          </cell>
          <cell r="BP40">
            <v>2019</v>
          </cell>
        </row>
        <row r="41">
          <cell r="BJ41" t="str">
            <v xml:space="preserve">Marriages </v>
          </cell>
          <cell r="BK41" t="str">
            <v xml:space="preserve">Divorces </v>
          </cell>
          <cell r="BL41" t="str">
            <v xml:space="preserve">Marriages </v>
          </cell>
          <cell r="BM41" t="str">
            <v xml:space="preserve">Divorces </v>
          </cell>
          <cell r="BN41" t="str">
            <v xml:space="preserve">Marriages </v>
          </cell>
          <cell r="BO41" t="str">
            <v xml:space="preserve">Divorces </v>
          </cell>
          <cell r="BP41" t="str">
            <v xml:space="preserve">Marriages </v>
          </cell>
          <cell r="BQ41" t="str">
            <v xml:space="preserve">Divorces </v>
          </cell>
        </row>
        <row r="42">
          <cell r="AW42" t="str">
            <v>Male'</v>
          </cell>
          <cell r="BJ42">
            <v>2304</v>
          </cell>
          <cell r="BK42">
            <v>1341</v>
          </cell>
          <cell r="BL42">
            <v>2168</v>
          </cell>
          <cell r="BM42">
            <v>1248</v>
          </cell>
          <cell r="BN42">
            <v>2191</v>
          </cell>
          <cell r="BO42">
            <v>1156</v>
          </cell>
          <cell r="BP42">
            <v>2055</v>
          </cell>
          <cell r="BQ42">
            <v>1216</v>
          </cell>
        </row>
        <row r="43">
          <cell r="AW43" t="str">
            <v>Hulhumale'</v>
          </cell>
          <cell r="BJ43">
            <v>223</v>
          </cell>
          <cell r="BK43">
            <v>155</v>
          </cell>
          <cell r="BL43">
            <v>207</v>
          </cell>
          <cell r="BM43">
            <v>149</v>
          </cell>
          <cell r="BN43">
            <v>258</v>
          </cell>
          <cell r="BO43">
            <v>217</v>
          </cell>
          <cell r="BP43">
            <v>312</v>
          </cell>
          <cell r="BQ43">
            <v>359</v>
          </cell>
        </row>
        <row r="44">
          <cell r="AW44" t="str">
            <v>Atolls</v>
          </cell>
          <cell r="BJ44">
            <v>2961</v>
          </cell>
          <cell r="BK44">
            <v>1921</v>
          </cell>
          <cell r="BL44">
            <v>2862</v>
          </cell>
          <cell r="BM44">
            <v>1814</v>
          </cell>
          <cell r="BN44">
            <v>2841</v>
          </cell>
          <cell r="BO44">
            <v>1793</v>
          </cell>
          <cell r="BP44">
            <v>2702</v>
          </cell>
          <cell r="BQ44">
            <v>1854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2">
          <cell r="BJ42">
            <v>2304</v>
          </cell>
          <cell r="BK42">
            <v>1341</v>
          </cell>
          <cell r="BL42">
            <v>2168</v>
          </cell>
          <cell r="BM42">
            <v>1248</v>
          </cell>
          <cell r="BN42">
            <v>2191</v>
          </cell>
          <cell r="BO42">
            <v>1156</v>
          </cell>
          <cell r="BP42">
            <v>2055</v>
          </cell>
          <cell r="BQ42">
            <v>1260</v>
          </cell>
        </row>
        <row r="43">
          <cell r="BJ43">
            <v>223</v>
          </cell>
          <cell r="BK43">
            <v>155</v>
          </cell>
          <cell r="BL43">
            <v>207</v>
          </cell>
          <cell r="BM43">
            <v>149</v>
          </cell>
          <cell r="BN43">
            <v>258</v>
          </cell>
          <cell r="BO43">
            <v>217</v>
          </cell>
          <cell r="BP43">
            <v>312</v>
          </cell>
          <cell r="BQ43">
            <v>359</v>
          </cell>
        </row>
        <row r="44">
          <cell r="BJ44">
            <v>2961</v>
          </cell>
          <cell r="BK44">
            <v>1921</v>
          </cell>
          <cell r="BL44">
            <v>2862</v>
          </cell>
          <cell r="BM44">
            <v>1814</v>
          </cell>
          <cell r="BN44">
            <v>2841</v>
          </cell>
          <cell r="BO44">
            <v>1793</v>
          </cell>
          <cell r="BP44">
            <v>2702</v>
          </cell>
          <cell r="BQ44">
            <v>1931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16"/>
  <sheetViews>
    <sheetView tabSelected="1" view="pageBreakPreview" zoomScale="98" zoomScaleNormal="98" zoomScaleSheetLayoutView="98" workbookViewId="0">
      <selection activeCell="X19" sqref="X19"/>
    </sheetView>
  </sheetViews>
  <sheetFormatPr defaultRowHeight="12.75" x14ac:dyDescent="0.2"/>
  <cols>
    <col min="1" max="1" width="11.7109375" style="56" customWidth="1"/>
    <col min="2" max="2" width="1.7109375" style="57" customWidth="1"/>
    <col min="3" max="6" width="8.85546875" style="57" customWidth="1"/>
    <col min="7" max="7" width="1.85546875" style="57" customWidth="1"/>
    <col min="8" max="11" width="8.85546875" style="57" customWidth="1"/>
    <col min="12" max="12" width="1.85546875" style="57" customWidth="1"/>
    <col min="13" max="20" width="8.85546875" style="57" customWidth="1"/>
    <col min="21" max="21" width="11.140625" style="57" customWidth="1"/>
    <col min="22" max="23" width="11.85546875" style="56" customWidth="1"/>
    <col min="24" max="37" width="18" style="47" customWidth="1"/>
    <col min="38" max="38" width="6.28515625" style="47" customWidth="1"/>
    <col min="39" max="39" width="7" style="47" customWidth="1"/>
    <col min="40" max="45" width="6.28515625" style="47" customWidth="1"/>
    <col min="46" max="59" width="9.140625" style="47"/>
    <col min="60" max="149" width="9.140625" style="56"/>
    <col min="150" max="150" width="11.7109375" style="56" customWidth="1"/>
    <col min="151" max="165" width="0" style="56" hidden="1" customWidth="1"/>
    <col min="166" max="169" width="8.85546875" style="56" customWidth="1"/>
    <col min="170" max="170" width="1.85546875" style="56" customWidth="1"/>
    <col min="171" max="174" width="8.85546875" style="56" customWidth="1"/>
    <col min="175" max="175" width="1.85546875" style="56" customWidth="1"/>
    <col min="176" max="179" width="8.85546875" style="56" customWidth="1"/>
    <col min="180" max="180" width="11.140625" style="56" customWidth="1"/>
    <col min="181" max="182" width="11.85546875" style="56" customWidth="1"/>
    <col min="183" max="192" width="18" style="56" customWidth="1"/>
    <col min="193" max="193" width="6.28515625" style="56" customWidth="1"/>
    <col min="194" max="194" width="7" style="56" customWidth="1"/>
    <col min="195" max="200" width="6.28515625" style="56" customWidth="1"/>
    <col min="201" max="405" width="9.140625" style="56"/>
    <col min="406" max="406" width="11.7109375" style="56" customWidth="1"/>
    <col min="407" max="421" width="0" style="56" hidden="1" customWidth="1"/>
    <col min="422" max="425" width="8.85546875" style="56" customWidth="1"/>
    <col min="426" max="426" width="1.85546875" style="56" customWidth="1"/>
    <col min="427" max="430" width="8.85546875" style="56" customWidth="1"/>
    <col min="431" max="431" width="1.85546875" style="56" customWidth="1"/>
    <col min="432" max="435" width="8.85546875" style="56" customWidth="1"/>
    <col min="436" max="436" width="11.140625" style="56" customWidth="1"/>
    <col min="437" max="438" width="11.85546875" style="56" customWidth="1"/>
    <col min="439" max="448" width="18" style="56" customWidth="1"/>
    <col min="449" max="449" width="6.28515625" style="56" customWidth="1"/>
    <col min="450" max="450" width="7" style="56" customWidth="1"/>
    <col min="451" max="456" width="6.28515625" style="56" customWidth="1"/>
    <col min="457" max="661" width="9.140625" style="56"/>
    <col min="662" max="662" width="11.7109375" style="56" customWidth="1"/>
    <col min="663" max="677" width="0" style="56" hidden="1" customWidth="1"/>
    <col min="678" max="681" width="8.85546875" style="56" customWidth="1"/>
    <col min="682" max="682" width="1.85546875" style="56" customWidth="1"/>
    <col min="683" max="686" width="8.85546875" style="56" customWidth="1"/>
    <col min="687" max="687" width="1.85546875" style="56" customWidth="1"/>
    <col min="688" max="691" width="8.85546875" style="56" customWidth="1"/>
    <col min="692" max="692" width="11.140625" style="56" customWidth="1"/>
    <col min="693" max="694" width="11.85546875" style="56" customWidth="1"/>
    <col min="695" max="704" width="18" style="56" customWidth="1"/>
    <col min="705" max="705" width="6.28515625" style="56" customWidth="1"/>
    <col min="706" max="706" width="7" style="56" customWidth="1"/>
    <col min="707" max="712" width="6.28515625" style="56" customWidth="1"/>
    <col min="713" max="917" width="9.140625" style="56"/>
    <col min="918" max="918" width="11.7109375" style="56" customWidth="1"/>
    <col min="919" max="933" width="0" style="56" hidden="1" customWidth="1"/>
    <col min="934" max="937" width="8.85546875" style="56" customWidth="1"/>
    <col min="938" max="938" width="1.85546875" style="56" customWidth="1"/>
    <col min="939" max="942" width="8.85546875" style="56" customWidth="1"/>
    <col min="943" max="943" width="1.85546875" style="56" customWidth="1"/>
    <col min="944" max="947" width="8.85546875" style="56" customWidth="1"/>
    <col min="948" max="948" width="11.140625" style="56" customWidth="1"/>
    <col min="949" max="950" width="11.85546875" style="56" customWidth="1"/>
    <col min="951" max="960" width="18" style="56" customWidth="1"/>
    <col min="961" max="961" width="6.28515625" style="56" customWidth="1"/>
    <col min="962" max="962" width="7" style="56" customWidth="1"/>
    <col min="963" max="968" width="6.28515625" style="56" customWidth="1"/>
    <col min="969" max="1173" width="9.140625" style="56"/>
    <col min="1174" max="1174" width="11.7109375" style="56" customWidth="1"/>
    <col min="1175" max="1189" width="0" style="56" hidden="1" customWidth="1"/>
    <col min="1190" max="1193" width="8.85546875" style="56" customWidth="1"/>
    <col min="1194" max="1194" width="1.85546875" style="56" customWidth="1"/>
    <col min="1195" max="1198" width="8.85546875" style="56" customWidth="1"/>
    <col min="1199" max="1199" width="1.85546875" style="56" customWidth="1"/>
    <col min="1200" max="1203" width="8.85546875" style="56" customWidth="1"/>
    <col min="1204" max="1204" width="11.140625" style="56" customWidth="1"/>
    <col min="1205" max="1206" width="11.85546875" style="56" customWidth="1"/>
    <col min="1207" max="1216" width="18" style="56" customWidth="1"/>
    <col min="1217" max="1217" width="6.28515625" style="56" customWidth="1"/>
    <col min="1218" max="1218" width="7" style="56" customWidth="1"/>
    <col min="1219" max="1224" width="6.28515625" style="56" customWidth="1"/>
    <col min="1225" max="1429" width="9.140625" style="56"/>
    <col min="1430" max="1430" width="11.7109375" style="56" customWidth="1"/>
    <col min="1431" max="1445" width="0" style="56" hidden="1" customWidth="1"/>
    <col min="1446" max="1449" width="8.85546875" style="56" customWidth="1"/>
    <col min="1450" max="1450" width="1.85546875" style="56" customWidth="1"/>
    <col min="1451" max="1454" width="8.85546875" style="56" customWidth="1"/>
    <col min="1455" max="1455" width="1.85546875" style="56" customWidth="1"/>
    <col min="1456" max="1459" width="8.85546875" style="56" customWidth="1"/>
    <col min="1460" max="1460" width="11.140625" style="56" customWidth="1"/>
    <col min="1461" max="1462" width="11.85546875" style="56" customWidth="1"/>
    <col min="1463" max="1472" width="18" style="56" customWidth="1"/>
    <col min="1473" max="1473" width="6.28515625" style="56" customWidth="1"/>
    <col min="1474" max="1474" width="7" style="56" customWidth="1"/>
    <col min="1475" max="1480" width="6.28515625" style="56" customWidth="1"/>
    <col min="1481" max="1685" width="9.140625" style="56"/>
    <col min="1686" max="1686" width="11.7109375" style="56" customWidth="1"/>
    <col min="1687" max="1701" width="0" style="56" hidden="1" customWidth="1"/>
    <col min="1702" max="1705" width="8.85546875" style="56" customWidth="1"/>
    <col min="1706" max="1706" width="1.85546875" style="56" customWidth="1"/>
    <col min="1707" max="1710" width="8.85546875" style="56" customWidth="1"/>
    <col min="1711" max="1711" width="1.85546875" style="56" customWidth="1"/>
    <col min="1712" max="1715" width="8.85546875" style="56" customWidth="1"/>
    <col min="1716" max="1716" width="11.140625" style="56" customWidth="1"/>
    <col min="1717" max="1718" width="11.85546875" style="56" customWidth="1"/>
    <col min="1719" max="1728" width="18" style="56" customWidth="1"/>
    <col min="1729" max="1729" width="6.28515625" style="56" customWidth="1"/>
    <col min="1730" max="1730" width="7" style="56" customWidth="1"/>
    <col min="1731" max="1736" width="6.28515625" style="56" customWidth="1"/>
    <col min="1737" max="1941" width="9.140625" style="56"/>
    <col min="1942" max="1942" width="11.7109375" style="56" customWidth="1"/>
    <col min="1943" max="1957" width="0" style="56" hidden="1" customWidth="1"/>
    <col min="1958" max="1961" width="8.85546875" style="56" customWidth="1"/>
    <col min="1962" max="1962" width="1.85546875" style="56" customWidth="1"/>
    <col min="1963" max="1966" width="8.85546875" style="56" customWidth="1"/>
    <col min="1967" max="1967" width="1.85546875" style="56" customWidth="1"/>
    <col min="1968" max="1971" width="8.85546875" style="56" customWidth="1"/>
    <col min="1972" max="1972" width="11.140625" style="56" customWidth="1"/>
    <col min="1973" max="1974" width="11.85546875" style="56" customWidth="1"/>
    <col min="1975" max="1984" width="18" style="56" customWidth="1"/>
    <col min="1985" max="1985" width="6.28515625" style="56" customWidth="1"/>
    <col min="1986" max="1986" width="7" style="56" customWidth="1"/>
    <col min="1987" max="1992" width="6.28515625" style="56" customWidth="1"/>
    <col min="1993" max="2197" width="9.140625" style="56"/>
    <col min="2198" max="2198" width="11.7109375" style="56" customWidth="1"/>
    <col min="2199" max="2213" width="0" style="56" hidden="1" customWidth="1"/>
    <col min="2214" max="2217" width="8.85546875" style="56" customWidth="1"/>
    <col min="2218" max="2218" width="1.85546875" style="56" customWidth="1"/>
    <col min="2219" max="2222" width="8.85546875" style="56" customWidth="1"/>
    <col min="2223" max="2223" width="1.85546875" style="56" customWidth="1"/>
    <col min="2224" max="2227" width="8.85546875" style="56" customWidth="1"/>
    <col min="2228" max="2228" width="11.140625" style="56" customWidth="1"/>
    <col min="2229" max="2230" width="11.85546875" style="56" customWidth="1"/>
    <col min="2231" max="2240" width="18" style="56" customWidth="1"/>
    <col min="2241" max="2241" width="6.28515625" style="56" customWidth="1"/>
    <col min="2242" max="2242" width="7" style="56" customWidth="1"/>
    <col min="2243" max="2248" width="6.28515625" style="56" customWidth="1"/>
    <col min="2249" max="2453" width="9.140625" style="56"/>
    <col min="2454" max="2454" width="11.7109375" style="56" customWidth="1"/>
    <col min="2455" max="2469" width="0" style="56" hidden="1" customWidth="1"/>
    <col min="2470" max="2473" width="8.85546875" style="56" customWidth="1"/>
    <col min="2474" max="2474" width="1.85546875" style="56" customWidth="1"/>
    <col min="2475" max="2478" width="8.85546875" style="56" customWidth="1"/>
    <col min="2479" max="2479" width="1.85546875" style="56" customWidth="1"/>
    <col min="2480" max="2483" width="8.85546875" style="56" customWidth="1"/>
    <col min="2484" max="2484" width="11.140625" style="56" customWidth="1"/>
    <col min="2485" max="2486" width="11.85546875" style="56" customWidth="1"/>
    <col min="2487" max="2496" width="18" style="56" customWidth="1"/>
    <col min="2497" max="2497" width="6.28515625" style="56" customWidth="1"/>
    <col min="2498" max="2498" width="7" style="56" customWidth="1"/>
    <col min="2499" max="2504" width="6.28515625" style="56" customWidth="1"/>
    <col min="2505" max="2709" width="9.140625" style="56"/>
    <col min="2710" max="2710" width="11.7109375" style="56" customWidth="1"/>
    <col min="2711" max="2725" width="0" style="56" hidden="1" customWidth="1"/>
    <col min="2726" max="2729" width="8.85546875" style="56" customWidth="1"/>
    <col min="2730" max="2730" width="1.85546875" style="56" customWidth="1"/>
    <col min="2731" max="2734" width="8.85546875" style="56" customWidth="1"/>
    <col min="2735" max="2735" width="1.85546875" style="56" customWidth="1"/>
    <col min="2736" max="2739" width="8.85546875" style="56" customWidth="1"/>
    <col min="2740" max="2740" width="11.140625" style="56" customWidth="1"/>
    <col min="2741" max="2742" width="11.85546875" style="56" customWidth="1"/>
    <col min="2743" max="2752" width="18" style="56" customWidth="1"/>
    <col min="2753" max="2753" width="6.28515625" style="56" customWidth="1"/>
    <col min="2754" max="2754" width="7" style="56" customWidth="1"/>
    <col min="2755" max="2760" width="6.28515625" style="56" customWidth="1"/>
    <col min="2761" max="2965" width="9.140625" style="56"/>
    <col min="2966" max="2966" width="11.7109375" style="56" customWidth="1"/>
    <col min="2967" max="2981" width="0" style="56" hidden="1" customWidth="1"/>
    <col min="2982" max="2985" width="8.85546875" style="56" customWidth="1"/>
    <col min="2986" max="2986" width="1.85546875" style="56" customWidth="1"/>
    <col min="2987" max="2990" width="8.85546875" style="56" customWidth="1"/>
    <col min="2991" max="2991" width="1.85546875" style="56" customWidth="1"/>
    <col min="2992" max="2995" width="8.85546875" style="56" customWidth="1"/>
    <col min="2996" max="2996" width="11.140625" style="56" customWidth="1"/>
    <col min="2997" max="2998" width="11.85546875" style="56" customWidth="1"/>
    <col min="2999" max="3008" width="18" style="56" customWidth="1"/>
    <col min="3009" max="3009" width="6.28515625" style="56" customWidth="1"/>
    <col min="3010" max="3010" width="7" style="56" customWidth="1"/>
    <col min="3011" max="3016" width="6.28515625" style="56" customWidth="1"/>
    <col min="3017" max="3221" width="9.140625" style="56"/>
    <col min="3222" max="3222" width="11.7109375" style="56" customWidth="1"/>
    <col min="3223" max="3237" width="0" style="56" hidden="1" customWidth="1"/>
    <col min="3238" max="3241" width="8.85546875" style="56" customWidth="1"/>
    <col min="3242" max="3242" width="1.85546875" style="56" customWidth="1"/>
    <col min="3243" max="3246" width="8.85546875" style="56" customWidth="1"/>
    <col min="3247" max="3247" width="1.85546875" style="56" customWidth="1"/>
    <col min="3248" max="3251" width="8.85546875" style="56" customWidth="1"/>
    <col min="3252" max="3252" width="11.140625" style="56" customWidth="1"/>
    <col min="3253" max="3254" width="11.85546875" style="56" customWidth="1"/>
    <col min="3255" max="3264" width="18" style="56" customWidth="1"/>
    <col min="3265" max="3265" width="6.28515625" style="56" customWidth="1"/>
    <col min="3266" max="3266" width="7" style="56" customWidth="1"/>
    <col min="3267" max="3272" width="6.28515625" style="56" customWidth="1"/>
    <col min="3273" max="3477" width="9.140625" style="56"/>
    <col min="3478" max="3478" width="11.7109375" style="56" customWidth="1"/>
    <col min="3479" max="3493" width="0" style="56" hidden="1" customWidth="1"/>
    <col min="3494" max="3497" width="8.85546875" style="56" customWidth="1"/>
    <col min="3498" max="3498" width="1.85546875" style="56" customWidth="1"/>
    <col min="3499" max="3502" width="8.85546875" style="56" customWidth="1"/>
    <col min="3503" max="3503" width="1.85546875" style="56" customWidth="1"/>
    <col min="3504" max="3507" width="8.85546875" style="56" customWidth="1"/>
    <col min="3508" max="3508" width="11.140625" style="56" customWidth="1"/>
    <col min="3509" max="3510" width="11.85546875" style="56" customWidth="1"/>
    <col min="3511" max="3520" width="18" style="56" customWidth="1"/>
    <col min="3521" max="3521" width="6.28515625" style="56" customWidth="1"/>
    <col min="3522" max="3522" width="7" style="56" customWidth="1"/>
    <col min="3523" max="3528" width="6.28515625" style="56" customWidth="1"/>
    <col min="3529" max="3733" width="9.140625" style="56"/>
    <col min="3734" max="3734" width="11.7109375" style="56" customWidth="1"/>
    <col min="3735" max="3749" width="0" style="56" hidden="1" customWidth="1"/>
    <col min="3750" max="3753" width="8.85546875" style="56" customWidth="1"/>
    <col min="3754" max="3754" width="1.85546875" style="56" customWidth="1"/>
    <col min="3755" max="3758" width="8.85546875" style="56" customWidth="1"/>
    <col min="3759" max="3759" width="1.85546875" style="56" customWidth="1"/>
    <col min="3760" max="3763" width="8.85546875" style="56" customWidth="1"/>
    <col min="3764" max="3764" width="11.140625" style="56" customWidth="1"/>
    <col min="3765" max="3766" width="11.85546875" style="56" customWidth="1"/>
    <col min="3767" max="3776" width="18" style="56" customWidth="1"/>
    <col min="3777" max="3777" width="6.28515625" style="56" customWidth="1"/>
    <col min="3778" max="3778" width="7" style="56" customWidth="1"/>
    <col min="3779" max="3784" width="6.28515625" style="56" customWidth="1"/>
    <col min="3785" max="3989" width="9.140625" style="56"/>
    <col min="3990" max="3990" width="11.7109375" style="56" customWidth="1"/>
    <col min="3991" max="4005" width="0" style="56" hidden="1" customWidth="1"/>
    <col min="4006" max="4009" width="8.85546875" style="56" customWidth="1"/>
    <col min="4010" max="4010" width="1.85546875" style="56" customWidth="1"/>
    <col min="4011" max="4014" width="8.85546875" style="56" customWidth="1"/>
    <col min="4015" max="4015" width="1.85546875" style="56" customWidth="1"/>
    <col min="4016" max="4019" width="8.85546875" style="56" customWidth="1"/>
    <col min="4020" max="4020" width="11.140625" style="56" customWidth="1"/>
    <col min="4021" max="4022" width="11.85546875" style="56" customWidth="1"/>
    <col min="4023" max="4032" width="18" style="56" customWidth="1"/>
    <col min="4033" max="4033" width="6.28515625" style="56" customWidth="1"/>
    <col min="4034" max="4034" width="7" style="56" customWidth="1"/>
    <col min="4035" max="4040" width="6.28515625" style="56" customWidth="1"/>
    <col min="4041" max="4245" width="9.140625" style="56"/>
    <col min="4246" max="4246" width="11.7109375" style="56" customWidth="1"/>
    <col min="4247" max="4261" width="0" style="56" hidden="1" customWidth="1"/>
    <col min="4262" max="4265" width="8.85546875" style="56" customWidth="1"/>
    <col min="4266" max="4266" width="1.85546875" style="56" customWidth="1"/>
    <col min="4267" max="4270" width="8.85546875" style="56" customWidth="1"/>
    <col min="4271" max="4271" width="1.85546875" style="56" customWidth="1"/>
    <col min="4272" max="4275" width="8.85546875" style="56" customWidth="1"/>
    <col min="4276" max="4276" width="11.140625" style="56" customWidth="1"/>
    <col min="4277" max="4278" width="11.85546875" style="56" customWidth="1"/>
    <col min="4279" max="4288" width="18" style="56" customWidth="1"/>
    <col min="4289" max="4289" width="6.28515625" style="56" customWidth="1"/>
    <col min="4290" max="4290" width="7" style="56" customWidth="1"/>
    <col min="4291" max="4296" width="6.28515625" style="56" customWidth="1"/>
    <col min="4297" max="4501" width="9.140625" style="56"/>
    <col min="4502" max="4502" width="11.7109375" style="56" customWidth="1"/>
    <col min="4503" max="4517" width="0" style="56" hidden="1" customWidth="1"/>
    <col min="4518" max="4521" width="8.85546875" style="56" customWidth="1"/>
    <col min="4522" max="4522" width="1.85546875" style="56" customWidth="1"/>
    <col min="4523" max="4526" width="8.85546875" style="56" customWidth="1"/>
    <col min="4527" max="4527" width="1.85546875" style="56" customWidth="1"/>
    <col min="4528" max="4531" width="8.85546875" style="56" customWidth="1"/>
    <col min="4532" max="4532" width="11.140625" style="56" customWidth="1"/>
    <col min="4533" max="4534" width="11.85546875" style="56" customWidth="1"/>
    <col min="4535" max="4544" width="18" style="56" customWidth="1"/>
    <col min="4545" max="4545" width="6.28515625" style="56" customWidth="1"/>
    <col min="4546" max="4546" width="7" style="56" customWidth="1"/>
    <col min="4547" max="4552" width="6.28515625" style="56" customWidth="1"/>
    <col min="4553" max="4757" width="9.140625" style="56"/>
    <col min="4758" max="4758" width="11.7109375" style="56" customWidth="1"/>
    <col min="4759" max="4773" width="0" style="56" hidden="1" customWidth="1"/>
    <col min="4774" max="4777" width="8.85546875" style="56" customWidth="1"/>
    <col min="4778" max="4778" width="1.85546875" style="56" customWidth="1"/>
    <col min="4779" max="4782" width="8.85546875" style="56" customWidth="1"/>
    <col min="4783" max="4783" width="1.85546875" style="56" customWidth="1"/>
    <col min="4784" max="4787" width="8.85546875" style="56" customWidth="1"/>
    <col min="4788" max="4788" width="11.140625" style="56" customWidth="1"/>
    <col min="4789" max="4790" width="11.85546875" style="56" customWidth="1"/>
    <col min="4791" max="4800" width="18" style="56" customWidth="1"/>
    <col min="4801" max="4801" width="6.28515625" style="56" customWidth="1"/>
    <col min="4802" max="4802" width="7" style="56" customWidth="1"/>
    <col min="4803" max="4808" width="6.28515625" style="56" customWidth="1"/>
    <col min="4809" max="5013" width="9.140625" style="56"/>
    <col min="5014" max="5014" width="11.7109375" style="56" customWidth="1"/>
    <col min="5015" max="5029" width="0" style="56" hidden="1" customWidth="1"/>
    <col min="5030" max="5033" width="8.85546875" style="56" customWidth="1"/>
    <col min="5034" max="5034" width="1.85546875" style="56" customWidth="1"/>
    <col min="5035" max="5038" width="8.85546875" style="56" customWidth="1"/>
    <col min="5039" max="5039" width="1.85546875" style="56" customWidth="1"/>
    <col min="5040" max="5043" width="8.85546875" style="56" customWidth="1"/>
    <col min="5044" max="5044" width="11.140625" style="56" customWidth="1"/>
    <col min="5045" max="5046" width="11.85546875" style="56" customWidth="1"/>
    <col min="5047" max="5056" width="18" style="56" customWidth="1"/>
    <col min="5057" max="5057" width="6.28515625" style="56" customWidth="1"/>
    <col min="5058" max="5058" width="7" style="56" customWidth="1"/>
    <col min="5059" max="5064" width="6.28515625" style="56" customWidth="1"/>
    <col min="5065" max="5269" width="9.140625" style="56"/>
    <col min="5270" max="5270" width="11.7109375" style="56" customWidth="1"/>
    <col min="5271" max="5285" width="0" style="56" hidden="1" customWidth="1"/>
    <col min="5286" max="5289" width="8.85546875" style="56" customWidth="1"/>
    <col min="5290" max="5290" width="1.85546875" style="56" customWidth="1"/>
    <col min="5291" max="5294" width="8.85546875" style="56" customWidth="1"/>
    <col min="5295" max="5295" width="1.85546875" style="56" customWidth="1"/>
    <col min="5296" max="5299" width="8.85546875" style="56" customWidth="1"/>
    <col min="5300" max="5300" width="11.140625" style="56" customWidth="1"/>
    <col min="5301" max="5302" width="11.85546875" style="56" customWidth="1"/>
    <col min="5303" max="5312" width="18" style="56" customWidth="1"/>
    <col min="5313" max="5313" width="6.28515625" style="56" customWidth="1"/>
    <col min="5314" max="5314" width="7" style="56" customWidth="1"/>
    <col min="5315" max="5320" width="6.28515625" style="56" customWidth="1"/>
    <col min="5321" max="5525" width="9.140625" style="56"/>
    <col min="5526" max="5526" width="11.7109375" style="56" customWidth="1"/>
    <col min="5527" max="5541" width="0" style="56" hidden="1" customWidth="1"/>
    <col min="5542" max="5545" width="8.85546875" style="56" customWidth="1"/>
    <col min="5546" max="5546" width="1.85546875" style="56" customWidth="1"/>
    <col min="5547" max="5550" width="8.85546875" style="56" customWidth="1"/>
    <col min="5551" max="5551" width="1.85546875" style="56" customWidth="1"/>
    <col min="5552" max="5555" width="8.85546875" style="56" customWidth="1"/>
    <col min="5556" max="5556" width="11.140625" style="56" customWidth="1"/>
    <col min="5557" max="5558" width="11.85546875" style="56" customWidth="1"/>
    <col min="5559" max="5568" width="18" style="56" customWidth="1"/>
    <col min="5569" max="5569" width="6.28515625" style="56" customWidth="1"/>
    <col min="5570" max="5570" width="7" style="56" customWidth="1"/>
    <col min="5571" max="5576" width="6.28515625" style="56" customWidth="1"/>
    <col min="5577" max="5781" width="9.140625" style="56"/>
    <col min="5782" max="5782" width="11.7109375" style="56" customWidth="1"/>
    <col min="5783" max="5797" width="0" style="56" hidden="1" customWidth="1"/>
    <col min="5798" max="5801" width="8.85546875" style="56" customWidth="1"/>
    <col min="5802" max="5802" width="1.85546875" style="56" customWidth="1"/>
    <col min="5803" max="5806" width="8.85546875" style="56" customWidth="1"/>
    <col min="5807" max="5807" width="1.85546875" style="56" customWidth="1"/>
    <col min="5808" max="5811" width="8.85546875" style="56" customWidth="1"/>
    <col min="5812" max="5812" width="11.140625" style="56" customWidth="1"/>
    <col min="5813" max="5814" width="11.85546875" style="56" customWidth="1"/>
    <col min="5815" max="5824" width="18" style="56" customWidth="1"/>
    <col min="5825" max="5825" width="6.28515625" style="56" customWidth="1"/>
    <col min="5826" max="5826" width="7" style="56" customWidth="1"/>
    <col min="5827" max="5832" width="6.28515625" style="56" customWidth="1"/>
    <col min="5833" max="6071" width="9.140625" style="56"/>
    <col min="6072" max="6072" width="11.7109375" style="56" customWidth="1"/>
    <col min="6073" max="6087" width="0" style="56" hidden="1" customWidth="1"/>
    <col min="6088" max="6091" width="8.85546875" style="56" customWidth="1"/>
    <col min="6092" max="6092" width="1.85546875" style="56" customWidth="1"/>
    <col min="6093" max="6096" width="8.85546875" style="56" customWidth="1"/>
    <col min="6097" max="6097" width="1.85546875" style="56" customWidth="1"/>
    <col min="6098" max="6101" width="8.85546875" style="56" customWidth="1"/>
    <col min="6102" max="6102" width="11.140625" style="56" customWidth="1"/>
    <col min="6103" max="6104" width="11.85546875" style="56" customWidth="1"/>
    <col min="6105" max="6114" width="18" style="56" customWidth="1"/>
    <col min="6115" max="6115" width="6.28515625" style="56" customWidth="1"/>
    <col min="6116" max="6116" width="7" style="56" customWidth="1"/>
    <col min="6117" max="6122" width="6.28515625" style="56" customWidth="1"/>
    <col min="6123" max="6327" width="9.140625" style="56"/>
    <col min="6328" max="6328" width="11.7109375" style="56" customWidth="1"/>
    <col min="6329" max="6343" width="0" style="56" hidden="1" customWidth="1"/>
    <col min="6344" max="6347" width="8.85546875" style="56" customWidth="1"/>
    <col min="6348" max="6348" width="1.85546875" style="56" customWidth="1"/>
    <col min="6349" max="6352" width="8.85546875" style="56" customWidth="1"/>
    <col min="6353" max="6353" width="1.85546875" style="56" customWidth="1"/>
    <col min="6354" max="6357" width="8.85546875" style="56" customWidth="1"/>
    <col min="6358" max="6358" width="11.140625" style="56" customWidth="1"/>
    <col min="6359" max="6360" width="11.85546875" style="56" customWidth="1"/>
    <col min="6361" max="6370" width="18" style="56" customWidth="1"/>
    <col min="6371" max="6371" width="6.28515625" style="56" customWidth="1"/>
    <col min="6372" max="6372" width="7" style="56" customWidth="1"/>
    <col min="6373" max="6378" width="6.28515625" style="56" customWidth="1"/>
    <col min="6379" max="6583" width="9.140625" style="56"/>
    <col min="6584" max="6584" width="11.7109375" style="56" customWidth="1"/>
    <col min="6585" max="6599" width="0" style="56" hidden="1" customWidth="1"/>
    <col min="6600" max="6603" width="8.85546875" style="56" customWidth="1"/>
    <col min="6604" max="6604" width="1.85546875" style="56" customWidth="1"/>
    <col min="6605" max="6608" width="8.85546875" style="56" customWidth="1"/>
    <col min="6609" max="6609" width="1.85546875" style="56" customWidth="1"/>
    <col min="6610" max="6613" width="8.85546875" style="56" customWidth="1"/>
    <col min="6614" max="6614" width="11.140625" style="56" customWidth="1"/>
    <col min="6615" max="6616" width="11.85546875" style="56" customWidth="1"/>
    <col min="6617" max="6626" width="18" style="56" customWidth="1"/>
    <col min="6627" max="6627" width="6.28515625" style="56" customWidth="1"/>
    <col min="6628" max="6628" width="7" style="56" customWidth="1"/>
    <col min="6629" max="6634" width="6.28515625" style="56" customWidth="1"/>
    <col min="6635" max="16384" width="9.140625" style="56"/>
  </cols>
  <sheetData>
    <row r="1" spans="1:59" s="1" customFormat="1" ht="16.5" customHeight="1" x14ac:dyDescent="0.25">
      <c r="A1" s="82" t="s">
        <v>38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0"/>
    </row>
    <row r="2" spans="1:59" s="3" customFormat="1" ht="14.25" customHeight="1" x14ac:dyDescent="0.25">
      <c r="A2" s="83" t="s">
        <v>39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2"/>
    </row>
    <row r="3" spans="1:59" s="6" customFormat="1" ht="9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5"/>
    </row>
    <row r="4" spans="1:59" s="6" customFormat="1" ht="9.75" customHeight="1" x14ac:dyDescent="0.25">
      <c r="A4" s="71" t="s">
        <v>0</v>
      </c>
      <c r="B4" s="7"/>
      <c r="C4" s="74">
        <v>2016</v>
      </c>
      <c r="D4" s="75"/>
      <c r="E4" s="75"/>
      <c r="F4" s="75"/>
      <c r="G4" s="58"/>
      <c r="H4" s="74">
        <v>2017</v>
      </c>
      <c r="I4" s="75"/>
      <c r="J4" s="75"/>
      <c r="K4" s="75"/>
      <c r="L4" s="58"/>
      <c r="M4" s="74">
        <v>2018</v>
      </c>
      <c r="N4" s="75"/>
      <c r="O4" s="75"/>
      <c r="P4" s="75"/>
      <c r="Q4" s="74">
        <v>2019</v>
      </c>
      <c r="R4" s="75"/>
      <c r="S4" s="75"/>
      <c r="T4" s="75"/>
      <c r="U4" s="78" t="s">
        <v>36</v>
      </c>
      <c r="V4" s="79"/>
      <c r="W4" s="8"/>
    </row>
    <row r="5" spans="1:59" s="6" customFormat="1" ht="19.899999999999999" customHeight="1" x14ac:dyDescent="0.25">
      <c r="A5" s="72"/>
      <c r="B5" s="9"/>
      <c r="C5" s="76"/>
      <c r="D5" s="77"/>
      <c r="E5" s="77"/>
      <c r="F5" s="77"/>
      <c r="G5" s="59"/>
      <c r="H5" s="76"/>
      <c r="I5" s="77"/>
      <c r="J5" s="77"/>
      <c r="K5" s="77"/>
      <c r="L5" s="59"/>
      <c r="M5" s="76"/>
      <c r="N5" s="77"/>
      <c r="O5" s="77"/>
      <c r="P5" s="77"/>
      <c r="Q5" s="76"/>
      <c r="R5" s="77"/>
      <c r="S5" s="77"/>
      <c r="T5" s="77"/>
      <c r="U5" s="80"/>
      <c r="V5" s="81"/>
      <c r="W5" s="8"/>
    </row>
    <row r="6" spans="1:59" s="6" customFormat="1" ht="15.75" customHeight="1" x14ac:dyDescent="0.25">
      <c r="A6" s="72"/>
      <c r="B6" s="9"/>
      <c r="C6" s="11" t="s">
        <v>25</v>
      </c>
      <c r="D6" s="10" t="s">
        <v>26</v>
      </c>
      <c r="E6" s="10" t="s">
        <v>27</v>
      </c>
      <c r="F6" s="10" t="s">
        <v>28</v>
      </c>
      <c r="G6" s="10"/>
      <c r="H6" s="11" t="s">
        <v>25</v>
      </c>
      <c r="I6" s="10" t="s">
        <v>26</v>
      </c>
      <c r="J6" s="10" t="s">
        <v>27</v>
      </c>
      <c r="K6" s="10" t="s">
        <v>28</v>
      </c>
      <c r="L6" s="10"/>
      <c r="M6" s="11" t="s">
        <v>25</v>
      </c>
      <c r="N6" s="10" t="s">
        <v>26</v>
      </c>
      <c r="O6" s="10" t="s">
        <v>27</v>
      </c>
      <c r="P6" s="10" t="s">
        <v>28</v>
      </c>
      <c r="Q6" s="11" t="s">
        <v>25</v>
      </c>
      <c r="R6" s="10" t="s">
        <v>26</v>
      </c>
      <c r="S6" s="10" t="s">
        <v>27</v>
      </c>
      <c r="T6" s="10" t="s">
        <v>28</v>
      </c>
      <c r="U6" s="11" t="s">
        <v>25</v>
      </c>
      <c r="V6" s="10" t="s">
        <v>26</v>
      </c>
      <c r="W6" s="10"/>
    </row>
    <row r="7" spans="1:59" s="17" customFormat="1" ht="15" customHeight="1" x14ac:dyDescent="0.25">
      <c r="A7" s="73"/>
      <c r="B7" s="12"/>
      <c r="C7" s="13" t="s">
        <v>29</v>
      </c>
      <c r="D7" s="12" t="s">
        <v>30</v>
      </c>
      <c r="E7" s="12" t="s">
        <v>31</v>
      </c>
      <c r="F7" s="12" t="s">
        <v>32</v>
      </c>
      <c r="G7" s="14"/>
      <c r="H7" s="13" t="s">
        <v>29</v>
      </c>
      <c r="I7" s="12" t="s">
        <v>30</v>
      </c>
      <c r="J7" s="12" t="s">
        <v>31</v>
      </c>
      <c r="K7" s="12" t="s">
        <v>32</v>
      </c>
      <c r="L7" s="14"/>
      <c r="M7" s="13" t="s">
        <v>29</v>
      </c>
      <c r="N7" s="12" t="s">
        <v>30</v>
      </c>
      <c r="O7" s="12" t="s">
        <v>31</v>
      </c>
      <c r="P7" s="12" t="s">
        <v>32</v>
      </c>
      <c r="Q7" s="13" t="s">
        <v>29</v>
      </c>
      <c r="R7" s="12" t="s">
        <v>30</v>
      </c>
      <c r="S7" s="12" t="s">
        <v>31</v>
      </c>
      <c r="T7" s="12" t="s">
        <v>32</v>
      </c>
      <c r="U7" s="61" t="s">
        <v>29</v>
      </c>
      <c r="V7" s="14" t="s">
        <v>30</v>
      </c>
      <c r="W7" s="16"/>
    </row>
    <row r="8" spans="1:59" s="24" customFormat="1" ht="15" x14ac:dyDescent="0.25">
      <c r="A8" s="18" t="s">
        <v>1</v>
      </c>
      <c r="B8" s="19"/>
      <c r="C8" s="21">
        <f>SUM(C9:C11)</f>
        <v>5488</v>
      </c>
      <c r="D8" s="20">
        <f>SUM(D9:D11)</f>
        <v>3417</v>
      </c>
      <c r="E8" s="20">
        <f>SUM(E9:E11)</f>
        <v>6</v>
      </c>
      <c r="F8" s="20">
        <f>SUM(F9:F11)</f>
        <v>101</v>
      </c>
      <c r="G8" s="22"/>
      <c r="H8" s="21">
        <f>SUM(H9:H11)</f>
        <v>5237</v>
      </c>
      <c r="I8" s="20">
        <f>SUM(I9:I11)</f>
        <v>3211</v>
      </c>
      <c r="J8" s="20">
        <f>SUM(J9:J11)</f>
        <v>9</v>
      </c>
      <c r="K8" s="20">
        <f>SUM(K9:K11)</f>
        <v>103</v>
      </c>
      <c r="L8" s="22"/>
      <c r="M8" s="21">
        <f t="shared" ref="M8:T8" si="0">SUM(M9:M11)</f>
        <v>5290</v>
      </c>
      <c r="N8" s="20">
        <f t="shared" si="0"/>
        <v>3166</v>
      </c>
      <c r="O8" s="20">
        <f t="shared" si="0"/>
        <v>8</v>
      </c>
      <c r="P8" s="20">
        <f t="shared" si="0"/>
        <v>111</v>
      </c>
      <c r="Q8" s="21">
        <f t="shared" si="0"/>
        <v>5069</v>
      </c>
      <c r="R8" s="20">
        <f t="shared" si="0"/>
        <v>3550</v>
      </c>
      <c r="S8" s="20">
        <f t="shared" si="0"/>
        <v>2</v>
      </c>
      <c r="T8" s="20">
        <f t="shared" si="0"/>
        <v>119</v>
      </c>
      <c r="U8" s="62">
        <f>(Q8-M8)/M8*100</f>
        <v>-4.1776937618147452</v>
      </c>
      <c r="V8" s="86">
        <f>(R8-N8)/N8*100</f>
        <v>12.128869235628553</v>
      </c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4" customFormat="1" ht="15" x14ac:dyDescent="0.25">
      <c r="A9" s="18" t="s">
        <v>3</v>
      </c>
      <c r="B9" s="25"/>
      <c r="C9" s="26">
        <v>2304</v>
      </c>
      <c r="D9" s="25">
        <v>1341</v>
      </c>
      <c r="E9" s="25">
        <v>4</v>
      </c>
      <c r="F9" s="25">
        <v>37</v>
      </c>
      <c r="G9" s="25"/>
      <c r="H9" s="26">
        <v>2168</v>
      </c>
      <c r="I9" s="25">
        <v>1248</v>
      </c>
      <c r="J9" s="25">
        <v>0</v>
      </c>
      <c r="K9" s="25">
        <v>45</v>
      </c>
      <c r="L9" s="25"/>
      <c r="M9" s="26">
        <v>2191</v>
      </c>
      <c r="N9" s="25">
        <v>1156</v>
      </c>
      <c r="O9" s="25">
        <v>0</v>
      </c>
      <c r="P9" s="25">
        <v>46</v>
      </c>
      <c r="Q9" s="26">
        <v>2055</v>
      </c>
      <c r="R9" s="25">
        <v>1260</v>
      </c>
      <c r="S9" s="25">
        <v>1</v>
      </c>
      <c r="T9" s="25">
        <v>43</v>
      </c>
      <c r="U9" s="63">
        <f t="shared" ref="U9:V31" si="1">(Q9-M9)/M9*100</f>
        <v>-6.207211319032405</v>
      </c>
      <c r="V9" s="64">
        <f t="shared" si="1"/>
        <v>8.9965397923875443</v>
      </c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4" customFormat="1" ht="15" x14ac:dyDescent="0.25">
      <c r="A10" s="27" t="s">
        <v>2</v>
      </c>
      <c r="B10" s="25"/>
      <c r="C10" s="21">
        <v>223</v>
      </c>
      <c r="D10" s="20">
        <v>155</v>
      </c>
      <c r="E10" s="20">
        <v>0</v>
      </c>
      <c r="F10" s="20">
        <v>2</v>
      </c>
      <c r="G10" s="20"/>
      <c r="H10" s="21">
        <v>207</v>
      </c>
      <c r="I10" s="20">
        <v>149</v>
      </c>
      <c r="J10" s="20">
        <v>0</v>
      </c>
      <c r="K10" s="20">
        <v>1</v>
      </c>
      <c r="L10" s="20"/>
      <c r="M10" s="21">
        <v>258</v>
      </c>
      <c r="N10" s="20">
        <v>217</v>
      </c>
      <c r="O10" s="20">
        <v>0</v>
      </c>
      <c r="P10" s="20">
        <v>3</v>
      </c>
      <c r="Q10" s="21">
        <v>312</v>
      </c>
      <c r="R10" s="20">
        <v>359</v>
      </c>
      <c r="S10" s="20">
        <v>0</v>
      </c>
      <c r="T10" s="20">
        <v>0</v>
      </c>
      <c r="U10" s="63">
        <f t="shared" si="1"/>
        <v>20.930232558139537</v>
      </c>
      <c r="V10" s="64">
        <f t="shared" si="1"/>
        <v>65.437788018433181</v>
      </c>
      <c r="W10" s="28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s="24" customFormat="1" ht="15" x14ac:dyDescent="0.25">
      <c r="A11" s="18" t="s">
        <v>4</v>
      </c>
      <c r="B11" s="25"/>
      <c r="C11" s="21">
        <f>SUM(C12:C31)</f>
        <v>2961</v>
      </c>
      <c r="D11" s="20">
        <f>SUM(D12:D31)</f>
        <v>1921</v>
      </c>
      <c r="E11" s="20">
        <f>SUM(E12:E31)</f>
        <v>2</v>
      </c>
      <c r="F11" s="20">
        <f>SUM(F12:F31)</f>
        <v>62</v>
      </c>
      <c r="G11" s="20"/>
      <c r="H11" s="21">
        <f>SUM(H12:H31)</f>
        <v>2862</v>
      </c>
      <c r="I11" s="20">
        <f>SUM(I12:I31)</f>
        <v>1814</v>
      </c>
      <c r="J11" s="20">
        <f>SUM(J12:J31)</f>
        <v>9</v>
      </c>
      <c r="K11" s="20">
        <f>SUM(K12:K31)</f>
        <v>57</v>
      </c>
      <c r="L11" s="20"/>
      <c r="M11" s="21">
        <f t="shared" ref="M11:T11" si="2">SUM(M12:M31)</f>
        <v>2841</v>
      </c>
      <c r="N11" s="20">
        <f t="shared" si="2"/>
        <v>1793</v>
      </c>
      <c r="O11" s="20">
        <f t="shared" si="2"/>
        <v>8</v>
      </c>
      <c r="P11" s="20">
        <f t="shared" si="2"/>
        <v>62</v>
      </c>
      <c r="Q11" s="21">
        <f t="shared" si="2"/>
        <v>2702</v>
      </c>
      <c r="R11" s="20">
        <f t="shared" si="2"/>
        <v>1931</v>
      </c>
      <c r="S11" s="20">
        <f t="shared" si="2"/>
        <v>1</v>
      </c>
      <c r="T11" s="20">
        <f t="shared" si="2"/>
        <v>76</v>
      </c>
      <c r="U11" s="63">
        <f t="shared" si="1"/>
        <v>-4.8926434354100667</v>
      </c>
      <c r="V11" s="64">
        <f t="shared" si="1"/>
        <v>7.6965978806469604</v>
      </c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</row>
    <row r="12" spans="1:59" s="24" customFormat="1" ht="15" x14ac:dyDescent="0.25">
      <c r="A12" s="29" t="s">
        <v>5</v>
      </c>
      <c r="B12" s="30"/>
      <c r="C12" s="32">
        <v>161</v>
      </c>
      <c r="D12" s="31">
        <v>92</v>
      </c>
      <c r="E12" s="31">
        <v>0</v>
      </c>
      <c r="F12" s="31">
        <v>4</v>
      </c>
      <c r="G12" s="31"/>
      <c r="H12" s="32">
        <v>158</v>
      </c>
      <c r="I12" s="31">
        <v>69</v>
      </c>
      <c r="J12" s="31">
        <v>0</v>
      </c>
      <c r="K12" s="31">
        <v>2</v>
      </c>
      <c r="L12" s="31"/>
      <c r="M12" s="32">
        <v>160</v>
      </c>
      <c r="N12" s="31">
        <v>94</v>
      </c>
      <c r="O12" s="31">
        <v>1</v>
      </c>
      <c r="P12" s="31">
        <v>2</v>
      </c>
      <c r="Q12" s="32">
        <v>156</v>
      </c>
      <c r="R12" s="1">
        <v>80</v>
      </c>
      <c r="S12" s="31">
        <v>0</v>
      </c>
      <c r="T12" s="31">
        <v>1</v>
      </c>
      <c r="U12" s="63">
        <f t="shared" si="1"/>
        <v>-2.5</v>
      </c>
      <c r="V12" s="64">
        <f>(R12-N12)/N12*100</f>
        <v>-14.893617021276595</v>
      </c>
      <c r="W12" s="28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</row>
    <row r="13" spans="1:59" s="24" customFormat="1" ht="15" x14ac:dyDescent="0.25">
      <c r="A13" s="29" t="s">
        <v>6</v>
      </c>
      <c r="B13" s="31"/>
      <c r="C13" s="32">
        <v>291</v>
      </c>
      <c r="D13" s="31">
        <v>125</v>
      </c>
      <c r="E13" s="31">
        <v>0</v>
      </c>
      <c r="F13" s="31">
        <v>1</v>
      </c>
      <c r="G13" s="31"/>
      <c r="H13" s="32">
        <v>258</v>
      </c>
      <c r="I13" s="31">
        <v>150</v>
      </c>
      <c r="J13" s="31">
        <v>0</v>
      </c>
      <c r="K13" s="31">
        <v>10</v>
      </c>
      <c r="L13" s="31"/>
      <c r="M13" s="32">
        <v>290</v>
      </c>
      <c r="N13" s="31">
        <v>147</v>
      </c>
      <c r="O13" s="31">
        <v>0</v>
      </c>
      <c r="P13" s="31">
        <v>6</v>
      </c>
      <c r="Q13" s="32">
        <v>256</v>
      </c>
      <c r="R13" s="1">
        <v>158</v>
      </c>
      <c r="S13" s="31">
        <v>1</v>
      </c>
      <c r="T13" s="31">
        <v>11</v>
      </c>
      <c r="U13" s="63">
        <f t="shared" si="1"/>
        <v>-11.724137931034482</v>
      </c>
      <c r="V13" s="64">
        <f t="shared" si="1"/>
        <v>7.4829931972789119</v>
      </c>
      <c r="W13" s="28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</row>
    <row r="14" spans="1:59" s="24" customFormat="1" ht="15" x14ac:dyDescent="0.25">
      <c r="A14" s="29" t="s">
        <v>7</v>
      </c>
      <c r="B14" s="31"/>
      <c r="C14" s="32">
        <v>191</v>
      </c>
      <c r="D14" s="31">
        <v>93</v>
      </c>
      <c r="E14" s="31">
        <v>0</v>
      </c>
      <c r="F14" s="31">
        <v>5</v>
      </c>
      <c r="G14" s="31"/>
      <c r="H14" s="32">
        <v>138</v>
      </c>
      <c r="I14" s="31">
        <v>86</v>
      </c>
      <c r="J14" s="31">
        <v>0</v>
      </c>
      <c r="K14" s="31">
        <v>5</v>
      </c>
      <c r="L14" s="31"/>
      <c r="M14" s="32">
        <v>164</v>
      </c>
      <c r="N14" s="31">
        <v>77</v>
      </c>
      <c r="O14" s="31">
        <v>0</v>
      </c>
      <c r="P14" s="31">
        <v>2</v>
      </c>
      <c r="Q14" s="32">
        <v>152</v>
      </c>
      <c r="R14" s="1">
        <v>90</v>
      </c>
      <c r="S14" s="31">
        <v>0</v>
      </c>
      <c r="T14" s="31">
        <v>3</v>
      </c>
      <c r="U14" s="63">
        <f t="shared" si="1"/>
        <v>-7.3170731707317067</v>
      </c>
      <c r="V14" s="64">
        <f t="shared" si="1"/>
        <v>16.883116883116884</v>
      </c>
      <c r="W14" s="28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</row>
    <row r="15" spans="1:59" s="24" customFormat="1" ht="15" x14ac:dyDescent="0.25">
      <c r="A15" s="29" t="s">
        <v>9</v>
      </c>
      <c r="B15" s="31"/>
      <c r="C15" s="32">
        <v>154</v>
      </c>
      <c r="D15" s="31">
        <v>100</v>
      </c>
      <c r="E15" s="31">
        <v>1</v>
      </c>
      <c r="F15" s="31">
        <v>5</v>
      </c>
      <c r="G15" s="31"/>
      <c r="H15" s="32">
        <v>161</v>
      </c>
      <c r="I15" s="31">
        <v>106</v>
      </c>
      <c r="J15" s="31">
        <v>1</v>
      </c>
      <c r="K15" s="31">
        <v>5</v>
      </c>
      <c r="L15" s="31"/>
      <c r="M15" s="32">
        <v>140</v>
      </c>
      <c r="N15" s="31">
        <v>96</v>
      </c>
      <c r="O15" s="31">
        <v>0</v>
      </c>
      <c r="P15" s="31">
        <v>3</v>
      </c>
      <c r="Q15" s="32">
        <v>148</v>
      </c>
      <c r="R15" s="1">
        <v>105</v>
      </c>
      <c r="S15" s="31">
        <v>0</v>
      </c>
      <c r="T15" s="31">
        <v>2</v>
      </c>
      <c r="U15" s="63">
        <f t="shared" si="1"/>
        <v>5.7142857142857144</v>
      </c>
      <c r="V15" s="64">
        <f t="shared" si="1"/>
        <v>9.375</v>
      </c>
      <c r="W15" s="28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</row>
    <row r="16" spans="1:59" s="24" customFormat="1" ht="15" x14ac:dyDescent="0.25">
      <c r="A16" s="29" t="s">
        <v>10</v>
      </c>
      <c r="B16" s="31"/>
      <c r="C16" s="32">
        <v>198</v>
      </c>
      <c r="D16" s="31">
        <v>111</v>
      </c>
      <c r="E16" s="31">
        <v>0</v>
      </c>
      <c r="F16" s="31">
        <v>3</v>
      </c>
      <c r="G16" s="31"/>
      <c r="H16" s="32">
        <v>219</v>
      </c>
      <c r="I16" s="31">
        <v>114</v>
      </c>
      <c r="J16" s="31">
        <v>0</v>
      </c>
      <c r="K16" s="31">
        <v>4</v>
      </c>
      <c r="L16" s="31"/>
      <c r="M16" s="32">
        <v>197</v>
      </c>
      <c r="N16" s="31">
        <v>110</v>
      </c>
      <c r="O16" s="31">
        <v>0</v>
      </c>
      <c r="P16" s="31">
        <v>3</v>
      </c>
      <c r="Q16" s="32">
        <v>193</v>
      </c>
      <c r="R16" s="1">
        <v>134</v>
      </c>
      <c r="S16" s="31">
        <v>0</v>
      </c>
      <c r="T16" s="31">
        <v>8</v>
      </c>
      <c r="U16" s="63">
        <f t="shared" si="1"/>
        <v>-2.030456852791878</v>
      </c>
      <c r="V16" s="64">
        <f t="shared" si="1"/>
        <v>21.818181818181817</v>
      </c>
      <c r="W16" s="28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</row>
    <row r="17" spans="1:59" s="24" customFormat="1" ht="15" x14ac:dyDescent="0.25">
      <c r="A17" s="29" t="s">
        <v>11</v>
      </c>
      <c r="B17" s="31"/>
      <c r="C17" s="32">
        <v>119</v>
      </c>
      <c r="D17" s="31">
        <v>89</v>
      </c>
      <c r="E17" s="31">
        <v>0</v>
      </c>
      <c r="F17" s="31">
        <v>6</v>
      </c>
      <c r="G17" s="31"/>
      <c r="H17" s="32">
        <v>108</v>
      </c>
      <c r="I17" s="31">
        <v>68</v>
      </c>
      <c r="J17" s="31">
        <v>0</v>
      </c>
      <c r="K17" s="31">
        <v>1</v>
      </c>
      <c r="L17" s="31"/>
      <c r="M17" s="32">
        <v>116</v>
      </c>
      <c r="N17" s="31">
        <v>65</v>
      </c>
      <c r="O17" s="31">
        <v>0</v>
      </c>
      <c r="P17" s="31">
        <v>1</v>
      </c>
      <c r="Q17" s="32">
        <v>94</v>
      </c>
      <c r="R17" s="1">
        <v>70</v>
      </c>
      <c r="S17" s="31">
        <v>0</v>
      </c>
      <c r="T17" s="31">
        <v>4</v>
      </c>
      <c r="U17" s="63">
        <f t="shared" si="1"/>
        <v>-18.96551724137931</v>
      </c>
      <c r="V17" s="64">
        <f t="shared" si="1"/>
        <v>7.6923076923076925</v>
      </c>
      <c r="W17" s="28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</row>
    <row r="18" spans="1:59" s="24" customFormat="1" ht="15" x14ac:dyDescent="0.25">
      <c r="A18" s="29" t="s">
        <v>12</v>
      </c>
      <c r="B18" s="31"/>
      <c r="C18" s="32">
        <v>133</v>
      </c>
      <c r="D18" s="31">
        <v>90</v>
      </c>
      <c r="E18" s="31">
        <v>0</v>
      </c>
      <c r="F18" s="31">
        <v>2</v>
      </c>
      <c r="G18" s="31"/>
      <c r="H18" s="32">
        <v>140</v>
      </c>
      <c r="I18" s="31">
        <v>73</v>
      </c>
      <c r="J18" s="31">
        <v>0</v>
      </c>
      <c r="K18" s="31">
        <v>0</v>
      </c>
      <c r="L18" s="31"/>
      <c r="M18" s="32">
        <v>118</v>
      </c>
      <c r="N18" s="31">
        <v>80</v>
      </c>
      <c r="O18" s="31">
        <v>0</v>
      </c>
      <c r="P18" s="31">
        <v>4</v>
      </c>
      <c r="Q18" s="32">
        <v>119</v>
      </c>
      <c r="R18" s="1">
        <v>93</v>
      </c>
      <c r="S18" s="31">
        <v>0</v>
      </c>
      <c r="T18" s="31">
        <v>6</v>
      </c>
      <c r="U18" s="63">
        <f t="shared" si="1"/>
        <v>0.84745762711864403</v>
      </c>
      <c r="V18" s="64">
        <f t="shared" si="1"/>
        <v>16.25</v>
      </c>
      <c r="W18" s="28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</row>
    <row r="19" spans="1:59" s="24" customFormat="1" ht="15" x14ac:dyDescent="0.25">
      <c r="A19" s="29" t="s">
        <v>24</v>
      </c>
      <c r="B19" s="31"/>
      <c r="C19" s="32">
        <v>195</v>
      </c>
      <c r="D19" s="31">
        <v>126</v>
      </c>
      <c r="E19" s="31">
        <v>1</v>
      </c>
      <c r="F19" s="31">
        <v>5</v>
      </c>
      <c r="G19" s="31"/>
      <c r="H19" s="32">
        <v>201</v>
      </c>
      <c r="I19" s="31">
        <v>132</v>
      </c>
      <c r="J19" s="31">
        <v>3</v>
      </c>
      <c r="K19" s="31">
        <v>3</v>
      </c>
      <c r="L19" s="31"/>
      <c r="M19" s="32">
        <v>180</v>
      </c>
      <c r="N19" s="31">
        <v>120</v>
      </c>
      <c r="O19" s="31">
        <v>2</v>
      </c>
      <c r="P19" s="31">
        <v>1</v>
      </c>
      <c r="Q19" s="32">
        <v>201</v>
      </c>
      <c r="R19" s="1">
        <v>146</v>
      </c>
      <c r="S19" s="31">
        <v>0</v>
      </c>
      <c r="T19" s="31">
        <v>3</v>
      </c>
      <c r="U19" s="63">
        <f t="shared" si="1"/>
        <v>11.666666666666666</v>
      </c>
      <c r="V19" s="64">
        <f t="shared" si="1"/>
        <v>21.666666666666668</v>
      </c>
      <c r="W19" s="28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</row>
    <row r="20" spans="1:59" s="24" customFormat="1" ht="15" x14ac:dyDescent="0.25">
      <c r="A20" s="29" t="s">
        <v>13</v>
      </c>
      <c r="B20" s="31"/>
      <c r="C20" s="32">
        <v>111</v>
      </c>
      <c r="D20" s="31">
        <v>79</v>
      </c>
      <c r="E20" s="31">
        <v>0</v>
      </c>
      <c r="F20" s="31">
        <v>3</v>
      </c>
      <c r="G20" s="31"/>
      <c r="H20" s="32">
        <v>89</v>
      </c>
      <c r="I20" s="31">
        <v>89</v>
      </c>
      <c r="J20" s="31">
        <v>0</v>
      </c>
      <c r="K20" s="31">
        <v>1</v>
      </c>
      <c r="L20" s="31"/>
      <c r="M20" s="32">
        <v>109</v>
      </c>
      <c r="N20" s="31">
        <v>64</v>
      </c>
      <c r="O20" s="31">
        <v>0</v>
      </c>
      <c r="P20" s="31">
        <v>3</v>
      </c>
      <c r="Q20" s="32">
        <v>103</v>
      </c>
      <c r="R20" s="1">
        <v>91</v>
      </c>
      <c r="S20" s="31">
        <v>0</v>
      </c>
      <c r="T20" s="31">
        <v>3</v>
      </c>
      <c r="U20" s="63">
        <f t="shared" si="1"/>
        <v>-5.5045871559633035</v>
      </c>
      <c r="V20" s="64">
        <f t="shared" si="1"/>
        <v>42.1875</v>
      </c>
      <c r="W20" s="28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</row>
    <row r="21" spans="1:59" s="33" customFormat="1" ht="15" x14ac:dyDescent="0.25">
      <c r="A21" s="29" t="s">
        <v>14</v>
      </c>
      <c r="B21" s="31"/>
      <c r="C21" s="32">
        <v>123</v>
      </c>
      <c r="D21" s="31">
        <v>90</v>
      </c>
      <c r="E21" s="31">
        <v>0</v>
      </c>
      <c r="F21" s="31">
        <v>0</v>
      </c>
      <c r="G21" s="31"/>
      <c r="H21" s="32">
        <v>121</v>
      </c>
      <c r="I21" s="31">
        <v>83</v>
      </c>
      <c r="J21" s="31">
        <v>0</v>
      </c>
      <c r="K21" s="31">
        <v>0</v>
      </c>
      <c r="L21" s="31"/>
      <c r="M21" s="32">
        <v>112</v>
      </c>
      <c r="N21" s="31">
        <v>79</v>
      </c>
      <c r="O21" s="31">
        <v>0</v>
      </c>
      <c r="P21" s="31">
        <v>1</v>
      </c>
      <c r="Q21" s="32">
        <v>97</v>
      </c>
      <c r="R21" s="1">
        <v>80</v>
      </c>
      <c r="S21" s="31">
        <v>0</v>
      </c>
      <c r="T21" s="31">
        <v>3</v>
      </c>
      <c r="U21" s="63">
        <f t="shared" si="1"/>
        <v>-13.392857142857142</v>
      </c>
      <c r="V21" s="64">
        <f t="shared" si="1"/>
        <v>1.2658227848101267</v>
      </c>
      <c r="W21" s="28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</row>
    <row r="22" spans="1:59" s="33" customFormat="1" ht="15" x14ac:dyDescent="0.25">
      <c r="A22" s="29" t="s">
        <v>15</v>
      </c>
      <c r="B22" s="31"/>
      <c r="C22" s="32">
        <v>21</v>
      </c>
      <c r="D22" s="31">
        <v>7</v>
      </c>
      <c r="E22" s="31">
        <v>0</v>
      </c>
      <c r="F22" s="31">
        <v>0</v>
      </c>
      <c r="G22" s="31"/>
      <c r="H22" s="32">
        <v>13</v>
      </c>
      <c r="I22" s="31">
        <v>11</v>
      </c>
      <c r="J22" s="31">
        <v>0</v>
      </c>
      <c r="K22" s="31">
        <v>0</v>
      </c>
      <c r="L22" s="31"/>
      <c r="M22" s="32">
        <v>19</v>
      </c>
      <c r="N22" s="31">
        <v>24</v>
      </c>
      <c r="O22" s="31">
        <v>0</v>
      </c>
      <c r="P22" s="31">
        <v>0</v>
      </c>
      <c r="Q22" s="32">
        <v>11</v>
      </c>
      <c r="R22" s="1">
        <v>14</v>
      </c>
      <c r="S22" s="31">
        <v>0</v>
      </c>
      <c r="T22" s="31">
        <v>0</v>
      </c>
      <c r="U22" s="63">
        <f t="shared" si="1"/>
        <v>-42.105263157894733</v>
      </c>
      <c r="V22" s="64">
        <f t="shared" si="1"/>
        <v>-41.666666666666671</v>
      </c>
      <c r="W22" s="28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</row>
    <row r="23" spans="1:59" s="33" customFormat="1" ht="15" x14ac:dyDescent="0.25">
      <c r="A23" s="29" t="s">
        <v>16</v>
      </c>
      <c r="B23" s="31"/>
      <c r="C23" s="32">
        <v>58</v>
      </c>
      <c r="D23" s="31">
        <v>41</v>
      </c>
      <c r="E23" s="31">
        <v>0</v>
      </c>
      <c r="F23" s="31">
        <v>3</v>
      </c>
      <c r="G23" s="31"/>
      <c r="H23" s="32">
        <v>51</v>
      </c>
      <c r="I23" s="31">
        <v>31</v>
      </c>
      <c r="J23" s="31">
        <v>0</v>
      </c>
      <c r="K23" s="31">
        <v>1</v>
      </c>
      <c r="L23" s="31"/>
      <c r="M23" s="32">
        <v>64</v>
      </c>
      <c r="N23" s="31">
        <v>44</v>
      </c>
      <c r="O23" s="31">
        <v>1</v>
      </c>
      <c r="P23" s="31">
        <v>1</v>
      </c>
      <c r="Q23" s="32">
        <v>61</v>
      </c>
      <c r="R23" s="1">
        <v>41</v>
      </c>
      <c r="S23" s="31">
        <v>0</v>
      </c>
      <c r="T23" s="31">
        <v>1</v>
      </c>
      <c r="U23" s="63">
        <f t="shared" si="1"/>
        <v>-4.6875</v>
      </c>
      <c r="V23" s="64">
        <f t="shared" si="1"/>
        <v>-6.8181818181818175</v>
      </c>
      <c r="W23" s="28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</row>
    <row r="24" spans="1:59" s="33" customFormat="1" ht="15" x14ac:dyDescent="0.25">
      <c r="A24" s="29" t="s">
        <v>17</v>
      </c>
      <c r="B24" s="31"/>
      <c r="C24" s="32">
        <v>40</v>
      </c>
      <c r="D24" s="31">
        <v>35</v>
      </c>
      <c r="E24" s="31">
        <v>0</v>
      </c>
      <c r="F24" s="31">
        <v>1</v>
      </c>
      <c r="G24" s="31"/>
      <c r="H24" s="32">
        <v>56</v>
      </c>
      <c r="I24" s="31">
        <v>30</v>
      </c>
      <c r="J24" s="31">
        <v>0</v>
      </c>
      <c r="K24" s="31">
        <v>3</v>
      </c>
      <c r="L24" s="31"/>
      <c r="M24" s="32">
        <v>56</v>
      </c>
      <c r="N24" s="31">
        <v>32</v>
      </c>
      <c r="O24" s="31">
        <v>0</v>
      </c>
      <c r="P24" s="31">
        <v>3</v>
      </c>
      <c r="Q24" s="32">
        <v>56</v>
      </c>
      <c r="R24" s="1">
        <v>34</v>
      </c>
      <c r="S24" s="31">
        <v>0</v>
      </c>
      <c r="T24" s="31">
        <v>1</v>
      </c>
      <c r="U24" s="63">
        <f t="shared" si="1"/>
        <v>0</v>
      </c>
      <c r="V24" s="64">
        <f t="shared" si="1"/>
        <v>6.25</v>
      </c>
      <c r="W24" s="28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BB24" s="1"/>
      <c r="BC24" s="1"/>
      <c r="BD24" s="1"/>
      <c r="BE24" s="1"/>
      <c r="BF24" s="1"/>
      <c r="BG24" s="1"/>
    </row>
    <row r="25" spans="1:59" s="33" customFormat="1" ht="15" x14ac:dyDescent="0.25">
      <c r="A25" s="29" t="s">
        <v>18</v>
      </c>
      <c r="B25" s="31"/>
      <c r="C25" s="32">
        <v>58</v>
      </c>
      <c r="D25" s="31">
        <v>41</v>
      </c>
      <c r="E25" s="31">
        <v>0</v>
      </c>
      <c r="F25" s="31">
        <v>5</v>
      </c>
      <c r="G25" s="31"/>
      <c r="H25" s="32">
        <v>56</v>
      </c>
      <c r="I25" s="31">
        <v>41</v>
      </c>
      <c r="J25" s="31">
        <v>0</v>
      </c>
      <c r="K25" s="31">
        <v>0</v>
      </c>
      <c r="L25" s="31"/>
      <c r="M25" s="32">
        <v>67</v>
      </c>
      <c r="N25" s="31">
        <v>34</v>
      </c>
      <c r="O25" s="31">
        <v>1</v>
      </c>
      <c r="P25" s="31">
        <v>3</v>
      </c>
      <c r="Q25" s="32">
        <v>55</v>
      </c>
      <c r="R25" s="1">
        <v>43</v>
      </c>
      <c r="S25" s="31">
        <v>0</v>
      </c>
      <c r="T25" s="31">
        <v>4</v>
      </c>
      <c r="U25" s="63">
        <f t="shared" si="1"/>
        <v>-17.910447761194028</v>
      </c>
      <c r="V25" s="64">
        <f t="shared" si="1"/>
        <v>26.47058823529412</v>
      </c>
      <c r="W25" s="28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6"/>
      <c r="BA25" s="6"/>
      <c r="BB25" s="1"/>
      <c r="BC25" s="1"/>
      <c r="BD25" s="1"/>
      <c r="BE25" s="1"/>
      <c r="BF25" s="1"/>
      <c r="BG25" s="1"/>
    </row>
    <row r="26" spans="1:59" s="33" customFormat="1" ht="15" x14ac:dyDescent="0.25">
      <c r="A26" s="29" t="s">
        <v>19</v>
      </c>
      <c r="B26" s="31"/>
      <c r="C26" s="32">
        <v>139</v>
      </c>
      <c r="D26" s="31">
        <v>112</v>
      </c>
      <c r="E26" s="31">
        <v>0</v>
      </c>
      <c r="F26" s="31">
        <v>3</v>
      </c>
      <c r="G26" s="31"/>
      <c r="H26" s="32">
        <v>130</v>
      </c>
      <c r="I26" s="31">
        <v>82</v>
      </c>
      <c r="J26" s="31">
        <v>0</v>
      </c>
      <c r="K26" s="31">
        <v>2</v>
      </c>
      <c r="L26" s="31"/>
      <c r="M26" s="32">
        <v>109</v>
      </c>
      <c r="N26" s="31">
        <v>75</v>
      </c>
      <c r="O26" s="31">
        <v>0</v>
      </c>
      <c r="P26" s="31">
        <v>5</v>
      </c>
      <c r="Q26" s="32">
        <v>132</v>
      </c>
      <c r="R26" s="1">
        <v>96</v>
      </c>
      <c r="S26" s="31">
        <v>0</v>
      </c>
      <c r="T26" s="31">
        <v>6</v>
      </c>
      <c r="U26" s="63">
        <f t="shared" si="1"/>
        <v>21.100917431192663</v>
      </c>
      <c r="V26" s="64">
        <f t="shared" si="1"/>
        <v>28.000000000000004</v>
      </c>
      <c r="W26" s="28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BB26" s="1"/>
      <c r="BC26" s="1"/>
      <c r="BD26" s="1"/>
      <c r="BE26" s="1"/>
      <c r="BF26" s="1"/>
      <c r="BG26" s="1"/>
    </row>
    <row r="27" spans="1:59" s="33" customFormat="1" ht="15" x14ac:dyDescent="0.25">
      <c r="A27" s="29" t="s">
        <v>20</v>
      </c>
      <c r="B27" s="31"/>
      <c r="C27" s="32">
        <v>242</v>
      </c>
      <c r="D27" s="31">
        <v>165</v>
      </c>
      <c r="E27" s="31">
        <v>0</v>
      </c>
      <c r="F27" s="31">
        <v>0</v>
      </c>
      <c r="G27" s="31"/>
      <c r="H27" s="32">
        <v>232</v>
      </c>
      <c r="I27" s="31">
        <v>169</v>
      </c>
      <c r="J27" s="31">
        <v>0</v>
      </c>
      <c r="K27" s="31">
        <v>4</v>
      </c>
      <c r="L27" s="31"/>
      <c r="M27" s="32">
        <v>204</v>
      </c>
      <c r="N27" s="31">
        <v>135</v>
      </c>
      <c r="O27" s="31">
        <v>0</v>
      </c>
      <c r="P27" s="31">
        <v>3</v>
      </c>
      <c r="Q27" s="32">
        <v>185</v>
      </c>
      <c r="R27" s="1">
        <v>163</v>
      </c>
      <c r="S27" s="31">
        <v>0</v>
      </c>
      <c r="T27" s="31">
        <v>2</v>
      </c>
      <c r="U27" s="63">
        <f t="shared" si="1"/>
        <v>-9.3137254901960791</v>
      </c>
      <c r="V27" s="64">
        <f t="shared" si="1"/>
        <v>20.74074074074074</v>
      </c>
      <c r="W27" s="28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</row>
    <row r="28" spans="1:59" s="33" customFormat="1" ht="15" x14ac:dyDescent="0.25">
      <c r="A28" s="29" t="s">
        <v>21</v>
      </c>
      <c r="B28" s="31"/>
      <c r="C28" s="32">
        <v>124</v>
      </c>
      <c r="D28" s="31">
        <v>95</v>
      </c>
      <c r="E28" s="31">
        <v>0</v>
      </c>
      <c r="F28" s="31">
        <v>2</v>
      </c>
      <c r="G28" s="31"/>
      <c r="H28" s="32">
        <v>141</v>
      </c>
      <c r="I28" s="31">
        <v>100</v>
      </c>
      <c r="J28" s="31">
        <v>1</v>
      </c>
      <c r="K28" s="31">
        <v>3</v>
      </c>
      <c r="L28" s="31"/>
      <c r="M28" s="32">
        <v>123</v>
      </c>
      <c r="N28" s="31">
        <v>82</v>
      </c>
      <c r="O28" s="31">
        <v>0</v>
      </c>
      <c r="P28" s="31">
        <v>2</v>
      </c>
      <c r="Q28" s="32">
        <v>116</v>
      </c>
      <c r="R28" s="1">
        <v>93</v>
      </c>
      <c r="S28" s="31">
        <v>0</v>
      </c>
      <c r="T28" s="31">
        <v>7</v>
      </c>
      <c r="U28" s="63">
        <f t="shared" si="1"/>
        <v>-5.6910569105691051</v>
      </c>
      <c r="V28" s="64">
        <f t="shared" si="1"/>
        <v>13.414634146341465</v>
      </c>
      <c r="W28" s="28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N28" s="34"/>
      <c r="AO28" s="34"/>
      <c r="AP28" s="34"/>
      <c r="AQ28" s="34"/>
      <c r="AR28" s="34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</row>
    <row r="29" spans="1:59" s="33" customFormat="1" ht="15" x14ac:dyDescent="0.25">
      <c r="A29" s="29" t="s">
        <v>22</v>
      </c>
      <c r="B29" s="31"/>
      <c r="C29" s="32">
        <v>175</v>
      </c>
      <c r="D29" s="31">
        <v>133</v>
      </c>
      <c r="E29" s="31">
        <v>0</v>
      </c>
      <c r="F29" s="31">
        <v>3</v>
      </c>
      <c r="G29" s="31"/>
      <c r="H29" s="32">
        <v>178</v>
      </c>
      <c r="I29" s="31">
        <v>104</v>
      </c>
      <c r="J29" s="31">
        <v>3</v>
      </c>
      <c r="K29" s="31">
        <v>4</v>
      </c>
      <c r="L29" s="31"/>
      <c r="M29" s="32">
        <v>187</v>
      </c>
      <c r="N29" s="31">
        <v>130</v>
      </c>
      <c r="O29" s="31">
        <v>0</v>
      </c>
      <c r="P29" s="31">
        <v>5</v>
      </c>
      <c r="Q29" s="32">
        <v>159</v>
      </c>
      <c r="R29" s="1">
        <v>109</v>
      </c>
      <c r="S29" s="31">
        <v>0</v>
      </c>
      <c r="T29" s="31">
        <v>6</v>
      </c>
      <c r="U29" s="63">
        <f t="shared" si="1"/>
        <v>-14.973262032085561</v>
      </c>
      <c r="V29" s="64">
        <f t="shared" si="1"/>
        <v>-16.153846153846153</v>
      </c>
      <c r="W29" s="28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N29" s="6"/>
      <c r="AO29" s="34"/>
      <c r="AP29" s="34"/>
      <c r="AQ29" s="34"/>
      <c r="AR29" s="34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</row>
    <row r="30" spans="1:59" s="33" customFormat="1" ht="15" x14ac:dyDescent="0.2">
      <c r="A30" s="29" t="s">
        <v>23</v>
      </c>
      <c r="B30" s="31"/>
      <c r="C30" s="32">
        <v>129</v>
      </c>
      <c r="D30" s="31">
        <v>105</v>
      </c>
      <c r="E30" s="31">
        <v>0</v>
      </c>
      <c r="F30" s="31">
        <v>7</v>
      </c>
      <c r="G30" s="31"/>
      <c r="H30" s="32">
        <v>129</v>
      </c>
      <c r="I30" s="31">
        <v>97</v>
      </c>
      <c r="J30" s="31">
        <v>0</v>
      </c>
      <c r="K30" s="31">
        <v>0</v>
      </c>
      <c r="L30" s="31"/>
      <c r="M30" s="32">
        <v>160</v>
      </c>
      <c r="N30" s="31">
        <v>103</v>
      </c>
      <c r="O30" s="31">
        <v>3</v>
      </c>
      <c r="P30" s="31">
        <v>4</v>
      </c>
      <c r="Q30" s="32">
        <v>136</v>
      </c>
      <c r="R30" s="1">
        <v>85</v>
      </c>
      <c r="S30" s="31">
        <v>0</v>
      </c>
      <c r="T30" s="31">
        <v>0</v>
      </c>
      <c r="U30" s="63">
        <f t="shared" si="1"/>
        <v>-15</v>
      </c>
      <c r="V30" s="64">
        <f t="shared" si="1"/>
        <v>-17.475728155339805</v>
      </c>
      <c r="W30" s="28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N30" s="35"/>
      <c r="AO30" s="70"/>
      <c r="AP30" s="70"/>
      <c r="AQ30" s="34"/>
      <c r="AR30" s="34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</row>
    <row r="31" spans="1:59" s="42" customFormat="1" ht="15" x14ac:dyDescent="0.2">
      <c r="A31" s="36" t="s">
        <v>8</v>
      </c>
      <c r="B31" s="37"/>
      <c r="C31" s="38">
        <v>299</v>
      </c>
      <c r="D31" s="37">
        <v>192</v>
      </c>
      <c r="E31" s="37">
        <v>0</v>
      </c>
      <c r="F31" s="37">
        <v>4</v>
      </c>
      <c r="G31" s="37"/>
      <c r="H31" s="38">
        <v>283</v>
      </c>
      <c r="I31" s="37">
        <v>179</v>
      </c>
      <c r="J31" s="37">
        <v>1</v>
      </c>
      <c r="K31" s="37">
        <v>9</v>
      </c>
      <c r="L31" s="37"/>
      <c r="M31" s="38">
        <v>266</v>
      </c>
      <c r="N31" s="37">
        <v>202</v>
      </c>
      <c r="O31" s="37">
        <v>0</v>
      </c>
      <c r="P31" s="37">
        <v>10</v>
      </c>
      <c r="Q31" s="38">
        <v>272</v>
      </c>
      <c r="R31" s="85">
        <v>206</v>
      </c>
      <c r="S31" s="37">
        <v>0</v>
      </c>
      <c r="T31" s="37">
        <v>5</v>
      </c>
      <c r="U31" s="65">
        <f t="shared" si="1"/>
        <v>2.2556390977443606</v>
      </c>
      <c r="V31" s="66">
        <f t="shared" si="1"/>
        <v>1.9801980198019802</v>
      </c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39"/>
      <c r="AN31" s="39"/>
      <c r="AO31" s="39"/>
      <c r="AP31" s="39"/>
      <c r="AQ31" s="39"/>
      <c r="AR31" s="40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</row>
    <row r="32" spans="1:59" s="1" customFormat="1" ht="17.25" x14ac:dyDescent="0.45">
      <c r="A32" s="43" t="s">
        <v>33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67" t="s">
        <v>37</v>
      </c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6"/>
      <c r="AM32" s="46"/>
      <c r="AN32" s="46"/>
      <c r="AO32" s="46"/>
      <c r="AP32" s="46"/>
      <c r="AQ32" s="46"/>
      <c r="AR32" s="34"/>
    </row>
    <row r="33" spans="2:57" s="47" customFormat="1" x14ac:dyDescent="0.2"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6"/>
      <c r="AM33" s="46"/>
      <c r="AN33" s="46"/>
      <c r="AO33" s="46"/>
      <c r="AP33" s="46"/>
      <c r="AQ33" s="46"/>
      <c r="AR33" s="46"/>
    </row>
    <row r="34" spans="2:57" s="47" customFormat="1" x14ac:dyDescent="0.2"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</row>
    <row r="35" spans="2:57" s="47" customFormat="1" x14ac:dyDescent="0.2"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70"/>
      <c r="AN35" s="70"/>
      <c r="AO35" s="70"/>
      <c r="AP35" s="70"/>
      <c r="AQ35" s="70"/>
      <c r="AR35" s="70"/>
      <c r="AS35" s="70"/>
      <c r="AT35" s="70"/>
      <c r="AU35" s="46"/>
    </row>
    <row r="36" spans="2:57" s="47" customFormat="1" x14ac:dyDescent="0.2"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16"/>
      <c r="AN36" s="16"/>
      <c r="AO36" s="16"/>
      <c r="AP36" s="16"/>
      <c r="AQ36" s="16"/>
      <c r="AR36" s="16"/>
      <c r="AS36" s="16"/>
      <c r="AT36" s="16"/>
      <c r="AU36" s="46"/>
    </row>
    <row r="37" spans="2:57" s="47" customFormat="1" x14ac:dyDescent="0.2"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3"/>
      <c r="AM37" s="49"/>
      <c r="AN37" s="49"/>
      <c r="AO37" s="49"/>
      <c r="AP37" s="49"/>
      <c r="AQ37" s="49"/>
      <c r="AR37" s="49"/>
      <c r="AS37" s="49"/>
      <c r="AT37" s="49"/>
      <c r="AU37" s="46"/>
    </row>
    <row r="38" spans="2:57" s="47" customFormat="1" x14ac:dyDescent="0.2"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AL38" s="50"/>
      <c r="AM38" s="49"/>
      <c r="AN38" s="49"/>
      <c r="AO38" s="49"/>
      <c r="AP38" s="49"/>
      <c r="AQ38" s="49"/>
      <c r="AR38" s="49"/>
      <c r="AS38" s="49"/>
      <c r="AT38" s="49"/>
      <c r="AU38" s="46"/>
    </row>
    <row r="39" spans="2:57" s="47" customFormat="1" x14ac:dyDescent="0.2"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</row>
    <row r="40" spans="2:57" s="47" customFormat="1" x14ac:dyDescent="0.2"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AN40" s="84">
        <v>2010</v>
      </c>
      <c r="AO40" s="84"/>
      <c r="AP40" s="84">
        <v>2011</v>
      </c>
      <c r="AQ40" s="84"/>
      <c r="AR40" s="84">
        <v>2012</v>
      </c>
      <c r="AS40" s="84"/>
      <c r="AT40" s="84">
        <v>2013</v>
      </c>
      <c r="AU40" s="84"/>
      <c r="AV40" s="84">
        <v>2014</v>
      </c>
      <c r="AW40" s="84"/>
      <c r="AX40" s="84">
        <v>2015</v>
      </c>
      <c r="AY40" s="84"/>
      <c r="AZ40" s="84">
        <v>2016</v>
      </c>
      <c r="BA40" s="84"/>
      <c r="BB40" s="84">
        <v>2017</v>
      </c>
      <c r="BC40" s="84"/>
      <c r="BD40" s="84">
        <v>2018</v>
      </c>
      <c r="BE40" s="84"/>
    </row>
    <row r="41" spans="2:57" s="47" customFormat="1" x14ac:dyDescent="0.2"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AN41" s="15" t="s">
        <v>34</v>
      </c>
      <c r="AO41" s="15" t="s">
        <v>35</v>
      </c>
      <c r="AP41" s="15" t="s">
        <v>34</v>
      </c>
      <c r="AQ41" s="15" t="s">
        <v>35</v>
      </c>
      <c r="AR41" s="15" t="s">
        <v>34</v>
      </c>
      <c r="AS41" s="15" t="s">
        <v>35</v>
      </c>
      <c r="AT41" s="15" t="s">
        <v>34</v>
      </c>
      <c r="AU41" s="15" t="s">
        <v>35</v>
      </c>
      <c r="AV41" s="15" t="s">
        <v>34</v>
      </c>
      <c r="AW41" s="15" t="s">
        <v>35</v>
      </c>
      <c r="AX41" s="15" t="s">
        <v>34</v>
      </c>
      <c r="AY41" s="15" t="s">
        <v>35</v>
      </c>
      <c r="AZ41" s="15" t="s">
        <v>34</v>
      </c>
      <c r="BA41" s="15" t="s">
        <v>35</v>
      </c>
      <c r="BB41" s="15" t="s">
        <v>34</v>
      </c>
      <c r="BC41" s="15" t="s">
        <v>35</v>
      </c>
      <c r="BD41" s="15" t="s">
        <v>34</v>
      </c>
      <c r="BE41" s="15" t="s">
        <v>35</v>
      </c>
    </row>
    <row r="42" spans="2:57" s="47" customFormat="1" x14ac:dyDescent="0.2"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AM42" s="3" t="s">
        <v>3</v>
      </c>
      <c r="AN42" s="49">
        <v>2491</v>
      </c>
      <c r="AO42" s="49">
        <v>1248</v>
      </c>
      <c r="AP42" s="51">
        <v>2366</v>
      </c>
      <c r="AQ42" s="51">
        <v>1209</v>
      </c>
      <c r="AR42" s="49">
        <v>2404</v>
      </c>
      <c r="AS42" s="49">
        <v>1320</v>
      </c>
      <c r="AT42" s="47">
        <v>2463</v>
      </c>
      <c r="AU42" s="47">
        <v>1508</v>
      </c>
      <c r="AV42" s="47">
        <v>2357</v>
      </c>
      <c r="AW42" s="47">
        <v>1368</v>
      </c>
      <c r="AX42" s="47">
        <v>2417</v>
      </c>
      <c r="AY42" s="47">
        <v>1288</v>
      </c>
      <c r="AZ42" s="47">
        <v>2304</v>
      </c>
      <c r="BA42" s="47">
        <v>1341</v>
      </c>
      <c r="BB42" s="47">
        <v>2168</v>
      </c>
      <c r="BC42" s="47">
        <v>1248</v>
      </c>
      <c r="BD42" s="47">
        <f t="shared" ref="BD42:BE44" si="3">M9</f>
        <v>2191</v>
      </c>
      <c r="BE42" s="47">
        <f t="shared" si="3"/>
        <v>1156</v>
      </c>
    </row>
    <row r="43" spans="2:57" s="47" customFormat="1" ht="15" x14ac:dyDescent="0.2"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AM43" s="27" t="s">
        <v>2</v>
      </c>
      <c r="AV43" s="47">
        <v>125</v>
      </c>
      <c r="AW43" s="47">
        <v>98</v>
      </c>
      <c r="AX43" s="47">
        <v>193</v>
      </c>
      <c r="AY43" s="47">
        <v>167</v>
      </c>
      <c r="AZ43" s="47">
        <v>223</v>
      </c>
      <c r="BA43" s="47">
        <v>155</v>
      </c>
      <c r="BB43" s="47">
        <v>207</v>
      </c>
      <c r="BC43" s="47">
        <v>149</v>
      </c>
      <c r="BD43" s="47">
        <f t="shared" si="3"/>
        <v>258</v>
      </c>
      <c r="BE43" s="47">
        <f t="shared" si="3"/>
        <v>217</v>
      </c>
    </row>
    <row r="44" spans="2:57" s="47" customFormat="1" x14ac:dyDescent="0.2"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AM44" s="52" t="s">
        <v>4</v>
      </c>
      <c r="AN44" s="49">
        <v>3645</v>
      </c>
      <c r="AO44" s="49">
        <v>1547</v>
      </c>
      <c r="AP44" s="51">
        <v>3649</v>
      </c>
      <c r="AQ44" s="51">
        <v>1807</v>
      </c>
      <c r="AR44" s="53">
        <v>3295</v>
      </c>
      <c r="AS44" s="53">
        <v>1691</v>
      </c>
      <c r="AT44" s="47">
        <v>3157</v>
      </c>
      <c r="AU44" s="47">
        <v>1823</v>
      </c>
      <c r="AV44" s="47">
        <v>3230</v>
      </c>
      <c r="AW44" s="47">
        <v>1936</v>
      </c>
      <c r="AX44" s="47">
        <v>3153</v>
      </c>
      <c r="AY44" s="47">
        <v>1903</v>
      </c>
      <c r="AZ44" s="47">
        <v>2961</v>
      </c>
      <c r="BA44" s="47">
        <v>1921</v>
      </c>
      <c r="BB44" s="47">
        <v>2862</v>
      </c>
      <c r="BC44" s="47">
        <v>1814</v>
      </c>
      <c r="BD44" s="47">
        <f t="shared" si="3"/>
        <v>2841</v>
      </c>
      <c r="BE44" s="47">
        <f t="shared" si="3"/>
        <v>1793</v>
      </c>
    </row>
    <row r="45" spans="2:57" s="47" customFormat="1" x14ac:dyDescent="0.2"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2:57" s="47" customFormat="1" x14ac:dyDescent="0.2"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</row>
    <row r="47" spans="2:57" s="47" customFormat="1" x14ac:dyDescent="0.2"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</row>
    <row r="48" spans="2:57" s="47" customFormat="1" x14ac:dyDescent="0.2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</row>
    <row r="49" spans="2:47" s="47" customFormat="1" x14ac:dyDescent="0.2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</row>
    <row r="50" spans="2:47" s="47" customFormat="1" x14ac:dyDescent="0.2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</row>
    <row r="51" spans="2:47" s="47" customFormat="1" x14ac:dyDescent="0.2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</row>
    <row r="52" spans="2:47" s="47" customFormat="1" x14ac:dyDescent="0.2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</row>
    <row r="53" spans="2:47" s="47" customFormat="1" x14ac:dyDescent="0.2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</row>
    <row r="54" spans="2:47" s="47" customFormat="1" x14ac:dyDescent="0.2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</row>
    <row r="55" spans="2:47" s="47" customFormat="1" x14ac:dyDescent="0.2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AN55" s="46"/>
      <c r="AO55" s="46"/>
      <c r="AP55" s="46"/>
    </row>
    <row r="56" spans="2:47" s="47" customFormat="1" x14ac:dyDescent="0.2"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AN56" s="46"/>
      <c r="AO56" s="46"/>
      <c r="AP56" s="46"/>
      <c r="AS56" s="46"/>
      <c r="AT56" s="46"/>
      <c r="AU56" s="46"/>
    </row>
    <row r="57" spans="2:47" s="47" customFormat="1" x14ac:dyDescent="0.2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AN57" s="46"/>
      <c r="AO57" s="16"/>
      <c r="AP57" s="16"/>
      <c r="AS57" s="46"/>
      <c r="AT57" s="16"/>
      <c r="AU57" s="16"/>
    </row>
    <row r="58" spans="2:47" s="47" customFormat="1" x14ac:dyDescent="0.2"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AN58" s="45"/>
      <c r="AO58" s="54"/>
      <c r="AP58" s="54"/>
      <c r="AS58" s="45"/>
      <c r="AT58" s="54"/>
      <c r="AU58" s="54"/>
    </row>
    <row r="59" spans="2:47" s="47" customFormat="1" x14ac:dyDescent="0.2"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AN59" s="45"/>
      <c r="AO59" s="54"/>
      <c r="AP59" s="54"/>
      <c r="AS59" s="45"/>
      <c r="AT59" s="54"/>
      <c r="AU59" s="54"/>
    </row>
    <row r="60" spans="2:47" s="47" customFormat="1" x14ac:dyDescent="0.2"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AN60" s="45"/>
      <c r="AO60" s="54"/>
      <c r="AP60" s="54"/>
      <c r="AS60" s="45"/>
      <c r="AT60" s="54"/>
      <c r="AU60" s="54"/>
    </row>
    <row r="61" spans="2:47" s="47" customFormat="1" x14ac:dyDescent="0.2"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AN61" s="45"/>
      <c r="AO61" s="54"/>
      <c r="AP61" s="54"/>
      <c r="AS61" s="45"/>
      <c r="AT61" s="54"/>
      <c r="AU61" s="54"/>
    </row>
    <row r="62" spans="2:47" s="47" customFormat="1" x14ac:dyDescent="0.2"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AN62" s="45"/>
      <c r="AO62" s="54"/>
      <c r="AP62" s="54"/>
      <c r="AS62" s="45"/>
      <c r="AT62" s="54"/>
      <c r="AU62" s="54"/>
    </row>
    <row r="63" spans="2:47" s="47" customFormat="1" x14ac:dyDescent="0.2"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AN63" s="45"/>
      <c r="AO63" s="54"/>
      <c r="AP63" s="54"/>
      <c r="AS63" s="45"/>
      <c r="AT63" s="54"/>
      <c r="AU63" s="54"/>
    </row>
    <row r="64" spans="2:47" s="47" customFormat="1" x14ac:dyDescent="0.2"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AN64" s="45"/>
      <c r="AO64" s="54"/>
      <c r="AP64" s="54"/>
      <c r="AS64" s="45"/>
      <c r="AT64" s="54"/>
      <c r="AU64" s="54"/>
    </row>
    <row r="65" spans="2:47" s="47" customFormat="1" x14ac:dyDescent="0.2"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AN65" s="45"/>
      <c r="AO65" s="54"/>
      <c r="AP65" s="54"/>
      <c r="AS65" s="45"/>
      <c r="AT65" s="54"/>
      <c r="AU65" s="54"/>
    </row>
    <row r="66" spans="2:47" s="47" customFormat="1" x14ac:dyDescent="0.2"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AN66" s="45"/>
      <c r="AO66" s="54"/>
      <c r="AP66" s="54"/>
      <c r="AS66" s="45"/>
      <c r="AT66" s="54"/>
      <c r="AU66" s="54"/>
    </row>
    <row r="67" spans="2:47" s="47" customFormat="1" x14ac:dyDescent="0.2"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AN67" s="45"/>
      <c r="AO67" s="54"/>
      <c r="AP67" s="54"/>
      <c r="AS67" s="45"/>
      <c r="AT67" s="54"/>
      <c r="AU67" s="54"/>
    </row>
    <row r="68" spans="2:47" s="47" customFormat="1" x14ac:dyDescent="0.2"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AN68" s="45"/>
      <c r="AO68" s="54"/>
      <c r="AP68" s="54"/>
      <c r="AS68" s="45"/>
      <c r="AT68" s="54"/>
      <c r="AU68" s="54"/>
    </row>
    <row r="69" spans="2:47" s="47" customFormat="1" x14ac:dyDescent="0.2"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AN69" s="45"/>
      <c r="AO69" s="54"/>
      <c r="AP69" s="54"/>
      <c r="AS69" s="45"/>
      <c r="AT69" s="54"/>
      <c r="AU69" s="54"/>
    </row>
    <row r="70" spans="2:47" s="47" customFormat="1" x14ac:dyDescent="0.2"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AN70" s="45"/>
      <c r="AO70" s="54"/>
      <c r="AP70" s="54"/>
      <c r="AS70" s="45"/>
      <c r="AT70" s="54"/>
      <c r="AU70" s="54"/>
    </row>
    <row r="71" spans="2:47" s="47" customFormat="1" x14ac:dyDescent="0.2"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AN71" s="45"/>
      <c r="AO71" s="54"/>
      <c r="AP71" s="54"/>
      <c r="AS71" s="45"/>
      <c r="AT71" s="54"/>
      <c r="AU71" s="54"/>
    </row>
    <row r="72" spans="2:47" s="47" customFormat="1" x14ac:dyDescent="0.2"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AN72" s="45"/>
      <c r="AO72" s="54"/>
      <c r="AP72" s="54"/>
      <c r="AS72" s="45"/>
      <c r="AT72" s="54"/>
      <c r="AU72" s="54"/>
    </row>
    <row r="73" spans="2:47" s="47" customFormat="1" x14ac:dyDescent="0.2"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AN73" s="45"/>
      <c r="AO73" s="54"/>
      <c r="AP73" s="54"/>
      <c r="AS73" s="45"/>
      <c r="AT73" s="54"/>
      <c r="AU73" s="54"/>
    </row>
    <row r="74" spans="2:47" s="47" customFormat="1" x14ac:dyDescent="0.2"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AN74" s="45"/>
      <c r="AO74" s="54"/>
      <c r="AP74" s="54"/>
      <c r="AS74" s="45"/>
      <c r="AT74" s="54"/>
      <c r="AU74" s="54"/>
    </row>
    <row r="75" spans="2:47" s="47" customFormat="1" x14ac:dyDescent="0.2"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AN75" s="45"/>
      <c r="AO75" s="54"/>
      <c r="AP75" s="54"/>
      <c r="AS75" s="45"/>
      <c r="AT75" s="54"/>
      <c r="AU75" s="54"/>
    </row>
    <row r="76" spans="2:47" s="47" customFormat="1" x14ac:dyDescent="0.2"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AN76" s="45"/>
      <c r="AO76" s="54"/>
      <c r="AP76" s="54"/>
      <c r="AS76" s="45"/>
      <c r="AT76" s="54"/>
      <c r="AU76" s="54"/>
    </row>
    <row r="77" spans="2:47" s="47" customFormat="1" x14ac:dyDescent="0.2"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AN77" s="55"/>
      <c r="AO77" s="54"/>
      <c r="AP77" s="54"/>
      <c r="AS77" s="55"/>
      <c r="AT77" s="54"/>
      <c r="AU77" s="54"/>
    </row>
    <row r="78" spans="2:47" s="47" customFormat="1" x14ac:dyDescent="0.2"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AN78" s="46"/>
      <c r="AO78" s="46"/>
      <c r="AP78" s="46"/>
      <c r="AS78" s="46"/>
      <c r="AT78" s="46"/>
      <c r="AU78" s="46"/>
    </row>
    <row r="79" spans="2:47" s="47" customFormat="1" x14ac:dyDescent="0.2"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AN79" s="46"/>
      <c r="AO79" s="46"/>
      <c r="AP79" s="46"/>
    </row>
    <row r="80" spans="2:47" s="47" customFormat="1" x14ac:dyDescent="0.2"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AN80" s="46"/>
      <c r="AO80" s="46"/>
      <c r="AP80" s="46"/>
    </row>
    <row r="81" spans="2:42" s="47" customFormat="1" x14ac:dyDescent="0.2"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AN81" s="46"/>
      <c r="AO81" s="46"/>
      <c r="AP81" s="46"/>
    </row>
    <row r="82" spans="2:42" s="47" customFormat="1" x14ac:dyDescent="0.2"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AN82" s="46"/>
      <c r="AO82" s="46"/>
      <c r="AP82" s="46"/>
    </row>
    <row r="83" spans="2:42" s="47" customFormat="1" x14ac:dyDescent="0.2"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AN83" s="46"/>
      <c r="AO83" s="46"/>
      <c r="AP83" s="46"/>
    </row>
    <row r="84" spans="2:42" s="47" customFormat="1" x14ac:dyDescent="0.2"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</row>
    <row r="85" spans="2:42" s="47" customFormat="1" x14ac:dyDescent="0.2"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</row>
    <row r="86" spans="2:42" s="47" customFormat="1" x14ac:dyDescent="0.2"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</row>
    <row r="87" spans="2:42" s="47" customFormat="1" x14ac:dyDescent="0.2"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</row>
    <row r="88" spans="2:42" s="47" customFormat="1" x14ac:dyDescent="0.2"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</row>
    <row r="89" spans="2:42" s="47" customFormat="1" x14ac:dyDescent="0.2"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</row>
    <row r="90" spans="2:42" s="47" customFormat="1" x14ac:dyDescent="0.2"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</row>
    <row r="91" spans="2:42" s="47" customFormat="1" x14ac:dyDescent="0.2"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</row>
    <row r="92" spans="2:42" s="47" customFormat="1" x14ac:dyDescent="0.2"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</row>
    <row r="93" spans="2:42" s="47" customFormat="1" x14ac:dyDescent="0.2"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</row>
    <row r="94" spans="2:42" s="47" customFormat="1" x14ac:dyDescent="0.2"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</row>
    <row r="95" spans="2:42" s="47" customFormat="1" x14ac:dyDescent="0.2"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</row>
    <row r="96" spans="2:42" s="47" customFormat="1" x14ac:dyDescent="0.2"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</row>
    <row r="97" spans="2:21" s="47" customFormat="1" x14ac:dyDescent="0.2"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</row>
    <row r="98" spans="2:21" s="47" customFormat="1" x14ac:dyDescent="0.2"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</row>
    <row r="99" spans="2:21" s="47" customFormat="1" x14ac:dyDescent="0.2"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</row>
    <row r="100" spans="2:21" s="47" customFormat="1" x14ac:dyDescent="0.2"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</row>
    <row r="101" spans="2:21" s="47" customFormat="1" x14ac:dyDescent="0.2"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</row>
    <row r="102" spans="2:21" s="47" customFormat="1" x14ac:dyDescent="0.2"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</row>
    <row r="103" spans="2:21" s="47" customFormat="1" x14ac:dyDescent="0.2"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</row>
    <row r="104" spans="2:21" s="47" customFormat="1" x14ac:dyDescent="0.2"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</row>
    <row r="105" spans="2:21" s="47" customFormat="1" x14ac:dyDescent="0.2"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</row>
    <row r="106" spans="2:21" s="47" customFormat="1" x14ac:dyDescent="0.2"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</row>
    <row r="107" spans="2:21" s="47" customFormat="1" x14ac:dyDescent="0.2"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</row>
    <row r="108" spans="2:21" s="47" customFormat="1" x14ac:dyDescent="0.2"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</row>
    <row r="109" spans="2:21" s="47" customFormat="1" x14ac:dyDescent="0.2"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</row>
    <row r="110" spans="2:21" s="47" customFormat="1" x14ac:dyDescent="0.2"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</row>
    <row r="111" spans="2:21" s="47" customFormat="1" x14ac:dyDescent="0.2"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</row>
    <row r="112" spans="2:21" s="47" customFormat="1" x14ac:dyDescent="0.2"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</row>
    <row r="113" spans="2:21" s="47" customFormat="1" x14ac:dyDescent="0.2"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</row>
    <row r="114" spans="2:21" s="47" customFormat="1" x14ac:dyDescent="0.2"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</row>
    <row r="115" spans="2:21" s="47" customFormat="1" x14ac:dyDescent="0.2"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</row>
    <row r="116" spans="2:21" s="47" customFormat="1" x14ac:dyDescent="0.2"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</row>
  </sheetData>
  <mergeCells count="22">
    <mergeCell ref="A1:V1"/>
    <mergeCell ref="A2:V2"/>
    <mergeCell ref="AZ40:BA40"/>
    <mergeCell ref="BB40:BC40"/>
    <mergeCell ref="BD40:BE40"/>
    <mergeCell ref="AO35:AP35"/>
    <mergeCell ref="AQ35:AR35"/>
    <mergeCell ref="AS35:AT35"/>
    <mergeCell ref="AV40:AW40"/>
    <mergeCell ref="AX40:AY40"/>
    <mergeCell ref="AN40:AO40"/>
    <mergeCell ref="AP40:AQ40"/>
    <mergeCell ref="AR40:AS40"/>
    <mergeCell ref="AT40:AU40"/>
    <mergeCell ref="AO30:AP30"/>
    <mergeCell ref="AM35:AN35"/>
    <mergeCell ref="A4:A7"/>
    <mergeCell ref="C4:F5"/>
    <mergeCell ref="H4:K5"/>
    <mergeCell ref="M4:P5"/>
    <mergeCell ref="Q4:T5"/>
    <mergeCell ref="U4:V5"/>
  </mergeCells>
  <pageMargins left="0.7" right="0.7" top="0.75" bottom="0.75" header="0.3" footer="0.3"/>
  <pageSetup scale="49" orientation="portrait" r:id="rId1"/>
  <colBreaks count="1" manualBreakCount="1">
    <brk id="22" max="1048575" man="1"/>
  </colBreaks>
  <ignoredErrors>
    <ignoredError sqref="U8:V11 U13:V31 U12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3.17</vt:lpstr>
      <vt:lpstr>'3.17'!Print_Area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2020-12-22T06:24:12Z</cp:lastPrinted>
  <dcterms:created xsi:type="dcterms:W3CDTF">2019-07-22T06:02:33Z</dcterms:created>
  <dcterms:modified xsi:type="dcterms:W3CDTF">2020-12-22T06:24:44Z</dcterms:modified>
</cp:coreProperties>
</file>