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3. POPULATION\"/>
    </mc:Choice>
  </mc:AlternateContent>
  <bookViews>
    <workbookView xWindow="0" yWindow="0" windowWidth="28800" windowHeight="12435" tabRatio="769"/>
  </bookViews>
  <sheets>
    <sheet name="3.7" sheetId="7" r:id="rId1"/>
  </sheets>
  <externalReferences>
    <externalReference r:id="rId2"/>
    <externalReference r:id="rId3"/>
  </externalReferences>
  <definedNames>
    <definedName name="_xlnm.Print_Area" localSheetId="0">'3.7'!$A$1:$S$49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36" i="7" l="1"/>
  <c r="AN37" i="7"/>
  <c r="AN38" i="7"/>
  <c r="AN39" i="7"/>
  <c r="AN40" i="7"/>
  <c r="AN41" i="7"/>
  <c r="AN42" i="7"/>
  <c r="AN43" i="7"/>
  <c r="AN44" i="7"/>
  <c r="AN45" i="7"/>
  <c r="AN46" i="7"/>
  <c r="AN35" i="7"/>
  <c r="AM36" i="7"/>
  <c r="AM37" i="7"/>
  <c r="AM38" i="7"/>
  <c r="AM39" i="7"/>
  <c r="AM40" i="7"/>
  <c r="AM41" i="7"/>
  <c r="AM42" i="7"/>
  <c r="AM43" i="7"/>
  <c r="AM44" i="7"/>
  <c r="AM45" i="7"/>
  <c r="AM46" i="7"/>
  <c r="AM35" i="7"/>
  <c r="AQ36" i="7"/>
  <c r="AQ37" i="7"/>
  <c r="AQ38" i="7"/>
  <c r="AQ39" i="7"/>
  <c r="AQ40" i="7"/>
  <c r="AQ41" i="7"/>
  <c r="AQ42" i="7"/>
  <c r="AQ43" i="7"/>
  <c r="AQ44" i="7"/>
  <c r="AQ45" i="7"/>
  <c r="AQ46" i="7"/>
  <c r="AQ35" i="7"/>
  <c r="AP36" i="7"/>
  <c r="AP37" i="7"/>
  <c r="AP38" i="7"/>
  <c r="AP39" i="7"/>
  <c r="AP40" i="7"/>
  <c r="AP41" i="7"/>
  <c r="AP42" i="7"/>
  <c r="AP43" i="7"/>
  <c r="AP44" i="7"/>
  <c r="AP45" i="7"/>
  <c r="AP46" i="7"/>
  <c r="AP35" i="7"/>
  <c r="AO36" i="7"/>
  <c r="AO37" i="7"/>
  <c r="AO38" i="7"/>
  <c r="AO39" i="7"/>
  <c r="AO40" i="7"/>
  <c r="AO41" i="7"/>
  <c r="AO42" i="7"/>
  <c r="AO43" i="7"/>
  <c r="AO44" i="7"/>
  <c r="AO45" i="7"/>
  <c r="AO46" i="7"/>
  <c r="AO35" i="7"/>
  <c r="AI36" i="7"/>
  <c r="AI37" i="7"/>
  <c r="AI38" i="7"/>
  <c r="AI39" i="7"/>
  <c r="AI40" i="7"/>
  <c r="AI41" i="7"/>
  <c r="AI42" i="7"/>
  <c r="AI43" i="7"/>
  <c r="AI44" i="7"/>
  <c r="AI45" i="7"/>
  <c r="AI46" i="7"/>
  <c r="AI35" i="7"/>
  <c r="AH36" i="7"/>
  <c r="AH37" i="7"/>
  <c r="AH38" i="7"/>
  <c r="AH39" i="7"/>
  <c r="AH40" i="7"/>
  <c r="AH41" i="7"/>
  <c r="AH42" i="7"/>
  <c r="AH43" i="7"/>
  <c r="AH44" i="7"/>
  <c r="AH45" i="7"/>
  <c r="AH46" i="7"/>
  <c r="AH35" i="7"/>
  <c r="AG36" i="7"/>
  <c r="AG37" i="7"/>
  <c r="AG38" i="7"/>
  <c r="AG39" i="7"/>
  <c r="AG40" i="7"/>
  <c r="AG41" i="7"/>
  <c r="AG42" i="7"/>
  <c r="AG43" i="7"/>
  <c r="AG44" i="7"/>
  <c r="AG45" i="7"/>
  <c r="AG46" i="7"/>
  <c r="AG35" i="7"/>
  <c r="AF36" i="7"/>
  <c r="AF37" i="7"/>
  <c r="AF38" i="7"/>
  <c r="AF39" i="7"/>
  <c r="AF40" i="7"/>
  <c r="AF41" i="7"/>
  <c r="AF42" i="7"/>
  <c r="AF43" i="7"/>
  <c r="AF44" i="7"/>
  <c r="AF45" i="7"/>
  <c r="AF46" i="7"/>
  <c r="AF35" i="7"/>
  <c r="P18" i="7"/>
  <c r="M18" i="7"/>
  <c r="J18" i="7"/>
  <c r="G18" i="7"/>
  <c r="D18" i="7"/>
  <c r="P17" i="7"/>
  <c r="M17" i="7"/>
  <c r="J17" i="7"/>
  <c r="G17" i="7"/>
  <c r="D17" i="7"/>
  <c r="P16" i="7"/>
  <c r="M16" i="7"/>
  <c r="J16" i="7"/>
  <c r="G16" i="7"/>
  <c r="D16" i="7"/>
  <c r="P15" i="7"/>
  <c r="M15" i="7"/>
  <c r="J15" i="7"/>
  <c r="G15" i="7"/>
  <c r="D15" i="7"/>
  <c r="P14" i="7"/>
  <c r="M14" i="7"/>
  <c r="J14" i="7"/>
  <c r="G14" i="7"/>
  <c r="D14" i="7"/>
  <c r="P13" i="7"/>
  <c r="M13" i="7"/>
  <c r="J13" i="7"/>
  <c r="G13" i="7"/>
  <c r="D13" i="7"/>
  <c r="P12" i="7"/>
  <c r="M12" i="7"/>
  <c r="J12" i="7"/>
  <c r="G12" i="7"/>
  <c r="D12" i="7"/>
  <c r="P11" i="7"/>
  <c r="M11" i="7"/>
  <c r="J11" i="7"/>
  <c r="G11" i="7"/>
  <c r="D11" i="7"/>
  <c r="P10" i="7"/>
  <c r="M10" i="7"/>
  <c r="J10" i="7"/>
  <c r="G10" i="7"/>
  <c r="D10" i="7"/>
  <c r="P9" i="7"/>
  <c r="M9" i="7"/>
  <c r="J9" i="7"/>
  <c r="G9" i="7"/>
  <c r="D9" i="7"/>
  <c r="P8" i="7"/>
  <c r="M8" i="7"/>
  <c r="J8" i="7"/>
  <c r="G8" i="7"/>
  <c r="D8" i="7"/>
  <c r="P7" i="7"/>
  <c r="M7" i="7"/>
  <c r="J7" i="7"/>
  <c r="G7" i="7"/>
  <c r="D7" i="7"/>
  <c r="O6" i="7"/>
  <c r="N6" i="7"/>
  <c r="L6" i="7"/>
  <c r="K6" i="7"/>
  <c r="I6" i="7"/>
  <c r="H6" i="7"/>
  <c r="F6" i="7"/>
  <c r="E6" i="7"/>
  <c r="C6" i="7"/>
  <c r="B6" i="7"/>
  <c r="P6" i="7" l="1"/>
  <c r="J6" i="7"/>
  <c r="D6" i="7"/>
  <c r="M6" i="7"/>
  <c r="G6" i="7"/>
</calcChain>
</file>

<file path=xl/sharedStrings.xml><?xml version="1.0" encoding="utf-8"?>
<sst xmlns="http://schemas.openxmlformats.org/spreadsheetml/2006/main" count="96" uniqueCount="57">
  <si>
    <t>October</t>
  </si>
  <si>
    <t>Total</t>
  </si>
  <si>
    <t>މަސް</t>
  </si>
  <si>
    <t>ivcnwfua</t>
  </si>
  <si>
    <t>ivurwm</t>
  </si>
  <si>
    <t>ivurutia</t>
  </si>
  <si>
    <t>Month</t>
  </si>
  <si>
    <t>Births</t>
  </si>
  <si>
    <t>Deaths</t>
  </si>
  <si>
    <t>Natural Increase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</si>
  <si>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</si>
  <si>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</si>
  <si>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</si>
  <si>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</si>
  <si>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</si>
  <si>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</si>
  <si>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</si>
  <si>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</si>
  <si>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</si>
  <si>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Jan</t>
  </si>
  <si>
    <t>May</t>
  </si>
  <si>
    <t>މެއި</t>
  </si>
  <si>
    <t>Feb</t>
  </si>
  <si>
    <t>June</t>
  </si>
  <si>
    <t>ޖޫން</t>
  </si>
  <si>
    <t>Mar</t>
  </si>
  <si>
    <t>July</t>
  </si>
  <si>
    <t>ޖުލައި</t>
  </si>
  <si>
    <t>Apr</t>
  </si>
  <si>
    <t>August</t>
  </si>
  <si>
    <t>އޮގަސްޓް</t>
  </si>
  <si>
    <t>September</t>
  </si>
  <si>
    <t>ސެޕްޓެމްބަރ</t>
  </si>
  <si>
    <t>Jun</t>
  </si>
  <si>
    <t>އޮކްޓޯބަރ</t>
  </si>
  <si>
    <t>Jul</t>
  </si>
  <si>
    <t>November</t>
  </si>
  <si>
    <t>ނޮވެމްބަރ</t>
  </si>
  <si>
    <t>Aug</t>
  </si>
  <si>
    <t>December</t>
  </si>
  <si>
    <t>ޑިސެމްބަރ</t>
  </si>
  <si>
    <t>Sep</t>
  </si>
  <si>
    <t>Oct</t>
  </si>
  <si>
    <r>
      <rPr>
        <b/>
        <i/>
        <sz val="10"/>
        <rFont val="Calibri"/>
        <family val="2"/>
      </rPr>
      <t>Source:</t>
    </r>
    <r>
      <rPr>
        <i/>
        <sz val="10"/>
        <rFont val="Calibri"/>
        <family val="2"/>
      </rPr>
      <t xml:space="preserve"> Ministry of Health </t>
    </r>
  </si>
  <si>
    <t>Nov</t>
  </si>
  <si>
    <t>Dec</t>
  </si>
  <si>
    <r>
      <t>2018</t>
    </r>
    <r>
      <rPr>
        <b/>
        <vertAlign val="superscript"/>
        <sz val="11"/>
        <rFont val="Calibri"/>
        <family val="2"/>
      </rPr>
      <t>1_/</t>
    </r>
  </si>
  <si>
    <r>
      <t>2019</t>
    </r>
    <r>
      <rPr>
        <b/>
        <vertAlign val="superscript"/>
        <sz val="11"/>
        <rFont val="Calibri"/>
        <family val="2"/>
      </rPr>
      <t>2_/</t>
    </r>
  </si>
  <si>
    <r>
      <rPr>
        <sz val="1"/>
        <rFont val="Faruma"/>
      </rPr>
      <t>ނ</t>
    </r>
    <r>
      <rPr>
        <sz val="11"/>
        <rFont val="Faruma"/>
      </rPr>
      <t xml:space="preserve"> 2019 ވަނަ އަހަރުގެ މައުލޫމާތު ރިވައިޒުކުރަމުންދާތީވެ މިއަދަދުތަކަށް ބަދަލުއައުން އެކަށީގެންވެއެވެ. </t>
    </r>
  </si>
  <si>
    <t>ބިދޭސީން ނުހިމެނޭ</t>
  </si>
  <si>
    <t xml:space="preserve">މަޢުލޫމާތު ދެއްވީ: މިނިސްޓްރީ އޮފް ހެލްތު </t>
  </si>
  <si>
    <t>Note: 1_/: 2018 figures are revised</t>
  </si>
  <si>
    <t xml:space="preserve">          2_/: 2019 figures are tentative and is expected to change</t>
  </si>
  <si>
    <t>Does not include foreigners  (Births  and Deaths)</t>
  </si>
  <si>
    <t>ނޯޓް: 2018 ވަނަ އަހަރުގެ މައުލޫމާތު އިސްލާޙުކުރެވިފައި</t>
  </si>
  <si>
    <t>Table 3.7 :  MONTHLY RECORDS OF BIRTHS AND DEATHS, 2015 - 2019</t>
  </si>
  <si>
    <t>2019 - 2015 ,cniduk iaWncnuhImivurwm ,iaWncniduk ivcnwfua uhwmcswmikea : 3.7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</si>
</sst>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-* #,##0.00\ _ރ_._-;_-* #,##0.00\ _ރ_.\-;_-* &quot;-&quot;??\ _ރ_.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Faruma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ourier"/>
      <family val="3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2"/>
      <color rgb="FFFF0000"/>
      <name val="Tahoma"/>
      <family val="2"/>
    </font>
    <font>
      <sz val="11"/>
      <name val="Faruma"/>
    </font>
    <font>
      <sz val="10"/>
      <color indexed="10"/>
      <name val="Courier"/>
      <family val="3"/>
    </font>
    <font>
      <b/>
      <sz val="10"/>
      <name val="Courier"/>
      <family val="3"/>
    </font>
    <font>
      <sz val="10"/>
      <color rgb="FFFF0000"/>
      <name val="Courier"/>
      <family val="3"/>
    </font>
    <font>
      <b/>
      <i/>
      <sz val="10"/>
      <name val="Calibri"/>
      <family val="2"/>
    </font>
    <font>
      <sz val="10"/>
      <name val="Faruma"/>
    </font>
    <font>
      <sz val="10"/>
      <name val="A_Faseyha"/>
    </font>
    <font>
      <b/>
      <sz val="11"/>
      <name val="A_Faseyha"/>
    </font>
    <font>
      <b/>
      <sz val="12"/>
      <name val="A_Faseyha"/>
    </font>
    <font>
      <b/>
      <vertAlign val="superscript"/>
      <sz val="11"/>
      <name val="Calibri"/>
      <family val="2"/>
    </font>
    <font>
      <i/>
      <sz val="11"/>
      <name val="Calibri"/>
      <family val="2"/>
    </font>
    <font>
      <sz val="1"/>
      <name val="Faruma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5" fillId="0" borderId="0"/>
    <xf numFmtId="0" fontId="10" fillId="0" borderId="0"/>
    <xf numFmtId="0" fontId="10" fillId="0" borderId="0"/>
    <xf numFmtId="0" fontId="1" fillId="0" borderId="0"/>
    <xf numFmtId="164" fontId="2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</cellStyleXfs>
  <cellXfs count="75">
    <xf numFmtId="0" fontId="0" fillId="0" borderId="0" xfId="0"/>
    <xf numFmtId="164" fontId="2" fillId="2" borderId="0" xfId="11" applyFill="1"/>
    <xf numFmtId="164" fontId="2" fillId="3" borderId="0" xfId="11" applyFill="1"/>
    <xf numFmtId="164" fontId="2" fillId="3" borderId="0" xfId="11" applyFill="1" applyAlignment="1">
      <alignment horizontal="right"/>
    </xf>
    <xf numFmtId="164" fontId="5" fillId="2" borderId="0" xfId="11" applyFont="1" applyFill="1" applyBorder="1" applyAlignment="1" applyProtection="1">
      <alignment horizontal="left" vertical="center"/>
      <protection hidden="1"/>
    </xf>
    <xf numFmtId="164" fontId="5" fillId="2" borderId="2" xfId="11" applyFont="1" applyFill="1" applyBorder="1" applyAlignment="1" applyProtection="1">
      <alignment horizontal="center" vertical="center"/>
      <protection hidden="1"/>
    </xf>
    <xf numFmtId="164" fontId="13" fillId="2" borderId="0" xfId="11" applyFont="1" applyFill="1"/>
    <xf numFmtId="164" fontId="13" fillId="3" borderId="0" xfId="11" applyFont="1" applyFill="1"/>
    <xf numFmtId="164" fontId="5" fillId="2" borderId="1" xfId="11" applyFont="1" applyFill="1" applyBorder="1" applyAlignment="1" applyProtection="1">
      <alignment horizontal="left" vertical="center"/>
      <protection hidden="1"/>
    </xf>
    <xf numFmtId="164" fontId="5" fillId="2" borderId="4" xfId="11" applyFont="1" applyFill="1" applyBorder="1" applyAlignment="1" applyProtection="1">
      <alignment horizontal="right"/>
      <protection hidden="1"/>
    </xf>
    <xf numFmtId="164" fontId="5" fillId="2" borderId="1" xfId="11" applyFont="1" applyFill="1" applyBorder="1" applyAlignment="1" applyProtection="1">
      <alignment horizontal="right"/>
      <protection hidden="1"/>
    </xf>
    <xf numFmtId="164" fontId="5" fillId="2" borderId="1" xfId="11" applyFont="1" applyFill="1" applyBorder="1" applyAlignment="1" applyProtection="1">
      <alignment horizontal="right" wrapText="1"/>
      <protection hidden="1"/>
    </xf>
    <xf numFmtId="164" fontId="5" fillId="2" borderId="0" xfId="11" applyFont="1" applyFill="1" applyAlignment="1" applyProtection="1">
      <alignment horizontal="left" vertical="center"/>
      <protection hidden="1"/>
    </xf>
    <xf numFmtId="3" fontId="5" fillId="2" borderId="3" xfId="0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Alignment="1" applyProtection="1">
      <alignment vertical="center"/>
      <protection hidden="1"/>
    </xf>
    <xf numFmtId="3" fontId="5" fillId="2" borderId="9" xfId="0" applyNumberFormat="1" applyFont="1" applyFill="1" applyBorder="1" applyAlignment="1" applyProtection="1">
      <alignment vertical="center"/>
      <protection hidden="1"/>
    </xf>
    <xf numFmtId="164" fontId="6" fillId="2" borderId="0" xfId="11" applyFont="1" applyFill="1"/>
    <xf numFmtId="0" fontId="18" fillId="0" borderId="0" xfId="0" applyFont="1" applyAlignment="1">
      <alignment vertical="center"/>
    </xf>
    <xf numFmtId="164" fontId="9" fillId="2" borderId="0" xfId="11" applyFont="1" applyFill="1" applyAlignment="1" applyProtection="1">
      <alignment horizontal="left" vertical="center" indent="1"/>
      <protection hidden="1"/>
    </xf>
    <xf numFmtId="3" fontId="9" fillId="2" borderId="3" xfId="0" applyNumberFormat="1" applyFont="1" applyFill="1" applyBorder="1" applyAlignment="1" applyProtection="1">
      <alignment vertical="center"/>
      <protection hidden="1"/>
    </xf>
    <xf numFmtId="3" fontId="9" fillId="2" borderId="0" xfId="0" applyNumberFormat="1" applyFont="1" applyFill="1" applyBorder="1" applyAlignment="1" applyProtection="1">
      <alignment vertical="center"/>
      <protection hidden="1"/>
    </xf>
    <xf numFmtId="3" fontId="9" fillId="2" borderId="6" xfId="0" applyNumberFormat="1" applyFont="1" applyFill="1" applyBorder="1" applyAlignment="1" applyProtection="1">
      <alignment vertical="center"/>
      <protection hidden="1"/>
    </xf>
    <xf numFmtId="164" fontId="19" fillId="2" borderId="0" xfId="10" applyFont="1" applyFill="1" applyAlignment="1" applyProtection="1">
      <alignment horizontal="right" vertical="center" indent="1"/>
      <protection hidden="1"/>
    </xf>
    <xf numFmtId="164" fontId="20" fillId="3" borderId="0" xfId="11" applyFont="1" applyFill="1" applyAlignment="1">
      <alignment horizontal="right"/>
    </xf>
    <xf numFmtId="164" fontId="2" fillId="3" borderId="10" xfId="11" applyFont="1" applyFill="1" applyBorder="1" applyAlignment="1">
      <alignment horizontal="center" vertical="center"/>
    </xf>
    <xf numFmtId="164" fontId="21" fillId="3" borderId="10" xfId="11" applyFont="1" applyFill="1" applyBorder="1" applyAlignment="1">
      <alignment horizontal="center" vertical="center"/>
    </xf>
    <xf numFmtId="164" fontId="13" fillId="3" borderId="10" xfId="11" applyFont="1" applyFill="1" applyBorder="1" applyAlignment="1" applyProtection="1">
      <alignment horizontal="center" vertical="center"/>
      <protection hidden="1"/>
    </xf>
    <xf numFmtId="3" fontId="13" fillId="3" borderId="10" xfId="0" applyNumberFormat="1" applyFont="1" applyFill="1" applyBorder="1" applyAlignment="1" applyProtection="1">
      <alignment horizontal="center" vertical="center"/>
      <protection hidden="1"/>
    </xf>
    <xf numFmtId="3" fontId="9" fillId="2" borderId="4" xfId="0" applyNumberFormat="1" applyFont="1" applyFill="1" applyBorder="1" applyAlignment="1" applyProtection="1">
      <alignment vertical="center"/>
      <protection hidden="1"/>
    </xf>
    <xf numFmtId="3" fontId="9" fillId="2" borderId="1" xfId="0" applyNumberFormat="1" applyFont="1" applyFill="1" applyBorder="1" applyAlignment="1" applyProtection="1">
      <alignment vertical="center"/>
      <protection hidden="1"/>
    </xf>
    <xf numFmtId="3" fontId="9" fillId="2" borderId="8" xfId="0" applyNumberFormat="1" applyFont="1" applyFill="1" applyBorder="1" applyAlignment="1" applyProtection="1">
      <alignment vertical="center"/>
      <protection hidden="1"/>
    </xf>
    <xf numFmtId="164" fontId="19" fillId="2" borderId="1" xfId="10" applyFont="1" applyFill="1" applyBorder="1" applyAlignment="1" applyProtection="1">
      <alignment horizontal="right" vertical="center" indent="1"/>
      <protection hidden="1"/>
    </xf>
    <xf numFmtId="164" fontId="22" fillId="2" borderId="0" xfId="11" applyFont="1" applyFill="1"/>
    <xf numFmtId="164" fontId="11" fillId="2" borderId="0" xfId="0" applyNumberFormat="1" applyFont="1" applyFill="1" applyAlignment="1" applyProtection="1">
      <alignment horizontal="left" vertical="center"/>
    </xf>
    <xf numFmtId="164" fontId="14" fillId="2" borderId="0" xfId="11" applyFont="1" applyFill="1"/>
    <xf numFmtId="164" fontId="19" fillId="2" borderId="0" xfId="10" applyFont="1" applyFill="1" applyAlignment="1" applyProtection="1">
      <alignment horizontal="right" vertical="center"/>
      <protection hidden="1"/>
    </xf>
    <xf numFmtId="164" fontId="2" fillId="2" borderId="0" xfId="11" applyFill="1" applyAlignment="1">
      <alignment horizontal="center" vertical="center"/>
    </xf>
    <xf numFmtId="164" fontId="2" fillId="3" borderId="0" xfId="11" applyFill="1" applyAlignment="1">
      <alignment horizontal="center" vertical="center"/>
    </xf>
    <xf numFmtId="164" fontId="24" fillId="2" borderId="0" xfId="11" applyFont="1" applyFill="1"/>
    <xf numFmtId="3" fontId="8" fillId="2" borderId="0" xfId="10" applyNumberFormat="1" applyFont="1" applyFill="1" applyBorder="1" applyAlignment="1" applyProtection="1">
      <alignment vertical="center"/>
      <protection hidden="1"/>
    </xf>
    <xf numFmtId="3" fontId="8" fillId="2" borderId="0" xfId="0" applyNumberFormat="1" applyFont="1" applyFill="1" applyBorder="1" applyAlignment="1" applyProtection="1">
      <alignment vertical="center"/>
      <protection hidden="1"/>
    </xf>
    <xf numFmtId="164" fontId="2" fillId="2" borderId="0" xfId="11" applyFill="1" applyBorder="1"/>
    <xf numFmtId="164" fontId="16" fillId="2" borderId="0" xfId="11" applyFont="1" applyFill="1" applyAlignment="1" applyProtection="1">
      <alignment horizontal="left" vertical="center"/>
      <protection hidden="1"/>
    </xf>
    <xf numFmtId="164" fontId="21" fillId="2" borderId="0" xfId="11" applyFont="1" applyFill="1" applyAlignment="1">
      <alignment horizontal="center" vertical="center"/>
    </xf>
    <xf numFmtId="164" fontId="17" fillId="2" borderId="0" xfId="11" applyFont="1" applyFill="1" applyAlignment="1" applyProtection="1">
      <alignment horizontal="left" vertical="center"/>
      <protection hidden="1"/>
    </xf>
    <xf numFmtId="164" fontId="17" fillId="2" borderId="0" xfId="11" applyFont="1" applyFill="1" applyBorder="1" applyAlignment="1" applyProtection="1">
      <alignment horizontal="left" vertical="center"/>
      <protection hidden="1"/>
    </xf>
    <xf numFmtId="164" fontId="2" fillId="3" borderId="0" xfId="11" applyFill="1" applyBorder="1"/>
    <xf numFmtId="164" fontId="24" fillId="2" borderId="0" xfId="11" applyFont="1" applyFill="1" applyBorder="1"/>
    <xf numFmtId="164" fontId="7" fillId="2" borderId="0" xfId="10" applyFont="1" applyFill="1" applyBorder="1" applyAlignment="1" applyProtection="1">
      <alignment horizontal="right" vertical="center"/>
      <protection hidden="1"/>
    </xf>
    <xf numFmtId="164" fontId="16" fillId="2" borderId="0" xfId="11" applyFont="1" applyFill="1" applyBorder="1" applyAlignment="1" applyProtection="1">
      <alignment horizontal="right"/>
      <protection hidden="1"/>
    </xf>
    <xf numFmtId="164" fontId="16" fillId="2" borderId="0" xfId="11" applyFont="1" applyFill="1" applyBorder="1" applyAlignment="1" applyProtection="1">
      <alignment horizontal="right" wrapText="1"/>
      <protection hidden="1"/>
    </xf>
    <xf numFmtId="3" fontId="16" fillId="2" borderId="0" xfId="0" applyNumberFormat="1" applyFont="1" applyFill="1" applyBorder="1" applyAlignment="1" applyProtection="1">
      <alignment vertical="center"/>
      <protection hidden="1"/>
    </xf>
    <xf numFmtId="3" fontId="17" fillId="2" borderId="0" xfId="0" applyNumberFormat="1" applyFont="1" applyFill="1" applyBorder="1" applyAlignment="1" applyProtection="1">
      <alignment vertical="center"/>
      <protection hidden="1"/>
    </xf>
    <xf numFmtId="164" fontId="2" fillId="3" borderId="0" xfId="11" applyFill="1" applyBorder="1" applyAlignment="1">
      <alignment horizontal="right"/>
    </xf>
    <xf numFmtId="164" fontId="26" fillId="2" borderId="0" xfId="11" applyFont="1" applyFill="1" applyBorder="1" applyAlignment="1" applyProtection="1">
      <alignment horizontal="left" vertical="center"/>
      <protection hidden="1"/>
    </xf>
    <xf numFmtId="164" fontId="26" fillId="2" borderId="3" xfId="10" applyFont="1" applyFill="1" applyBorder="1" applyAlignment="1" applyProtection="1">
      <alignment horizontal="right" vertical="center"/>
      <protection hidden="1"/>
    </xf>
    <xf numFmtId="164" fontId="26" fillId="2" borderId="0" xfId="10" applyFont="1" applyFill="1" applyBorder="1" applyAlignment="1" applyProtection="1">
      <alignment horizontal="right" vertical="center"/>
      <protection hidden="1"/>
    </xf>
    <xf numFmtId="164" fontId="26" fillId="2" borderId="0" xfId="10" applyFont="1" applyFill="1" applyAlignment="1" applyProtection="1">
      <alignment horizontal="right" vertical="center"/>
      <protection hidden="1"/>
    </xf>
    <xf numFmtId="164" fontId="25" fillId="2" borderId="0" xfId="11" applyFont="1" applyFill="1"/>
    <xf numFmtId="164" fontId="25" fillId="3" borderId="0" xfId="11" applyFont="1" applyFill="1"/>
    <xf numFmtId="164" fontId="29" fillId="2" borderId="0" xfId="11" applyFont="1" applyFill="1" applyBorder="1" applyAlignment="1" applyProtection="1">
      <alignment vertical="center"/>
      <protection hidden="1"/>
    </xf>
    <xf numFmtId="164" fontId="12" fillId="2" borderId="0" xfId="11" applyFont="1" applyFill="1" applyBorder="1" applyAlignment="1" applyProtection="1">
      <alignment horizontal="center" vertical="center"/>
      <protection hidden="1"/>
    </xf>
    <xf numFmtId="164" fontId="27" fillId="2" borderId="0" xfId="10" applyFont="1" applyFill="1" applyAlignment="1" applyProtection="1">
      <alignment horizontal="center"/>
      <protection hidden="1"/>
    </xf>
    <xf numFmtId="164" fontId="4" fillId="2" borderId="1" xfId="11" applyFont="1" applyFill="1" applyBorder="1" applyAlignment="1" applyProtection="1">
      <alignment horizontal="center" vertical="center"/>
      <protection hidden="1"/>
    </xf>
    <xf numFmtId="164" fontId="5" fillId="2" borderId="7" xfId="11" applyFont="1" applyFill="1" applyBorder="1" applyAlignment="1" applyProtection="1">
      <alignment horizontal="center" vertical="center"/>
      <protection hidden="1"/>
    </xf>
    <xf numFmtId="164" fontId="5" fillId="2" borderId="5" xfId="11" applyFont="1" applyFill="1" applyBorder="1" applyAlignment="1" applyProtection="1">
      <alignment horizontal="center" vertical="center"/>
      <protection hidden="1"/>
    </xf>
    <xf numFmtId="164" fontId="6" fillId="2" borderId="2" xfId="11" applyFont="1" applyFill="1" applyBorder="1" applyAlignment="1">
      <alignment horizontal="center" vertical="center"/>
    </xf>
    <xf numFmtId="164" fontId="6" fillId="2" borderId="0" xfId="11" applyFont="1" applyFill="1" applyBorder="1" applyAlignment="1">
      <alignment horizontal="center" vertical="center"/>
    </xf>
    <xf numFmtId="164" fontId="6" fillId="2" borderId="1" xfId="11" applyFont="1" applyFill="1" applyBorder="1" applyAlignment="1">
      <alignment horizontal="center" vertical="center"/>
    </xf>
    <xf numFmtId="3" fontId="9" fillId="3" borderId="0" xfId="0" applyNumberFormat="1" applyFont="1" applyFill="1" applyBorder="1" applyAlignment="1" applyProtection="1">
      <alignment vertical="center"/>
      <protection hidden="1"/>
    </xf>
    <xf numFmtId="164" fontId="19" fillId="2" borderId="0" xfId="10" applyFont="1" applyFill="1" applyBorder="1" applyAlignment="1" applyProtection="1">
      <alignment horizontal="right" vertical="center" indent="1"/>
      <protection hidden="1"/>
    </xf>
    <xf numFmtId="164" fontId="29" fillId="2" borderId="0" xfId="11" applyFont="1" applyFill="1" applyBorder="1" applyAlignment="1" applyProtection="1">
      <alignment horizontal="left" vertical="center" indent="3"/>
      <protection hidden="1"/>
    </xf>
    <xf numFmtId="164" fontId="9" fillId="2" borderId="8" xfId="11" applyFont="1" applyFill="1" applyBorder="1" applyAlignment="1" applyProtection="1">
      <alignment horizontal="left" vertical="center" indent="1"/>
      <protection hidden="1"/>
    </xf>
    <xf numFmtId="164" fontId="31" fillId="2" borderId="0" xfId="11" applyFont="1" applyFill="1" applyAlignment="1">
      <alignment vertical="center"/>
    </xf>
  </cellXfs>
  <cellStyles count="14">
    <cellStyle name="Comma 2" xfId="13"/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" xfId="12"/>
    <cellStyle name="Normal 32" xfId="7"/>
    <cellStyle name="Normal 4" xfId="10"/>
    <cellStyle name="Normal 44" xfId="8"/>
    <cellStyle name="Normal 48" xfId="9"/>
    <cellStyle name="Normal 5" xfId="1"/>
    <cellStyle name="Normal_Stat Year Book 2007 tables" xfId="11"/>
  </cellStyles>
  <dxfs count="0"/>
  <tableStyles count="0" defaultTableStyle="TableStyleMedium2" defaultPivotStyle="PivotStyleLight16"/>
  <colors>
    <mruColors>
      <color rgb="FFCD9B69"/>
      <color rgb="FF996633"/>
      <color rgb="FFEDDBC9"/>
      <color rgb="FFA85400"/>
      <color rgb="FFF3E6D9"/>
      <color rgb="FF993366"/>
      <color rgb="FF663300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3.10: Monthly records of Births, 2017 - 2019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8522054928033847E-2"/>
          <c:y val="0.16301834440955423"/>
          <c:w val="0.89385276763362975"/>
          <c:h val="0.728638070146976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'3.7'!$AO$34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CD9B69"/>
            </a:solidFill>
          </c:spPr>
          <c:invertIfNegative val="0"/>
          <c:cat>
            <c:strRef>
              <c:f>'3.7'!$AL$35:$AL$46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'3.7'!$AO$35:$AO$46</c:f>
              <c:numCache>
                <c:formatCode>General_)</c:formatCode>
                <c:ptCount val="12"/>
                <c:pt idx="0">
                  <c:v>550</c:v>
                </c:pt>
                <c:pt idx="1">
                  <c:v>511</c:v>
                </c:pt>
                <c:pt idx="2">
                  <c:v>598</c:v>
                </c:pt>
                <c:pt idx="3">
                  <c:v>573</c:v>
                </c:pt>
                <c:pt idx="4">
                  <c:v>582</c:v>
                </c:pt>
                <c:pt idx="5">
                  <c:v>581</c:v>
                </c:pt>
                <c:pt idx="6">
                  <c:v>547</c:v>
                </c:pt>
                <c:pt idx="7">
                  <c:v>623</c:v>
                </c:pt>
                <c:pt idx="8">
                  <c:v>559</c:v>
                </c:pt>
                <c:pt idx="9">
                  <c:v>570</c:v>
                </c:pt>
                <c:pt idx="10">
                  <c:v>520</c:v>
                </c:pt>
                <c:pt idx="11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9-4AD9-A03A-8EB1BCB781E9}"/>
            </c:ext>
          </c:extLst>
        </c:ser>
        <c:ser>
          <c:idx val="2"/>
          <c:order val="1"/>
          <c:tx>
            <c:strRef>
              <c:f>'3.7'!$AP$34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'3.7'!$AL$35:$AL$46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'3.7'!$AP$35:$AP$46</c:f>
              <c:numCache>
                <c:formatCode>#,##0</c:formatCode>
                <c:ptCount val="12"/>
                <c:pt idx="0">
                  <c:v>541</c:v>
                </c:pt>
                <c:pt idx="1">
                  <c:v>535</c:v>
                </c:pt>
                <c:pt idx="2">
                  <c:v>577</c:v>
                </c:pt>
                <c:pt idx="3">
                  <c:v>521</c:v>
                </c:pt>
                <c:pt idx="4">
                  <c:v>608</c:v>
                </c:pt>
                <c:pt idx="5">
                  <c:v>489</c:v>
                </c:pt>
                <c:pt idx="6">
                  <c:v>528</c:v>
                </c:pt>
                <c:pt idx="7">
                  <c:v>574</c:v>
                </c:pt>
                <c:pt idx="8">
                  <c:v>554</c:v>
                </c:pt>
                <c:pt idx="9">
                  <c:v>577</c:v>
                </c:pt>
                <c:pt idx="10">
                  <c:v>520</c:v>
                </c:pt>
                <c:pt idx="11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9-4AD9-A03A-8EB1BCB781E9}"/>
            </c:ext>
          </c:extLst>
        </c:ser>
        <c:ser>
          <c:idx val="0"/>
          <c:order val="2"/>
          <c:tx>
            <c:strRef>
              <c:f>'3.7'!$AQ$34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EDDBC9"/>
            </a:solidFill>
          </c:spPr>
          <c:invertIfNegative val="0"/>
          <c:cat>
            <c:strRef>
              <c:f>'3.7'!$AL$35:$AL$46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'3.7'!$AQ$35:$AQ$46</c:f>
              <c:numCache>
                <c:formatCode>#,##0</c:formatCode>
                <c:ptCount val="12"/>
                <c:pt idx="0">
                  <c:v>526</c:v>
                </c:pt>
                <c:pt idx="1">
                  <c:v>449</c:v>
                </c:pt>
                <c:pt idx="2">
                  <c:v>539</c:v>
                </c:pt>
                <c:pt idx="3">
                  <c:v>477</c:v>
                </c:pt>
                <c:pt idx="4">
                  <c:v>604</c:v>
                </c:pt>
                <c:pt idx="5">
                  <c:v>499</c:v>
                </c:pt>
                <c:pt idx="6">
                  <c:v>491</c:v>
                </c:pt>
                <c:pt idx="7">
                  <c:v>511</c:v>
                </c:pt>
                <c:pt idx="8">
                  <c:v>513</c:v>
                </c:pt>
                <c:pt idx="9">
                  <c:v>525</c:v>
                </c:pt>
                <c:pt idx="10">
                  <c:v>474</c:v>
                </c:pt>
                <c:pt idx="11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F-4704-BE06-B1AB63406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418407056"/>
        <c:axId val="418407448"/>
      </c:barChart>
      <c:catAx>
        <c:axId val="4184070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8407448"/>
        <c:crosses val="autoZero"/>
        <c:auto val="1"/>
        <c:lblAlgn val="ctr"/>
        <c:lblOffset val="100"/>
        <c:noMultiLvlLbl val="0"/>
      </c:catAx>
      <c:valAx>
        <c:axId val="418407448"/>
        <c:scaling>
          <c:orientation val="minMax"/>
          <c:max val="6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909911877348151E-3"/>
              <c:y val="0.31628862181700973"/>
            </c:manualLayout>
          </c:layout>
          <c:overlay val="0"/>
        </c:title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8407056"/>
        <c:crosses val="autoZero"/>
        <c:crossBetween val="between"/>
        <c:majorUnit val="15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236538248624091"/>
          <c:y val="0.177811186929691"/>
          <c:w val="0.19855384693936537"/>
          <c:h val="9.1219030145518257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3.11: Monthly records of Deaths, 2017 - 2019</a:t>
            </a:r>
          </a:p>
        </c:rich>
      </c:tx>
      <c:layout>
        <c:manualLayout>
          <c:xMode val="edge"/>
          <c:yMode val="edge"/>
          <c:x val="0.20052574697512657"/>
          <c:y val="5.36393053608025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96029675857081"/>
          <c:y val="0.17365332927892727"/>
          <c:w val="0.8640818117549548"/>
          <c:h val="0.691619294197106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'3.7'!$AG$34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CD9B69"/>
            </a:solidFill>
          </c:spPr>
          <c:invertIfNegative val="0"/>
          <c:cat>
            <c:strRef>
              <c:f>'3.7'!$AD$35:$AD$46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'3.7'!$AG$35:$AG$46</c:f>
              <c:numCache>
                <c:formatCode>General_)</c:formatCode>
                <c:ptCount val="12"/>
                <c:pt idx="0">
                  <c:v>97</c:v>
                </c:pt>
                <c:pt idx="1">
                  <c:v>104</c:v>
                </c:pt>
                <c:pt idx="2">
                  <c:v>134</c:v>
                </c:pt>
                <c:pt idx="3">
                  <c:v>109</c:v>
                </c:pt>
                <c:pt idx="4">
                  <c:v>94</c:v>
                </c:pt>
                <c:pt idx="5">
                  <c:v>103</c:v>
                </c:pt>
                <c:pt idx="6">
                  <c:v>105</c:v>
                </c:pt>
                <c:pt idx="7">
                  <c:v>88</c:v>
                </c:pt>
                <c:pt idx="8">
                  <c:v>90</c:v>
                </c:pt>
                <c:pt idx="9">
                  <c:v>106</c:v>
                </c:pt>
                <c:pt idx="10">
                  <c:v>94</c:v>
                </c:pt>
                <c:pt idx="1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F-41DA-8E2D-3D3D3C463BCE}"/>
            </c:ext>
          </c:extLst>
        </c:ser>
        <c:ser>
          <c:idx val="2"/>
          <c:order val="1"/>
          <c:tx>
            <c:strRef>
              <c:f>'3.7'!$AH$34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'3.7'!$AD$35:$AD$46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'3.7'!$AH$35:$AH$46</c:f>
              <c:numCache>
                <c:formatCode>#,##0</c:formatCode>
                <c:ptCount val="12"/>
                <c:pt idx="0">
                  <c:v>114</c:v>
                </c:pt>
                <c:pt idx="1">
                  <c:v>98</c:v>
                </c:pt>
                <c:pt idx="2">
                  <c:v>117</c:v>
                </c:pt>
                <c:pt idx="3">
                  <c:v>99</c:v>
                </c:pt>
                <c:pt idx="4">
                  <c:v>113</c:v>
                </c:pt>
                <c:pt idx="5">
                  <c:v>89</c:v>
                </c:pt>
                <c:pt idx="6">
                  <c:v>100</c:v>
                </c:pt>
                <c:pt idx="7">
                  <c:v>91</c:v>
                </c:pt>
                <c:pt idx="8">
                  <c:v>93</c:v>
                </c:pt>
                <c:pt idx="9">
                  <c:v>100</c:v>
                </c:pt>
                <c:pt idx="10">
                  <c:v>90</c:v>
                </c:pt>
                <c:pt idx="11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F-41DA-8E2D-3D3D3C463BCE}"/>
            </c:ext>
          </c:extLst>
        </c:ser>
        <c:ser>
          <c:idx val="0"/>
          <c:order val="2"/>
          <c:tx>
            <c:strRef>
              <c:f>'3.7'!$AI$34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EDDBC9"/>
            </a:solidFill>
          </c:spPr>
          <c:invertIfNegative val="0"/>
          <c:cat>
            <c:strRef>
              <c:f>'3.7'!$AD$35:$AD$46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'3.7'!$AI$35:$AI$46</c:f>
              <c:numCache>
                <c:formatCode>#,##0</c:formatCode>
                <c:ptCount val="12"/>
                <c:pt idx="0">
                  <c:v>110</c:v>
                </c:pt>
                <c:pt idx="1">
                  <c:v>78</c:v>
                </c:pt>
                <c:pt idx="2">
                  <c:v>101</c:v>
                </c:pt>
                <c:pt idx="3">
                  <c:v>87</c:v>
                </c:pt>
                <c:pt idx="4">
                  <c:v>89</c:v>
                </c:pt>
                <c:pt idx="5">
                  <c:v>80</c:v>
                </c:pt>
                <c:pt idx="6">
                  <c:v>98</c:v>
                </c:pt>
                <c:pt idx="7">
                  <c:v>85</c:v>
                </c:pt>
                <c:pt idx="8">
                  <c:v>78</c:v>
                </c:pt>
                <c:pt idx="9">
                  <c:v>91</c:v>
                </c:pt>
                <c:pt idx="10">
                  <c:v>86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C-4656-A2E0-43A0CA81D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2"/>
        <c:axId val="418402744"/>
        <c:axId val="418403528"/>
      </c:barChart>
      <c:catAx>
        <c:axId val="4184027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8403528"/>
        <c:crosses val="autoZero"/>
        <c:auto val="1"/>
        <c:lblAlgn val="ctr"/>
        <c:lblOffset val="100"/>
        <c:noMultiLvlLbl val="0"/>
      </c:catAx>
      <c:valAx>
        <c:axId val="418403528"/>
        <c:scaling>
          <c:orientation val="minMax"/>
          <c:max val="14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50"/>
                  <a:t>in numbers</a:t>
                </a:r>
              </a:p>
            </c:rich>
          </c:tx>
          <c:layout>
            <c:manualLayout>
              <c:xMode val="edge"/>
              <c:yMode val="edge"/>
              <c:x val="9.8009962376993907E-3"/>
              <c:y val="0.38485384532412897"/>
            </c:manualLayout>
          </c:layout>
          <c:overlay val="0"/>
        </c:title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84027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914468135971326"/>
          <c:y val="0.21794105592085672"/>
          <c:w val="0.20265415250381219"/>
          <c:h val="0.11155970951842134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21</xdr:row>
      <xdr:rowOff>85725</xdr:rowOff>
    </xdr:from>
    <xdr:to>
      <xdr:col>12</xdr:col>
      <xdr:colOff>466725</xdr:colOff>
      <xdr:row>35</xdr:row>
      <xdr:rowOff>47625</xdr:rowOff>
    </xdr:to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601051</xdr:colOff>
      <xdr:row>36</xdr:row>
      <xdr:rowOff>123825</xdr:rowOff>
    </xdr:from>
    <xdr:to>
      <xdr:col>12</xdr:col>
      <xdr:colOff>478937</xdr:colOff>
      <xdr:row>48</xdr:row>
      <xdr:rowOff>47625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SYB%202020_Final\FINAL\3.%20POP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0/SYB%202020%20_latest/YEARBOOK%202020_Final/FINAL/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3">
          <cell r="BS33">
            <v>2016</v>
          </cell>
          <cell r="BT33">
            <v>2017</v>
          </cell>
          <cell r="BU33">
            <v>2018</v>
          </cell>
          <cell r="CA33">
            <v>2016</v>
          </cell>
          <cell r="CB33">
            <v>2017</v>
          </cell>
          <cell r="CC33">
            <v>2018</v>
          </cell>
        </row>
        <row r="34">
          <cell r="BQ34" t="str">
            <v>Jan</v>
          </cell>
          <cell r="BS34">
            <v>122</v>
          </cell>
          <cell r="BT34">
            <v>97</v>
          </cell>
          <cell r="BU34">
            <v>100</v>
          </cell>
          <cell r="BY34" t="str">
            <v>Jan</v>
          </cell>
          <cell r="CA34">
            <v>560</v>
          </cell>
          <cell r="CB34">
            <v>550</v>
          </cell>
          <cell r="CC34">
            <v>541</v>
          </cell>
        </row>
        <row r="35">
          <cell r="BQ35" t="str">
            <v>Feb</v>
          </cell>
          <cell r="BS35">
            <v>121</v>
          </cell>
          <cell r="BT35">
            <v>104</v>
          </cell>
          <cell r="BU35">
            <v>93</v>
          </cell>
          <cell r="BY35" t="str">
            <v>Feb</v>
          </cell>
          <cell r="CA35">
            <v>524</v>
          </cell>
          <cell r="CB35">
            <v>511</v>
          </cell>
          <cell r="CC35">
            <v>535</v>
          </cell>
        </row>
        <row r="36">
          <cell r="BQ36" t="str">
            <v>Mar</v>
          </cell>
          <cell r="BS36">
            <v>129</v>
          </cell>
          <cell r="BT36">
            <v>134</v>
          </cell>
          <cell r="BU36">
            <v>90</v>
          </cell>
          <cell r="BY36" t="str">
            <v>Mar</v>
          </cell>
          <cell r="CA36">
            <v>582</v>
          </cell>
          <cell r="CB36">
            <v>598</v>
          </cell>
          <cell r="CC36">
            <v>577</v>
          </cell>
        </row>
        <row r="37">
          <cell r="BQ37" t="str">
            <v>Apr</v>
          </cell>
          <cell r="BS37">
            <v>97</v>
          </cell>
          <cell r="BT37">
            <v>109</v>
          </cell>
          <cell r="BU37">
            <v>101</v>
          </cell>
          <cell r="BY37" t="str">
            <v>Apr</v>
          </cell>
          <cell r="CA37">
            <v>628</v>
          </cell>
          <cell r="CB37">
            <v>573</v>
          </cell>
          <cell r="CC37">
            <v>521</v>
          </cell>
        </row>
        <row r="38">
          <cell r="BQ38" t="str">
            <v>May</v>
          </cell>
          <cell r="BS38">
            <v>104</v>
          </cell>
          <cell r="BT38">
            <v>94</v>
          </cell>
          <cell r="BU38">
            <v>106</v>
          </cell>
          <cell r="BY38" t="str">
            <v>May</v>
          </cell>
          <cell r="CA38">
            <v>585</v>
          </cell>
          <cell r="CB38">
            <v>582</v>
          </cell>
          <cell r="CC38">
            <v>608</v>
          </cell>
        </row>
        <row r="39">
          <cell r="BQ39" t="str">
            <v>Jun</v>
          </cell>
          <cell r="BS39">
            <v>98</v>
          </cell>
          <cell r="BT39">
            <v>103</v>
          </cell>
          <cell r="BU39">
            <v>78</v>
          </cell>
          <cell r="BY39" t="str">
            <v>Jun</v>
          </cell>
          <cell r="CA39">
            <v>532</v>
          </cell>
          <cell r="CB39">
            <v>581</v>
          </cell>
          <cell r="CC39">
            <v>489</v>
          </cell>
        </row>
        <row r="40">
          <cell r="BQ40" t="str">
            <v>Jul</v>
          </cell>
          <cell r="BS40">
            <v>83</v>
          </cell>
          <cell r="BT40">
            <v>105</v>
          </cell>
          <cell r="BU40">
            <v>100</v>
          </cell>
          <cell r="BY40" t="str">
            <v>Jul</v>
          </cell>
          <cell r="CA40">
            <v>518</v>
          </cell>
          <cell r="CB40">
            <v>547</v>
          </cell>
          <cell r="CC40">
            <v>528</v>
          </cell>
        </row>
        <row r="41">
          <cell r="BQ41" t="str">
            <v>Aug</v>
          </cell>
          <cell r="BS41">
            <v>109</v>
          </cell>
          <cell r="BT41">
            <v>88</v>
          </cell>
          <cell r="BU41">
            <v>86</v>
          </cell>
          <cell r="BY41" t="str">
            <v>Aug</v>
          </cell>
          <cell r="CA41">
            <v>565</v>
          </cell>
          <cell r="CB41">
            <v>623</v>
          </cell>
          <cell r="CC41">
            <v>574</v>
          </cell>
        </row>
        <row r="42">
          <cell r="BQ42" t="str">
            <v>Sep</v>
          </cell>
          <cell r="BS42">
            <v>94</v>
          </cell>
          <cell r="BT42">
            <v>90</v>
          </cell>
          <cell r="BU42">
            <v>85</v>
          </cell>
          <cell r="BY42" t="str">
            <v>Sep</v>
          </cell>
          <cell r="CA42">
            <v>543</v>
          </cell>
          <cell r="CB42">
            <v>559</v>
          </cell>
          <cell r="CC42">
            <v>551</v>
          </cell>
        </row>
        <row r="43">
          <cell r="BQ43" t="str">
            <v>Oct</v>
          </cell>
          <cell r="BS43">
            <v>80</v>
          </cell>
          <cell r="BT43">
            <v>106</v>
          </cell>
          <cell r="BU43">
            <v>92</v>
          </cell>
          <cell r="BY43" t="str">
            <v>Oct</v>
          </cell>
          <cell r="CA43">
            <v>601</v>
          </cell>
          <cell r="CB43">
            <v>570</v>
          </cell>
          <cell r="CC43">
            <v>577</v>
          </cell>
        </row>
        <row r="44">
          <cell r="BQ44" t="str">
            <v>Nov</v>
          </cell>
          <cell r="BS44">
            <v>88</v>
          </cell>
          <cell r="BT44">
            <v>94</v>
          </cell>
          <cell r="BU44">
            <v>84</v>
          </cell>
          <cell r="BY44" t="str">
            <v>Nov</v>
          </cell>
          <cell r="CA44">
            <v>553</v>
          </cell>
          <cell r="CB44">
            <v>520</v>
          </cell>
          <cell r="CC44">
            <v>520</v>
          </cell>
        </row>
        <row r="45">
          <cell r="BQ45" t="str">
            <v>Dec</v>
          </cell>
          <cell r="BS45">
            <v>101</v>
          </cell>
          <cell r="BT45">
            <v>117</v>
          </cell>
          <cell r="BU45">
            <v>94</v>
          </cell>
          <cell r="BY45" t="str">
            <v>Dec</v>
          </cell>
          <cell r="CA45">
            <v>565</v>
          </cell>
          <cell r="CB45">
            <v>509</v>
          </cell>
          <cell r="CC45">
            <v>540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BS34">
            <v>122</v>
          </cell>
          <cell r="BT34">
            <v>97</v>
          </cell>
          <cell r="BU34">
            <v>114</v>
          </cell>
          <cell r="CA34">
            <v>560</v>
          </cell>
          <cell r="CB34">
            <v>550</v>
          </cell>
          <cell r="CC34">
            <v>541</v>
          </cell>
        </row>
        <row r="35">
          <cell r="BS35">
            <v>121</v>
          </cell>
          <cell r="BT35">
            <v>104</v>
          </cell>
          <cell r="BU35">
            <v>98</v>
          </cell>
          <cell r="CA35">
            <v>524</v>
          </cell>
          <cell r="CB35">
            <v>511</v>
          </cell>
          <cell r="CC35">
            <v>535</v>
          </cell>
        </row>
        <row r="36">
          <cell r="BS36">
            <v>129</v>
          </cell>
          <cell r="BT36">
            <v>134</v>
          </cell>
          <cell r="BU36">
            <v>117</v>
          </cell>
          <cell r="CA36">
            <v>582</v>
          </cell>
          <cell r="CB36">
            <v>598</v>
          </cell>
          <cell r="CC36">
            <v>577</v>
          </cell>
        </row>
        <row r="37">
          <cell r="BS37">
            <v>97</v>
          </cell>
          <cell r="BT37">
            <v>109</v>
          </cell>
          <cell r="BU37">
            <v>99</v>
          </cell>
          <cell r="CA37">
            <v>628</v>
          </cell>
          <cell r="CB37">
            <v>573</v>
          </cell>
          <cell r="CC37">
            <v>521</v>
          </cell>
        </row>
        <row r="38">
          <cell r="BS38">
            <v>104</v>
          </cell>
          <cell r="BT38">
            <v>94</v>
          </cell>
          <cell r="BU38">
            <v>113</v>
          </cell>
          <cell r="CA38">
            <v>585</v>
          </cell>
          <cell r="CB38">
            <v>582</v>
          </cell>
          <cell r="CC38">
            <v>608</v>
          </cell>
        </row>
        <row r="39">
          <cell r="BS39">
            <v>98</v>
          </cell>
          <cell r="BT39">
            <v>103</v>
          </cell>
          <cell r="BU39">
            <v>89</v>
          </cell>
          <cell r="CA39">
            <v>532</v>
          </cell>
          <cell r="CB39">
            <v>581</v>
          </cell>
          <cell r="CC39">
            <v>489</v>
          </cell>
        </row>
        <row r="40">
          <cell r="BS40">
            <v>83</v>
          </cell>
          <cell r="BT40">
            <v>105</v>
          </cell>
          <cell r="BU40">
            <v>100</v>
          </cell>
          <cell r="CA40">
            <v>518</v>
          </cell>
          <cell r="CB40">
            <v>547</v>
          </cell>
          <cell r="CC40">
            <v>528</v>
          </cell>
        </row>
        <row r="41">
          <cell r="BS41">
            <v>109</v>
          </cell>
          <cell r="BT41">
            <v>88</v>
          </cell>
          <cell r="BU41">
            <v>91</v>
          </cell>
          <cell r="CA41">
            <v>565</v>
          </cell>
          <cell r="CB41">
            <v>623</v>
          </cell>
          <cell r="CC41">
            <v>574</v>
          </cell>
        </row>
        <row r="42">
          <cell r="BS42">
            <v>94</v>
          </cell>
          <cell r="BT42">
            <v>90</v>
          </cell>
          <cell r="BU42">
            <v>93</v>
          </cell>
          <cell r="CA42">
            <v>543</v>
          </cell>
          <cell r="CB42">
            <v>559</v>
          </cell>
          <cell r="CC42">
            <v>554</v>
          </cell>
        </row>
        <row r="43">
          <cell r="BS43">
            <v>80</v>
          </cell>
          <cell r="BT43">
            <v>106</v>
          </cell>
          <cell r="BU43">
            <v>100</v>
          </cell>
          <cell r="CA43">
            <v>601</v>
          </cell>
          <cell r="CB43">
            <v>570</v>
          </cell>
          <cell r="CC43">
            <v>577</v>
          </cell>
        </row>
        <row r="44">
          <cell r="BS44">
            <v>88</v>
          </cell>
          <cell r="BT44">
            <v>94</v>
          </cell>
          <cell r="BU44">
            <v>90</v>
          </cell>
          <cell r="CA44">
            <v>553</v>
          </cell>
          <cell r="CB44">
            <v>520</v>
          </cell>
          <cell r="CC44">
            <v>520</v>
          </cell>
        </row>
        <row r="45">
          <cell r="BS45">
            <v>101</v>
          </cell>
          <cell r="BT45">
            <v>117</v>
          </cell>
          <cell r="BU45">
            <v>112</v>
          </cell>
          <cell r="CA45">
            <v>565</v>
          </cell>
          <cell r="CB45">
            <v>509</v>
          </cell>
          <cell r="CC45">
            <v>540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7"/>
  <sheetViews>
    <sheetView tabSelected="1" view="pageBreakPreview" zoomScaleNormal="100" zoomScaleSheetLayoutView="100" workbookViewId="0">
      <selection activeCell="P40" sqref="P40"/>
    </sheetView>
  </sheetViews>
  <sheetFormatPr defaultColWidth="10.28515625" defaultRowHeight="18.75" x14ac:dyDescent="0.5"/>
  <cols>
    <col min="1" max="1" width="14" style="1" customWidth="1"/>
    <col min="2" max="12" width="11.5703125" style="1" customWidth="1"/>
    <col min="13" max="13" width="9.42578125" style="1" customWidth="1"/>
    <col min="14" max="15" width="11.5703125" style="1" customWidth="1"/>
    <col min="16" max="16" width="9.42578125" style="1" customWidth="1"/>
    <col min="17" max="17" width="10.140625" style="1" customWidth="1"/>
    <col min="18" max="18" width="8.85546875" style="39" customWidth="1"/>
    <col min="19" max="19" width="2.140625" style="1" customWidth="1"/>
    <col min="20" max="27" width="10.140625" style="1" customWidth="1"/>
    <col min="28" max="28" width="14.5703125" style="1" customWidth="1"/>
    <col min="29" max="29" width="10.42578125" style="1" customWidth="1"/>
    <col min="30" max="32" width="10.28515625" style="2"/>
    <col min="33" max="219" width="10.28515625" style="1"/>
    <col min="220" max="220" width="14" style="1" customWidth="1"/>
    <col min="221" max="232" width="0" style="1" hidden="1" customWidth="1"/>
    <col min="233" max="241" width="11.5703125" style="1" customWidth="1"/>
    <col min="242" max="244" width="0" style="1" hidden="1" customWidth="1"/>
    <col min="245" max="245" width="10.140625" style="1" customWidth="1"/>
    <col min="246" max="246" width="8.85546875" style="1" customWidth="1"/>
    <col min="247" max="247" width="2.140625" style="1" customWidth="1"/>
    <col min="248" max="248" width="14.5703125" style="1" customWidth="1"/>
    <col min="249" max="251" width="10.42578125" style="1" customWidth="1"/>
    <col min="252" max="280" width="2.85546875" style="1" customWidth="1"/>
    <col min="281" max="475" width="10.28515625" style="1"/>
    <col min="476" max="476" width="14" style="1" customWidth="1"/>
    <col min="477" max="488" width="0" style="1" hidden="1" customWidth="1"/>
    <col min="489" max="497" width="11.5703125" style="1" customWidth="1"/>
    <col min="498" max="500" width="0" style="1" hidden="1" customWidth="1"/>
    <col min="501" max="501" width="10.140625" style="1" customWidth="1"/>
    <col min="502" max="502" width="8.85546875" style="1" customWidth="1"/>
    <col min="503" max="503" width="2.140625" style="1" customWidth="1"/>
    <col min="504" max="504" width="14.5703125" style="1" customWidth="1"/>
    <col min="505" max="507" width="10.42578125" style="1" customWidth="1"/>
    <col min="508" max="536" width="2.85546875" style="1" customWidth="1"/>
    <col min="537" max="731" width="10.28515625" style="1"/>
    <col min="732" max="732" width="14" style="1" customWidth="1"/>
    <col min="733" max="744" width="0" style="1" hidden="1" customWidth="1"/>
    <col min="745" max="753" width="11.5703125" style="1" customWidth="1"/>
    <col min="754" max="756" width="0" style="1" hidden="1" customWidth="1"/>
    <col min="757" max="757" width="10.140625" style="1" customWidth="1"/>
    <col min="758" max="758" width="8.85546875" style="1" customWidth="1"/>
    <col min="759" max="759" width="2.140625" style="1" customWidth="1"/>
    <col min="760" max="760" width="14.5703125" style="1" customWidth="1"/>
    <col min="761" max="763" width="10.42578125" style="1" customWidth="1"/>
    <col min="764" max="792" width="2.85546875" style="1" customWidth="1"/>
    <col min="793" max="987" width="10.28515625" style="1"/>
    <col min="988" max="988" width="14" style="1" customWidth="1"/>
    <col min="989" max="1000" width="0" style="1" hidden="1" customWidth="1"/>
    <col min="1001" max="1009" width="11.5703125" style="1" customWidth="1"/>
    <col min="1010" max="1012" width="0" style="1" hidden="1" customWidth="1"/>
    <col min="1013" max="1013" width="10.140625" style="1" customWidth="1"/>
    <col min="1014" max="1014" width="8.85546875" style="1" customWidth="1"/>
    <col min="1015" max="1015" width="2.140625" style="1" customWidth="1"/>
    <col min="1016" max="1016" width="14.5703125" style="1" customWidth="1"/>
    <col min="1017" max="1019" width="10.42578125" style="1" customWidth="1"/>
    <col min="1020" max="1048" width="2.85546875" style="1" customWidth="1"/>
    <col min="1049" max="1243" width="10.28515625" style="1"/>
    <col min="1244" max="1244" width="14" style="1" customWidth="1"/>
    <col min="1245" max="1256" width="0" style="1" hidden="1" customWidth="1"/>
    <col min="1257" max="1265" width="11.5703125" style="1" customWidth="1"/>
    <col min="1266" max="1268" width="0" style="1" hidden="1" customWidth="1"/>
    <col min="1269" max="1269" width="10.140625" style="1" customWidth="1"/>
    <col min="1270" max="1270" width="8.85546875" style="1" customWidth="1"/>
    <col min="1271" max="1271" width="2.140625" style="1" customWidth="1"/>
    <col min="1272" max="1272" width="14.5703125" style="1" customWidth="1"/>
    <col min="1273" max="1275" width="10.42578125" style="1" customWidth="1"/>
    <col min="1276" max="1304" width="2.85546875" style="1" customWidth="1"/>
    <col min="1305" max="1499" width="10.28515625" style="1"/>
    <col min="1500" max="1500" width="14" style="1" customWidth="1"/>
    <col min="1501" max="1512" width="0" style="1" hidden="1" customWidth="1"/>
    <col min="1513" max="1521" width="11.5703125" style="1" customWidth="1"/>
    <col min="1522" max="1524" width="0" style="1" hidden="1" customWidth="1"/>
    <col min="1525" max="1525" width="10.140625" style="1" customWidth="1"/>
    <col min="1526" max="1526" width="8.85546875" style="1" customWidth="1"/>
    <col min="1527" max="1527" width="2.140625" style="1" customWidth="1"/>
    <col min="1528" max="1528" width="14.5703125" style="1" customWidth="1"/>
    <col min="1529" max="1531" width="10.42578125" style="1" customWidth="1"/>
    <col min="1532" max="1560" width="2.85546875" style="1" customWidth="1"/>
    <col min="1561" max="1755" width="10.28515625" style="1"/>
    <col min="1756" max="1756" width="14" style="1" customWidth="1"/>
    <col min="1757" max="1768" width="0" style="1" hidden="1" customWidth="1"/>
    <col min="1769" max="1777" width="11.5703125" style="1" customWidth="1"/>
    <col min="1778" max="1780" width="0" style="1" hidden="1" customWidth="1"/>
    <col min="1781" max="1781" width="10.140625" style="1" customWidth="1"/>
    <col min="1782" max="1782" width="8.85546875" style="1" customWidth="1"/>
    <col min="1783" max="1783" width="2.140625" style="1" customWidth="1"/>
    <col min="1784" max="1784" width="14.5703125" style="1" customWidth="1"/>
    <col min="1785" max="1787" width="10.42578125" style="1" customWidth="1"/>
    <col min="1788" max="1816" width="2.85546875" style="1" customWidth="1"/>
    <col min="1817" max="2011" width="10.28515625" style="1"/>
    <col min="2012" max="2012" width="14" style="1" customWidth="1"/>
    <col min="2013" max="2024" width="0" style="1" hidden="1" customWidth="1"/>
    <col min="2025" max="2033" width="11.5703125" style="1" customWidth="1"/>
    <col min="2034" max="2036" width="0" style="1" hidden="1" customWidth="1"/>
    <col min="2037" max="2037" width="10.140625" style="1" customWidth="1"/>
    <col min="2038" max="2038" width="8.85546875" style="1" customWidth="1"/>
    <col min="2039" max="2039" width="2.140625" style="1" customWidth="1"/>
    <col min="2040" max="2040" width="14.5703125" style="1" customWidth="1"/>
    <col min="2041" max="2043" width="10.42578125" style="1" customWidth="1"/>
    <col min="2044" max="2072" width="2.85546875" style="1" customWidth="1"/>
    <col min="2073" max="2267" width="10.28515625" style="1"/>
    <col min="2268" max="2268" width="14" style="1" customWidth="1"/>
    <col min="2269" max="2280" width="0" style="1" hidden="1" customWidth="1"/>
    <col min="2281" max="2289" width="11.5703125" style="1" customWidth="1"/>
    <col min="2290" max="2292" width="0" style="1" hidden="1" customWidth="1"/>
    <col min="2293" max="2293" width="10.140625" style="1" customWidth="1"/>
    <col min="2294" max="2294" width="8.85546875" style="1" customWidth="1"/>
    <col min="2295" max="2295" width="2.140625" style="1" customWidth="1"/>
    <col min="2296" max="2296" width="14.5703125" style="1" customWidth="1"/>
    <col min="2297" max="2299" width="10.42578125" style="1" customWidth="1"/>
    <col min="2300" max="2328" width="2.85546875" style="1" customWidth="1"/>
    <col min="2329" max="2523" width="10.28515625" style="1"/>
    <col min="2524" max="2524" width="14" style="1" customWidth="1"/>
    <col min="2525" max="2536" width="0" style="1" hidden="1" customWidth="1"/>
    <col min="2537" max="2545" width="11.5703125" style="1" customWidth="1"/>
    <col min="2546" max="2548" width="0" style="1" hidden="1" customWidth="1"/>
    <col min="2549" max="2549" width="10.140625" style="1" customWidth="1"/>
    <col min="2550" max="2550" width="8.85546875" style="1" customWidth="1"/>
    <col min="2551" max="2551" width="2.140625" style="1" customWidth="1"/>
    <col min="2552" max="2552" width="14.5703125" style="1" customWidth="1"/>
    <col min="2553" max="2555" width="10.42578125" style="1" customWidth="1"/>
    <col min="2556" max="2584" width="2.85546875" style="1" customWidth="1"/>
    <col min="2585" max="2779" width="10.28515625" style="1"/>
    <col min="2780" max="2780" width="14" style="1" customWidth="1"/>
    <col min="2781" max="2792" width="0" style="1" hidden="1" customWidth="1"/>
    <col min="2793" max="2801" width="11.5703125" style="1" customWidth="1"/>
    <col min="2802" max="2804" width="0" style="1" hidden="1" customWidth="1"/>
    <col min="2805" max="2805" width="10.140625" style="1" customWidth="1"/>
    <col min="2806" max="2806" width="8.85546875" style="1" customWidth="1"/>
    <col min="2807" max="2807" width="2.140625" style="1" customWidth="1"/>
    <col min="2808" max="2808" width="14.5703125" style="1" customWidth="1"/>
    <col min="2809" max="2811" width="10.42578125" style="1" customWidth="1"/>
    <col min="2812" max="2840" width="2.85546875" style="1" customWidth="1"/>
    <col min="2841" max="3035" width="10.28515625" style="1"/>
    <col min="3036" max="3036" width="14" style="1" customWidth="1"/>
    <col min="3037" max="3048" width="0" style="1" hidden="1" customWidth="1"/>
    <col min="3049" max="3057" width="11.5703125" style="1" customWidth="1"/>
    <col min="3058" max="3060" width="0" style="1" hidden="1" customWidth="1"/>
    <col min="3061" max="3061" width="10.140625" style="1" customWidth="1"/>
    <col min="3062" max="3062" width="8.85546875" style="1" customWidth="1"/>
    <col min="3063" max="3063" width="2.140625" style="1" customWidth="1"/>
    <col min="3064" max="3064" width="14.5703125" style="1" customWidth="1"/>
    <col min="3065" max="3067" width="10.42578125" style="1" customWidth="1"/>
    <col min="3068" max="3096" width="2.85546875" style="1" customWidth="1"/>
    <col min="3097" max="3291" width="10.28515625" style="1"/>
    <col min="3292" max="3292" width="14" style="1" customWidth="1"/>
    <col min="3293" max="3304" width="0" style="1" hidden="1" customWidth="1"/>
    <col min="3305" max="3313" width="11.5703125" style="1" customWidth="1"/>
    <col min="3314" max="3316" width="0" style="1" hidden="1" customWidth="1"/>
    <col min="3317" max="3317" width="10.140625" style="1" customWidth="1"/>
    <col min="3318" max="3318" width="8.85546875" style="1" customWidth="1"/>
    <col min="3319" max="3319" width="2.140625" style="1" customWidth="1"/>
    <col min="3320" max="3320" width="14.5703125" style="1" customWidth="1"/>
    <col min="3321" max="3323" width="10.42578125" style="1" customWidth="1"/>
    <col min="3324" max="3352" width="2.85546875" style="1" customWidth="1"/>
    <col min="3353" max="3547" width="10.28515625" style="1"/>
    <col min="3548" max="3548" width="14" style="1" customWidth="1"/>
    <col min="3549" max="3560" width="0" style="1" hidden="1" customWidth="1"/>
    <col min="3561" max="3569" width="11.5703125" style="1" customWidth="1"/>
    <col min="3570" max="3572" width="0" style="1" hidden="1" customWidth="1"/>
    <col min="3573" max="3573" width="10.140625" style="1" customWidth="1"/>
    <col min="3574" max="3574" width="8.85546875" style="1" customWidth="1"/>
    <col min="3575" max="3575" width="2.140625" style="1" customWidth="1"/>
    <col min="3576" max="3576" width="14.5703125" style="1" customWidth="1"/>
    <col min="3577" max="3579" width="10.42578125" style="1" customWidth="1"/>
    <col min="3580" max="3608" width="2.85546875" style="1" customWidth="1"/>
    <col min="3609" max="3803" width="10.28515625" style="1"/>
    <col min="3804" max="3804" width="14" style="1" customWidth="1"/>
    <col min="3805" max="3816" width="0" style="1" hidden="1" customWidth="1"/>
    <col min="3817" max="3825" width="11.5703125" style="1" customWidth="1"/>
    <col min="3826" max="3828" width="0" style="1" hidden="1" customWidth="1"/>
    <col min="3829" max="3829" width="10.140625" style="1" customWidth="1"/>
    <col min="3830" max="3830" width="8.85546875" style="1" customWidth="1"/>
    <col min="3831" max="3831" width="2.140625" style="1" customWidth="1"/>
    <col min="3832" max="3832" width="14.5703125" style="1" customWidth="1"/>
    <col min="3833" max="3835" width="10.42578125" style="1" customWidth="1"/>
    <col min="3836" max="3864" width="2.85546875" style="1" customWidth="1"/>
    <col min="3865" max="4059" width="10.28515625" style="1"/>
    <col min="4060" max="4060" width="14" style="1" customWidth="1"/>
    <col min="4061" max="4072" width="0" style="1" hidden="1" customWidth="1"/>
    <col min="4073" max="4081" width="11.5703125" style="1" customWidth="1"/>
    <col min="4082" max="4084" width="0" style="1" hidden="1" customWidth="1"/>
    <col min="4085" max="4085" width="10.140625" style="1" customWidth="1"/>
    <col min="4086" max="4086" width="8.85546875" style="1" customWidth="1"/>
    <col min="4087" max="4087" width="2.140625" style="1" customWidth="1"/>
    <col min="4088" max="4088" width="14.5703125" style="1" customWidth="1"/>
    <col min="4089" max="4091" width="10.42578125" style="1" customWidth="1"/>
    <col min="4092" max="4120" width="2.85546875" style="1" customWidth="1"/>
    <col min="4121" max="4315" width="10.28515625" style="1"/>
    <col min="4316" max="4316" width="14" style="1" customWidth="1"/>
    <col min="4317" max="4328" width="0" style="1" hidden="1" customWidth="1"/>
    <col min="4329" max="4337" width="11.5703125" style="1" customWidth="1"/>
    <col min="4338" max="4340" width="0" style="1" hidden="1" customWidth="1"/>
    <col min="4341" max="4341" width="10.140625" style="1" customWidth="1"/>
    <col min="4342" max="4342" width="8.85546875" style="1" customWidth="1"/>
    <col min="4343" max="4343" width="2.140625" style="1" customWidth="1"/>
    <col min="4344" max="4344" width="14.5703125" style="1" customWidth="1"/>
    <col min="4345" max="4347" width="10.42578125" style="1" customWidth="1"/>
    <col min="4348" max="4376" width="2.85546875" style="1" customWidth="1"/>
    <col min="4377" max="4571" width="10.28515625" style="1"/>
    <col min="4572" max="4572" width="14" style="1" customWidth="1"/>
    <col min="4573" max="4584" width="0" style="1" hidden="1" customWidth="1"/>
    <col min="4585" max="4593" width="11.5703125" style="1" customWidth="1"/>
    <col min="4594" max="4596" width="0" style="1" hidden="1" customWidth="1"/>
    <col min="4597" max="4597" width="10.140625" style="1" customWidth="1"/>
    <col min="4598" max="4598" width="8.85546875" style="1" customWidth="1"/>
    <col min="4599" max="4599" width="2.140625" style="1" customWidth="1"/>
    <col min="4600" max="4600" width="14.5703125" style="1" customWidth="1"/>
    <col min="4601" max="4603" width="10.42578125" style="1" customWidth="1"/>
    <col min="4604" max="4632" width="2.85546875" style="1" customWidth="1"/>
    <col min="4633" max="4827" width="10.28515625" style="1"/>
    <col min="4828" max="4828" width="14" style="1" customWidth="1"/>
    <col min="4829" max="4840" width="0" style="1" hidden="1" customWidth="1"/>
    <col min="4841" max="4849" width="11.5703125" style="1" customWidth="1"/>
    <col min="4850" max="4852" width="0" style="1" hidden="1" customWidth="1"/>
    <col min="4853" max="4853" width="10.140625" style="1" customWidth="1"/>
    <col min="4854" max="4854" width="8.85546875" style="1" customWidth="1"/>
    <col min="4855" max="4855" width="2.140625" style="1" customWidth="1"/>
    <col min="4856" max="4856" width="14.5703125" style="1" customWidth="1"/>
    <col min="4857" max="4859" width="10.42578125" style="1" customWidth="1"/>
    <col min="4860" max="4888" width="2.85546875" style="1" customWidth="1"/>
    <col min="4889" max="5083" width="10.28515625" style="1"/>
    <col min="5084" max="5084" width="14" style="1" customWidth="1"/>
    <col min="5085" max="5096" width="0" style="1" hidden="1" customWidth="1"/>
    <col min="5097" max="5105" width="11.5703125" style="1" customWidth="1"/>
    <col min="5106" max="5108" width="0" style="1" hidden="1" customWidth="1"/>
    <col min="5109" max="5109" width="10.140625" style="1" customWidth="1"/>
    <col min="5110" max="5110" width="8.85546875" style="1" customWidth="1"/>
    <col min="5111" max="5111" width="2.140625" style="1" customWidth="1"/>
    <col min="5112" max="5112" width="14.5703125" style="1" customWidth="1"/>
    <col min="5113" max="5115" width="10.42578125" style="1" customWidth="1"/>
    <col min="5116" max="5144" width="2.85546875" style="1" customWidth="1"/>
    <col min="5145" max="5339" width="10.28515625" style="1"/>
    <col min="5340" max="5340" width="14" style="1" customWidth="1"/>
    <col min="5341" max="5352" width="0" style="1" hidden="1" customWidth="1"/>
    <col min="5353" max="5361" width="11.5703125" style="1" customWidth="1"/>
    <col min="5362" max="5364" width="0" style="1" hidden="1" customWidth="1"/>
    <col min="5365" max="5365" width="10.140625" style="1" customWidth="1"/>
    <col min="5366" max="5366" width="8.85546875" style="1" customWidth="1"/>
    <col min="5367" max="5367" width="2.140625" style="1" customWidth="1"/>
    <col min="5368" max="5368" width="14.5703125" style="1" customWidth="1"/>
    <col min="5369" max="5371" width="10.42578125" style="1" customWidth="1"/>
    <col min="5372" max="5400" width="2.85546875" style="1" customWidth="1"/>
    <col min="5401" max="5595" width="10.28515625" style="1"/>
    <col min="5596" max="5596" width="14" style="1" customWidth="1"/>
    <col min="5597" max="5608" width="0" style="1" hidden="1" customWidth="1"/>
    <col min="5609" max="5617" width="11.5703125" style="1" customWidth="1"/>
    <col min="5618" max="5620" width="0" style="1" hidden="1" customWidth="1"/>
    <col min="5621" max="5621" width="10.140625" style="1" customWidth="1"/>
    <col min="5622" max="5622" width="8.85546875" style="1" customWidth="1"/>
    <col min="5623" max="5623" width="2.140625" style="1" customWidth="1"/>
    <col min="5624" max="5624" width="14.5703125" style="1" customWidth="1"/>
    <col min="5625" max="5627" width="10.42578125" style="1" customWidth="1"/>
    <col min="5628" max="5656" width="2.85546875" style="1" customWidth="1"/>
    <col min="5657" max="5851" width="10.28515625" style="1"/>
    <col min="5852" max="5852" width="14" style="1" customWidth="1"/>
    <col min="5853" max="5864" width="0" style="1" hidden="1" customWidth="1"/>
    <col min="5865" max="5873" width="11.5703125" style="1" customWidth="1"/>
    <col min="5874" max="5876" width="0" style="1" hidden="1" customWidth="1"/>
    <col min="5877" max="5877" width="10.140625" style="1" customWidth="1"/>
    <col min="5878" max="5878" width="8.85546875" style="1" customWidth="1"/>
    <col min="5879" max="5879" width="2.140625" style="1" customWidth="1"/>
    <col min="5880" max="5880" width="14.5703125" style="1" customWidth="1"/>
    <col min="5881" max="5883" width="10.42578125" style="1" customWidth="1"/>
    <col min="5884" max="5912" width="2.85546875" style="1" customWidth="1"/>
    <col min="5913" max="6107" width="10.28515625" style="1"/>
    <col min="6108" max="6108" width="14" style="1" customWidth="1"/>
    <col min="6109" max="6120" width="0" style="1" hidden="1" customWidth="1"/>
    <col min="6121" max="6129" width="11.5703125" style="1" customWidth="1"/>
    <col min="6130" max="6132" width="0" style="1" hidden="1" customWidth="1"/>
    <col min="6133" max="6133" width="10.140625" style="1" customWidth="1"/>
    <col min="6134" max="6134" width="8.85546875" style="1" customWidth="1"/>
    <col min="6135" max="6135" width="2.140625" style="1" customWidth="1"/>
    <col min="6136" max="6136" width="14.5703125" style="1" customWidth="1"/>
    <col min="6137" max="6139" width="10.42578125" style="1" customWidth="1"/>
    <col min="6140" max="6168" width="2.85546875" style="1" customWidth="1"/>
    <col min="6169" max="6363" width="10.28515625" style="1"/>
    <col min="6364" max="6364" width="14" style="1" customWidth="1"/>
    <col min="6365" max="6376" width="0" style="1" hidden="1" customWidth="1"/>
    <col min="6377" max="6385" width="11.5703125" style="1" customWidth="1"/>
    <col min="6386" max="6388" width="0" style="1" hidden="1" customWidth="1"/>
    <col min="6389" max="6389" width="10.140625" style="1" customWidth="1"/>
    <col min="6390" max="6390" width="8.85546875" style="1" customWidth="1"/>
    <col min="6391" max="6391" width="2.140625" style="1" customWidth="1"/>
    <col min="6392" max="6392" width="14.5703125" style="1" customWidth="1"/>
    <col min="6393" max="6395" width="10.42578125" style="1" customWidth="1"/>
    <col min="6396" max="6424" width="2.85546875" style="1" customWidth="1"/>
    <col min="6425" max="6619" width="10.28515625" style="1"/>
    <col min="6620" max="6620" width="14" style="1" customWidth="1"/>
    <col min="6621" max="6632" width="0" style="1" hidden="1" customWidth="1"/>
    <col min="6633" max="6641" width="11.5703125" style="1" customWidth="1"/>
    <col min="6642" max="6644" width="0" style="1" hidden="1" customWidth="1"/>
    <col min="6645" max="6645" width="10.140625" style="1" customWidth="1"/>
    <col min="6646" max="6646" width="8.85546875" style="1" customWidth="1"/>
    <col min="6647" max="6647" width="2.140625" style="1" customWidth="1"/>
    <col min="6648" max="6648" width="14.5703125" style="1" customWidth="1"/>
    <col min="6649" max="6651" width="10.42578125" style="1" customWidth="1"/>
    <col min="6652" max="6680" width="2.85546875" style="1" customWidth="1"/>
    <col min="6681" max="6875" width="10.28515625" style="1"/>
    <col min="6876" max="6876" width="14" style="1" customWidth="1"/>
    <col min="6877" max="6888" width="0" style="1" hidden="1" customWidth="1"/>
    <col min="6889" max="6897" width="11.5703125" style="1" customWidth="1"/>
    <col min="6898" max="6900" width="0" style="1" hidden="1" customWidth="1"/>
    <col min="6901" max="6901" width="10.140625" style="1" customWidth="1"/>
    <col min="6902" max="6902" width="8.85546875" style="1" customWidth="1"/>
    <col min="6903" max="6903" width="2.140625" style="1" customWidth="1"/>
    <col min="6904" max="6904" width="14.5703125" style="1" customWidth="1"/>
    <col min="6905" max="6907" width="10.42578125" style="1" customWidth="1"/>
    <col min="6908" max="6936" width="2.85546875" style="1" customWidth="1"/>
    <col min="6937" max="7131" width="10.28515625" style="1"/>
    <col min="7132" max="7132" width="14" style="1" customWidth="1"/>
    <col min="7133" max="7144" width="0" style="1" hidden="1" customWidth="1"/>
    <col min="7145" max="7153" width="11.5703125" style="1" customWidth="1"/>
    <col min="7154" max="7156" width="0" style="1" hidden="1" customWidth="1"/>
    <col min="7157" max="7157" width="10.140625" style="1" customWidth="1"/>
    <col min="7158" max="7158" width="8.85546875" style="1" customWidth="1"/>
    <col min="7159" max="7159" width="2.140625" style="1" customWidth="1"/>
    <col min="7160" max="7160" width="14.5703125" style="1" customWidth="1"/>
    <col min="7161" max="7163" width="10.42578125" style="1" customWidth="1"/>
    <col min="7164" max="7192" width="2.85546875" style="1" customWidth="1"/>
    <col min="7193" max="7387" width="10.28515625" style="1"/>
    <col min="7388" max="7388" width="14" style="1" customWidth="1"/>
    <col min="7389" max="7400" width="0" style="1" hidden="1" customWidth="1"/>
    <col min="7401" max="7409" width="11.5703125" style="1" customWidth="1"/>
    <col min="7410" max="7412" width="0" style="1" hidden="1" customWidth="1"/>
    <col min="7413" max="7413" width="10.140625" style="1" customWidth="1"/>
    <col min="7414" max="7414" width="8.85546875" style="1" customWidth="1"/>
    <col min="7415" max="7415" width="2.140625" style="1" customWidth="1"/>
    <col min="7416" max="7416" width="14.5703125" style="1" customWidth="1"/>
    <col min="7417" max="7419" width="10.42578125" style="1" customWidth="1"/>
    <col min="7420" max="7448" width="2.85546875" style="1" customWidth="1"/>
    <col min="7449" max="7643" width="10.28515625" style="1"/>
    <col min="7644" max="7644" width="14" style="1" customWidth="1"/>
    <col min="7645" max="7656" width="0" style="1" hidden="1" customWidth="1"/>
    <col min="7657" max="7665" width="11.5703125" style="1" customWidth="1"/>
    <col min="7666" max="7668" width="0" style="1" hidden="1" customWidth="1"/>
    <col min="7669" max="7669" width="10.140625" style="1" customWidth="1"/>
    <col min="7670" max="7670" width="8.85546875" style="1" customWidth="1"/>
    <col min="7671" max="7671" width="2.140625" style="1" customWidth="1"/>
    <col min="7672" max="7672" width="14.5703125" style="1" customWidth="1"/>
    <col min="7673" max="7675" width="10.42578125" style="1" customWidth="1"/>
    <col min="7676" max="7704" width="2.85546875" style="1" customWidth="1"/>
    <col min="7705" max="7899" width="10.28515625" style="1"/>
    <col min="7900" max="7900" width="14" style="1" customWidth="1"/>
    <col min="7901" max="7912" width="0" style="1" hidden="1" customWidth="1"/>
    <col min="7913" max="7921" width="11.5703125" style="1" customWidth="1"/>
    <col min="7922" max="7924" width="0" style="1" hidden="1" customWidth="1"/>
    <col min="7925" max="7925" width="10.140625" style="1" customWidth="1"/>
    <col min="7926" max="7926" width="8.85546875" style="1" customWidth="1"/>
    <col min="7927" max="7927" width="2.140625" style="1" customWidth="1"/>
    <col min="7928" max="7928" width="14.5703125" style="1" customWidth="1"/>
    <col min="7929" max="7931" width="10.42578125" style="1" customWidth="1"/>
    <col min="7932" max="7960" width="2.85546875" style="1" customWidth="1"/>
    <col min="7961" max="8155" width="10.28515625" style="1"/>
    <col min="8156" max="8156" width="14" style="1" customWidth="1"/>
    <col min="8157" max="8168" width="0" style="1" hidden="1" customWidth="1"/>
    <col min="8169" max="8177" width="11.5703125" style="1" customWidth="1"/>
    <col min="8178" max="8180" width="0" style="1" hidden="1" customWidth="1"/>
    <col min="8181" max="8181" width="10.140625" style="1" customWidth="1"/>
    <col min="8182" max="8182" width="8.85546875" style="1" customWidth="1"/>
    <col min="8183" max="8183" width="2.140625" style="1" customWidth="1"/>
    <col min="8184" max="8184" width="14.5703125" style="1" customWidth="1"/>
    <col min="8185" max="8187" width="10.42578125" style="1" customWidth="1"/>
    <col min="8188" max="8216" width="2.85546875" style="1" customWidth="1"/>
    <col min="8217" max="8411" width="10.28515625" style="1"/>
    <col min="8412" max="8412" width="14" style="1" customWidth="1"/>
    <col min="8413" max="8424" width="0" style="1" hidden="1" customWidth="1"/>
    <col min="8425" max="8433" width="11.5703125" style="1" customWidth="1"/>
    <col min="8434" max="8436" width="0" style="1" hidden="1" customWidth="1"/>
    <col min="8437" max="8437" width="10.140625" style="1" customWidth="1"/>
    <col min="8438" max="8438" width="8.85546875" style="1" customWidth="1"/>
    <col min="8439" max="8439" width="2.140625" style="1" customWidth="1"/>
    <col min="8440" max="8440" width="14.5703125" style="1" customWidth="1"/>
    <col min="8441" max="8443" width="10.42578125" style="1" customWidth="1"/>
    <col min="8444" max="8472" width="2.85546875" style="1" customWidth="1"/>
    <col min="8473" max="8667" width="10.28515625" style="1"/>
    <col min="8668" max="8668" width="14" style="1" customWidth="1"/>
    <col min="8669" max="8680" width="0" style="1" hidden="1" customWidth="1"/>
    <col min="8681" max="8689" width="11.5703125" style="1" customWidth="1"/>
    <col min="8690" max="8692" width="0" style="1" hidden="1" customWidth="1"/>
    <col min="8693" max="8693" width="10.140625" style="1" customWidth="1"/>
    <col min="8694" max="8694" width="8.85546875" style="1" customWidth="1"/>
    <col min="8695" max="8695" width="2.140625" style="1" customWidth="1"/>
    <col min="8696" max="8696" width="14.5703125" style="1" customWidth="1"/>
    <col min="8697" max="8699" width="10.42578125" style="1" customWidth="1"/>
    <col min="8700" max="8728" width="2.85546875" style="1" customWidth="1"/>
    <col min="8729" max="8923" width="10.28515625" style="1"/>
    <col min="8924" max="8924" width="14" style="1" customWidth="1"/>
    <col min="8925" max="8936" width="0" style="1" hidden="1" customWidth="1"/>
    <col min="8937" max="8945" width="11.5703125" style="1" customWidth="1"/>
    <col min="8946" max="8948" width="0" style="1" hidden="1" customWidth="1"/>
    <col min="8949" max="8949" width="10.140625" style="1" customWidth="1"/>
    <col min="8950" max="8950" width="8.85546875" style="1" customWidth="1"/>
    <col min="8951" max="8951" width="2.140625" style="1" customWidth="1"/>
    <col min="8952" max="8952" width="14.5703125" style="1" customWidth="1"/>
    <col min="8953" max="8955" width="10.42578125" style="1" customWidth="1"/>
    <col min="8956" max="8984" width="2.85546875" style="1" customWidth="1"/>
    <col min="8985" max="9179" width="10.28515625" style="1"/>
    <col min="9180" max="9180" width="14" style="1" customWidth="1"/>
    <col min="9181" max="9192" width="0" style="1" hidden="1" customWidth="1"/>
    <col min="9193" max="9201" width="11.5703125" style="1" customWidth="1"/>
    <col min="9202" max="9204" width="0" style="1" hidden="1" customWidth="1"/>
    <col min="9205" max="9205" width="10.140625" style="1" customWidth="1"/>
    <col min="9206" max="9206" width="8.85546875" style="1" customWidth="1"/>
    <col min="9207" max="9207" width="2.140625" style="1" customWidth="1"/>
    <col min="9208" max="9208" width="14.5703125" style="1" customWidth="1"/>
    <col min="9209" max="9211" width="10.42578125" style="1" customWidth="1"/>
    <col min="9212" max="9240" width="2.85546875" style="1" customWidth="1"/>
    <col min="9241" max="9435" width="10.28515625" style="1"/>
    <col min="9436" max="9436" width="14" style="1" customWidth="1"/>
    <col min="9437" max="9448" width="0" style="1" hidden="1" customWidth="1"/>
    <col min="9449" max="9457" width="11.5703125" style="1" customWidth="1"/>
    <col min="9458" max="9460" width="0" style="1" hidden="1" customWidth="1"/>
    <col min="9461" max="9461" width="10.140625" style="1" customWidth="1"/>
    <col min="9462" max="9462" width="8.85546875" style="1" customWidth="1"/>
    <col min="9463" max="9463" width="2.140625" style="1" customWidth="1"/>
    <col min="9464" max="9464" width="14.5703125" style="1" customWidth="1"/>
    <col min="9465" max="9467" width="10.42578125" style="1" customWidth="1"/>
    <col min="9468" max="9496" width="2.85546875" style="1" customWidth="1"/>
    <col min="9497" max="9691" width="10.28515625" style="1"/>
    <col min="9692" max="9692" width="14" style="1" customWidth="1"/>
    <col min="9693" max="9704" width="0" style="1" hidden="1" customWidth="1"/>
    <col min="9705" max="9713" width="11.5703125" style="1" customWidth="1"/>
    <col min="9714" max="9716" width="0" style="1" hidden="1" customWidth="1"/>
    <col min="9717" max="9717" width="10.140625" style="1" customWidth="1"/>
    <col min="9718" max="9718" width="8.85546875" style="1" customWidth="1"/>
    <col min="9719" max="9719" width="2.140625" style="1" customWidth="1"/>
    <col min="9720" max="9720" width="14.5703125" style="1" customWidth="1"/>
    <col min="9721" max="9723" width="10.42578125" style="1" customWidth="1"/>
    <col min="9724" max="9752" width="2.85546875" style="1" customWidth="1"/>
    <col min="9753" max="9947" width="10.28515625" style="1"/>
    <col min="9948" max="9948" width="14" style="1" customWidth="1"/>
    <col min="9949" max="9960" width="0" style="1" hidden="1" customWidth="1"/>
    <col min="9961" max="9969" width="11.5703125" style="1" customWidth="1"/>
    <col min="9970" max="9972" width="0" style="1" hidden="1" customWidth="1"/>
    <col min="9973" max="9973" width="10.140625" style="1" customWidth="1"/>
    <col min="9974" max="9974" width="8.85546875" style="1" customWidth="1"/>
    <col min="9975" max="9975" width="2.140625" style="1" customWidth="1"/>
    <col min="9976" max="9976" width="14.5703125" style="1" customWidth="1"/>
    <col min="9977" max="9979" width="10.42578125" style="1" customWidth="1"/>
    <col min="9980" max="10008" width="2.85546875" style="1" customWidth="1"/>
    <col min="10009" max="10203" width="10.28515625" style="1"/>
    <col min="10204" max="10204" width="14" style="1" customWidth="1"/>
    <col min="10205" max="10216" width="0" style="1" hidden="1" customWidth="1"/>
    <col min="10217" max="10225" width="11.5703125" style="1" customWidth="1"/>
    <col min="10226" max="10228" width="0" style="1" hidden="1" customWidth="1"/>
    <col min="10229" max="10229" width="10.140625" style="1" customWidth="1"/>
    <col min="10230" max="10230" width="8.85546875" style="1" customWidth="1"/>
    <col min="10231" max="10231" width="2.140625" style="1" customWidth="1"/>
    <col min="10232" max="10232" width="14.5703125" style="1" customWidth="1"/>
    <col min="10233" max="10235" width="10.42578125" style="1" customWidth="1"/>
    <col min="10236" max="10264" width="2.85546875" style="1" customWidth="1"/>
    <col min="10265" max="10459" width="10.28515625" style="1"/>
    <col min="10460" max="10460" width="14" style="1" customWidth="1"/>
    <col min="10461" max="10472" width="0" style="1" hidden="1" customWidth="1"/>
    <col min="10473" max="10481" width="11.5703125" style="1" customWidth="1"/>
    <col min="10482" max="10484" width="0" style="1" hidden="1" customWidth="1"/>
    <col min="10485" max="10485" width="10.140625" style="1" customWidth="1"/>
    <col min="10486" max="10486" width="8.85546875" style="1" customWidth="1"/>
    <col min="10487" max="10487" width="2.140625" style="1" customWidth="1"/>
    <col min="10488" max="10488" width="14.5703125" style="1" customWidth="1"/>
    <col min="10489" max="10491" width="10.42578125" style="1" customWidth="1"/>
    <col min="10492" max="10520" width="2.85546875" style="1" customWidth="1"/>
    <col min="10521" max="10715" width="10.28515625" style="1"/>
    <col min="10716" max="10716" width="14" style="1" customWidth="1"/>
    <col min="10717" max="10728" width="0" style="1" hidden="1" customWidth="1"/>
    <col min="10729" max="10737" width="11.5703125" style="1" customWidth="1"/>
    <col min="10738" max="10740" width="0" style="1" hidden="1" customWidth="1"/>
    <col min="10741" max="10741" width="10.140625" style="1" customWidth="1"/>
    <col min="10742" max="10742" width="8.85546875" style="1" customWidth="1"/>
    <col min="10743" max="10743" width="2.140625" style="1" customWidth="1"/>
    <col min="10744" max="10744" width="14.5703125" style="1" customWidth="1"/>
    <col min="10745" max="10747" width="10.42578125" style="1" customWidth="1"/>
    <col min="10748" max="10776" width="2.85546875" style="1" customWidth="1"/>
    <col min="10777" max="10971" width="10.28515625" style="1"/>
    <col min="10972" max="10972" width="14" style="1" customWidth="1"/>
    <col min="10973" max="10984" width="0" style="1" hidden="1" customWidth="1"/>
    <col min="10985" max="10993" width="11.5703125" style="1" customWidth="1"/>
    <col min="10994" max="10996" width="0" style="1" hidden="1" customWidth="1"/>
    <col min="10997" max="10997" width="10.140625" style="1" customWidth="1"/>
    <col min="10998" max="10998" width="8.85546875" style="1" customWidth="1"/>
    <col min="10999" max="10999" width="2.140625" style="1" customWidth="1"/>
    <col min="11000" max="11000" width="14.5703125" style="1" customWidth="1"/>
    <col min="11001" max="11003" width="10.42578125" style="1" customWidth="1"/>
    <col min="11004" max="11032" width="2.85546875" style="1" customWidth="1"/>
    <col min="11033" max="11227" width="10.28515625" style="1"/>
    <col min="11228" max="11228" width="14" style="1" customWidth="1"/>
    <col min="11229" max="11240" width="0" style="1" hidden="1" customWidth="1"/>
    <col min="11241" max="11249" width="11.5703125" style="1" customWidth="1"/>
    <col min="11250" max="11252" width="0" style="1" hidden="1" customWidth="1"/>
    <col min="11253" max="11253" width="10.140625" style="1" customWidth="1"/>
    <col min="11254" max="11254" width="8.85546875" style="1" customWidth="1"/>
    <col min="11255" max="11255" width="2.140625" style="1" customWidth="1"/>
    <col min="11256" max="11256" width="14.5703125" style="1" customWidth="1"/>
    <col min="11257" max="11259" width="10.42578125" style="1" customWidth="1"/>
    <col min="11260" max="11288" width="2.85546875" style="1" customWidth="1"/>
    <col min="11289" max="11483" width="10.28515625" style="1"/>
    <col min="11484" max="11484" width="14" style="1" customWidth="1"/>
    <col min="11485" max="11496" width="0" style="1" hidden="1" customWidth="1"/>
    <col min="11497" max="11505" width="11.5703125" style="1" customWidth="1"/>
    <col min="11506" max="11508" width="0" style="1" hidden="1" customWidth="1"/>
    <col min="11509" max="11509" width="10.140625" style="1" customWidth="1"/>
    <col min="11510" max="11510" width="8.85546875" style="1" customWidth="1"/>
    <col min="11511" max="11511" width="2.140625" style="1" customWidth="1"/>
    <col min="11512" max="11512" width="14.5703125" style="1" customWidth="1"/>
    <col min="11513" max="11515" width="10.42578125" style="1" customWidth="1"/>
    <col min="11516" max="11544" width="2.85546875" style="1" customWidth="1"/>
    <col min="11545" max="11739" width="10.28515625" style="1"/>
    <col min="11740" max="11740" width="14" style="1" customWidth="1"/>
    <col min="11741" max="11752" width="0" style="1" hidden="1" customWidth="1"/>
    <col min="11753" max="11761" width="11.5703125" style="1" customWidth="1"/>
    <col min="11762" max="11764" width="0" style="1" hidden="1" customWidth="1"/>
    <col min="11765" max="11765" width="10.140625" style="1" customWidth="1"/>
    <col min="11766" max="11766" width="8.85546875" style="1" customWidth="1"/>
    <col min="11767" max="11767" width="2.140625" style="1" customWidth="1"/>
    <col min="11768" max="11768" width="14.5703125" style="1" customWidth="1"/>
    <col min="11769" max="11771" width="10.42578125" style="1" customWidth="1"/>
    <col min="11772" max="11800" width="2.85546875" style="1" customWidth="1"/>
    <col min="11801" max="11995" width="10.28515625" style="1"/>
    <col min="11996" max="11996" width="14" style="1" customWidth="1"/>
    <col min="11997" max="12008" width="0" style="1" hidden="1" customWidth="1"/>
    <col min="12009" max="12017" width="11.5703125" style="1" customWidth="1"/>
    <col min="12018" max="12020" width="0" style="1" hidden="1" customWidth="1"/>
    <col min="12021" max="12021" width="10.140625" style="1" customWidth="1"/>
    <col min="12022" max="12022" width="8.85546875" style="1" customWidth="1"/>
    <col min="12023" max="12023" width="2.140625" style="1" customWidth="1"/>
    <col min="12024" max="12024" width="14.5703125" style="1" customWidth="1"/>
    <col min="12025" max="12027" width="10.42578125" style="1" customWidth="1"/>
    <col min="12028" max="12056" width="2.85546875" style="1" customWidth="1"/>
    <col min="12057" max="12251" width="10.28515625" style="1"/>
    <col min="12252" max="12252" width="14" style="1" customWidth="1"/>
    <col min="12253" max="12264" width="0" style="1" hidden="1" customWidth="1"/>
    <col min="12265" max="12273" width="11.5703125" style="1" customWidth="1"/>
    <col min="12274" max="12276" width="0" style="1" hidden="1" customWidth="1"/>
    <col min="12277" max="12277" width="10.140625" style="1" customWidth="1"/>
    <col min="12278" max="12278" width="8.85546875" style="1" customWidth="1"/>
    <col min="12279" max="12279" width="2.140625" style="1" customWidth="1"/>
    <col min="12280" max="12280" width="14.5703125" style="1" customWidth="1"/>
    <col min="12281" max="12283" width="10.42578125" style="1" customWidth="1"/>
    <col min="12284" max="12312" width="2.85546875" style="1" customWidth="1"/>
    <col min="12313" max="12507" width="10.28515625" style="1"/>
    <col min="12508" max="12508" width="14" style="1" customWidth="1"/>
    <col min="12509" max="12520" width="0" style="1" hidden="1" customWidth="1"/>
    <col min="12521" max="12529" width="11.5703125" style="1" customWidth="1"/>
    <col min="12530" max="12532" width="0" style="1" hidden="1" customWidth="1"/>
    <col min="12533" max="12533" width="10.140625" style="1" customWidth="1"/>
    <col min="12534" max="12534" width="8.85546875" style="1" customWidth="1"/>
    <col min="12535" max="12535" width="2.140625" style="1" customWidth="1"/>
    <col min="12536" max="12536" width="14.5703125" style="1" customWidth="1"/>
    <col min="12537" max="12539" width="10.42578125" style="1" customWidth="1"/>
    <col min="12540" max="12568" width="2.85546875" style="1" customWidth="1"/>
    <col min="12569" max="12763" width="10.28515625" style="1"/>
    <col min="12764" max="12764" width="14" style="1" customWidth="1"/>
    <col min="12765" max="12776" width="0" style="1" hidden="1" customWidth="1"/>
    <col min="12777" max="12785" width="11.5703125" style="1" customWidth="1"/>
    <col min="12786" max="12788" width="0" style="1" hidden="1" customWidth="1"/>
    <col min="12789" max="12789" width="10.140625" style="1" customWidth="1"/>
    <col min="12790" max="12790" width="8.85546875" style="1" customWidth="1"/>
    <col min="12791" max="12791" width="2.140625" style="1" customWidth="1"/>
    <col min="12792" max="12792" width="14.5703125" style="1" customWidth="1"/>
    <col min="12793" max="12795" width="10.42578125" style="1" customWidth="1"/>
    <col min="12796" max="12824" width="2.85546875" style="1" customWidth="1"/>
    <col min="12825" max="13019" width="10.28515625" style="1"/>
    <col min="13020" max="13020" width="14" style="1" customWidth="1"/>
    <col min="13021" max="13032" width="0" style="1" hidden="1" customWidth="1"/>
    <col min="13033" max="13041" width="11.5703125" style="1" customWidth="1"/>
    <col min="13042" max="13044" width="0" style="1" hidden="1" customWidth="1"/>
    <col min="13045" max="13045" width="10.140625" style="1" customWidth="1"/>
    <col min="13046" max="13046" width="8.85546875" style="1" customWidth="1"/>
    <col min="13047" max="13047" width="2.140625" style="1" customWidth="1"/>
    <col min="13048" max="13048" width="14.5703125" style="1" customWidth="1"/>
    <col min="13049" max="13051" width="10.42578125" style="1" customWidth="1"/>
    <col min="13052" max="13080" width="2.85546875" style="1" customWidth="1"/>
    <col min="13081" max="13275" width="10.28515625" style="1"/>
    <col min="13276" max="13276" width="14" style="1" customWidth="1"/>
    <col min="13277" max="13288" width="0" style="1" hidden="1" customWidth="1"/>
    <col min="13289" max="13297" width="11.5703125" style="1" customWidth="1"/>
    <col min="13298" max="13300" width="0" style="1" hidden="1" customWidth="1"/>
    <col min="13301" max="13301" width="10.140625" style="1" customWidth="1"/>
    <col min="13302" max="13302" width="8.85546875" style="1" customWidth="1"/>
    <col min="13303" max="13303" width="2.140625" style="1" customWidth="1"/>
    <col min="13304" max="13304" width="14.5703125" style="1" customWidth="1"/>
    <col min="13305" max="13307" width="10.42578125" style="1" customWidth="1"/>
    <col min="13308" max="13336" width="2.85546875" style="1" customWidth="1"/>
    <col min="13337" max="13531" width="10.28515625" style="1"/>
    <col min="13532" max="13532" width="14" style="1" customWidth="1"/>
    <col min="13533" max="13544" width="0" style="1" hidden="1" customWidth="1"/>
    <col min="13545" max="13553" width="11.5703125" style="1" customWidth="1"/>
    <col min="13554" max="13556" width="0" style="1" hidden="1" customWidth="1"/>
    <col min="13557" max="13557" width="10.140625" style="1" customWidth="1"/>
    <col min="13558" max="13558" width="8.85546875" style="1" customWidth="1"/>
    <col min="13559" max="13559" width="2.140625" style="1" customWidth="1"/>
    <col min="13560" max="13560" width="14.5703125" style="1" customWidth="1"/>
    <col min="13561" max="13563" width="10.42578125" style="1" customWidth="1"/>
    <col min="13564" max="13592" width="2.85546875" style="1" customWidth="1"/>
    <col min="13593" max="13787" width="10.28515625" style="1"/>
    <col min="13788" max="13788" width="14" style="1" customWidth="1"/>
    <col min="13789" max="13800" width="0" style="1" hidden="1" customWidth="1"/>
    <col min="13801" max="13809" width="11.5703125" style="1" customWidth="1"/>
    <col min="13810" max="13812" width="0" style="1" hidden="1" customWidth="1"/>
    <col min="13813" max="13813" width="10.140625" style="1" customWidth="1"/>
    <col min="13814" max="13814" width="8.85546875" style="1" customWidth="1"/>
    <col min="13815" max="13815" width="2.140625" style="1" customWidth="1"/>
    <col min="13816" max="13816" width="14.5703125" style="1" customWidth="1"/>
    <col min="13817" max="13819" width="10.42578125" style="1" customWidth="1"/>
    <col min="13820" max="13848" width="2.85546875" style="1" customWidth="1"/>
    <col min="13849" max="14043" width="10.28515625" style="1"/>
    <col min="14044" max="14044" width="14" style="1" customWidth="1"/>
    <col min="14045" max="14056" width="0" style="1" hidden="1" customWidth="1"/>
    <col min="14057" max="14065" width="11.5703125" style="1" customWidth="1"/>
    <col min="14066" max="14068" width="0" style="1" hidden="1" customWidth="1"/>
    <col min="14069" max="14069" width="10.140625" style="1" customWidth="1"/>
    <col min="14070" max="14070" width="8.85546875" style="1" customWidth="1"/>
    <col min="14071" max="14071" width="2.140625" style="1" customWidth="1"/>
    <col min="14072" max="14072" width="14.5703125" style="1" customWidth="1"/>
    <col min="14073" max="14075" width="10.42578125" style="1" customWidth="1"/>
    <col min="14076" max="14104" width="2.85546875" style="1" customWidth="1"/>
    <col min="14105" max="14299" width="10.28515625" style="1"/>
    <col min="14300" max="14300" width="14" style="1" customWidth="1"/>
    <col min="14301" max="14312" width="0" style="1" hidden="1" customWidth="1"/>
    <col min="14313" max="14321" width="11.5703125" style="1" customWidth="1"/>
    <col min="14322" max="14324" width="0" style="1" hidden="1" customWidth="1"/>
    <col min="14325" max="14325" width="10.140625" style="1" customWidth="1"/>
    <col min="14326" max="14326" width="8.85546875" style="1" customWidth="1"/>
    <col min="14327" max="14327" width="2.140625" style="1" customWidth="1"/>
    <col min="14328" max="14328" width="14.5703125" style="1" customWidth="1"/>
    <col min="14329" max="14331" width="10.42578125" style="1" customWidth="1"/>
    <col min="14332" max="14360" width="2.85546875" style="1" customWidth="1"/>
    <col min="14361" max="14555" width="10.28515625" style="1"/>
    <col min="14556" max="14556" width="14" style="1" customWidth="1"/>
    <col min="14557" max="14568" width="0" style="1" hidden="1" customWidth="1"/>
    <col min="14569" max="14577" width="11.5703125" style="1" customWidth="1"/>
    <col min="14578" max="14580" width="0" style="1" hidden="1" customWidth="1"/>
    <col min="14581" max="14581" width="10.140625" style="1" customWidth="1"/>
    <col min="14582" max="14582" width="8.85546875" style="1" customWidth="1"/>
    <col min="14583" max="14583" width="2.140625" style="1" customWidth="1"/>
    <col min="14584" max="14584" width="14.5703125" style="1" customWidth="1"/>
    <col min="14585" max="14587" width="10.42578125" style="1" customWidth="1"/>
    <col min="14588" max="14616" width="2.85546875" style="1" customWidth="1"/>
    <col min="14617" max="14811" width="10.28515625" style="1"/>
    <col min="14812" max="14812" width="14" style="1" customWidth="1"/>
    <col min="14813" max="14824" width="0" style="1" hidden="1" customWidth="1"/>
    <col min="14825" max="14833" width="11.5703125" style="1" customWidth="1"/>
    <col min="14834" max="14836" width="0" style="1" hidden="1" customWidth="1"/>
    <col min="14837" max="14837" width="10.140625" style="1" customWidth="1"/>
    <col min="14838" max="14838" width="8.85546875" style="1" customWidth="1"/>
    <col min="14839" max="14839" width="2.140625" style="1" customWidth="1"/>
    <col min="14840" max="14840" width="14.5703125" style="1" customWidth="1"/>
    <col min="14841" max="14843" width="10.42578125" style="1" customWidth="1"/>
    <col min="14844" max="14872" width="2.85546875" style="1" customWidth="1"/>
    <col min="14873" max="15067" width="10.28515625" style="1"/>
    <col min="15068" max="15068" width="14" style="1" customWidth="1"/>
    <col min="15069" max="15080" width="0" style="1" hidden="1" customWidth="1"/>
    <col min="15081" max="15089" width="11.5703125" style="1" customWidth="1"/>
    <col min="15090" max="15092" width="0" style="1" hidden="1" customWidth="1"/>
    <col min="15093" max="15093" width="10.140625" style="1" customWidth="1"/>
    <col min="15094" max="15094" width="8.85546875" style="1" customWidth="1"/>
    <col min="15095" max="15095" width="2.140625" style="1" customWidth="1"/>
    <col min="15096" max="15096" width="14.5703125" style="1" customWidth="1"/>
    <col min="15097" max="15099" width="10.42578125" style="1" customWidth="1"/>
    <col min="15100" max="15128" width="2.85546875" style="1" customWidth="1"/>
    <col min="15129" max="15323" width="10.28515625" style="1"/>
    <col min="15324" max="15324" width="14" style="1" customWidth="1"/>
    <col min="15325" max="15336" width="0" style="1" hidden="1" customWidth="1"/>
    <col min="15337" max="15345" width="11.5703125" style="1" customWidth="1"/>
    <col min="15346" max="15348" width="0" style="1" hidden="1" customWidth="1"/>
    <col min="15349" max="15349" width="10.140625" style="1" customWidth="1"/>
    <col min="15350" max="15350" width="8.85546875" style="1" customWidth="1"/>
    <col min="15351" max="15351" width="2.140625" style="1" customWidth="1"/>
    <col min="15352" max="15352" width="14.5703125" style="1" customWidth="1"/>
    <col min="15353" max="15355" width="10.42578125" style="1" customWidth="1"/>
    <col min="15356" max="15384" width="2.85546875" style="1" customWidth="1"/>
    <col min="15385" max="15579" width="10.28515625" style="1"/>
    <col min="15580" max="15580" width="14" style="1" customWidth="1"/>
    <col min="15581" max="15592" width="0" style="1" hidden="1" customWidth="1"/>
    <col min="15593" max="15601" width="11.5703125" style="1" customWidth="1"/>
    <col min="15602" max="15604" width="0" style="1" hidden="1" customWidth="1"/>
    <col min="15605" max="15605" width="10.140625" style="1" customWidth="1"/>
    <col min="15606" max="15606" width="8.85546875" style="1" customWidth="1"/>
    <col min="15607" max="15607" width="2.140625" style="1" customWidth="1"/>
    <col min="15608" max="15608" width="14.5703125" style="1" customWidth="1"/>
    <col min="15609" max="15611" width="10.42578125" style="1" customWidth="1"/>
    <col min="15612" max="15640" width="2.85546875" style="1" customWidth="1"/>
    <col min="15641" max="15835" width="10.28515625" style="1"/>
    <col min="15836" max="15836" width="14" style="1" customWidth="1"/>
    <col min="15837" max="15848" width="0" style="1" hidden="1" customWidth="1"/>
    <col min="15849" max="15857" width="11.5703125" style="1" customWidth="1"/>
    <col min="15858" max="15860" width="0" style="1" hidden="1" customWidth="1"/>
    <col min="15861" max="15861" width="10.140625" style="1" customWidth="1"/>
    <col min="15862" max="15862" width="8.85546875" style="1" customWidth="1"/>
    <col min="15863" max="15863" width="2.140625" style="1" customWidth="1"/>
    <col min="15864" max="15864" width="14.5703125" style="1" customWidth="1"/>
    <col min="15865" max="15867" width="10.42578125" style="1" customWidth="1"/>
    <col min="15868" max="15896" width="2.85546875" style="1" customWidth="1"/>
    <col min="15897" max="16091" width="10.28515625" style="1"/>
    <col min="16092" max="16092" width="14" style="1" customWidth="1"/>
    <col min="16093" max="16104" width="0" style="1" hidden="1" customWidth="1"/>
    <col min="16105" max="16113" width="11.5703125" style="1" customWidth="1"/>
    <col min="16114" max="16116" width="0" style="1" hidden="1" customWidth="1"/>
    <col min="16117" max="16117" width="10.140625" style="1" customWidth="1"/>
    <col min="16118" max="16118" width="8.85546875" style="1" customWidth="1"/>
    <col min="16119" max="16119" width="2.140625" style="1" customWidth="1"/>
    <col min="16120" max="16120" width="14.5703125" style="1" customWidth="1"/>
    <col min="16121" max="16123" width="10.42578125" style="1" customWidth="1"/>
    <col min="16124" max="16152" width="2.85546875" style="1" customWidth="1"/>
    <col min="16153" max="16384" width="10.28515625" style="1"/>
  </cols>
  <sheetData>
    <row r="1" spans="1:32" ht="20.25" customHeight="1" x14ac:dyDescent="0.45">
      <c r="A1" s="63" t="s">
        <v>56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32" ht="18" customHeight="1" x14ac:dyDescent="0.15">
      <c r="A2" s="64" t="s">
        <v>55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32" s="6" customFormat="1" ht="15.75" customHeight="1" x14ac:dyDescent="0.2">
      <c r="A3" s="4"/>
      <c r="B3" s="65">
        <v>2015</v>
      </c>
      <c r="C3" s="66"/>
      <c r="D3" s="66"/>
      <c r="E3" s="65">
        <v>2016</v>
      </c>
      <c r="F3" s="66"/>
      <c r="G3" s="66"/>
      <c r="H3" s="65">
        <v>2017</v>
      </c>
      <c r="I3" s="66"/>
      <c r="J3" s="66"/>
      <c r="K3" s="65" t="s">
        <v>46</v>
      </c>
      <c r="L3" s="66"/>
      <c r="M3" s="66"/>
      <c r="N3" s="65" t="s">
        <v>47</v>
      </c>
      <c r="O3" s="66"/>
      <c r="P3" s="66"/>
      <c r="Q3" s="5"/>
      <c r="R3" s="67" t="s">
        <v>2</v>
      </c>
      <c r="AD3" s="7"/>
      <c r="AE3" s="7"/>
      <c r="AF3" s="7"/>
    </row>
    <row r="4" spans="1:32" s="59" customFormat="1" ht="21.75" customHeight="1" x14ac:dyDescent="0.4">
      <c r="A4" s="55"/>
      <c r="B4" s="56" t="s">
        <v>3</v>
      </c>
      <c r="C4" s="57" t="s">
        <v>4</v>
      </c>
      <c r="D4" s="57" t="s">
        <v>5</v>
      </c>
      <c r="E4" s="56" t="s">
        <v>3</v>
      </c>
      <c r="F4" s="57" t="s">
        <v>4</v>
      </c>
      <c r="G4" s="57" t="s">
        <v>5</v>
      </c>
      <c r="H4" s="56" t="s">
        <v>3</v>
      </c>
      <c r="I4" s="57" t="s">
        <v>4</v>
      </c>
      <c r="J4" s="57" t="s">
        <v>5</v>
      </c>
      <c r="K4" s="56" t="s">
        <v>3</v>
      </c>
      <c r="L4" s="57" t="s">
        <v>4</v>
      </c>
      <c r="M4" s="57" t="s">
        <v>5</v>
      </c>
      <c r="N4" s="56" t="s">
        <v>3</v>
      </c>
      <c r="O4" s="57" t="s">
        <v>4</v>
      </c>
      <c r="P4" s="57" t="s">
        <v>5</v>
      </c>
      <c r="Q4" s="58"/>
      <c r="R4" s="68"/>
      <c r="AD4" s="60"/>
      <c r="AE4" s="60"/>
      <c r="AF4" s="60"/>
    </row>
    <row r="5" spans="1:32" ht="25.5" customHeight="1" x14ac:dyDescent="0.25">
      <c r="A5" s="8" t="s">
        <v>6</v>
      </c>
      <c r="B5" s="9" t="s">
        <v>7</v>
      </c>
      <c r="C5" s="10" t="s">
        <v>8</v>
      </c>
      <c r="D5" s="11" t="s">
        <v>9</v>
      </c>
      <c r="E5" s="9" t="s">
        <v>7</v>
      </c>
      <c r="F5" s="10" t="s">
        <v>8</v>
      </c>
      <c r="G5" s="11" t="s">
        <v>9</v>
      </c>
      <c r="H5" s="9" t="s">
        <v>7</v>
      </c>
      <c r="I5" s="10" t="s">
        <v>8</v>
      </c>
      <c r="J5" s="11" t="s">
        <v>9</v>
      </c>
      <c r="K5" s="9" t="s">
        <v>7</v>
      </c>
      <c r="L5" s="10" t="s">
        <v>8</v>
      </c>
      <c r="M5" s="11" t="s">
        <v>9</v>
      </c>
      <c r="N5" s="9" t="s">
        <v>7</v>
      </c>
      <c r="O5" s="10" t="s">
        <v>8</v>
      </c>
      <c r="P5" s="11" t="s">
        <v>9</v>
      </c>
      <c r="Q5" s="11"/>
      <c r="R5" s="69"/>
    </row>
    <row r="6" spans="1:32" ht="18.75" customHeight="1" x14ac:dyDescent="0.55000000000000004">
      <c r="A6" s="12" t="s">
        <v>1</v>
      </c>
      <c r="B6" s="13">
        <f t="shared" ref="B6:R6" si="0">SUM(B7:B18)</f>
        <v>6986</v>
      </c>
      <c r="C6" s="14">
        <f t="shared" si="0"/>
        <v>1130</v>
      </c>
      <c r="D6" s="16">
        <f t="shared" si="0"/>
        <v>5856</v>
      </c>
      <c r="E6" s="13">
        <f>SUM(E7:E18)</f>
        <v>6756</v>
      </c>
      <c r="F6" s="14">
        <f>SUM(F7:F18)</f>
        <v>1226</v>
      </c>
      <c r="G6" s="16">
        <f t="shared" si="0"/>
        <v>5530</v>
      </c>
      <c r="H6" s="13">
        <f t="shared" si="0"/>
        <v>6723</v>
      </c>
      <c r="I6" s="14">
        <f t="shared" si="0"/>
        <v>1241</v>
      </c>
      <c r="J6" s="14">
        <f t="shared" si="0"/>
        <v>5482</v>
      </c>
      <c r="K6" s="13">
        <f t="shared" si="0"/>
        <v>6564</v>
      </c>
      <c r="L6" s="14">
        <f t="shared" si="0"/>
        <v>1216</v>
      </c>
      <c r="M6" s="14">
        <f t="shared" si="0"/>
        <v>5348</v>
      </c>
      <c r="N6" s="13">
        <f t="shared" ref="N6:P6" si="1">SUM(N7:N18)</f>
        <v>6127</v>
      </c>
      <c r="O6" s="14">
        <f t="shared" si="1"/>
        <v>1041</v>
      </c>
      <c r="P6" s="14">
        <f t="shared" si="1"/>
        <v>5086</v>
      </c>
      <c r="Q6" s="15"/>
      <c r="R6" s="17" t="s">
        <v>10</v>
      </c>
      <c r="AB6" s="18"/>
    </row>
    <row r="7" spans="1:32" ht="18.75" customHeight="1" x14ac:dyDescent="0.15">
      <c r="A7" s="19" t="s">
        <v>11</v>
      </c>
      <c r="B7" s="20">
        <v>517</v>
      </c>
      <c r="C7" s="21">
        <v>94</v>
      </c>
      <c r="D7" s="22">
        <f t="shared" ref="D7:D18" si="2">B7-C7</f>
        <v>423</v>
      </c>
      <c r="E7" s="20">
        <v>560</v>
      </c>
      <c r="F7" s="21">
        <v>122</v>
      </c>
      <c r="G7" s="22">
        <f t="shared" ref="G7:G18" si="3">E7-F7</f>
        <v>438</v>
      </c>
      <c r="H7" s="20">
        <v>550</v>
      </c>
      <c r="I7" s="21">
        <v>97</v>
      </c>
      <c r="J7" s="21">
        <f t="shared" ref="J7:J18" si="4">H7-I7</f>
        <v>453</v>
      </c>
      <c r="K7" s="20">
        <v>541</v>
      </c>
      <c r="L7" s="21">
        <v>114</v>
      </c>
      <c r="M7" s="21">
        <f t="shared" ref="M7:M18" si="5">K7-L7</f>
        <v>427</v>
      </c>
      <c r="N7" s="20">
        <v>526</v>
      </c>
      <c r="O7" s="21">
        <v>110</v>
      </c>
      <c r="P7" s="21">
        <f t="shared" ref="P7:P18" si="6">N7-O7</f>
        <v>416</v>
      </c>
      <c r="Q7" s="21"/>
      <c r="R7" s="23" t="s">
        <v>12</v>
      </c>
    </row>
    <row r="8" spans="1:32" ht="18.75" customHeight="1" x14ac:dyDescent="0.15">
      <c r="A8" s="19" t="s">
        <v>13</v>
      </c>
      <c r="B8" s="20">
        <v>496</v>
      </c>
      <c r="C8" s="21">
        <v>91</v>
      </c>
      <c r="D8" s="22">
        <f t="shared" si="2"/>
        <v>405</v>
      </c>
      <c r="E8" s="20">
        <v>524</v>
      </c>
      <c r="F8" s="21">
        <v>121</v>
      </c>
      <c r="G8" s="22">
        <f t="shared" si="3"/>
        <v>403</v>
      </c>
      <c r="H8" s="20">
        <v>511</v>
      </c>
      <c r="I8" s="21">
        <v>104</v>
      </c>
      <c r="J8" s="21">
        <f t="shared" si="4"/>
        <v>407</v>
      </c>
      <c r="K8" s="20">
        <v>535</v>
      </c>
      <c r="L8" s="21">
        <v>98</v>
      </c>
      <c r="M8" s="21">
        <f t="shared" si="5"/>
        <v>437</v>
      </c>
      <c r="N8" s="20">
        <v>449</v>
      </c>
      <c r="O8" s="21">
        <v>78</v>
      </c>
      <c r="P8" s="21">
        <f t="shared" si="6"/>
        <v>371</v>
      </c>
      <c r="Q8" s="21"/>
      <c r="R8" s="23" t="s">
        <v>14</v>
      </c>
    </row>
    <row r="9" spans="1:32" ht="18.75" customHeight="1" x14ac:dyDescent="0.15">
      <c r="A9" s="19" t="s">
        <v>15</v>
      </c>
      <c r="B9" s="20">
        <v>538</v>
      </c>
      <c r="C9" s="21">
        <v>107</v>
      </c>
      <c r="D9" s="22">
        <f t="shared" si="2"/>
        <v>431</v>
      </c>
      <c r="E9" s="20">
        <v>582</v>
      </c>
      <c r="F9" s="21">
        <v>129</v>
      </c>
      <c r="G9" s="22">
        <f t="shared" si="3"/>
        <v>453</v>
      </c>
      <c r="H9" s="20">
        <v>598</v>
      </c>
      <c r="I9" s="21">
        <v>134</v>
      </c>
      <c r="J9" s="21">
        <f t="shared" si="4"/>
        <v>464</v>
      </c>
      <c r="K9" s="20">
        <v>577</v>
      </c>
      <c r="L9" s="21">
        <v>117</v>
      </c>
      <c r="M9" s="21">
        <f t="shared" si="5"/>
        <v>460</v>
      </c>
      <c r="N9" s="20">
        <v>539</v>
      </c>
      <c r="O9" s="21">
        <v>101</v>
      </c>
      <c r="P9" s="21">
        <f t="shared" si="6"/>
        <v>438</v>
      </c>
      <c r="Q9" s="21"/>
      <c r="R9" s="23" t="s">
        <v>16</v>
      </c>
    </row>
    <row r="10" spans="1:32" ht="18.75" customHeight="1" x14ac:dyDescent="0.15">
      <c r="A10" s="19" t="s">
        <v>17</v>
      </c>
      <c r="B10" s="20">
        <v>599</v>
      </c>
      <c r="C10" s="21">
        <v>114</v>
      </c>
      <c r="D10" s="22">
        <f t="shared" si="2"/>
        <v>485</v>
      </c>
      <c r="E10" s="20">
        <v>628</v>
      </c>
      <c r="F10" s="21">
        <v>97</v>
      </c>
      <c r="G10" s="22">
        <f t="shared" si="3"/>
        <v>531</v>
      </c>
      <c r="H10" s="20">
        <v>573</v>
      </c>
      <c r="I10" s="21">
        <v>109</v>
      </c>
      <c r="J10" s="21">
        <f t="shared" si="4"/>
        <v>464</v>
      </c>
      <c r="K10" s="20">
        <v>521</v>
      </c>
      <c r="L10" s="21">
        <v>99</v>
      </c>
      <c r="M10" s="21">
        <f t="shared" si="5"/>
        <v>422</v>
      </c>
      <c r="N10" s="20">
        <v>477</v>
      </c>
      <c r="O10" s="21">
        <v>87</v>
      </c>
      <c r="P10" s="21">
        <f t="shared" si="6"/>
        <v>390</v>
      </c>
      <c r="Q10" s="21"/>
      <c r="R10" s="23" t="s">
        <v>18</v>
      </c>
    </row>
    <row r="11" spans="1:32" ht="18.75" customHeight="1" x14ac:dyDescent="0.15">
      <c r="A11" s="19" t="s">
        <v>20</v>
      </c>
      <c r="B11" s="20">
        <v>635</v>
      </c>
      <c r="C11" s="21">
        <v>87</v>
      </c>
      <c r="D11" s="22">
        <f t="shared" si="2"/>
        <v>548</v>
      </c>
      <c r="E11" s="20">
        <v>585</v>
      </c>
      <c r="F11" s="21">
        <v>104</v>
      </c>
      <c r="G11" s="22">
        <f t="shared" si="3"/>
        <v>481</v>
      </c>
      <c r="H11" s="20">
        <v>582</v>
      </c>
      <c r="I11" s="21">
        <v>94</v>
      </c>
      <c r="J11" s="21">
        <f t="shared" si="4"/>
        <v>488</v>
      </c>
      <c r="K11" s="20">
        <v>608</v>
      </c>
      <c r="L11" s="21">
        <v>113</v>
      </c>
      <c r="M11" s="21">
        <f t="shared" si="5"/>
        <v>495</v>
      </c>
      <c r="N11" s="20">
        <v>604</v>
      </c>
      <c r="O11" s="21">
        <v>89</v>
      </c>
      <c r="P11" s="21">
        <f t="shared" si="6"/>
        <v>515</v>
      </c>
      <c r="Q11" s="21"/>
      <c r="R11" s="23" t="s">
        <v>21</v>
      </c>
    </row>
    <row r="12" spans="1:32" ht="18.75" customHeight="1" x14ac:dyDescent="0.15">
      <c r="A12" s="19" t="s">
        <v>23</v>
      </c>
      <c r="B12" s="20">
        <v>601</v>
      </c>
      <c r="C12" s="21">
        <v>88</v>
      </c>
      <c r="D12" s="22">
        <f t="shared" si="2"/>
        <v>513</v>
      </c>
      <c r="E12" s="20">
        <v>532</v>
      </c>
      <c r="F12" s="21">
        <v>98</v>
      </c>
      <c r="G12" s="22">
        <f t="shared" si="3"/>
        <v>434</v>
      </c>
      <c r="H12" s="20">
        <v>581</v>
      </c>
      <c r="I12" s="21">
        <v>103</v>
      </c>
      <c r="J12" s="21">
        <f t="shared" si="4"/>
        <v>478</v>
      </c>
      <c r="K12" s="20">
        <v>489</v>
      </c>
      <c r="L12" s="21">
        <v>89</v>
      </c>
      <c r="M12" s="21">
        <f t="shared" si="5"/>
        <v>400</v>
      </c>
      <c r="N12" s="20">
        <v>499</v>
      </c>
      <c r="O12" s="21">
        <v>80</v>
      </c>
      <c r="P12" s="21">
        <f t="shared" si="6"/>
        <v>419</v>
      </c>
      <c r="Q12" s="21"/>
      <c r="R12" s="23" t="s">
        <v>24</v>
      </c>
    </row>
    <row r="13" spans="1:32" ht="18.75" customHeight="1" x14ac:dyDescent="0.15">
      <c r="A13" s="19" t="s">
        <v>26</v>
      </c>
      <c r="B13" s="20">
        <v>574</v>
      </c>
      <c r="C13" s="21">
        <v>73</v>
      </c>
      <c r="D13" s="22">
        <f t="shared" si="2"/>
        <v>501</v>
      </c>
      <c r="E13" s="20">
        <v>518</v>
      </c>
      <c r="F13" s="21">
        <v>83</v>
      </c>
      <c r="G13" s="22">
        <f t="shared" si="3"/>
        <v>435</v>
      </c>
      <c r="H13" s="20">
        <v>547</v>
      </c>
      <c r="I13" s="21">
        <v>105</v>
      </c>
      <c r="J13" s="21">
        <f t="shared" si="4"/>
        <v>442</v>
      </c>
      <c r="K13" s="20">
        <v>528</v>
      </c>
      <c r="L13" s="21">
        <v>100</v>
      </c>
      <c r="M13" s="21">
        <f t="shared" si="5"/>
        <v>428</v>
      </c>
      <c r="N13" s="20">
        <v>491</v>
      </c>
      <c r="O13" s="21">
        <v>98</v>
      </c>
      <c r="P13" s="21">
        <f t="shared" si="6"/>
        <v>393</v>
      </c>
      <c r="Q13" s="21"/>
      <c r="R13" s="23" t="s">
        <v>27</v>
      </c>
    </row>
    <row r="14" spans="1:32" ht="18.75" customHeight="1" x14ac:dyDescent="0.15">
      <c r="A14" s="19" t="s">
        <v>29</v>
      </c>
      <c r="B14" s="20">
        <v>585</v>
      </c>
      <c r="C14" s="21">
        <v>91</v>
      </c>
      <c r="D14" s="22">
        <f t="shared" si="2"/>
        <v>494</v>
      </c>
      <c r="E14" s="20">
        <v>565</v>
      </c>
      <c r="F14" s="21">
        <v>109</v>
      </c>
      <c r="G14" s="22">
        <f t="shared" si="3"/>
        <v>456</v>
      </c>
      <c r="H14" s="20">
        <v>623</v>
      </c>
      <c r="I14" s="21">
        <v>88</v>
      </c>
      <c r="J14" s="21">
        <f t="shared" si="4"/>
        <v>535</v>
      </c>
      <c r="K14" s="20">
        <v>574</v>
      </c>
      <c r="L14" s="21">
        <v>91</v>
      </c>
      <c r="M14" s="21">
        <f t="shared" si="5"/>
        <v>483</v>
      </c>
      <c r="N14" s="20">
        <v>511</v>
      </c>
      <c r="O14" s="21">
        <v>85</v>
      </c>
      <c r="P14" s="21">
        <f t="shared" si="6"/>
        <v>426</v>
      </c>
      <c r="Q14" s="21"/>
      <c r="R14" s="23" t="s">
        <v>30</v>
      </c>
    </row>
    <row r="15" spans="1:32" ht="18.75" customHeight="1" x14ac:dyDescent="0.15">
      <c r="A15" s="19" t="s">
        <v>31</v>
      </c>
      <c r="B15" s="20">
        <v>647</v>
      </c>
      <c r="C15" s="21">
        <v>92</v>
      </c>
      <c r="D15" s="22">
        <f t="shared" si="2"/>
        <v>555</v>
      </c>
      <c r="E15" s="20">
        <v>543</v>
      </c>
      <c r="F15" s="21">
        <v>94</v>
      </c>
      <c r="G15" s="22">
        <f t="shared" si="3"/>
        <v>449</v>
      </c>
      <c r="H15" s="20">
        <v>559</v>
      </c>
      <c r="I15" s="21">
        <v>90</v>
      </c>
      <c r="J15" s="21">
        <f t="shared" si="4"/>
        <v>469</v>
      </c>
      <c r="K15" s="20">
        <v>554</v>
      </c>
      <c r="L15" s="21">
        <v>93</v>
      </c>
      <c r="M15" s="21">
        <f t="shared" si="5"/>
        <v>461</v>
      </c>
      <c r="N15" s="20">
        <v>513</v>
      </c>
      <c r="O15" s="21">
        <v>78</v>
      </c>
      <c r="P15" s="21">
        <f t="shared" si="6"/>
        <v>435</v>
      </c>
      <c r="Q15" s="21"/>
      <c r="R15" s="23" t="s">
        <v>32</v>
      </c>
    </row>
    <row r="16" spans="1:32" ht="18.75" customHeight="1" x14ac:dyDescent="0.15">
      <c r="A16" s="19" t="s">
        <v>0</v>
      </c>
      <c r="B16" s="20">
        <v>628</v>
      </c>
      <c r="C16" s="21">
        <v>97</v>
      </c>
      <c r="D16" s="22">
        <f t="shared" si="2"/>
        <v>531</v>
      </c>
      <c r="E16" s="20">
        <v>601</v>
      </c>
      <c r="F16" s="21">
        <v>80</v>
      </c>
      <c r="G16" s="22">
        <f t="shared" si="3"/>
        <v>521</v>
      </c>
      <c r="H16" s="20">
        <v>570</v>
      </c>
      <c r="I16" s="21">
        <v>106</v>
      </c>
      <c r="J16" s="21">
        <f t="shared" si="4"/>
        <v>464</v>
      </c>
      <c r="K16" s="20">
        <v>577</v>
      </c>
      <c r="L16" s="21">
        <v>100</v>
      </c>
      <c r="M16" s="21">
        <f t="shared" si="5"/>
        <v>477</v>
      </c>
      <c r="N16" s="20">
        <v>525</v>
      </c>
      <c r="O16" s="21">
        <v>91</v>
      </c>
      <c r="P16" s="21">
        <f t="shared" si="6"/>
        <v>434</v>
      </c>
      <c r="Q16" s="21"/>
      <c r="R16" s="23" t="s">
        <v>34</v>
      </c>
      <c r="AD16" s="1"/>
      <c r="AE16" s="1"/>
      <c r="AF16" s="1"/>
    </row>
    <row r="17" spans="1:33" ht="18.75" customHeight="1" x14ac:dyDescent="0.15">
      <c r="A17" s="19" t="s">
        <v>36</v>
      </c>
      <c r="B17" s="20">
        <v>626</v>
      </c>
      <c r="C17" s="21">
        <v>98</v>
      </c>
      <c r="D17" s="22">
        <f t="shared" si="2"/>
        <v>528</v>
      </c>
      <c r="E17" s="20">
        <v>553</v>
      </c>
      <c r="F17" s="21">
        <v>88</v>
      </c>
      <c r="G17" s="22">
        <f t="shared" si="3"/>
        <v>465</v>
      </c>
      <c r="H17" s="20">
        <v>520</v>
      </c>
      <c r="I17" s="21">
        <v>94</v>
      </c>
      <c r="J17" s="21">
        <f t="shared" si="4"/>
        <v>426</v>
      </c>
      <c r="K17" s="20">
        <v>520</v>
      </c>
      <c r="L17" s="21">
        <v>90</v>
      </c>
      <c r="M17" s="21">
        <f t="shared" si="5"/>
        <v>430</v>
      </c>
      <c r="N17" s="20">
        <v>474</v>
      </c>
      <c r="O17" s="21">
        <v>86</v>
      </c>
      <c r="P17" s="21">
        <f t="shared" si="6"/>
        <v>388</v>
      </c>
      <c r="Q17" s="21"/>
      <c r="R17" s="23" t="s">
        <v>37</v>
      </c>
    </row>
    <row r="18" spans="1:33" ht="18.75" customHeight="1" x14ac:dyDescent="0.15">
      <c r="A18" s="73" t="s">
        <v>39</v>
      </c>
      <c r="B18" s="29">
        <v>540</v>
      </c>
      <c r="C18" s="30">
        <v>98</v>
      </c>
      <c r="D18" s="31">
        <f t="shared" si="2"/>
        <v>442</v>
      </c>
      <c r="E18" s="29">
        <v>565</v>
      </c>
      <c r="F18" s="30">
        <v>101</v>
      </c>
      <c r="G18" s="31">
        <f t="shared" si="3"/>
        <v>464</v>
      </c>
      <c r="H18" s="29">
        <v>509</v>
      </c>
      <c r="I18" s="30">
        <v>117</v>
      </c>
      <c r="J18" s="30">
        <f t="shared" si="4"/>
        <v>392</v>
      </c>
      <c r="K18" s="29">
        <v>540</v>
      </c>
      <c r="L18" s="30">
        <v>112</v>
      </c>
      <c r="M18" s="30">
        <f t="shared" si="5"/>
        <v>428</v>
      </c>
      <c r="N18" s="29">
        <v>519</v>
      </c>
      <c r="O18" s="30">
        <v>58</v>
      </c>
      <c r="P18" s="30">
        <f t="shared" si="6"/>
        <v>461</v>
      </c>
      <c r="Q18" s="30"/>
      <c r="R18" s="32" t="s">
        <v>40</v>
      </c>
      <c r="AD18" s="1"/>
      <c r="AE18" s="1"/>
      <c r="AF18" s="1"/>
    </row>
    <row r="19" spans="1:33" ht="21.75" customHeight="1" x14ac:dyDescent="0.15">
      <c r="A19" s="61" t="s">
        <v>51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70"/>
      <c r="O19" s="70"/>
      <c r="P19" s="70"/>
      <c r="Q19" s="21"/>
      <c r="R19" s="1"/>
      <c r="S19" s="71" t="s">
        <v>54</v>
      </c>
      <c r="T19" s="71"/>
      <c r="U19" s="71"/>
      <c r="V19" s="71"/>
      <c r="W19" s="71"/>
      <c r="X19" s="71"/>
      <c r="Y19" s="71"/>
      <c r="Z19" s="71"/>
      <c r="AA19" s="71"/>
      <c r="AD19" s="1"/>
      <c r="AE19" s="1"/>
      <c r="AF19" s="1"/>
    </row>
    <row r="20" spans="1:33" ht="21.75" customHeight="1" x14ac:dyDescent="0.15">
      <c r="A20" s="61" t="s">
        <v>52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70"/>
      <c r="O20" s="70"/>
      <c r="P20" s="70"/>
      <c r="Q20" s="21"/>
      <c r="R20" s="71" t="s">
        <v>48</v>
      </c>
      <c r="S20" s="74"/>
      <c r="T20" s="74"/>
      <c r="U20" s="74"/>
      <c r="V20" s="74"/>
      <c r="W20" s="74"/>
      <c r="X20" s="74"/>
      <c r="Y20" s="74"/>
      <c r="Z20" s="74"/>
      <c r="AA20" s="74"/>
      <c r="AD20" s="1"/>
      <c r="AE20" s="1"/>
      <c r="AF20" s="1"/>
    </row>
    <row r="21" spans="1:33" s="37" customFormat="1" ht="14.25" customHeight="1" x14ac:dyDescent="0.15">
      <c r="A21" s="72" t="s">
        <v>53</v>
      </c>
      <c r="B21" s="35"/>
      <c r="C21" s="35"/>
      <c r="D21" s="35"/>
      <c r="E21" s="35"/>
      <c r="F21" s="35"/>
      <c r="G21" s="33"/>
      <c r="H21" s="33"/>
      <c r="I21" s="33"/>
      <c r="J21" s="33"/>
      <c r="K21" s="33"/>
      <c r="L21" s="33"/>
      <c r="M21" s="33"/>
      <c r="N21" s="33"/>
      <c r="O21" s="35"/>
      <c r="P21" s="35"/>
      <c r="Q21" s="35"/>
      <c r="R21" s="71" t="s">
        <v>49</v>
      </c>
      <c r="AC21" s="1"/>
    </row>
    <row r="22" spans="1:33" ht="21" x14ac:dyDescent="0.15">
      <c r="A22" s="34" t="s">
        <v>43</v>
      </c>
      <c r="R22" s="36" t="s">
        <v>50</v>
      </c>
      <c r="S22" s="40"/>
      <c r="T22" s="40"/>
      <c r="U22" s="40"/>
      <c r="V22" s="40"/>
      <c r="W22" s="40"/>
      <c r="X22" s="40"/>
      <c r="Y22" s="40"/>
      <c r="Z22" s="40"/>
      <c r="AA22" s="40"/>
      <c r="AB22" s="40"/>
      <c r="AD22" s="1"/>
      <c r="AE22" s="1"/>
      <c r="AF22" s="1"/>
    </row>
    <row r="23" spans="1:33" x14ac:dyDescent="0.5"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1"/>
      <c r="AD23" s="1"/>
      <c r="AE23" s="1"/>
      <c r="AF23" s="1"/>
    </row>
    <row r="24" spans="1:33" x14ac:dyDescent="0.5"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1"/>
    </row>
    <row r="25" spans="1:33" x14ac:dyDescent="0.5"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1"/>
    </row>
    <row r="26" spans="1:33" x14ac:dyDescent="0.5"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1"/>
    </row>
    <row r="27" spans="1:33" x14ac:dyDescent="0.5"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</row>
    <row r="29" spans="1:33" ht="12" x14ac:dyDescent="0.15">
      <c r="R29" s="1"/>
    </row>
    <row r="30" spans="1:33" ht="12" x14ac:dyDescent="0.15">
      <c r="A30" s="43"/>
      <c r="R30" s="1"/>
      <c r="AD30" s="3"/>
      <c r="AG30" s="2"/>
    </row>
    <row r="31" spans="1:33" ht="12" x14ac:dyDescent="0.15">
      <c r="R31" s="1"/>
      <c r="AC31" s="43"/>
      <c r="AD31" s="24" t="s">
        <v>8</v>
      </c>
      <c r="AG31" s="2"/>
    </row>
    <row r="32" spans="1:33" ht="12" x14ac:dyDescent="0.15">
      <c r="A32" s="44"/>
      <c r="R32" s="1"/>
      <c r="AD32" s="3"/>
      <c r="AG32" s="2"/>
    </row>
    <row r="33" spans="1:44" s="44" customFormat="1" ht="12" x14ac:dyDescent="0.15">
      <c r="A33" s="45"/>
      <c r="AD33" s="3"/>
      <c r="AE33" s="2"/>
      <c r="AF33" s="2"/>
      <c r="AG33" s="2"/>
      <c r="AH33" s="1"/>
      <c r="AI33" s="1"/>
      <c r="AJ33" s="1"/>
      <c r="AK33" s="2"/>
      <c r="AL33" s="24" t="s">
        <v>7</v>
      </c>
      <c r="AM33" s="2"/>
      <c r="AN33" s="2"/>
      <c r="AO33" s="2"/>
      <c r="AP33" s="1"/>
      <c r="AQ33" s="1"/>
      <c r="AR33" s="1"/>
    </row>
    <row r="34" spans="1:44" ht="12" x14ac:dyDescent="0.15">
      <c r="A34" s="45"/>
      <c r="R34" s="1"/>
      <c r="AD34" s="25"/>
      <c r="AE34" s="25">
        <v>2015</v>
      </c>
      <c r="AF34" s="25">
        <v>2016</v>
      </c>
      <c r="AG34" s="26">
        <v>2017</v>
      </c>
      <c r="AH34" s="25">
        <v>2018</v>
      </c>
      <c r="AI34" s="26">
        <v>2019</v>
      </c>
      <c r="AJ34" s="44"/>
      <c r="AK34" s="2"/>
      <c r="AL34" s="25"/>
      <c r="AM34" s="25">
        <v>2015</v>
      </c>
      <c r="AN34" s="25">
        <v>2016</v>
      </c>
      <c r="AO34" s="26">
        <v>2017</v>
      </c>
      <c r="AP34" s="25">
        <v>2018</v>
      </c>
      <c r="AQ34" s="26">
        <v>2019</v>
      </c>
      <c r="AR34" s="44"/>
    </row>
    <row r="35" spans="1:44" ht="15" x14ac:dyDescent="0.15">
      <c r="A35" s="45"/>
      <c r="R35" s="1"/>
      <c r="AD35" s="27" t="s">
        <v>19</v>
      </c>
      <c r="AE35" s="28">
        <v>94</v>
      </c>
      <c r="AF35" s="25">
        <f>F7</f>
        <v>122</v>
      </c>
      <c r="AG35" s="25">
        <f>I7</f>
        <v>97</v>
      </c>
      <c r="AH35" s="21">
        <f>L7</f>
        <v>114</v>
      </c>
      <c r="AI35" s="21">
        <f>O7</f>
        <v>110</v>
      </c>
      <c r="AK35" s="2"/>
      <c r="AL35" s="27" t="s">
        <v>19</v>
      </c>
      <c r="AM35" s="28">
        <f>B7</f>
        <v>517</v>
      </c>
      <c r="AN35" s="25">
        <f>E7</f>
        <v>560</v>
      </c>
      <c r="AO35" s="25">
        <f>H7</f>
        <v>550</v>
      </c>
      <c r="AP35" s="20">
        <f>K7</f>
        <v>541</v>
      </c>
      <c r="AQ35" s="20">
        <f>N7</f>
        <v>526</v>
      </c>
    </row>
    <row r="36" spans="1:44" s="42" customFormat="1" ht="18" customHeight="1" x14ac:dyDescent="0.15">
      <c r="A36" s="46"/>
      <c r="AD36" s="27" t="s">
        <v>22</v>
      </c>
      <c r="AE36" s="28">
        <v>91</v>
      </c>
      <c r="AF36" s="25">
        <f t="shared" ref="AF36:AF46" si="7">F8</f>
        <v>121</v>
      </c>
      <c r="AG36" s="25">
        <f t="shared" ref="AG36:AG46" si="8">I8</f>
        <v>104</v>
      </c>
      <c r="AH36" s="21">
        <f t="shared" ref="AH36:AH46" si="9">L8</f>
        <v>98</v>
      </c>
      <c r="AI36" s="21">
        <f t="shared" ref="AI36:AI46" si="10">O8</f>
        <v>78</v>
      </c>
      <c r="AJ36" s="1"/>
      <c r="AK36" s="2"/>
      <c r="AL36" s="27" t="s">
        <v>22</v>
      </c>
      <c r="AM36" s="28">
        <f t="shared" ref="AM36:AM46" si="11">B8</f>
        <v>496</v>
      </c>
      <c r="AN36" s="25">
        <f t="shared" ref="AN36:AN46" si="12">E8</f>
        <v>524</v>
      </c>
      <c r="AO36" s="25">
        <f t="shared" ref="AO36:AO46" si="13">H8</f>
        <v>511</v>
      </c>
      <c r="AP36" s="20">
        <f t="shared" ref="AP36:AP46" si="14">K8</f>
        <v>535</v>
      </c>
      <c r="AQ36" s="20">
        <f t="shared" ref="AQ36:AQ46" si="15">N8</f>
        <v>449</v>
      </c>
      <c r="AR36" s="1"/>
    </row>
    <row r="37" spans="1:44" s="42" customFormat="1" x14ac:dyDescent="0.5">
      <c r="A37" s="46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48"/>
      <c r="AD37" s="27" t="s">
        <v>25</v>
      </c>
      <c r="AE37" s="28">
        <v>107</v>
      </c>
      <c r="AF37" s="25">
        <f t="shared" si="7"/>
        <v>129</v>
      </c>
      <c r="AG37" s="25">
        <f t="shared" si="8"/>
        <v>134</v>
      </c>
      <c r="AH37" s="21">
        <f t="shared" si="9"/>
        <v>117</v>
      </c>
      <c r="AI37" s="21">
        <f t="shared" si="10"/>
        <v>101</v>
      </c>
      <c r="AK37" s="2"/>
      <c r="AL37" s="27" t="s">
        <v>25</v>
      </c>
      <c r="AM37" s="28">
        <f t="shared" si="11"/>
        <v>538</v>
      </c>
      <c r="AN37" s="25">
        <f t="shared" si="12"/>
        <v>582</v>
      </c>
      <c r="AO37" s="25">
        <f t="shared" si="13"/>
        <v>598</v>
      </c>
      <c r="AP37" s="20">
        <f t="shared" si="14"/>
        <v>577</v>
      </c>
      <c r="AQ37" s="20">
        <f t="shared" si="15"/>
        <v>539</v>
      </c>
    </row>
    <row r="38" spans="1:44" s="42" customFormat="1" x14ac:dyDescent="0.5">
      <c r="A38" s="46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8"/>
      <c r="AD38" s="27" t="s">
        <v>28</v>
      </c>
      <c r="AE38" s="28">
        <v>114</v>
      </c>
      <c r="AF38" s="25">
        <f t="shared" si="7"/>
        <v>97</v>
      </c>
      <c r="AG38" s="25">
        <f t="shared" si="8"/>
        <v>109</v>
      </c>
      <c r="AH38" s="21">
        <f t="shared" si="9"/>
        <v>99</v>
      </c>
      <c r="AI38" s="21">
        <f t="shared" si="10"/>
        <v>87</v>
      </c>
      <c r="AK38" s="2"/>
      <c r="AL38" s="27" t="s">
        <v>28</v>
      </c>
      <c r="AM38" s="28">
        <f t="shared" si="11"/>
        <v>599</v>
      </c>
      <c r="AN38" s="25">
        <f t="shared" si="12"/>
        <v>628</v>
      </c>
      <c r="AO38" s="25">
        <f t="shared" si="13"/>
        <v>573</v>
      </c>
      <c r="AP38" s="20">
        <f t="shared" si="14"/>
        <v>521</v>
      </c>
      <c r="AQ38" s="20">
        <f t="shared" si="15"/>
        <v>477</v>
      </c>
    </row>
    <row r="39" spans="1:44" s="42" customFormat="1" x14ac:dyDescent="0.5">
      <c r="A39" s="46"/>
      <c r="B39" s="51"/>
      <c r="C39" s="50"/>
      <c r="D39" s="50"/>
      <c r="E39" s="51"/>
      <c r="F39" s="50"/>
      <c r="G39" s="50"/>
      <c r="H39" s="51"/>
      <c r="I39" s="50"/>
      <c r="J39" s="50"/>
      <c r="K39" s="51"/>
      <c r="L39" s="50"/>
      <c r="M39" s="50"/>
      <c r="N39" s="51"/>
      <c r="O39" s="50"/>
      <c r="P39" s="50"/>
      <c r="Q39" s="51"/>
      <c r="R39" s="48"/>
      <c r="AD39" s="27" t="s">
        <v>20</v>
      </c>
      <c r="AE39" s="28">
        <v>87</v>
      </c>
      <c r="AF39" s="25">
        <f t="shared" si="7"/>
        <v>104</v>
      </c>
      <c r="AG39" s="25">
        <f t="shared" si="8"/>
        <v>94</v>
      </c>
      <c r="AH39" s="21">
        <f t="shared" si="9"/>
        <v>113</v>
      </c>
      <c r="AI39" s="21">
        <f t="shared" si="10"/>
        <v>89</v>
      </c>
      <c r="AK39" s="2"/>
      <c r="AL39" s="27" t="s">
        <v>20</v>
      </c>
      <c r="AM39" s="28">
        <f t="shared" si="11"/>
        <v>635</v>
      </c>
      <c r="AN39" s="25">
        <f t="shared" si="12"/>
        <v>585</v>
      </c>
      <c r="AO39" s="25">
        <f t="shared" si="13"/>
        <v>582</v>
      </c>
      <c r="AP39" s="20">
        <f t="shared" si="14"/>
        <v>608</v>
      </c>
      <c r="AQ39" s="20">
        <f t="shared" si="15"/>
        <v>604</v>
      </c>
    </row>
    <row r="40" spans="1:44" s="42" customFormat="1" x14ac:dyDescent="0.5">
      <c r="A40" s="46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48"/>
      <c r="AD40" s="27" t="s">
        <v>33</v>
      </c>
      <c r="AE40" s="28">
        <v>88</v>
      </c>
      <c r="AF40" s="25">
        <f t="shared" si="7"/>
        <v>98</v>
      </c>
      <c r="AG40" s="25">
        <f t="shared" si="8"/>
        <v>103</v>
      </c>
      <c r="AH40" s="21">
        <f t="shared" si="9"/>
        <v>89</v>
      </c>
      <c r="AI40" s="21">
        <f t="shared" si="10"/>
        <v>80</v>
      </c>
      <c r="AK40" s="2"/>
      <c r="AL40" s="27" t="s">
        <v>33</v>
      </c>
      <c r="AM40" s="28">
        <f t="shared" si="11"/>
        <v>601</v>
      </c>
      <c r="AN40" s="25">
        <f t="shared" si="12"/>
        <v>532</v>
      </c>
      <c r="AO40" s="25">
        <f t="shared" si="13"/>
        <v>581</v>
      </c>
      <c r="AP40" s="20">
        <f t="shared" si="14"/>
        <v>489</v>
      </c>
      <c r="AQ40" s="20">
        <f t="shared" si="15"/>
        <v>499</v>
      </c>
    </row>
    <row r="41" spans="1:44" s="42" customFormat="1" x14ac:dyDescent="0.5">
      <c r="A41" s="46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48"/>
      <c r="AD41" s="27" t="s">
        <v>35</v>
      </c>
      <c r="AE41" s="28">
        <v>73</v>
      </c>
      <c r="AF41" s="25">
        <f t="shared" si="7"/>
        <v>83</v>
      </c>
      <c r="AG41" s="25">
        <f t="shared" si="8"/>
        <v>105</v>
      </c>
      <c r="AH41" s="21">
        <f t="shared" si="9"/>
        <v>100</v>
      </c>
      <c r="AI41" s="21">
        <f t="shared" si="10"/>
        <v>98</v>
      </c>
      <c r="AK41" s="2"/>
      <c r="AL41" s="27" t="s">
        <v>35</v>
      </c>
      <c r="AM41" s="28">
        <f t="shared" si="11"/>
        <v>574</v>
      </c>
      <c r="AN41" s="25">
        <f t="shared" si="12"/>
        <v>518</v>
      </c>
      <c r="AO41" s="25">
        <f t="shared" si="13"/>
        <v>547</v>
      </c>
      <c r="AP41" s="20">
        <f t="shared" si="14"/>
        <v>528</v>
      </c>
      <c r="AQ41" s="20">
        <f t="shared" si="15"/>
        <v>491</v>
      </c>
    </row>
    <row r="42" spans="1:44" s="42" customFormat="1" x14ac:dyDescent="0.5">
      <c r="A42" s="46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48"/>
      <c r="AD42" s="27" t="s">
        <v>38</v>
      </c>
      <c r="AE42" s="28">
        <v>91</v>
      </c>
      <c r="AF42" s="25">
        <f t="shared" si="7"/>
        <v>109</v>
      </c>
      <c r="AG42" s="25">
        <f t="shared" si="8"/>
        <v>88</v>
      </c>
      <c r="AH42" s="21">
        <f t="shared" si="9"/>
        <v>91</v>
      </c>
      <c r="AI42" s="21">
        <f t="shared" si="10"/>
        <v>85</v>
      </c>
      <c r="AK42" s="2"/>
      <c r="AL42" s="27" t="s">
        <v>38</v>
      </c>
      <c r="AM42" s="28">
        <f t="shared" si="11"/>
        <v>585</v>
      </c>
      <c r="AN42" s="25">
        <f t="shared" si="12"/>
        <v>565</v>
      </c>
      <c r="AO42" s="25">
        <f t="shared" si="13"/>
        <v>623</v>
      </c>
      <c r="AP42" s="20">
        <f t="shared" si="14"/>
        <v>574</v>
      </c>
      <c r="AQ42" s="20">
        <f t="shared" si="15"/>
        <v>511</v>
      </c>
    </row>
    <row r="43" spans="1:44" s="42" customFormat="1" x14ac:dyDescent="0.5">
      <c r="A43" s="46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48"/>
      <c r="AD43" s="27" t="s">
        <v>41</v>
      </c>
      <c r="AE43" s="28">
        <v>92</v>
      </c>
      <c r="AF43" s="25">
        <f t="shared" si="7"/>
        <v>94</v>
      </c>
      <c r="AG43" s="25">
        <f t="shared" si="8"/>
        <v>90</v>
      </c>
      <c r="AH43" s="21">
        <f t="shared" si="9"/>
        <v>93</v>
      </c>
      <c r="AI43" s="21">
        <f t="shared" si="10"/>
        <v>78</v>
      </c>
      <c r="AK43" s="2"/>
      <c r="AL43" s="27" t="s">
        <v>41</v>
      </c>
      <c r="AM43" s="28">
        <f t="shared" si="11"/>
        <v>647</v>
      </c>
      <c r="AN43" s="25">
        <f t="shared" si="12"/>
        <v>543</v>
      </c>
      <c r="AO43" s="25">
        <f t="shared" si="13"/>
        <v>559</v>
      </c>
      <c r="AP43" s="20">
        <f t="shared" si="14"/>
        <v>554</v>
      </c>
      <c r="AQ43" s="20">
        <f t="shared" si="15"/>
        <v>513</v>
      </c>
    </row>
    <row r="44" spans="1:44" s="42" customFormat="1" x14ac:dyDescent="0.5">
      <c r="A44" s="46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48"/>
      <c r="AD44" s="27" t="s">
        <v>42</v>
      </c>
      <c r="AE44" s="28">
        <v>97</v>
      </c>
      <c r="AF44" s="25">
        <f t="shared" si="7"/>
        <v>80</v>
      </c>
      <c r="AG44" s="25">
        <f t="shared" si="8"/>
        <v>106</v>
      </c>
      <c r="AH44" s="21">
        <f t="shared" si="9"/>
        <v>100</v>
      </c>
      <c r="AI44" s="21">
        <f t="shared" si="10"/>
        <v>91</v>
      </c>
      <c r="AK44" s="2"/>
      <c r="AL44" s="27" t="s">
        <v>42</v>
      </c>
      <c r="AM44" s="28">
        <f t="shared" si="11"/>
        <v>628</v>
      </c>
      <c r="AN44" s="25">
        <f t="shared" si="12"/>
        <v>601</v>
      </c>
      <c r="AO44" s="25">
        <f t="shared" si="13"/>
        <v>570</v>
      </c>
      <c r="AP44" s="20">
        <f t="shared" si="14"/>
        <v>577</v>
      </c>
      <c r="AQ44" s="20">
        <f t="shared" si="15"/>
        <v>525</v>
      </c>
    </row>
    <row r="45" spans="1:44" s="42" customFormat="1" x14ac:dyDescent="0.5"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48"/>
      <c r="AD45" s="27" t="s">
        <v>44</v>
      </c>
      <c r="AE45" s="28">
        <v>98</v>
      </c>
      <c r="AF45" s="25">
        <f t="shared" si="7"/>
        <v>88</v>
      </c>
      <c r="AG45" s="25">
        <f t="shared" si="8"/>
        <v>94</v>
      </c>
      <c r="AH45" s="21">
        <f t="shared" si="9"/>
        <v>90</v>
      </c>
      <c r="AI45" s="21">
        <f t="shared" si="10"/>
        <v>86</v>
      </c>
      <c r="AK45" s="38"/>
      <c r="AL45" s="27" t="s">
        <v>44</v>
      </c>
      <c r="AM45" s="28">
        <f t="shared" si="11"/>
        <v>626</v>
      </c>
      <c r="AN45" s="25">
        <f t="shared" si="12"/>
        <v>553</v>
      </c>
      <c r="AO45" s="25">
        <f t="shared" si="13"/>
        <v>520</v>
      </c>
      <c r="AP45" s="20">
        <f t="shared" si="14"/>
        <v>520</v>
      </c>
      <c r="AQ45" s="20">
        <f t="shared" si="15"/>
        <v>474</v>
      </c>
    </row>
    <row r="46" spans="1:44" s="42" customFormat="1" x14ac:dyDescent="0.5"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48"/>
      <c r="AD46" s="27" t="s">
        <v>45</v>
      </c>
      <c r="AE46" s="28">
        <v>98</v>
      </c>
      <c r="AF46" s="25">
        <f t="shared" si="7"/>
        <v>101</v>
      </c>
      <c r="AG46" s="25">
        <f t="shared" si="8"/>
        <v>117</v>
      </c>
      <c r="AH46" s="21">
        <f t="shared" si="9"/>
        <v>112</v>
      </c>
      <c r="AI46" s="21">
        <f t="shared" si="10"/>
        <v>58</v>
      </c>
      <c r="AK46" s="2"/>
      <c r="AL46" s="27" t="s">
        <v>45</v>
      </c>
      <c r="AM46" s="28">
        <f t="shared" si="11"/>
        <v>540</v>
      </c>
      <c r="AN46" s="25">
        <f t="shared" si="12"/>
        <v>565</v>
      </c>
      <c r="AO46" s="25">
        <f t="shared" si="13"/>
        <v>509</v>
      </c>
      <c r="AP46" s="20">
        <f t="shared" si="14"/>
        <v>540</v>
      </c>
      <c r="AQ46" s="20">
        <f t="shared" si="15"/>
        <v>519</v>
      </c>
    </row>
    <row r="47" spans="1:44" s="42" customFormat="1" x14ac:dyDescent="0.5"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48"/>
      <c r="AD47" s="54"/>
      <c r="AE47" s="47"/>
      <c r="AF47" s="47"/>
      <c r="AG47" s="47"/>
      <c r="AK47" s="2"/>
      <c r="AL47" s="3"/>
      <c r="AM47" s="2"/>
      <c r="AN47" s="2"/>
      <c r="AO47" s="2"/>
      <c r="AP47" s="1"/>
    </row>
    <row r="48" spans="1:44" s="42" customFormat="1" x14ac:dyDescent="0.5"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48"/>
      <c r="AD48" s="47"/>
      <c r="AE48" s="47"/>
      <c r="AF48" s="47"/>
    </row>
    <row r="49" spans="2:32" s="42" customFormat="1" x14ac:dyDescent="0.5"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48"/>
      <c r="AD49" s="47"/>
      <c r="AE49" s="47"/>
      <c r="AF49" s="47"/>
    </row>
    <row r="50" spans="2:32" s="42" customFormat="1" x14ac:dyDescent="0.5"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48"/>
      <c r="AD50" s="47"/>
      <c r="AE50" s="47"/>
      <c r="AF50" s="47"/>
    </row>
    <row r="51" spans="2:32" s="42" customFormat="1" x14ac:dyDescent="0.5"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48"/>
      <c r="AD51" s="47"/>
      <c r="AE51" s="47"/>
      <c r="AF51" s="47"/>
    </row>
    <row r="52" spans="2:32" s="42" customFormat="1" x14ac:dyDescent="0.5"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48"/>
      <c r="AD52" s="47"/>
      <c r="AE52" s="47"/>
      <c r="AF52" s="47"/>
    </row>
    <row r="53" spans="2:32" s="42" customFormat="1" x14ac:dyDescent="0.5">
      <c r="R53" s="48"/>
      <c r="AD53" s="47"/>
      <c r="AE53" s="47"/>
      <c r="AF53" s="47"/>
    </row>
    <row r="54" spans="2:32" s="42" customFormat="1" x14ac:dyDescent="0.5">
      <c r="R54" s="48"/>
      <c r="AD54" s="47"/>
      <c r="AE54" s="47"/>
      <c r="AF54" s="47"/>
    </row>
    <row r="55" spans="2:32" s="42" customFormat="1" x14ac:dyDescent="0.5">
      <c r="R55" s="48"/>
      <c r="AD55" s="47"/>
      <c r="AE55" s="47"/>
      <c r="AF55" s="47"/>
    </row>
    <row r="56" spans="2:32" s="42" customFormat="1" x14ac:dyDescent="0.5">
      <c r="R56" s="48"/>
      <c r="AD56" s="47"/>
      <c r="AE56" s="47"/>
      <c r="AF56" s="47"/>
    </row>
    <row r="57" spans="2:32" s="42" customFormat="1" x14ac:dyDescent="0.5">
      <c r="R57" s="48"/>
      <c r="AD57" s="47"/>
      <c r="AE57" s="47"/>
      <c r="AF57" s="47"/>
    </row>
  </sheetData>
  <mergeCells count="9">
    <mergeCell ref="B37:Q37"/>
    <mergeCell ref="A1:R1"/>
    <mergeCell ref="A2:R2"/>
    <mergeCell ref="B3:D3"/>
    <mergeCell ref="E3:G3"/>
    <mergeCell ref="H3:J3"/>
    <mergeCell ref="K3:M3"/>
    <mergeCell ref="N3:P3"/>
    <mergeCell ref="R3:R5"/>
  </mergeCells>
  <pageMargins left="0.7" right="0.7" top="0.75" bottom="0.75" header="0.3" footer="0.3"/>
  <pageSetup scale="4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3.7</vt:lpstr>
      <vt:lpstr>'3.7'!Print_Area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2021-03-31T05:36:29Z</cp:lastPrinted>
  <dcterms:created xsi:type="dcterms:W3CDTF">2019-07-22T06:02:33Z</dcterms:created>
  <dcterms:modified xsi:type="dcterms:W3CDTF">2021-03-31T05:36:39Z</dcterms:modified>
</cp:coreProperties>
</file>