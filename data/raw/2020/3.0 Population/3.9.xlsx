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3. POPULATION\"/>
    </mc:Choice>
  </mc:AlternateContent>
  <bookViews>
    <workbookView xWindow="0" yWindow="0" windowWidth="28800" windowHeight="12435" tabRatio="769"/>
  </bookViews>
  <sheets>
    <sheet name="3.9" sheetId="8" r:id="rId1"/>
  </sheets>
  <externalReferences>
    <externalReference r:id="rId2"/>
    <externalReference r:id="rId3"/>
  </externalReferences>
  <definedNames>
    <definedName name="_xlnm.Print_Area" localSheetId="0">'3.9'!$A$1:$Q$36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8" l="1"/>
  <c r="M16" i="8"/>
  <c r="J16" i="8"/>
  <c r="I16" i="8"/>
  <c r="F16" i="8"/>
  <c r="E16" i="8"/>
  <c r="N15" i="8"/>
  <c r="M15" i="8"/>
  <c r="J15" i="8"/>
  <c r="I15" i="8"/>
  <c r="F15" i="8"/>
  <c r="E15" i="8"/>
  <c r="H12" i="8"/>
  <c r="L11" i="8"/>
  <c r="L16" i="8" s="1"/>
  <c r="H11" i="8"/>
  <c r="D11" i="8"/>
  <c r="L10" i="8"/>
  <c r="H10" i="8"/>
  <c r="H15" i="8" s="1"/>
  <c r="D10" i="8"/>
  <c r="D15" i="8" s="1"/>
  <c r="O9" i="8"/>
  <c r="N9" i="8"/>
  <c r="M9" i="8"/>
  <c r="M14" i="8" s="1"/>
  <c r="L9" i="8"/>
  <c r="K9" i="8"/>
  <c r="J9" i="8"/>
  <c r="I9" i="8"/>
  <c r="H9" i="8" s="1"/>
  <c r="G9" i="8"/>
  <c r="F9" i="8"/>
  <c r="E9" i="8"/>
  <c r="D9" i="8" s="1"/>
  <c r="L8" i="8"/>
  <c r="H8" i="8"/>
  <c r="L7" i="8"/>
  <c r="H7" i="8"/>
  <c r="H16" i="8" s="1"/>
  <c r="D7" i="8"/>
  <c r="L6" i="8"/>
  <c r="H6" i="8"/>
  <c r="D6" i="8"/>
  <c r="O5" i="8"/>
  <c r="N5" i="8"/>
  <c r="L5" i="8" s="1"/>
  <c r="M5" i="8"/>
  <c r="K5" i="8"/>
  <c r="J5" i="8"/>
  <c r="I5" i="8"/>
  <c r="G5" i="8"/>
  <c r="F5" i="8"/>
  <c r="E5" i="8"/>
  <c r="H14" i="8" l="1"/>
  <c r="H5" i="8"/>
  <c r="L15" i="8"/>
  <c r="I14" i="8"/>
  <c r="D5" i="8"/>
  <c r="D16" i="8"/>
  <c r="J14" i="8"/>
  <c r="N14" i="8"/>
  <c r="D14" i="8"/>
  <c r="L14" i="8"/>
  <c r="E14" i="8"/>
  <c r="F14" i="8"/>
</calcChain>
</file>

<file path=xl/sharedStrings.xml><?xml version="1.0" encoding="utf-8"?>
<sst xmlns="http://schemas.openxmlformats.org/spreadsheetml/2006/main" count="71" uniqueCount="32">
  <si>
    <t>Republic</t>
  </si>
  <si>
    <t>Male'</t>
  </si>
  <si>
    <t>Atolls</t>
  </si>
  <si>
    <t xml:space="preserve">މިނިސްޓްރީ އޮފް ހެލްތު </t>
  </si>
  <si>
    <t>Particulars</t>
  </si>
  <si>
    <t>clIBcfwt</t>
  </si>
  <si>
    <t>Abroad</t>
  </si>
  <si>
    <r>
      <t xml:space="preserve">     Live Births </t>
    </r>
    <r>
      <rPr>
        <b/>
        <vertAlign val="superscript"/>
        <sz val="10"/>
        <rFont val="Calibri"/>
        <family val="2"/>
      </rPr>
      <t>1_/</t>
    </r>
  </si>
  <si>
    <t xml:space="preserve"> 1- / cniduk ibitiriduriaivcnwfua   </t>
  </si>
  <si>
    <t xml:space="preserve">     Male</t>
  </si>
  <si>
    <t xml:space="preserve">cnehirif     </t>
  </si>
  <si>
    <t xml:space="preserve">     Female</t>
  </si>
  <si>
    <t xml:space="preserve">cnehcnwa     </t>
  </si>
  <si>
    <t>Infant Deaths</t>
  </si>
  <si>
    <t xml:space="preserve">cnidukwDukivurwm   </t>
  </si>
  <si>
    <t xml:space="preserve">  -uriaivcnwfua ) cTErWvurwm cnidukwDuk   </t>
  </si>
  <si>
    <t xml:space="preserve">( cSokctwbcsin cSwkwjcauk / 000 emcnok iruhirid   </t>
  </si>
  <si>
    <r>
      <t xml:space="preserve">Note: </t>
    </r>
    <r>
      <rPr>
        <i/>
        <vertAlign val="superscript"/>
        <sz val="9"/>
        <rFont val="Calibri"/>
        <family val="2"/>
      </rPr>
      <t xml:space="preserve"> 1_/</t>
    </r>
    <r>
      <rPr>
        <i/>
        <sz val="9"/>
        <rFont val="Calibri"/>
        <family val="2"/>
      </rPr>
      <t xml:space="preserve"> Total include Maldivians born abroad</t>
    </r>
  </si>
  <si>
    <t>ނޯޓް: ޖުމްލައިގެތެރޭގައި ރާއްޖެއިން ބޭރުގައި އުފަންވިކުދިން ހިމެނިފައި</t>
  </si>
  <si>
    <r>
      <rPr>
        <b/>
        <i/>
        <sz val="9"/>
        <rFont val="Calibri"/>
        <family val="2"/>
      </rPr>
      <t>Source:</t>
    </r>
    <r>
      <rPr>
        <i/>
        <sz val="9"/>
        <rFont val="Calibri"/>
        <family val="2"/>
      </rPr>
      <t xml:space="preserve"> Ministry of Health </t>
    </r>
  </si>
  <si>
    <r>
      <t>2018</t>
    </r>
    <r>
      <rPr>
        <b/>
        <vertAlign val="superscript"/>
        <sz val="9"/>
        <rFont val="Calibri"/>
        <family val="2"/>
      </rPr>
      <t>2_/</t>
    </r>
  </si>
  <si>
    <t>Not stated</t>
  </si>
  <si>
    <r>
      <t>2019</t>
    </r>
    <r>
      <rPr>
        <b/>
        <vertAlign val="superscript"/>
        <sz val="9"/>
        <rFont val="Calibri"/>
        <family val="2"/>
      </rPr>
      <t>3_/</t>
    </r>
  </si>
  <si>
    <t>-</t>
  </si>
  <si>
    <t>Infant Mortality Rate  (IMR)</t>
  </si>
  <si>
    <t>('000) Live Births</t>
  </si>
  <si>
    <t xml:space="preserve"> 2_/: 2018 data are revised</t>
  </si>
  <si>
    <r>
      <rPr>
        <sz val="1"/>
        <rFont val="Faruma"/>
      </rPr>
      <t>ނ</t>
    </r>
    <r>
      <rPr>
        <sz val="11"/>
        <rFont val="Faruma"/>
      </rPr>
      <t xml:space="preserve"> 2018 ވަނަ އަހަރުގެ މައުލޫމާތު އިސްލާޙުކުރެވިފައި</t>
    </r>
  </si>
  <si>
    <t>3_/: 2019 figures are tentative and is expected to change</t>
  </si>
  <si>
    <r>
      <rPr>
        <sz val="1"/>
        <rFont val="Faruma"/>
      </rPr>
      <t>ނ</t>
    </r>
    <r>
      <rPr>
        <sz val="11"/>
        <rFont val="Faruma"/>
      </rPr>
      <t xml:space="preserve"> 2019 ވަނަ އަހަރުގެ މައުލޫމާތު ރިވައިޒުކުރަމުންދާތީވެ މިއަދަދުތަކަށް ބަދަލުއައުން އެކަށީގެންވެއެވެ. </t>
    </r>
  </si>
  <si>
    <t>2019-2017 ,cnidukwDukivurwm iaWncnidukwDuk ibitirid uriaivcnwfua  : 3.9  ulwvWt</t>
  </si>
  <si>
    <t>Table 3.9 :  LIVE BIRTHS AND INFANT DEATHS, 2017 - 2019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</si>
</sst>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_-* #,##0.00\ _ރ_._-;_-* #,##0.00\ _ރ_.\-;_-* &quot;-&quot;??\ _ރ_._-;_-@_-"/>
    <numFmt numFmtId="166" formatCode="_(* #,##0_);_(* \(#,##0\);_(* &quot;-&quot;??_);_(@_)"/>
    <numFmt numFmtId="167" formatCode="_(* #,##0.0_);_(* \(#,##0.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sz val="9"/>
      <name val="Arial"/>
      <family val="2"/>
    </font>
    <font>
      <b/>
      <i/>
      <sz val="9"/>
      <name val="Calibri"/>
      <family val="2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_Randhoo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b/>
      <vertAlign val="superscript"/>
      <sz val="10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vertAlign val="superscript"/>
      <sz val="9"/>
      <name val="Calibri"/>
      <family val="2"/>
    </font>
    <font>
      <sz val="10"/>
      <name val="Comic Sans MS"/>
      <family val="4"/>
    </font>
    <font>
      <b/>
      <sz val="10"/>
      <name val="A_Faseyha"/>
    </font>
    <font>
      <sz val="10"/>
      <name val="A_Faseyha"/>
    </font>
    <font>
      <b/>
      <vertAlign val="superscript"/>
      <sz val="9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i/>
      <sz val="10"/>
      <name val="Calibri"/>
      <family val="2"/>
      <scheme val="minor"/>
    </font>
    <font>
      <sz val="11"/>
      <name val="Faruma"/>
    </font>
    <font>
      <sz val="1"/>
      <name val="Faruma"/>
    </font>
    <font>
      <i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0" borderId="0"/>
    <xf numFmtId="0" fontId="12" fillId="0" borderId="0"/>
    <xf numFmtId="165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" fillId="0" borderId="0"/>
    <xf numFmtId="164" fontId="2" fillId="0" borderId="0"/>
    <xf numFmtId="164" fontId="2" fillId="0" borderId="0"/>
    <xf numFmtId="0" fontId="1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164" fontId="2" fillId="2" borderId="0" xfId="11" applyFill="1"/>
    <xf numFmtId="164" fontId="14" fillId="2" borderId="0" xfId="11" applyFont="1" applyFill="1"/>
    <xf numFmtId="3" fontId="21" fillId="2" borderId="0" xfId="10" applyNumberFormat="1" applyFont="1" applyFill="1" applyBorder="1" applyAlignment="1">
      <alignment horizontal="right" vertical="center"/>
    </xf>
    <xf numFmtId="3" fontId="22" fillId="2" borderId="0" xfId="10" applyNumberFormat="1" applyFont="1" applyFill="1" applyBorder="1" applyAlignment="1">
      <alignment horizontal="right" vertical="center"/>
    </xf>
    <xf numFmtId="1" fontId="22" fillId="2" borderId="0" xfId="10" applyNumberFormat="1" applyFont="1" applyFill="1" applyBorder="1" applyAlignment="1">
      <alignment horizontal="right" vertical="center"/>
    </xf>
    <xf numFmtId="3" fontId="22" fillId="2" borderId="0" xfId="10" applyNumberFormat="1" applyFont="1" applyFill="1" applyBorder="1" applyAlignment="1" applyProtection="1">
      <alignment horizontal="right" vertical="center"/>
      <protection locked="0"/>
    </xf>
    <xf numFmtId="1" fontId="21" fillId="2" borderId="0" xfId="10" applyNumberFormat="1" applyFont="1" applyFill="1" applyBorder="1" applyAlignment="1">
      <alignment horizontal="right" vertical="center"/>
    </xf>
    <xf numFmtId="164" fontId="18" fillId="2" borderId="0" xfId="11" applyFont="1" applyFill="1" applyBorder="1" applyAlignment="1" applyProtection="1">
      <alignment horizontal="center" vertical="center"/>
    </xf>
    <xf numFmtId="164" fontId="5" fillId="2" borderId="0" xfId="11" applyFont="1" applyFill="1" applyAlignment="1">
      <alignment vertical="center"/>
    </xf>
    <xf numFmtId="164" fontId="18" fillId="2" borderId="1" xfId="11" applyFont="1" applyFill="1" applyBorder="1" applyAlignment="1">
      <alignment horizontal="right" vertical="top"/>
    </xf>
    <xf numFmtId="164" fontId="18" fillId="2" borderId="6" xfId="11" applyFont="1" applyFill="1" applyBorder="1" applyAlignment="1">
      <alignment horizontal="right" vertical="center"/>
    </xf>
    <xf numFmtId="164" fontId="18" fillId="2" borderId="7" xfId="11" applyFont="1" applyFill="1" applyBorder="1" applyAlignment="1">
      <alignment horizontal="right" vertical="center"/>
    </xf>
    <xf numFmtId="1" fontId="13" fillId="2" borderId="0" xfId="11" applyNumberFormat="1" applyFont="1" applyFill="1" applyAlignment="1" applyProtection="1">
      <alignment vertical="center"/>
    </xf>
    <xf numFmtId="3" fontId="18" fillId="2" borderId="0" xfId="0" applyNumberFormat="1" applyFont="1" applyFill="1" applyBorder="1" applyAlignment="1">
      <alignment horizontal="right" vertical="center"/>
    </xf>
    <xf numFmtId="3" fontId="13" fillId="2" borderId="0" xfId="0" applyNumberFormat="1" applyFont="1" applyFill="1" applyBorder="1" applyAlignment="1">
      <alignment horizontal="right" vertical="center"/>
    </xf>
    <xf numFmtId="1" fontId="5" fillId="2" borderId="0" xfId="11" applyNumberFormat="1" applyFont="1" applyFill="1" applyAlignment="1">
      <alignment horizontal="center" vertical="center"/>
    </xf>
    <xf numFmtId="1" fontId="14" fillId="2" borderId="0" xfId="11" applyNumberFormat="1" applyFont="1" applyFill="1" applyAlignment="1" applyProtection="1">
      <alignment horizontal="left" vertical="center"/>
    </xf>
    <xf numFmtId="166" fontId="19" fillId="2" borderId="0" xfId="5" applyNumberFormat="1" applyFont="1" applyFill="1" applyAlignment="1">
      <alignment horizontal="right" vertical="center"/>
    </xf>
    <xf numFmtId="166" fontId="14" fillId="2" borderId="0" xfId="5" applyNumberFormat="1" applyFont="1" applyFill="1" applyAlignment="1">
      <alignment horizontal="right" vertical="center"/>
    </xf>
    <xf numFmtId="1" fontId="13" fillId="2" borderId="0" xfId="11" applyNumberFormat="1" applyFont="1" applyFill="1" applyAlignment="1" applyProtection="1">
      <alignment horizontal="center" vertical="center"/>
    </xf>
    <xf numFmtId="3" fontId="18" fillId="2" borderId="0" xfId="10" applyNumberFormat="1" applyFont="1" applyFill="1" applyBorder="1" applyAlignment="1">
      <alignment horizontal="right" vertical="center"/>
    </xf>
    <xf numFmtId="3" fontId="13" fillId="2" borderId="0" xfId="10" applyNumberFormat="1" applyFont="1" applyFill="1" applyBorder="1" applyAlignment="1">
      <alignment horizontal="right" vertical="center"/>
    </xf>
    <xf numFmtId="3" fontId="19" fillId="2" borderId="0" xfId="10" applyNumberFormat="1" applyFont="1" applyFill="1" applyBorder="1" applyAlignment="1" applyProtection="1">
      <alignment horizontal="right" vertical="center"/>
      <protection locked="0"/>
    </xf>
    <xf numFmtId="3" fontId="14" fillId="2" borderId="0" xfId="10" applyNumberFormat="1" applyFont="1" applyFill="1" applyBorder="1" applyAlignment="1" applyProtection="1">
      <alignment horizontal="right" vertical="center"/>
      <protection locked="0"/>
    </xf>
    <xf numFmtId="1" fontId="18" fillId="2" borderId="0" xfId="10" applyNumberFormat="1" applyFont="1" applyFill="1" applyBorder="1" applyAlignment="1">
      <alignment horizontal="right" vertical="center"/>
    </xf>
    <xf numFmtId="1" fontId="13" fillId="2" borderId="0" xfId="10" applyNumberFormat="1" applyFont="1" applyFill="1" applyBorder="1" applyAlignment="1">
      <alignment horizontal="right" vertical="center"/>
    </xf>
    <xf numFmtId="1" fontId="13" fillId="2" borderId="0" xfId="11" applyNumberFormat="1" applyFont="1" applyFill="1" applyAlignment="1" applyProtection="1">
      <alignment horizontal="left" vertical="center"/>
    </xf>
    <xf numFmtId="49" fontId="13" fillId="2" borderId="0" xfId="10" applyNumberFormat="1" applyFont="1" applyFill="1" applyBorder="1" applyAlignment="1">
      <alignment horizontal="right" vertical="center"/>
    </xf>
    <xf numFmtId="1" fontId="19" fillId="2" borderId="0" xfId="10" applyNumberFormat="1" applyFont="1" applyFill="1" applyBorder="1" applyAlignment="1">
      <alignment horizontal="right" vertical="center"/>
    </xf>
    <xf numFmtId="49" fontId="14" fillId="2" borderId="0" xfId="10" applyNumberFormat="1" applyFont="1" applyFill="1" applyBorder="1" applyAlignment="1">
      <alignment horizontal="right" vertical="center"/>
    </xf>
    <xf numFmtId="1" fontId="16" fillId="2" borderId="0" xfId="10" applyNumberFormat="1" applyFont="1" applyFill="1" applyBorder="1" applyAlignment="1">
      <alignment horizontal="right" vertical="center"/>
    </xf>
    <xf numFmtId="1" fontId="14" fillId="2" borderId="1" xfId="11" applyNumberFormat="1" applyFont="1" applyFill="1" applyBorder="1" applyAlignment="1" applyProtection="1">
      <alignment horizontal="left" vertical="center"/>
    </xf>
    <xf numFmtId="1" fontId="19" fillId="2" borderId="1" xfId="10" applyNumberFormat="1" applyFont="1" applyFill="1" applyBorder="1" applyAlignment="1">
      <alignment horizontal="right" vertical="center"/>
    </xf>
    <xf numFmtId="49" fontId="14" fillId="2" borderId="1" xfId="10" applyNumberFormat="1" applyFont="1" applyFill="1" applyBorder="1" applyAlignment="1">
      <alignment horizontal="right" vertical="center"/>
    </xf>
    <xf numFmtId="164" fontId="10" fillId="2" borderId="0" xfId="10" applyFont="1" applyFill="1" applyAlignment="1" applyProtection="1">
      <alignment vertical="center"/>
    </xf>
    <xf numFmtId="164" fontId="11" fillId="2" borderId="0" xfId="10" applyFont="1" applyFill="1" applyAlignment="1" applyProtection="1">
      <alignment vertical="center"/>
      <protection hidden="1"/>
    </xf>
    <xf numFmtId="164" fontId="6" fillId="2" borderId="0" xfId="11" applyFont="1" applyFill="1" applyAlignment="1">
      <alignment vertical="center"/>
    </xf>
    <xf numFmtId="164" fontId="11" fillId="2" borderId="0" xfId="10" applyFont="1" applyFill="1" applyAlignment="1" applyProtection="1">
      <alignment horizontal="right" vertical="center"/>
      <protection hidden="1"/>
    </xf>
    <xf numFmtId="164" fontId="8" fillId="2" borderId="0" xfId="11" applyFont="1" applyFill="1" applyAlignment="1">
      <alignment vertical="center"/>
    </xf>
    <xf numFmtId="164" fontId="10" fillId="2" borderId="0" xfId="0" applyNumberFormat="1" applyFont="1" applyFill="1" applyAlignment="1" applyProtection="1">
      <alignment horizontal="left" vertical="center"/>
    </xf>
    <xf numFmtId="164" fontId="15" fillId="2" borderId="0" xfId="11" applyFont="1" applyFill="1" applyAlignment="1">
      <alignment vertical="center"/>
    </xf>
    <xf numFmtId="164" fontId="9" fillId="2" borderId="0" xfId="11" applyFont="1" applyFill="1"/>
    <xf numFmtId="0" fontId="12" fillId="2" borderId="0" xfId="12" applyFill="1"/>
    <xf numFmtId="1" fontId="6" fillId="2" borderId="0" xfId="11" applyNumberFormat="1" applyFont="1" applyFill="1" applyBorder="1" applyAlignment="1">
      <alignment horizontal="right" vertical="center"/>
    </xf>
    <xf numFmtId="164" fontId="2" fillId="2" borderId="0" xfId="11" applyFont="1" applyFill="1"/>
    <xf numFmtId="164" fontId="24" fillId="2" borderId="0" xfId="11" applyFont="1" applyFill="1"/>
    <xf numFmtId="1" fontId="25" fillId="2" borderId="0" xfId="10" applyNumberFormat="1" applyFont="1" applyFill="1" applyAlignment="1">
      <alignment horizontal="right" vertical="center"/>
    </xf>
    <xf numFmtId="1" fontId="26" fillId="2" borderId="0" xfId="10" applyNumberFormat="1" applyFont="1" applyFill="1" applyAlignment="1">
      <alignment horizontal="right" vertical="center"/>
    </xf>
    <xf numFmtId="1" fontId="26" fillId="2" borderId="1" xfId="10" applyNumberFormat="1" applyFont="1" applyFill="1" applyBorder="1" applyAlignment="1">
      <alignment horizontal="right" vertical="center"/>
    </xf>
    <xf numFmtId="164" fontId="3" fillId="2" borderId="0" xfId="11" applyFont="1" applyFill="1"/>
    <xf numFmtId="1" fontId="3" fillId="2" borderId="0" xfId="11" applyNumberFormat="1" applyFont="1" applyFill="1" applyAlignment="1">
      <alignment horizontal="center" vertical="center"/>
    </xf>
    <xf numFmtId="164" fontId="3" fillId="2" borderId="0" xfId="11" applyFont="1" applyFill="1" applyAlignment="1">
      <alignment vertical="center"/>
    </xf>
    <xf numFmtId="0" fontId="3" fillId="2" borderId="0" xfId="12" applyFont="1" applyFill="1"/>
    <xf numFmtId="1" fontId="3" fillId="2" borderId="0" xfId="11" applyNumberFormat="1" applyFont="1" applyFill="1"/>
    <xf numFmtId="1" fontId="3" fillId="2" borderId="0" xfId="12" applyNumberFormat="1" applyFont="1" applyFill="1"/>
    <xf numFmtId="164" fontId="18" fillId="2" borderId="4" xfId="11" applyFont="1" applyFill="1" applyBorder="1" applyAlignment="1" applyProtection="1">
      <alignment horizontal="center" vertical="center"/>
    </xf>
    <xf numFmtId="164" fontId="18" fillId="2" borderId="5" xfId="11" applyFont="1" applyFill="1" applyBorder="1" applyAlignment="1" applyProtection="1">
      <alignment horizontal="center" vertical="center"/>
    </xf>
    <xf numFmtId="164" fontId="18" fillId="2" borderId="4" xfId="11" applyFont="1" applyFill="1" applyBorder="1" applyAlignment="1" applyProtection="1">
      <alignment horizontal="center" vertical="center"/>
    </xf>
    <xf numFmtId="164" fontId="25" fillId="2" borderId="0" xfId="10" applyFont="1" applyFill="1" applyBorder="1" applyAlignment="1">
      <alignment horizontal="right" vertical="center"/>
    </xf>
    <xf numFmtId="164" fontId="25" fillId="2" borderId="1" xfId="10" applyFont="1" applyFill="1" applyBorder="1" applyAlignment="1">
      <alignment horizontal="right" vertical="center"/>
    </xf>
    <xf numFmtId="1" fontId="21" fillId="2" borderId="0" xfId="10" applyNumberFormat="1" applyFont="1" applyFill="1" applyBorder="1" applyAlignment="1">
      <alignment horizontal="center" vertical="center"/>
    </xf>
    <xf numFmtId="164" fontId="13" fillId="2" borderId="0" xfId="11" applyFont="1" applyFill="1" applyBorder="1" applyAlignment="1" applyProtection="1">
      <alignment horizontal="left" vertical="center"/>
    </xf>
    <xf numFmtId="164" fontId="13" fillId="2" borderId="1" xfId="11" applyFont="1" applyFill="1" applyBorder="1" applyAlignment="1" applyProtection="1">
      <alignment horizontal="left" vertical="center"/>
    </xf>
    <xf numFmtId="164" fontId="25" fillId="2" borderId="0" xfId="10" applyFont="1" applyFill="1" applyAlignment="1">
      <alignment horizontal="center" vertical="center" wrapText="1"/>
    </xf>
    <xf numFmtId="164" fontId="4" fillId="2" borderId="1" xfId="11" applyFont="1" applyFill="1" applyBorder="1" applyAlignment="1" applyProtection="1">
      <alignment horizontal="center" vertical="center"/>
    </xf>
    <xf numFmtId="3" fontId="28" fillId="2" borderId="2" xfId="0" applyNumberFormat="1" applyFont="1" applyFill="1" applyBorder="1" applyAlignment="1">
      <alignment horizontal="right" vertical="center"/>
    </xf>
    <xf numFmtId="3" fontId="28" fillId="2" borderId="0" xfId="0" applyNumberFormat="1" applyFont="1" applyFill="1" applyBorder="1" applyAlignment="1">
      <alignment horizontal="right" vertical="center"/>
    </xf>
    <xf numFmtId="3" fontId="29" fillId="2" borderId="2" xfId="10" applyNumberFormat="1" applyFont="1" applyFill="1" applyBorder="1" applyAlignment="1">
      <alignment horizontal="right" vertical="center"/>
    </xf>
    <xf numFmtId="3" fontId="29" fillId="2" borderId="0" xfId="10" applyNumberFormat="1" applyFont="1" applyFill="1" applyBorder="1" applyAlignment="1">
      <alignment horizontal="right" vertical="center"/>
    </xf>
    <xf numFmtId="167" fontId="16" fillId="2" borderId="2" xfId="15" applyNumberFormat="1" applyFont="1" applyFill="1" applyBorder="1" applyAlignment="1">
      <alignment horizontal="right" vertical="center"/>
    </xf>
    <xf numFmtId="167" fontId="16" fillId="2" borderId="0" xfId="15" applyNumberFormat="1" applyFont="1" applyFill="1" applyBorder="1" applyAlignment="1">
      <alignment horizontal="right" vertical="center"/>
    </xf>
    <xf numFmtId="167" fontId="16" fillId="2" borderId="8" xfId="15" applyNumberFormat="1" applyFont="1" applyFill="1" applyBorder="1" applyAlignment="1">
      <alignment horizontal="right" vertical="center"/>
    </xf>
    <xf numFmtId="1" fontId="30" fillId="2" borderId="0" xfId="15" applyNumberFormat="1" applyFont="1" applyFill="1" applyBorder="1" applyAlignment="1">
      <alignment horizontal="right" vertical="center"/>
    </xf>
    <xf numFmtId="3" fontId="30" fillId="2" borderId="2" xfId="15" applyNumberFormat="1" applyFont="1" applyFill="1" applyBorder="1" applyAlignment="1">
      <alignment horizontal="right" vertical="center"/>
    </xf>
    <xf numFmtId="3" fontId="30" fillId="2" borderId="0" xfId="15" applyNumberFormat="1" applyFont="1" applyFill="1" applyBorder="1" applyAlignment="1">
      <alignment horizontal="right" vertical="center"/>
    </xf>
    <xf numFmtId="3" fontId="28" fillId="2" borderId="2" xfId="10" applyNumberFormat="1" applyFont="1" applyFill="1" applyBorder="1" applyAlignment="1">
      <alignment horizontal="right" vertical="center"/>
    </xf>
    <xf numFmtId="3" fontId="28" fillId="2" borderId="0" xfId="10" applyNumberFormat="1" applyFont="1" applyFill="1" applyBorder="1" applyAlignment="1">
      <alignment horizontal="right" vertical="center"/>
    </xf>
    <xf numFmtId="3" fontId="29" fillId="2" borderId="2" xfId="10" applyNumberFormat="1" applyFont="1" applyFill="1" applyBorder="1" applyAlignment="1" applyProtection="1">
      <alignment horizontal="right" vertical="center"/>
      <protection locked="0"/>
    </xf>
    <xf numFmtId="3" fontId="29" fillId="2" borderId="0" xfId="10" applyNumberFormat="1" applyFont="1" applyFill="1" applyBorder="1" applyAlignment="1" applyProtection="1">
      <alignment horizontal="right" vertical="center"/>
      <protection locked="0"/>
    </xf>
    <xf numFmtId="166" fontId="30" fillId="2" borderId="0" xfId="15" applyNumberFormat="1" applyFont="1" applyFill="1" applyBorder="1" applyAlignment="1">
      <alignment horizontal="right" vertical="center"/>
    </xf>
    <xf numFmtId="1" fontId="30" fillId="2" borderId="8" xfId="15" applyNumberFormat="1" applyFont="1" applyFill="1" applyBorder="1" applyAlignment="1">
      <alignment horizontal="right" vertical="center"/>
    </xf>
    <xf numFmtId="1" fontId="28" fillId="2" borderId="2" xfId="10" applyNumberFormat="1" applyFont="1" applyFill="1" applyBorder="1" applyAlignment="1">
      <alignment horizontal="right" vertical="center"/>
    </xf>
    <xf numFmtId="1" fontId="28" fillId="2" borderId="0" xfId="10" applyNumberFormat="1" applyFont="1" applyFill="1" applyBorder="1" applyAlignment="1">
      <alignment horizontal="right" vertical="center"/>
    </xf>
    <xf numFmtId="1" fontId="29" fillId="2" borderId="2" xfId="10" applyNumberFormat="1" applyFont="1" applyFill="1" applyBorder="1" applyAlignment="1">
      <alignment horizontal="right" vertical="center"/>
    </xf>
    <xf numFmtId="1" fontId="29" fillId="2" borderId="0" xfId="10" applyNumberFormat="1" applyFont="1" applyFill="1" applyBorder="1" applyAlignment="1">
      <alignment horizontal="right" vertical="center"/>
    </xf>
    <xf numFmtId="1" fontId="29" fillId="2" borderId="3" xfId="10" applyNumberFormat="1" applyFont="1" applyFill="1" applyBorder="1" applyAlignment="1">
      <alignment horizontal="right" vertical="center"/>
    </xf>
    <xf numFmtId="1" fontId="29" fillId="2" borderId="1" xfId="10" applyNumberFormat="1" applyFont="1" applyFill="1" applyBorder="1" applyAlignment="1">
      <alignment horizontal="right" vertical="center"/>
    </xf>
    <xf numFmtId="167" fontId="16" fillId="2" borderId="9" xfId="15" applyNumberFormat="1" applyFont="1" applyFill="1" applyBorder="1" applyAlignment="1">
      <alignment horizontal="right" vertical="center"/>
    </xf>
    <xf numFmtId="167" fontId="16" fillId="2" borderId="1" xfId="15" applyNumberFormat="1" applyFont="1" applyFill="1" applyBorder="1" applyAlignment="1">
      <alignment horizontal="right" vertical="center"/>
    </xf>
    <xf numFmtId="164" fontId="6" fillId="2" borderId="0" xfId="11" applyFont="1" applyFill="1" applyBorder="1" applyAlignment="1">
      <alignment vertical="center"/>
    </xf>
    <xf numFmtId="1" fontId="31" fillId="2" borderId="0" xfId="10" applyNumberFormat="1" applyFont="1" applyFill="1" applyBorder="1" applyAlignment="1">
      <alignment vertical="center"/>
    </xf>
    <xf numFmtId="164" fontId="32" fillId="2" borderId="0" xfId="11" applyFont="1" applyFill="1" applyAlignment="1">
      <alignment horizontal="left" vertical="center" indent="4"/>
    </xf>
    <xf numFmtId="164" fontId="3" fillId="2" borderId="0" xfId="11" applyFont="1" applyFill="1" applyBorder="1"/>
    <xf numFmtId="164" fontId="33" fillId="3" borderId="0" xfId="10" applyFont="1" applyFill="1" applyBorder="1" applyAlignment="1" applyProtection="1">
      <alignment horizontal="right" vertical="center" indent="1"/>
      <protection hidden="1"/>
    </xf>
    <xf numFmtId="164" fontId="35" fillId="2" borderId="0" xfId="10" applyFont="1" applyFill="1" applyAlignment="1" applyProtection="1">
      <alignment horizontal="left" vertical="center" indent="4"/>
    </xf>
    <xf numFmtId="164" fontId="33" fillId="3" borderId="0" xfId="10" applyFont="1" applyFill="1" applyAlignment="1" applyProtection="1">
      <alignment horizontal="right" vertical="center"/>
      <protection hidden="1"/>
    </xf>
  </cellXfs>
  <cellStyles count="16">
    <cellStyle name="Comma" xfId="15" builtinId="3"/>
    <cellStyle name="Comma 2" xfId="14"/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" xfId="13"/>
    <cellStyle name="Normal 32" xfId="7"/>
    <cellStyle name="Normal 4" xfId="10"/>
    <cellStyle name="Normal 44" xfId="8"/>
    <cellStyle name="Normal 48" xfId="9"/>
    <cellStyle name="Normal 5" xfId="1"/>
    <cellStyle name="Normal_fig7" xfId="12"/>
    <cellStyle name="Normal_Stat Year Book 2007 tables" xfId="11"/>
  </cellStyles>
  <dxfs count="0"/>
  <tableStyles count="0" defaultTableStyle="TableStyleMedium2" defaultPivotStyle="PivotStyleLight16"/>
  <colors>
    <mruColors>
      <color rgb="FFCD9B69"/>
      <color rgb="FF996633"/>
      <color rgb="FFA85400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945117971364692E-2"/>
          <c:y val="0.14806549537179739"/>
          <c:w val="0.93207094822359482"/>
          <c:h val="0.72861901159152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'3.9'!$Z$22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996633"/>
            </a:solidFill>
          </c:spPr>
          <c:invertIfNegative val="1"/>
          <c:cat>
            <c:numRef>
              <c:f>'3.9'!$AD$21:$AP$21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 formatCode="General_)">
                  <c:v>2010</c:v>
                </c:pt>
                <c:pt idx="4" formatCode="General_)">
                  <c:v>2011</c:v>
                </c:pt>
                <c:pt idx="5">
                  <c:v>2012</c:v>
                </c:pt>
                <c:pt idx="6" formatCode="General_)">
                  <c:v>2013</c:v>
                </c:pt>
                <c:pt idx="7" formatCode="General_)">
                  <c:v>2014</c:v>
                </c:pt>
                <c:pt idx="8">
                  <c:v>2015</c:v>
                </c:pt>
                <c:pt idx="9" formatCode="General_)">
                  <c:v>2016</c:v>
                </c:pt>
                <c:pt idx="10" formatCode="General_)">
                  <c:v>2017</c:v>
                </c:pt>
                <c:pt idx="11" formatCode="General_)">
                  <c:v>2018</c:v>
                </c:pt>
                <c:pt idx="12" formatCode="General_)">
                  <c:v>2019</c:v>
                </c:pt>
              </c:numCache>
            </c:numRef>
          </c:cat>
          <c:val>
            <c:numRef>
              <c:f>'3.9'!$AD$22:$AP$22</c:f>
              <c:numCache>
                <c:formatCode>0</c:formatCode>
                <c:ptCount val="13"/>
                <c:pt idx="0">
                  <c:v>9.0820629257216989</c:v>
                </c:pt>
                <c:pt idx="1">
                  <c:v>12</c:v>
                </c:pt>
                <c:pt idx="2">
                  <c:v>14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5.1085568326947639</c:v>
                </c:pt>
                <c:pt idx="7">
                  <c:v>8.4388185654008439</c:v>
                </c:pt>
                <c:pt idx="8">
                  <c:v>9.7949886104783594</c:v>
                </c:pt>
                <c:pt idx="9">
                  <c:v>8.2063305978898011</c:v>
                </c:pt>
                <c:pt idx="10">
                  <c:v>10.526315789473683</c:v>
                </c:pt>
                <c:pt idx="11">
                  <c:v>7.5029308323563892</c:v>
                </c:pt>
                <c:pt idx="12">
                  <c:v>5.6417489421720735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ADB-435F-AF90-59B4E42857C2}"/>
            </c:ext>
          </c:extLst>
        </c:ser>
        <c:ser>
          <c:idx val="1"/>
          <c:order val="1"/>
          <c:tx>
            <c:strRef>
              <c:f>'3.9'!$Z$23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CD9B69"/>
            </a:solidFill>
          </c:spPr>
          <c:invertIfNegative val="1"/>
          <c:cat>
            <c:numRef>
              <c:f>'3.9'!$AD$21:$AP$21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 formatCode="General_)">
                  <c:v>2010</c:v>
                </c:pt>
                <c:pt idx="4" formatCode="General_)">
                  <c:v>2011</c:v>
                </c:pt>
                <c:pt idx="5">
                  <c:v>2012</c:v>
                </c:pt>
                <c:pt idx="6" formatCode="General_)">
                  <c:v>2013</c:v>
                </c:pt>
                <c:pt idx="7" formatCode="General_)">
                  <c:v>2014</c:v>
                </c:pt>
                <c:pt idx="8">
                  <c:v>2015</c:v>
                </c:pt>
                <c:pt idx="9" formatCode="General_)">
                  <c:v>2016</c:v>
                </c:pt>
                <c:pt idx="10" formatCode="General_)">
                  <c:v>2017</c:v>
                </c:pt>
                <c:pt idx="11" formatCode="General_)">
                  <c:v>2018</c:v>
                </c:pt>
                <c:pt idx="12" formatCode="General_)">
                  <c:v>2019</c:v>
                </c:pt>
              </c:numCache>
            </c:numRef>
          </c:cat>
          <c:val>
            <c:numRef>
              <c:f>'3.9'!$AD$23:$AP$23</c:f>
              <c:numCache>
                <c:formatCode>0</c:formatCode>
                <c:ptCount val="13"/>
                <c:pt idx="0">
                  <c:v>10.900745840504877</c:v>
                </c:pt>
                <c:pt idx="1">
                  <c:v>10</c:v>
                </c:pt>
                <c:pt idx="2">
                  <c:v>8</c:v>
                </c:pt>
                <c:pt idx="3">
                  <c:v>10</c:v>
                </c:pt>
                <c:pt idx="4">
                  <c:v>6</c:v>
                </c:pt>
                <c:pt idx="5">
                  <c:v>7</c:v>
                </c:pt>
                <c:pt idx="6">
                  <c:v>6.9060773480662982</c:v>
                </c:pt>
                <c:pt idx="7">
                  <c:v>4.6296296296296298</c:v>
                </c:pt>
                <c:pt idx="8">
                  <c:v>5.84795321637427</c:v>
                </c:pt>
                <c:pt idx="9">
                  <c:v>6.5207265952491849</c:v>
                </c:pt>
                <c:pt idx="10">
                  <c:v>6.381039197812215</c:v>
                </c:pt>
                <c:pt idx="11">
                  <c:v>5.8852378616969103</c:v>
                </c:pt>
                <c:pt idx="12">
                  <c:v>4.3431053203040175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2ADB-435F-AF90-59B4E4285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340007448"/>
        <c:axId val="340004704"/>
      </c:barChart>
      <c:catAx>
        <c:axId val="340007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0004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40004704"/>
        <c:scaling>
          <c:orientation val="minMax"/>
        </c:scaling>
        <c:delete val="0"/>
        <c:axPos val="l"/>
        <c:majorGridlines>
          <c:spPr>
            <a:ln>
              <a:solidFill>
                <a:srgbClr val="EDDBC9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 '000 Live Births</a:t>
                </a:r>
              </a:p>
            </c:rich>
          </c:tx>
          <c:layout>
            <c:manualLayout>
              <c:xMode val="edge"/>
              <c:yMode val="edge"/>
              <c:x val="5.5661626367500524E-3"/>
              <c:y val="5.9941528661230509E-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0007448"/>
        <c:crosses val="autoZero"/>
        <c:crossBetween val="between"/>
        <c:majorUnit val="4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egendEntry>
        <c:idx val="0"/>
        <c:txPr>
          <a:bodyPr/>
          <a:lstStyle/>
          <a:p>
            <a:pPr>
              <a:defRPr sz="101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1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017837150887112"/>
          <c:y val="0.18149458430372259"/>
          <c:w val="0.18068406449133548"/>
          <c:h val="0.16127121996815638"/>
        </c:manualLayout>
      </c:layout>
      <c:overlay val="0"/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52335</xdr:colOff>
      <xdr:row>19</xdr:row>
      <xdr:rowOff>197094</xdr:rowOff>
    </xdr:from>
    <xdr:to>
      <xdr:col>15</xdr:col>
      <xdr:colOff>1314764</xdr:colOff>
      <xdr:row>33</xdr:row>
      <xdr:rowOff>106659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0.20432</cdr:x>
      <cdr:y>0.02673</cdr:y>
    </cdr:from>
    <cdr:to>
      <cdr:x>0.82671</cdr:x>
      <cdr:y>0.11388</cdr:y>
    </cdr:to>
    <cdr:sp macro="" textlink="">
      <cdr:nvSpPr>
        <cdr:cNvPr id="378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72045" y="71782"/>
          <a:ext cx="4484172" cy="2340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3.12: Infant mortality rate, 2007 - 2019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SYB%202020_Final\FINAL\3.%20POP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0/SYB%202020%20_latest/YEARBOOK%202020_Final/FINAL/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9">
          <cell r="AY19">
            <v>2007</v>
          </cell>
          <cell r="AZ19">
            <v>2008</v>
          </cell>
          <cell r="BA19">
            <v>2009</v>
          </cell>
          <cell r="BB19">
            <v>2010</v>
          </cell>
          <cell r="BC19">
            <v>2011</v>
          </cell>
          <cell r="BD19">
            <v>2012</v>
          </cell>
          <cell r="BE19">
            <v>2013</v>
          </cell>
          <cell r="BF19">
            <v>2014</v>
          </cell>
          <cell r="BG19">
            <v>2015</v>
          </cell>
          <cell r="BH19">
            <v>2016</v>
          </cell>
          <cell r="BI19">
            <v>2017</v>
          </cell>
          <cell r="BJ19">
            <v>2018</v>
          </cell>
        </row>
        <row r="20">
          <cell r="AU20" t="str">
            <v>Male'</v>
          </cell>
          <cell r="AY20">
            <v>9.0820629257216989</v>
          </cell>
          <cell r="AZ20">
            <v>12</v>
          </cell>
          <cell r="BA20">
            <v>14</v>
          </cell>
          <cell r="BB20">
            <v>11</v>
          </cell>
          <cell r="BC20">
            <v>10</v>
          </cell>
          <cell r="BD20">
            <v>10</v>
          </cell>
          <cell r="BE20">
            <v>5.1085568326947639</v>
          </cell>
          <cell r="BF20">
            <v>8.4388185654008439</v>
          </cell>
          <cell r="BG20">
            <v>9.7949886104783594</v>
          </cell>
          <cell r="BH20">
            <v>8.2063305978898011</v>
          </cell>
          <cell r="BI20">
            <v>10.526315789473683</v>
          </cell>
          <cell r="BJ20">
            <v>7.0472163495419311</v>
          </cell>
        </row>
        <row r="21">
          <cell r="AU21" t="str">
            <v>Atolls</v>
          </cell>
          <cell r="AY21">
            <v>10.900745840504877</v>
          </cell>
          <cell r="AZ21">
            <v>10</v>
          </cell>
          <cell r="BA21">
            <v>8</v>
          </cell>
          <cell r="BB21">
            <v>10</v>
          </cell>
          <cell r="BC21">
            <v>6</v>
          </cell>
          <cell r="BD21">
            <v>7</v>
          </cell>
          <cell r="BE21">
            <v>6.9060773480662982</v>
          </cell>
          <cell r="BF21">
            <v>4.6296296296296298</v>
          </cell>
          <cell r="BG21">
            <v>5.84795321637427</v>
          </cell>
          <cell r="BH21">
            <v>6.5207265952491849</v>
          </cell>
          <cell r="BI21">
            <v>6.381039197812215</v>
          </cell>
          <cell r="BJ21">
            <v>4.9019607843137258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AY21">
            <v>2004</v>
          </cell>
          <cell r="AZ21">
            <v>2005</v>
          </cell>
          <cell r="BA21">
            <v>2006</v>
          </cell>
          <cell r="BB21">
            <v>2007</v>
          </cell>
          <cell r="BC21">
            <v>2008</v>
          </cell>
          <cell r="BD21">
            <v>2009</v>
          </cell>
          <cell r="BE21">
            <v>2010</v>
          </cell>
          <cell r="BF21">
            <v>2011</v>
          </cell>
          <cell r="BG21">
            <v>2012</v>
          </cell>
          <cell r="BH21">
            <v>2013</v>
          </cell>
          <cell r="BI21">
            <v>2014</v>
          </cell>
          <cell r="BJ21">
            <v>2015</v>
          </cell>
          <cell r="BK21">
            <v>2016</v>
          </cell>
          <cell r="BL21">
            <v>2017</v>
          </cell>
          <cell r="BM21">
            <v>2018</v>
          </cell>
          <cell r="BN21">
            <v>2019</v>
          </cell>
        </row>
        <row r="22">
          <cell r="AX22" t="str">
            <v>Male'</v>
          </cell>
          <cell r="BB22">
            <v>9.0820629257216989</v>
          </cell>
          <cell r="BC22">
            <v>12</v>
          </cell>
          <cell r="BD22">
            <v>14</v>
          </cell>
          <cell r="BE22">
            <v>11</v>
          </cell>
          <cell r="BF22">
            <v>10</v>
          </cell>
          <cell r="BG22">
            <v>10</v>
          </cell>
          <cell r="BH22">
            <v>5.1085568326947639</v>
          </cell>
          <cell r="BI22">
            <v>8.4388185654008439</v>
          </cell>
          <cell r="BJ22">
            <v>9.7949886104783594</v>
          </cell>
          <cell r="BK22">
            <v>8.2063305978898011</v>
          </cell>
          <cell r="BL22">
            <v>10.526315789473683</v>
          </cell>
          <cell r="BM22">
            <v>7.5029308323563892</v>
          </cell>
          <cell r="BN22">
            <v>5.6417489421720735</v>
          </cell>
        </row>
        <row r="23">
          <cell r="AX23" t="str">
            <v>Atolls</v>
          </cell>
          <cell r="BB23">
            <v>10.900745840504877</v>
          </cell>
          <cell r="BC23">
            <v>10</v>
          </cell>
          <cell r="BD23">
            <v>8</v>
          </cell>
          <cell r="BE23">
            <v>10</v>
          </cell>
          <cell r="BF23">
            <v>6</v>
          </cell>
          <cell r="BG23">
            <v>7</v>
          </cell>
          <cell r="BH23">
            <v>6.9060773480662982</v>
          </cell>
          <cell r="BI23">
            <v>4.6296296296296298</v>
          </cell>
          <cell r="BJ23">
            <v>5.84795321637427</v>
          </cell>
          <cell r="BK23">
            <v>6.5207265952491849</v>
          </cell>
          <cell r="BL23">
            <v>6.381039197812215</v>
          </cell>
          <cell r="BM23">
            <v>5.8852378616969103</v>
          </cell>
          <cell r="BN23">
            <v>4.3431053203040175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"/>
  <sheetViews>
    <sheetView tabSelected="1" zoomScale="91" zoomScaleNormal="91" workbookViewId="0">
      <selection activeCell="S25" sqref="S25"/>
    </sheetView>
  </sheetViews>
  <sheetFormatPr defaultColWidth="17.85546875" defaultRowHeight="16.5" customHeight="1" x14ac:dyDescent="0.2"/>
  <cols>
    <col min="1" max="1" width="21.7109375" style="50" customWidth="1"/>
    <col min="2" max="2" width="1.7109375" style="50" customWidth="1"/>
    <col min="3" max="3" width="0.85546875" style="50" customWidth="1"/>
    <col min="4" max="15" width="8.7109375" style="50" customWidth="1"/>
    <col min="16" max="16" width="45.140625" style="50" customWidth="1"/>
    <col min="17" max="17" width="3.28515625" style="50" customWidth="1"/>
    <col min="18" max="25" width="17.85546875" style="50"/>
    <col min="26" max="27" width="5.42578125" style="50" customWidth="1"/>
    <col min="28" max="42" width="7.140625" style="50" customWidth="1"/>
    <col min="43" max="236" width="17.85546875" style="50"/>
    <col min="237" max="237" width="18.7109375" style="50" customWidth="1"/>
    <col min="238" max="238" width="1.7109375" style="50" customWidth="1"/>
    <col min="239" max="239" width="0.85546875" style="50" customWidth="1"/>
    <col min="240" max="260" width="0" style="50" hidden="1" customWidth="1"/>
    <col min="261" max="272" width="8.7109375" style="50" customWidth="1"/>
    <col min="273" max="276" width="0" style="50" hidden="1" customWidth="1"/>
    <col min="277" max="277" width="45.140625" style="50" customWidth="1"/>
    <col min="278" max="281" width="17.85546875" style="50"/>
    <col min="282" max="290" width="5.42578125" style="50" customWidth="1"/>
    <col min="291" max="295" width="6" style="50" customWidth="1"/>
    <col min="296" max="296" width="6.85546875" style="50" customWidth="1"/>
    <col min="297" max="297" width="5.42578125" style="50" customWidth="1"/>
    <col min="298" max="492" width="17.85546875" style="50"/>
    <col min="493" max="493" width="18.7109375" style="50" customWidth="1"/>
    <col min="494" max="494" width="1.7109375" style="50" customWidth="1"/>
    <col min="495" max="495" width="0.85546875" style="50" customWidth="1"/>
    <col min="496" max="516" width="0" style="50" hidden="1" customWidth="1"/>
    <col min="517" max="528" width="8.7109375" style="50" customWidth="1"/>
    <col min="529" max="532" width="0" style="50" hidden="1" customWidth="1"/>
    <col min="533" max="533" width="45.140625" style="50" customWidth="1"/>
    <col min="534" max="537" width="17.85546875" style="50"/>
    <col min="538" max="546" width="5.42578125" style="50" customWidth="1"/>
    <col min="547" max="551" width="6" style="50" customWidth="1"/>
    <col min="552" max="552" width="6.85546875" style="50" customWidth="1"/>
    <col min="553" max="553" width="5.42578125" style="50" customWidth="1"/>
    <col min="554" max="748" width="17.85546875" style="50"/>
    <col min="749" max="749" width="18.7109375" style="50" customWidth="1"/>
    <col min="750" max="750" width="1.7109375" style="50" customWidth="1"/>
    <col min="751" max="751" width="0.85546875" style="50" customWidth="1"/>
    <col min="752" max="772" width="0" style="50" hidden="1" customWidth="1"/>
    <col min="773" max="784" width="8.7109375" style="50" customWidth="1"/>
    <col min="785" max="788" width="0" style="50" hidden="1" customWidth="1"/>
    <col min="789" max="789" width="45.140625" style="50" customWidth="1"/>
    <col min="790" max="793" width="17.85546875" style="50"/>
    <col min="794" max="802" width="5.42578125" style="50" customWidth="1"/>
    <col min="803" max="807" width="6" style="50" customWidth="1"/>
    <col min="808" max="808" width="6.85546875" style="50" customWidth="1"/>
    <col min="809" max="809" width="5.42578125" style="50" customWidth="1"/>
    <col min="810" max="1004" width="17.85546875" style="50"/>
    <col min="1005" max="1005" width="18.7109375" style="50" customWidth="1"/>
    <col min="1006" max="1006" width="1.7109375" style="50" customWidth="1"/>
    <col min="1007" max="1007" width="0.85546875" style="50" customWidth="1"/>
    <col min="1008" max="1028" width="0" style="50" hidden="1" customWidth="1"/>
    <col min="1029" max="1040" width="8.7109375" style="50" customWidth="1"/>
    <col min="1041" max="1044" width="0" style="50" hidden="1" customWidth="1"/>
    <col min="1045" max="1045" width="45.140625" style="50" customWidth="1"/>
    <col min="1046" max="1049" width="17.85546875" style="50"/>
    <col min="1050" max="1058" width="5.42578125" style="50" customWidth="1"/>
    <col min="1059" max="1063" width="6" style="50" customWidth="1"/>
    <col min="1064" max="1064" width="6.85546875" style="50" customWidth="1"/>
    <col min="1065" max="1065" width="5.42578125" style="50" customWidth="1"/>
    <col min="1066" max="1260" width="17.85546875" style="50"/>
    <col min="1261" max="1261" width="18.7109375" style="50" customWidth="1"/>
    <col min="1262" max="1262" width="1.7109375" style="50" customWidth="1"/>
    <col min="1263" max="1263" width="0.85546875" style="50" customWidth="1"/>
    <col min="1264" max="1284" width="0" style="50" hidden="1" customWidth="1"/>
    <col min="1285" max="1296" width="8.7109375" style="50" customWidth="1"/>
    <col min="1297" max="1300" width="0" style="50" hidden="1" customWidth="1"/>
    <col min="1301" max="1301" width="45.140625" style="50" customWidth="1"/>
    <col min="1302" max="1305" width="17.85546875" style="50"/>
    <col min="1306" max="1314" width="5.42578125" style="50" customWidth="1"/>
    <col min="1315" max="1319" width="6" style="50" customWidth="1"/>
    <col min="1320" max="1320" width="6.85546875" style="50" customWidth="1"/>
    <col min="1321" max="1321" width="5.42578125" style="50" customWidth="1"/>
    <col min="1322" max="1516" width="17.85546875" style="50"/>
    <col min="1517" max="1517" width="18.7109375" style="50" customWidth="1"/>
    <col min="1518" max="1518" width="1.7109375" style="50" customWidth="1"/>
    <col min="1519" max="1519" width="0.85546875" style="50" customWidth="1"/>
    <col min="1520" max="1540" width="0" style="50" hidden="1" customWidth="1"/>
    <col min="1541" max="1552" width="8.7109375" style="50" customWidth="1"/>
    <col min="1553" max="1556" width="0" style="50" hidden="1" customWidth="1"/>
    <col min="1557" max="1557" width="45.140625" style="50" customWidth="1"/>
    <col min="1558" max="1561" width="17.85546875" style="50"/>
    <col min="1562" max="1570" width="5.42578125" style="50" customWidth="1"/>
    <col min="1571" max="1575" width="6" style="50" customWidth="1"/>
    <col min="1576" max="1576" width="6.85546875" style="50" customWidth="1"/>
    <col min="1577" max="1577" width="5.42578125" style="50" customWidth="1"/>
    <col min="1578" max="1772" width="17.85546875" style="50"/>
    <col min="1773" max="1773" width="18.7109375" style="50" customWidth="1"/>
    <col min="1774" max="1774" width="1.7109375" style="50" customWidth="1"/>
    <col min="1775" max="1775" width="0.85546875" style="50" customWidth="1"/>
    <col min="1776" max="1796" width="0" style="50" hidden="1" customWidth="1"/>
    <col min="1797" max="1808" width="8.7109375" style="50" customWidth="1"/>
    <col min="1809" max="1812" width="0" style="50" hidden="1" customWidth="1"/>
    <col min="1813" max="1813" width="45.140625" style="50" customWidth="1"/>
    <col min="1814" max="1817" width="17.85546875" style="50"/>
    <col min="1818" max="1826" width="5.42578125" style="50" customWidth="1"/>
    <col min="1827" max="1831" width="6" style="50" customWidth="1"/>
    <col min="1832" max="1832" width="6.85546875" style="50" customWidth="1"/>
    <col min="1833" max="1833" width="5.42578125" style="50" customWidth="1"/>
    <col min="1834" max="2028" width="17.85546875" style="50"/>
    <col min="2029" max="2029" width="18.7109375" style="50" customWidth="1"/>
    <col min="2030" max="2030" width="1.7109375" style="50" customWidth="1"/>
    <col min="2031" max="2031" width="0.85546875" style="50" customWidth="1"/>
    <col min="2032" max="2052" width="0" style="50" hidden="1" customWidth="1"/>
    <col min="2053" max="2064" width="8.7109375" style="50" customWidth="1"/>
    <col min="2065" max="2068" width="0" style="50" hidden="1" customWidth="1"/>
    <col min="2069" max="2069" width="45.140625" style="50" customWidth="1"/>
    <col min="2070" max="2073" width="17.85546875" style="50"/>
    <col min="2074" max="2082" width="5.42578125" style="50" customWidth="1"/>
    <col min="2083" max="2087" width="6" style="50" customWidth="1"/>
    <col min="2088" max="2088" width="6.85546875" style="50" customWidth="1"/>
    <col min="2089" max="2089" width="5.42578125" style="50" customWidth="1"/>
    <col min="2090" max="2284" width="17.85546875" style="50"/>
    <col min="2285" max="2285" width="18.7109375" style="50" customWidth="1"/>
    <col min="2286" max="2286" width="1.7109375" style="50" customWidth="1"/>
    <col min="2287" max="2287" width="0.85546875" style="50" customWidth="1"/>
    <col min="2288" max="2308" width="0" style="50" hidden="1" customWidth="1"/>
    <col min="2309" max="2320" width="8.7109375" style="50" customWidth="1"/>
    <col min="2321" max="2324" width="0" style="50" hidden="1" customWidth="1"/>
    <col min="2325" max="2325" width="45.140625" style="50" customWidth="1"/>
    <col min="2326" max="2329" width="17.85546875" style="50"/>
    <col min="2330" max="2338" width="5.42578125" style="50" customWidth="1"/>
    <col min="2339" max="2343" width="6" style="50" customWidth="1"/>
    <col min="2344" max="2344" width="6.85546875" style="50" customWidth="1"/>
    <col min="2345" max="2345" width="5.42578125" style="50" customWidth="1"/>
    <col min="2346" max="2540" width="17.85546875" style="50"/>
    <col min="2541" max="2541" width="18.7109375" style="50" customWidth="1"/>
    <col min="2542" max="2542" width="1.7109375" style="50" customWidth="1"/>
    <col min="2543" max="2543" width="0.85546875" style="50" customWidth="1"/>
    <col min="2544" max="2564" width="0" style="50" hidden="1" customWidth="1"/>
    <col min="2565" max="2576" width="8.7109375" style="50" customWidth="1"/>
    <col min="2577" max="2580" width="0" style="50" hidden="1" customWidth="1"/>
    <col min="2581" max="2581" width="45.140625" style="50" customWidth="1"/>
    <col min="2582" max="2585" width="17.85546875" style="50"/>
    <col min="2586" max="2594" width="5.42578125" style="50" customWidth="1"/>
    <col min="2595" max="2599" width="6" style="50" customWidth="1"/>
    <col min="2600" max="2600" width="6.85546875" style="50" customWidth="1"/>
    <col min="2601" max="2601" width="5.42578125" style="50" customWidth="1"/>
    <col min="2602" max="2796" width="17.85546875" style="50"/>
    <col min="2797" max="2797" width="18.7109375" style="50" customWidth="1"/>
    <col min="2798" max="2798" width="1.7109375" style="50" customWidth="1"/>
    <col min="2799" max="2799" width="0.85546875" style="50" customWidth="1"/>
    <col min="2800" max="2820" width="0" style="50" hidden="1" customWidth="1"/>
    <col min="2821" max="2832" width="8.7109375" style="50" customWidth="1"/>
    <col min="2833" max="2836" width="0" style="50" hidden="1" customWidth="1"/>
    <col min="2837" max="2837" width="45.140625" style="50" customWidth="1"/>
    <col min="2838" max="2841" width="17.85546875" style="50"/>
    <col min="2842" max="2850" width="5.42578125" style="50" customWidth="1"/>
    <col min="2851" max="2855" width="6" style="50" customWidth="1"/>
    <col min="2856" max="2856" width="6.85546875" style="50" customWidth="1"/>
    <col min="2857" max="2857" width="5.42578125" style="50" customWidth="1"/>
    <col min="2858" max="3052" width="17.85546875" style="50"/>
    <col min="3053" max="3053" width="18.7109375" style="50" customWidth="1"/>
    <col min="3054" max="3054" width="1.7109375" style="50" customWidth="1"/>
    <col min="3055" max="3055" width="0.85546875" style="50" customWidth="1"/>
    <col min="3056" max="3076" width="0" style="50" hidden="1" customWidth="1"/>
    <col min="3077" max="3088" width="8.7109375" style="50" customWidth="1"/>
    <col min="3089" max="3092" width="0" style="50" hidden="1" customWidth="1"/>
    <col min="3093" max="3093" width="45.140625" style="50" customWidth="1"/>
    <col min="3094" max="3097" width="17.85546875" style="50"/>
    <col min="3098" max="3106" width="5.42578125" style="50" customWidth="1"/>
    <col min="3107" max="3111" width="6" style="50" customWidth="1"/>
    <col min="3112" max="3112" width="6.85546875" style="50" customWidth="1"/>
    <col min="3113" max="3113" width="5.42578125" style="50" customWidth="1"/>
    <col min="3114" max="3308" width="17.85546875" style="50"/>
    <col min="3309" max="3309" width="18.7109375" style="50" customWidth="1"/>
    <col min="3310" max="3310" width="1.7109375" style="50" customWidth="1"/>
    <col min="3311" max="3311" width="0.85546875" style="50" customWidth="1"/>
    <col min="3312" max="3332" width="0" style="50" hidden="1" customWidth="1"/>
    <col min="3333" max="3344" width="8.7109375" style="50" customWidth="1"/>
    <col min="3345" max="3348" width="0" style="50" hidden="1" customWidth="1"/>
    <col min="3349" max="3349" width="45.140625" style="50" customWidth="1"/>
    <col min="3350" max="3353" width="17.85546875" style="50"/>
    <col min="3354" max="3362" width="5.42578125" style="50" customWidth="1"/>
    <col min="3363" max="3367" width="6" style="50" customWidth="1"/>
    <col min="3368" max="3368" width="6.85546875" style="50" customWidth="1"/>
    <col min="3369" max="3369" width="5.42578125" style="50" customWidth="1"/>
    <col min="3370" max="3564" width="17.85546875" style="50"/>
    <col min="3565" max="3565" width="18.7109375" style="50" customWidth="1"/>
    <col min="3566" max="3566" width="1.7109375" style="50" customWidth="1"/>
    <col min="3567" max="3567" width="0.85546875" style="50" customWidth="1"/>
    <col min="3568" max="3588" width="0" style="50" hidden="1" customWidth="1"/>
    <col min="3589" max="3600" width="8.7109375" style="50" customWidth="1"/>
    <col min="3601" max="3604" width="0" style="50" hidden="1" customWidth="1"/>
    <col min="3605" max="3605" width="45.140625" style="50" customWidth="1"/>
    <col min="3606" max="3609" width="17.85546875" style="50"/>
    <col min="3610" max="3618" width="5.42578125" style="50" customWidth="1"/>
    <col min="3619" max="3623" width="6" style="50" customWidth="1"/>
    <col min="3624" max="3624" width="6.85546875" style="50" customWidth="1"/>
    <col min="3625" max="3625" width="5.42578125" style="50" customWidth="1"/>
    <col min="3626" max="3820" width="17.85546875" style="50"/>
    <col min="3821" max="3821" width="18.7109375" style="50" customWidth="1"/>
    <col min="3822" max="3822" width="1.7109375" style="50" customWidth="1"/>
    <col min="3823" max="3823" width="0.85546875" style="50" customWidth="1"/>
    <col min="3824" max="3844" width="0" style="50" hidden="1" customWidth="1"/>
    <col min="3845" max="3856" width="8.7109375" style="50" customWidth="1"/>
    <col min="3857" max="3860" width="0" style="50" hidden="1" customWidth="1"/>
    <col min="3861" max="3861" width="45.140625" style="50" customWidth="1"/>
    <col min="3862" max="3865" width="17.85546875" style="50"/>
    <col min="3866" max="3874" width="5.42578125" style="50" customWidth="1"/>
    <col min="3875" max="3879" width="6" style="50" customWidth="1"/>
    <col min="3880" max="3880" width="6.85546875" style="50" customWidth="1"/>
    <col min="3881" max="3881" width="5.42578125" style="50" customWidth="1"/>
    <col min="3882" max="4076" width="17.85546875" style="50"/>
    <col min="4077" max="4077" width="18.7109375" style="50" customWidth="1"/>
    <col min="4078" max="4078" width="1.7109375" style="50" customWidth="1"/>
    <col min="4079" max="4079" width="0.85546875" style="50" customWidth="1"/>
    <col min="4080" max="4100" width="0" style="50" hidden="1" customWidth="1"/>
    <col min="4101" max="4112" width="8.7109375" style="50" customWidth="1"/>
    <col min="4113" max="4116" width="0" style="50" hidden="1" customWidth="1"/>
    <col min="4117" max="4117" width="45.140625" style="50" customWidth="1"/>
    <col min="4118" max="4121" width="17.85546875" style="50"/>
    <col min="4122" max="4130" width="5.42578125" style="50" customWidth="1"/>
    <col min="4131" max="4135" width="6" style="50" customWidth="1"/>
    <col min="4136" max="4136" width="6.85546875" style="50" customWidth="1"/>
    <col min="4137" max="4137" width="5.42578125" style="50" customWidth="1"/>
    <col min="4138" max="4332" width="17.85546875" style="50"/>
    <col min="4333" max="4333" width="18.7109375" style="50" customWidth="1"/>
    <col min="4334" max="4334" width="1.7109375" style="50" customWidth="1"/>
    <col min="4335" max="4335" width="0.85546875" style="50" customWidth="1"/>
    <col min="4336" max="4356" width="0" style="50" hidden="1" customWidth="1"/>
    <col min="4357" max="4368" width="8.7109375" style="50" customWidth="1"/>
    <col min="4369" max="4372" width="0" style="50" hidden="1" customWidth="1"/>
    <col min="4373" max="4373" width="45.140625" style="50" customWidth="1"/>
    <col min="4374" max="4377" width="17.85546875" style="50"/>
    <col min="4378" max="4386" width="5.42578125" style="50" customWidth="1"/>
    <col min="4387" max="4391" width="6" style="50" customWidth="1"/>
    <col min="4392" max="4392" width="6.85546875" style="50" customWidth="1"/>
    <col min="4393" max="4393" width="5.42578125" style="50" customWidth="1"/>
    <col min="4394" max="4588" width="17.85546875" style="50"/>
    <col min="4589" max="4589" width="18.7109375" style="50" customWidth="1"/>
    <col min="4590" max="4590" width="1.7109375" style="50" customWidth="1"/>
    <col min="4591" max="4591" width="0.85546875" style="50" customWidth="1"/>
    <col min="4592" max="4612" width="0" style="50" hidden="1" customWidth="1"/>
    <col min="4613" max="4624" width="8.7109375" style="50" customWidth="1"/>
    <col min="4625" max="4628" width="0" style="50" hidden="1" customWidth="1"/>
    <col min="4629" max="4629" width="45.140625" style="50" customWidth="1"/>
    <col min="4630" max="4633" width="17.85546875" style="50"/>
    <col min="4634" max="4642" width="5.42578125" style="50" customWidth="1"/>
    <col min="4643" max="4647" width="6" style="50" customWidth="1"/>
    <col min="4648" max="4648" width="6.85546875" style="50" customWidth="1"/>
    <col min="4649" max="4649" width="5.42578125" style="50" customWidth="1"/>
    <col min="4650" max="4844" width="17.85546875" style="50"/>
    <col min="4845" max="4845" width="18.7109375" style="50" customWidth="1"/>
    <col min="4846" max="4846" width="1.7109375" style="50" customWidth="1"/>
    <col min="4847" max="4847" width="0.85546875" style="50" customWidth="1"/>
    <col min="4848" max="4868" width="0" style="50" hidden="1" customWidth="1"/>
    <col min="4869" max="4880" width="8.7109375" style="50" customWidth="1"/>
    <col min="4881" max="4884" width="0" style="50" hidden="1" customWidth="1"/>
    <col min="4885" max="4885" width="45.140625" style="50" customWidth="1"/>
    <col min="4886" max="4889" width="17.85546875" style="50"/>
    <col min="4890" max="4898" width="5.42578125" style="50" customWidth="1"/>
    <col min="4899" max="4903" width="6" style="50" customWidth="1"/>
    <col min="4904" max="4904" width="6.85546875" style="50" customWidth="1"/>
    <col min="4905" max="4905" width="5.42578125" style="50" customWidth="1"/>
    <col min="4906" max="5100" width="17.85546875" style="50"/>
    <col min="5101" max="5101" width="18.7109375" style="50" customWidth="1"/>
    <col min="5102" max="5102" width="1.7109375" style="50" customWidth="1"/>
    <col min="5103" max="5103" width="0.85546875" style="50" customWidth="1"/>
    <col min="5104" max="5124" width="0" style="50" hidden="1" customWidth="1"/>
    <col min="5125" max="5136" width="8.7109375" style="50" customWidth="1"/>
    <col min="5137" max="5140" width="0" style="50" hidden="1" customWidth="1"/>
    <col min="5141" max="5141" width="45.140625" style="50" customWidth="1"/>
    <col min="5142" max="5145" width="17.85546875" style="50"/>
    <col min="5146" max="5154" width="5.42578125" style="50" customWidth="1"/>
    <col min="5155" max="5159" width="6" style="50" customWidth="1"/>
    <col min="5160" max="5160" width="6.85546875" style="50" customWidth="1"/>
    <col min="5161" max="5161" width="5.42578125" style="50" customWidth="1"/>
    <col min="5162" max="5356" width="17.85546875" style="50"/>
    <col min="5357" max="5357" width="18.7109375" style="50" customWidth="1"/>
    <col min="5358" max="5358" width="1.7109375" style="50" customWidth="1"/>
    <col min="5359" max="5359" width="0.85546875" style="50" customWidth="1"/>
    <col min="5360" max="5380" width="0" style="50" hidden="1" customWidth="1"/>
    <col min="5381" max="5392" width="8.7109375" style="50" customWidth="1"/>
    <col min="5393" max="5396" width="0" style="50" hidden="1" customWidth="1"/>
    <col min="5397" max="5397" width="45.140625" style="50" customWidth="1"/>
    <col min="5398" max="5401" width="17.85546875" style="50"/>
    <col min="5402" max="5410" width="5.42578125" style="50" customWidth="1"/>
    <col min="5411" max="5415" width="6" style="50" customWidth="1"/>
    <col min="5416" max="5416" width="6.85546875" style="50" customWidth="1"/>
    <col min="5417" max="5417" width="5.42578125" style="50" customWidth="1"/>
    <col min="5418" max="5612" width="17.85546875" style="50"/>
    <col min="5613" max="5613" width="18.7109375" style="50" customWidth="1"/>
    <col min="5614" max="5614" width="1.7109375" style="50" customWidth="1"/>
    <col min="5615" max="5615" width="0.85546875" style="50" customWidth="1"/>
    <col min="5616" max="5636" width="0" style="50" hidden="1" customWidth="1"/>
    <col min="5637" max="5648" width="8.7109375" style="50" customWidth="1"/>
    <col min="5649" max="5652" width="0" style="50" hidden="1" customWidth="1"/>
    <col min="5653" max="5653" width="45.140625" style="50" customWidth="1"/>
    <col min="5654" max="5657" width="17.85546875" style="50"/>
    <col min="5658" max="5666" width="5.42578125" style="50" customWidth="1"/>
    <col min="5667" max="5671" width="6" style="50" customWidth="1"/>
    <col min="5672" max="5672" width="6.85546875" style="50" customWidth="1"/>
    <col min="5673" max="5673" width="5.42578125" style="50" customWidth="1"/>
    <col min="5674" max="5868" width="17.85546875" style="50"/>
    <col min="5869" max="5869" width="18.7109375" style="50" customWidth="1"/>
    <col min="5870" max="5870" width="1.7109375" style="50" customWidth="1"/>
    <col min="5871" max="5871" width="0.85546875" style="50" customWidth="1"/>
    <col min="5872" max="5892" width="0" style="50" hidden="1" customWidth="1"/>
    <col min="5893" max="5904" width="8.7109375" style="50" customWidth="1"/>
    <col min="5905" max="5908" width="0" style="50" hidden="1" customWidth="1"/>
    <col min="5909" max="5909" width="45.140625" style="50" customWidth="1"/>
    <col min="5910" max="5913" width="17.85546875" style="50"/>
    <col min="5914" max="5922" width="5.42578125" style="50" customWidth="1"/>
    <col min="5923" max="5927" width="6" style="50" customWidth="1"/>
    <col min="5928" max="5928" width="6.85546875" style="50" customWidth="1"/>
    <col min="5929" max="5929" width="5.42578125" style="50" customWidth="1"/>
    <col min="5930" max="6124" width="17.85546875" style="50"/>
    <col min="6125" max="6125" width="18.7109375" style="50" customWidth="1"/>
    <col min="6126" max="6126" width="1.7109375" style="50" customWidth="1"/>
    <col min="6127" max="6127" width="0.85546875" style="50" customWidth="1"/>
    <col min="6128" max="6148" width="0" style="50" hidden="1" customWidth="1"/>
    <col min="6149" max="6160" width="8.7109375" style="50" customWidth="1"/>
    <col min="6161" max="6164" width="0" style="50" hidden="1" customWidth="1"/>
    <col min="6165" max="6165" width="45.140625" style="50" customWidth="1"/>
    <col min="6166" max="6169" width="17.85546875" style="50"/>
    <col min="6170" max="6178" width="5.42578125" style="50" customWidth="1"/>
    <col min="6179" max="6183" width="6" style="50" customWidth="1"/>
    <col min="6184" max="6184" width="6.85546875" style="50" customWidth="1"/>
    <col min="6185" max="6185" width="5.42578125" style="50" customWidth="1"/>
    <col min="6186" max="6380" width="17.85546875" style="50"/>
    <col min="6381" max="6381" width="18.7109375" style="50" customWidth="1"/>
    <col min="6382" max="6382" width="1.7109375" style="50" customWidth="1"/>
    <col min="6383" max="6383" width="0.85546875" style="50" customWidth="1"/>
    <col min="6384" max="6404" width="0" style="50" hidden="1" customWidth="1"/>
    <col min="6405" max="6416" width="8.7109375" style="50" customWidth="1"/>
    <col min="6417" max="6420" width="0" style="50" hidden="1" customWidth="1"/>
    <col min="6421" max="6421" width="45.140625" style="50" customWidth="1"/>
    <col min="6422" max="6425" width="17.85546875" style="50"/>
    <col min="6426" max="6434" width="5.42578125" style="50" customWidth="1"/>
    <col min="6435" max="6439" width="6" style="50" customWidth="1"/>
    <col min="6440" max="6440" width="6.85546875" style="50" customWidth="1"/>
    <col min="6441" max="6441" width="5.42578125" style="50" customWidth="1"/>
    <col min="6442" max="6636" width="17.85546875" style="50"/>
    <col min="6637" max="6637" width="18.7109375" style="50" customWidth="1"/>
    <col min="6638" max="6638" width="1.7109375" style="50" customWidth="1"/>
    <col min="6639" max="6639" width="0.85546875" style="50" customWidth="1"/>
    <col min="6640" max="6660" width="0" style="50" hidden="1" customWidth="1"/>
    <col min="6661" max="6672" width="8.7109375" style="50" customWidth="1"/>
    <col min="6673" max="6676" width="0" style="50" hidden="1" customWidth="1"/>
    <col min="6677" max="6677" width="45.140625" style="50" customWidth="1"/>
    <col min="6678" max="6681" width="17.85546875" style="50"/>
    <col min="6682" max="6690" width="5.42578125" style="50" customWidth="1"/>
    <col min="6691" max="6695" width="6" style="50" customWidth="1"/>
    <col min="6696" max="6696" width="6.85546875" style="50" customWidth="1"/>
    <col min="6697" max="6697" width="5.42578125" style="50" customWidth="1"/>
    <col min="6698" max="6892" width="17.85546875" style="50"/>
    <col min="6893" max="6893" width="18.7109375" style="50" customWidth="1"/>
    <col min="6894" max="6894" width="1.7109375" style="50" customWidth="1"/>
    <col min="6895" max="6895" width="0.85546875" style="50" customWidth="1"/>
    <col min="6896" max="6916" width="0" style="50" hidden="1" customWidth="1"/>
    <col min="6917" max="6928" width="8.7109375" style="50" customWidth="1"/>
    <col min="6929" max="6932" width="0" style="50" hidden="1" customWidth="1"/>
    <col min="6933" max="6933" width="45.140625" style="50" customWidth="1"/>
    <col min="6934" max="6937" width="17.85546875" style="50"/>
    <col min="6938" max="6946" width="5.42578125" style="50" customWidth="1"/>
    <col min="6947" max="6951" width="6" style="50" customWidth="1"/>
    <col min="6952" max="6952" width="6.85546875" style="50" customWidth="1"/>
    <col min="6953" max="6953" width="5.42578125" style="50" customWidth="1"/>
    <col min="6954" max="7148" width="17.85546875" style="50"/>
    <col min="7149" max="7149" width="18.7109375" style="50" customWidth="1"/>
    <col min="7150" max="7150" width="1.7109375" style="50" customWidth="1"/>
    <col min="7151" max="7151" width="0.85546875" style="50" customWidth="1"/>
    <col min="7152" max="7172" width="0" style="50" hidden="1" customWidth="1"/>
    <col min="7173" max="7184" width="8.7109375" style="50" customWidth="1"/>
    <col min="7185" max="7188" width="0" style="50" hidden="1" customWidth="1"/>
    <col min="7189" max="7189" width="45.140625" style="50" customWidth="1"/>
    <col min="7190" max="7193" width="17.85546875" style="50"/>
    <col min="7194" max="7202" width="5.42578125" style="50" customWidth="1"/>
    <col min="7203" max="7207" width="6" style="50" customWidth="1"/>
    <col min="7208" max="7208" width="6.85546875" style="50" customWidth="1"/>
    <col min="7209" max="7209" width="5.42578125" style="50" customWidth="1"/>
    <col min="7210" max="7404" width="17.85546875" style="50"/>
    <col min="7405" max="7405" width="18.7109375" style="50" customWidth="1"/>
    <col min="7406" max="7406" width="1.7109375" style="50" customWidth="1"/>
    <col min="7407" max="7407" width="0.85546875" style="50" customWidth="1"/>
    <col min="7408" max="7428" width="0" style="50" hidden="1" customWidth="1"/>
    <col min="7429" max="7440" width="8.7109375" style="50" customWidth="1"/>
    <col min="7441" max="7444" width="0" style="50" hidden="1" customWidth="1"/>
    <col min="7445" max="7445" width="45.140625" style="50" customWidth="1"/>
    <col min="7446" max="7449" width="17.85546875" style="50"/>
    <col min="7450" max="7458" width="5.42578125" style="50" customWidth="1"/>
    <col min="7459" max="7463" width="6" style="50" customWidth="1"/>
    <col min="7464" max="7464" width="6.85546875" style="50" customWidth="1"/>
    <col min="7465" max="7465" width="5.42578125" style="50" customWidth="1"/>
    <col min="7466" max="7660" width="17.85546875" style="50"/>
    <col min="7661" max="7661" width="18.7109375" style="50" customWidth="1"/>
    <col min="7662" max="7662" width="1.7109375" style="50" customWidth="1"/>
    <col min="7663" max="7663" width="0.85546875" style="50" customWidth="1"/>
    <col min="7664" max="7684" width="0" style="50" hidden="1" customWidth="1"/>
    <col min="7685" max="7696" width="8.7109375" style="50" customWidth="1"/>
    <col min="7697" max="7700" width="0" style="50" hidden="1" customWidth="1"/>
    <col min="7701" max="7701" width="45.140625" style="50" customWidth="1"/>
    <col min="7702" max="7705" width="17.85546875" style="50"/>
    <col min="7706" max="7714" width="5.42578125" style="50" customWidth="1"/>
    <col min="7715" max="7719" width="6" style="50" customWidth="1"/>
    <col min="7720" max="7720" width="6.85546875" style="50" customWidth="1"/>
    <col min="7721" max="7721" width="5.42578125" style="50" customWidth="1"/>
    <col min="7722" max="7916" width="17.85546875" style="50"/>
    <col min="7917" max="7917" width="18.7109375" style="50" customWidth="1"/>
    <col min="7918" max="7918" width="1.7109375" style="50" customWidth="1"/>
    <col min="7919" max="7919" width="0.85546875" style="50" customWidth="1"/>
    <col min="7920" max="7940" width="0" style="50" hidden="1" customWidth="1"/>
    <col min="7941" max="7952" width="8.7109375" style="50" customWidth="1"/>
    <col min="7953" max="7956" width="0" style="50" hidden="1" customWidth="1"/>
    <col min="7957" max="7957" width="45.140625" style="50" customWidth="1"/>
    <col min="7958" max="7961" width="17.85546875" style="50"/>
    <col min="7962" max="7970" width="5.42578125" style="50" customWidth="1"/>
    <col min="7971" max="7975" width="6" style="50" customWidth="1"/>
    <col min="7976" max="7976" width="6.85546875" style="50" customWidth="1"/>
    <col min="7977" max="7977" width="5.42578125" style="50" customWidth="1"/>
    <col min="7978" max="8172" width="17.85546875" style="50"/>
    <col min="8173" max="8173" width="18.7109375" style="50" customWidth="1"/>
    <col min="8174" max="8174" width="1.7109375" style="50" customWidth="1"/>
    <col min="8175" max="8175" width="0.85546875" style="50" customWidth="1"/>
    <col min="8176" max="8196" width="0" style="50" hidden="1" customWidth="1"/>
    <col min="8197" max="8208" width="8.7109375" style="50" customWidth="1"/>
    <col min="8209" max="8212" width="0" style="50" hidden="1" customWidth="1"/>
    <col min="8213" max="8213" width="45.140625" style="50" customWidth="1"/>
    <col min="8214" max="8217" width="17.85546875" style="50"/>
    <col min="8218" max="8226" width="5.42578125" style="50" customWidth="1"/>
    <col min="8227" max="8231" width="6" style="50" customWidth="1"/>
    <col min="8232" max="8232" width="6.85546875" style="50" customWidth="1"/>
    <col min="8233" max="8233" width="5.42578125" style="50" customWidth="1"/>
    <col min="8234" max="8428" width="17.85546875" style="50"/>
    <col min="8429" max="8429" width="18.7109375" style="50" customWidth="1"/>
    <col min="8430" max="8430" width="1.7109375" style="50" customWidth="1"/>
    <col min="8431" max="8431" width="0.85546875" style="50" customWidth="1"/>
    <col min="8432" max="8452" width="0" style="50" hidden="1" customWidth="1"/>
    <col min="8453" max="8464" width="8.7109375" style="50" customWidth="1"/>
    <col min="8465" max="8468" width="0" style="50" hidden="1" customWidth="1"/>
    <col min="8469" max="8469" width="45.140625" style="50" customWidth="1"/>
    <col min="8470" max="8473" width="17.85546875" style="50"/>
    <col min="8474" max="8482" width="5.42578125" style="50" customWidth="1"/>
    <col min="8483" max="8487" width="6" style="50" customWidth="1"/>
    <col min="8488" max="8488" width="6.85546875" style="50" customWidth="1"/>
    <col min="8489" max="8489" width="5.42578125" style="50" customWidth="1"/>
    <col min="8490" max="8684" width="17.85546875" style="50"/>
    <col min="8685" max="8685" width="18.7109375" style="50" customWidth="1"/>
    <col min="8686" max="8686" width="1.7109375" style="50" customWidth="1"/>
    <col min="8687" max="8687" width="0.85546875" style="50" customWidth="1"/>
    <col min="8688" max="8708" width="0" style="50" hidden="1" customWidth="1"/>
    <col min="8709" max="8720" width="8.7109375" style="50" customWidth="1"/>
    <col min="8721" max="8724" width="0" style="50" hidden="1" customWidth="1"/>
    <col min="8725" max="8725" width="45.140625" style="50" customWidth="1"/>
    <col min="8726" max="8729" width="17.85546875" style="50"/>
    <col min="8730" max="8738" width="5.42578125" style="50" customWidth="1"/>
    <col min="8739" max="8743" width="6" style="50" customWidth="1"/>
    <col min="8744" max="8744" width="6.85546875" style="50" customWidth="1"/>
    <col min="8745" max="8745" width="5.42578125" style="50" customWidth="1"/>
    <col min="8746" max="8940" width="17.85546875" style="50"/>
    <col min="8941" max="8941" width="18.7109375" style="50" customWidth="1"/>
    <col min="8942" max="8942" width="1.7109375" style="50" customWidth="1"/>
    <col min="8943" max="8943" width="0.85546875" style="50" customWidth="1"/>
    <col min="8944" max="8964" width="0" style="50" hidden="1" customWidth="1"/>
    <col min="8965" max="8976" width="8.7109375" style="50" customWidth="1"/>
    <col min="8977" max="8980" width="0" style="50" hidden="1" customWidth="1"/>
    <col min="8981" max="8981" width="45.140625" style="50" customWidth="1"/>
    <col min="8982" max="8985" width="17.85546875" style="50"/>
    <col min="8986" max="8994" width="5.42578125" style="50" customWidth="1"/>
    <col min="8995" max="8999" width="6" style="50" customWidth="1"/>
    <col min="9000" max="9000" width="6.85546875" style="50" customWidth="1"/>
    <col min="9001" max="9001" width="5.42578125" style="50" customWidth="1"/>
    <col min="9002" max="9196" width="17.85546875" style="50"/>
    <col min="9197" max="9197" width="18.7109375" style="50" customWidth="1"/>
    <col min="9198" max="9198" width="1.7109375" style="50" customWidth="1"/>
    <col min="9199" max="9199" width="0.85546875" style="50" customWidth="1"/>
    <col min="9200" max="9220" width="0" style="50" hidden="1" customWidth="1"/>
    <col min="9221" max="9232" width="8.7109375" style="50" customWidth="1"/>
    <col min="9233" max="9236" width="0" style="50" hidden="1" customWidth="1"/>
    <col min="9237" max="9237" width="45.140625" style="50" customWidth="1"/>
    <col min="9238" max="9241" width="17.85546875" style="50"/>
    <col min="9242" max="9250" width="5.42578125" style="50" customWidth="1"/>
    <col min="9251" max="9255" width="6" style="50" customWidth="1"/>
    <col min="9256" max="9256" width="6.85546875" style="50" customWidth="1"/>
    <col min="9257" max="9257" width="5.42578125" style="50" customWidth="1"/>
    <col min="9258" max="9452" width="17.85546875" style="50"/>
    <col min="9453" max="9453" width="18.7109375" style="50" customWidth="1"/>
    <col min="9454" max="9454" width="1.7109375" style="50" customWidth="1"/>
    <col min="9455" max="9455" width="0.85546875" style="50" customWidth="1"/>
    <col min="9456" max="9476" width="0" style="50" hidden="1" customWidth="1"/>
    <col min="9477" max="9488" width="8.7109375" style="50" customWidth="1"/>
    <col min="9489" max="9492" width="0" style="50" hidden="1" customWidth="1"/>
    <col min="9493" max="9493" width="45.140625" style="50" customWidth="1"/>
    <col min="9494" max="9497" width="17.85546875" style="50"/>
    <col min="9498" max="9506" width="5.42578125" style="50" customWidth="1"/>
    <col min="9507" max="9511" width="6" style="50" customWidth="1"/>
    <col min="9512" max="9512" width="6.85546875" style="50" customWidth="1"/>
    <col min="9513" max="9513" width="5.42578125" style="50" customWidth="1"/>
    <col min="9514" max="9708" width="17.85546875" style="50"/>
    <col min="9709" max="9709" width="18.7109375" style="50" customWidth="1"/>
    <col min="9710" max="9710" width="1.7109375" style="50" customWidth="1"/>
    <col min="9711" max="9711" width="0.85546875" style="50" customWidth="1"/>
    <col min="9712" max="9732" width="0" style="50" hidden="1" customWidth="1"/>
    <col min="9733" max="9744" width="8.7109375" style="50" customWidth="1"/>
    <col min="9745" max="9748" width="0" style="50" hidden="1" customWidth="1"/>
    <col min="9749" max="9749" width="45.140625" style="50" customWidth="1"/>
    <col min="9750" max="9753" width="17.85546875" style="50"/>
    <col min="9754" max="9762" width="5.42578125" style="50" customWidth="1"/>
    <col min="9763" max="9767" width="6" style="50" customWidth="1"/>
    <col min="9768" max="9768" width="6.85546875" style="50" customWidth="1"/>
    <col min="9769" max="9769" width="5.42578125" style="50" customWidth="1"/>
    <col min="9770" max="9964" width="17.85546875" style="50"/>
    <col min="9965" max="9965" width="18.7109375" style="50" customWidth="1"/>
    <col min="9966" max="9966" width="1.7109375" style="50" customWidth="1"/>
    <col min="9967" max="9967" width="0.85546875" style="50" customWidth="1"/>
    <col min="9968" max="9988" width="0" style="50" hidden="1" customWidth="1"/>
    <col min="9989" max="10000" width="8.7109375" style="50" customWidth="1"/>
    <col min="10001" max="10004" width="0" style="50" hidden="1" customWidth="1"/>
    <col min="10005" max="10005" width="45.140625" style="50" customWidth="1"/>
    <col min="10006" max="10009" width="17.85546875" style="50"/>
    <col min="10010" max="10018" width="5.42578125" style="50" customWidth="1"/>
    <col min="10019" max="10023" width="6" style="50" customWidth="1"/>
    <col min="10024" max="10024" width="6.85546875" style="50" customWidth="1"/>
    <col min="10025" max="10025" width="5.42578125" style="50" customWidth="1"/>
    <col min="10026" max="10220" width="17.85546875" style="50"/>
    <col min="10221" max="10221" width="18.7109375" style="50" customWidth="1"/>
    <col min="10222" max="10222" width="1.7109375" style="50" customWidth="1"/>
    <col min="10223" max="10223" width="0.85546875" style="50" customWidth="1"/>
    <col min="10224" max="10244" width="0" style="50" hidden="1" customWidth="1"/>
    <col min="10245" max="10256" width="8.7109375" style="50" customWidth="1"/>
    <col min="10257" max="10260" width="0" style="50" hidden="1" customWidth="1"/>
    <col min="10261" max="10261" width="45.140625" style="50" customWidth="1"/>
    <col min="10262" max="10265" width="17.85546875" style="50"/>
    <col min="10266" max="10274" width="5.42578125" style="50" customWidth="1"/>
    <col min="10275" max="10279" width="6" style="50" customWidth="1"/>
    <col min="10280" max="10280" width="6.85546875" style="50" customWidth="1"/>
    <col min="10281" max="10281" width="5.42578125" style="50" customWidth="1"/>
    <col min="10282" max="10476" width="17.85546875" style="50"/>
    <col min="10477" max="10477" width="18.7109375" style="50" customWidth="1"/>
    <col min="10478" max="10478" width="1.7109375" style="50" customWidth="1"/>
    <col min="10479" max="10479" width="0.85546875" style="50" customWidth="1"/>
    <col min="10480" max="10500" width="0" style="50" hidden="1" customWidth="1"/>
    <col min="10501" max="10512" width="8.7109375" style="50" customWidth="1"/>
    <col min="10513" max="10516" width="0" style="50" hidden="1" customWidth="1"/>
    <col min="10517" max="10517" width="45.140625" style="50" customWidth="1"/>
    <col min="10518" max="10521" width="17.85546875" style="50"/>
    <col min="10522" max="10530" width="5.42578125" style="50" customWidth="1"/>
    <col min="10531" max="10535" width="6" style="50" customWidth="1"/>
    <col min="10536" max="10536" width="6.85546875" style="50" customWidth="1"/>
    <col min="10537" max="10537" width="5.42578125" style="50" customWidth="1"/>
    <col min="10538" max="10732" width="17.85546875" style="50"/>
    <col min="10733" max="10733" width="18.7109375" style="50" customWidth="1"/>
    <col min="10734" max="10734" width="1.7109375" style="50" customWidth="1"/>
    <col min="10735" max="10735" width="0.85546875" style="50" customWidth="1"/>
    <col min="10736" max="10756" width="0" style="50" hidden="1" customWidth="1"/>
    <col min="10757" max="10768" width="8.7109375" style="50" customWidth="1"/>
    <col min="10769" max="10772" width="0" style="50" hidden="1" customWidth="1"/>
    <col min="10773" max="10773" width="45.140625" style="50" customWidth="1"/>
    <col min="10774" max="10777" width="17.85546875" style="50"/>
    <col min="10778" max="10786" width="5.42578125" style="50" customWidth="1"/>
    <col min="10787" max="10791" width="6" style="50" customWidth="1"/>
    <col min="10792" max="10792" width="6.85546875" style="50" customWidth="1"/>
    <col min="10793" max="10793" width="5.42578125" style="50" customWidth="1"/>
    <col min="10794" max="10988" width="17.85546875" style="50"/>
    <col min="10989" max="10989" width="18.7109375" style="50" customWidth="1"/>
    <col min="10990" max="10990" width="1.7109375" style="50" customWidth="1"/>
    <col min="10991" max="10991" width="0.85546875" style="50" customWidth="1"/>
    <col min="10992" max="11012" width="0" style="50" hidden="1" customWidth="1"/>
    <col min="11013" max="11024" width="8.7109375" style="50" customWidth="1"/>
    <col min="11025" max="11028" width="0" style="50" hidden="1" customWidth="1"/>
    <col min="11029" max="11029" width="45.140625" style="50" customWidth="1"/>
    <col min="11030" max="11033" width="17.85546875" style="50"/>
    <col min="11034" max="11042" width="5.42578125" style="50" customWidth="1"/>
    <col min="11043" max="11047" width="6" style="50" customWidth="1"/>
    <col min="11048" max="11048" width="6.85546875" style="50" customWidth="1"/>
    <col min="11049" max="11049" width="5.42578125" style="50" customWidth="1"/>
    <col min="11050" max="11244" width="17.85546875" style="50"/>
    <col min="11245" max="11245" width="18.7109375" style="50" customWidth="1"/>
    <col min="11246" max="11246" width="1.7109375" style="50" customWidth="1"/>
    <col min="11247" max="11247" width="0.85546875" style="50" customWidth="1"/>
    <col min="11248" max="11268" width="0" style="50" hidden="1" customWidth="1"/>
    <col min="11269" max="11280" width="8.7109375" style="50" customWidth="1"/>
    <col min="11281" max="11284" width="0" style="50" hidden="1" customWidth="1"/>
    <col min="11285" max="11285" width="45.140625" style="50" customWidth="1"/>
    <col min="11286" max="11289" width="17.85546875" style="50"/>
    <col min="11290" max="11298" width="5.42578125" style="50" customWidth="1"/>
    <col min="11299" max="11303" width="6" style="50" customWidth="1"/>
    <col min="11304" max="11304" width="6.85546875" style="50" customWidth="1"/>
    <col min="11305" max="11305" width="5.42578125" style="50" customWidth="1"/>
    <col min="11306" max="11500" width="17.85546875" style="50"/>
    <col min="11501" max="11501" width="18.7109375" style="50" customWidth="1"/>
    <col min="11502" max="11502" width="1.7109375" style="50" customWidth="1"/>
    <col min="11503" max="11503" width="0.85546875" style="50" customWidth="1"/>
    <col min="11504" max="11524" width="0" style="50" hidden="1" customWidth="1"/>
    <col min="11525" max="11536" width="8.7109375" style="50" customWidth="1"/>
    <col min="11537" max="11540" width="0" style="50" hidden="1" customWidth="1"/>
    <col min="11541" max="11541" width="45.140625" style="50" customWidth="1"/>
    <col min="11542" max="11545" width="17.85546875" style="50"/>
    <col min="11546" max="11554" width="5.42578125" style="50" customWidth="1"/>
    <col min="11555" max="11559" width="6" style="50" customWidth="1"/>
    <col min="11560" max="11560" width="6.85546875" style="50" customWidth="1"/>
    <col min="11561" max="11561" width="5.42578125" style="50" customWidth="1"/>
    <col min="11562" max="11756" width="17.85546875" style="50"/>
    <col min="11757" max="11757" width="18.7109375" style="50" customWidth="1"/>
    <col min="11758" max="11758" width="1.7109375" style="50" customWidth="1"/>
    <col min="11759" max="11759" width="0.85546875" style="50" customWidth="1"/>
    <col min="11760" max="11780" width="0" style="50" hidden="1" customWidth="1"/>
    <col min="11781" max="11792" width="8.7109375" style="50" customWidth="1"/>
    <col min="11793" max="11796" width="0" style="50" hidden="1" customWidth="1"/>
    <col min="11797" max="11797" width="45.140625" style="50" customWidth="1"/>
    <col min="11798" max="11801" width="17.85546875" style="50"/>
    <col min="11802" max="11810" width="5.42578125" style="50" customWidth="1"/>
    <col min="11811" max="11815" width="6" style="50" customWidth="1"/>
    <col min="11816" max="11816" width="6.85546875" style="50" customWidth="1"/>
    <col min="11817" max="11817" width="5.42578125" style="50" customWidth="1"/>
    <col min="11818" max="12012" width="17.85546875" style="50"/>
    <col min="12013" max="12013" width="18.7109375" style="50" customWidth="1"/>
    <col min="12014" max="12014" width="1.7109375" style="50" customWidth="1"/>
    <col min="12015" max="12015" width="0.85546875" style="50" customWidth="1"/>
    <col min="12016" max="12036" width="0" style="50" hidden="1" customWidth="1"/>
    <col min="12037" max="12048" width="8.7109375" style="50" customWidth="1"/>
    <col min="12049" max="12052" width="0" style="50" hidden="1" customWidth="1"/>
    <col min="12053" max="12053" width="45.140625" style="50" customWidth="1"/>
    <col min="12054" max="12057" width="17.85546875" style="50"/>
    <col min="12058" max="12066" width="5.42578125" style="50" customWidth="1"/>
    <col min="12067" max="12071" width="6" style="50" customWidth="1"/>
    <col min="12072" max="12072" width="6.85546875" style="50" customWidth="1"/>
    <col min="12073" max="12073" width="5.42578125" style="50" customWidth="1"/>
    <col min="12074" max="12268" width="17.85546875" style="50"/>
    <col min="12269" max="12269" width="18.7109375" style="50" customWidth="1"/>
    <col min="12270" max="12270" width="1.7109375" style="50" customWidth="1"/>
    <col min="12271" max="12271" width="0.85546875" style="50" customWidth="1"/>
    <col min="12272" max="12292" width="0" style="50" hidden="1" customWidth="1"/>
    <col min="12293" max="12304" width="8.7109375" style="50" customWidth="1"/>
    <col min="12305" max="12308" width="0" style="50" hidden="1" customWidth="1"/>
    <col min="12309" max="12309" width="45.140625" style="50" customWidth="1"/>
    <col min="12310" max="12313" width="17.85546875" style="50"/>
    <col min="12314" max="12322" width="5.42578125" style="50" customWidth="1"/>
    <col min="12323" max="12327" width="6" style="50" customWidth="1"/>
    <col min="12328" max="12328" width="6.85546875" style="50" customWidth="1"/>
    <col min="12329" max="12329" width="5.42578125" style="50" customWidth="1"/>
    <col min="12330" max="12524" width="17.85546875" style="50"/>
    <col min="12525" max="12525" width="18.7109375" style="50" customWidth="1"/>
    <col min="12526" max="12526" width="1.7109375" style="50" customWidth="1"/>
    <col min="12527" max="12527" width="0.85546875" style="50" customWidth="1"/>
    <col min="12528" max="12548" width="0" style="50" hidden="1" customWidth="1"/>
    <col min="12549" max="12560" width="8.7109375" style="50" customWidth="1"/>
    <col min="12561" max="12564" width="0" style="50" hidden="1" customWidth="1"/>
    <col min="12565" max="12565" width="45.140625" style="50" customWidth="1"/>
    <col min="12566" max="12569" width="17.85546875" style="50"/>
    <col min="12570" max="12578" width="5.42578125" style="50" customWidth="1"/>
    <col min="12579" max="12583" width="6" style="50" customWidth="1"/>
    <col min="12584" max="12584" width="6.85546875" style="50" customWidth="1"/>
    <col min="12585" max="12585" width="5.42578125" style="50" customWidth="1"/>
    <col min="12586" max="12780" width="17.85546875" style="50"/>
    <col min="12781" max="12781" width="18.7109375" style="50" customWidth="1"/>
    <col min="12782" max="12782" width="1.7109375" style="50" customWidth="1"/>
    <col min="12783" max="12783" width="0.85546875" style="50" customWidth="1"/>
    <col min="12784" max="12804" width="0" style="50" hidden="1" customWidth="1"/>
    <col min="12805" max="12816" width="8.7109375" style="50" customWidth="1"/>
    <col min="12817" max="12820" width="0" style="50" hidden="1" customWidth="1"/>
    <col min="12821" max="12821" width="45.140625" style="50" customWidth="1"/>
    <col min="12822" max="12825" width="17.85546875" style="50"/>
    <col min="12826" max="12834" width="5.42578125" style="50" customWidth="1"/>
    <col min="12835" max="12839" width="6" style="50" customWidth="1"/>
    <col min="12840" max="12840" width="6.85546875" style="50" customWidth="1"/>
    <col min="12841" max="12841" width="5.42578125" style="50" customWidth="1"/>
    <col min="12842" max="13036" width="17.85546875" style="50"/>
    <col min="13037" max="13037" width="18.7109375" style="50" customWidth="1"/>
    <col min="13038" max="13038" width="1.7109375" style="50" customWidth="1"/>
    <col min="13039" max="13039" width="0.85546875" style="50" customWidth="1"/>
    <col min="13040" max="13060" width="0" style="50" hidden="1" customWidth="1"/>
    <col min="13061" max="13072" width="8.7109375" style="50" customWidth="1"/>
    <col min="13073" max="13076" width="0" style="50" hidden="1" customWidth="1"/>
    <col min="13077" max="13077" width="45.140625" style="50" customWidth="1"/>
    <col min="13078" max="13081" width="17.85546875" style="50"/>
    <col min="13082" max="13090" width="5.42578125" style="50" customWidth="1"/>
    <col min="13091" max="13095" width="6" style="50" customWidth="1"/>
    <col min="13096" max="13096" width="6.85546875" style="50" customWidth="1"/>
    <col min="13097" max="13097" width="5.42578125" style="50" customWidth="1"/>
    <col min="13098" max="13292" width="17.85546875" style="50"/>
    <col min="13293" max="13293" width="18.7109375" style="50" customWidth="1"/>
    <col min="13294" max="13294" width="1.7109375" style="50" customWidth="1"/>
    <col min="13295" max="13295" width="0.85546875" style="50" customWidth="1"/>
    <col min="13296" max="13316" width="0" style="50" hidden="1" customWidth="1"/>
    <col min="13317" max="13328" width="8.7109375" style="50" customWidth="1"/>
    <col min="13329" max="13332" width="0" style="50" hidden="1" customWidth="1"/>
    <col min="13333" max="13333" width="45.140625" style="50" customWidth="1"/>
    <col min="13334" max="13337" width="17.85546875" style="50"/>
    <col min="13338" max="13346" width="5.42578125" style="50" customWidth="1"/>
    <col min="13347" max="13351" width="6" style="50" customWidth="1"/>
    <col min="13352" max="13352" width="6.85546875" style="50" customWidth="1"/>
    <col min="13353" max="13353" width="5.42578125" style="50" customWidth="1"/>
    <col min="13354" max="13548" width="17.85546875" style="50"/>
    <col min="13549" max="13549" width="18.7109375" style="50" customWidth="1"/>
    <col min="13550" max="13550" width="1.7109375" style="50" customWidth="1"/>
    <col min="13551" max="13551" width="0.85546875" style="50" customWidth="1"/>
    <col min="13552" max="13572" width="0" style="50" hidden="1" customWidth="1"/>
    <col min="13573" max="13584" width="8.7109375" style="50" customWidth="1"/>
    <col min="13585" max="13588" width="0" style="50" hidden="1" customWidth="1"/>
    <col min="13589" max="13589" width="45.140625" style="50" customWidth="1"/>
    <col min="13590" max="13593" width="17.85546875" style="50"/>
    <col min="13594" max="13602" width="5.42578125" style="50" customWidth="1"/>
    <col min="13603" max="13607" width="6" style="50" customWidth="1"/>
    <col min="13608" max="13608" width="6.85546875" style="50" customWidth="1"/>
    <col min="13609" max="13609" width="5.42578125" style="50" customWidth="1"/>
    <col min="13610" max="13804" width="17.85546875" style="50"/>
    <col min="13805" max="13805" width="18.7109375" style="50" customWidth="1"/>
    <col min="13806" max="13806" width="1.7109375" style="50" customWidth="1"/>
    <col min="13807" max="13807" width="0.85546875" style="50" customWidth="1"/>
    <col min="13808" max="13828" width="0" style="50" hidden="1" customWidth="1"/>
    <col min="13829" max="13840" width="8.7109375" style="50" customWidth="1"/>
    <col min="13841" max="13844" width="0" style="50" hidden="1" customWidth="1"/>
    <col min="13845" max="13845" width="45.140625" style="50" customWidth="1"/>
    <col min="13846" max="13849" width="17.85546875" style="50"/>
    <col min="13850" max="13858" width="5.42578125" style="50" customWidth="1"/>
    <col min="13859" max="13863" width="6" style="50" customWidth="1"/>
    <col min="13864" max="13864" width="6.85546875" style="50" customWidth="1"/>
    <col min="13865" max="13865" width="5.42578125" style="50" customWidth="1"/>
    <col min="13866" max="14060" width="17.85546875" style="50"/>
    <col min="14061" max="14061" width="18.7109375" style="50" customWidth="1"/>
    <col min="14062" max="14062" width="1.7109375" style="50" customWidth="1"/>
    <col min="14063" max="14063" width="0.85546875" style="50" customWidth="1"/>
    <col min="14064" max="14084" width="0" style="50" hidden="1" customWidth="1"/>
    <col min="14085" max="14096" width="8.7109375" style="50" customWidth="1"/>
    <col min="14097" max="14100" width="0" style="50" hidden="1" customWidth="1"/>
    <col min="14101" max="14101" width="45.140625" style="50" customWidth="1"/>
    <col min="14102" max="14105" width="17.85546875" style="50"/>
    <col min="14106" max="14114" width="5.42578125" style="50" customWidth="1"/>
    <col min="14115" max="14119" width="6" style="50" customWidth="1"/>
    <col min="14120" max="14120" width="6.85546875" style="50" customWidth="1"/>
    <col min="14121" max="14121" width="5.42578125" style="50" customWidth="1"/>
    <col min="14122" max="14316" width="17.85546875" style="50"/>
    <col min="14317" max="14317" width="18.7109375" style="50" customWidth="1"/>
    <col min="14318" max="14318" width="1.7109375" style="50" customWidth="1"/>
    <col min="14319" max="14319" width="0.85546875" style="50" customWidth="1"/>
    <col min="14320" max="14340" width="0" style="50" hidden="1" customWidth="1"/>
    <col min="14341" max="14352" width="8.7109375" style="50" customWidth="1"/>
    <col min="14353" max="14356" width="0" style="50" hidden="1" customWidth="1"/>
    <col min="14357" max="14357" width="45.140625" style="50" customWidth="1"/>
    <col min="14358" max="14361" width="17.85546875" style="50"/>
    <col min="14362" max="14370" width="5.42578125" style="50" customWidth="1"/>
    <col min="14371" max="14375" width="6" style="50" customWidth="1"/>
    <col min="14376" max="14376" width="6.85546875" style="50" customWidth="1"/>
    <col min="14377" max="14377" width="5.42578125" style="50" customWidth="1"/>
    <col min="14378" max="14572" width="17.85546875" style="50"/>
    <col min="14573" max="14573" width="18.7109375" style="50" customWidth="1"/>
    <col min="14574" max="14574" width="1.7109375" style="50" customWidth="1"/>
    <col min="14575" max="14575" width="0.85546875" style="50" customWidth="1"/>
    <col min="14576" max="14596" width="0" style="50" hidden="1" customWidth="1"/>
    <col min="14597" max="14608" width="8.7109375" style="50" customWidth="1"/>
    <col min="14609" max="14612" width="0" style="50" hidden="1" customWidth="1"/>
    <col min="14613" max="14613" width="45.140625" style="50" customWidth="1"/>
    <col min="14614" max="14617" width="17.85546875" style="50"/>
    <col min="14618" max="14626" width="5.42578125" style="50" customWidth="1"/>
    <col min="14627" max="14631" width="6" style="50" customWidth="1"/>
    <col min="14632" max="14632" width="6.85546875" style="50" customWidth="1"/>
    <col min="14633" max="14633" width="5.42578125" style="50" customWidth="1"/>
    <col min="14634" max="14828" width="17.85546875" style="50"/>
    <col min="14829" max="14829" width="18.7109375" style="50" customWidth="1"/>
    <col min="14830" max="14830" width="1.7109375" style="50" customWidth="1"/>
    <col min="14831" max="14831" width="0.85546875" style="50" customWidth="1"/>
    <col min="14832" max="14852" width="0" style="50" hidden="1" customWidth="1"/>
    <col min="14853" max="14864" width="8.7109375" style="50" customWidth="1"/>
    <col min="14865" max="14868" width="0" style="50" hidden="1" customWidth="1"/>
    <col min="14869" max="14869" width="45.140625" style="50" customWidth="1"/>
    <col min="14870" max="14873" width="17.85546875" style="50"/>
    <col min="14874" max="14882" width="5.42578125" style="50" customWidth="1"/>
    <col min="14883" max="14887" width="6" style="50" customWidth="1"/>
    <col min="14888" max="14888" width="6.85546875" style="50" customWidth="1"/>
    <col min="14889" max="14889" width="5.42578125" style="50" customWidth="1"/>
    <col min="14890" max="15084" width="17.85546875" style="50"/>
    <col min="15085" max="15085" width="18.7109375" style="50" customWidth="1"/>
    <col min="15086" max="15086" width="1.7109375" style="50" customWidth="1"/>
    <col min="15087" max="15087" width="0.85546875" style="50" customWidth="1"/>
    <col min="15088" max="15108" width="0" style="50" hidden="1" customWidth="1"/>
    <col min="15109" max="15120" width="8.7109375" style="50" customWidth="1"/>
    <col min="15121" max="15124" width="0" style="50" hidden="1" customWidth="1"/>
    <col min="15125" max="15125" width="45.140625" style="50" customWidth="1"/>
    <col min="15126" max="15129" width="17.85546875" style="50"/>
    <col min="15130" max="15138" width="5.42578125" style="50" customWidth="1"/>
    <col min="15139" max="15143" width="6" style="50" customWidth="1"/>
    <col min="15144" max="15144" width="6.85546875" style="50" customWidth="1"/>
    <col min="15145" max="15145" width="5.42578125" style="50" customWidth="1"/>
    <col min="15146" max="15340" width="17.85546875" style="50"/>
    <col min="15341" max="15341" width="18.7109375" style="50" customWidth="1"/>
    <col min="15342" max="15342" width="1.7109375" style="50" customWidth="1"/>
    <col min="15343" max="15343" width="0.85546875" style="50" customWidth="1"/>
    <col min="15344" max="15364" width="0" style="50" hidden="1" customWidth="1"/>
    <col min="15365" max="15376" width="8.7109375" style="50" customWidth="1"/>
    <col min="15377" max="15380" width="0" style="50" hidden="1" customWidth="1"/>
    <col min="15381" max="15381" width="45.140625" style="50" customWidth="1"/>
    <col min="15382" max="15385" width="17.85546875" style="50"/>
    <col min="15386" max="15394" width="5.42578125" style="50" customWidth="1"/>
    <col min="15395" max="15399" width="6" style="50" customWidth="1"/>
    <col min="15400" max="15400" width="6.85546875" style="50" customWidth="1"/>
    <col min="15401" max="15401" width="5.42578125" style="50" customWidth="1"/>
    <col min="15402" max="15596" width="17.85546875" style="50"/>
    <col min="15597" max="15597" width="18.7109375" style="50" customWidth="1"/>
    <col min="15598" max="15598" width="1.7109375" style="50" customWidth="1"/>
    <col min="15599" max="15599" width="0.85546875" style="50" customWidth="1"/>
    <col min="15600" max="15620" width="0" style="50" hidden="1" customWidth="1"/>
    <col min="15621" max="15632" width="8.7109375" style="50" customWidth="1"/>
    <col min="15633" max="15636" width="0" style="50" hidden="1" customWidth="1"/>
    <col min="15637" max="15637" width="45.140625" style="50" customWidth="1"/>
    <col min="15638" max="15641" width="17.85546875" style="50"/>
    <col min="15642" max="15650" width="5.42578125" style="50" customWidth="1"/>
    <col min="15651" max="15655" width="6" style="50" customWidth="1"/>
    <col min="15656" max="15656" width="6.85546875" style="50" customWidth="1"/>
    <col min="15657" max="15657" width="5.42578125" style="50" customWidth="1"/>
    <col min="15658" max="15852" width="17.85546875" style="50"/>
    <col min="15853" max="15853" width="18.7109375" style="50" customWidth="1"/>
    <col min="15854" max="15854" width="1.7109375" style="50" customWidth="1"/>
    <col min="15855" max="15855" width="0.85546875" style="50" customWidth="1"/>
    <col min="15856" max="15876" width="0" style="50" hidden="1" customWidth="1"/>
    <col min="15877" max="15888" width="8.7109375" style="50" customWidth="1"/>
    <col min="15889" max="15892" width="0" style="50" hidden="1" customWidth="1"/>
    <col min="15893" max="15893" width="45.140625" style="50" customWidth="1"/>
    <col min="15894" max="15897" width="17.85546875" style="50"/>
    <col min="15898" max="15906" width="5.42578125" style="50" customWidth="1"/>
    <col min="15907" max="15911" width="6" style="50" customWidth="1"/>
    <col min="15912" max="15912" width="6.85546875" style="50" customWidth="1"/>
    <col min="15913" max="15913" width="5.42578125" style="50" customWidth="1"/>
    <col min="15914" max="16108" width="17.85546875" style="50"/>
    <col min="16109" max="16109" width="18.7109375" style="50" customWidth="1"/>
    <col min="16110" max="16110" width="1.7109375" style="50" customWidth="1"/>
    <col min="16111" max="16111" width="0.85546875" style="50" customWidth="1"/>
    <col min="16112" max="16132" width="0" style="50" hidden="1" customWidth="1"/>
    <col min="16133" max="16144" width="8.7109375" style="50" customWidth="1"/>
    <col min="16145" max="16148" width="0" style="50" hidden="1" customWidth="1"/>
    <col min="16149" max="16149" width="45.140625" style="50" customWidth="1"/>
    <col min="16150" max="16153" width="17.85546875" style="50"/>
    <col min="16154" max="16162" width="5.42578125" style="50" customWidth="1"/>
    <col min="16163" max="16167" width="6" style="50" customWidth="1"/>
    <col min="16168" max="16168" width="6.85546875" style="50" customWidth="1"/>
    <col min="16169" max="16169" width="5.42578125" style="50" customWidth="1"/>
    <col min="16170" max="16384" width="17.85546875" style="50"/>
  </cols>
  <sheetData>
    <row r="1" spans="1:25" ht="15.75" x14ac:dyDescent="0.2">
      <c r="A1" s="64" t="s">
        <v>30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25" ht="21.75" customHeight="1" x14ac:dyDescent="0.2">
      <c r="A2" s="65" t="s">
        <v>31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spans="1:25" s="9" customFormat="1" ht="12.75" customHeight="1" x14ac:dyDescent="0.25">
      <c r="A3" s="62" t="s">
        <v>4</v>
      </c>
      <c r="B3" s="8"/>
      <c r="C3" s="56"/>
      <c r="D3" s="57">
        <v>2017</v>
      </c>
      <c r="E3" s="58"/>
      <c r="F3" s="58"/>
      <c r="G3" s="58"/>
      <c r="H3" s="57" t="s">
        <v>20</v>
      </c>
      <c r="I3" s="58"/>
      <c r="J3" s="58"/>
      <c r="K3" s="58"/>
      <c r="L3" s="57" t="s">
        <v>22</v>
      </c>
      <c r="M3" s="58"/>
      <c r="N3" s="58"/>
      <c r="O3" s="58"/>
      <c r="P3" s="59" t="s">
        <v>5</v>
      </c>
    </row>
    <row r="4" spans="1:25" s="9" customFormat="1" ht="12.75" customHeight="1" x14ac:dyDescent="0.25">
      <c r="A4" s="63"/>
      <c r="B4" s="10"/>
      <c r="C4" s="10"/>
      <c r="D4" s="12" t="s">
        <v>0</v>
      </c>
      <c r="E4" s="11" t="s">
        <v>1</v>
      </c>
      <c r="F4" s="11" t="s">
        <v>2</v>
      </c>
      <c r="G4" s="11" t="s">
        <v>6</v>
      </c>
      <c r="H4" s="12" t="s">
        <v>0</v>
      </c>
      <c r="I4" s="11" t="s">
        <v>1</v>
      </c>
      <c r="J4" s="11" t="s">
        <v>2</v>
      </c>
      <c r="K4" s="11" t="s">
        <v>6</v>
      </c>
      <c r="L4" s="12" t="s">
        <v>0</v>
      </c>
      <c r="M4" s="11" t="s">
        <v>1</v>
      </c>
      <c r="N4" s="11" t="s">
        <v>2</v>
      </c>
      <c r="O4" s="11" t="s">
        <v>6</v>
      </c>
      <c r="P4" s="60"/>
    </row>
    <row r="5" spans="1:25" s="16" customFormat="1" ht="15.75" x14ac:dyDescent="0.25">
      <c r="A5" s="13" t="s">
        <v>7</v>
      </c>
      <c r="B5" s="14"/>
      <c r="C5" s="15"/>
      <c r="D5" s="66">
        <f t="shared" ref="D5:D11" si="0">SUM(E5:G5)</f>
        <v>6723</v>
      </c>
      <c r="E5" s="67">
        <f>SUM(E6:E7)</f>
        <v>4180</v>
      </c>
      <c r="F5" s="67">
        <f>SUM(F6:F7)</f>
        <v>2194</v>
      </c>
      <c r="G5" s="67">
        <f>SUM(G6:G7)</f>
        <v>349</v>
      </c>
      <c r="H5" s="66">
        <f>SUM(I5:K5)</f>
        <v>6564</v>
      </c>
      <c r="I5" s="67">
        <f>SUM(I6:I8)</f>
        <v>4265</v>
      </c>
      <c r="J5" s="67">
        <f>SUM(J6:J8)</f>
        <v>2039</v>
      </c>
      <c r="K5" s="67">
        <f>SUM(K6:K8)</f>
        <v>260</v>
      </c>
      <c r="L5" s="66">
        <f>SUM(M5:O5)</f>
        <v>6127</v>
      </c>
      <c r="M5" s="67">
        <f>SUM(M6:M7)</f>
        <v>4254</v>
      </c>
      <c r="N5" s="67">
        <f>SUM(N6:N8)</f>
        <v>1842</v>
      </c>
      <c r="O5" s="67">
        <f>SUM(O6:O7)</f>
        <v>31</v>
      </c>
      <c r="P5" s="47" t="s">
        <v>8</v>
      </c>
      <c r="Q5" s="3"/>
      <c r="R5" s="3"/>
      <c r="S5" s="3"/>
      <c r="T5" s="3"/>
      <c r="U5" s="3"/>
      <c r="V5" s="3"/>
      <c r="W5" s="3"/>
      <c r="X5" s="3"/>
      <c r="Y5" s="3"/>
    </row>
    <row r="6" spans="1:25" s="51" customFormat="1" ht="15.75" x14ac:dyDescent="0.25">
      <c r="A6" s="17" t="s">
        <v>9</v>
      </c>
      <c r="B6" s="18"/>
      <c r="C6" s="19"/>
      <c r="D6" s="68">
        <f t="shared" si="0"/>
        <v>3403</v>
      </c>
      <c r="E6" s="69">
        <v>2151</v>
      </c>
      <c r="F6" s="69">
        <v>1097</v>
      </c>
      <c r="G6" s="69">
        <v>155</v>
      </c>
      <c r="H6" s="68">
        <f t="shared" ref="H6:H10" si="1">SUM(I6:K6)</f>
        <v>3411</v>
      </c>
      <c r="I6" s="69">
        <v>2229</v>
      </c>
      <c r="J6" s="69">
        <v>1039</v>
      </c>
      <c r="K6" s="69">
        <v>143</v>
      </c>
      <c r="L6" s="68">
        <f>SUM(M6:O6)</f>
        <v>3088</v>
      </c>
      <c r="M6" s="69">
        <v>2151</v>
      </c>
      <c r="N6" s="69">
        <v>922</v>
      </c>
      <c r="O6" s="69">
        <v>15</v>
      </c>
      <c r="P6" s="48" t="s">
        <v>10</v>
      </c>
      <c r="Q6" s="3"/>
      <c r="R6" s="4"/>
      <c r="S6" s="4"/>
      <c r="T6" s="4"/>
      <c r="U6" s="4"/>
      <c r="V6" s="4"/>
      <c r="W6" s="4"/>
      <c r="X6" s="4"/>
      <c r="Y6" s="4"/>
    </row>
    <row r="7" spans="1:25" s="51" customFormat="1" ht="15.75" x14ac:dyDescent="0.25">
      <c r="A7" s="17" t="s">
        <v>11</v>
      </c>
      <c r="B7" s="18"/>
      <c r="C7" s="19"/>
      <c r="D7" s="68">
        <f t="shared" si="0"/>
        <v>3320</v>
      </c>
      <c r="E7" s="69">
        <v>2029</v>
      </c>
      <c r="F7" s="69">
        <v>1097</v>
      </c>
      <c r="G7" s="69">
        <v>194</v>
      </c>
      <c r="H7" s="68">
        <f t="shared" si="1"/>
        <v>3152</v>
      </c>
      <c r="I7" s="69">
        <v>2035</v>
      </c>
      <c r="J7" s="69">
        <v>1000</v>
      </c>
      <c r="K7" s="69">
        <v>117</v>
      </c>
      <c r="L7" s="68">
        <f>SUM(M7:O7)</f>
        <v>3038</v>
      </c>
      <c r="M7" s="69">
        <v>2103</v>
      </c>
      <c r="N7" s="69">
        <v>919</v>
      </c>
      <c r="O7" s="69">
        <v>16</v>
      </c>
      <c r="P7" s="48" t="s">
        <v>12</v>
      </c>
      <c r="Q7" s="3"/>
      <c r="R7" s="4"/>
      <c r="S7" s="4"/>
      <c r="T7" s="4"/>
      <c r="U7" s="4"/>
      <c r="V7" s="4"/>
      <c r="W7" s="4"/>
      <c r="X7" s="4"/>
      <c r="Y7" s="4"/>
    </row>
    <row r="8" spans="1:25" s="51" customFormat="1" ht="15.75" x14ac:dyDescent="0.25">
      <c r="A8" s="17" t="s">
        <v>21</v>
      </c>
      <c r="B8" s="18"/>
      <c r="C8" s="19"/>
      <c r="D8" s="70" t="s">
        <v>23</v>
      </c>
      <c r="E8" s="71" t="s">
        <v>23</v>
      </c>
      <c r="F8" s="71" t="s">
        <v>23</v>
      </c>
      <c r="G8" s="72" t="s">
        <v>23</v>
      </c>
      <c r="H8" s="69">
        <f t="shared" si="1"/>
        <v>1</v>
      </c>
      <c r="I8" s="69">
        <v>1</v>
      </c>
      <c r="J8" s="69">
        <v>0</v>
      </c>
      <c r="K8" s="73">
        <v>0</v>
      </c>
      <c r="L8" s="74">
        <f>SUM(M8:O8)</f>
        <v>1</v>
      </c>
      <c r="M8" s="75">
        <v>0</v>
      </c>
      <c r="N8" s="75">
        <v>1</v>
      </c>
      <c r="O8" s="75">
        <v>0</v>
      </c>
      <c r="P8" s="48"/>
      <c r="Q8" s="3"/>
      <c r="R8" s="4"/>
      <c r="S8" s="4"/>
      <c r="T8" s="4"/>
      <c r="U8" s="4"/>
      <c r="V8" s="4"/>
      <c r="W8" s="4"/>
      <c r="X8" s="4"/>
      <c r="Y8" s="4"/>
    </row>
    <row r="9" spans="1:25" s="16" customFormat="1" ht="15.75" x14ac:dyDescent="0.25">
      <c r="A9" s="20" t="s">
        <v>13</v>
      </c>
      <c r="B9" s="21"/>
      <c r="C9" s="22"/>
      <c r="D9" s="76">
        <f t="shared" si="0"/>
        <v>64</v>
      </c>
      <c r="E9" s="77">
        <f>SUM(E10:E11)</f>
        <v>44</v>
      </c>
      <c r="F9" s="77">
        <f>SUM(F10:F11)</f>
        <v>14</v>
      </c>
      <c r="G9" s="77">
        <f>SUM(G10:G11)</f>
        <v>6</v>
      </c>
      <c r="H9" s="76">
        <f>SUM(I9:K9)</f>
        <v>46</v>
      </c>
      <c r="I9" s="77">
        <f>SUM(I10:I12)</f>
        <v>32</v>
      </c>
      <c r="J9" s="77">
        <f>SUM(J10:J12)</f>
        <v>12</v>
      </c>
      <c r="K9" s="77">
        <f>SUM(K10:K12)</f>
        <v>2</v>
      </c>
      <c r="L9" s="76">
        <f>SUM(M11:O11)</f>
        <v>20</v>
      </c>
      <c r="M9" s="77">
        <f>SUM(M10:M11)</f>
        <v>24</v>
      </c>
      <c r="N9" s="77">
        <f>SUM(N10:N11)</f>
        <v>8</v>
      </c>
      <c r="O9" s="77">
        <f>SUM(O10:O11)</f>
        <v>11</v>
      </c>
      <c r="P9" s="47" t="s">
        <v>14</v>
      </c>
      <c r="Q9" s="3"/>
      <c r="R9" s="5"/>
      <c r="S9" s="5"/>
      <c r="T9" s="5"/>
      <c r="U9" s="5"/>
      <c r="V9" s="5"/>
      <c r="W9" s="5"/>
      <c r="X9" s="5"/>
      <c r="Y9" s="5"/>
    </row>
    <row r="10" spans="1:25" s="16" customFormat="1" ht="15.75" x14ac:dyDescent="0.25">
      <c r="A10" s="17" t="s">
        <v>9</v>
      </c>
      <c r="B10" s="23"/>
      <c r="C10" s="24"/>
      <c r="D10" s="78">
        <f t="shared" si="0"/>
        <v>42</v>
      </c>
      <c r="E10" s="79">
        <v>31</v>
      </c>
      <c r="F10" s="79">
        <v>7</v>
      </c>
      <c r="G10" s="79">
        <v>4</v>
      </c>
      <c r="H10" s="78">
        <f t="shared" si="1"/>
        <v>24</v>
      </c>
      <c r="I10" s="79">
        <v>19</v>
      </c>
      <c r="J10" s="79">
        <v>4</v>
      </c>
      <c r="K10" s="79">
        <v>1</v>
      </c>
      <c r="L10" s="78">
        <f>SUM(M10:O10)</f>
        <v>23</v>
      </c>
      <c r="M10" s="79">
        <v>11</v>
      </c>
      <c r="N10" s="79">
        <v>4</v>
      </c>
      <c r="O10" s="79">
        <v>8</v>
      </c>
      <c r="P10" s="48" t="s">
        <v>10</v>
      </c>
      <c r="Q10" s="3"/>
      <c r="R10" s="3"/>
      <c r="S10" s="3"/>
      <c r="T10" s="3"/>
      <c r="U10" s="3"/>
      <c r="V10" s="3"/>
      <c r="W10" s="3"/>
      <c r="X10" s="3"/>
      <c r="Y10" s="3"/>
    </row>
    <row r="11" spans="1:25" s="16" customFormat="1" ht="15.75" x14ac:dyDescent="0.25">
      <c r="A11" s="17" t="s">
        <v>11</v>
      </c>
      <c r="B11" s="23"/>
      <c r="C11" s="24"/>
      <c r="D11" s="78">
        <f t="shared" si="0"/>
        <v>22</v>
      </c>
      <c r="E11" s="79">
        <v>13</v>
      </c>
      <c r="F11" s="79">
        <v>7</v>
      </c>
      <c r="G11" s="79">
        <v>2</v>
      </c>
      <c r="H11" s="78">
        <f>SUM(I11:K11)</f>
        <v>21</v>
      </c>
      <c r="I11" s="79">
        <v>13</v>
      </c>
      <c r="J11" s="79">
        <v>7</v>
      </c>
      <c r="K11" s="79">
        <v>1</v>
      </c>
      <c r="L11" s="78">
        <f>SUM(O14:O14)</f>
        <v>0</v>
      </c>
      <c r="M11" s="79">
        <v>13</v>
      </c>
      <c r="N11" s="79">
        <v>4</v>
      </c>
      <c r="O11" s="79">
        <v>3</v>
      </c>
      <c r="P11" s="48" t="s">
        <v>12</v>
      </c>
      <c r="Q11" s="3"/>
      <c r="R11" s="6"/>
      <c r="S11" s="6"/>
      <c r="T11" s="6"/>
      <c r="U11" s="6"/>
      <c r="V11" s="6"/>
      <c r="W11" s="6"/>
      <c r="X11" s="6"/>
      <c r="Y11" s="6"/>
    </row>
    <row r="12" spans="1:25" s="16" customFormat="1" ht="15.75" x14ac:dyDescent="0.25">
      <c r="A12" s="17" t="s">
        <v>21</v>
      </c>
      <c r="B12" s="23"/>
      <c r="C12" s="24"/>
      <c r="D12" s="70" t="s">
        <v>23</v>
      </c>
      <c r="E12" s="71" t="s">
        <v>23</v>
      </c>
      <c r="F12" s="71" t="s">
        <v>23</v>
      </c>
      <c r="G12" s="72" t="s">
        <v>23</v>
      </c>
      <c r="H12" s="78">
        <f>SUM(I12:K12)</f>
        <v>1</v>
      </c>
      <c r="I12" s="73">
        <v>0</v>
      </c>
      <c r="J12" s="80">
        <v>1</v>
      </c>
      <c r="K12" s="81">
        <v>0</v>
      </c>
      <c r="L12" s="70" t="s">
        <v>23</v>
      </c>
      <c r="M12" s="71" t="s">
        <v>23</v>
      </c>
      <c r="N12" s="71" t="s">
        <v>23</v>
      </c>
      <c r="O12" s="71" t="s">
        <v>23</v>
      </c>
      <c r="P12" s="48"/>
      <c r="Q12" s="3"/>
      <c r="R12" s="6"/>
      <c r="S12" s="6"/>
      <c r="T12" s="6"/>
      <c r="U12" s="6"/>
      <c r="V12" s="6"/>
      <c r="W12" s="6"/>
      <c r="X12" s="6"/>
      <c r="Y12" s="6"/>
    </row>
    <row r="13" spans="1:25" s="16" customFormat="1" ht="15.75" x14ac:dyDescent="0.25">
      <c r="A13" s="27" t="s">
        <v>24</v>
      </c>
      <c r="B13" s="25"/>
      <c r="C13" s="26"/>
      <c r="D13" s="82"/>
      <c r="E13" s="83"/>
      <c r="F13" s="83"/>
      <c r="G13" s="83"/>
      <c r="H13" s="82"/>
      <c r="I13" s="83"/>
      <c r="J13" s="83"/>
      <c r="K13" s="83"/>
      <c r="L13" s="82"/>
      <c r="M13" s="83"/>
      <c r="N13" s="83"/>
      <c r="O13" s="83"/>
      <c r="P13" s="47" t="s">
        <v>15</v>
      </c>
      <c r="Q13" s="3"/>
      <c r="R13" s="6"/>
      <c r="S13" s="6"/>
      <c r="T13" s="6"/>
      <c r="U13" s="6"/>
      <c r="V13" s="6"/>
      <c r="W13" s="6"/>
      <c r="X13" s="6"/>
      <c r="Y13" s="6"/>
    </row>
    <row r="14" spans="1:25" s="16" customFormat="1" ht="15.75" x14ac:dyDescent="0.25">
      <c r="A14" s="27" t="s">
        <v>25</v>
      </c>
      <c r="B14" s="25"/>
      <c r="C14" s="28"/>
      <c r="D14" s="82">
        <f t="shared" ref="D14:F16" si="2">D9/D5*1000</f>
        <v>9.519559720362933</v>
      </c>
      <c r="E14" s="83">
        <f t="shared" si="2"/>
        <v>10.526315789473683</v>
      </c>
      <c r="F14" s="83">
        <f t="shared" si="2"/>
        <v>6.381039197812215</v>
      </c>
      <c r="G14" s="72" t="s">
        <v>23</v>
      </c>
      <c r="H14" s="82">
        <f t="shared" ref="H14:J16" si="3">H9/H5*1000</f>
        <v>7.0079219987812307</v>
      </c>
      <c r="I14" s="83">
        <f t="shared" si="3"/>
        <v>7.5029308323563892</v>
      </c>
      <c r="J14" s="83">
        <f t="shared" si="3"/>
        <v>5.8852378616969103</v>
      </c>
      <c r="K14" s="72" t="s">
        <v>23</v>
      </c>
      <c r="L14" s="82">
        <f t="shared" ref="L14:N16" si="4">L9/L5*1000</f>
        <v>3.2642402480822592</v>
      </c>
      <c r="M14" s="83">
        <f t="shared" si="4"/>
        <v>5.6417489421720735</v>
      </c>
      <c r="N14" s="83">
        <f t="shared" si="4"/>
        <v>4.3431053203040175</v>
      </c>
      <c r="O14" s="71" t="s">
        <v>23</v>
      </c>
      <c r="P14" s="47" t="s">
        <v>16</v>
      </c>
      <c r="Q14" s="7"/>
      <c r="R14" s="7"/>
      <c r="S14" s="7"/>
      <c r="T14" s="7"/>
      <c r="U14" s="7"/>
      <c r="V14" s="7"/>
      <c r="W14" s="7"/>
      <c r="X14" s="7"/>
      <c r="Y14" s="7"/>
    </row>
    <row r="15" spans="1:25" s="51" customFormat="1" ht="15.75" x14ac:dyDescent="0.25">
      <c r="A15" s="17" t="s">
        <v>9</v>
      </c>
      <c r="B15" s="29"/>
      <c r="C15" s="30"/>
      <c r="D15" s="84">
        <f t="shared" si="2"/>
        <v>12.342051131354687</v>
      </c>
      <c r="E15" s="85">
        <f t="shared" si="2"/>
        <v>14.411901441190144</v>
      </c>
      <c r="F15" s="85">
        <f t="shared" si="2"/>
        <v>6.381039197812215</v>
      </c>
      <c r="G15" s="72" t="s">
        <v>23</v>
      </c>
      <c r="H15" s="84">
        <f t="shared" si="3"/>
        <v>7.0360598065083559</v>
      </c>
      <c r="I15" s="85">
        <f t="shared" si="3"/>
        <v>8.5240017945266935</v>
      </c>
      <c r="J15" s="85">
        <f t="shared" si="3"/>
        <v>3.8498556304138596</v>
      </c>
      <c r="K15" s="72" t="s">
        <v>23</v>
      </c>
      <c r="L15" s="84">
        <f t="shared" si="4"/>
        <v>7.4481865284974091</v>
      </c>
      <c r="M15" s="85">
        <f t="shared" si="4"/>
        <v>5.1139005113900513</v>
      </c>
      <c r="N15" s="85">
        <f t="shared" si="4"/>
        <v>4.3383947939262475</v>
      </c>
      <c r="O15" s="71" t="s">
        <v>23</v>
      </c>
      <c r="P15" s="48" t="s">
        <v>10</v>
      </c>
      <c r="Q15" s="31"/>
      <c r="R15" s="7"/>
      <c r="S15" s="7"/>
      <c r="T15" s="7"/>
      <c r="U15" s="7"/>
      <c r="V15" s="7"/>
      <c r="W15" s="7"/>
      <c r="X15" s="7"/>
      <c r="Y15" s="61"/>
    </row>
    <row r="16" spans="1:25" s="51" customFormat="1" ht="15.75" x14ac:dyDescent="0.25">
      <c r="A16" s="32" t="s">
        <v>11</v>
      </c>
      <c r="B16" s="33"/>
      <c r="C16" s="34"/>
      <c r="D16" s="86">
        <f t="shared" si="2"/>
        <v>6.6265060240963853</v>
      </c>
      <c r="E16" s="87">
        <f t="shared" si="2"/>
        <v>6.4070970921636272</v>
      </c>
      <c r="F16" s="87">
        <f t="shared" si="2"/>
        <v>6.381039197812215</v>
      </c>
      <c r="G16" s="88" t="s">
        <v>23</v>
      </c>
      <c r="H16" s="86">
        <f t="shared" si="3"/>
        <v>6.6624365482233499</v>
      </c>
      <c r="I16" s="87">
        <f t="shared" si="3"/>
        <v>6.3882063882063882</v>
      </c>
      <c r="J16" s="87">
        <f t="shared" si="3"/>
        <v>7</v>
      </c>
      <c r="K16" s="88" t="s">
        <v>23</v>
      </c>
      <c r="L16" s="86">
        <f t="shared" si="4"/>
        <v>0</v>
      </c>
      <c r="M16" s="87">
        <f t="shared" si="4"/>
        <v>6.1816452686638135</v>
      </c>
      <c r="N16" s="87">
        <f t="shared" si="4"/>
        <v>4.3525571273122958</v>
      </c>
      <c r="O16" s="89" t="s">
        <v>23</v>
      </c>
      <c r="P16" s="49" t="s">
        <v>12</v>
      </c>
      <c r="Q16" s="7"/>
      <c r="R16" s="7"/>
      <c r="S16" s="7"/>
      <c r="T16" s="7"/>
      <c r="U16" s="7"/>
      <c r="V16" s="7"/>
      <c r="W16" s="7"/>
      <c r="X16" s="7"/>
      <c r="Y16" s="61"/>
    </row>
    <row r="17" spans="1:42" s="37" customFormat="1" ht="17.25" x14ac:dyDescent="0.25">
      <c r="A17" s="35" t="s">
        <v>17</v>
      </c>
      <c r="B17" s="36"/>
      <c r="C17" s="36"/>
      <c r="N17" s="90"/>
      <c r="O17" s="91"/>
      <c r="P17" s="38" t="s">
        <v>18</v>
      </c>
      <c r="Q17" s="7"/>
      <c r="R17" s="7"/>
      <c r="S17" s="7"/>
      <c r="T17" s="7"/>
      <c r="U17" s="7"/>
      <c r="V17" s="7"/>
      <c r="W17" s="7"/>
      <c r="X17" s="7"/>
      <c r="Y17" s="61"/>
      <c r="Z17" s="39"/>
      <c r="AA17" s="39"/>
      <c r="AB17" s="39"/>
      <c r="AC17" s="39"/>
    </row>
    <row r="18" spans="1:42" ht="21" x14ac:dyDescent="0.2">
      <c r="A18" s="92" t="s">
        <v>26</v>
      </c>
      <c r="N18" s="93"/>
      <c r="O18" s="91"/>
      <c r="P18" s="94" t="s">
        <v>27</v>
      </c>
    </row>
    <row r="19" spans="1:42" s="52" customFormat="1" ht="21" x14ac:dyDescent="0.25">
      <c r="A19" s="95" t="s">
        <v>28</v>
      </c>
      <c r="B19" s="41"/>
      <c r="C19" s="41"/>
      <c r="P19" s="94" t="s">
        <v>29</v>
      </c>
      <c r="Q19" s="41"/>
      <c r="R19" s="41"/>
      <c r="S19" s="41"/>
      <c r="T19" s="41"/>
      <c r="U19" s="41"/>
      <c r="V19" s="41"/>
      <c r="W19" s="41"/>
      <c r="X19" s="41"/>
      <c r="Y19" s="41"/>
    </row>
    <row r="20" spans="1:42" ht="21" x14ac:dyDescent="0.2">
      <c r="A20" s="40" t="s">
        <v>19</v>
      </c>
      <c r="P20" s="96" t="s">
        <v>3</v>
      </c>
    </row>
    <row r="21" spans="1:42" ht="12.75" x14ac:dyDescent="0.2">
      <c r="A21" s="2"/>
      <c r="P21" s="42"/>
      <c r="Z21" s="43"/>
      <c r="AA21" s="53">
        <v>2004</v>
      </c>
      <c r="AB21" s="53">
        <v>2005</v>
      </c>
      <c r="AC21" s="53">
        <v>2006</v>
      </c>
      <c r="AD21" s="53">
        <v>2007</v>
      </c>
      <c r="AE21" s="53">
        <v>2008</v>
      </c>
      <c r="AF21" s="53">
        <v>2009</v>
      </c>
      <c r="AG21" s="50">
        <v>2010</v>
      </c>
      <c r="AH21" s="50">
        <v>2011</v>
      </c>
      <c r="AI21" s="53">
        <v>2012</v>
      </c>
      <c r="AJ21" s="50">
        <v>2013</v>
      </c>
      <c r="AK21" s="50">
        <v>2014</v>
      </c>
      <c r="AL21" s="53">
        <v>2015</v>
      </c>
      <c r="AM21" s="50">
        <v>2016</v>
      </c>
      <c r="AN21" s="50">
        <v>2017</v>
      </c>
      <c r="AO21" s="50">
        <v>2018</v>
      </c>
      <c r="AP21" s="50">
        <v>2019</v>
      </c>
    </row>
    <row r="22" spans="1:42" ht="12.75" x14ac:dyDescent="0.2">
      <c r="Z22" s="53" t="s">
        <v>1</v>
      </c>
      <c r="AA22" s="44">
        <v>10</v>
      </c>
      <c r="AB22" s="54">
        <v>12</v>
      </c>
      <c r="AC22" s="54">
        <v>13</v>
      </c>
      <c r="AD22" s="54">
        <v>9.0820629257216989</v>
      </c>
      <c r="AE22" s="54">
        <v>12</v>
      </c>
      <c r="AF22" s="54">
        <v>14</v>
      </c>
      <c r="AG22" s="54">
        <v>11</v>
      </c>
      <c r="AH22" s="25">
        <v>10</v>
      </c>
      <c r="AI22" s="25">
        <v>10</v>
      </c>
      <c r="AJ22" s="54">
        <v>5.1085568326947639</v>
      </c>
      <c r="AK22" s="54">
        <v>8.4388185654008439</v>
      </c>
      <c r="AL22" s="54">
        <v>9.7949886104783594</v>
      </c>
      <c r="AM22" s="54">
        <v>8.2063305978898011</v>
      </c>
      <c r="AN22" s="54">
        <v>10.526315789473683</v>
      </c>
      <c r="AO22" s="54">
        <v>7.5029308323563892</v>
      </c>
      <c r="AP22" s="54">
        <v>5.6417489421720735</v>
      </c>
    </row>
    <row r="23" spans="1:42" ht="16.5" customHeight="1" x14ac:dyDescent="0.2">
      <c r="Z23" s="53" t="s">
        <v>2</v>
      </c>
      <c r="AA23" s="55">
        <v>18</v>
      </c>
      <c r="AB23" s="54">
        <v>12</v>
      </c>
      <c r="AC23" s="54">
        <v>18</v>
      </c>
      <c r="AD23" s="54">
        <v>10.900745840504877</v>
      </c>
      <c r="AE23" s="54">
        <v>10</v>
      </c>
      <c r="AF23" s="54">
        <v>8</v>
      </c>
      <c r="AG23" s="54">
        <v>10</v>
      </c>
      <c r="AH23" s="25">
        <v>6</v>
      </c>
      <c r="AI23" s="25">
        <v>7</v>
      </c>
      <c r="AJ23" s="54">
        <v>6.9060773480662982</v>
      </c>
      <c r="AK23" s="54">
        <v>4.6296296296296298</v>
      </c>
      <c r="AL23" s="54">
        <v>5.84795321637427</v>
      </c>
      <c r="AM23" s="54">
        <v>6.5207265952491849</v>
      </c>
      <c r="AN23" s="54">
        <v>6.381039197812215</v>
      </c>
      <c r="AO23" s="54">
        <v>5.8852378616969103</v>
      </c>
      <c r="AP23" s="54">
        <v>4.3431053203040175</v>
      </c>
    </row>
    <row r="24" spans="1:42" ht="16.5" customHeight="1" x14ac:dyDescent="0.2">
      <c r="AM24" s="54"/>
    </row>
    <row r="25" spans="1:42" ht="16.5" customHeight="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5"/>
      <c r="AD25" s="46"/>
    </row>
    <row r="26" spans="1:42" ht="16.5" customHeight="1" x14ac:dyDescent="0.3">
      <c r="AD26" s="46"/>
    </row>
    <row r="27" spans="1:42" ht="16.5" customHeight="1" x14ac:dyDescent="0.3"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4"/>
      <c r="AD27" s="46"/>
    </row>
    <row r="28" spans="1:42" ht="16.5" customHeight="1" x14ac:dyDescent="0.3">
      <c r="AD28" s="46"/>
    </row>
    <row r="29" spans="1:42" ht="16.5" customHeight="1" x14ac:dyDescent="0.3">
      <c r="AD29" s="46"/>
    </row>
    <row r="30" spans="1:42" ht="16.5" customHeight="1" x14ac:dyDescent="0.3">
      <c r="AD30" s="46"/>
    </row>
    <row r="31" spans="1:42" ht="16.5" customHeight="1" x14ac:dyDescent="0.3">
      <c r="AD31" s="46"/>
    </row>
    <row r="32" spans="1:42" ht="16.5" customHeight="1" x14ac:dyDescent="0.3">
      <c r="AC32" s="46"/>
      <c r="AD32" s="46"/>
    </row>
  </sheetData>
  <mergeCells count="8">
    <mergeCell ref="D3:G3"/>
    <mergeCell ref="H3:K3"/>
    <mergeCell ref="L3:O3"/>
    <mergeCell ref="P3:P4"/>
    <mergeCell ref="Y15:Y17"/>
    <mergeCell ref="A3:A4"/>
    <mergeCell ref="A1:P1"/>
    <mergeCell ref="A2:P2"/>
  </mergeCells>
  <pageMargins left="0.7" right="0.7" top="0.75" bottom="0.75" header="0.3" footer="0.3"/>
  <pageSetup scale="4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3.9</vt:lpstr>
      <vt:lpstr>'3.9'!Print_Area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2021-03-31T05:42:48Z</cp:lastPrinted>
  <dcterms:created xsi:type="dcterms:W3CDTF">2019-07-22T06:02:33Z</dcterms:created>
  <dcterms:modified xsi:type="dcterms:W3CDTF">2021-03-31T05:42:56Z</dcterms:modified>
</cp:coreProperties>
</file>