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1" sheetId="1" r:id="rId1"/>
  </sheets>
  <externalReferences>
    <externalReference r:id="rId2"/>
    <externalReference r:id="rId3"/>
  </externalReferences>
  <definedNames>
    <definedName name="_xlnm.Print_Area" localSheetId="0">'6.1'!$A$1:$WUC$38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J16" i="1" l="1"/>
  <c r="F16" i="1"/>
  <c r="B16" i="1" s="1"/>
  <c r="D16" i="1"/>
  <c r="C16" i="1"/>
  <c r="J15" i="1"/>
  <c r="B15" i="1" s="1"/>
  <c r="D15" i="1"/>
  <c r="C15" i="1"/>
  <c r="J14" i="1"/>
  <c r="J13" i="1" s="1"/>
  <c r="D14" i="1"/>
  <c r="C14" i="1"/>
  <c r="L13" i="1"/>
  <c r="D13" i="1" s="1"/>
  <c r="K13" i="1"/>
  <c r="C13" i="1" s="1"/>
  <c r="J11" i="1"/>
  <c r="F11" i="1"/>
  <c r="B11" i="1" s="1"/>
  <c r="D11" i="1"/>
  <c r="C11" i="1"/>
  <c r="J10" i="1"/>
  <c r="F10" i="1"/>
  <c r="B10" i="1" s="1"/>
  <c r="D10" i="1"/>
  <c r="C10" i="1"/>
  <c r="J9" i="1"/>
  <c r="F9" i="1"/>
  <c r="D9" i="1"/>
  <c r="C9" i="1"/>
  <c r="J8" i="1"/>
  <c r="F8" i="1"/>
  <c r="F7" i="1" s="1"/>
  <c r="D8" i="1"/>
  <c r="D7" i="1" s="1"/>
  <c r="C8" i="1"/>
  <c r="L7" i="1"/>
  <c r="K7" i="1"/>
  <c r="K6" i="1" s="1"/>
  <c r="H7" i="1"/>
  <c r="H6" i="1" s="1"/>
  <c r="G7" i="1"/>
  <c r="G6" i="1"/>
  <c r="B8" i="1" l="1"/>
  <c r="D6" i="1"/>
  <c r="L6" i="1"/>
  <c r="B9" i="1"/>
  <c r="B7" i="1" s="1"/>
  <c r="B14" i="1"/>
  <c r="J7" i="1"/>
  <c r="J6" i="1" s="1"/>
  <c r="C7" i="1"/>
  <c r="C6" i="1" s="1"/>
  <c r="B13" i="1" l="1"/>
  <c r="B6" i="1" s="1"/>
  <c r="F6" i="1"/>
  <c r="W11" i="1" l="1"/>
  <c r="AB11" i="1"/>
  <c r="Z11" i="1"/>
  <c r="AC10" i="1"/>
  <c r="AB10" i="1"/>
  <c r="AA10" i="1"/>
  <c r="AC11" i="1"/>
  <c r="AA11" i="1"/>
  <c r="T11" i="1"/>
  <c r="W9" i="1"/>
  <c r="V9" i="1"/>
  <c r="Z10" i="1"/>
  <c r="T10" i="1"/>
  <c r="W8" i="1"/>
  <c r="AC9" i="1"/>
  <c r="AB9" i="1"/>
  <c r="AA9" i="1"/>
  <c r="Z9" i="1"/>
  <c r="T9" i="1"/>
  <c r="AC8" i="1"/>
  <c r="AB8" i="1"/>
  <c r="AA8" i="1"/>
  <c r="Z8" i="1"/>
  <c r="T8" i="1"/>
  <c r="T7" i="1"/>
  <c r="AC7" i="1"/>
  <c r="AB7" i="1"/>
  <c r="AA7" i="1"/>
  <c r="Z7" i="1"/>
  <c r="AD9" i="1" l="1"/>
  <c r="U9" i="1"/>
  <c r="U8" i="1"/>
  <c r="AD11" i="1"/>
  <c r="U11" i="1"/>
  <c r="W10" i="1"/>
  <c r="AD10" i="1"/>
  <c r="V8" i="1"/>
  <c r="AD8" i="1"/>
  <c r="W7" i="1"/>
  <c r="AD7" i="1"/>
  <c r="V10" i="1"/>
  <c r="V11" i="1"/>
  <c r="U10" i="1" l="1"/>
  <c r="U7" i="1"/>
  <c r="V7" i="1"/>
</calcChain>
</file>

<file path=xl/sharedStrings.xml><?xml version="1.0" encoding="utf-8"?>
<sst xmlns="http://schemas.openxmlformats.org/spreadsheetml/2006/main" count="59" uniqueCount="41">
  <si>
    <t>Categories of Health Personnel</t>
  </si>
  <si>
    <t xml:space="preserve"> ejcaWr</t>
  </si>
  <si>
    <t>elWm</t>
  </si>
  <si>
    <t>cawtuLotwa</t>
  </si>
  <si>
    <t>ސިއްހީ ދާއިރާގެ މުވައްޒިފުން</t>
  </si>
  <si>
    <t>Republic</t>
  </si>
  <si>
    <t>Male'</t>
  </si>
  <si>
    <t xml:space="preserve">Atolls </t>
  </si>
  <si>
    <t>Both sexes</t>
  </si>
  <si>
    <t>Male</t>
  </si>
  <si>
    <t>Female</t>
  </si>
  <si>
    <t>Atoll</t>
  </si>
  <si>
    <t>Total</t>
  </si>
  <si>
    <t>Doctors</t>
  </si>
  <si>
    <t>ޑޮކްޓަރުން</t>
  </si>
  <si>
    <t xml:space="preserve">         General duty doctors</t>
  </si>
  <si>
    <t xml:space="preserve">         Specialists</t>
  </si>
  <si>
    <t>Nurses</t>
  </si>
  <si>
    <t>Allied Health Staff</t>
  </si>
  <si>
    <t xml:space="preserve">އެލައިޑް ހެލްތް ސްޓާފުން </t>
  </si>
  <si>
    <t xml:space="preserve"> 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</si>
  <si>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</si>
  <si>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</si>
  <si>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</si>
  <si>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</si>
  <si>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</si>
  <si>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</si>
  <si>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</si>
  <si>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</si>
  <si>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>Note:</t>
  </si>
  <si>
    <t>Source: Ministry of Health</t>
  </si>
  <si>
    <t>ޖުމްލަ</t>
  </si>
  <si>
    <t>Table 6.1 :  DISTRIBUTION OF MEDICAL STAFF IN MALE' AND ATOLLS - 2019</t>
  </si>
  <si>
    <t>ތާވަލު 6.1: ޞިއްޙީ ދާއިރާގައި މަސައްކަތްކުރާ މީހުންގެ އަދަދު، 2019</t>
  </si>
  <si>
    <t xml:space="preserve">Data as of : 01 January to 31 December 2019   </t>
  </si>
  <si>
    <t>Data taken from the HR reports collected from health facilities via DHIS2</t>
  </si>
  <si>
    <t xml:space="preserve">Atoll data includes hospitals and Health Centers </t>
  </si>
  <si>
    <t>Pvt. Sector data includes ADK,IMDC,TreeTop hospital only ,IMDC is the only private hospital in periphery</t>
  </si>
  <si>
    <t>އެކިއެކި ބަލިތަކަށް ޚާއްސަ ޑޮކްޓަރުން</t>
  </si>
  <si>
    <t>ނަރުހުން</t>
  </si>
  <si>
    <t>އާއްމު ބަލިތަކުގެ ޑޮކްޓަރުން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</si>
</sst>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General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1"/>
      <name val="Faruma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Faruma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Calibri Light"/>
      <family val="1"/>
      <scheme val="maj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name val="A_Faseyha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22" fillId="0" borderId="0"/>
    <xf numFmtId="165" fontId="22" fillId="0" borderId="0"/>
    <xf numFmtId="165" fontId="22" fillId="0" borderId="0"/>
    <xf numFmtId="40" fontId="23" fillId="0" borderId="0" applyFont="0" applyFill="0" applyBorder="0" applyAlignment="0" applyProtection="0"/>
    <xf numFmtId="165" fontId="22" fillId="0" borderId="0"/>
    <xf numFmtId="0" fontId="1" fillId="0" borderId="0"/>
  </cellStyleXfs>
  <cellXfs count="92">
    <xf numFmtId="0" fontId="0" fillId="0" borderId="0" xfId="0"/>
    <xf numFmtId="0" fontId="3" fillId="2" borderId="0" xfId="0" applyNumberFormat="1" applyFont="1" applyFill="1" applyBorder="1" applyAlignment="1">
      <alignment vertical="center" wrapText="1"/>
    </xf>
    <xf numFmtId="0" fontId="0" fillId="2" borderId="0" xfId="0" applyNumberFormat="1" applyFill="1" applyBorder="1" applyAlignment="1">
      <alignment vertical="center"/>
    </xf>
    <xf numFmtId="0" fontId="0" fillId="2" borderId="3" xfId="0" applyNumberFormat="1" applyFill="1" applyBorder="1" applyAlignment="1">
      <alignment vertical="center"/>
    </xf>
    <xf numFmtId="0" fontId="4" fillId="2" borderId="0" xfId="0" applyNumberFormat="1" applyFont="1" applyFill="1" applyBorder="1" applyAlignment="1" applyProtection="1">
      <alignment vertical="center"/>
    </xf>
    <xf numFmtId="0" fontId="6" fillId="2" borderId="7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8" fillId="2" borderId="9" xfId="0" applyNumberFormat="1" applyFont="1" applyFill="1" applyBorder="1" applyAlignment="1" applyProtection="1">
      <alignment horizontal="center" vertical="center"/>
    </xf>
    <xf numFmtId="0" fontId="8" fillId="2" borderId="9" xfId="0" applyNumberFormat="1" applyFont="1" applyFill="1" applyBorder="1" applyAlignment="1" applyProtection="1">
      <alignment vertical="center"/>
    </xf>
    <xf numFmtId="0" fontId="8" fillId="2" borderId="0" xfId="0" applyNumberFormat="1" applyFont="1" applyFill="1" applyBorder="1" applyAlignment="1" applyProtection="1">
      <alignment vertical="center"/>
    </xf>
    <xf numFmtId="0" fontId="9" fillId="2" borderId="11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 applyProtection="1">
      <alignment horizontal="left" vertical="center" wrapText="1"/>
    </xf>
    <xf numFmtId="3" fontId="9" fillId="2" borderId="0" xfId="0" applyNumberFormat="1" applyFont="1" applyFill="1" applyBorder="1" applyAlignment="1">
      <alignment horizontal="right" vertical="center"/>
    </xf>
    <xf numFmtId="0" fontId="0" fillId="2" borderId="2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3" fontId="9" fillId="2" borderId="0" xfId="0" applyNumberFormat="1" applyFont="1" applyFill="1" applyBorder="1" applyAlignment="1" applyProtection="1">
      <alignment horizontal="right" vertical="center"/>
    </xf>
    <xf numFmtId="0" fontId="10" fillId="2" borderId="12" xfId="0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vertical="center"/>
    </xf>
    <xf numFmtId="0" fontId="11" fillId="2" borderId="8" xfId="0" applyNumberFormat="1" applyFont="1" applyFill="1" applyBorder="1" applyAlignment="1" applyProtection="1">
      <alignment horizontal="left" vertical="center" wrapText="1"/>
    </xf>
    <xf numFmtId="3" fontId="12" fillId="2" borderId="0" xfId="0" applyNumberFormat="1" applyFont="1" applyFill="1" applyBorder="1" applyAlignment="1" applyProtection="1">
      <alignment horizontal="right" vertical="center"/>
    </xf>
    <xf numFmtId="0" fontId="2" fillId="2" borderId="2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11" fillId="2" borderId="8" xfId="0" applyNumberFormat="1" applyFont="1" applyFill="1" applyBorder="1" applyAlignment="1" applyProtection="1">
      <alignment horizontal="left" vertical="center" wrapText="1" indent="1"/>
    </xf>
    <xf numFmtId="0" fontId="13" fillId="2" borderId="1" xfId="0" applyFont="1" applyFill="1" applyBorder="1" applyAlignment="1">
      <alignment horizontal="right" vertical="center" indent="1"/>
    </xf>
    <xf numFmtId="0" fontId="0" fillId="2" borderId="0" xfId="0" applyNumberFormat="1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13" xfId="0" applyNumberFormat="1" applyFill="1" applyBorder="1" applyAlignment="1">
      <alignment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15" fillId="2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right" vertical="top"/>
    </xf>
    <xf numFmtId="164" fontId="0" fillId="2" borderId="0" xfId="0" applyNumberFormat="1" applyFont="1" applyFill="1" applyBorder="1"/>
    <xf numFmtId="0" fontId="16" fillId="2" borderId="0" xfId="0" applyNumberFormat="1" applyFont="1" applyFill="1" applyBorder="1" applyAlignment="1" applyProtection="1">
      <alignment horizontal="left" vertical="center" wrapText="1"/>
    </xf>
    <xf numFmtId="14" fontId="14" fillId="2" borderId="0" xfId="0" applyNumberFormat="1" applyFont="1" applyFill="1" applyBorder="1" applyAlignment="1">
      <alignment horizontal="left" vertical="center"/>
    </xf>
    <xf numFmtId="0" fontId="0" fillId="2" borderId="0" xfId="0" applyFill="1"/>
    <xf numFmtId="164" fontId="0" fillId="2" borderId="0" xfId="0" applyNumberFormat="1" applyFill="1" applyBorder="1"/>
    <xf numFmtId="0" fontId="17" fillId="2" borderId="0" xfId="0" applyNumberFormat="1" applyFont="1" applyFill="1" applyBorder="1"/>
    <xf numFmtId="0" fontId="9" fillId="2" borderId="0" xfId="0" applyNumberFormat="1" applyFont="1" applyFill="1" applyBorder="1" applyAlignment="1">
      <alignment horizontal="center"/>
    </xf>
    <xf numFmtId="0" fontId="18" fillId="2" borderId="0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vertical="center" wrapText="1"/>
    </xf>
    <xf numFmtId="0" fontId="0" fillId="2" borderId="2" xfId="0" applyNumberFormat="1" applyFill="1" applyBorder="1" applyAlignment="1">
      <alignment horizontal="right" vertical="center"/>
    </xf>
    <xf numFmtId="0" fontId="20" fillId="2" borderId="3" xfId="0" applyNumberFormat="1" applyFont="1" applyFill="1" applyBorder="1" applyAlignment="1">
      <alignment vertical="center" wrapText="1"/>
    </xf>
    <xf numFmtId="0" fontId="17" fillId="2" borderId="3" xfId="0" applyNumberFormat="1" applyFont="1" applyFill="1" applyBorder="1"/>
    <xf numFmtId="0" fontId="18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NumberFormat="1" applyFill="1" applyBorder="1" applyAlignment="1">
      <alignment vertical="center" wrapText="1"/>
    </xf>
    <xf numFmtId="0" fontId="0" fillId="2" borderId="3" xfId="0" applyNumberFormat="1" applyFill="1" applyBorder="1" applyAlignment="1">
      <alignment horizontal="right" vertical="center"/>
    </xf>
    <xf numFmtId="0" fontId="0" fillId="2" borderId="14" xfId="0" applyNumberFormat="1" applyFill="1" applyBorder="1" applyAlignment="1">
      <alignment vertical="center"/>
    </xf>
    <xf numFmtId="0" fontId="0" fillId="2" borderId="15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vertical="center" wrapText="1"/>
    </xf>
    <xf numFmtId="0" fontId="0" fillId="2" borderId="0" xfId="0" applyNumberFormat="1" applyFill="1" applyBorder="1" applyAlignment="1">
      <alignment horizontal="right" vertical="center"/>
    </xf>
    <xf numFmtId="0" fontId="9" fillId="2" borderId="18" xfId="0" applyNumberFormat="1" applyFont="1" applyFill="1" applyBorder="1" applyAlignment="1">
      <alignment horizontal="center" vertical="center"/>
    </xf>
    <xf numFmtId="0" fontId="9" fillId="2" borderId="17" xfId="0" applyNumberFormat="1" applyFont="1" applyFill="1" applyBorder="1" applyAlignment="1">
      <alignment horizontal="center" vertical="center"/>
    </xf>
    <xf numFmtId="3" fontId="9" fillId="2" borderId="19" xfId="0" applyNumberFormat="1" applyFont="1" applyFill="1" applyBorder="1" applyAlignment="1" applyProtection="1">
      <alignment horizontal="right" vertical="center"/>
    </xf>
    <xf numFmtId="3" fontId="9" fillId="2" borderId="20" xfId="0" applyNumberFormat="1" applyFont="1" applyFill="1" applyBorder="1" applyAlignment="1" applyProtection="1">
      <alignment horizontal="right" vertical="center"/>
    </xf>
    <xf numFmtId="3" fontId="12" fillId="2" borderId="19" xfId="0" applyNumberFormat="1" applyFont="1" applyFill="1" applyBorder="1" applyAlignment="1" applyProtection="1">
      <alignment horizontal="right" vertical="center"/>
    </xf>
    <xf numFmtId="3" fontId="12" fillId="2" borderId="20" xfId="0" applyNumberFormat="1" applyFont="1" applyFill="1" applyBorder="1" applyAlignment="1" applyProtection="1">
      <alignment horizontal="right" vertical="center"/>
    </xf>
    <xf numFmtId="0" fontId="5" fillId="2" borderId="10" xfId="0" applyNumberFormat="1" applyFont="1" applyFill="1" applyBorder="1" applyAlignment="1" applyProtection="1">
      <alignment horizontal="left" vertical="center" wrapText="1"/>
    </xf>
    <xf numFmtId="3" fontId="9" fillId="2" borderId="11" xfId="0" applyNumberFormat="1" applyFont="1" applyFill="1" applyBorder="1" applyAlignment="1" applyProtection="1">
      <alignment horizontal="right" vertical="center"/>
    </xf>
    <xf numFmtId="3" fontId="9" fillId="2" borderId="18" xfId="0" applyNumberFormat="1" applyFont="1" applyFill="1" applyBorder="1" applyAlignment="1" applyProtection="1">
      <alignment horizontal="right" vertical="center"/>
    </xf>
    <xf numFmtId="3" fontId="9" fillId="2" borderId="17" xfId="0" applyNumberFormat="1" applyFont="1" applyFill="1" applyBorder="1" applyAlignment="1" applyProtection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0" fillId="2" borderId="2" xfId="0" applyNumberFormat="1" applyFont="1" applyFill="1" applyBorder="1" applyAlignment="1">
      <alignment vertical="center"/>
    </xf>
    <xf numFmtId="0" fontId="0" fillId="2" borderId="5" xfId="0" applyNumberFormat="1" applyFont="1" applyFill="1" applyBorder="1" applyAlignment="1">
      <alignment vertical="center"/>
    </xf>
    <xf numFmtId="0" fontId="25" fillId="2" borderId="0" xfId="0" applyNumberFormat="1" applyFont="1" applyFill="1" applyBorder="1" applyAlignment="1">
      <alignment horizontal="left" vertical="center"/>
    </xf>
    <xf numFmtId="0" fontId="25" fillId="2" borderId="0" xfId="0" applyNumberFormat="1" applyFont="1" applyFill="1" applyBorder="1" applyAlignment="1">
      <alignment vertical="center"/>
    </xf>
    <xf numFmtId="0" fontId="24" fillId="2" borderId="7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5" fillId="2" borderId="8" xfId="0" applyNumberFormat="1" applyFont="1" applyFill="1" applyBorder="1" applyAlignment="1" applyProtection="1">
      <alignment horizontal="center" vertical="center" wrapText="1"/>
    </xf>
    <xf numFmtId="0" fontId="5" fillId="2" borderId="10" xfId="0" applyNumberFormat="1" applyFont="1" applyFill="1" applyBorder="1" applyAlignment="1" applyProtection="1">
      <alignment horizontal="center" vertical="center" wrapText="1"/>
    </xf>
    <xf numFmtId="0" fontId="24" fillId="2" borderId="7" xfId="0" applyNumberFormat="1" applyFont="1" applyFill="1" applyBorder="1" applyAlignment="1">
      <alignment horizontal="center" vertical="center"/>
    </xf>
    <xf numFmtId="0" fontId="24" fillId="2" borderId="21" xfId="0" applyNumberFormat="1" applyFont="1" applyFill="1" applyBorder="1" applyAlignment="1">
      <alignment horizontal="center" vertical="center"/>
    </xf>
    <xf numFmtId="0" fontId="24" fillId="2" borderId="16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horizontal="center" vertical="center"/>
    </xf>
    <xf numFmtId="0" fontId="8" fillId="2" borderId="9" xfId="0" applyNumberFormat="1" applyFont="1" applyFill="1" applyBorder="1" applyAlignment="1" applyProtection="1">
      <alignment horizontal="center" vertical="center"/>
    </xf>
    <xf numFmtId="0" fontId="8" fillId="2" borderId="23" xfId="0" applyNumberFormat="1" applyFont="1" applyFill="1" applyBorder="1" applyAlignment="1" applyProtection="1">
      <alignment horizontal="center" vertical="center"/>
    </xf>
    <xf numFmtId="0" fontId="8" fillId="2" borderId="22" xfId="0" applyNumberFormat="1" applyFont="1" applyFill="1" applyBorder="1" applyAlignment="1" applyProtection="1">
      <alignment horizontal="center" vertical="center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22448275434413"/>
          <c:y val="0.23760220107746677"/>
          <c:w val="0.39422173908857538"/>
          <c:h val="0.85267664453009639"/>
        </c:manualLayout>
      </c:layout>
      <c:doughnutChart>
        <c:varyColors val="1"/>
        <c:ser>
          <c:idx val="0"/>
          <c:order val="0"/>
          <c:spPr>
            <a:solidFill>
              <a:srgbClr val="81562B"/>
            </a:solidFill>
          </c:spPr>
          <c:explosion val="2"/>
          <c:dPt>
            <c:idx val="0"/>
            <c:bubble3D val="0"/>
            <c:spPr>
              <a:solidFill>
                <a:srgbClr val="B3773B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8B0-45B8-9536-B8DAD5D7B064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B8B0-45B8-9536-B8DAD5D7B064}"/>
              </c:ext>
            </c:extLst>
          </c:dPt>
          <c:dPt>
            <c:idx val="2"/>
            <c:bubble3D val="0"/>
            <c:spPr>
              <a:solidFill>
                <a:srgbClr val="ECD9C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8B0-45B8-9536-B8DAD5D7B064}"/>
              </c:ext>
            </c:extLst>
          </c:dPt>
          <c:dPt>
            <c:idx val="3"/>
            <c:bubble3D val="0"/>
            <c:spPr>
              <a:solidFill>
                <a:srgbClr val="D7AE85"/>
              </a:solidFill>
            </c:spPr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B8B0-45B8-9536-B8DAD5D7B064}"/>
              </c:ext>
            </c:extLst>
          </c:dPt>
          <c:dLbls>
            <c:dLbl>
              <c:idx val="0"/>
              <c:layout>
                <c:manualLayout>
                  <c:x val="2.1157588493973974E-2"/>
                  <c:y val="1.99600735662301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B8B0-45B8-9536-B8DAD5D7B06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1754215829985456E-2"/>
                  <c:y val="-0.187624691522563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B8B0-45B8-9536-B8DAD5D7B06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4340143312582368"/>
                  <c:y val="-0.143712529676857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B8B0-45B8-9536-B8DAD5D7B06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6329443459167606"/>
                  <c:y val="-7.5848279551674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B8B0-45B8-9536-B8DAD5D7B064}"/>
                </c:ext>
                <c:ext xmlns:c15="http://schemas.microsoft.com/office/drawing/2012/chart" uri="{CE6537A1-D6FC-4f65-9D91-7224C49458BB}">
                  <c15:layout>
                    <c:manualLayout>
                      <c:w val="0.29933286032641182"/>
                      <c:h val="0.1288622349435821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'6.1'!$T$7:$T$11</c:f>
              <c:strCache>
                <c:ptCount val="5"/>
                <c:pt idx="0">
                  <c:v>Doctors</c:v>
                </c:pt>
                <c:pt idx="1">
                  <c:v>Nurses</c:v>
                </c:pt>
                <c:pt idx="2">
                  <c:v>Allied Health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'6.1'!$U$7:$U$11</c:f>
              <c:numCache>
                <c:formatCode>General</c:formatCode>
                <c:ptCount val="5"/>
                <c:pt idx="0">
                  <c:v>1194</c:v>
                </c:pt>
                <c:pt idx="1">
                  <c:v>2913</c:v>
                </c:pt>
                <c:pt idx="2">
                  <c:v>590</c:v>
                </c:pt>
                <c:pt idx="3">
                  <c:v>433</c:v>
                </c:pt>
                <c:pt idx="4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8B0-45B8-9536-B8DAD5D7B06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66"/>
        <c:holeSize val="1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07973157176148E-2"/>
          <c:y val="0.15759385413901913"/>
          <c:w val="0.88167203124041305"/>
          <c:h val="0.649436807687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'6.1'!$Y$7</c:f>
              <c:strCache>
                <c:ptCount val="1"/>
                <c:pt idx="0">
                  <c:v>Doctors</c:v>
                </c:pt>
              </c:strCache>
            </c:strRef>
          </c:tx>
          <c:spPr>
            <a:solidFill>
              <a:srgbClr val="D7AE85"/>
            </a:solidFill>
          </c:spPr>
          <c:invertIfNegative val="0"/>
          <c:cat>
            <c:multiLvlStrRef>
              <c:f>'6.1'!$Z$5:$AC$6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'6.1'!$Z$7:$AC$7</c:f>
              <c:numCache>
                <c:formatCode>#,##0</c:formatCode>
                <c:ptCount val="4"/>
                <c:pt idx="0">
                  <c:v>295</c:v>
                </c:pt>
                <c:pt idx="1">
                  <c:v>275</c:v>
                </c:pt>
                <c:pt idx="2">
                  <c:v>474</c:v>
                </c:pt>
                <c:pt idx="3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9A-4704-B6BC-11B253F9AF20}"/>
            </c:ext>
          </c:extLst>
        </c:ser>
        <c:ser>
          <c:idx val="1"/>
          <c:order val="1"/>
          <c:tx>
            <c:strRef>
              <c:f>'6.1'!$Y$8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rgbClr val="B3773B"/>
            </a:solidFill>
          </c:spPr>
          <c:invertIfNegative val="0"/>
          <c:cat>
            <c:multiLvlStrRef>
              <c:f>'6.1'!$Z$5:$AC$6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'6.1'!$Z$8:$AC$8</c:f>
              <c:numCache>
                <c:formatCode>#,##0</c:formatCode>
                <c:ptCount val="4"/>
                <c:pt idx="0">
                  <c:v>193</c:v>
                </c:pt>
                <c:pt idx="1">
                  <c:v>1197</c:v>
                </c:pt>
                <c:pt idx="2">
                  <c:v>198</c:v>
                </c:pt>
                <c:pt idx="3">
                  <c:v>1325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9A-4704-B6BC-11B253F9AF20}"/>
            </c:ext>
          </c:extLst>
        </c:ser>
        <c:ser>
          <c:idx val="2"/>
          <c:order val="2"/>
          <c:tx>
            <c:strRef>
              <c:f>'6.1'!$Y$9</c:f>
              <c:strCache>
                <c:ptCount val="1"/>
                <c:pt idx="0">
                  <c:v>Allied Health Staff</c:v>
                </c:pt>
              </c:strCache>
            </c:strRef>
          </c:tx>
          <c:spPr>
            <a:solidFill>
              <a:srgbClr val="81562B"/>
            </a:solidFill>
          </c:spPr>
          <c:invertIfNegative val="0"/>
          <c:cat>
            <c:multiLvlStrRef>
              <c:f>'6.1'!$Z$5:$AC$6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'6.1'!$Z$9:$AC$9</c:f>
              <c:numCache>
                <c:formatCode>#,##0</c:formatCode>
                <c:ptCount val="4"/>
                <c:pt idx="0">
                  <c:v>131</c:v>
                </c:pt>
                <c:pt idx="1">
                  <c:v>203</c:v>
                </c:pt>
                <c:pt idx="2">
                  <c:v>147</c:v>
                </c:pt>
                <c:pt idx="3">
                  <c:v>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A9A-4704-B6BC-11B253F9AF20}"/>
            </c:ext>
          </c:extLst>
        </c:ser>
        <c:ser>
          <c:idx val="3"/>
          <c:order val="3"/>
          <c:tx>
            <c:strRef>
              <c:f>'6.1'!$Y$10</c:f>
              <c:strCache>
                <c:ptCount val="1"/>
                <c:pt idx="0">
                  <c:v>Community Health Personnel</c:v>
                </c:pt>
              </c:strCache>
            </c:strRef>
          </c:tx>
          <c:spPr>
            <a:solidFill>
              <a:srgbClr val="ECD9C6"/>
            </a:solidFill>
          </c:spPr>
          <c:invertIfNegative val="0"/>
          <c:cat>
            <c:multiLvlStrRef>
              <c:f>'6.1'!$Z$5:$AC$6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'6.1'!$Z$10:$AC$10</c:f>
              <c:numCache>
                <c:formatCode>#,##0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143</c:v>
                </c:pt>
                <c:pt idx="3">
                  <c:v>284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A9A-4704-B6BC-11B253F9AF20}"/>
            </c:ext>
          </c:extLst>
        </c:ser>
        <c:ser>
          <c:idx val="4"/>
          <c:order val="4"/>
          <c:tx>
            <c:strRef>
              <c:f>'6.1'!$Y$11</c:f>
              <c:strCache>
                <c:ptCount val="1"/>
                <c:pt idx="0">
                  <c:v>Traditional Birth Attendant (Foolhuma)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'6.1'!$Z$5:$AC$6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'6.1'!$Z$11:$AC$11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A9A-4704-B6BC-11B253F9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429392"/>
        <c:axId val="361429776"/>
      </c:barChart>
      <c:catAx>
        <c:axId val="36142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1429776"/>
        <c:crosses val="autoZero"/>
        <c:auto val="1"/>
        <c:lblAlgn val="ctr"/>
        <c:lblOffset val="100"/>
        <c:noMultiLvlLbl val="0"/>
      </c:catAx>
      <c:valAx>
        <c:axId val="36142977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36142939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6743736372929"/>
          <c:y val="0.17879755527648142"/>
          <c:w val="0.38196100767079028"/>
          <c:h val="0.39244481294722311"/>
        </c:manualLayout>
      </c:layout>
      <c:overlay val="0"/>
      <c:spPr>
        <a:noFill/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62077</xdr:colOff>
      <xdr:row>23</xdr:row>
      <xdr:rowOff>130941</xdr:rowOff>
    </xdr:from>
    <xdr:to>
      <xdr:col>6</xdr:col>
      <xdr:colOff>197069</xdr:colOff>
      <xdr:row>36</xdr:row>
      <xdr:rowOff>92842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390523</xdr:colOff>
      <xdr:row>23</xdr:row>
      <xdr:rowOff>143202</xdr:rowOff>
    </xdr:from>
    <xdr:to>
      <xdr:col>13</xdr:col>
      <xdr:colOff>2047327</xdr:colOff>
      <xdr:row>36</xdr:row>
      <xdr:rowOff>54740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429312</xdr:colOff>
      <xdr:row>24</xdr:row>
      <xdr:rowOff>19121</xdr:rowOff>
    </xdr:from>
    <xdr:to>
      <xdr:col>14</xdr:col>
      <xdr:colOff>9525</xdr:colOff>
      <xdr:row>25</xdr:row>
      <xdr:rowOff>45507</xdr:rowOff>
    </xdr:to>
    <xdr:sp macro="" textlink="">
      <xdr:nvSpPr>
        <xdr:cNvPr id="4" name="TextBox 3"/>
        <xdr:cNvSpPr txBox="1"/>
      </xdr:nvSpPr>
      <xdr:spPr>
        <a:xfrm>
          <a:off x="5696637" y="5924621"/>
          <a:ext cx="5352363" cy="274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529020</xdr:colOff>
      <xdr:row>24</xdr:row>
      <xdr:rowOff>17188</xdr:rowOff>
    </xdr:from>
    <xdr:to>
      <xdr:col>5</xdr:col>
      <xdr:colOff>77624</xdr:colOff>
      <xdr:row>25</xdr:row>
      <xdr:rowOff>26714</xdr:rowOff>
    </xdr:to>
    <xdr:sp macro="" textlink="">
      <xdr:nvSpPr>
        <xdr:cNvPr id="5" name="TextBox 4"/>
        <xdr:cNvSpPr txBox="1"/>
      </xdr:nvSpPr>
      <xdr:spPr>
        <a:xfrm>
          <a:off x="529020" y="5922688"/>
          <a:ext cx="4120604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6.1: Percentage of Health Personnel, 2019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C424"/>
  <sheetViews>
    <sheetView tabSelected="1" view="pageBreakPreview" zoomScale="112" zoomScaleNormal="100" zoomScaleSheetLayoutView="112" workbookViewId="0">
      <selection activeCell="P9" sqref="P9"/>
    </sheetView>
  </sheetViews>
  <sheetFormatPr defaultRowHeight="19.5" customHeight="1"/>
  <cols>
    <col min="1" max="1" width="35.7109375" style="53" customWidth="1"/>
    <col min="2" max="4" width="10.42578125" style="54" customWidth="1"/>
    <col min="5" max="5" width="1.5703125" style="54" customWidth="1"/>
    <col min="6" max="8" width="10.42578125" style="54" customWidth="1"/>
    <col min="9" max="9" width="1.5703125" style="54" customWidth="1"/>
    <col min="10" max="12" width="10.42578125" style="54" customWidth="1"/>
    <col min="13" max="13" width="1.85546875" style="3" customWidth="1"/>
    <col min="14" max="14" width="31" style="15" customWidth="1"/>
    <col min="15" max="19" width="17.85546875" style="2" customWidth="1"/>
    <col min="20" max="20" width="28.85546875" style="2" customWidth="1"/>
    <col min="21" max="21" width="7.140625" style="2" customWidth="1"/>
    <col min="22" max="22" width="9.140625" style="2"/>
    <col min="23" max="24" width="9.140625" style="2" customWidth="1"/>
    <col min="25" max="107" width="9.140625" style="2"/>
    <col min="108" max="267" width="9.140625" style="3"/>
    <col min="268" max="268" width="40.85546875" style="3" customWidth="1"/>
    <col min="269" max="271" width="11.140625" style="3" customWidth="1"/>
    <col min="272" max="272" width="4.140625" style="3" customWidth="1"/>
    <col min="273" max="275" width="11.140625" style="3" customWidth="1"/>
    <col min="276" max="276" width="3.28515625" style="3" customWidth="1"/>
    <col min="277" max="279" width="11.140625" style="3" customWidth="1"/>
    <col min="280" max="280" width="3.140625" style="3" bestFit="1" customWidth="1"/>
    <col min="281" max="281" width="6.5703125" style="3" bestFit="1" customWidth="1"/>
    <col min="282" max="282" width="20.85546875" style="3" customWidth="1"/>
    <col min="283" max="283" width="7.5703125" style="3" customWidth="1"/>
    <col min="284" max="523" width="9.140625" style="3"/>
    <col min="524" max="524" width="40.85546875" style="3" customWidth="1"/>
    <col min="525" max="527" width="11.140625" style="3" customWidth="1"/>
    <col min="528" max="528" width="4.140625" style="3" customWidth="1"/>
    <col min="529" max="531" width="11.140625" style="3" customWidth="1"/>
    <col min="532" max="532" width="3.28515625" style="3" customWidth="1"/>
    <col min="533" max="535" width="11.140625" style="3" customWidth="1"/>
    <col min="536" max="536" width="3.140625" style="3" bestFit="1" customWidth="1"/>
    <col min="537" max="537" width="6.5703125" style="3" bestFit="1" customWidth="1"/>
    <col min="538" max="538" width="20.85546875" style="3" customWidth="1"/>
    <col min="539" max="539" width="7.5703125" style="3" customWidth="1"/>
    <col min="540" max="779" width="9.140625" style="3"/>
    <col min="780" max="780" width="40.85546875" style="3" customWidth="1"/>
    <col min="781" max="783" width="11.140625" style="3" customWidth="1"/>
    <col min="784" max="784" width="4.140625" style="3" customWidth="1"/>
    <col min="785" max="787" width="11.140625" style="3" customWidth="1"/>
    <col min="788" max="788" width="3.28515625" style="3" customWidth="1"/>
    <col min="789" max="791" width="11.140625" style="3" customWidth="1"/>
    <col min="792" max="792" width="3.140625" style="3" bestFit="1" customWidth="1"/>
    <col min="793" max="793" width="6.5703125" style="3" bestFit="1" customWidth="1"/>
    <col min="794" max="794" width="20.85546875" style="3" customWidth="1"/>
    <col min="795" max="795" width="7.5703125" style="3" customWidth="1"/>
    <col min="796" max="1035" width="9.140625" style="3"/>
    <col min="1036" max="1036" width="40.85546875" style="3" customWidth="1"/>
    <col min="1037" max="1039" width="11.140625" style="3" customWidth="1"/>
    <col min="1040" max="1040" width="4.140625" style="3" customWidth="1"/>
    <col min="1041" max="1043" width="11.140625" style="3" customWidth="1"/>
    <col min="1044" max="1044" width="3.28515625" style="3" customWidth="1"/>
    <col min="1045" max="1047" width="11.140625" style="3" customWidth="1"/>
    <col min="1048" max="1048" width="3.140625" style="3" bestFit="1" customWidth="1"/>
    <col min="1049" max="1049" width="6.5703125" style="3" bestFit="1" customWidth="1"/>
    <col min="1050" max="1050" width="20.85546875" style="3" customWidth="1"/>
    <col min="1051" max="1051" width="7.5703125" style="3" customWidth="1"/>
    <col min="1052" max="1291" width="9.140625" style="3"/>
    <col min="1292" max="1292" width="40.85546875" style="3" customWidth="1"/>
    <col min="1293" max="1295" width="11.140625" style="3" customWidth="1"/>
    <col min="1296" max="1296" width="4.140625" style="3" customWidth="1"/>
    <col min="1297" max="1299" width="11.140625" style="3" customWidth="1"/>
    <col min="1300" max="1300" width="3.28515625" style="3" customWidth="1"/>
    <col min="1301" max="1303" width="11.140625" style="3" customWidth="1"/>
    <col min="1304" max="1304" width="3.140625" style="3" bestFit="1" customWidth="1"/>
    <col min="1305" max="1305" width="6.5703125" style="3" bestFit="1" customWidth="1"/>
    <col min="1306" max="1306" width="20.85546875" style="3" customWidth="1"/>
    <col min="1307" max="1307" width="7.5703125" style="3" customWidth="1"/>
    <col min="1308" max="1547" width="9.140625" style="3"/>
    <col min="1548" max="1548" width="40.85546875" style="3" customWidth="1"/>
    <col min="1549" max="1551" width="11.140625" style="3" customWidth="1"/>
    <col min="1552" max="1552" width="4.140625" style="3" customWidth="1"/>
    <col min="1553" max="1555" width="11.140625" style="3" customWidth="1"/>
    <col min="1556" max="1556" width="3.28515625" style="3" customWidth="1"/>
    <col min="1557" max="1559" width="11.140625" style="3" customWidth="1"/>
    <col min="1560" max="1560" width="3.140625" style="3" bestFit="1" customWidth="1"/>
    <col min="1561" max="1561" width="6.5703125" style="3" bestFit="1" customWidth="1"/>
    <col min="1562" max="1562" width="20.85546875" style="3" customWidth="1"/>
    <col min="1563" max="1563" width="7.5703125" style="3" customWidth="1"/>
    <col min="1564" max="1803" width="9.140625" style="3"/>
    <col min="1804" max="1804" width="40.85546875" style="3" customWidth="1"/>
    <col min="1805" max="1807" width="11.140625" style="3" customWidth="1"/>
    <col min="1808" max="1808" width="4.140625" style="3" customWidth="1"/>
    <col min="1809" max="1811" width="11.140625" style="3" customWidth="1"/>
    <col min="1812" max="1812" width="3.28515625" style="3" customWidth="1"/>
    <col min="1813" max="1815" width="11.140625" style="3" customWidth="1"/>
    <col min="1816" max="1816" width="3.140625" style="3" bestFit="1" customWidth="1"/>
    <col min="1817" max="1817" width="6.5703125" style="3" bestFit="1" customWidth="1"/>
    <col min="1818" max="1818" width="20.85546875" style="3" customWidth="1"/>
    <col min="1819" max="1819" width="7.5703125" style="3" customWidth="1"/>
    <col min="1820" max="2059" width="9.140625" style="3"/>
    <col min="2060" max="2060" width="40.85546875" style="3" customWidth="1"/>
    <col min="2061" max="2063" width="11.140625" style="3" customWidth="1"/>
    <col min="2064" max="2064" width="4.140625" style="3" customWidth="1"/>
    <col min="2065" max="2067" width="11.140625" style="3" customWidth="1"/>
    <col min="2068" max="2068" width="3.28515625" style="3" customWidth="1"/>
    <col min="2069" max="2071" width="11.140625" style="3" customWidth="1"/>
    <col min="2072" max="2072" width="3.140625" style="3" bestFit="1" customWidth="1"/>
    <col min="2073" max="2073" width="6.5703125" style="3" bestFit="1" customWidth="1"/>
    <col min="2074" max="2074" width="20.85546875" style="3" customWidth="1"/>
    <col min="2075" max="2075" width="7.5703125" style="3" customWidth="1"/>
    <col min="2076" max="2315" width="9.140625" style="3"/>
    <col min="2316" max="2316" width="40.85546875" style="3" customWidth="1"/>
    <col min="2317" max="2319" width="11.140625" style="3" customWidth="1"/>
    <col min="2320" max="2320" width="4.140625" style="3" customWidth="1"/>
    <col min="2321" max="2323" width="11.140625" style="3" customWidth="1"/>
    <col min="2324" max="2324" width="3.28515625" style="3" customWidth="1"/>
    <col min="2325" max="2327" width="11.140625" style="3" customWidth="1"/>
    <col min="2328" max="2328" width="3.140625" style="3" bestFit="1" customWidth="1"/>
    <col min="2329" max="2329" width="6.5703125" style="3" bestFit="1" customWidth="1"/>
    <col min="2330" max="2330" width="20.85546875" style="3" customWidth="1"/>
    <col min="2331" max="2331" width="7.5703125" style="3" customWidth="1"/>
    <col min="2332" max="2571" width="9.140625" style="3"/>
    <col min="2572" max="2572" width="40.85546875" style="3" customWidth="1"/>
    <col min="2573" max="2575" width="11.140625" style="3" customWidth="1"/>
    <col min="2576" max="2576" width="4.140625" style="3" customWidth="1"/>
    <col min="2577" max="2579" width="11.140625" style="3" customWidth="1"/>
    <col min="2580" max="2580" width="3.28515625" style="3" customWidth="1"/>
    <col min="2581" max="2583" width="11.140625" style="3" customWidth="1"/>
    <col min="2584" max="2584" width="3.140625" style="3" bestFit="1" customWidth="1"/>
    <col min="2585" max="2585" width="6.5703125" style="3" bestFit="1" customWidth="1"/>
    <col min="2586" max="2586" width="20.85546875" style="3" customWidth="1"/>
    <col min="2587" max="2587" width="7.5703125" style="3" customWidth="1"/>
    <col min="2588" max="2827" width="9.140625" style="3"/>
    <col min="2828" max="2828" width="40.85546875" style="3" customWidth="1"/>
    <col min="2829" max="2831" width="11.140625" style="3" customWidth="1"/>
    <col min="2832" max="2832" width="4.140625" style="3" customWidth="1"/>
    <col min="2833" max="2835" width="11.140625" style="3" customWidth="1"/>
    <col min="2836" max="2836" width="3.28515625" style="3" customWidth="1"/>
    <col min="2837" max="2839" width="11.140625" style="3" customWidth="1"/>
    <col min="2840" max="2840" width="3.140625" style="3" bestFit="1" customWidth="1"/>
    <col min="2841" max="2841" width="6.5703125" style="3" bestFit="1" customWidth="1"/>
    <col min="2842" max="2842" width="20.85546875" style="3" customWidth="1"/>
    <col min="2843" max="2843" width="7.5703125" style="3" customWidth="1"/>
    <col min="2844" max="3083" width="9.140625" style="3"/>
    <col min="3084" max="3084" width="40.85546875" style="3" customWidth="1"/>
    <col min="3085" max="3087" width="11.140625" style="3" customWidth="1"/>
    <col min="3088" max="3088" width="4.140625" style="3" customWidth="1"/>
    <col min="3089" max="3091" width="11.140625" style="3" customWidth="1"/>
    <col min="3092" max="3092" width="3.28515625" style="3" customWidth="1"/>
    <col min="3093" max="3095" width="11.140625" style="3" customWidth="1"/>
    <col min="3096" max="3096" width="3.140625" style="3" bestFit="1" customWidth="1"/>
    <col min="3097" max="3097" width="6.5703125" style="3" bestFit="1" customWidth="1"/>
    <col min="3098" max="3098" width="20.85546875" style="3" customWidth="1"/>
    <col min="3099" max="3099" width="7.5703125" style="3" customWidth="1"/>
    <col min="3100" max="3339" width="9.140625" style="3"/>
    <col min="3340" max="3340" width="40.85546875" style="3" customWidth="1"/>
    <col min="3341" max="3343" width="11.140625" style="3" customWidth="1"/>
    <col min="3344" max="3344" width="4.140625" style="3" customWidth="1"/>
    <col min="3345" max="3347" width="11.140625" style="3" customWidth="1"/>
    <col min="3348" max="3348" width="3.28515625" style="3" customWidth="1"/>
    <col min="3349" max="3351" width="11.140625" style="3" customWidth="1"/>
    <col min="3352" max="3352" width="3.140625" style="3" bestFit="1" customWidth="1"/>
    <col min="3353" max="3353" width="6.5703125" style="3" bestFit="1" customWidth="1"/>
    <col min="3354" max="3354" width="20.85546875" style="3" customWidth="1"/>
    <col min="3355" max="3355" width="7.5703125" style="3" customWidth="1"/>
    <col min="3356" max="3595" width="9.140625" style="3"/>
    <col min="3596" max="3596" width="40.85546875" style="3" customWidth="1"/>
    <col min="3597" max="3599" width="11.140625" style="3" customWidth="1"/>
    <col min="3600" max="3600" width="4.140625" style="3" customWidth="1"/>
    <col min="3601" max="3603" width="11.140625" style="3" customWidth="1"/>
    <col min="3604" max="3604" width="3.28515625" style="3" customWidth="1"/>
    <col min="3605" max="3607" width="11.140625" style="3" customWidth="1"/>
    <col min="3608" max="3608" width="3.140625" style="3" bestFit="1" customWidth="1"/>
    <col min="3609" max="3609" width="6.5703125" style="3" bestFit="1" customWidth="1"/>
    <col min="3610" max="3610" width="20.85546875" style="3" customWidth="1"/>
    <col min="3611" max="3611" width="7.5703125" style="3" customWidth="1"/>
    <col min="3612" max="3851" width="9.140625" style="3"/>
    <col min="3852" max="3852" width="40.85546875" style="3" customWidth="1"/>
    <col min="3853" max="3855" width="11.140625" style="3" customWidth="1"/>
    <col min="3856" max="3856" width="4.140625" style="3" customWidth="1"/>
    <col min="3857" max="3859" width="11.140625" style="3" customWidth="1"/>
    <col min="3860" max="3860" width="3.28515625" style="3" customWidth="1"/>
    <col min="3861" max="3863" width="11.140625" style="3" customWidth="1"/>
    <col min="3864" max="3864" width="3.140625" style="3" bestFit="1" customWidth="1"/>
    <col min="3865" max="3865" width="6.5703125" style="3" bestFit="1" customWidth="1"/>
    <col min="3866" max="3866" width="20.85546875" style="3" customWidth="1"/>
    <col min="3867" max="3867" width="7.5703125" style="3" customWidth="1"/>
    <col min="3868" max="4107" width="9.140625" style="3"/>
    <col min="4108" max="4108" width="40.85546875" style="3" customWidth="1"/>
    <col min="4109" max="4111" width="11.140625" style="3" customWidth="1"/>
    <col min="4112" max="4112" width="4.140625" style="3" customWidth="1"/>
    <col min="4113" max="4115" width="11.140625" style="3" customWidth="1"/>
    <col min="4116" max="4116" width="3.28515625" style="3" customWidth="1"/>
    <col min="4117" max="4119" width="11.140625" style="3" customWidth="1"/>
    <col min="4120" max="4120" width="3.140625" style="3" bestFit="1" customWidth="1"/>
    <col min="4121" max="4121" width="6.5703125" style="3" bestFit="1" customWidth="1"/>
    <col min="4122" max="4122" width="20.85546875" style="3" customWidth="1"/>
    <col min="4123" max="4123" width="7.5703125" style="3" customWidth="1"/>
    <col min="4124" max="4363" width="9.140625" style="3"/>
    <col min="4364" max="4364" width="40.85546875" style="3" customWidth="1"/>
    <col min="4365" max="4367" width="11.140625" style="3" customWidth="1"/>
    <col min="4368" max="4368" width="4.140625" style="3" customWidth="1"/>
    <col min="4369" max="4371" width="11.140625" style="3" customWidth="1"/>
    <col min="4372" max="4372" width="3.28515625" style="3" customWidth="1"/>
    <col min="4373" max="4375" width="11.140625" style="3" customWidth="1"/>
    <col min="4376" max="4376" width="3.140625" style="3" bestFit="1" customWidth="1"/>
    <col min="4377" max="4377" width="6.5703125" style="3" bestFit="1" customWidth="1"/>
    <col min="4378" max="4378" width="20.85546875" style="3" customWidth="1"/>
    <col min="4379" max="4379" width="7.5703125" style="3" customWidth="1"/>
    <col min="4380" max="4619" width="9.140625" style="3"/>
    <col min="4620" max="4620" width="40.85546875" style="3" customWidth="1"/>
    <col min="4621" max="4623" width="11.140625" style="3" customWidth="1"/>
    <col min="4624" max="4624" width="4.140625" style="3" customWidth="1"/>
    <col min="4625" max="4627" width="11.140625" style="3" customWidth="1"/>
    <col min="4628" max="4628" width="3.28515625" style="3" customWidth="1"/>
    <col min="4629" max="4631" width="11.140625" style="3" customWidth="1"/>
    <col min="4632" max="4632" width="3.140625" style="3" bestFit="1" customWidth="1"/>
    <col min="4633" max="4633" width="6.5703125" style="3" bestFit="1" customWidth="1"/>
    <col min="4634" max="4634" width="20.85546875" style="3" customWidth="1"/>
    <col min="4635" max="4635" width="7.5703125" style="3" customWidth="1"/>
    <col min="4636" max="4875" width="9.140625" style="3"/>
    <col min="4876" max="4876" width="40.85546875" style="3" customWidth="1"/>
    <col min="4877" max="4879" width="11.140625" style="3" customWidth="1"/>
    <col min="4880" max="4880" width="4.140625" style="3" customWidth="1"/>
    <col min="4881" max="4883" width="11.140625" style="3" customWidth="1"/>
    <col min="4884" max="4884" width="3.28515625" style="3" customWidth="1"/>
    <col min="4885" max="4887" width="11.140625" style="3" customWidth="1"/>
    <col min="4888" max="4888" width="3.140625" style="3" bestFit="1" customWidth="1"/>
    <col min="4889" max="4889" width="6.5703125" style="3" bestFit="1" customWidth="1"/>
    <col min="4890" max="4890" width="20.85546875" style="3" customWidth="1"/>
    <col min="4891" max="4891" width="7.5703125" style="3" customWidth="1"/>
    <col min="4892" max="5131" width="9.140625" style="3"/>
    <col min="5132" max="5132" width="40.85546875" style="3" customWidth="1"/>
    <col min="5133" max="5135" width="11.140625" style="3" customWidth="1"/>
    <col min="5136" max="5136" width="4.140625" style="3" customWidth="1"/>
    <col min="5137" max="5139" width="11.140625" style="3" customWidth="1"/>
    <col min="5140" max="5140" width="3.28515625" style="3" customWidth="1"/>
    <col min="5141" max="5143" width="11.140625" style="3" customWidth="1"/>
    <col min="5144" max="5144" width="3.140625" style="3" bestFit="1" customWidth="1"/>
    <col min="5145" max="5145" width="6.5703125" style="3" bestFit="1" customWidth="1"/>
    <col min="5146" max="5146" width="20.85546875" style="3" customWidth="1"/>
    <col min="5147" max="5147" width="7.5703125" style="3" customWidth="1"/>
    <col min="5148" max="5387" width="9.140625" style="3"/>
    <col min="5388" max="5388" width="40.85546875" style="3" customWidth="1"/>
    <col min="5389" max="5391" width="11.140625" style="3" customWidth="1"/>
    <col min="5392" max="5392" width="4.140625" style="3" customWidth="1"/>
    <col min="5393" max="5395" width="11.140625" style="3" customWidth="1"/>
    <col min="5396" max="5396" width="3.28515625" style="3" customWidth="1"/>
    <col min="5397" max="5399" width="11.140625" style="3" customWidth="1"/>
    <col min="5400" max="5400" width="3.140625" style="3" bestFit="1" customWidth="1"/>
    <col min="5401" max="5401" width="6.5703125" style="3" bestFit="1" customWidth="1"/>
    <col min="5402" max="5402" width="20.85546875" style="3" customWidth="1"/>
    <col min="5403" max="5403" width="7.5703125" style="3" customWidth="1"/>
    <col min="5404" max="5643" width="9.140625" style="3"/>
    <col min="5644" max="5644" width="40.85546875" style="3" customWidth="1"/>
    <col min="5645" max="5647" width="11.140625" style="3" customWidth="1"/>
    <col min="5648" max="5648" width="4.140625" style="3" customWidth="1"/>
    <col min="5649" max="5651" width="11.140625" style="3" customWidth="1"/>
    <col min="5652" max="5652" width="3.28515625" style="3" customWidth="1"/>
    <col min="5653" max="5655" width="11.140625" style="3" customWidth="1"/>
    <col min="5656" max="5656" width="3.140625" style="3" bestFit="1" customWidth="1"/>
    <col min="5657" max="5657" width="6.5703125" style="3" bestFit="1" customWidth="1"/>
    <col min="5658" max="5658" width="20.85546875" style="3" customWidth="1"/>
    <col min="5659" max="5659" width="7.5703125" style="3" customWidth="1"/>
    <col min="5660" max="5899" width="9.140625" style="3"/>
    <col min="5900" max="5900" width="40.85546875" style="3" customWidth="1"/>
    <col min="5901" max="5903" width="11.140625" style="3" customWidth="1"/>
    <col min="5904" max="5904" width="4.140625" style="3" customWidth="1"/>
    <col min="5905" max="5907" width="11.140625" style="3" customWidth="1"/>
    <col min="5908" max="5908" width="3.28515625" style="3" customWidth="1"/>
    <col min="5909" max="5911" width="11.140625" style="3" customWidth="1"/>
    <col min="5912" max="5912" width="3.140625" style="3" bestFit="1" customWidth="1"/>
    <col min="5913" max="5913" width="6.5703125" style="3" bestFit="1" customWidth="1"/>
    <col min="5914" max="5914" width="20.85546875" style="3" customWidth="1"/>
    <col min="5915" max="5915" width="7.5703125" style="3" customWidth="1"/>
    <col min="5916" max="6155" width="9.140625" style="3"/>
    <col min="6156" max="6156" width="40.85546875" style="3" customWidth="1"/>
    <col min="6157" max="6159" width="11.140625" style="3" customWidth="1"/>
    <col min="6160" max="6160" width="4.140625" style="3" customWidth="1"/>
    <col min="6161" max="6163" width="11.140625" style="3" customWidth="1"/>
    <col min="6164" max="6164" width="3.28515625" style="3" customWidth="1"/>
    <col min="6165" max="6167" width="11.140625" style="3" customWidth="1"/>
    <col min="6168" max="6168" width="3.140625" style="3" bestFit="1" customWidth="1"/>
    <col min="6169" max="6169" width="6.5703125" style="3" bestFit="1" customWidth="1"/>
    <col min="6170" max="6170" width="20.85546875" style="3" customWidth="1"/>
    <col min="6171" max="6171" width="7.5703125" style="3" customWidth="1"/>
    <col min="6172" max="6411" width="9.140625" style="3"/>
    <col min="6412" max="6412" width="40.85546875" style="3" customWidth="1"/>
    <col min="6413" max="6415" width="11.140625" style="3" customWidth="1"/>
    <col min="6416" max="6416" width="4.140625" style="3" customWidth="1"/>
    <col min="6417" max="6419" width="11.140625" style="3" customWidth="1"/>
    <col min="6420" max="6420" width="3.28515625" style="3" customWidth="1"/>
    <col min="6421" max="6423" width="11.140625" style="3" customWidth="1"/>
    <col min="6424" max="6424" width="3.140625" style="3" bestFit="1" customWidth="1"/>
    <col min="6425" max="6425" width="6.5703125" style="3" bestFit="1" customWidth="1"/>
    <col min="6426" max="6426" width="20.85546875" style="3" customWidth="1"/>
    <col min="6427" max="6427" width="7.5703125" style="3" customWidth="1"/>
    <col min="6428" max="6667" width="9.140625" style="3"/>
    <col min="6668" max="6668" width="40.85546875" style="3" customWidth="1"/>
    <col min="6669" max="6671" width="11.140625" style="3" customWidth="1"/>
    <col min="6672" max="6672" width="4.140625" style="3" customWidth="1"/>
    <col min="6673" max="6675" width="11.140625" style="3" customWidth="1"/>
    <col min="6676" max="6676" width="3.28515625" style="3" customWidth="1"/>
    <col min="6677" max="6679" width="11.140625" style="3" customWidth="1"/>
    <col min="6680" max="6680" width="3.140625" style="3" bestFit="1" customWidth="1"/>
    <col min="6681" max="6681" width="6.5703125" style="3" bestFit="1" customWidth="1"/>
    <col min="6682" max="6682" width="20.85546875" style="3" customWidth="1"/>
    <col min="6683" max="6683" width="7.5703125" style="3" customWidth="1"/>
    <col min="6684" max="6923" width="9.140625" style="3"/>
    <col min="6924" max="6924" width="40.85546875" style="3" customWidth="1"/>
    <col min="6925" max="6927" width="11.140625" style="3" customWidth="1"/>
    <col min="6928" max="6928" width="4.140625" style="3" customWidth="1"/>
    <col min="6929" max="6931" width="11.140625" style="3" customWidth="1"/>
    <col min="6932" max="6932" width="3.28515625" style="3" customWidth="1"/>
    <col min="6933" max="6935" width="11.140625" style="3" customWidth="1"/>
    <col min="6936" max="6936" width="3.140625" style="3" bestFit="1" customWidth="1"/>
    <col min="6937" max="6937" width="6.5703125" style="3" bestFit="1" customWidth="1"/>
    <col min="6938" max="6938" width="20.85546875" style="3" customWidth="1"/>
    <col min="6939" max="6939" width="7.5703125" style="3" customWidth="1"/>
    <col min="6940" max="7179" width="9.140625" style="3"/>
    <col min="7180" max="7180" width="40.85546875" style="3" customWidth="1"/>
    <col min="7181" max="7183" width="11.140625" style="3" customWidth="1"/>
    <col min="7184" max="7184" width="4.140625" style="3" customWidth="1"/>
    <col min="7185" max="7187" width="11.140625" style="3" customWidth="1"/>
    <col min="7188" max="7188" width="3.28515625" style="3" customWidth="1"/>
    <col min="7189" max="7191" width="11.140625" style="3" customWidth="1"/>
    <col min="7192" max="7192" width="3.140625" style="3" bestFit="1" customWidth="1"/>
    <col min="7193" max="7193" width="6.5703125" style="3" bestFit="1" customWidth="1"/>
    <col min="7194" max="7194" width="20.85546875" style="3" customWidth="1"/>
    <col min="7195" max="7195" width="7.5703125" style="3" customWidth="1"/>
    <col min="7196" max="7435" width="9.140625" style="3"/>
    <col min="7436" max="7436" width="40.85546875" style="3" customWidth="1"/>
    <col min="7437" max="7439" width="11.140625" style="3" customWidth="1"/>
    <col min="7440" max="7440" width="4.140625" style="3" customWidth="1"/>
    <col min="7441" max="7443" width="11.140625" style="3" customWidth="1"/>
    <col min="7444" max="7444" width="3.28515625" style="3" customWidth="1"/>
    <col min="7445" max="7447" width="11.140625" style="3" customWidth="1"/>
    <col min="7448" max="7448" width="3.140625" style="3" bestFit="1" customWidth="1"/>
    <col min="7449" max="7449" width="6.5703125" style="3" bestFit="1" customWidth="1"/>
    <col min="7450" max="7450" width="20.85546875" style="3" customWidth="1"/>
    <col min="7451" max="7451" width="7.5703125" style="3" customWidth="1"/>
    <col min="7452" max="7691" width="9.140625" style="3"/>
    <col min="7692" max="7692" width="40.85546875" style="3" customWidth="1"/>
    <col min="7693" max="7695" width="11.140625" style="3" customWidth="1"/>
    <col min="7696" max="7696" width="4.140625" style="3" customWidth="1"/>
    <col min="7697" max="7699" width="11.140625" style="3" customWidth="1"/>
    <col min="7700" max="7700" width="3.28515625" style="3" customWidth="1"/>
    <col min="7701" max="7703" width="11.140625" style="3" customWidth="1"/>
    <col min="7704" max="7704" width="3.140625" style="3" bestFit="1" customWidth="1"/>
    <col min="7705" max="7705" width="6.5703125" style="3" bestFit="1" customWidth="1"/>
    <col min="7706" max="7706" width="20.85546875" style="3" customWidth="1"/>
    <col min="7707" max="7707" width="7.5703125" style="3" customWidth="1"/>
    <col min="7708" max="7947" width="9.140625" style="3"/>
    <col min="7948" max="7948" width="40.85546875" style="3" customWidth="1"/>
    <col min="7949" max="7951" width="11.140625" style="3" customWidth="1"/>
    <col min="7952" max="7952" width="4.140625" style="3" customWidth="1"/>
    <col min="7953" max="7955" width="11.140625" style="3" customWidth="1"/>
    <col min="7956" max="7956" width="3.28515625" style="3" customWidth="1"/>
    <col min="7957" max="7959" width="11.140625" style="3" customWidth="1"/>
    <col min="7960" max="7960" width="3.140625" style="3" bestFit="1" customWidth="1"/>
    <col min="7961" max="7961" width="6.5703125" style="3" bestFit="1" customWidth="1"/>
    <col min="7962" max="7962" width="20.85546875" style="3" customWidth="1"/>
    <col min="7963" max="7963" width="7.5703125" style="3" customWidth="1"/>
    <col min="7964" max="8203" width="9.140625" style="3"/>
    <col min="8204" max="8204" width="40.85546875" style="3" customWidth="1"/>
    <col min="8205" max="8207" width="11.140625" style="3" customWidth="1"/>
    <col min="8208" max="8208" width="4.140625" style="3" customWidth="1"/>
    <col min="8209" max="8211" width="11.140625" style="3" customWidth="1"/>
    <col min="8212" max="8212" width="3.28515625" style="3" customWidth="1"/>
    <col min="8213" max="8215" width="11.140625" style="3" customWidth="1"/>
    <col min="8216" max="8216" width="3.140625" style="3" bestFit="1" customWidth="1"/>
    <col min="8217" max="8217" width="6.5703125" style="3" bestFit="1" customWidth="1"/>
    <col min="8218" max="8218" width="20.85546875" style="3" customWidth="1"/>
    <col min="8219" max="8219" width="7.5703125" style="3" customWidth="1"/>
    <col min="8220" max="8459" width="9.140625" style="3"/>
    <col min="8460" max="8460" width="40.85546875" style="3" customWidth="1"/>
    <col min="8461" max="8463" width="11.140625" style="3" customWidth="1"/>
    <col min="8464" max="8464" width="4.140625" style="3" customWidth="1"/>
    <col min="8465" max="8467" width="11.140625" style="3" customWidth="1"/>
    <col min="8468" max="8468" width="3.28515625" style="3" customWidth="1"/>
    <col min="8469" max="8471" width="11.140625" style="3" customWidth="1"/>
    <col min="8472" max="8472" width="3.140625" style="3" bestFit="1" customWidth="1"/>
    <col min="8473" max="8473" width="6.5703125" style="3" bestFit="1" customWidth="1"/>
    <col min="8474" max="8474" width="20.85546875" style="3" customWidth="1"/>
    <col min="8475" max="8475" width="7.5703125" style="3" customWidth="1"/>
    <col min="8476" max="8715" width="9.140625" style="3"/>
    <col min="8716" max="8716" width="40.85546875" style="3" customWidth="1"/>
    <col min="8717" max="8719" width="11.140625" style="3" customWidth="1"/>
    <col min="8720" max="8720" width="4.140625" style="3" customWidth="1"/>
    <col min="8721" max="8723" width="11.140625" style="3" customWidth="1"/>
    <col min="8724" max="8724" width="3.28515625" style="3" customWidth="1"/>
    <col min="8725" max="8727" width="11.140625" style="3" customWidth="1"/>
    <col min="8728" max="8728" width="3.140625" style="3" bestFit="1" customWidth="1"/>
    <col min="8729" max="8729" width="6.5703125" style="3" bestFit="1" customWidth="1"/>
    <col min="8730" max="8730" width="20.85546875" style="3" customWidth="1"/>
    <col min="8731" max="8731" width="7.5703125" style="3" customWidth="1"/>
    <col min="8732" max="8971" width="9.140625" style="3"/>
    <col min="8972" max="8972" width="40.85546875" style="3" customWidth="1"/>
    <col min="8973" max="8975" width="11.140625" style="3" customWidth="1"/>
    <col min="8976" max="8976" width="4.140625" style="3" customWidth="1"/>
    <col min="8977" max="8979" width="11.140625" style="3" customWidth="1"/>
    <col min="8980" max="8980" width="3.28515625" style="3" customWidth="1"/>
    <col min="8981" max="8983" width="11.140625" style="3" customWidth="1"/>
    <col min="8984" max="8984" width="3.140625" style="3" bestFit="1" customWidth="1"/>
    <col min="8985" max="8985" width="6.5703125" style="3" bestFit="1" customWidth="1"/>
    <col min="8986" max="8986" width="20.85546875" style="3" customWidth="1"/>
    <col min="8987" max="8987" width="7.5703125" style="3" customWidth="1"/>
    <col min="8988" max="9227" width="9.140625" style="3"/>
    <col min="9228" max="9228" width="40.85546875" style="3" customWidth="1"/>
    <col min="9229" max="9231" width="11.140625" style="3" customWidth="1"/>
    <col min="9232" max="9232" width="4.140625" style="3" customWidth="1"/>
    <col min="9233" max="9235" width="11.140625" style="3" customWidth="1"/>
    <col min="9236" max="9236" width="3.28515625" style="3" customWidth="1"/>
    <col min="9237" max="9239" width="11.140625" style="3" customWidth="1"/>
    <col min="9240" max="9240" width="3.140625" style="3" bestFit="1" customWidth="1"/>
    <col min="9241" max="9241" width="6.5703125" style="3" bestFit="1" customWidth="1"/>
    <col min="9242" max="9242" width="20.85546875" style="3" customWidth="1"/>
    <col min="9243" max="9243" width="7.5703125" style="3" customWidth="1"/>
    <col min="9244" max="9483" width="9.140625" style="3"/>
    <col min="9484" max="9484" width="40.85546875" style="3" customWidth="1"/>
    <col min="9485" max="9487" width="11.140625" style="3" customWidth="1"/>
    <col min="9488" max="9488" width="4.140625" style="3" customWidth="1"/>
    <col min="9489" max="9491" width="11.140625" style="3" customWidth="1"/>
    <col min="9492" max="9492" width="3.28515625" style="3" customWidth="1"/>
    <col min="9493" max="9495" width="11.140625" style="3" customWidth="1"/>
    <col min="9496" max="9496" width="3.140625" style="3" bestFit="1" customWidth="1"/>
    <col min="9497" max="9497" width="6.5703125" style="3" bestFit="1" customWidth="1"/>
    <col min="9498" max="9498" width="20.85546875" style="3" customWidth="1"/>
    <col min="9499" max="9499" width="7.5703125" style="3" customWidth="1"/>
    <col min="9500" max="9739" width="9.140625" style="3"/>
    <col min="9740" max="9740" width="40.85546875" style="3" customWidth="1"/>
    <col min="9741" max="9743" width="11.140625" style="3" customWidth="1"/>
    <col min="9744" max="9744" width="4.140625" style="3" customWidth="1"/>
    <col min="9745" max="9747" width="11.140625" style="3" customWidth="1"/>
    <col min="9748" max="9748" width="3.28515625" style="3" customWidth="1"/>
    <col min="9749" max="9751" width="11.140625" style="3" customWidth="1"/>
    <col min="9752" max="9752" width="3.140625" style="3" bestFit="1" customWidth="1"/>
    <col min="9753" max="9753" width="6.5703125" style="3" bestFit="1" customWidth="1"/>
    <col min="9754" max="9754" width="20.85546875" style="3" customWidth="1"/>
    <col min="9755" max="9755" width="7.5703125" style="3" customWidth="1"/>
    <col min="9756" max="9995" width="9.140625" style="3"/>
    <col min="9996" max="9996" width="40.85546875" style="3" customWidth="1"/>
    <col min="9997" max="9999" width="11.140625" style="3" customWidth="1"/>
    <col min="10000" max="10000" width="4.140625" style="3" customWidth="1"/>
    <col min="10001" max="10003" width="11.140625" style="3" customWidth="1"/>
    <col min="10004" max="10004" width="3.28515625" style="3" customWidth="1"/>
    <col min="10005" max="10007" width="11.140625" style="3" customWidth="1"/>
    <col min="10008" max="10008" width="3.140625" style="3" bestFit="1" customWidth="1"/>
    <col min="10009" max="10009" width="6.5703125" style="3" bestFit="1" customWidth="1"/>
    <col min="10010" max="10010" width="20.85546875" style="3" customWidth="1"/>
    <col min="10011" max="10011" width="7.5703125" style="3" customWidth="1"/>
    <col min="10012" max="10251" width="9.140625" style="3"/>
    <col min="10252" max="10252" width="40.85546875" style="3" customWidth="1"/>
    <col min="10253" max="10255" width="11.140625" style="3" customWidth="1"/>
    <col min="10256" max="10256" width="4.140625" style="3" customWidth="1"/>
    <col min="10257" max="10259" width="11.140625" style="3" customWidth="1"/>
    <col min="10260" max="10260" width="3.28515625" style="3" customWidth="1"/>
    <col min="10261" max="10263" width="11.140625" style="3" customWidth="1"/>
    <col min="10264" max="10264" width="3.140625" style="3" bestFit="1" customWidth="1"/>
    <col min="10265" max="10265" width="6.5703125" style="3" bestFit="1" customWidth="1"/>
    <col min="10266" max="10266" width="20.85546875" style="3" customWidth="1"/>
    <col min="10267" max="10267" width="7.5703125" style="3" customWidth="1"/>
    <col min="10268" max="10507" width="9.140625" style="3"/>
    <col min="10508" max="10508" width="40.85546875" style="3" customWidth="1"/>
    <col min="10509" max="10511" width="11.140625" style="3" customWidth="1"/>
    <col min="10512" max="10512" width="4.140625" style="3" customWidth="1"/>
    <col min="10513" max="10515" width="11.140625" style="3" customWidth="1"/>
    <col min="10516" max="10516" width="3.28515625" style="3" customWidth="1"/>
    <col min="10517" max="10519" width="11.140625" style="3" customWidth="1"/>
    <col min="10520" max="10520" width="3.140625" style="3" bestFit="1" customWidth="1"/>
    <col min="10521" max="10521" width="6.5703125" style="3" bestFit="1" customWidth="1"/>
    <col min="10522" max="10522" width="20.85546875" style="3" customWidth="1"/>
    <col min="10523" max="10523" width="7.5703125" style="3" customWidth="1"/>
    <col min="10524" max="10763" width="9.140625" style="3"/>
    <col min="10764" max="10764" width="40.85546875" style="3" customWidth="1"/>
    <col min="10765" max="10767" width="11.140625" style="3" customWidth="1"/>
    <col min="10768" max="10768" width="4.140625" style="3" customWidth="1"/>
    <col min="10769" max="10771" width="11.140625" style="3" customWidth="1"/>
    <col min="10772" max="10772" width="3.28515625" style="3" customWidth="1"/>
    <col min="10773" max="10775" width="11.140625" style="3" customWidth="1"/>
    <col min="10776" max="10776" width="3.140625" style="3" bestFit="1" customWidth="1"/>
    <col min="10777" max="10777" width="6.5703125" style="3" bestFit="1" customWidth="1"/>
    <col min="10778" max="10778" width="20.85546875" style="3" customWidth="1"/>
    <col min="10779" max="10779" width="7.5703125" style="3" customWidth="1"/>
    <col min="10780" max="11019" width="9.140625" style="3"/>
    <col min="11020" max="11020" width="40.85546875" style="3" customWidth="1"/>
    <col min="11021" max="11023" width="11.140625" style="3" customWidth="1"/>
    <col min="11024" max="11024" width="4.140625" style="3" customWidth="1"/>
    <col min="11025" max="11027" width="11.140625" style="3" customWidth="1"/>
    <col min="11028" max="11028" width="3.28515625" style="3" customWidth="1"/>
    <col min="11029" max="11031" width="11.140625" style="3" customWidth="1"/>
    <col min="11032" max="11032" width="3.140625" style="3" bestFit="1" customWidth="1"/>
    <col min="11033" max="11033" width="6.5703125" style="3" bestFit="1" customWidth="1"/>
    <col min="11034" max="11034" width="20.85546875" style="3" customWidth="1"/>
    <col min="11035" max="11035" width="7.5703125" style="3" customWidth="1"/>
    <col min="11036" max="11275" width="9.140625" style="3"/>
    <col min="11276" max="11276" width="40.85546875" style="3" customWidth="1"/>
    <col min="11277" max="11279" width="11.140625" style="3" customWidth="1"/>
    <col min="11280" max="11280" width="4.140625" style="3" customWidth="1"/>
    <col min="11281" max="11283" width="11.140625" style="3" customWidth="1"/>
    <col min="11284" max="11284" width="3.28515625" style="3" customWidth="1"/>
    <col min="11285" max="11287" width="11.140625" style="3" customWidth="1"/>
    <col min="11288" max="11288" width="3.140625" style="3" bestFit="1" customWidth="1"/>
    <col min="11289" max="11289" width="6.5703125" style="3" bestFit="1" customWidth="1"/>
    <col min="11290" max="11290" width="20.85546875" style="3" customWidth="1"/>
    <col min="11291" max="11291" width="7.5703125" style="3" customWidth="1"/>
    <col min="11292" max="11531" width="9.140625" style="3"/>
    <col min="11532" max="11532" width="40.85546875" style="3" customWidth="1"/>
    <col min="11533" max="11535" width="11.140625" style="3" customWidth="1"/>
    <col min="11536" max="11536" width="4.140625" style="3" customWidth="1"/>
    <col min="11537" max="11539" width="11.140625" style="3" customWidth="1"/>
    <col min="11540" max="11540" width="3.28515625" style="3" customWidth="1"/>
    <col min="11541" max="11543" width="11.140625" style="3" customWidth="1"/>
    <col min="11544" max="11544" width="3.140625" style="3" bestFit="1" customWidth="1"/>
    <col min="11545" max="11545" width="6.5703125" style="3" bestFit="1" customWidth="1"/>
    <col min="11546" max="11546" width="20.85546875" style="3" customWidth="1"/>
    <col min="11547" max="11547" width="7.5703125" style="3" customWidth="1"/>
    <col min="11548" max="11787" width="9.140625" style="3"/>
    <col min="11788" max="11788" width="40.85546875" style="3" customWidth="1"/>
    <col min="11789" max="11791" width="11.140625" style="3" customWidth="1"/>
    <col min="11792" max="11792" width="4.140625" style="3" customWidth="1"/>
    <col min="11793" max="11795" width="11.140625" style="3" customWidth="1"/>
    <col min="11796" max="11796" width="3.28515625" style="3" customWidth="1"/>
    <col min="11797" max="11799" width="11.140625" style="3" customWidth="1"/>
    <col min="11800" max="11800" width="3.140625" style="3" bestFit="1" customWidth="1"/>
    <col min="11801" max="11801" width="6.5703125" style="3" bestFit="1" customWidth="1"/>
    <col min="11802" max="11802" width="20.85546875" style="3" customWidth="1"/>
    <col min="11803" max="11803" width="7.5703125" style="3" customWidth="1"/>
    <col min="11804" max="12043" width="9.140625" style="3"/>
    <col min="12044" max="12044" width="40.85546875" style="3" customWidth="1"/>
    <col min="12045" max="12047" width="11.140625" style="3" customWidth="1"/>
    <col min="12048" max="12048" width="4.140625" style="3" customWidth="1"/>
    <col min="12049" max="12051" width="11.140625" style="3" customWidth="1"/>
    <col min="12052" max="12052" width="3.28515625" style="3" customWidth="1"/>
    <col min="12053" max="12055" width="11.140625" style="3" customWidth="1"/>
    <col min="12056" max="12056" width="3.140625" style="3" bestFit="1" customWidth="1"/>
    <col min="12057" max="12057" width="6.5703125" style="3" bestFit="1" customWidth="1"/>
    <col min="12058" max="12058" width="20.85546875" style="3" customWidth="1"/>
    <col min="12059" max="12059" width="7.5703125" style="3" customWidth="1"/>
    <col min="12060" max="12299" width="9.140625" style="3"/>
    <col min="12300" max="12300" width="40.85546875" style="3" customWidth="1"/>
    <col min="12301" max="12303" width="11.140625" style="3" customWidth="1"/>
    <col min="12304" max="12304" width="4.140625" style="3" customWidth="1"/>
    <col min="12305" max="12307" width="11.140625" style="3" customWidth="1"/>
    <col min="12308" max="12308" width="3.28515625" style="3" customWidth="1"/>
    <col min="12309" max="12311" width="11.140625" style="3" customWidth="1"/>
    <col min="12312" max="12312" width="3.140625" style="3" bestFit="1" customWidth="1"/>
    <col min="12313" max="12313" width="6.5703125" style="3" bestFit="1" customWidth="1"/>
    <col min="12314" max="12314" width="20.85546875" style="3" customWidth="1"/>
    <col min="12315" max="12315" width="7.5703125" style="3" customWidth="1"/>
    <col min="12316" max="12555" width="9.140625" style="3"/>
    <col min="12556" max="12556" width="40.85546875" style="3" customWidth="1"/>
    <col min="12557" max="12559" width="11.140625" style="3" customWidth="1"/>
    <col min="12560" max="12560" width="4.140625" style="3" customWidth="1"/>
    <col min="12561" max="12563" width="11.140625" style="3" customWidth="1"/>
    <col min="12564" max="12564" width="3.28515625" style="3" customWidth="1"/>
    <col min="12565" max="12567" width="11.140625" style="3" customWidth="1"/>
    <col min="12568" max="12568" width="3.140625" style="3" bestFit="1" customWidth="1"/>
    <col min="12569" max="12569" width="6.5703125" style="3" bestFit="1" customWidth="1"/>
    <col min="12570" max="12570" width="20.85546875" style="3" customWidth="1"/>
    <col min="12571" max="12571" width="7.5703125" style="3" customWidth="1"/>
    <col min="12572" max="12811" width="9.140625" style="3"/>
    <col min="12812" max="12812" width="40.85546875" style="3" customWidth="1"/>
    <col min="12813" max="12815" width="11.140625" style="3" customWidth="1"/>
    <col min="12816" max="12816" width="4.140625" style="3" customWidth="1"/>
    <col min="12817" max="12819" width="11.140625" style="3" customWidth="1"/>
    <col min="12820" max="12820" width="3.28515625" style="3" customWidth="1"/>
    <col min="12821" max="12823" width="11.140625" style="3" customWidth="1"/>
    <col min="12824" max="12824" width="3.140625" style="3" bestFit="1" customWidth="1"/>
    <col min="12825" max="12825" width="6.5703125" style="3" bestFit="1" customWidth="1"/>
    <col min="12826" max="12826" width="20.85546875" style="3" customWidth="1"/>
    <col min="12827" max="12827" width="7.5703125" style="3" customWidth="1"/>
    <col min="12828" max="13067" width="9.140625" style="3"/>
    <col min="13068" max="13068" width="40.85546875" style="3" customWidth="1"/>
    <col min="13069" max="13071" width="11.140625" style="3" customWidth="1"/>
    <col min="13072" max="13072" width="4.140625" style="3" customWidth="1"/>
    <col min="13073" max="13075" width="11.140625" style="3" customWidth="1"/>
    <col min="13076" max="13076" width="3.28515625" style="3" customWidth="1"/>
    <col min="13077" max="13079" width="11.140625" style="3" customWidth="1"/>
    <col min="13080" max="13080" width="3.140625" style="3" bestFit="1" customWidth="1"/>
    <col min="13081" max="13081" width="6.5703125" style="3" bestFit="1" customWidth="1"/>
    <col min="13082" max="13082" width="20.85546875" style="3" customWidth="1"/>
    <col min="13083" max="13083" width="7.5703125" style="3" customWidth="1"/>
    <col min="13084" max="13323" width="9.140625" style="3"/>
    <col min="13324" max="13324" width="40.85546875" style="3" customWidth="1"/>
    <col min="13325" max="13327" width="11.140625" style="3" customWidth="1"/>
    <col min="13328" max="13328" width="4.140625" style="3" customWidth="1"/>
    <col min="13329" max="13331" width="11.140625" style="3" customWidth="1"/>
    <col min="13332" max="13332" width="3.28515625" style="3" customWidth="1"/>
    <col min="13333" max="13335" width="11.140625" style="3" customWidth="1"/>
    <col min="13336" max="13336" width="3.140625" style="3" bestFit="1" customWidth="1"/>
    <col min="13337" max="13337" width="6.5703125" style="3" bestFit="1" customWidth="1"/>
    <col min="13338" max="13338" width="20.85546875" style="3" customWidth="1"/>
    <col min="13339" max="13339" width="7.5703125" style="3" customWidth="1"/>
    <col min="13340" max="13579" width="9.140625" style="3"/>
    <col min="13580" max="13580" width="40.85546875" style="3" customWidth="1"/>
    <col min="13581" max="13583" width="11.140625" style="3" customWidth="1"/>
    <col min="13584" max="13584" width="4.140625" style="3" customWidth="1"/>
    <col min="13585" max="13587" width="11.140625" style="3" customWidth="1"/>
    <col min="13588" max="13588" width="3.28515625" style="3" customWidth="1"/>
    <col min="13589" max="13591" width="11.140625" style="3" customWidth="1"/>
    <col min="13592" max="13592" width="3.140625" style="3" bestFit="1" customWidth="1"/>
    <col min="13593" max="13593" width="6.5703125" style="3" bestFit="1" customWidth="1"/>
    <col min="13594" max="13594" width="20.85546875" style="3" customWidth="1"/>
    <col min="13595" max="13595" width="7.5703125" style="3" customWidth="1"/>
    <col min="13596" max="13835" width="9.140625" style="3"/>
    <col min="13836" max="13836" width="40.85546875" style="3" customWidth="1"/>
    <col min="13837" max="13839" width="11.140625" style="3" customWidth="1"/>
    <col min="13840" max="13840" width="4.140625" style="3" customWidth="1"/>
    <col min="13841" max="13843" width="11.140625" style="3" customWidth="1"/>
    <col min="13844" max="13844" width="3.28515625" style="3" customWidth="1"/>
    <col min="13845" max="13847" width="11.140625" style="3" customWidth="1"/>
    <col min="13848" max="13848" width="3.140625" style="3" bestFit="1" customWidth="1"/>
    <col min="13849" max="13849" width="6.5703125" style="3" bestFit="1" customWidth="1"/>
    <col min="13850" max="13850" width="20.85546875" style="3" customWidth="1"/>
    <col min="13851" max="13851" width="7.5703125" style="3" customWidth="1"/>
    <col min="13852" max="14091" width="9.140625" style="3"/>
    <col min="14092" max="14092" width="40.85546875" style="3" customWidth="1"/>
    <col min="14093" max="14095" width="11.140625" style="3" customWidth="1"/>
    <col min="14096" max="14096" width="4.140625" style="3" customWidth="1"/>
    <col min="14097" max="14099" width="11.140625" style="3" customWidth="1"/>
    <col min="14100" max="14100" width="3.28515625" style="3" customWidth="1"/>
    <col min="14101" max="14103" width="11.140625" style="3" customWidth="1"/>
    <col min="14104" max="14104" width="3.140625" style="3" bestFit="1" customWidth="1"/>
    <col min="14105" max="14105" width="6.5703125" style="3" bestFit="1" customWidth="1"/>
    <col min="14106" max="14106" width="20.85546875" style="3" customWidth="1"/>
    <col min="14107" max="14107" width="7.5703125" style="3" customWidth="1"/>
    <col min="14108" max="14347" width="9.140625" style="3"/>
    <col min="14348" max="14348" width="40.85546875" style="3" customWidth="1"/>
    <col min="14349" max="14351" width="11.140625" style="3" customWidth="1"/>
    <col min="14352" max="14352" width="4.140625" style="3" customWidth="1"/>
    <col min="14353" max="14355" width="11.140625" style="3" customWidth="1"/>
    <col min="14356" max="14356" width="3.28515625" style="3" customWidth="1"/>
    <col min="14357" max="14359" width="11.140625" style="3" customWidth="1"/>
    <col min="14360" max="14360" width="3.140625" style="3" bestFit="1" customWidth="1"/>
    <col min="14361" max="14361" width="6.5703125" style="3" bestFit="1" customWidth="1"/>
    <col min="14362" max="14362" width="20.85546875" style="3" customWidth="1"/>
    <col min="14363" max="14363" width="7.5703125" style="3" customWidth="1"/>
    <col min="14364" max="14603" width="9.140625" style="3"/>
    <col min="14604" max="14604" width="40.85546875" style="3" customWidth="1"/>
    <col min="14605" max="14607" width="11.140625" style="3" customWidth="1"/>
    <col min="14608" max="14608" width="4.140625" style="3" customWidth="1"/>
    <col min="14609" max="14611" width="11.140625" style="3" customWidth="1"/>
    <col min="14612" max="14612" width="3.28515625" style="3" customWidth="1"/>
    <col min="14613" max="14615" width="11.140625" style="3" customWidth="1"/>
    <col min="14616" max="14616" width="3.140625" style="3" bestFit="1" customWidth="1"/>
    <col min="14617" max="14617" width="6.5703125" style="3" bestFit="1" customWidth="1"/>
    <col min="14618" max="14618" width="20.85546875" style="3" customWidth="1"/>
    <col min="14619" max="14619" width="7.5703125" style="3" customWidth="1"/>
    <col min="14620" max="14859" width="9.140625" style="3"/>
    <col min="14860" max="14860" width="40.85546875" style="3" customWidth="1"/>
    <col min="14861" max="14863" width="11.140625" style="3" customWidth="1"/>
    <col min="14864" max="14864" width="4.140625" style="3" customWidth="1"/>
    <col min="14865" max="14867" width="11.140625" style="3" customWidth="1"/>
    <col min="14868" max="14868" width="3.28515625" style="3" customWidth="1"/>
    <col min="14869" max="14871" width="11.140625" style="3" customWidth="1"/>
    <col min="14872" max="14872" width="3.140625" style="3" bestFit="1" customWidth="1"/>
    <col min="14873" max="14873" width="6.5703125" style="3" bestFit="1" customWidth="1"/>
    <col min="14874" max="14874" width="20.85546875" style="3" customWidth="1"/>
    <col min="14875" max="14875" width="7.5703125" style="3" customWidth="1"/>
    <col min="14876" max="15115" width="9.140625" style="3"/>
    <col min="15116" max="15116" width="40.85546875" style="3" customWidth="1"/>
    <col min="15117" max="15119" width="11.140625" style="3" customWidth="1"/>
    <col min="15120" max="15120" width="4.140625" style="3" customWidth="1"/>
    <col min="15121" max="15123" width="11.140625" style="3" customWidth="1"/>
    <col min="15124" max="15124" width="3.28515625" style="3" customWidth="1"/>
    <col min="15125" max="15127" width="11.140625" style="3" customWidth="1"/>
    <col min="15128" max="15128" width="3.140625" style="3" bestFit="1" customWidth="1"/>
    <col min="15129" max="15129" width="6.5703125" style="3" bestFit="1" customWidth="1"/>
    <col min="15130" max="15130" width="20.85546875" style="3" customWidth="1"/>
    <col min="15131" max="15131" width="7.5703125" style="3" customWidth="1"/>
    <col min="15132" max="15371" width="9.140625" style="3"/>
    <col min="15372" max="15372" width="40.85546875" style="3" customWidth="1"/>
    <col min="15373" max="15375" width="11.140625" style="3" customWidth="1"/>
    <col min="15376" max="15376" width="4.140625" style="3" customWidth="1"/>
    <col min="15377" max="15379" width="11.140625" style="3" customWidth="1"/>
    <col min="15380" max="15380" width="3.28515625" style="3" customWidth="1"/>
    <col min="15381" max="15383" width="11.140625" style="3" customWidth="1"/>
    <col min="15384" max="15384" width="3.140625" style="3" bestFit="1" customWidth="1"/>
    <col min="15385" max="15385" width="6.5703125" style="3" bestFit="1" customWidth="1"/>
    <col min="15386" max="15386" width="20.85546875" style="3" customWidth="1"/>
    <col min="15387" max="15387" width="7.5703125" style="3" customWidth="1"/>
    <col min="15388" max="15627" width="9.140625" style="3"/>
    <col min="15628" max="15628" width="40.85546875" style="3" customWidth="1"/>
    <col min="15629" max="15631" width="11.140625" style="3" customWidth="1"/>
    <col min="15632" max="15632" width="4.140625" style="3" customWidth="1"/>
    <col min="15633" max="15635" width="11.140625" style="3" customWidth="1"/>
    <col min="15636" max="15636" width="3.28515625" style="3" customWidth="1"/>
    <col min="15637" max="15639" width="11.140625" style="3" customWidth="1"/>
    <col min="15640" max="15640" width="3.140625" style="3" bestFit="1" customWidth="1"/>
    <col min="15641" max="15641" width="6.5703125" style="3" bestFit="1" customWidth="1"/>
    <col min="15642" max="15642" width="20.85546875" style="3" customWidth="1"/>
    <col min="15643" max="15643" width="7.5703125" style="3" customWidth="1"/>
    <col min="15644" max="15883" width="9.140625" style="3"/>
    <col min="15884" max="15884" width="40.85546875" style="3" customWidth="1"/>
    <col min="15885" max="15887" width="11.140625" style="3" customWidth="1"/>
    <col min="15888" max="15888" width="4.140625" style="3" customWidth="1"/>
    <col min="15889" max="15891" width="11.140625" style="3" customWidth="1"/>
    <col min="15892" max="15892" width="3.28515625" style="3" customWidth="1"/>
    <col min="15893" max="15895" width="11.140625" style="3" customWidth="1"/>
    <col min="15896" max="15896" width="3.140625" style="3" bestFit="1" customWidth="1"/>
    <col min="15897" max="15897" width="6.5703125" style="3" bestFit="1" customWidth="1"/>
    <col min="15898" max="15898" width="20.85546875" style="3" customWidth="1"/>
    <col min="15899" max="15899" width="7.5703125" style="3" customWidth="1"/>
    <col min="15900" max="16139" width="9.140625" style="3"/>
    <col min="16140" max="16140" width="40.85546875" style="3" customWidth="1"/>
    <col min="16141" max="16143" width="11.140625" style="3" customWidth="1"/>
    <col min="16144" max="16144" width="4.140625" style="3" customWidth="1"/>
    <col min="16145" max="16147" width="11.140625" style="3" customWidth="1"/>
    <col min="16148" max="16148" width="3.28515625" style="3" customWidth="1"/>
    <col min="16149" max="16151" width="11.140625" style="3" customWidth="1"/>
    <col min="16152" max="16152" width="3.140625" style="3" bestFit="1" customWidth="1"/>
    <col min="16153" max="16153" width="6.5703125" style="3" bestFit="1" customWidth="1"/>
    <col min="16154" max="16154" width="20.85546875" style="3" customWidth="1"/>
    <col min="16155" max="16155" width="7.5703125" style="3" customWidth="1"/>
    <col min="16156" max="16384" width="9.140625" style="3"/>
  </cols>
  <sheetData>
    <row r="1" spans="1:107" ht="19.5" customHeight="1">
      <c r="A1" s="77" t="s">
        <v>33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1"/>
      <c r="P1" s="1"/>
      <c r="Q1" s="1"/>
      <c r="R1" s="1"/>
      <c r="S1" s="1"/>
      <c r="T1" s="1"/>
      <c r="U1" s="1"/>
      <c r="V1" s="1"/>
      <c r="Y1" s="1"/>
    </row>
    <row r="2" spans="1:107" ht="19.5" customHeight="1">
      <c r="A2" s="75" t="s">
        <v>32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4"/>
      <c r="P2" s="4"/>
      <c r="Q2" s="4"/>
      <c r="R2" s="4"/>
      <c r="S2" s="4"/>
      <c r="T2" s="4"/>
      <c r="U2" s="4"/>
      <c r="V2" s="4"/>
      <c r="Y2" s="4"/>
    </row>
    <row r="3" spans="1:107" ht="15.75" customHeight="1">
      <c r="A3" s="80" t="s">
        <v>0</v>
      </c>
      <c r="B3" s="83" t="s">
        <v>1</v>
      </c>
      <c r="C3" s="83"/>
      <c r="D3" s="83"/>
      <c r="E3" s="74"/>
      <c r="F3" s="84" t="s">
        <v>2</v>
      </c>
      <c r="G3" s="83"/>
      <c r="H3" s="85"/>
      <c r="I3" s="74"/>
      <c r="J3" s="83" t="s">
        <v>3</v>
      </c>
      <c r="K3" s="83"/>
      <c r="L3" s="83"/>
      <c r="M3" s="5"/>
      <c r="N3" s="86" t="s">
        <v>4</v>
      </c>
      <c r="O3" s="6"/>
      <c r="P3" s="6"/>
      <c r="Q3" s="6"/>
      <c r="R3" s="6"/>
      <c r="S3" s="6"/>
      <c r="T3" s="6"/>
      <c r="U3" s="6"/>
    </row>
    <row r="4" spans="1:107" ht="15.75" customHeight="1">
      <c r="A4" s="81"/>
      <c r="B4" s="89" t="s">
        <v>5</v>
      </c>
      <c r="C4" s="89"/>
      <c r="D4" s="89"/>
      <c r="E4" s="7"/>
      <c r="F4" s="90" t="s">
        <v>6</v>
      </c>
      <c r="G4" s="89"/>
      <c r="H4" s="91"/>
      <c r="I4" s="7"/>
      <c r="J4" s="89" t="s">
        <v>7</v>
      </c>
      <c r="K4" s="89"/>
      <c r="L4" s="89"/>
      <c r="M4" s="8"/>
      <c r="N4" s="87"/>
      <c r="O4" s="9"/>
      <c r="P4" s="9"/>
      <c r="Q4" s="9"/>
      <c r="R4" s="9"/>
      <c r="S4" s="9"/>
      <c r="T4" s="9"/>
      <c r="U4" s="9"/>
    </row>
    <row r="5" spans="1:107" ht="19.5" customHeight="1">
      <c r="A5" s="82"/>
      <c r="B5" s="10" t="s">
        <v>8</v>
      </c>
      <c r="C5" s="10" t="s">
        <v>9</v>
      </c>
      <c r="D5" s="10" t="s">
        <v>10</v>
      </c>
      <c r="E5" s="10"/>
      <c r="F5" s="59" t="s">
        <v>8</v>
      </c>
      <c r="G5" s="10" t="s">
        <v>9</v>
      </c>
      <c r="H5" s="60" t="s">
        <v>10</v>
      </c>
      <c r="I5" s="10"/>
      <c r="J5" s="10" t="s">
        <v>8</v>
      </c>
      <c r="K5" s="10" t="s">
        <v>9</v>
      </c>
      <c r="L5" s="10" t="s">
        <v>10</v>
      </c>
      <c r="M5" s="10"/>
      <c r="N5" s="88"/>
      <c r="T5" s="11"/>
      <c r="U5" s="11"/>
      <c r="Z5" s="79" t="s">
        <v>6</v>
      </c>
      <c r="AA5" s="79"/>
      <c r="AB5" s="79" t="s">
        <v>11</v>
      </c>
      <c r="AC5" s="79"/>
    </row>
    <row r="6" spans="1:107" ht="18" customHeight="1">
      <c r="A6" s="12" t="s">
        <v>12</v>
      </c>
      <c r="B6" s="13">
        <f>B7+B10+B13+B16+B11</f>
        <v>5169</v>
      </c>
      <c r="C6" s="13">
        <f t="shared" ref="C6:L6" si="0">C7+C10+C13+C16+C11</f>
        <v>1582</v>
      </c>
      <c r="D6" s="13">
        <f t="shared" si="0"/>
        <v>3587</v>
      </c>
      <c r="E6" s="13"/>
      <c r="F6" s="61">
        <f>F7+F10+F13+F16</f>
        <v>1966</v>
      </c>
      <c r="G6" s="16">
        <f>G7+G10+G14+G16+G11</f>
        <v>620</v>
      </c>
      <c r="H6" s="62">
        <f>H7+H10+H14+H16+H11</f>
        <v>1680</v>
      </c>
      <c r="I6" s="16"/>
      <c r="J6" s="16">
        <f>J7+J10+J13+J16+J11</f>
        <v>2869</v>
      </c>
      <c r="K6" s="16">
        <f t="shared" si="0"/>
        <v>962</v>
      </c>
      <c r="L6" s="16">
        <f t="shared" si="0"/>
        <v>1907</v>
      </c>
      <c r="M6" s="14"/>
      <c r="N6" s="17" t="s">
        <v>31</v>
      </c>
      <c r="V6" s="2" t="s">
        <v>9</v>
      </c>
      <c r="W6" s="2" t="s">
        <v>10</v>
      </c>
      <c r="Z6" s="2" t="s">
        <v>9</v>
      </c>
      <c r="AA6" s="2" t="s">
        <v>10</v>
      </c>
      <c r="AB6" s="2" t="s">
        <v>9</v>
      </c>
      <c r="AC6" s="2" t="s">
        <v>10</v>
      </c>
    </row>
    <row r="7" spans="1:107" ht="18" customHeight="1">
      <c r="A7" s="12" t="s">
        <v>13</v>
      </c>
      <c r="B7" s="16">
        <f>SUM(B8:B9)</f>
        <v>1194</v>
      </c>
      <c r="C7" s="16">
        <f>SUM(C8:C9)</f>
        <v>769</v>
      </c>
      <c r="D7" s="16">
        <f>SUM(D8:D9)</f>
        <v>425</v>
      </c>
      <c r="E7" s="16"/>
      <c r="F7" s="61">
        <f>SUM(F8:F9)</f>
        <v>570</v>
      </c>
      <c r="G7" s="16">
        <f>SUM(G8:G9)</f>
        <v>295</v>
      </c>
      <c r="H7" s="62">
        <f>SUM(H8:H9)</f>
        <v>275</v>
      </c>
      <c r="I7" s="16"/>
      <c r="J7" s="16">
        <f>SUM(J8:J9)</f>
        <v>624</v>
      </c>
      <c r="K7" s="16">
        <f t="shared" ref="K7:L7" si="1">SUM(K8:K9)</f>
        <v>474</v>
      </c>
      <c r="L7" s="16">
        <f t="shared" si="1"/>
        <v>150</v>
      </c>
      <c r="M7" s="14"/>
      <c r="N7" s="17" t="s">
        <v>14</v>
      </c>
      <c r="T7" s="2" t="str">
        <f>A7</f>
        <v>Doctors</v>
      </c>
      <c r="U7" s="2">
        <f>B7</f>
        <v>1194</v>
      </c>
      <c r="V7" s="18">
        <f>C7</f>
        <v>769</v>
      </c>
      <c r="W7" s="18">
        <f>D7</f>
        <v>425</v>
      </c>
      <c r="X7" s="18"/>
      <c r="Y7" s="2" t="s">
        <v>13</v>
      </c>
      <c r="Z7" s="18">
        <f>G7</f>
        <v>295</v>
      </c>
      <c r="AA7" s="18">
        <f>H7</f>
        <v>275</v>
      </c>
      <c r="AB7" s="18">
        <f>K7</f>
        <v>474</v>
      </c>
      <c r="AC7" s="18">
        <f>L7</f>
        <v>150</v>
      </c>
      <c r="AD7" s="18">
        <f>SUM(Z7:AC7)</f>
        <v>1194</v>
      </c>
    </row>
    <row r="8" spans="1:107" ht="18" customHeight="1">
      <c r="A8" s="19" t="s">
        <v>15</v>
      </c>
      <c r="B8" s="20">
        <f>SUM(C8:D8)</f>
        <v>687</v>
      </c>
      <c r="C8" s="20">
        <f>G8+K8</f>
        <v>418</v>
      </c>
      <c r="D8" s="20">
        <f>H8+L8</f>
        <v>269</v>
      </c>
      <c r="E8" s="20"/>
      <c r="F8" s="63">
        <f>SUM(G8:H8)</f>
        <v>252</v>
      </c>
      <c r="G8" s="20">
        <v>101</v>
      </c>
      <c r="H8" s="64">
        <v>151</v>
      </c>
      <c r="I8" s="20"/>
      <c r="J8" s="20">
        <f>SUM(K8:L8)</f>
        <v>435</v>
      </c>
      <c r="K8" s="20">
        <v>317</v>
      </c>
      <c r="L8" s="20">
        <v>118</v>
      </c>
      <c r="M8" s="14"/>
      <c r="N8" s="27" t="s">
        <v>40</v>
      </c>
      <c r="T8" s="2" t="str">
        <f>A10</f>
        <v>Nurses</v>
      </c>
      <c r="U8" s="2">
        <f>B10</f>
        <v>2913</v>
      </c>
      <c r="V8" s="18">
        <f>C10</f>
        <v>391</v>
      </c>
      <c r="W8" s="2">
        <f t="shared" ref="W8:W9" si="2">D10</f>
        <v>2522</v>
      </c>
      <c r="Y8" s="2" t="s">
        <v>17</v>
      </c>
      <c r="Z8" s="18">
        <f>G10</f>
        <v>193</v>
      </c>
      <c r="AA8" s="18">
        <f>H10</f>
        <v>1197</v>
      </c>
      <c r="AB8" s="18">
        <f>K10</f>
        <v>198</v>
      </c>
      <c r="AC8" s="18">
        <f>L10</f>
        <v>1325</v>
      </c>
      <c r="AD8" s="18">
        <f t="shared" ref="AD8:AD11" si="3">SUM(Z8:AC8)</f>
        <v>2913</v>
      </c>
    </row>
    <row r="9" spans="1:107" ht="18" customHeight="1">
      <c r="A9" s="19" t="s">
        <v>16</v>
      </c>
      <c r="B9" s="20">
        <f>F9+J9</f>
        <v>507</v>
      </c>
      <c r="C9" s="20">
        <f t="shared" ref="C9:D11" si="4">G9+K9</f>
        <v>351</v>
      </c>
      <c r="D9" s="20">
        <f t="shared" si="4"/>
        <v>156</v>
      </c>
      <c r="E9" s="20"/>
      <c r="F9" s="63">
        <f t="shared" ref="F9:F10" si="5">SUM(G9:H9)</f>
        <v>318</v>
      </c>
      <c r="G9" s="20">
        <v>194</v>
      </c>
      <c r="H9" s="64">
        <v>124</v>
      </c>
      <c r="I9" s="20"/>
      <c r="J9" s="20">
        <f t="shared" ref="J9:J10" si="6">SUM(K9:L9)</f>
        <v>189</v>
      </c>
      <c r="K9" s="20">
        <v>157</v>
      </c>
      <c r="L9" s="20">
        <v>32</v>
      </c>
      <c r="M9" s="14"/>
      <c r="N9" s="27" t="s">
        <v>38</v>
      </c>
      <c r="T9" s="2" t="str">
        <f>A11</f>
        <v>Allied Health Staff</v>
      </c>
      <c r="U9" s="2">
        <f>B11</f>
        <v>590</v>
      </c>
      <c r="V9" s="18">
        <f>C11</f>
        <v>278</v>
      </c>
      <c r="W9" s="2">
        <f t="shared" si="2"/>
        <v>312</v>
      </c>
      <c r="Y9" s="2" t="s">
        <v>18</v>
      </c>
      <c r="Z9" s="18">
        <f>G11</f>
        <v>131</v>
      </c>
      <c r="AA9" s="18">
        <f>H11</f>
        <v>203</v>
      </c>
      <c r="AB9" s="18">
        <f>K11</f>
        <v>147</v>
      </c>
      <c r="AC9" s="18">
        <f>L11</f>
        <v>109</v>
      </c>
      <c r="AD9" s="18">
        <f t="shared" si="3"/>
        <v>590</v>
      </c>
    </row>
    <row r="10" spans="1:107" s="25" customFormat="1" ht="18" customHeight="1">
      <c r="A10" s="12" t="s">
        <v>17</v>
      </c>
      <c r="B10" s="16">
        <f t="shared" ref="B10:B11" si="7">F10+J10</f>
        <v>2913</v>
      </c>
      <c r="C10" s="16">
        <f t="shared" si="4"/>
        <v>391</v>
      </c>
      <c r="D10" s="16">
        <f t="shared" si="4"/>
        <v>2522</v>
      </c>
      <c r="E10" s="16"/>
      <c r="F10" s="61">
        <f t="shared" si="5"/>
        <v>1390</v>
      </c>
      <c r="G10" s="16">
        <v>193</v>
      </c>
      <c r="H10" s="62">
        <v>1197</v>
      </c>
      <c r="I10" s="16"/>
      <c r="J10" s="16">
        <f t="shared" si="6"/>
        <v>1523</v>
      </c>
      <c r="K10" s="16">
        <v>198</v>
      </c>
      <c r="L10" s="16">
        <v>1325</v>
      </c>
      <c r="M10" s="21"/>
      <c r="N10" s="22" t="s">
        <v>39</v>
      </c>
      <c r="O10" s="23"/>
      <c r="P10" s="23"/>
      <c r="Q10" s="23"/>
      <c r="R10" s="23"/>
      <c r="S10" s="23"/>
      <c r="T10" s="23" t="str">
        <f>A13</f>
        <v>Community Health Personnel</v>
      </c>
      <c r="U10" s="23">
        <f>B13</f>
        <v>433</v>
      </c>
      <c r="V10" s="24">
        <f>C13</f>
        <v>144</v>
      </c>
      <c r="W10" s="23">
        <f t="shared" ref="W10" si="8">D13</f>
        <v>289</v>
      </c>
      <c r="X10" s="23"/>
      <c r="Y10" s="23" t="s">
        <v>21</v>
      </c>
      <c r="Z10" s="24">
        <f>G14</f>
        <v>1</v>
      </c>
      <c r="AA10" s="24">
        <f>H14</f>
        <v>5</v>
      </c>
      <c r="AB10" s="24">
        <f>K13</f>
        <v>143</v>
      </c>
      <c r="AC10" s="24">
        <f>L13</f>
        <v>284</v>
      </c>
      <c r="AD10" s="24">
        <f t="shared" si="3"/>
        <v>433</v>
      </c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</row>
    <row r="11" spans="1:107" s="25" customFormat="1" ht="18" customHeight="1">
      <c r="A11" s="12" t="s">
        <v>18</v>
      </c>
      <c r="B11" s="16">
        <f t="shared" si="7"/>
        <v>590</v>
      </c>
      <c r="C11" s="16">
        <f t="shared" si="4"/>
        <v>278</v>
      </c>
      <c r="D11" s="16">
        <f t="shared" si="4"/>
        <v>312</v>
      </c>
      <c r="E11" s="16"/>
      <c r="F11" s="61">
        <f>SUM(G11:H11)</f>
        <v>334</v>
      </c>
      <c r="G11" s="16">
        <v>131</v>
      </c>
      <c r="H11" s="62">
        <v>203</v>
      </c>
      <c r="I11" s="16"/>
      <c r="J11" s="16">
        <f>SUM(K11:L11)</f>
        <v>256</v>
      </c>
      <c r="K11" s="16">
        <v>147</v>
      </c>
      <c r="L11" s="16">
        <v>109</v>
      </c>
      <c r="M11" s="21"/>
      <c r="N11" s="22" t="s">
        <v>19</v>
      </c>
      <c r="O11" s="23"/>
      <c r="P11" s="23"/>
      <c r="Q11" s="23"/>
      <c r="R11" s="23"/>
      <c r="S11" s="23"/>
      <c r="T11" s="23" t="str">
        <f>A16</f>
        <v>Traditional Birth Attendant (Foolhuma)</v>
      </c>
      <c r="U11" s="23">
        <f>B16</f>
        <v>39</v>
      </c>
      <c r="V11" s="24">
        <f>C16</f>
        <v>0</v>
      </c>
      <c r="W11" s="23">
        <f t="shared" ref="W11" si="9">D16</f>
        <v>39</v>
      </c>
      <c r="X11" s="23"/>
      <c r="Y11" s="23" t="s">
        <v>27</v>
      </c>
      <c r="Z11" s="24">
        <f>G16</f>
        <v>0</v>
      </c>
      <c r="AA11" s="24">
        <f>H16</f>
        <v>0</v>
      </c>
      <c r="AB11" s="24">
        <f>K16</f>
        <v>0</v>
      </c>
      <c r="AC11" s="24">
        <f>L16</f>
        <v>39</v>
      </c>
      <c r="AD11" s="24">
        <f t="shared" si="3"/>
        <v>39</v>
      </c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</row>
    <row r="12" spans="1:107" ht="6.75" customHeight="1">
      <c r="A12" s="26" t="s">
        <v>20</v>
      </c>
      <c r="B12" s="20"/>
      <c r="C12" s="20"/>
      <c r="D12" s="20"/>
      <c r="E12" s="20"/>
      <c r="F12" s="61"/>
      <c r="G12" s="16"/>
      <c r="H12" s="62"/>
      <c r="I12" s="16"/>
      <c r="J12" s="16"/>
      <c r="K12" s="16"/>
      <c r="L12" s="16"/>
      <c r="M12" s="14"/>
      <c r="N12" s="14"/>
    </row>
    <row r="13" spans="1:107" ht="18" customHeight="1">
      <c r="A13" s="12" t="s">
        <v>21</v>
      </c>
      <c r="B13" s="16">
        <f>F13+J13</f>
        <v>433</v>
      </c>
      <c r="C13" s="16">
        <f t="shared" ref="C13:D16" si="10">G13+K13</f>
        <v>144</v>
      </c>
      <c r="D13" s="16">
        <f t="shared" si="10"/>
        <v>289</v>
      </c>
      <c r="E13" s="16"/>
      <c r="F13" s="61">
        <f>SUM(G13:H13)</f>
        <v>6</v>
      </c>
      <c r="G13" s="16">
        <v>1</v>
      </c>
      <c r="H13" s="62">
        <v>5</v>
      </c>
      <c r="I13" s="16"/>
      <c r="J13" s="16">
        <f>SUM(J14:J15)</f>
        <v>427</v>
      </c>
      <c r="K13" s="16">
        <f>SUM(K14:K15)</f>
        <v>143</v>
      </c>
      <c r="L13" s="16">
        <f t="shared" ref="L13" si="11">SUM(L14:L15)</f>
        <v>284</v>
      </c>
      <c r="M13" s="70"/>
      <c r="N13" s="22" t="s">
        <v>22</v>
      </c>
    </row>
    <row r="14" spans="1:107" ht="18" customHeight="1">
      <c r="A14" s="19" t="s">
        <v>23</v>
      </c>
      <c r="B14" s="20">
        <f t="shared" ref="B14:B16" si="12">F14+J14</f>
        <v>210</v>
      </c>
      <c r="C14" s="20">
        <f t="shared" si="10"/>
        <v>102</v>
      </c>
      <c r="D14" s="20">
        <f t="shared" si="10"/>
        <v>108</v>
      </c>
      <c r="E14" s="20"/>
      <c r="F14" s="63">
        <f>SUM(G14:H14)</f>
        <v>6</v>
      </c>
      <c r="G14" s="20">
        <v>1</v>
      </c>
      <c r="H14" s="64">
        <v>5</v>
      </c>
      <c r="I14" s="20"/>
      <c r="J14" s="20">
        <f>SUM(K14:L14)</f>
        <v>204</v>
      </c>
      <c r="K14" s="20">
        <v>101</v>
      </c>
      <c r="L14" s="20">
        <v>103</v>
      </c>
      <c r="M14" s="70"/>
      <c r="N14" s="27" t="s">
        <v>24</v>
      </c>
    </row>
    <row r="15" spans="1:107" ht="18" customHeight="1">
      <c r="A15" s="19" t="s">
        <v>25</v>
      </c>
      <c r="B15" s="20">
        <f t="shared" si="12"/>
        <v>223</v>
      </c>
      <c r="C15" s="20">
        <f t="shared" si="10"/>
        <v>42</v>
      </c>
      <c r="D15" s="20">
        <f t="shared" si="10"/>
        <v>181</v>
      </c>
      <c r="E15" s="20"/>
      <c r="F15" s="63">
        <v>0</v>
      </c>
      <c r="G15" s="20">
        <v>0</v>
      </c>
      <c r="H15" s="64">
        <v>0</v>
      </c>
      <c r="I15" s="20"/>
      <c r="J15" s="20">
        <f>SUM(K15:L15)</f>
        <v>223</v>
      </c>
      <c r="K15" s="20">
        <v>42</v>
      </c>
      <c r="L15" s="20">
        <v>181</v>
      </c>
      <c r="M15" s="70"/>
      <c r="N15" s="27" t="s">
        <v>26</v>
      </c>
    </row>
    <row r="16" spans="1:107" ht="18" customHeight="1">
      <c r="A16" s="65" t="s">
        <v>27</v>
      </c>
      <c r="B16" s="66">
        <f t="shared" si="12"/>
        <v>39</v>
      </c>
      <c r="C16" s="66">
        <f t="shared" si="10"/>
        <v>0</v>
      </c>
      <c r="D16" s="66">
        <f t="shared" si="10"/>
        <v>39</v>
      </c>
      <c r="E16" s="66"/>
      <c r="F16" s="67">
        <f>SUM(G16:H16)</f>
        <v>0</v>
      </c>
      <c r="G16" s="66">
        <v>0</v>
      </c>
      <c r="H16" s="68">
        <v>0</v>
      </c>
      <c r="I16" s="66"/>
      <c r="J16" s="66">
        <f>SUM(K16:L16)</f>
        <v>39</v>
      </c>
      <c r="K16" s="66">
        <v>0</v>
      </c>
      <c r="L16" s="66">
        <v>39</v>
      </c>
      <c r="M16" s="71"/>
      <c r="N16" s="69" t="s">
        <v>28</v>
      </c>
      <c r="AA16" s="28"/>
    </row>
    <row r="17" spans="1:19" ht="19.5" customHeight="1">
      <c r="A17" s="29" t="s">
        <v>29</v>
      </c>
      <c r="B17" s="30"/>
      <c r="C17" s="30"/>
      <c r="D17" s="31"/>
      <c r="E17" s="30"/>
      <c r="F17" s="30"/>
      <c r="G17" s="30"/>
      <c r="H17" s="30"/>
      <c r="I17" s="30"/>
      <c r="J17" s="30"/>
      <c r="K17" s="30"/>
      <c r="L17" s="30"/>
      <c r="M17" s="32"/>
      <c r="N17" s="32"/>
    </row>
    <row r="18" spans="1:19" ht="16.5" customHeight="1">
      <c r="A18" s="72" t="s">
        <v>34</v>
      </c>
      <c r="B18" s="33"/>
      <c r="C18" s="33"/>
      <c r="D18" s="34"/>
      <c r="E18" s="33"/>
      <c r="F18" s="33"/>
      <c r="G18" s="33"/>
      <c r="H18" s="33"/>
      <c r="I18" s="33"/>
      <c r="J18" s="33"/>
      <c r="K18" s="33"/>
      <c r="L18" s="33"/>
      <c r="M18" s="14"/>
      <c r="N18" s="14"/>
    </row>
    <row r="19" spans="1:19" ht="16.5" customHeight="1">
      <c r="A19" s="73" t="s">
        <v>35</v>
      </c>
      <c r="B19" s="35"/>
      <c r="C19" s="35"/>
      <c r="D19" s="36"/>
      <c r="E19" s="33"/>
      <c r="F19" s="33"/>
      <c r="G19" s="33"/>
      <c r="H19" s="33"/>
      <c r="I19" s="33"/>
      <c r="J19" s="33"/>
      <c r="K19" s="33"/>
      <c r="L19" s="33"/>
      <c r="M19" s="14"/>
      <c r="N19" s="14"/>
    </row>
    <row r="20" spans="1:19" ht="16.5" customHeight="1">
      <c r="A20" s="73" t="s">
        <v>36</v>
      </c>
      <c r="B20" s="33"/>
      <c r="C20" s="33"/>
      <c r="D20" s="34"/>
      <c r="E20" s="37"/>
      <c r="F20" s="37"/>
      <c r="G20" s="33"/>
      <c r="H20" s="33"/>
      <c r="I20" s="33"/>
      <c r="J20" s="33"/>
      <c r="K20" s="33"/>
      <c r="L20" s="33"/>
      <c r="M20" s="14"/>
      <c r="N20" s="14"/>
    </row>
    <row r="21" spans="1:19" ht="16.5" customHeight="1">
      <c r="A21" s="73" t="s">
        <v>37</v>
      </c>
      <c r="B21" s="33"/>
      <c r="C21" s="33"/>
      <c r="D21" s="34"/>
      <c r="E21" s="37"/>
      <c r="F21" s="37"/>
      <c r="G21" s="33"/>
      <c r="H21" s="33"/>
      <c r="I21" s="33"/>
      <c r="J21" s="33"/>
      <c r="K21" s="33"/>
      <c r="L21" s="33"/>
      <c r="M21" s="14"/>
      <c r="N21" s="14"/>
    </row>
    <row r="22" spans="1:19" ht="16.5" customHeight="1">
      <c r="A22" s="73" t="s">
        <v>30</v>
      </c>
      <c r="B22" s="33"/>
      <c r="C22" s="33"/>
      <c r="D22" s="34"/>
      <c r="E22" s="37"/>
      <c r="F22" s="37"/>
      <c r="G22" s="33"/>
      <c r="H22" s="33"/>
      <c r="I22" s="33"/>
      <c r="J22" s="33"/>
      <c r="K22" s="33"/>
      <c r="L22" s="33"/>
      <c r="M22" s="14"/>
      <c r="N22" s="14"/>
    </row>
    <row r="23" spans="1:19" ht="16.5" customHeight="1">
      <c r="A23" s="38"/>
      <c r="B23" s="30"/>
      <c r="C23" s="30"/>
      <c r="D23" s="31"/>
      <c r="E23" s="30"/>
      <c r="F23" s="30"/>
      <c r="G23" s="30"/>
      <c r="H23" s="30"/>
      <c r="I23" s="30"/>
      <c r="J23" s="30"/>
      <c r="K23" s="30"/>
      <c r="L23" s="30"/>
      <c r="M23" s="14"/>
      <c r="N23" s="14"/>
    </row>
    <row r="24" spans="1:19" ht="19.5" customHeight="1">
      <c r="A24" s="39"/>
      <c r="B24" s="40"/>
      <c r="C24" s="30"/>
      <c r="D24" s="31"/>
      <c r="E24" s="41"/>
      <c r="F24" s="41"/>
      <c r="G24" s="3"/>
      <c r="H24" s="30"/>
      <c r="I24" s="30"/>
      <c r="J24" s="30"/>
      <c r="K24" s="40"/>
      <c r="L24" s="40"/>
      <c r="M24" s="14"/>
      <c r="N24" s="14"/>
    </row>
    <row r="25" spans="1:19" ht="19.5" customHeight="1">
      <c r="A25" s="3"/>
      <c r="B25" s="42"/>
      <c r="C25" s="42"/>
      <c r="D25" s="42"/>
      <c r="E25" s="42"/>
      <c r="F25" s="42"/>
      <c r="G25" s="42"/>
      <c r="H25" s="42"/>
      <c r="I25" s="42"/>
      <c r="J25" s="43"/>
      <c r="K25" s="44"/>
      <c r="L25" s="45"/>
      <c r="M25" s="14"/>
      <c r="N25" s="14"/>
    </row>
    <row r="26" spans="1:19" ht="19.5" customHeight="1">
      <c r="A26" s="30"/>
      <c r="B26" s="42"/>
      <c r="C26" s="42"/>
      <c r="D26" s="42"/>
      <c r="E26" s="42"/>
      <c r="F26" s="42"/>
      <c r="G26" s="42"/>
      <c r="H26" s="42"/>
      <c r="I26" s="42"/>
      <c r="J26" s="42"/>
      <c r="K26" s="44"/>
      <c r="L26" s="45"/>
      <c r="M26" s="14"/>
      <c r="N26" s="14"/>
    </row>
    <row r="27" spans="1:19" ht="19.5" customHeight="1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14"/>
      <c r="N27" s="14"/>
    </row>
    <row r="28" spans="1:19" ht="19.5" customHeight="1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14"/>
      <c r="N28" s="14"/>
    </row>
    <row r="29" spans="1:19" ht="19.5" customHeight="1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50"/>
      <c r="L29" s="45"/>
      <c r="M29" s="51"/>
      <c r="N29" s="51"/>
      <c r="O29" s="52"/>
      <c r="P29" s="52"/>
      <c r="Q29" s="52"/>
      <c r="R29" s="52"/>
      <c r="S29" s="52"/>
    </row>
    <row r="33" spans="1:107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07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07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07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07" s="55" customFormat="1" ht="19.5" customHeight="1">
      <c r="N37" s="5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</row>
    <row r="38" spans="1:107" s="2" customFormat="1" ht="19.5" customHeight="1"/>
    <row r="39" spans="1:107" s="2" customFormat="1" ht="19.5" customHeight="1"/>
    <row r="40" spans="1:107" s="2" customFormat="1" ht="15"/>
    <row r="41" spans="1:107" s="2" customFormat="1" ht="19.5" customHeight="1">
      <c r="A41" s="57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</row>
    <row r="42" spans="1:107" s="2" customFormat="1" ht="19.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</row>
    <row r="43" spans="1:107" s="2" customFormat="1" ht="19.5" customHeight="1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</row>
    <row r="44" spans="1:107" s="2" customFormat="1" ht="19.5" customHeight="1">
      <c r="A44" s="57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</row>
    <row r="45" spans="1:107" s="2" customFormat="1" ht="19.5" customHeight="1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</row>
    <row r="46" spans="1:107" s="2" customFormat="1" ht="19.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</row>
    <row r="47" spans="1:107" s="2" customFormat="1" ht="19.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</row>
    <row r="48" spans="1:107" s="2" customFormat="1" ht="19.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s="2" customFormat="1" ht="19.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</row>
    <row r="50" spans="1:12" s="2" customFormat="1" ht="19.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</row>
    <row r="51" spans="1:12" s="2" customFormat="1" ht="19.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</row>
    <row r="52" spans="1:12" s="2" customFormat="1" ht="19.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</row>
    <row r="53" spans="1:12" s="2" customFormat="1" ht="19.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</row>
    <row r="54" spans="1:12" s="2" customFormat="1" ht="19.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</row>
    <row r="55" spans="1:12" s="2" customFormat="1" ht="19.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</row>
    <row r="56" spans="1:12" s="2" customFormat="1" ht="19.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</row>
    <row r="57" spans="1:12" s="2" customFormat="1" ht="19.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</row>
    <row r="58" spans="1:12" s="2" customFormat="1" ht="19.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2" s="2" customFormat="1" ht="19.5" customHeight="1">
      <c r="A59" s="57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</row>
    <row r="60" spans="1:12" s="2" customFormat="1" ht="19.5" customHeight="1">
      <c r="A60" s="57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</row>
    <row r="61" spans="1:12" s="2" customFormat="1" ht="19.5" customHeight="1">
      <c r="A61" s="57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2" s="2" customFormat="1" ht="19.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</row>
    <row r="63" spans="1:12" s="2" customFormat="1" ht="19.5" customHeight="1">
      <c r="A63" s="5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</row>
    <row r="64" spans="1:12" s="2" customFormat="1" ht="19.5" customHeight="1">
      <c r="A64" s="57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</row>
    <row r="65" spans="1:12" s="2" customFormat="1" ht="19.5" customHeight="1">
      <c r="A65" s="57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</row>
    <row r="66" spans="1:12" s="2" customFormat="1" ht="19.5" customHeight="1">
      <c r="A66" s="57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</row>
    <row r="67" spans="1:12" s="2" customFormat="1" ht="19.5" customHeight="1">
      <c r="A67" s="57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</row>
    <row r="68" spans="1:12" s="2" customFormat="1" ht="19.5" customHeight="1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1:12" s="2" customFormat="1" ht="19.5" customHeight="1">
      <c r="A69" s="57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1:12" s="2" customFormat="1" ht="19.5" customHeight="1">
      <c r="A70" s="57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</row>
    <row r="71" spans="1:12" s="2" customFormat="1" ht="19.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</row>
    <row r="72" spans="1:12" s="2" customFormat="1" ht="19.5" customHeight="1">
      <c r="A72" s="57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</row>
    <row r="73" spans="1:12" s="2" customFormat="1" ht="19.5" customHeight="1">
      <c r="A73" s="5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</row>
    <row r="74" spans="1:12" s="2" customFormat="1" ht="19.5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</row>
    <row r="75" spans="1:12" s="2" customFormat="1" ht="19.5" customHeight="1">
      <c r="A75" s="57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</row>
    <row r="76" spans="1:12" s="2" customFormat="1" ht="19.5" customHeight="1">
      <c r="A76" s="57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</row>
    <row r="77" spans="1:12" s="2" customFormat="1" ht="19.5" customHeight="1">
      <c r="A77" s="57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</row>
    <row r="78" spans="1:12" s="2" customFormat="1" ht="19.5" customHeight="1">
      <c r="A78" s="57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</row>
    <row r="79" spans="1:12" s="2" customFormat="1" ht="19.5" customHeight="1">
      <c r="A79" s="57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</row>
    <row r="80" spans="1:12" s="2" customFormat="1" ht="19.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</row>
    <row r="81" spans="1:12" s="2" customFormat="1" ht="19.5" customHeight="1">
      <c r="A81" s="57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</row>
    <row r="82" spans="1:12" s="2" customFormat="1" ht="19.5" customHeight="1">
      <c r="A82" s="57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</row>
    <row r="83" spans="1:12" s="2" customFormat="1" ht="19.5" customHeight="1">
      <c r="A83" s="57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</row>
    <row r="84" spans="1:12" s="2" customFormat="1" ht="19.5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</row>
    <row r="85" spans="1:12" s="2" customFormat="1" ht="19.5" customHeight="1">
      <c r="A85" s="57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</row>
    <row r="86" spans="1:12" s="2" customFormat="1" ht="19.5" customHeight="1">
      <c r="A86" s="57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</row>
    <row r="87" spans="1:12" s="2" customFormat="1" ht="19.5" customHeight="1">
      <c r="A87" s="57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</row>
    <row r="88" spans="1:12" s="2" customFormat="1" ht="19.5" customHeight="1">
      <c r="A88" s="57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</row>
    <row r="89" spans="1:12" s="2" customFormat="1" ht="19.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</row>
    <row r="90" spans="1:12" s="2" customFormat="1" ht="19.5" customHeight="1">
      <c r="A90" s="57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</row>
    <row r="91" spans="1:12" s="2" customFormat="1" ht="19.5" customHeight="1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</row>
    <row r="92" spans="1:12" s="2" customFormat="1" ht="19.5" customHeight="1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</row>
    <row r="93" spans="1:12" s="2" customFormat="1" ht="19.5" customHeight="1">
      <c r="A93" s="57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</row>
    <row r="94" spans="1:12" s="2" customFormat="1" ht="19.5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</row>
    <row r="95" spans="1:12" s="2" customFormat="1" ht="19.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</row>
    <row r="96" spans="1:12" s="2" customFormat="1" ht="19.5" customHeight="1">
      <c r="A96" s="57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</row>
    <row r="97" spans="1:12" s="2" customFormat="1" ht="19.5" customHeight="1">
      <c r="A97" s="57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</row>
    <row r="98" spans="1:12" s="2" customFormat="1" ht="19.5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</row>
    <row r="99" spans="1:12" s="2" customFormat="1" ht="19.5" customHeight="1">
      <c r="A99" s="57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</row>
    <row r="100" spans="1:12" s="2" customFormat="1" ht="19.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</row>
    <row r="101" spans="1:12" s="2" customFormat="1" ht="19.5" customHeight="1">
      <c r="A101" s="57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</row>
    <row r="102" spans="1:12" s="2" customFormat="1" ht="19.5" customHeight="1">
      <c r="A102" s="57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</row>
    <row r="103" spans="1:12" s="2" customFormat="1" ht="19.5" customHeight="1">
      <c r="A103" s="57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</row>
    <row r="104" spans="1:12" s="2" customFormat="1" ht="19.5" customHeight="1">
      <c r="A104" s="57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</row>
    <row r="105" spans="1:12" s="2" customFormat="1" ht="19.5" customHeight="1">
      <c r="A105" s="57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</row>
    <row r="106" spans="1:12" s="2" customFormat="1" ht="19.5" customHeight="1">
      <c r="A106" s="57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</row>
    <row r="107" spans="1:12" s="2" customFormat="1" ht="19.5" customHeight="1">
      <c r="A107" s="57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</row>
    <row r="108" spans="1:12" s="2" customFormat="1" ht="19.5" customHeight="1">
      <c r="A108" s="57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</row>
    <row r="109" spans="1:12" s="2" customFormat="1" ht="19.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</row>
    <row r="110" spans="1:12" s="2" customFormat="1" ht="19.5" customHeight="1">
      <c r="A110" s="57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</row>
    <row r="111" spans="1:12" s="2" customFormat="1" ht="19.5" customHeight="1">
      <c r="A111" s="57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</row>
    <row r="112" spans="1:12" s="2" customFormat="1" ht="19.5" customHeight="1">
      <c r="A112" s="57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</row>
    <row r="113" spans="1:12" s="2" customFormat="1" ht="19.5" customHeight="1">
      <c r="A113" s="57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</row>
    <row r="114" spans="1:12" s="2" customFormat="1" ht="19.5" customHeight="1">
      <c r="A114" s="57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</row>
    <row r="115" spans="1:12" s="2" customFormat="1" ht="19.5" customHeight="1">
      <c r="A115" s="57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</row>
    <row r="116" spans="1:12" s="2" customFormat="1" ht="19.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</row>
    <row r="117" spans="1:12" s="2" customFormat="1" ht="19.5" customHeight="1">
      <c r="A117" s="57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</row>
    <row r="118" spans="1:12" s="2" customFormat="1" ht="19.5" customHeight="1">
      <c r="A118" s="57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</row>
    <row r="119" spans="1:12" s="2" customFormat="1" ht="19.5" customHeight="1">
      <c r="A119" s="57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</row>
    <row r="120" spans="1:12" s="2" customFormat="1" ht="19.5" customHeight="1">
      <c r="A120" s="57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</row>
    <row r="121" spans="1:12" s="2" customFormat="1" ht="19.5" customHeight="1">
      <c r="A121" s="57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</row>
    <row r="122" spans="1:12" s="2" customFormat="1" ht="19.5" customHeight="1">
      <c r="A122" s="57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</row>
    <row r="123" spans="1:12" s="2" customFormat="1" ht="19.5" customHeight="1">
      <c r="A123" s="57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</row>
    <row r="124" spans="1:12" s="2" customFormat="1" ht="19.5" customHeight="1">
      <c r="A124" s="57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12" s="2" customFormat="1" ht="19.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12" s="2" customFormat="1" ht="19.5" customHeight="1">
      <c r="A126" s="57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12" s="2" customFormat="1" ht="19.5" customHeight="1">
      <c r="A127" s="57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12" s="2" customFormat="1" ht="19.5" customHeight="1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2" s="2" customFormat="1" ht="19.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s="2" customFormat="1" ht="19.5" customHeight="1">
      <c r="A130" s="57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</row>
    <row r="131" spans="1:12" s="2" customFormat="1" ht="19.5" customHeight="1">
      <c r="A131" s="57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</row>
    <row r="132" spans="1:12" s="2" customFormat="1" ht="19.5" customHeight="1">
      <c r="A132" s="57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</row>
    <row r="133" spans="1:12" s="2" customFormat="1" ht="19.5" customHeight="1">
      <c r="A133" s="57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</row>
    <row r="134" spans="1:12" s="2" customFormat="1" ht="19.5" customHeight="1">
      <c r="A134" s="57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</row>
    <row r="135" spans="1:12" s="2" customFormat="1" ht="19.5" customHeight="1">
      <c r="A135" s="57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</row>
    <row r="136" spans="1:12" s="2" customFormat="1" ht="19.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</row>
    <row r="137" spans="1:12" s="2" customFormat="1" ht="19.5" customHeight="1">
      <c r="A137" s="57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</row>
    <row r="138" spans="1:12" s="2" customFormat="1" ht="19.5" customHeight="1">
      <c r="A138" s="57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</row>
    <row r="139" spans="1:12" s="2" customFormat="1" ht="19.5" customHeight="1">
      <c r="A139" s="57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</row>
    <row r="140" spans="1:12" s="2" customFormat="1" ht="19.5" customHeight="1">
      <c r="A140" s="57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</row>
    <row r="141" spans="1:12" s="2" customFormat="1" ht="19.5" customHeight="1">
      <c r="A141" s="57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</row>
    <row r="142" spans="1:12" s="2" customFormat="1" ht="19.5" customHeight="1">
      <c r="A142" s="57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</row>
    <row r="143" spans="1:12" s="2" customFormat="1" ht="19.5" customHeight="1">
      <c r="A143" s="57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</row>
    <row r="144" spans="1:12" s="2" customFormat="1" ht="19.5" customHeight="1">
      <c r="A144" s="57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</row>
    <row r="145" spans="1:12" s="2" customFormat="1" ht="19.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</row>
    <row r="146" spans="1:12" s="2" customFormat="1" ht="19.5" customHeight="1">
      <c r="A146" s="57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</row>
    <row r="147" spans="1:12" s="2" customFormat="1" ht="19.5" customHeight="1">
      <c r="A147" s="5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</row>
    <row r="148" spans="1:12" s="2" customFormat="1" ht="19.5" customHeight="1">
      <c r="A148" s="57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</row>
    <row r="149" spans="1:12" s="2" customFormat="1" ht="19.5" customHeight="1">
      <c r="A149" s="57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</row>
    <row r="150" spans="1:12" s="2" customFormat="1" ht="19.5" customHeight="1">
      <c r="A150" s="57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</row>
    <row r="151" spans="1:12" s="2" customFormat="1" ht="19.5" customHeight="1">
      <c r="A151" s="57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</row>
    <row r="152" spans="1:12" s="2" customFormat="1" ht="19.5" customHeight="1">
      <c r="A152" s="57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</row>
    <row r="153" spans="1:12" s="2" customFormat="1" ht="19.5" customHeight="1">
      <c r="A153" s="57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</row>
    <row r="154" spans="1:12" s="2" customFormat="1" ht="19.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</row>
    <row r="155" spans="1:12" s="2" customFormat="1" ht="19.5" customHeight="1">
      <c r="A155" s="57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</row>
    <row r="156" spans="1:12" s="2" customFormat="1" ht="19.5" customHeight="1">
      <c r="A156" s="57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</row>
    <row r="157" spans="1:12" s="2" customFormat="1" ht="19.5" customHeight="1">
      <c r="A157" s="5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</row>
    <row r="158" spans="1:12" s="2" customFormat="1" ht="19.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</row>
    <row r="159" spans="1:12" s="2" customFormat="1" ht="19.5" customHeight="1">
      <c r="A159" s="57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</row>
    <row r="160" spans="1:12" s="2" customFormat="1" ht="19.5" customHeight="1">
      <c r="A160" s="57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</row>
    <row r="161" spans="1:12" s="2" customFormat="1" ht="19.5" customHeight="1">
      <c r="A161" s="57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</row>
    <row r="162" spans="1:12" s="2" customFormat="1" ht="19.5" customHeight="1">
      <c r="A162" s="5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</row>
    <row r="163" spans="1:12" s="2" customFormat="1" ht="19.5" customHeight="1">
      <c r="A163" s="57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</row>
    <row r="164" spans="1:12" s="2" customFormat="1" ht="19.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</row>
    <row r="165" spans="1:12" s="2" customFormat="1" ht="19.5" customHeight="1">
      <c r="A165" s="57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</row>
    <row r="166" spans="1:12" s="2" customFormat="1" ht="19.5" customHeight="1">
      <c r="A166" s="5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</row>
    <row r="167" spans="1:12" s="2" customFormat="1" ht="19.5" customHeight="1">
      <c r="A167" s="57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</row>
    <row r="168" spans="1:12" s="2" customFormat="1" ht="19.5" customHeight="1">
      <c r="A168" s="57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</row>
    <row r="169" spans="1:12" s="2" customFormat="1" ht="19.5" customHeight="1">
      <c r="A169" s="57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</row>
    <row r="170" spans="1:12" s="2" customFormat="1" ht="19.5" customHeight="1">
      <c r="A170" s="57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</row>
    <row r="171" spans="1:12" s="2" customFormat="1" ht="19.5" customHeight="1">
      <c r="A171" s="57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</row>
    <row r="172" spans="1:12" s="2" customFormat="1" ht="19.5" customHeight="1">
      <c r="A172" s="57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</row>
    <row r="173" spans="1:12" s="2" customFormat="1" ht="19.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</row>
    <row r="174" spans="1:12" s="2" customFormat="1" ht="19.5" customHeight="1">
      <c r="A174" s="57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</row>
    <row r="175" spans="1:12" s="2" customFormat="1" ht="19.5" customHeight="1">
      <c r="A175" s="57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</row>
    <row r="176" spans="1:12" s="2" customFormat="1" ht="19.5" customHeight="1">
      <c r="A176" s="5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</row>
    <row r="177" spans="1:12" s="2" customFormat="1" ht="19.5" customHeight="1">
      <c r="A177" s="57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</row>
    <row r="178" spans="1:12" s="2" customFormat="1" ht="19.5" customHeight="1">
      <c r="A178" s="57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</row>
    <row r="179" spans="1:12" s="2" customFormat="1" ht="19.5" customHeight="1">
      <c r="A179" s="57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</row>
    <row r="180" spans="1:12" s="2" customFormat="1" ht="19.5" customHeight="1">
      <c r="A180" s="57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</row>
    <row r="181" spans="1:12" s="2" customFormat="1" ht="19.5" customHeight="1">
      <c r="A181" s="57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</row>
    <row r="182" spans="1:12" s="2" customFormat="1" ht="19.5" customHeight="1">
      <c r="A182" s="57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</row>
    <row r="183" spans="1:12" s="2" customFormat="1" ht="19.5" customHeight="1">
      <c r="A183" s="57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</row>
    <row r="184" spans="1:12" s="2" customFormat="1" ht="19.5" customHeight="1">
      <c r="A184" s="57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</row>
    <row r="185" spans="1:12" s="2" customFormat="1" ht="19.5" customHeight="1">
      <c r="A185" s="57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</row>
    <row r="186" spans="1:12" s="2" customFormat="1" ht="19.5" customHeight="1">
      <c r="A186" s="57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</row>
    <row r="187" spans="1:12" s="2" customFormat="1" ht="19.5" customHeight="1">
      <c r="A187" s="57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</row>
    <row r="188" spans="1:12" s="2" customFormat="1" ht="19.5" customHeight="1">
      <c r="A188" s="57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</row>
    <row r="189" spans="1:12" s="2" customFormat="1" ht="19.5" customHeight="1">
      <c r="A189" s="57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</row>
    <row r="190" spans="1:12" s="2" customFormat="1" ht="19.5" customHeight="1">
      <c r="A190" s="57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</row>
    <row r="191" spans="1:12" s="2" customFormat="1" ht="19.5" customHeight="1">
      <c r="A191" s="57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</row>
    <row r="192" spans="1:12" s="2" customFormat="1" ht="19.5" customHeight="1">
      <c r="A192" s="57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</row>
    <row r="193" spans="1:12" s="2" customFormat="1" ht="19.5" customHeight="1">
      <c r="A193" s="57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</row>
    <row r="194" spans="1:12" s="2" customFormat="1" ht="19.5" customHeight="1">
      <c r="A194" s="57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</row>
    <row r="195" spans="1:12" s="2" customFormat="1" ht="19.5" customHeight="1">
      <c r="A195" s="57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</row>
    <row r="196" spans="1:12" s="2" customFormat="1" ht="19.5" customHeight="1">
      <c r="A196" s="57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</row>
    <row r="197" spans="1:12" s="2" customFormat="1" ht="19.5" customHeight="1">
      <c r="A197" s="57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</row>
    <row r="198" spans="1:12" s="2" customFormat="1" ht="19.5" customHeight="1">
      <c r="A198" s="57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</row>
    <row r="199" spans="1:12" s="2" customFormat="1" ht="19.5" customHeight="1">
      <c r="A199" s="57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</row>
    <row r="200" spans="1:12" s="2" customFormat="1" ht="19.5" customHeight="1">
      <c r="A200" s="57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</row>
    <row r="201" spans="1:12" s="2" customFormat="1" ht="19.5" customHeight="1">
      <c r="A201" s="57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</row>
    <row r="202" spans="1:12" s="2" customFormat="1" ht="19.5" customHeight="1">
      <c r="A202" s="57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</row>
    <row r="203" spans="1:12" s="2" customFormat="1" ht="19.5" customHeight="1">
      <c r="A203" s="57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</row>
    <row r="204" spans="1:12" s="2" customFormat="1" ht="19.5" customHeight="1">
      <c r="A204" s="57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</row>
    <row r="205" spans="1:12" s="2" customFormat="1" ht="19.5" customHeight="1">
      <c r="A205" s="57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</row>
    <row r="206" spans="1:12" s="2" customFormat="1" ht="19.5" customHeight="1">
      <c r="A206" s="57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</row>
    <row r="207" spans="1:12" s="2" customFormat="1" ht="19.5" customHeight="1">
      <c r="A207" s="57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</row>
    <row r="208" spans="1:12" s="2" customFormat="1" ht="19.5" customHeight="1">
      <c r="A208" s="57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</row>
    <row r="209" spans="1:12" s="2" customFormat="1" ht="19.5" customHeight="1">
      <c r="A209" s="57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</row>
    <row r="210" spans="1:12" s="2" customFormat="1" ht="19.5" customHeight="1">
      <c r="A210" s="57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</row>
    <row r="211" spans="1:12" s="2" customFormat="1" ht="19.5" customHeight="1">
      <c r="A211" s="57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</row>
    <row r="212" spans="1:12" s="2" customFormat="1" ht="19.5" customHeight="1">
      <c r="A212" s="57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</row>
    <row r="213" spans="1:12" s="2" customFormat="1" ht="19.5" customHeight="1">
      <c r="A213" s="57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</row>
    <row r="214" spans="1:12" s="2" customFormat="1" ht="19.5" customHeight="1">
      <c r="A214" s="57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</row>
    <row r="215" spans="1:12" s="2" customFormat="1" ht="19.5" customHeight="1">
      <c r="A215" s="57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</row>
    <row r="216" spans="1:12" s="2" customFormat="1" ht="19.5" customHeight="1">
      <c r="A216" s="57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</row>
    <row r="217" spans="1:12" s="2" customFormat="1" ht="19.5" customHeight="1">
      <c r="A217" s="57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</row>
    <row r="218" spans="1:12" s="2" customFormat="1" ht="19.5" customHeight="1">
      <c r="A218" s="57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</row>
    <row r="219" spans="1:12" s="2" customFormat="1" ht="19.5" customHeight="1">
      <c r="A219" s="57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</row>
    <row r="220" spans="1:12" s="2" customFormat="1" ht="19.5" customHeight="1">
      <c r="A220" s="57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</row>
    <row r="221" spans="1:12" s="2" customFormat="1" ht="19.5" customHeight="1">
      <c r="A221" s="57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</row>
    <row r="222" spans="1:12" s="2" customFormat="1" ht="19.5" customHeight="1">
      <c r="A222" s="57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</row>
    <row r="223" spans="1:12" s="2" customFormat="1" ht="19.5" customHeight="1">
      <c r="A223" s="57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</row>
    <row r="224" spans="1:12" s="2" customFormat="1" ht="19.5" customHeight="1">
      <c r="A224" s="57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</row>
    <row r="225" spans="1:12" s="2" customFormat="1" ht="19.5" customHeight="1">
      <c r="A225" s="57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</row>
    <row r="226" spans="1:12" s="2" customFormat="1" ht="19.5" customHeight="1">
      <c r="A226" s="57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</row>
    <row r="227" spans="1:12" s="2" customFormat="1" ht="19.5" customHeight="1">
      <c r="A227" s="57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</row>
    <row r="228" spans="1:12" s="2" customFormat="1" ht="19.5" customHeight="1">
      <c r="A228" s="57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</row>
    <row r="229" spans="1:12" s="2" customFormat="1" ht="19.5" customHeight="1">
      <c r="A229" s="57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</row>
    <row r="230" spans="1:12" s="2" customFormat="1" ht="19.5" customHeight="1">
      <c r="A230" s="57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</row>
    <row r="231" spans="1:12" s="2" customFormat="1" ht="19.5" customHeight="1">
      <c r="A231" s="57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</row>
    <row r="232" spans="1:12" s="2" customFormat="1" ht="19.5" customHeight="1">
      <c r="A232" s="57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</row>
    <row r="233" spans="1:12" s="2" customFormat="1" ht="19.5" customHeight="1">
      <c r="A233" s="57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</row>
    <row r="234" spans="1:12" s="2" customFormat="1" ht="19.5" customHeight="1">
      <c r="A234" s="57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</row>
    <row r="235" spans="1:12" s="2" customFormat="1" ht="19.5" customHeight="1">
      <c r="A235" s="57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</row>
    <row r="236" spans="1:12" s="2" customFormat="1" ht="19.5" customHeight="1">
      <c r="A236" s="57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</row>
    <row r="237" spans="1:12" s="2" customFormat="1" ht="19.5" customHeight="1">
      <c r="A237" s="57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</row>
    <row r="238" spans="1:12" s="2" customFormat="1" ht="19.5" customHeight="1">
      <c r="A238" s="57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</row>
    <row r="239" spans="1:12" s="2" customFormat="1" ht="19.5" customHeight="1">
      <c r="A239" s="57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</row>
    <row r="240" spans="1:12" s="2" customFormat="1" ht="19.5" customHeight="1">
      <c r="A240" s="57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</row>
    <row r="241" spans="1:12" s="2" customFormat="1" ht="19.5" customHeight="1">
      <c r="A241" s="57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</row>
    <row r="242" spans="1:12" s="2" customFormat="1" ht="19.5" customHeight="1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</row>
    <row r="243" spans="1:12" s="2" customFormat="1" ht="19.5" customHeight="1">
      <c r="A243" s="57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</row>
    <row r="244" spans="1:12" s="2" customFormat="1" ht="19.5" customHeight="1">
      <c r="A244" s="57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</row>
    <row r="245" spans="1:12" s="2" customFormat="1" ht="19.5" customHeight="1">
      <c r="A245" s="57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</row>
    <row r="246" spans="1:12" s="2" customFormat="1" ht="19.5" customHeight="1">
      <c r="A246" s="57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</row>
    <row r="247" spans="1:12" s="2" customFormat="1" ht="19.5" customHeight="1">
      <c r="A247" s="57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</row>
    <row r="248" spans="1:12" s="2" customFormat="1" ht="19.5" customHeight="1">
      <c r="A248" s="57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</row>
    <row r="249" spans="1:12" s="2" customFormat="1" ht="19.5" customHeight="1">
      <c r="A249" s="57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</row>
    <row r="250" spans="1:12" s="2" customFormat="1" ht="19.5" customHeight="1">
      <c r="A250" s="57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</row>
    <row r="251" spans="1:12" s="2" customFormat="1" ht="19.5" customHeight="1">
      <c r="A251" s="57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</row>
    <row r="252" spans="1:12" s="2" customFormat="1" ht="19.5" customHeight="1">
      <c r="A252" s="57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</row>
    <row r="253" spans="1:12" s="2" customFormat="1" ht="19.5" customHeight="1">
      <c r="A253" s="57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</row>
    <row r="254" spans="1:12" s="2" customFormat="1" ht="19.5" customHeight="1">
      <c r="A254" s="57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</row>
    <row r="255" spans="1:12" s="2" customFormat="1" ht="19.5" customHeight="1">
      <c r="A255" s="57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</row>
    <row r="256" spans="1:12" s="2" customFormat="1" ht="19.5" customHeight="1">
      <c r="A256" s="57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</row>
    <row r="257" spans="1:12" s="2" customFormat="1" ht="19.5" customHeight="1">
      <c r="A257" s="57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</row>
    <row r="258" spans="1:12" s="2" customFormat="1" ht="19.5" customHeight="1">
      <c r="A258" s="57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</row>
    <row r="259" spans="1:12" s="2" customFormat="1" ht="19.5" customHeight="1">
      <c r="A259" s="57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</row>
    <row r="260" spans="1:12" s="2" customFormat="1" ht="19.5" customHeight="1">
      <c r="A260" s="57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</row>
    <row r="261" spans="1:12" s="2" customFormat="1" ht="19.5" customHeight="1">
      <c r="A261" s="57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</row>
    <row r="262" spans="1:12" s="2" customFormat="1" ht="19.5" customHeight="1">
      <c r="A262" s="57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</row>
    <row r="263" spans="1:12" s="2" customFormat="1" ht="19.5" customHeight="1">
      <c r="A263" s="57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</row>
    <row r="264" spans="1:12" s="2" customFormat="1" ht="19.5" customHeight="1">
      <c r="A264" s="57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</row>
    <row r="265" spans="1:12" s="2" customFormat="1" ht="19.5" customHeight="1">
      <c r="A265" s="57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</row>
    <row r="266" spans="1:12" s="2" customFormat="1" ht="19.5" customHeight="1">
      <c r="A266" s="57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</row>
    <row r="267" spans="1:12" s="2" customFormat="1" ht="19.5" customHeight="1">
      <c r="A267" s="57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</row>
    <row r="268" spans="1:12" s="2" customFormat="1" ht="19.5" customHeight="1">
      <c r="A268" s="57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</row>
    <row r="269" spans="1:12" s="2" customFormat="1" ht="19.5" customHeight="1">
      <c r="A269" s="57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</row>
    <row r="270" spans="1:12" s="2" customFormat="1" ht="19.5" customHeight="1">
      <c r="A270" s="57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</row>
    <row r="271" spans="1:12" s="2" customFormat="1" ht="19.5" customHeight="1">
      <c r="A271" s="57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</row>
    <row r="272" spans="1:12" s="2" customFormat="1" ht="19.5" customHeight="1">
      <c r="A272" s="57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</row>
    <row r="273" spans="1:12" s="2" customFormat="1" ht="19.5" customHeight="1">
      <c r="A273" s="57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</row>
    <row r="274" spans="1:12" s="2" customFormat="1" ht="19.5" customHeight="1">
      <c r="A274" s="57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</row>
    <row r="275" spans="1:12" s="2" customFormat="1" ht="19.5" customHeight="1">
      <c r="A275" s="57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</row>
    <row r="276" spans="1:12" s="2" customFormat="1" ht="19.5" customHeight="1">
      <c r="A276" s="57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</row>
    <row r="277" spans="1:12" s="2" customFormat="1" ht="19.5" customHeight="1">
      <c r="A277" s="57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</row>
    <row r="278" spans="1:12" s="2" customFormat="1" ht="19.5" customHeight="1">
      <c r="A278" s="57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</row>
    <row r="279" spans="1:12" s="2" customFormat="1" ht="19.5" customHeight="1">
      <c r="A279" s="57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</row>
    <row r="280" spans="1:12" s="2" customFormat="1" ht="19.5" customHeight="1">
      <c r="A280" s="57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</row>
    <row r="281" spans="1:12" s="2" customFormat="1" ht="19.5" customHeight="1">
      <c r="A281" s="57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</row>
    <row r="282" spans="1:12" s="2" customFormat="1" ht="19.5" customHeight="1">
      <c r="A282" s="57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</row>
    <row r="283" spans="1:12" s="2" customFormat="1" ht="19.5" customHeight="1">
      <c r="A283" s="57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</row>
    <row r="284" spans="1:12" s="2" customFormat="1" ht="19.5" customHeight="1">
      <c r="A284" s="57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</row>
    <row r="285" spans="1:12" s="2" customFormat="1" ht="19.5" customHeight="1">
      <c r="A285" s="57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</row>
    <row r="286" spans="1:12" s="2" customFormat="1" ht="19.5" customHeight="1">
      <c r="A286" s="57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</row>
    <row r="287" spans="1:12" s="2" customFormat="1" ht="19.5" customHeight="1">
      <c r="A287" s="57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</row>
    <row r="288" spans="1:12" s="2" customFormat="1" ht="19.5" customHeight="1">
      <c r="A288" s="57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</row>
    <row r="289" spans="1:12" s="2" customFormat="1" ht="19.5" customHeight="1">
      <c r="A289" s="57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</row>
    <row r="290" spans="1:12" s="2" customFormat="1" ht="19.5" customHeight="1">
      <c r="A290" s="57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</row>
    <row r="291" spans="1:12" s="2" customFormat="1" ht="19.5" customHeight="1">
      <c r="A291" s="57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</row>
    <row r="292" spans="1:12" s="2" customFormat="1" ht="19.5" customHeight="1">
      <c r="A292" s="57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</row>
    <row r="293" spans="1:12" s="2" customFormat="1" ht="19.5" customHeight="1">
      <c r="A293" s="57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</row>
    <row r="294" spans="1:12" s="2" customFormat="1" ht="19.5" customHeight="1">
      <c r="A294" s="57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</row>
    <row r="295" spans="1:12" s="2" customFormat="1" ht="19.5" customHeight="1">
      <c r="A295" s="57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</row>
    <row r="296" spans="1:12" s="2" customFormat="1" ht="19.5" customHeight="1">
      <c r="A296" s="57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</row>
    <row r="297" spans="1:12" s="2" customFormat="1" ht="19.5" customHeight="1">
      <c r="A297" s="57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</row>
    <row r="298" spans="1:12" s="2" customFormat="1" ht="19.5" customHeight="1">
      <c r="A298" s="57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</row>
    <row r="299" spans="1:12" s="2" customFormat="1" ht="19.5" customHeight="1">
      <c r="A299" s="57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</row>
    <row r="300" spans="1:12" s="2" customFormat="1" ht="19.5" customHeight="1">
      <c r="A300" s="57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</row>
    <row r="301" spans="1:12" s="2" customFormat="1" ht="19.5" customHeight="1">
      <c r="A301" s="57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</row>
    <row r="302" spans="1:12" s="2" customFormat="1" ht="19.5" customHeight="1">
      <c r="A302" s="57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</row>
    <row r="303" spans="1:12" s="2" customFormat="1" ht="19.5" customHeight="1">
      <c r="A303" s="57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</row>
    <row r="304" spans="1:12" s="2" customFormat="1" ht="19.5" customHeight="1">
      <c r="A304" s="57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</row>
    <row r="305" spans="1:12" s="2" customFormat="1" ht="19.5" customHeight="1">
      <c r="A305" s="57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</row>
    <row r="306" spans="1:12" s="2" customFormat="1" ht="19.5" customHeight="1">
      <c r="A306" s="57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</row>
    <row r="307" spans="1:12" s="2" customFormat="1" ht="19.5" customHeight="1">
      <c r="A307" s="57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</row>
    <row r="308" spans="1:12" s="2" customFormat="1" ht="19.5" customHeight="1">
      <c r="A308" s="57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</row>
    <row r="309" spans="1:12" s="2" customFormat="1" ht="19.5" customHeight="1">
      <c r="A309" s="57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</row>
    <row r="310" spans="1:12" s="2" customFormat="1" ht="19.5" customHeight="1">
      <c r="A310" s="57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</row>
    <row r="311" spans="1:12" s="2" customFormat="1" ht="19.5" customHeight="1">
      <c r="A311" s="57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</row>
    <row r="312" spans="1:12" s="2" customFormat="1" ht="19.5" customHeight="1">
      <c r="A312" s="57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</row>
    <row r="313" spans="1:12" s="2" customFormat="1" ht="19.5" customHeight="1">
      <c r="A313" s="57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</row>
    <row r="314" spans="1:12" s="2" customFormat="1" ht="19.5" customHeight="1">
      <c r="A314" s="57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</row>
    <row r="315" spans="1:12" s="2" customFormat="1" ht="19.5" customHeight="1">
      <c r="A315" s="57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</row>
    <row r="316" spans="1:12" s="2" customFormat="1" ht="19.5" customHeight="1">
      <c r="A316" s="57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</row>
    <row r="317" spans="1:12" s="2" customFormat="1" ht="19.5" customHeight="1">
      <c r="A317" s="57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</row>
    <row r="318" spans="1:12" s="2" customFormat="1" ht="19.5" customHeight="1">
      <c r="A318" s="57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</row>
    <row r="319" spans="1:12" s="2" customFormat="1" ht="19.5" customHeight="1">
      <c r="A319" s="57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</row>
    <row r="320" spans="1:12" s="2" customFormat="1" ht="19.5" customHeight="1">
      <c r="A320" s="57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</row>
    <row r="321" spans="1:12" s="2" customFormat="1" ht="19.5" customHeight="1">
      <c r="A321" s="57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</row>
    <row r="322" spans="1:12" s="2" customFormat="1" ht="19.5" customHeight="1">
      <c r="A322" s="57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</row>
    <row r="323" spans="1:12" s="2" customFormat="1" ht="19.5" customHeight="1">
      <c r="A323" s="57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</row>
    <row r="324" spans="1:12" s="2" customFormat="1" ht="19.5" customHeight="1">
      <c r="A324" s="57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</row>
    <row r="325" spans="1:12" s="2" customFormat="1" ht="19.5" customHeight="1">
      <c r="A325" s="57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</row>
    <row r="326" spans="1:12" s="2" customFormat="1" ht="19.5" customHeight="1">
      <c r="A326" s="57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</row>
    <row r="327" spans="1:12" s="2" customFormat="1" ht="19.5" customHeight="1">
      <c r="A327" s="57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</row>
    <row r="328" spans="1:12" s="2" customFormat="1" ht="19.5" customHeight="1">
      <c r="A328" s="57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</row>
    <row r="329" spans="1:12" s="2" customFormat="1" ht="19.5" customHeight="1">
      <c r="A329" s="57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</row>
    <row r="330" spans="1:12" s="2" customFormat="1" ht="19.5" customHeight="1">
      <c r="A330" s="57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</row>
    <row r="331" spans="1:12" s="2" customFormat="1" ht="19.5" customHeight="1">
      <c r="A331" s="57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</row>
    <row r="332" spans="1:12" s="2" customFormat="1" ht="19.5" customHeight="1">
      <c r="A332" s="57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</row>
    <row r="333" spans="1:12" s="2" customFormat="1" ht="19.5" customHeight="1">
      <c r="A333" s="57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</row>
    <row r="334" spans="1:12" s="2" customFormat="1" ht="19.5" customHeight="1">
      <c r="A334" s="57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</row>
    <row r="335" spans="1:12" s="2" customFormat="1" ht="19.5" customHeight="1">
      <c r="A335" s="57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</row>
    <row r="336" spans="1:12" s="2" customFormat="1" ht="19.5" customHeight="1">
      <c r="A336" s="57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</row>
    <row r="337" spans="1:12" s="2" customFormat="1" ht="19.5" customHeight="1">
      <c r="A337" s="57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</row>
    <row r="338" spans="1:12" s="2" customFormat="1" ht="19.5" customHeight="1">
      <c r="A338" s="57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</row>
    <row r="339" spans="1:12" s="2" customFormat="1" ht="19.5" customHeight="1">
      <c r="A339" s="57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</row>
    <row r="340" spans="1:12" s="2" customFormat="1" ht="19.5" customHeight="1">
      <c r="A340" s="57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</row>
    <row r="341" spans="1:12" s="2" customFormat="1" ht="19.5" customHeight="1">
      <c r="A341" s="57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</row>
    <row r="342" spans="1:12" s="2" customFormat="1" ht="19.5" customHeight="1">
      <c r="A342" s="57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</row>
    <row r="343" spans="1:12" s="2" customFormat="1" ht="19.5" customHeight="1">
      <c r="A343" s="57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</row>
    <row r="344" spans="1:12" s="2" customFormat="1" ht="19.5" customHeight="1">
      <c r="A344" s="57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</row>
    <row r="345" spans="1:12" s="2" customFormat="1" ht="19.5" customHeight="1">
      <c r="A345" s="57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</row>
    <row r="346" spans="1:12" s="2" customFormat="1" ht="19.5" customHeight="1">
      <c r="A346" s="57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</row>
    <row r="347" spans="1:12" s="2" customFormat="1" ht="19.5" customHeight="1">
      <c r="A347" s="57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</row>
    <row r="348" spans="1:12" s="2" customFormat="1" ht="19.5" customHeight="1">
      <c r="A348" s="57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</row>
    <row r="349" spans="1:12" s="2" customFormat="1" ht="19.5" customHeight="1">
      <c r="A349" s="57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</row>
    <row r="350" spans="1:12" s="2" customFormat="1" ht="19.5" customHeight="1">
      <c r="A350" s="57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</row>
    <row r="351" spans="1:12" s="2" customFormat="1" ht="19.5" customHeight="1">
      <c r="A351" s="57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</row>
    <row r="352" spans="1:12" s="2" customFormat="1" ht="19.5" customHeight="1">
      <c r="A352" s="57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</row>
    <row r="353" spans="1:12" s="2" customFormat="1" ht="19.5" customHeight="1">
      <c r="A353" s="57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</row>
    <row r="354" spans="1:12" s="2" customFormat="1" ht="19.5" customHeight="1">
      <c r="A354" s="57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</row>
    <row r="355" spans="1:12" s="2" customFormat="1" ht="19.5" customHeight="1">
      <c r="A355" s="57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</row>
    <row r="356" spans="1:12" s="2" customFormat="1" ht="19.5" customHeight="1">
      <c r="A356" s="57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</row>
    <row r="357" spans="1:12" s="2" customFormat="1" ht="19.5" customHeight="1">
      <c r="A357" s="57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</row>
    <row r="358" spans="1:12" s="2" customFormat="1" ht="19.5" customHeight="1">
      <c r="A358" s="57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</row>
    <row r="359" spans="1:12" s="2" customFormat="1" ht="19.5" customHeight="1">
      <c r="A359" s="57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</row>
    <row r="360" spans="1:12" s="2" customFormat="1" ht="19.5" customHeight="1">
      <c r="A360" s="57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</row>
    <row r="361" spans="1:12" s="2" customFormat="1" ht="19.5" customHeight="1">
      <c r="A361" s="57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</row>
    <row r="362" spans="1:12" s="2" customFormat="1" ht="19.5" customHeight="1">
      <c r="A362" s="57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</row>
    <row r="363" spans="1:12" s="2" customFormat="1" ht="19.5" customHeight="1">
      <c r="A363" s="57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</row>
    <row r="364" spans="1:12" s="2" customFormat="1" ht="19.5" customHeight="1">
      <c r="A364" s="57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</row>
    <row r="365" spans="1:12" s="2" customFormat="1" ht="19.5" customHeight="1">
      <c r="A365" s="57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</row>
    <row r="366" spans="1:12" s="2" customFormat="1" ht="19.5" customHeight="1">
      <c r="A366" s="57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</row>
    <row r="367" spans="1:12" s="2" customFormat="1" ht="19.5" customHeight="1">
      <c r="A367" s="57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</row>
    <row r="368" spans="1:12" s="2" customFormat="1" ht="19.5" customHeight="1">
      <c r="A368" s="57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</row>
    <row r="369" spans="1:12" s="2" customFormat="1" ht="19.5" customHeight="1">
      <c r="A369" s="57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</row>
    <row r="370" spans="1:12" s="2" customFormat="1" ht="19.5" customHeight="1">
      <c r="A370" s="57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</row>
    <row r="371" spans="1:12" s="2" customFormat="1" ht="19.5" customHeight="1">
      <c r="A371" s="57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</row>
    <row r="372" spans="1:12" s="2" customFormat="1" ht="19.5" customHeight="1">
      <c r="A372" s="57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</row>
    <row r="373" spans="1:12" s="2" customFormat="1" ht="19.5" customHeight="1">
      <c r="A373" s="57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</row>
    <row r="374" spans="1:12" s="2" customFormat="1" ht="19.5" customHeight="1">
      <c r="A374" s="57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</row>
    <row r="375" spans="1:12" s="2" customFormat="1" ht="19.5" customHeight="1">
      <c r="A375" s="57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</row>
    <row r="376" spans="1:12" s="2" customFormat="1" ht="19.5" customHeight="1">
      <c r="A376" s="57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</row>
    <row r="377" spans="1:12" s="2" customFormat="1" ht="19.5" customHeight="1">
      <c r="A377" s="57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</row>
    <row r="378" spans="1:12" s="2" customFormat="1" ht="19.5" customHeight="1">
      <c r="A378" s="57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</row>
    <row r="379" spans="1:12" s="2" customFormat="1" ht="19.5" customHeight="1">
      <c r="A379" s="57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</row>
    <row r="380" spans="1:12" s="2" customFormat="1" ht="19.5" customHeight="1">
      <c r="A380" s="57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</row>
    <row r="381" spans="1:12" s="2" customFormat="1" ht="19.5" customHeight="1">
      <c r="A381" s="57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</row>
    <row r="382" spans="1:12" s="2" customFormat="1" ht="19.5" customHeight="1">
      <c r="A382" s="57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</row>
    <row r="383" spans="1:12" s="2" customFormat="1" ht="19.5" customHeight="1">
      <c r="A383" s="57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</row>
    <row r="384" spans="1:12" s="2" customFormat="1" ht="19.5" customHeight="1">
      <c r="A384" s="57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</row>
    <row r="385" spans="1:12" s="2" customFormat="1" ht="19.5" customHeight="1">
      <c r="A385" s="57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</row>
    <row r="386" spans="1:12" s="2" customFormat="1" ht="19.5" customHeight="1">
      <c r="A386" s="57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</row>
    <row r="387" spans="1:12" s="2" customFormat="1" ht="19.5" customHeight="1">
      <c r="A387" s="57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</row>
    <row r="388" spans="1:12" s="2" customFormat="1" ht="19.5" customHeight="1">
      <c r="A388" s="57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</row>
    <row r="389" spans="1:12" s="2" customFormat="1" ht="19.5" customHeight="1">
      <c r="A389" s="57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</row>
    <row r="390" spans="1:12" s="2" customFormat="1" ht="19.5" customHeight="1">
      <c r="A390" s="57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</row>
    <row r="391" spans="1:12" s="2" customFormat="1" ht="19.5" customHeight="1">
      <c r="A391" s="57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</row>
    <row r="392" spans="1:12" s="2" customFormat="1" ht="19.5" customHeight="1">
      <c r="A392" s="57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</row>
    <row r="393" spans="1:12" s="2" customFormat="1" ht="19.5" customHeight="1">
      <c r="A393" s="57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</row>
    <row r="394" spans="1:12" s="2" customFormat="1" ht="19.5" customHeight="1">
      <c r="A394" s="57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</row>
    <row r="395" spans="1:12" s="2" customFormat="1" ht="19.5" customHeight="1">
      <c r="A395" s="57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</row>
    <row r="396" spans="1:12" s="2" customFormat="1" ht="19.5" customHeight="1">
      <c r="A396" s="57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</row>
    <row r="397" spans="1:12" s="2" customFormat="1" ht="19.5" customHeight="1">
      <c r="A397" s="57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</row>
    <row r="398" spans="1:12" s="2" customFormat="1" ht="19.5" customHeight="1">
      <c r="A398" s="57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</row>
    <row r="399" spans="1:12" s="2" customFormat="1" ht="19.5" customHeight="1">
      <c r="A399" s="57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</row>
    <row r="400" spans="1:12" s="2" customFormat="1" ht="19.5" customHeight="1">
      <c r="A400" s="57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</row>
    <row r="401" spans="1:12" s="2" customFormat="1" ht="19.5" customHeight="1">
      <c r="A401" s="57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</row>
    <row r="402" spans="1:12" s="2" customFormat="1" ht="19.5" customHeight="1">
      <c r="A402" s="57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</row>
    <row r="403" spans="1:12" s="2" customFormat="1" ht="19.5" customHeight="1">
      <c r="A403" s="57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</row>
    <row r="404" spans="1:12" s="2" customFormat="1" ht="19.5" customHeight="1">
      <c r="A404" s="57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</row>
    <row r="405" spans="1:12" s="2" customFormat="1" ht="19.5" customHeight="1">
      <c r="A405" s="57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</row>
    <row r="406" spans="1:12" s="2" customFormat="1" ht="19.5" customHeight="1">
      <c r="A406" s="57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</row>
    <row r="407" spans="1:12" s="2" customFormat="1" ht="19.5" customHeight="1">
      <c r="A407" s="57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</row>
    <row r="408" spans="1:12" s="2" customFormat="1" ht="19.5" customHeight="1">
      <c r="A408" s="57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</row>
    <row r="409" spans="1:12" s="2" customFormat="1" ht="19.5" customHeight="1">
      <c r="A409" s="57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</row>
    <row r="410" spans="1:12" s="2" customFormat="1" ht="19.5" customHeight="1">
      <c r="A410" s="57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</row>
    <row r="411" spans="1:12" s="2" customFormat="1" ht="19.5" customHeight="1">
      <c r="A411" s="57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</row>
    <row r="412" spans="1:12" s="2" customFormat="1" ht="19.5" customHeight="1">
      <c r="A412" s="57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</row>
    <row r="413" spans="1:12" s="2" customFormat="1" ht="19.5" customHeight="1">
      <c r="A413" s="57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</row>
    <row r="414" spans="1:12" s="2" customFormat="1" ht="19.5" customHeight="1">
      <c r="A414" s="57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</row>
    <row r="415" spans="1:12" s="2" customFormat="1" ht="19.5" customHeight="1">
      <c r="A415" s="57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</row>
    <row r="416" spans="1:12" s="2" customFormat="1" ht="19.5" customHeight="1">
      <c r="A416" s="57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</row>
    <row r="417" spans="1:12" s="2" customFormat="1" ht="19.5" customHeight="1">
      <c r="A417" s="57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</row>
    <row r="418" spans="1:12" s="2" customFormat="1" ht="19.5" customHeight="1">
      <c r="A418" s="57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</row>
    <row r="419" spans="1:12" s="2" customFormat="1" ht="19.5" customHeight="1">
      <c r="A419" s="57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</row>
    <row r="420" spans="1:12" s="2" customFormat="1" ht="19.5" customHeight="1">
      <c r="A420" s="57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</row>
    <row r="421" spans="1:12" s="2" customFormat="1" ht="19.5" customHeight="1">
      <c r="A421" s="57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</row>
    <row r="422" spans="1:12" s="2" customFormat="1" ht="19.5" customHeight="1">
      <c r="A422" s="57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</row>
    <row r="423" spans="1:12" s="2" customFormat="1" ht="19.5" customHeight="1">
      <c r="A423" s="57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</row>
    <row r="424" spans="1:12" s="2" customFormat="1" ht="19.5" customHeight="1">
      <c r="A424" s="57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</row>
  </sheetData>
  <mergeCells count="12">
    <mergeCell ref="A2:N2"/>
    <mergeCell ref="A1:N1"/>
    <mergeCell ref="AB5:AC5"/>
    <mergeCell ref="A3:A5"/>
    <mergeCell ref="B3:D3"/>
    <mergeCell ref="F3:H3"/>
    <mergeCell ref="J3:L3"/>
    <mergeCell ref="N3:N5"/>
    <mergeCell ref="B4:D4"/>
    <mergeCell ref="F4:H4"/>
    <mergeCell ref="J4:L4"/>
    <mergeCell ref="Z5:AA5"/>
  </mergeCells>
  <pageMargins left="0.7" right="0.7" top="0.75" bottom="0.75" header="0.3" footer="0.3"/>
  <pageSetup scale="54" orientation="portrait" r:id="rId1"/>
  <colBreaks count="1" manualBreakCount="1">
    <brk id="14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2020-10-20T06:08:23Z</cp:lastPrinted>
  <dcterms:created xsi:type="dcterms:W3CDTF">2019-08-06T05:35:20Z</dcterms:created>
  <dcterms:modified xsi:type="dcterms:W3CDTF">2020-10-20T06:08:47Z</dcterms:modified>
</cp:coreProperties>
</file>