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6. HEALTH\"/>
    </mc:Choice>
  </mc:AlternateContent>
  <bookViews>
    <workbookView xWindow="0" yWindow="0" windowWidth="28800" windowHeight="11730" tabRatio="811"/>
  </bookViews>
  <sheets>
    <sheet name="6.8" sheetId="8" r:id="rId1"/>
  </sheets>
  <externalReferences>
    <externalReference r:id="rId2"/>
    <externalReference r:id="rId3"/>
  </externalReferences>
  <definedNames>
    <definedName name="_xlnm.Print_Area" localSheetId="0">'6.8'!$A$1:$K$58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8" l="1"/>
  <c r="J48" i="8"/>
  <c r="G48" i="8" l="1"/>
  <c r="H48" i="8"/>
  <c r="I48" i="8"/>
  <c r="F48" i="8" l="1"/>
  <c r="I26" i="8"/>
  <c r="H26" i="8"/>
  <c r="G26" i="8"/>
  <c r="F26" i="8"/>
  <c r="E26" i="8"/>
  <c r="D26" i="8"/>
  <c r="C26" i="8"/>
  <c r="B26" i="8"/>
  <c r="I7" i="8"/>
  <c r="H7" i="8"/>
  <c r="G7" i="8"/>
  <c r="F7" i="8"/>
  <c r="E7" i="8"/>
  <c r="D7" i="8"/>
  <c r="C7" i="8"/>
  <c r="B7" i="8"/>
</calcChain>
</file>

<file path=xl/sharedStrings.xml><?xml version="1.0" encoding="utf-8"?>
<sst xmlns="http://schemas.openxmlformats.org/spreadsheetml/2006/main" count="96" uniqueCount="51">
  <si>
    <t>Others</t>
  </si>
  <si>
    <t>clwTipcsoh clwairOmem IdcnWg Wridcnia :ctWrwf ivcaedutWmUluAwm</t>
  </si>
  <si>
    <t>Source: Indira Gandhi Memorial Hospital</t>
  </si>
  <si>
    <t>-</t>
  </si>
  <si>
    <t>Dental Care Services</t>
  </si>
  <si>
    <t>Dental Services by Orthodontist</t>
  </si>
  <si>
    <t>Total Number of patients consulted</t>
  </si>
  <si>
    <t>Total Number of Services by Orthodontist</t>
  </si>
  <si>
    <t>Scaling/ Polishing/ Stain removal</t>
  </si>
  <si>
    <t>Radiographs</t>
  </si>
  <si>
    <t>EXP. Plasters/ Retract E. PLC</t>
  </si>
  <si>
    <t>Retention appliance</t>
  </si>
  <si>
    <t>Extractions</t>
  </si>
  <si>
    <t>Seperators</t>
  </si>
  <si>
    <t>Fixation of Brackets (Ceramic)</t>
  </si>
  <si>
    <t>Fixation of Brackets (Metal)</t>
  </si>
  <si>
    <t>Fixation of bands</t>
  </si>
  <si>
    <t>Fixation of Arch</t>
  </si>
  <si>
    <t>Adjustments</t>
  </si>
  <si>
    <t>De-banding of brackets</t>
  </si>
  <si>
    <t>Filling (GIC, Composites, Tem filling)</t>
  </si>
  <si>
    <t>Checkups</t>
  </si>
  <si>
    <t>Dental Services of Dental Surgery</t>
  </si>
  <si>
    <t>Surgical Extractions</t>
  </si>
  <si>
    <t>M/O (Minor procedures)</t>
  </si>
  <si>
    <t>Root canal start/ Dressing</t>
  </si>
  <si>
    <t>Root Filling</t>
  </si>
  <si>
    <t>Composite fillings</t>
  </si>
  <si>
    <t>Glass lonomer Fillings</t>
  </si>
  <si>
    <t>Amalgam Fillings</t>
  </si>
  <si>
    <t>COMP+ GIC</t>
  </si>
  <si>
    <t>Temporary fillings</t>
  </si>
  <si>
    <t>Dry socket dressing</t>
  </si>
  <si>
    <t>Flouride jel applications</t>
  </si>
  <si>
    <t>Cuspal Grindings</t>
  </si>
  <si>
    <t>Fissure sealants</t>
  </si>
  <si>
    <t>Suturing</t>
  </si>
  <si>
    <t>Scaling/ polishing/Stain removal/ Curretage</t>
  </si>
  <si>
    <t>Cr/Br/ Pins/ Splint</t>
  </si>
  <si>
    <t>Checkups/ Medications</t>
  </si>
  <si>
    <t>Dental Services From Dental Lab</t>
  </si>
  <si>
    <t>Making of Full Dentures</t>
  </si>
  <si>
    <t>Making of SeperTE Denture</t>
  </si>
  <si>
    <t>Partial Dentures Teeth Total</t>
  </si>
  <si>
    <t>Repairing of Dentures Full/ Partial</t>
  </si>
  <si>
    <t>Relining of Dentures</t>
  </si>
  <si>
    <t>Study Models</t>
  </si>
  <si>
    <t>Making of Ortho appliances</t>
  </si>
  <si>
    <t>Crown/ Bridges/ Splinting</t>
  </si>
  <si>
    <t>Table 6.8 : DENTAL CARE SERVICES BY THE DENTAL CLINIC, 2011  - 2019</t>
  </si>
  <si>
    <t xml:space="preserve">ތާވަލު 6.8: އިންދިރާ ގާންދީ މެމޯރިއަލް ހޮސްޕިޓަލުގެ ޑެންޓަލު ކްލިނިކުން ދެވިފައިވާ ދަތުގެ ފަރުވާތައް، 2011 - 2019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</si>
</sst>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5" formatCode="General_)"/>
    <numFmt numFmtId="169" formatCode="0_);[Red]\(0\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Faruma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name val="A_Randhoo"/>
    </font>
    <font>
      <sz val="10"/>
      <name val="Arial"/>
      <family val="2"/>
    </font>
    <font>
      <sz val="9"/>
      <name val="A_Faseyha"/>
    </font>
    <font>
      <sz val="10"/>
      <name val="Courier"/>
      <family val="3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1" fillId="0" borderId="0"/>
    <xf numFmtId="165" fontId="13" fillId="0" borderId="0"/>
    <xf numFmtId="165" fontId="13" fillId="0" borderId="0"/>
    <xf numFmtId="165" fontId="13" fillId="0" borderId="0"/>
    <xf numFmtId="40" fontId="14" fillId="0" borderId="0" applyFont="0" applyFill="0" applyBorder="0" applyAlignment="0" applyProtection="0"/>
    <xf numFmtId="165" fontId="13" fillId="0" borderId="0"/>
    <xf numFmtId="0" fontId="1" fillId="0" borderId="0"/>
  </cellStyleXfs>
  <cellXfs count="34">
    <xf numFmtId="0" fontId="0" fillId="0" borderId="0" xfId="0"/>
    <xf numFmtId="3" fontId="4" fillId="2" borderId="0" xfId="0" applyNumberFormat="1" applyFont="1" applyFill="1" applyBorder="1" applyAlignment="1" applyProtection="1">
      <alignment horizontal="right" vertical="center"/>
    </xf>
    <xf numFmtId="165" fontId="6" fillId="2" borderId="2" xfId="0" applyNumberFormat="1" applyFont="1" applyFill="1" applyBorder="1" applyAlignment="1">
      <alignment vertical="center"/>
    </xf>
    <xf numFmtId="165" fontId="10" fillId="2" borderId="5" xfId="0" applyNumberFormat="1" applyFont="1" applyFill="1" applyBorder="1" applyAlignment="1">
      <alignment horizontal="right" vertical="center"/>
    </xf>
    <xf numFmtId="165" fontId="4" fillId="2" borderId="3" xfId="0" applyNumberFormat="1" applyFont="1" applyFill="1" applyBorder="1" applyAlignment="1" applyProtection="1">
      <alignment vertical="center"/>
    </xf>
    <xf numFmtId="169" fontId="6" fillId="2" borderId="0" xfId="1" applyNumberFormat="1" applyFont="1" applyFill="1" applyBorder="1" applyAlignment="1">
      <alignment horizontal="right" vertical="center"/>
    </xf>
    <xf numFmtId="169" fontId="6" fillId="2" borderId="2" xfId="1" applyNumberFormat="1" applyFont="1" applyFill="1" applyBorder="1" applyAlignment="1">
      <alignment horizontal="right" vertical="center"/>
    </xf>
    <xf numFmtId="165" fontId="6" fillId="2" borderId="0" xfId="0" applyNumberFormat="1" applyFont="1" applyFill="1"/>
    <xf numFmtId="165" fontId="6" fillId="2" borderId="0" xfId="0" applyNumberFormat="1" applyFont="1" applyFill="1" applyBorder="1"/>
    <xf numFmtId="165" fontId="4" fillId="2" borderId="0" xfId="0" applyNumberFormat="1" applyFont="1" applyFill="1" applyBorder="1" applyAlignment="1" applyProtection="1">
      <alignment horizontal="center"/>
    </xf>
    <xf numFmtId="165" fontId="4" fillId="2" borderId="3" xfId="0" applyNumberFormat="1" applyFont="1" applyFill="1" applyBorder="1" applyAlignment="1">
      <alignment horizontal="right" vertical="center"/>
    </xf>
    <xf numFmtId="165" fontId="4" fillId="2" borderId="1" xfId="0" applyNumberFormat="1" applyFont="1" applyFill="1" applyBorder="1" applyAlignment="1" applyProtection="1">
      <alignment horizontal="center" vertical="center"/>
    </xf>
    <xf numFmtId="165" fontId="4" fillId="2" borderId="0" xfId="0" applyNumberFormat="1" applyFont="1" applyFill="1" applyAlignment="1">
      <alignment vertical="center"/>
    </xf>
    <xf numFmtId="3" fontId="4" fillId="2" borderId="0" xfId="0" applyNumberFormat="1" applyFont="1" applyFill="1" applyBorder="1" applyAlignment="1">
      <alignment vertical="center"/>
    </xf>
    <xf numFmtId="165" fontId="6" fillId="2" borderId="0" xfId="0" applyNumberFormat="1" applyFont="1" applyFill="1" applyBorder="1" applyAlignment="1">
      <alignment horizontal="left"/>
    </xf>
    <xf numFmtId="165" fontId="6" fillId="2" borderId="0" xfId="0" applyNumberFormat="1" applyFont="1" applyFill="1" applyAlignment="1">
      <alignment horizontal="left"/>
    </xf>
    <xf numFmtId="165" fontId="2" fillId="2" borderId="0" xfId="2" applyNumberFormat="1" applyFont="1" applyFill="1" applyBorder="1" applyAlignment="1">
      <alignment horizontal="left" vertical="center"/>
    </xf>
    <xf numFmtId="165" fontId="6" fillId="2" borderId="0" xfId="0" applyNumberFormat="1" applyFont="1" applyFill="1" applyAlignment="1">
      <alignment vertical="center"/>
    </xf>
    <xf numFmtId="3" fontId="6" fillId="2" borderId="0" xfId="0" applyNumberFormat="1" applyFont="1" applyFill="1" applyBorder="1" applyAlignment="1">
      <alignment vertical="center"/>
    </xf>
    <xf numFmtId="3" fontId="3" fillId="2" borderId="0" xfId="3" applyNumberFormat="1" applyFont="1" applyFill="1" applyBorder="1" applyAlignment="1" applyProtection="1">
      <alignment horizontal="left" vertical="center"/>
    </xf>
    <xf numFmtId="3" fontId="9" fillId="2" borderId="0" xfId="3" applyNumberFormat="1" applyFont="1" applyFill="1" applyBorder="1" applyAlignment="1" applyProtection="1">
      <alignment horizontal="left" vertical="center"/>
    </xf>
    <xf numFmtId="165" fontId="6" fillId="2" borderId="4" xfId="0" applyNumberFormat="1" applyFont="1" applyFill="1" applyBorder="1" applyAlignment="1">
      <alignment vertical="center"/>
    </xf>
    <xf numFmtId="3" fontId="6" fillId="2" borderId="4" xfId="0" applyNumberFormat="1" applyFont="1" applyFill="1" applyBorder="1" applyAlignment="1">
      <alignment vertical="center"/>
    </xf>
    <xf numFmtId="165" fontId="4" fillId="2" borderId="6" xfId="0" applyNumberFormat="1" applyFont="1" applyFill="1" applyBorder="1" applyAlignment="1" applyProtection="1">
      <alignment horizontal="center" vertical="center"/>
    </xf>
    <xf numFmtId="165" fontId="4" fillId="2" borderId="0" xfId="0" applyNumberFormat="1" applyFont="1" applyFill="1" applyBorder="1" applyAlignment="1" applyProtection="1">
      <alignment horizontal="center" vertical="center"/>
    </xf>
    <xf numFmtId="165" fontId="4" fillId="2" borderId="0" xfId="0" applyNumberFormat="1" applyFont="1" applyFill="1" applyBorder="1" applyAlignment="1" applyProtection="1">
      <alignment horizontal="left" vertical="center"/>
    </xf>
    <xf numFmtId="3" fontId="6" fillId="2" borderId="2" xfId="0" applyNumberFormat="1" applyFont="1" applyFill="1" applyBorder="1" applyAlignment="1">
      <alignment vertical="center"/>
    </xf>
    <xf numFmtId="169" fontId="4" fillId="2" borderId="0" xfId="1" applyNumberFormat="1" applyFont="1" applyFill="1" applyBorder="1" applyAlignment="1">
      <alignment horizontal="right" vertical="center"/>
    </xf>
    <xf numFmtId="165" fontId="7" fillId="2" borderId="0" xfId="0" applyNumberFormat="1" applyFont="1" applyFill="1" applyAlignment="1" applyProtection="1">
      <alignment horizontal="left" vertical="center"/>
    </xf>
    <xf numFmtId="3" fontId="6" fillId="2" borderId="0" xfId="0" applyNumberFormat="1" applyFont="1" applyFill="1" applyBorder="1" applyAlignment="1">
      <alignment horizontal="left" vertical="center"/>
    </xf>
    <xf numFmtId="165" fontId="10" fillId="2" borderId="5" xfId="0" applyNumberFormat="1" applyFont="1" applyFill="1" applyBorder="1" applyAlignment="1">
      <alignment horizontal="left" vertical="center"/>
    </xf>
    <xf numFmtId="165" fontId="12" fillId="2" borderId="5" xfId="0" applyNumberFormat="1" applyFont="1" applyFill="1" applyBorder="1" applyAlignment="1">
      <alignment horizontal="right" vertical="center"/>
    </xf>
    <xf numFmtId="165" fontId="8" fillId="2" borderId="0" xfId="0" applyNumberFormat="1" applyFont="1" applyFill="1" applyBorder="1" applyAlignment="1" applyProtection="1">
      <alignment horizontal="center" vertical="center"/>
    </xf>
    <xf numFmtId="165" fontId="5" fillId="2" borderId="0" xfId="0" applyNumberFormat="1" applyFont="1" applyFill="1" applyBorder="1" applyAlignment="1" applyProtection="1">
      <alignment horizontal="center"/>
    </xf>
  </cellXfs>
  <cellStyles count="10">
    <cellStyle name="Comma" xfId="1" builtinId="3"/>
    <cellStyle name="Comma 3" xfId="7"/>
    <cellStyle name="Normal" xfId="0" builtinId="0"/>
    <cellStyle name="Normal 14" xfId="4"/>
    <cellStyle name="Normal 15" xfId="6"/>
    <cellStyle name="Normal 17" xfId="9"/>
    <cellStyle name="Normal 2" xfId="2"/>
    <cellStyle name="Normal 3" xfId="5"/>
    <cellStyle name="Normal 9" xfId="8"/>
    <cellStyle name="Normal_immunization" xfId="3"/>
  </cellStyles>
  <dxfs count="0"/>
  <tableStyles count="0" defaultTableStyle="TableStyleMedium2" defaultPivotStyle="PivotStyleLight16"/>
  <colors>
    <mruColors>
      <color rgb="FF996633"/>
      <color rgb="FFECD9C6"/>
      <color rgb="FFE1C2A3"/>
      <color rgb="FFF9F3ED"/>
      <color rgb="FF81562B"/>
      <color rgb="FFB3773B"/>
      <color rgb="FFD7AE85"/>
      <color rgb="FFFFFC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Health%20-%20Police%20new%20to%20mai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 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D58"/>
  <sheetViews>
    <sheetView tabSelected="1" zoomScaleNormal="100" zoomScaleSheetLayoutView="96" workbookViewId="0">
      <selection activeCell="Q20" sqref="Q20"/>
    </sheetView>
  </sheetViews>
  <sheetFormatPr defaultRowHeight="12.75" x14ac:dyDescent="0.2"/>
  <cols>
    <col min="1" max="1" width="41" style="7" customWidth="1"/>
    <col min="2" max="5" width="10.5703125" style="7" customWidth="1"/>
    <col min="6" max="6" width="12.28515625" style="7" customWidth="1"/>
    <col min="7" max="10" width="9.140625" style="7"/>
    <col min="11" max="11" width="1.5703125" style="7" customWidth="1"/>
    <col min="12" max="15" width="9.140625" style="7"/>
    <col min="16" max="16" width="9.140625" style="8"/>
    <col min="17" max="17" width="59.85546875" style="8" bestFit="1" customWidth="1"/>
    <col min="18" max="24" width="9.140625" style="8"/>
    <col min="25" max="16384" width="9.140625" style="7"/>
  </cols>
  <sheetData>
    <row r="1" spans="1:30" ht="20.25" customHeight="1" x14ac:dyDescent="0.55000000000000004">
      <c r="A1" s="33" t="s">
        <v>50</v>
      </c>
      <c r="B1" s="33"/>
      <c r="C1" s="33"/>
      <c r="D1" s="33"/>
      <c r="E1" s="33"/>
      <c r="F1" s="33"/>
      <c r="G1" s="33"/>
      <c r="H1" s="33"/>
      <c r="I1" s="33"/>
      <c r="J1" s="33"/>
    </row>
    <row r="2" spans="1:30" ht="20.25" customHeight="1" x14ac:dyDescent="0.2">
      <c r="A2" s="32" t="s">
        <v>49</v>
      </c>
      <c r="B2" s="32"/>
      <c r="C2" s="32"/>
      <c r="D2" s="32"/>
      <c r="E2" s="32"/>
      <c r="F2" s="32"/>
      <c r="G2" s="32"/>
      <c r="H2" s="32"/>
      <c r="I2" s="32"/>
      <c r="J2" s="32"/>
    </row>
    <row r="3" spans="1:30" ht="5.45" customHeight="1" x14ac:dyDescent="0.2">
      <c r="B3" s="9"/>
      <c r="C3" s="9"/>
      <c r="D3" s="9"/>
      <c r="E3" s="9"/>
      <c r="F3" s="9"/>
    </row>
    <row r="4" spans="1:30" ht="21" customHeight="1" x14ac:dyDescent="0.2">
      <c r="A4" s="4" t="s">
        <v>4</v>
      </c>
      <c r="B4" s="10">
        <v>2011</v>
      </c>
      <c r="C4" s="10">
        <v>2012</v>
      </c>
      <c r="D4" s="10">
        <v>2013</v>
      </c>
      <c r="E4" s="10">
        <v>2014</v>
      </c>
      <c r="F4" s="10">
        <v>2015</v>
      </c>
      <c r="G4" s="10">
        <v>2016</v>
      </c>
      <c r="H4" s="10">
        <v>2017</v>
      </c>
      <c r="I4" s="10">
        <v>2018</v>
      </c>
      <c r="J4" s="10">
        <v>2019</v>
      </c>
    </row>
    <row r="5" spans="1:30" ht="15" customHeight="1" x14ac:dyDescent="0.2">
      <c r="A5" s="11" t="s">
        <v>5</v>
      </c>
      <c r="B5" s="11"/>
      <c r="C5" s="11"/>
      <c r="D5" s="11"/>
      <c r="E5" s="11"/>
      <c r="F5" s="11"/>
      <c r="G5" s="11"/>
      <c r="H5" s="11"/>
      <c r="I5" s="11"/>
      <c r="J5" s="11"/>
    </row>
    <row r="6" spans="1:30" ht="15" customHeight="1" x14ac:dyDescent="0.2">
      <c r="A6" s="12" t="s">
        <v>6</v>
      </c>
      <c r="B6" s="13">
        <v>575</v>
      </c>
      <c r="C6" s="13">
        <v>734</v>
      </c>
      <c r="D6" s="13">
        <v>666</v>
      </c>
      <c r="E6" s="13">
        <v>699</v>
      </c>
      <c r="F6" s="13">
        <v>784</v>
      </c>
      <c r="G6" s="13">
        <v>788</v>
      </c>
      <c r="H6" s="13">
        <v>680</v>
      </c>
      <c r="I6" s="13">
        <v>1004</v>
      </c>
      <c r="J6" s="13">
        <v>471</v>
      </c>
      <c r="P6" s="14"/>
      <c r="Q6" s="14"/>
      <c r="R6" s="14"/>
      <c r="S6" s="14"/>
      <c r="T6" s="14"/>
      <c r="U6" s="14"/>
      <c r="V6" s="14"/>
      <c r="W6" s="14"/>
      <c r="X6" s="14"/>
      <c r="Y6" s="15"/>
      <c r="Z6" s="15"/>
      <c r="AA6" s="15"/>
      <c r="AB6" s="15"/>
      <c r="AC6" s="15"/>
      <c r="AD6" s="15"/>
    </row>
    <row r="7" spans="1:30" ht="15" customHeight="1" x14ac:dyDescent="0.2">
      <c r="A7" s="12" t="s">
        <v>7</v>
      </c>
      <c r="B7" s="13">
        <f t="shared" ref="B7:I7" si="0">SUM(B8:B22)</f>
        <v>687</v>
      </c>
      <c r="C7" s="13">
        <f t="shared" si="0"/>
        <v>1047</v>
      </c>
      <c r="D7" s="13">
        <f t="shared" si="0"/>
        <v>910</v>
      </c>
      <c r="E7" s="13">
        <f t="shared" si="0"/>
        <v>780</v>
      </c>
      <c r="F7" s="13">
        <f t="shared" si="0"/>
        <v>900</v>
      </c>
      <c r="G7" s="13">
        <f t="shared" si="0"/>
        <v>1063</v>
      </c>
      <c r="H7" s="13">
        <f t="shared" si="0"/>
        <v>783</v>
      </c>
      <c r="I7" s="13">
        <f t="shared" si="0"/>
        <v>1272</v>
      </c>
      <c r="J7" s="13">
        <v>573</v>
      </c>
      <c r="Q7" s="16"/>
      <c r="R7" s="16"/>
      <c r="S7" s="16"/>
      <c r="T7" s="16"/>
      <c r="U7" s="16"/>
      <c r="V7" s="16"/>
      <c r="W7" s="14"/>
      <c r="X7" s="14"/>
      <c r="Y7" s="15"/>
      <c r="Z7" s="15"/>
      <c r="AA7" s="15"/>
      <c r="AB7" s="15"/>
      <c r="AC7" s="15"/>
      <c r="AD7" s="15"/>
    </row>
    <row r="8" spans="1:30" ht="15" customHeight="1" x14ac:dyDescent="0.2">
      <c r="A8" s="17" t="s">
        <v>8</v>
      </c>
      <c r="B8" s="18">
        <v>16</v>
      </c>
      <c r="C8" s="18">
        <v>35</v>
      </c>
      <c r="D8" s="18">
        <v>52</v>
      </c>
      <c r="E8" s="18">
        <v>14</v>
      </c>
      <c r="F8" s="18">
        <v>32</v>
      </c>
      <c r="G8" s="18">
        <v>80</v>
      </c>
      <c r="H8" s="18">
        <v>102</v>
      </c>
      <c r="I8" s="18">
        <v>223</v>
      </c>
      <c r="J8" s="18">
        <v>87</v>
      </c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</row>
    <row r="9" spans="1:30" ht="15" customHeight="1" x14ac:dyDescent="0.2">
      <c r="A9" s="17" t="s">
        <v>9</v>
      </c>
      <c r="B9" s="18">
        <v>27</v>
      </c>
      <c r="C9" s="18">
        <v>13</v>
      </c>
      <c r="D9" s="18">
        <v>10</v>
      </c>
      <c r="E9" s="18">
        <v>6</v>
      </c>
      <c r="F9" s="18">
        <v>2</v>
      </c>
      <c r="G9" s="18">
        <v>2</v>
      </c>
      <c r="H9" s="18">
        <v>9</v>
      </c>
      <c r="I9" s="18">
        <v>8</v>
      </c>
      <c r="J9" s="18">
        <v>14</v>
      </c>
      <c r="P9" s="14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</row>
    <row r="10" spans="1:30" ht="15" customHeight="1" x14ac:dyDescent="0.2">
      <c r="A10" s="17" t="s">
        <v>10</v>
      </c>
      <c r="B10" s="18">
        <v>0</v>
      </c>
      <c r="C10" s="18">
        <v>1</v>
      </c>
      <c r="D10" s="18">
        <v>0</v>
      </c>
      <c r="E10" s="18">
        <v>0</v>
      </c>
      <c r="F10" s="18">
        <v>0</v>
      </c>
      <c r="G10" s="18">
        <v>0</v>
      </c>
      <c r="H10" s="18">
        <v>1</v>
      </c>
      <c r="I10" s="18">
        <v>0</v>
      </c>
      <c r="J10" s="18">
        <v>1</v>
      </c>
      <c r="P10" s="14"/>
      <c r="Q10" s="14"/>
      <c r="R10" s="14"/>
      <c r="S10" s="14"/>
      <c r="T10" s="14"/>
      <c r="U10" s="14"/>
      <c r="V10" s="14"/>
      <c r="W10" s="14"/>
      <c r="X10" s="14"/>
      <c r="Y10" s="15"/>
      <c r="Z10" s="15"/>
      <c r="AA10" s="15"/>
      <c r="AB10" s="15"/>
      <c r="AC10" s="15"/>
      <c r="AD10" s="15"/>
    </row>
    <row r="11" spans="1:30" ht="15" customHeight="1" x14ac:dyDescent="0.2">
      <c r="A11" s="17" t="s">
        <v>11</v>
      </c>
      <c r="B11" s="18">
        <v>1</v>
      </c>
      <c r="C11" s="18">
        <v>11</v>
      </c>
      <c r="D11" s="18">
        <v>2</v>
      </c>
      <c r="E11" s="18">
        <v>2</v>
      </c>
      <c r="F11" s="18">
        <v>5</v>
      </c>
      <c r="G11" s="18">
        <v>0</v>
      </c>
      <c r="H11" s="18">
        <v>11</v>
      </c>
      <c r="I11" s="18">
        <v>4</v>
      </c>
      <c r="J11" s="18">
        <v>8</v>
      </c>
      <c r="P11" s="14"/>
      <c r="Q11" s="14"/>
      <c r="R11" s="14"/>
      <c r="S11" s="14"/>
      <c r="T11" s="14"/>
      <c r="U11" s="14"/>
      <c r="V11" s="14"/>
      <c r="W11" s="14"/>
      <c r="X11" s="14"/>
      <c r="Y11" s="15"/>
      <c r="Z11" s="15"/>
      <c r="AA11" s="15"/>
      <c r="AB11" s="15"/>
      <c r="AC11" s="15"/>
      <c r="AD11" s="15"/>
    </row>
    <row r="12" spans="1:30" ht="15" customHeight="1" x14ac:dyDescent="0.2">
      <c r="A12" s="17" t="s">
        <v>12</v>
      </c>
      <c r="B12" s="18">
        <v>1</v>
      </c>
      <c r="C12" s="18">
        <v>30</v>
      </c>
      <c r="D12" s="18">
        <v>80</v>
      </c>
      <c r="E12" s="18">
        <v>49</v>
      </c>
      <c r="F12" s="18">
        <v>32</v>
      </c>
      <c r="G12" s="18">
        <v>48</v>
      </c>
      <c r="H12" s="18">
        <v>40</v>
      </c>
      <c r="I12" s="18">
        <v>29</v>
      </c>
      <c r="J12" s="18">
        <v>22</v>
      </c>
      <c r="P12" s="14"/>
      <c r="Q12" s="14"/>
      <c r="R12" s="14"/>
      <c r="S12" s="14"/>
      <c r="T12" s="14"/>
      <c r="U12" s="14"/>
      <c r="V12" s="14"/>
      <c r="W12" s="14"/>
      <c r="X12" s="14"/>
      <c r="Y12" s="15"/>
      <c r="Z12" s="15"/>
      <c r="AA12" s="15"/>
      <c r="AB12" s="15"/>
      <c r="AC12" s="15"/>
      <c r="AD12" s="15"/>
    </row>
    <row r="13" spans="1:30" ht="15" customHeight="1" x14ac:dyDescent="0.2">
      <c r="A13" s="17" t="s">
        <v>13</v>
      </c>
      <c r="B13" s="18">
        <v>63</v>
      </c>
      <c r="C13" s="18">
        <v>84</v>
      </c>
      <c r="D13" s="18">
        <v>25</v>
      </c>
      <c r="E13" s="18">
        <v>23</v>
      </c>
      <c r="F13" s="18">
        <v>21</v>
      </c>
      <c r="G13" s="18">
        <v>35</v>
      </c>
      <c r="H13" s="18">
        <v>23</v>
      </c>
      <c r="I13" s="18">
        <v>46</v>
      </c>
      <c r="J13" s="18">
        <v>29</v>
      </c>
      <c r="P13" s="14"/>
      <c r="Q13" s="14"/>
      <c r="R13" s="14"/>
      <c r="S13" s="14"/>
      <c r="T13" s="14"/>
      <c r="U13" s="14"/>
      <c r="V13" s="14"/>
      <c r="W13" s="14"/>
      <c r="X13" s="14"/>
      <c r="Y13" s="15"/>
      <c r="Z13" s="15"/>
      <c r="AA13" s="15"/>
      <c r="AB13" s="15"/>
      <c r="AC13" s="15"/>
      <c r="AD13" s="15"/>
    </row>
    <row r="14" spans="1:30" ht="15" customHeight="1" x14ac:dyDescent="0.2">
      <c r="A14" s="17" t="s">
        <v>14</v>
      </c>
      <c r="B14" s="18">
        <v>13</v>
      </c>
      <c r="C14" s="18">
        <v>11</v>
      </c>
      <c r="D14" s="18">
        <v>0</v>
      </c>
      <c r="E14" s="18">
        <v>9</v>
      </c>
      <c r="F14" s="18">
        <v>14</v>
      </c>
      <c r="G14" s="18">
        <v>5</v>
      </c>
      <c r="H14" s="18">
        <v>10</v>
      </c>
      <c r="I14" s="18">
        <v>14</v>
      </c>
      <c r="J14" s="18">
        <v>1</v>
      </c>
      <c r="P14" s="14"/>
      <c r="Q14" s="14"/>
      <c r="R14" s="14"/>
      <c r="S14" s="14"/>
      <c r="T14" s="14"/>
      <c r="U14" s="14"/>
      <c r="V14" s="14"/>
      <c r="W14" s="14"/>
      <c r="X14" s="14"/>
      <c r="Y14" s="15"/>
      <c r="Z14" s="15"/>
      <c r="AA14" s="15"/>
      <c r="AB14" s="15"/>
      <c r="AC14" s="15"/>
      <c r="AD14" s="15"/>
    </row>
    <row r="15" spans="1:30" ht="15" customHeight="1" x14ac:dyDescent="0.2">
      <c r="A15" s="17" t="s">
        <v>15</v>
      </c>
      <c r="B15" s="18">
        <v>29</v>
      </c>
      <c r="C15" s="18">
        <v>37</v>
      </c>
      <c r="D15" s="18">
        <v>24</v>
      </c>
      <c r="E15" s="18">
        <v>56</v>
      </c>
      <c r="F15" s="18">
        <v>53</v>
      </c>
      <c r="G15" s="18">
        <v>62</v>
      </c>
      <c r="H15" s="18">
        <v>46</v>
      </c>
      <c r="I15" s="18">
        <v>57</v>
      </c>
      <c r="J15" s="18">
        <v>25</v>
      </c>
    </row>
    <row r="16" spans="1:30" ht="15" customHeight="1" x14ac:dyDescent="0.2">
      <c r="A16" s="17" t="s">
        <v>16</v>
      </c>
      <c r="B16" s="18">
        <v>49</v>
      </c>
      <c r="C16" s="18">
        <v>58</v>
      </c>
      <c r="D16" s="18">
        <v>44</v>
      </c>
      <c r="E16" s="18">
        <v>84</v>
      </c>
      <c r="F16" s="18">
        <v>81</v>
      </c>
      <c r="G16" s="18">
        <v>79</v>
      </c>
      <c r="H16" s="18">
        <v>41</v>
      </c>
      <c r="I16" s="18">
        <v>77</v>
      </c>
      <c r="J16" s="18">
        <v>25</v>
      </c>
    </row>
    <row r="17" spans="1:11" x14ac:dyDescent="0.2">
      <c r="A17" s="17" t="s">
        <v>17</v>
      </c>
      <c r="B17" s="18">
        <v>0</v>
      </c>
      <c r="C17" s="18">
        <v>1</v>
      </c>
      <c r="D17" s="18">
        <v>4</v>
      </c>
      <c r="E17" s="18">
        <v>4</v>
      </c>
      <c r="F17" s="18">
        <v>10</v>
      </c>
      <c r="G17" s="18">
        <v>28</v>
      </c>
      <c r="H17" s="18">
        <v>14</v>
      </c>
      <c r="I17" s="18">
        <v>9</v>
      </c>
      <c r="J17" s="18">
        <v>13</v>
      </c>
    </row>
    <row r="18" spans="1:11" x14ac:dyDescent="0.2">
      <c r="A18" s="17" t="s">
        <v>18</v>
      </c>
      <c r="B18" s="18">
        <v>134</v>
      </c>
      <c r="C18" s="18">
        <v>320</v>
      </c>
      <c r="D18" s="18">
        <v>198</v>
      </c>
      <c r="E18" s="18">
        <v>122</v>
      </c>
      <c r="F18" s="18">
        <v>114</v>
      </c>
      <c r="G18" s="18">
        <v>233</v>
      </c>
      <c r="H18" s="18">
        <v>154</v>
      </c>
      <c r="I18" s="18">
        <v>202</v>
      </c>
      <c r="J18" s="18">
        <v>52</v>
      </c>
    </row>
    <row r="19" spans="1:11" x14ac:dyDescent="0.2">
      <c r="A19" s="17" t="s">
        <v>19</v>
      </c>
      <c r="B19" s="18">
        <v>24</v>
      </c>
      <c r="C19" s="18">
        <v>60</v>
      </c>
      <c r="D19" s="18">
        <v>61</v>
      </c>
      <c r="E19" s="18">
        <v>34</v>
      </c>
      <c r="F19" s="18">
        <v>62</v>
      </c>
      <c r="G19" s="18">
        <v>71</v>
      </c>
      <c r="H19" s="18">
        <v>53</v>
      </c>
      <c r="I19" s="18">
        <v>39</v>
      </c>
      <c r="J19" s="18">
        <v>16</v>
      </c>
    </row>
    <row r="20" spans="1:11" x14ac:dyDescent="0.2">
      <c r="A20" s="17" t="s">
        <v>20</v>
      </c>
      <c r="B20" s="18">
        <v>3</v>
      </c>
      <c r="C20" s="18">
        <v>46</v>
      </c>
      <c r="D20" s="18">
        <v>100</v>
      </c>
      <c r="E20" s="18">
        <v>50</v>
      </c>
      <c r="F20" s="18">
        <v>87</v>
      </c>
      <c r="G20" s="18">
        <v>126</v>
      </c>
      <c r="H20" s="18">
        <v>49</v>
      </c>
      <c r="I20" s="18">
        <v>69</v>
      </c>
      <c r="J20" s="18">
        <v>23</v>
      </c>
    </row>
    <row r="21" spans="1:11" x14ac:dyDescent="0.2">
      <c r="A21" s="17" t="s">
        <v>21</v>
      </c>
      <c r="B21" s="18">
        <v>162</v>
      </c>
      <c r="C21" s="18">
        <v>188</v>
      </c>
      <c r="D21" s="18">
        <v>163</v>
      </c>
      <c r="E21" s="18">
        <v>134</v>
      </c>
      <c r="F21" s="18">
        <v>196</v>
      </c>
      <c r="G21" s="18">
        <v>186</v>
      </c>
      <c r="H21" s="18">
        <v>181</v>
      </c>
      <c r="I21" s="18">
        <v>381</v>
      </c>
      <c r="J21" s="18">
        <v>236</v>
      </c>
    </row>
    <row r="22" spans="1:11" x14ac:dyDescent="0.2">
      <c r="A22" s="21" t="s">
        <v>0</v>
      </c>
      <c r="B22" s="22">
        <v>165</v>
      </c>
      <c r="C22" s="22">
        <v>152</v>
      </c>
      <c r="D22" s="22">
        <v>147</v>
      </c>
      <c r="E22" s="22">
        <v>193</v>
      </c>
      <c r="F22" s="22">
        <v>191</v>
      </c>
      <c r="G22" s="22">
        <v>108</v>
      </c>
      <c r="H22" s="22">
        <v>49</v>
      </c>
      <c r="I22" s="22">
        <v>114</v>
      </c>
      <c r="J22" s="22">
        <v>21</v>
      </c>
    </row>
    <row r="23" spans="1:11" x14ac:dyDescent="0.2">
      <c r="A23" s="23" t="s">
        <v>22</v>
      </c>
      <c r="B23" s="23"/>
      <c r="C23" s="23"/>
      <c r="D23" s="23"/>
      <c r="E23" s="23"/>
      <c r="F23" s="23"/>
      <c r="G23" s="23"/>
      <c r="H23" s="23"/>
      <c r="I23" s="23"/>
      <c r="J23" s="23"/>
    </row>
    <row r="24" spans="1:11" x14ac:dyDescent="0.2">
      <c r="A24" s="24"/>
      <c r="B24" s="24"/>
      <c r="C24" s="24"/>
      <c r="D24" s="24"/>
      <c r="E24" s="24"/>
      <c r="F24" s="24"/>
      <c r="G24" s="24"/>
      <c r="H24" s="24"/>
      <c r="I24" s="24"/>
      <c r="J24" s="24"/>
    </row>
    <row r="25" spans="1:11" x14ac:dyDescent="0.2">
      <c r="A25" s="12" t="s">
        <v>6</v>
      </c>
      <c r="B25" s="1">
        <v>9926</v>
      </c>
      <c r="C25" s="1">
        <v>9396</v>
      </c>
      <c r="D25" s="1">
        <v>8948</v>
      </c>
      <c r="E25" s="1">
        <v>12429</v>
      </c>
      <c r="F25" s="1">
        <v>12390</v>
      </c>
      <c r="G25" s="1">
        <v>10025</v>
      </c>
      <c r="H25" s="1">
        <v>9437</v>
      </c>
      <c r="I25" s="1">
        <v>11814</v>
      </c>
      <c r="J25" s="1">
        <v>10290</v>
      </c>
    </row>
    <row r="26" spans="1:11" x14ac:dyDescent="0.2">
      <c r="A26" s="25" t="s">
        <v>22</v>
      </c>
      <c r="B26" s="1">
        <f>SUM(B27:B45)</f>
        <v>13003</v>
      </c>
      <c r="C26" s="1">
        <f>SUM(C27:C45)</f>
        <v>12149</v>
      </c>
      <c r="D26" s="1">
        <f>SUM(D27:D45)</f>
        <v>11478</v>
      </c>
      <c r="E26" s="1">
        <f>SUM(E27:E45)</f>
        <v>15566</v>
      </c>
      <c r="F26" s="1">
        <f>SUM(F27:F45)</f>
        <v>15680</v>
      </c>
      <c r="G26" s="1">
        <f t="shared" ref="G26:J26" si="1">SUM(G27:G45)</f>
        <v>13828</v>
      </c>
      <c r="H26" s="1">
        <f t="shared" si="1"/>
        <v>13906</v>
      </c>
      <c r="I26" s="1">
        <f t="shared" si="1"/>
        <v>18261</v>
      </c>
      <c r="J26" s="1">
        <f t="shared" si="1"/>
        <v>16587</v>
      </c>
      <c r="K26" s="1"/>
    </row>
    <row r="27" spans="1:11" x14ac:dyDescent="0.2">
      <c r="A27" s="17" t="s">
        <v>12</v>
      </c>
      <c r="B27" s="18">
        <v>2216</v>
      </c>
      <c r="C27" s="18">
        <v>2150</v>
      </c>
      <c r="D27" s="18">
        <v>1975</v>
      </c>
      <c r="E27" s="18">
        <v>2463</v>
      </c>
      <c r="F27" s="18">
        <v>1869</v>
      </c>
      <c r="G27" s="18">
        <v>1248</v>
      </c>
      <c r="H27" s="18">
        <v>1114</v>
      </c>
      <c r="I27" s="18">
        <v>1253</v>
      </c>
      <c r="J27" s="18">
        <v>1082</v>
      </c>
    </row>
    <row r="28" spans="1:11" x14ac:dyDescent="0.2">
      <c r="A28" s="17" t="s">
        <v>23</v>
      </c>
      <c r="B28" s="18">
        <v>242</v>
      </c>
      <c r="C28" s="18">
        <v>155</v>
      </c>
      <c r="D28" s="18">
        <v>106</v>
      </c>
      <c r="E28" s="18">
        <v>117</v>
      </c>
      <c r="F28" s="18">
        <v>110</v>
      </c>
      <c r="G28" s="18">
        <v>56</v>
      </c>
      <c r="H28" s="18">
        <v>83</v>
      </c>
      <c r="I28" s="18">
        <v>166</v>
      </c>
      <c r="J28" s="18">
        <v>183</v>
      </c>
    </row>
    <row r="29" spans="1:11" x14ac:dyDescent="0.2">
      <c r="A29" s="17" t="s">
        <v>24</v>
      </c>
      <c r="B29" s="18">
        <v>51</v>
      </c>
      <c r="C29" s="18">
        <v>32</v>
      </c>
      <c r="D29" s="18">
        <v>56</v>
      </c>
      <c r="E29" s="18">
        <v>51</v>
      </c>
      <c r="F29" s="18">
        <v>55</v>
      </c>
      <c r="G29" s="18">
        <v>45</v>
      </c>
      <c r="H29" s="18">
        <v>49</v>
      </c>
      <c r="I29" s="18">
        <v>95</v>
      </c>
      <c r="J29" s="18">
        <v>95</v>
      </c>
    </row>
    <row r="30" spans="1:11" x14ac:dyDescent="0.2">
      <c r="A30" s="17" t="s">
        <v>25</v>
      </c>
      <c r="B30" s="18">
        <v>842</v>
      </c>
      <c r="C30" s="18">
        <v>1002</v>
      </c>
      <c r="D30" s="18">
        <v>976</v>
      </c>
      <c r="E30" s="18">
        <v>1461</v>
      </c>
      <c r="F30" s="18">
        <v>1282</v>
      </c>
      <c r="G30" s="18">
        <v>1161</v>
      </c>
      <c r="H30" s="18">
        <v>904</v>
      </c>
      <c r="I30" s="18">
        <v>1375</v>
      </c>
      <c r="J30" s="18">
        <v>1300</v>
      </c>
    </row>
    <row r="31" spans="1:11" x14ac:dyDescent="0.2">
      <c r="A31" s="17" t="s">
        <v>26</v>
      </c>
      <c r="B31" s="18">
        <v>205</v>
      </c>
      <c r="C31" s="18">
        <v>245</v>
      </c>
      <c r="D31" s="18">
        <v>203</v>
      </c>
      <c r="E31" s="18">
        <v>268</v>
      </c>
      <c r="F31" s="18">
        <v>201</v>
      </c>
      <c r="G31" s="18">
        <v>224</v>
      </c>
      <c r="H31" s="18">
        <v>245</v>
      </c>
      <c r="I31" s="18">
        <v>438</v>
      </c>
      <c r="J31" s="18">
        <v>448</v>
      </c>
    </row>
    <row r="32" spans="1:11" x14ac:dyDescent="0.2">
      <c r="A32" s="17" t="s">
        <v>27</v>
      </c>
      <c r="B32" s="18">
        <v>357</v>
      </c>
      <c r="C32" s="18">
        <v>622</v>
      </c>
      <c r="D32" s="18">
        <v>308</v>
      </c>
      <c r="E32" s="18">
        <v>640</v>
      </c>
      <c r="F32" s="18">
        <v>513</v>
      </c>
      <c r="G32" s="18">
        <v>509</v>
      </c>
      <c r="H32" s="18">
        <v>716</v>
      </c>
      <c r="I32" s="18">
        <v>1130</v>
      </c>
      <c r="J32" s="18">
        <v>1096</v>
      </c>
    </row>
    <row r="33" spans="1:10" x14ac:dyDescent="0.2">
      <c r="A33" s="17" t="s">
        <v>28</v>
      </c>
      <c r="B33" s="18">
        <v>1596</v>
      </c>
      <c r="C33" s="18">
        <v>1768</v>
      </c>
      <c r="D33" s="18">
        <v>2381</v>
      </c>
      <c r="E33" s="18">
        <v>2202</v>
      </c>
      <c r="F33" s="18">
        <v>3229</v>
      </c>
      <c r="G33" s="18">
        <v>2828</v>
      </c>
      <c r="H33" s="18">
        <v>2533</v>
      </c>
      <c r="I33" s="18">
        <v>3156</v>
      </c>
      <c r="J33" s="18">
        <v>2508</v>
      </c>
    </row>
    <row r="34" spans="1:10" x14ac:dyDescent="0.2">
      <c r="A34" s="17" t="s">
        <v>29</v>
      </c>
      <c r="B34" s="18">
        <v>47</v>
      </c>
      <c r="C34" s="18">
        <v>24</v>
      </c>
      <c r="D34" s="18">
        <v>88</v>
      </c>
      <c r="E34" s="18">
        <v>95</v>
      </c>
      <c r="F34" s="18">
        <v>10</v>
      </c>
      <c r="G34" s="18">
        <v>4</v>
      </c>
      <c r="H34" s="18">
        <v>7</v>
      </c>
      <c r="I34" s="18">
        <v>3</v>
      </c>
      <c r="J34" s="18">
        <v>0</v>
      </c>
    </row>
    <row r="35" spans="1:10" x14ac:dyDescent="0.2">
      <c r="A35" s="17" t="s">
        <v>30</v>
      </c>
      <c r="B35" s="18">
        <v>9</v>
      </c>
      <c r="C35" s="18">
        <v>27</v>
      </c>
      <c r="D35" s="18">
        <v>20</v>
      </c>
      <c r="E35" s="18">
        <v>17</v>
      </c>
      <c r="F35" s="18">
        <v>7</v>
      </c>
      <c r="G35" s="18">
        <v>19</v>
      </c>
      <c r="H35" s="18">
        <v>17</v>
      </c>
      <c r="I35" s="18">
        <v>34</v>
      </c>
      <c r="J35" s="18">
        <v>26</v>
      </c>
    </row>
    <row r="36" spans="1:10" x14ac:dyDescent="0.2">
      <c r="A36" s="17" t="s">
        <v>31</v>
      </c>
      <c r="B36" s="18">
        <v>276</v>
      </c>
      <c r="C36" s="18">
        <v>223</v>
      </c>
      <c r="D36" s="18">
        <v>247</v>
      </c>
      <c r="E36" s="18">
        <v>625</v>
      </c>
      <c r="F36" s="18">
        <v>522</v>
      </c>
      <c r="G36" s="18">
        <v>429</v>
      </c>
      <c r="H36" s="18">
        <v>323</v>
      </c>
      <c r="I36" s="18">
        <v>377</v>
      </c>
      <c r="J36" s="18">
        <v>238</v>
      </c>
    </row>
    <row r="37" spans="1:10" x14ac:dyDescent="0.2">
      <c r="A37" s="17" t="s">
        <v>32</v>
      </c>
      <c r="B37" s="18">
        <v>73</v>
      </c>
      <c r="C37" s="18">
        <v>45</v>
      </c>
      <c r="D37" s="18">
        <v>36</v>
      </c>
      <c r="E37" s="18">
        <v>47</v>
      </c>
      <c r="F37" s="18">
        <v>41</v>
      </c>
      <c r="G37" s="18">
        <v>24</v>
      </c>
      <c r="H37" s="18">
        <v>29</v>
      </c>
      <c r="I37" s="18">
        <v>77</v>
      </c>
      <c r="J37" s="18">
        <v>262</v>
      </c>
    </row>
    <row r="38" spans="1:10" x14ac:dyDescent="0.2">
      <c r="A38" s="17" t="s">
        <v>33</v>
      </c>
      <c r="B38" s="18">
        <v>52</v>
      </c>
      <c r="C38" s="18">
        <v>55</v>
      </c>
      <c r="D38" s="18">
        <v>58</v>
      </c>
      <c r="E38" s="18">
        <v>14</v>
      </c>
      <c r="F38" s="18">
        <v>14</v>
      </c>
      <c r="G38" s="18">
        <v>21</v>
      </c>
      <c r="H38" s="18">
        <v>2</v>
      </c>
      <c r="I38" s="18">
        <v>0</v>
      </c>
      <c r="J38" s="18">
        <v>0</v>
      </c>
    </row>
    <row r="39" spans="1:10" x14ac:dyDescent="0.2">
      <c r="A39" s="17" t="s">
        <v>34</v>
      </c>
      <c r="B39" s="18">
        <v>52</v>
      </c>
      <c r="C39" s="18">
        <v>58</v>
      </c>
      <c r="D39" s="18">
        <v>56</v>
      </c>
      <c r="E39" s="18">
        <v>95</v>
      </c>
      <c r="F39" s="18">
        <v>67</v>
      </c>
      <c r="G39" s="18">
        <v>58</v>
      </c>
      <c r="H39" s="18">
        <v>73</v>
      </c>
      <c r="I39" s="18">
        <v>82</v>
      </c>
      <c r="J39" s="18">
        <v>47</v>
      </c>
    </row>
    <row r="40" spans="1:10" x14ac:dyDescent="0.2">
      <c r="A40" s="17" t="s">
        <v>35</v>
      </c>
      <c r="B40" s="18">
        <v>3</v>
      </c>
      <c r="C40" s="18">
        <v>11</v>
      </c>
      <c r="D40" s="18">
        <v>0</v>
      </c>
      <c r="E40" s="18">
        <v>18</v>
      </c>
      <c r="F40" s="18">
        <v>46</v>
      </c>
      <c r="G40" s="18">
        <v>1</v>
      </c>
      <c r="H40" s="18">
        <v>8</v>
      </c>
      <c r="I40" s="18">
        <v>3</v>
      </c>
      <c r="J40" s="18">
        <v>12</v>
      </c>
    </row>
    <row r="41" spans="1:10" x14ac:dyDescent="0.2">
      <c r="A41" s="17" t="s">
        <v>9</v>
      </c>
      <c r="B41" s="18">
        <v>1510</v>
      </c>
      <c r="C41" s="18">
        <v>1088</v>
      </c>
      <c r="D41" s="18">
        <v>985</v>
      </c>
      <c r="E41" s="18">
        <v>1524</v>
      </c>
      <c r="F41" s="18">
        <v>1714</v>
      </c>
      <c r="G41" s="18">
        <v>1942</v>
      </c>
      <c r="H41" s="18">
        <v>2051</v>
      </c>
      <c r="I41" s="18">
        <v>2489</v>
      </c>
      <c r="J41" s="18">
        <v>2321</v>
      </c>
    </row>
    <row r="42" spans="1:10" x14ac:dyDescent="0.2">
      <c r="A42" s="17" t="s">
        <v>36</v>
      </c>
      <c r="B42" s="18">
        <v>89</v>
      </c>
      <c r="C42" s="18">
        <v>47</v>
      </c>
      <c r="D42" s="18">
        <v>30</v>
      </c>
      <c r="E42" s="18">
        <v>97</v>
      </c>
      <c r="F42" s="18">
        <v>66</v>
      </c>
      <c r="G42" s="18">
        <v>45</v>
      </c>
      <c r="H42" s="18">
        <v>66</v>
      </c>
      <c r="I42" s="18">
        <v>223</v>
      </c>
      <c r="J42" s="18">
        <v>195</v>
      </c>
    </row>
    <row r="43" spans="1:10" x14ac:dyDescent="0.2">
      <c r="A43" s="17" t="s">
        <v>37</v>
      </c>
      <c r="B43" s="18">
        <v>1626</v>
      </c>
      <c r="C43" s="18">
        <v>1107</v>
      </c>
      <c r="D43" s="18">
        <v>859</v>
      </c>
      <c r="E43" s="18">
        <v>1155</v>
      </c>
      <c r="F43" s="18">
        <v>1336</v>
      </c>
      <c r="G43" s="18">
        <v>1838</v>
      </c>
      <c r="H43" s="18">
        <v>2313</v>
      </c>
      <c r="I43" s="18">
        <v>3047</v>
      </c>
      <c r="J43" s="18">
        <v>2806</v>
      </c>
    </row>
    <row r="44" spans="1:10" x14ac:dyDescent="0.2">
      <c r="A44" s="17" t="s">
        <v>38</v>
      </c>
      <c r="B44" s="18">
        <v>21</v>
      </c>
      <c r="C44" s="18">
        <v>10</v>
      </c>
      <c r="D44" s="18">
        <v>28</v>
      </c>
      <c r="E44" s="18">
        <v>6</v>
      </c>
      <c r="F44" s="18">
        <v>10</v>
      </c>
      <c r="G44" s="18">
        <v>36</v>
      </c>
      <c r="H44" s="18">
        <v>50</v>
      </c>
      <c r="I44" s="18">
        <v>26</v>
      </c>
      <c r="J44" s="18">
        <v>20</v>
      </c>
    </row>
    <row r="45" spans="1:10" x14ac:dyDescent="0.2">
      <c r="A45" s="2" t="s">
        <v>39</v>
      </c>
      <c r="B45" s="26">
        <v>3736</v>
      </c>
      <c r="C45" s="26">
        <v>3480</v>
      </c>
      <c r="D45" s="26">
        <v>3066</v>
      </c>
      <c r="E45" s="26">
        <v>4671</v>
      </c>
      <c r="F45" s="26">
        <v>4588</v>
      </c>
      <c r="G45" s="26">
        <v>3340</v>
      </c>
      <c r="H45" s="26">
        <v>3323</v>
      </c>
      <c r="I45" s="26">
        <v>4287</v>
      </c>
      <c r="J45" s="26">
        <v>3948</v>
      </c>
    </row>
    <row r="46" spans="1:10" x14ac:dyDescent="0.2">
      <c r="A46" s="24" t="s">
        <v>40</v>
      </c>
      <c r="B46" s="24"/>
      <c r="C46" s="24"/>
      <c r="D46" s="24"/>
      <c r="E46" s="24"/>
      <c r="F46" s="24"/>
      <c r="G46" s="24"/>
      <c r="H46" s="24"/>
      <c r="I46" s="24"/>
      <c r="J46" s="24"/>
    </row>
    <row r="47" spans="1:10" x14ac:dyDescent="0.2">
      <c r="A47" s="24"/>
      <c r="B47" s="24"/>
      <c r="C47" s="24"/>
      <c r="D47" s="24"/>
      <c r="E47" s="24"/>
      <c r="F47" s="24"/>
      <c r="G47" s="24"/>
      <c r="H47" s="24"/>
      <c r="I47" s="24"/>
      <c r="J47" s="24"/>
    </row>
    <row r="48" spans="1:10" x14ac:dyDescent="0.2">
      <c r="A48" s="12" t="s">
        <v>6</v>
      </c>
      <c r="B48" s="27" t="s">
        <v>3</v>
      </c>
      <c r="C48" s="27" t="s">
        <v>3</v>
      </c>
      <c r="D48" s="27" t="s">
        <v>3</v>
      </c>
      <c r="E48" s="27" t="s">
        <v>3</v>
      </c>
      <c r="F48" s="1">
        <f>SUM(F49:F57)</f>
        <v>1536</v>
      </c>
      <c r="G48" s="1">
        <f t="shared" ref="G48:J48" si="2">SUM(G49:G57)</f>
        <v>1174</v>
      </c>
      <c r="H48" s="1">
        <f t="shared" si="2"/>
        <v>319</v>
      </c>
      <c r="I48" s="1">
        <f t="shared" si="2"/>
        <v>1492</v>
      </c>
      <c r="J48" s="1">
        <f t="shared" si="2"/>
        <v>1171</v>
      </c>
    </row>
    <row r="49" spans="1:10" x14ac:dyDescent="0.2">
      <c r="A49" s="17" t="s">
        <v>41</v>
      </c>
      <c r="B49" s="27" t="s">
        <v>3</v>
      </c>
      <c r="C49" s="5" t="s">
        <v>3</v>
      </c>
      <c r="D49" s="5" t="s">
        <v>3</v>
      </c>
      <c r="E49" s="5" t="s">
        <v>3</v>
      </c>
      <c r="F49" s="18">
        <v>32</v>
      </c>
      <c r="G49" s="18">
        <v>21</v>
      </c>
      <c r="H49" s="18">
        <v>1</v>
      </c>
      <c r="I49" s="18">
        <v>20</v>
      </c>
      <c r="J49" s="18">
        <v>5</v>
      </c>
    </row>
    <row r="50" spans="1:10" x14ac:dyDescent="0.2">
      <c r="A50" s="17" t="s">
        <v>42</v>
      </c>
      <c r="B50" s="5" t="s">
        <v>3</v>
      </c>
      <c r="C50" s="5" t="s">
        <v>3</v>
      </c>
      <c r="D50" s="5" t="s">
        <v>3</v>
      </c>
      <c r="E50" s="5" t="s">
        <v>3</v>
      </c>
      <c r="F50" s="18">
        <v>14</v>
      </c>
      <c r="G50" s="18">
        <v>29</v>
      </c>
      <c r="H50" s="18">
        <v>2</v>
      </c>
      <c r="I50" s="18">
        <v>5</v>
      </c>
      <c r="J50" s="18">
        <v>4</v>
      </c>
    </row>
    <row r="51" spans="1:10" x14ac:dyDescent="0.2">
      <c r="A51" s="17" t="s">
        <v>43</v>
      </c>
      <c r="B51" s="5" t="s">
        <v>3</v>
      </c>
      <c r="C51" s="5" t="s">
        <v>3</v>
      </c>
      <c r="D51" s="5" t="s">
        <v>3</v>
      </c>
      <c r="E51" s="5" t="s">
        <v>3</v>
      </c>
      <c r="F51" s="18">
        <v>725</v>
      </c>
      <c r="G51" s="18">
        <v>443</v>
      </c>
      <c r="H51" s="18">
        <v>162</v>
      </c>
      <c r="I51" s="18">
        <v>607</v>
      </c>
      <c r="J51" s="18">
        <v>407</v>
      </c>
    </row>
    <row r="52" spans="1:10" x14ac:dyDescent="0.2">
      <c r="A52" s="17" t="s">
        <v>44</v>
      </c>
      <c r="B52" s="5" t="s">
        <v>3</v>
      </c>
      <c r="C52" s="5" t="s">
        <v>3</v>
      </c>
      <c r="D52" s="5" t="s">
        <v>3</v>
      </c>
      <c r="E52" s="5" t="s">
        <v>3</v>
      </c>
      <c r="F52" s="18">
        <v>18</v>
      </c>
      <c r="G52" s="18">
        <v>30</v>
      </c>
      <c r="H52" s="18">
        <v>3</v>
      </c>
      <c r="I52" s="18">
        <v>18</v>
      </c>
      <c r="J52" s="18">
        <v>22</v>
      </c>
    </row>
    <row r="53" spans="1:10" x14ac:dyDescent="0.2">
      <c r="A53" s="17" t="s">
        <v>45</v>
      </c>
      <c r="B53" s="5" t="s">
        <v>3</v>
      </c>
      <c r="C53" s="5" t="s">
        <v>3</v>
      </c>
      <c r="D53" s="5" t="s">
        <v>3</v>
      </c>
      <c r="E53" s="5" t="s">
        <v>3</v>
      </c>
      <c r="F53" s="18">
        <v>17</v>
      </c>
      <c r="G53" s="18">
        <v>9</v>
      </c>
      <c r="H53" s="18">
        <v>3</v>
      </c>
      <c r="I53" s="18">
        <v>2</v>
      </c>
      <c r="J53" s="18">
        <v>0</v>
      </c>
    </row>
    <row r="54" spans="1:10" x14ac:dyDescent="0.2">
      <c r="A54" s="17" t="s">
        <v>46</v>
      </c>
      <c r="B54" s="5" t="s">
        <v>3</v>
      </c>
      <c r="C54" s="5" t="s">
        <v>3</v>
      </c>
      <c r="D54" s="5" t="s">
        <v>3</v>
      </c>
      <c r="E54" s="5" t="s">
        <v>3</v>
      </c>
      <c r="F54" s="18">
        <v>128</v>
      </c>
      <c r="G54" s="18">
        <v>101</v>
      </c>
      <c r="H54" s="18">
        <v>12</v>
      </c>
      <c r="I54" s="18">
        <v>124</v>
      </c>
      <c r="J54" s="18">
        <v>58</v>
      </c>
    </row>
    <row r="55" spans="1:10" x14ac:dyDescent="0.2">
      <c r="A55" s="17" t="s">
        <v>47</v>
      </c>
      <c r="B55" s="5" t="s">
        <v>3</v>
      </c>
      <c r="C55" s="5" t="s">
        <v>3</v>
      </c>
      <c r="D55" s="5" t="s">
        <v>3</v>
      </c>
      <c r="E55" s="5" t="s">
        <v>3</v>
      </c>
      <c r="F55" s="18">
        <v>47</v>
      </c>
      <c r="G55" s="18">
        <v>45</v>
      </c>
      <c r="H55" s="18">
        <v>17</v>
      </c>
      <c r="I55" s="18">
        <v>99</v>
      </c>
      <c r="J55" s="18">
        <v>91</v>
      </c>
    </row>
    <row r="56" spans="1:10" x14ac:dyDescent="0.2">
      <c r="A56" s="17" t="s">
        <v>48</v>
      </c>
      <c r="B56" s="5" t="s">
        <v>3</v>
      </c>
      <c r="C56" s="5" t="s">
        <v>3</v>
      </c>
      <c r="D56" s="5" t="s">
        <v>3</v>
      </c>
      <c r="E56" s="5" t="s">
        <v>3</v>
      </c>
      <c r="F56" s="18">
        <v>2</v>
      </c>
      <c r="G56" s="18">
        <v>4</v>
      </c>
      <c r="H56" s="18">
        <v>0</v>
      </c>
      <c r="I56" s="18">
        <v>0</v>
      </c>
      <c r="J56" s="18">
        <v>0</v>
      </c>
    </row>
    <row r="57" spans="1:10" x14ac:dyDescent="0.2">
      <c r="A57" s="2" t="s">
        <v>0</v>
      </c>
      <c r="B57" s="6" t="s">
        <v>3</v>
      </c>
      <c r="C57" s="6" t="s">
        <v>3</v>
      </c>
      <c r="D57" s="6" t="s">
        <v>3</v>
      </c>
      <c r="E57" s="6" t="s">
        <v>3</v>
      </c>
      <c r="F57" s="26">
        <v>553</v>
      </c>
      <c r="G57" s="26">
        <v>492</v>
      </c>
      <c r="H57" s="26">
        <v>119</v>
      </c>
      <c r="I57" s="26">
        <v>617</v>
      </c>
      <c r="J57" s="26">
        <v>584</v>
      </c>
    </row>
    <row r="58" spans="1:10" ht="14.25" x14ac:dyDescent="0.2">
      <c r="A58" s="28" t="s">
        <v>2</v>
      </c>
      <c r="B58" s="29"/>
      <c r="C58" s="30"/>
      <c r="D58" s="3"/>
      <c r="E58" s="3"/>
      <c r="F58" s="3"/>
      <c r="G58" s="3"/>
      <c r="H58" s="3"/>
      <c r="I58" s="3"/>
      <c r="J58" s="31" t="s">
        <v>1</v>
      </c>
    </row>
  </sheetData>
  <mergeCells count="2">
    <mergeCell ref="A2:J2"/>
    <mergeCell ref="A1:J1"/>
  </mergeCells>
  <pageMargins left="0.7" right="0.7" top="0.75" bottom="0.75" header="0.3" footer="0.3"/>
  <pageSetup scale="6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6.8</vt:lpstr>
      <vt:lpstr>'6.8'!Print_Area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2020-10-20T06:25:00Z</cp:lastPrinted>
  <dcterms:created xsi:type="dcterms:W3CDTF">2019-08-06T05:35:20Z</dcterms:created>
  <dcterms:modified xsi:type="dcterms:W3CDTF">2020-10-20T06:25:56Z</dcterms:modified>
</cp:coreProperties>
</file>