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6. HEALTH\"/>
    </mc:Choice>
  </mc:AlternateContent>
  <bookViews>
    <workbookView xWindow="0" yWindow="0" windowWidth="28800" windowHeight="11730" tabRatio="811"/>
  </bookViews>
  <sheets>
    <sheet name="6.2" sheetId="2" r:id="rId1"/>
  </sheets>
  <externalReferences>
    <externalReference r:id="rId2"/>
    <externalReference r:id="rId3"/>
  </externalReferences>
  <definedNames>
    <definedName name="_xlnm.Print_Area" localSheetId="0">'6.2'!$A$1:$WST$94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9" i="2" l="1"/>
  <c r="AT8" i="2"/>
  <c r="J16" i="2" l="1"/>
  <c r="I16" i="2"/>
  <c r="D16" i="2"/>
  <c r="C16" i="2"/>
  <c r="B16" i="2" s="1"/>
  <c r="J15" i="2"/>
  <c r="I15" i="2"/>
  <c r="C15" i="2" s="1"/>
  <c r="D15" i="2"/>
  <c r="J14" i="2"/>
  <c r="D14" i="2" s="1"/>
  <c r="I14" i="2"/>
  <c r="C14" i="2" s="1"/>
  <c r="H13" i="2"/>
  <c r="G13" i="2"/>
  <c r="F13" i="2"/>
  <c r="E13" i="2"/>
  <c r="J12" i="2"/>
  <c r="I12" i="2"/>
  <c r="C12" i="2" s="1"/>
  <c r="D12" i="2"/>
  <c r="J11" i="2"/>
  <c r="D11" i="2" s="1"/>
  <c r="I11" i="2"/>
  <c r="C11" i="2" s="1"/>
  <c r="B11" i="2" s="1"/>
  <c r="J10" i="2"/>
  <c r="D10" i="2" s="1"/>
  <c r="I10" i="2"/>
  <c r="C10" i="2" s="1"/>
  <c r="J9" i="2"/>
  <c r="I9" i="2"/>
  <c r="C9" i="2" s="1"/>
  <c r="D9" i="2"/>
  <c r="M8" i="2"/>
  <c r="M7" i="2" s="1"/>
  <c r="L8" i="2"/>
  <c r="H8" i="2"/>
  <c r="H7" i="2" s="1"/>
  <c r="G8" i="2"/>
  <c r="F8" i="2"/>
  <c r="E8" i="2"/>
  <c r="E7" i="2"/>
  <c r="J13" i="2" l="1"/>
  <c r="D13" i="2" s="1"/>
  <c r="G7" i="2"/>
  <c r="I8" i="2"/>
  <c r="I7" i="2" s="1"/>
  <c r="B9" i="2"/>
  <c r="B12" i="2"/>
  <c r="F7" i="2"/>
  <c r="B15" i="2"/>
  <c r="I13" i="2"/>
  <c r="D8" i="2"/>
  <c r="B10" i="2"/>
  <c r="B8" i="2" s="1"/>
  <c r="B14" i="2"/>
  <c r="J8" i="2"/>
  <c r="L13" i="2"/>
  <c r="L7" i="2" s="1"/>
  <c r="C8" i="2"/>
  <c r="D7" i="2" l="1"/>
  <c r="AE8" i="2" s="1"/>
  <c r="J7" i="2"/>
  <c r="B13" i="2"/>
  <c r="B7" i="2" s="1"/>
  <c r="C13" i="2"/>
  <c r="C7" i="2" s="1"/>
  <c r="AD8" i="2" s="1"/>
  <c r="AK16" i="2" l="1"/>
  <c r="AK15" i="2"/>
  <c r="AK14" i="2"/>
  <c r="AK13" i="2"/>
  <c r="AK12" i="2"/>
  <c r="AK11" i="2"/>
  <c r="AK10" i="2"/>
  <c r="AK9" i="2"/>
  <c r="AK8" i="2"/>
  <c r="AK7" i="2"/>
  <c r="AK6" i="2"/>
</calcChain>
</file>

<file path=xl/sharedStrings.xml><?xml version="1.0" encoding="utf-8"?>
<sst xmlns="http://schemas.openxmlformats.org/spreadsheetml/2006/main" count="92" uniqueCount="52">
  <si>
    <t>Total</t>
  </si>
  <si>
    <t>Doctors</t>
  </si>
  <si>
    <t>ޑޮކްޓަރުން</t>
  </si>
  <si>
    <t xml:space="preserve">         General duty doctors</t>
  </si>
  <si>
    <t xml:space="preserve">cnurwTckoD egukwtilwbumcaWA   </t>
  </si>
  <si>
    <t xml:space="preserve">         Specialists</t>
  </si>
  <si>
    <t xml:space="preserve">cnurwTckoD wBcaWH cSwkwtilwbikeaikea   </t>
  </si>
  <si>
    <t>Nurses</t>
  </si>
  <si>
    <t>cnuhurwn</t>
  </si>
  <si>
    <t>Allied Health Staff</t>
  </si>
  <si>
    <t xml:space="preserve">އެލައިޑް ހެލްތް ސްޓާފުން </t>
  </si>
  <si>
    <t>Community Health Personnel</t>
  </si>
  <si>
    <t>ޖަމާއަތުގެ ސިއްޚި މުވައްޒިފުން</t>
  </si>
  <si>
    <t xml:space="preserve">         Community Health Workers</t>
  </si>
  <si>
    <t xml:space="preserve">  ޖަމާއަތުގެ ސިއްޚި އެހީތެރިން</t>
  </si>
  <si>
    <t xml:space="preserve">         Family Health Workers</t>
  </si>
  <si>
    <t xml:space="preserve">  އާއިލީ ސިއްޚީ އެހީތެރިން</t>
  </si>
  <si>
    <t>Traditional Birth Attendant (Foolhuma)</t>
  </si>
  <si>
    <t>ފޫޅުމައިން</t>
  </si>
  <si>
    <t>Note:</t>
  </si>
  <si>
    <t>Source: Ministry of Health</t>
  </si>
  <si>
    <t>PUBLIC SECTOR</t>
  </si>
  <si>
    <t xml:space="preserve"> PRIVATE  SECTOR </t>
  </si>
  <si>
    <t>MALE'</t>
  </si>
  <si>
    <t>ATOLLS</t>
  </si>
  <si>
    <t>REPUBLIC</t>
  </si>
  <si>
    <t xml:space="preserve">Total </t>
  </si>
  <si>
    <t>expat</t>
  </si>
  <si>
    <t>local</t>
  </si>
  <si>
    <t>ޖުމްލަ</t>
  </si>
  <si>
    <t>ލެބޯރެޓަރީ ސައިންސިސްޓްސް</t>
  </si>
  <si>
    <t>ރޭޑިއޯގްރާފަރސް</t>
  </si>
  <si>
    <t>ޑެންޓިސްޓުން</t>
  </si>
  <si>
    <t>ފާމަސިސްޓް 2_/</t>
  </si>
  <si>
    <t>ޖަމާއަތުގެ ސިއްޚި އެހީތެރިން</t>
  </si>
  <si>
    <t>އާއިލީ ސިއްޚީ އެހީތެރިން</t>
  </si>
  <si>
    <t>Community Health Workers</t>
  </si>
  <si>
    <t>މަޢުލޫމާތު ދެއްވީ: މިނިސްޓްރީ އޮފް ހެލްތް</t>
  </si>
  <si>
    <t>2_/ ފާރމަސިސްޓުންނާއި އެސިސްޓަންޓް ފާރމަސިސްޓޫން (ޕްރައިވެޓް ސެކްޓަރ)</t>
  </si>
  <si>
    <t>Expatriates</t>
  </si>
  <si>
    <t>Locals</t>
  </si>
  <si>
    <t>General duty doctors</t>
  </si>
  <si>
    <t>Specialists</t>
  </si>
  <si>
    <t>Family Health Workers</t>
  </si>
  <si>
    <t>Trained</t>
  </si>
  <si>
    <t>Untrained</t>
  </si>
  <si>
    <t xml:space="preserve">2019, udwdwA egcnIsEdib iaWncnihevid Wrukctwkcawswm iawgWriaWd IHcaiB : 6.2 clwvWt   </t>
  </si>
  <si>
    <t>Table 6.2: HEALTH PERSONNEL BY LOCALS AND EXPATRIATES, 2019</t>
  </si>
  <si>
    <t xml:space="preserve">Data as of : 01 January to 31 December 2019   </t>
  </si>
  <si>
    <t>Data taken from the HR reports collected from health facilities via DHIS2</t>
  </si>
  <si>
    <t xml:space="preserve">Atoll data includes hospitals and Health Centers </t>
  </si>
  <si>
    <t>Pvt. Sector data includes ADK,IMDC,TreeTop hospital only ,IMDC is the only private hospital in periphery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</si>
</sst>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General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Faruma"/>
    </font>
    <font>
      <sz val="10"/>
      <name val="Calibri"/>
      <family val="2"/>
      <scheme val="minor"/>
    </font>
    <font>
      <sz val="11"/>
      <name val="Faruma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i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color rgb="FFFF0000"/>
      <name val="Faruma"/>
    </font>
    <font>
      <b/>
      <sz val="10"/>
      <color theme="1"/>
      <name val="Calibri"/>
      <family val="2"/>
      <scheme val="minor"/>
    </font>
    <font>
      <b/>
      <sz val="9"/>
      <name val="A_Randhoo"/>
    </font>
    <font>
      <b/>
      <sz val="9"/>
      <name val="Faruma"/>
    </font>
    <font>
      <b/>
      <sz val="11"/>
      <color rgb="FFFF0000"/>
      <name val="Calibri"/>
      <family val="2"/>
      <scheme val="minor"/>
    </font>
    <font>
      <sz val="9"/>
      <name val="A_Randhoo"/>
    </font>
    <font>
      <i/>
      <sz val="9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8"/>
      <color theme="1"/>
      <name val="Calibri"/>
      <family val="2"/>
      <scheme val="minor"/>
    </font>
    <font>
      <sz val="11"/>
      <name val="A_Faseyha"/>
    </font>
    <font>
      <b/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165" fontId="23" fillId="0" borderId="0"/>
    <xf numFmtId="165" fontId="23" fillId="0" borderId="0"/>
    <xf numFmtId="165" fontId="23" fillId="0" borderId="0"/>
    <xf numFmtId="40" fontId="24" fillId="0" borderId="0" applyFont="0" applyFill="0" applyBorder="0" applyAlignment="0" applyProtection="0"/>
    <xf numFmtId="165" fontId="23" fillId="0" borderId="0"/>
    <xf numFmtId="0" fontId="1" fillId="0" borderId="0"/>
  </cellStyleXfs>
  <cellXfs count="102">
    <xf numFmtId="0" fontId="0" fillId="0" borderId="0" xfId="0"/>
    <xf numFmtId="3" fontId="4" fillId="2" borderId="0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 indent="1"/>
    </xf>
    <xf numFmtId="0" fontId="8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9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right" vertical="top"/>
    </xf>
    <xf numFmtId="164" fontId="0" fillId="2" borderId="0" xfId="0" applyNumberFormat="1" applyFont="1" applyFill="1" applyBorder="1"/>
    <xf numFmtId="0" fontId="10" fillId="2" borderId="0" xfId="0" applyNumberFormat="1" applyFont="1" applyFill="1" applyBorder="1" applyAlignment="1" applyProtection="1">
      <alignment horizontal="left" vertical="center" wrapText="1"/>
    </xf>
    <xf numFmtId="0" fontId="11" fillId="2" borderId="0" xfId="0" applyNumberFormat="1" applyFont="1" applyFill="1" applyBorder="1"/>
    <xf numFmtId="0" fontId="12" fillId="2" borderId="0" xfId="0" applyFont="1" applyFill="1" applyBorder="1" applyAlignment="1">
      <alignment horizontal="right" vertical="center"/>
    </xf>
    <xf numFmtId="0" fontId="15" fillId="2" borderId="0" xfId="0" applyNumberFormat="1" applyFont="1" applyFill="1" applyBorder="1" applyAlignment="1">
      <alignment horizontal="left" vertical="center" wrapText="1"/>
    </xf>
    <xf numFmtId="0" fontId="15" fillId="2" borderId="0" xfId="0" applyNumberFormat="1" applyFont="1" applyFill="1" applyBorder="1" applyAlignment="1">
      <alignment horizontal="left" vertical="center"/>
    </xf>
    <xf numFmtId="0" fontId="11" fillId="2" borderId="4" xfId="0" applyNumberFormat="1" applyFont="1" applyFill="1" applyBorder="1" applyAlignment="1">
      <alignment horizontal="left" vertical="center" wrapText="1"/>
    </xf>
    <xf numFmtId="0" fontId="11" fillId="2" borderId="5" xfId="0" applyNumberFormat="1" applyFont="1" applyFill="1" applyBorder="1" applyAlignment="1">
      <alignment horizontal="left" wrapText="1"/>
    </xf>
    <xf numFmtId="0" fontId="17" fillId="2" borderId="5" xfId="0" applyNumberFormat="1" applyFont="1" applyFill="1" applyBorder="1" applyAlignment="1">
      <alignment horizontal="right" vertical="center" wrapText="1"/>
    </xf>
    <xf numFmtId="0" fontId="4" fillId="2" borderId="17" xfId="0" applyNumberFormat="1" applyFont="1" applyFill="1" applyBorder="1" applyAlignment="1">
      <alignment horizontal="center"/>
    </xf>
    <xf numFmtId="0" fontId="4" fillId="2" borderId="5" xfId="0" applyNumberFormat="1" applyFont="1" applyFill="1" applyBorder="1" applyAlignment="1">
      <alignment horizontal="center"/>
    </xf>
    <xf numFmtId="0" fontId="4" fillId="2" borderId="16" xfId="0" applyNumberFormat="1" applyFont="1" applyFill="1" applyBorder="1" applyAlignment="1">
      <alignment horizontal="center"/>
    </xf>
    <xf numFmtId="0" fontId="18" fillId="2" borderId="0" xfId="0" applyFont="1" applyFill="1" applyBorder="1" applyAlignment="1">
      <alignment horizontal="right"/>
    </xf>
    <xf numFmtId="0" fontId="4" fillId="2" borderId="0" xfId="0" applyNumberFormat="1" applyFont="1" applyFill="1" applyBorder="1" applyAlignment="1">
      <alignment horizontal="left" vertical="center" wrapText="1"/>
    </xf>
    <xf numFmtId="3" fontId="4" fillId="2" borderId="0" xfId="0" applyNumberFormat="1" applyFont="1" applyFill="1" applyBorder="1" applyAlignment="1">
      <alignment horizontal="right" vertical="center" wrapText="1"/>
    </xf>
    <xf numFmtId="3" fontId="4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right" vertical="center"/>
    </xf>
    <xf numFmtId="0" fontId="2" fillId="2" borderId="0" xfId="0" applyFont="1" applyFill="1" applyBorder="1"/>
    <xf numFmtId="3" fontId="17" fillId="2" borderId="0" xfId="0" applyNumberFormat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right" vertical="center"/>
    </xf>
    <xf numFmtId="0" fontId="20" fillId="2" borderId="0" xfId="0" applyFont="1" applyFill="1" applyBorder="1"/>
    <xf numFmtId="0" fontId="3" fillId="2" borderId="0" xfId="0" applyFont="1" applyFill="1" applyBorder="1"/>
    <xf numFmtId="0" fontId="6" fillId="2" borderId="0" xfId="0" applyNumberFormat="1" applyFont="1" applyFill="1" applyBorder="1" applyAlignment="1">
      <alignment horizontal="left" vertical="center" wrapText="1"/>
    </xf>
    <xf numFmtId="3" fontId="11" fillId="2" borderId="0" xfId="0" applyNumberFormat="1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right" vertical="center" wrapText="1"/>
    </xf>
    <xf numFmtId="0" fontId="22" fillId="2" borderId="0" xfId="0" applyNumberFormat="1" applyFont="1" applyFill="1" applyBorder="1" applyAlignment="1" applyProtection="1">
      <alignment horizontal="left" vertical="center" wrapText="1"/>
    </xf>
    <xf numFmtId="0" fontId="13" fillId="2" borderId="0" xfId="0" applyNumberFormat="1" applyFont="1" applyFill="1" applyBorder="1" applyAlignment="1">
      <alignment vertical="center" wrapText="1"/>
    </xf>
    <xf numFmtId="3" fontId="0" fillId="2" borderId="0" xfId="0" applyNumberFormat="1" applyFill="1" applyBorder="1"/>
    <xf numFmtId="3" fontId="3" fillId="2" borderId="0" xfId="0" applyNumberFormat="1" applyFont="1" applyFill="1" applyBorder="1"/>
    <xf numFmtId="3" fontId="17" fillId="2" borderId="0" xfId="0" applyNumberFormat="1" applyFont="1" applyFill="1" applyBorder="1" applyAlignment="1">
      <alignment horizontal="right" vertical="center"/>
    </xf>
    <xf numFmtId="3" fontId="17" fillId="2" borderId="19" xfId="0" applyNumberFormat="1" applyFont="1" applyFill="1" applyBorder="1" applyAlignment="1">
      <alignment horizontal="right" vertical="center"/>
    </xf>
    <xf numFmtId="3" fontId="17" fillId="2" borderId="20" xfId="0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left"/>
    </xf>
    <xf numFmtId="0" fontId="25" fillId="2" borderId="0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vertical="center" wrapText="1"/>
    </xf>
    <xf numFmtId="0" fontId="0" fillId="2" borderId="0" xfId="0" applyFill="1" applyBorder="1" applyAlignment="1"/>
    <xf numFmtId="0" fontId="25" fillId="2" borderId="21" xfId="0" applyFont="1" applyFill="1" applyBorder="1" applyAlignment="1">
      <alignment horizontal="center" vertical="center" wrapText="1"/>
    </xf>
    <xf numFmtId="0" fontId="4" fillId="2" borderId="8" xfId="0" applyNumberFormat="1" applyFont="1" applyFill="1" applyBorder="1" applyAlignment="1">
      <alignment horizontal="center" vertical="center"/>
    </xf>
    <xf numFmtId="0" fontId="11" fillId="2" borderId="13" xfId="0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right" vertical="center"/>
    </xf>
    <xf numFmtId="0" fontId="26" fillId="2" borderId="6" xfId="0" applyFont="1" applyFill="1" applyBorder="1" applyAlignment="1">
      <alignment horizontal="right" vertical="center" indent="1"/>
    </xf>
    <xf numFmtId="0" fontId="26" fillId="2" borderId="1" xfId="0" applyFont="1" applyFill="1" applyBorder="1" applyAlignment="1">
      <alignment horizontal="right" vertical="center" indent="1"/>
    </xf>
    <xf numFmtId="3" fontId="6" fillId="2" borderId="0" xfId="0" applyNumberFormat="1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left"/>
    </xf>
    <xf numFmtId="0" fontId="4" fillId="2" borderId="5" xfId="0" applyNumberFormat="1" applyFont="1" applyFill="1" applyBorder="1" applyAlignment="1">
      <alignment horizontal="left" vertical="center" wrapText="1"/>
    </xf>
    <xf numFmtId="3" fontId="6" fillId="2" borderId="5" xfId="0" applyNumberFormat="1" applyFont="1" applyFill="1" applyBorder="1" applyAlignment="1">
      <alignment horizontal="right" vertical="center" wrapText="1"/>
    </xf>
    <xf numFmtId="3" fontId="4" fillId="2" borderId="5" xfId="0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right" vertical="center"/>
    </xf>
    <xf numFmtId="0" fontId="20" fillId="2" borderId="5" xfId="0" applyFont="1" applyFill="1" applyBorder="1"/>
    <xf numFmtId="3" fontId="6" fillId="2" borderId="19" xfId="0" applyNumberFormat="1" applyFont="1" applyFill="1" applyBorder="1" applyAlignment="1">
      <alignment horizontal="right" vertical="center" wrapText="1"/>
    </xf>
    <xf numFmtId="3" fontId="6" fillId="2" borderId="20" xfId="0" applyNumberFormat="1" applyFont="1" applyFill="1" applyBorder="1" applyAlignment="1">
      <alignment horizontal="right" vertical="center" wrapText="1"/>
    </xf>
    <xf numFmtId="3" fontId="4" fillId="2" borderId="19" xfId="0" applyNumberFormat="1" applyFont="1" applyFill="1" applyBorder="1" applyAlignment="1">
      <alignment horizontal="right" vertical="center" wrapText="1"/>
    </xf>
    <xf numFmtId="3" fontId="4" fillId="2" borderId="20" xfId="0" applyNumberFormat="1" applyFont="1" applyFill="1" applyBorder="1" applyAlignment="1">
      <alignment horizontal="right" vertical="center" wrapText="1"/>
    </xf>
    <xf numFmtId="3" fontId="6" fillId="2" borderId="17" xfId="0" applyNumberFormat="1" applyFont="1" applyFill="1" applyBorder="1" applyAlignment="1">
      <alignment horizontal="right" vertical="center" wrapText="1"/>
    </xf>
    <xf numFmtId="3" fontId="6" fillId="2" borderId="16" xfId="0" applyNumberFormat="1" applyFont="1" applyFill="1" applyBorder="1" applyAlignment="1">
      <alignment horizontal="right" vertical="center" wrapText="1"/>
    </xf>
    <xf numFmtId="3" fontId="4" fillId="2" borderId="19" xfId="0" applyNumberFormat="1" applyFont="1" applyFill="1" applyBorder="1" applyAlignment="1">
      <alignment horizontal="right" vertical="center"/>
    </xf>
    <xf numFmtId="0" fontId="27" fillId="2" borderId="1" xfId="0" applyFont="1" applyFill="1" applyBorder="1" applyAlignment="1">
      <alignment horizontal="right" vertical="center"/>
    </xf>
    <xf numFmtId="0" fontId="10" fillId="2" borderId="0" xfId="0" applyNumberFormat="1" applyFont="1" applyFill="1" applyBorder="1" applyAlignment="1">
      <alignment horizontal="left" vertical="center"/>
    </xf>
    <xf numFmtId="0" fontId="10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/>
    <xf numFmtId="0" fontId="0" fillId="2" borderId="0" xfId="0" applyFont="1" applyFill="1" applyBorder="1" applyAlignment="1"/>
    <xf numFmtId="0" fontId="0" fillId="2" borderId="0" xfId="0" applyFont="1" applyFill="1" applyBorder="1" applyAlignment="1">
      <alignment wrapText="1"/>
    </xf>
    <xf numFmtId="0" fontId="14" fillId="2" borderId="0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7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right" vertical="center"/>
    </xf>
    <xf numFmtId="0" fontId="16" fillId="2" borderId="1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 vertical="center"/>
    </xf>
    <xf numFmtId="0" fontId="16" fillId="2" borderId="15" xfId="0" applyFont="1" applyFill="1" applyBorder="1" applyAlignment="1">
      <alignment horizontal="right" vertical="center"/>
    </xf>
    <xf numFmtId="0" fontId="16" fillId="2" borderId="5" xfId="0" applyFont="1" applyFill="1" applyBorder="1" applyAlignment="1">
      <alignment horizontal="right" vertical="center"/>
    </xf>
    <xf numFmtId="0" fontId="16" fillId="2" borderId="18" xfId="0" applyFont="1" applyFill="1" applyBorder="1" applyAlignment="1">
      <alignment horizontal="right" vertical="center"/>
    </xf>
    <xf numFmtId="0" fontId="4" fillId="2" borderId="12" xfId="0" applyNumberFormat="1" applyFont="1" applyFill="1" applyBorder="1" applyAlignment="1">
      <alignment horizontal="center" vertical="center" wrapText="1"/>
    </xf>
    <xf numFmtId="0" fontId="4" fillId="2" borderId="13" xfId="0" applyNumberFormat="1" applyFont="1" applyFill="1" applyBorder="1" applyAlignment="1">
      <alignment horizontal="center" vertical="center" wrapText="1"/>
    </xf>
    <xf numFmtId="0" fontId="4" fillId="2" borderId="13" xfId="0" applyNumberFormat="1" applyFont="1" applyFill="1" applyBorder="1" applyAlignment="1">
      <alignment horizontal="center" vertical="center"/>
    </xf>
    <xf numFmtId="0" fontId="11" fillId="2" borderId="14" xfId="0" applyNumberFormat="1" applyFont="1" applyFill="1" applyBorder="1" applyAlignment="1">
      <alignment vertical="center"/>
    </xf>
    <xf numFmtId="0" fontId="11" fillId="2" borderId="13" xfId="0" applyNumberFormat="1" applyFont="1" applyFill="1" applyBorder="1" applyAlignment="1">
      <alignment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5" fillId="2" borderId="25" xfId="0" applyFont="1" applyFill="1" applyBorder="1" applyAlignment="1">
      <alignment horizontal="center" vertical="center" wrapText="1"/>
    </xf>
    <xf numFmtId="0" fontId="25" fillId="2" borderId="23" xfId="0" applyFont="1" applyFill="1" applyBorder="1" applyAlignment="1">
      <alignment horizontal="center" vertical="center" wrapText="1"/>
    </xf>
    <xf numFmtId="0" fontId="25" fillId="2" borderId="24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</cellXfs>
  <cellStyles count="8"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996633"/>
      <color rgb="FFECD9C6"/>
      <color rgb="FFE1C2A3"/>
      <color rgb="FFF9F3ED"/>
      <color rgb="FF81562B"/>
      <color rgb="FFB3773B"/>
      <color rgb="FFD7AE85"/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96095078446874"/>
          <c:y val="0.16015327356900413"/>
          <c:w val="0.57482897454899173"/>
          <c:h val="0.77433998995589837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explosion val="2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579-44F5-97A1-D7010ECAD95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'6.2'!$AD$7:$AE$7</c:f>
              <c:strCache>
                <c:ptCount val="2"/>
                <c:pt idx="0">
                  <c:v>Expatriates</c:v>
                </c:pt>
                <c:pt idx="1">
                  <c:v>Locals</c:v>
                </c:pt>
              </c:strCache>
            </c:strRef>
          </c:cat>
          <c:val>
            <c:numRef>
              <c:f>'6.2'!$AD$8:$AE$8</c:f>
              <c:numCache>
                <c:formatCode>#,##0</c:formatCode>
                <c:ptCount val="2"/>
                <c:pt idx="0">
                  <c:v>2298</c:v>
                </c:pt>
                <c:pt idx="1">
                  <c:v>2871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579-44F5-97A1-D7010ECAD95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96095078446874"/>
          <c:y val="0.16015327356900413"/>
          <c:w val="0.57482897454899173"/>
          <c:h val="0.77433998995589837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explosion val="2"/>
          <c:dPt>
            <c:idx val="0"/>
            <c:bubble3D val="0"/>
            <c:spPr>
              <a:solidFill>
                <a:srgbClr val="ECD9C6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074-4050-B7FF-51DA3462971B}"/>
              </c:ext>
            </c:extLst>
          </c:dPt>
          <c:dPt>
            <c:idx val="1"/>
            <c:bubble3D val="0"/>
            <c:spPr>
              <a:solidFill>
                <a:srgbClr val="996633"/>
              </a:solidFill>
            </c:spPr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'6.2'!$AD$7:$AE$7</c:f>
              <c:strCache>
                <c:ptCount val="2"/>
                <c:pt idx="0">
                  <c:v>Expatriates</c:v>
                </c:pt>
                <c:pt idx="1">
                  <c:v>Locals</c:v>
                </c:pt>
              </c:strCache>
            </c:strRef>
          </c:cat>
          <c:val>
            <c:numRef>
              <c:f>'6.2'!$AD$8:$AE$8</c:f>
              <c:numCache>
                <c:formatCode>#,##0</c:formatCode>
                <c:ptCount val="2"/>
                <c:pt idx="0">
                  <c:v>2298</c:v>
                </c:pt>
                <c:pt idx="1">
                  <c:v>2871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074-4050-B7FF-51DA3462971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effectLst/>
              </a:rPr>
              <a:t>Figure 6.5: Number of </a:t>
            </a:r>
            <a:r>
              <a:rPr lang="en-US" sz="1200" b="1" baseline="0">
                <a:solidFill>
                  <a:schemeClr val="tx1"/>
                </a:solidFill>
                <a:effectLst/>
              </a:rPr>
              <a:t> health personnel by type, 2018</a:t>
            </a:r>
            <a:endParaRPr lang="en-US" sz="1200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37292843779300294"/>
          <c:y val="3.40321753055224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30535387912475"/>
          <c:y val="0.12282409784916216"/>
          <c:w val="0.69904352322203478"/>
          <c:h val="0.7968901283172936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81562B"/>
            </a:solidFill>
            <a:ln>
              <a:noFill/>
            </a:ln>
            <a:effectLst/>
          </c:spPr>
          <c:invertIfNegative val="0"/>
          <c:cat>
            <c:strRef>
              <c:f>'6.2'!$AN$27:$AN$31</c:f>
              <c:strCache>
                <c:ptCount val="5"/>
                <c:pt idx="0">
                  <c:v>Nurses</c:v>
                </c:pt>
                <c:pt idx="1">
                  <c:v>Doctors</c:v>
                </c:pt>
                <c:pt idx="2">
                  <c:v>Allied Health Staff</c:v>
                </c:pt>
                <c:pt idx="3">
                  <c:v>Community Health Personnel</c:v>
                </c:pt>
                <c:pt idx="4">
                  <c:v>Traditional Birth Attendant (Foolhuma)</c:v>
                </c:pt>
              </c:strCache>
            </c:strRef>
          </c:cat>
          <c:val>
            <c:numRef>
              <c:f>'6.2'!$AO$27:$AO$31</c:f>
              <c:numCache>
                <c:formatCode>General</c:formatCode>
                <c:ptCount val="5"/>
                <c:pt idx="0">
                  <c:v>2913</c:v>
                </c:pt>
                <c:pt idx="1">
                  <c:v>1194</c:v>
                </c:pt>
                <c:pt idx="2">
                  <c:v>590</c:v>
                </c:pt>
                <c:pt idx="3">
                  <c:v>433</c:v>
                </c:pt>
                <c:pt idx="4">
                  <c:v>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40-4BF8-AEA1-B6D64958F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8188480"/>
        <c:axId val="158188864"/>
      </c:barChart>
      <c:dateAx>
        <c:axId val="15818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88864"/>
        <c:crosses val="autoZero"/>
        <c:auto val="0"/>
        <c:lblOffset val="100"/>
        <c:baseTimeUnit val="days"/>
      </c:dateAx>
      <c:valAx>
        <c:axId val="158188864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rgbClr val="E1C2A3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88480"/>
        <c:crosses val="autoZero"/>
        <c:crossBetween val="between"/>
      </c:valAx>
      <c:spPr>
        <a:solidFill>
          <a:srgbClr val="F9F3ED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276548888914969E-2"/>
          <c:y val="0.15347704865039599"/>
          <c:w val="0.93871141107361578"/>
          <c:h val="0.443144407582301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'6.2'!$AR$8</c:f>
              <c:strCache>
                <c:ptCount val="1"/>
                <c:pt idx="0">
                  <c:v>Expatriates</c:v>
                </c:pt>
              </c:strCache>
            </c:strRef>
          </c:tx>
          <c:spPr>
            <a:solidFill>
              <a:srgbClr val="ECD9C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'6.2'!$AS$6:$BB$7</c15:sqref>
                  </c15:fullRef>
                </c:ext>
              </c:extLst>
              <c:f>'6.2'!$AS$6:$BB$7</c:f>
              <c:multiLvlStrCache>
                <c:ptCount val="9"/>
                <c:lvl>
                  <c:pt idx="1">
                    <c:v>Total</c:v>
                  </c:pt>
                  <c:pt idx="2">
                    <c:v>General duty doctors</c:v>
                  </c:pt>
                  <c:pt idx="3">
                    <c:v>Specialists</c:v>
                  </c:pt>
                  <c:pt idx="5">
                    <c:v>Total</c:v>
                  </c:pt>
                  <c:pt idx="6">
                    <c:v>Community Health Workers</c:v>
                  </c:pt>
                  <c:pt idx="7">
                    <c:v>Family Health Workers</c:v>
                  </c:pt>
                </c:lvl>
                <c:lvl>
                  <c:pt idx="0">
                    <c:v>Nurses</c:v>
                  </c:pt>
                  <c:pt idx="1">
                    <c:v>Doctors</c:v>
                  </c:pt>
                  <c:pt idx="4">
                    <c:v>Allied Health Staff</c:v>
                  </c:pt>
                  <c:pt idx="5">
                    <c:v>Community Health Personnel</c:v>
                  </c:pt>
                  <c:pt idx="8">
                    <c:v>Traditional Birth Attendant (Foolhuma)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'6.2'!$AS$8:$BB$8</c15:sqref>
                  </c15:fullRef>
                </c:ext>
              </c:extLst>
              <c:f>'6.2'!$AS$8:$BA$8</c:f>
              <c:numCache>
                <c:formatCode>General</c:formatCode>
                <c:ptCount val="9"/>
                <c:pt idx="0">
                  <c:v>1228</c:v>
                </c:pt>
                <c:pt idx="1">
                  <c:v>765</c:v>
                </c:pt>
                <c:pt idx="2">
                  <c:v>433</c:v>
                </c:pt>
                <c:pt idx="3">
                  <c:v>332</c:v>
                </c:pt>
                <c:pt idx="4">
                  <c:v>305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159-4154-8CAE-78DD475351EF}"/>
            </c:ext>
          </c:extLst>
        </c:ser>
        <c:ser>
          <c:idx val="1"/>
          <c:order val="1"/>
          <c:tx>
            <c:strRef>
              <c:f>'6.2'!$AR$9</c:f>
              <c:strCache>
                <c:ptCount val="1"/>
                <c:pt idx="0">
                  <c:v>Locals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'6.2'!$AS$6:$BB$7</c15:sqref>
                  </c15:fullRef>
                </c:ext>
              </c:extLst>
              <c:f>'6.2'!$AS$6:$BB$7</c:f>
              <c:multiLvlStrCache>
                <c:ptCount val="9"/>
                <c:lvl>
                  <c:pt idx="1">
                    <c:v>Total</c:v>
                  </c:pt>
                  <c:pt idx="2">
                    <c:v>General duty doctors</c:v>
                  </c:pt>
                  <c:pt idx="3">
                    <c:v>Specialists</c:v>
                  </c:pt>
                  <c:pt idx="5">
                    <c:v>Total</c:v>
                  </c:pt>
                  <c:pt idx="6">
                    <c:v>Community Health Workers</c:v>
                  </c:pt>
                  <c:pt idx="7">
                    <c:v>Family Health Workers</c:v>
                  </c:pt>
                </c:lvl>
                <c:lvl>
                  <c:pt idx="0">
                    <c:v>Nurses</c:v>
                  </c:pt>
                  <c:pt idx="1">
                    <c:v>Doctors</c:v>
                  </c:pt>
                  <c:pt idx="4">
                    <c:v>Allied Health Staff</c:v>
                  </c:pt>
                  <c:pt idx="5">
                    <c:v>Community Health Personnel</c:v>
                  </c:pt>
                  <c:pt idx="8">
                    <c:v>Traditional Birth Attendant (Foolhuma)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'6.2'!$AS$9:$BB$9</c15:sqref>
                  </c15:fullRef>
                </c:ext>
              </c:extLst>
              <c:f>'6.2'!$AS$9:$BA$9</c:f>
              <c:numCache>
                <c:formatCode>General</c:formatCode>
                <c:ptCount val="9"/>
                <c:pt idx="0">
                  <c:v>1685</c:v>
                </c:pt>
                <c:pt idx="1">
                  <c:v>429</c:v>
                </c:pt>
                <c:pt idx="2">
                  <c:v>254</c:v>
                </c:pt>
                <c:pt idx="3">
                  <c:v>175</c:v>
                </c:pt>
                <c:pt idx="4">
                  <c:v>285</c:v>
                </c:pt>
                <c:pt idx="5">
                  <c:v>433</c:v>
                </c:pt>
                <c:pt idx="6">
                  <c:v>210</c:v>
                </c:pt>
                <c:pt idx="7">
                  <c:v>223</c:v>
                </c:pt>
                <c:pt idx="8">
                  <c:v>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159-4154-8CAE-78DD47535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8186408"/>
        <c:axId val="158182880"/>
      </c:barChart>
      <c:catAx>
        <c:axId val="15818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82880"/>
        <c:crosses val="autoZero"/>
        <c:auto val="1"/>
        <c:lblAlgn val="ctr"/>
        <c:lblOffset val="100"/>
        <c:noMultiLvlLbl val="0"/>
      </c:catAx>
      <c:valAx>
        <c:axId val="158182880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86408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1117581354962207"/>
          <c:y val="0.25701066752868923"/>
          <c:w val="0.2546880587295009"/>
          <c:h val="8.1448500888960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23</xdr:row>
      <xdr:rowOff>114300</xdr:rowOff>
    </xdr:from>
    <xdr:to>
      <xdr:col>4</xdr:col>
      <xdr:colOff>114300</xdr:colOff>
      <xdr:row>37</xdr:row>
      <xdr:rowOff>133351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114299</xdr:colOff>
      <xdr:row>23</xdr:row>
      <xdr:rowOff>114300</xdr:rowOff>
    </xdr:from>
    <xdr:to>
      <xdr:col>5</xdr:col>
      <xdr:colOff>95250</xdr:colOff>
      <xdr:row>37</xdr:row>
      <xdr:rowOff>133351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1637516</xdr:colOff>
      <xdr:row>39</xdr:row>
      <xdr:rowOff>139040</xdr:rowOff>
    </xdr:from>
    <xdr:to>
      <xdr:col>11</xdr:col>
      <xdr:colOff>112981</xdr:colOff>
      <xdr:row>57</xdr:row>
      <xdr:rowOff>95307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288082</xdr:colOff>
      <xdr:row>23</xdr:row>
      <xdr:rowOff>123825</xdr:rowOff>
    </xdr:from>
    <xdr:to>
      <xdr:col>14</xdr:col>
      <xdr:colOff>2202607</xdr:colOff>
      <xdr:row>37</xdr:row>
      <xdr:rowOff>142876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600074</xdr:colOff>
      <xdr:row>23</xdr:row>
      <xdr:rowOff>209055</xdr:rowOff>
    </xdr:from>
    <xdr:to>
      <xdr:col>14</xdr:col>
      <xdr:colOff>2000249</xdr:colOff>
      <xdr:row>25</xdr:row>
      <xdr:rowOff>62929</xdr:rowOff>
    </xdr:to>
    <xdr:sp macro="" textlink="">
      <xdr:nvSpPr>
        <xdr:cNvPr id="7" name="TextBox 6"/>
        <xdr:cNvSpPr txBox="1"/>
      </xdr:nvSpPr>
      <xdr:spPr>
        <a:xfrm>
          <a:off x="5876924" y="6819405"/>
          <a:ext cx="5876925" cy="292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6.4: Percentage of</a:t>
          </a:r>
          <a:r>
            <a:rPr lang="en-US" sz="105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local and expatriate health personnel by type, 201</a:t>
          </a:r>
          <a:r>
            <a:rPr lang="dv-MV" sz="105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9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>
          <a:endParaRPr lang="en-US" sz="105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0.14713</cdr:x>
      <cdr:y>0.02024</cdr:y>
    </cdr:from>
    <cdr:to>
      <cdr:x>0.95663</cdr:x>
      <cdr:y>0.17526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49356" y="56091"/>
          <a:ext cx="3022520" cy="4296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Consolas" pitchFamily="49" charset="0"/>
              <a:ea typeface="+mn-ea"/>
              <a:cs typeface="Consolas" pitchFamily="49" charset="0"/>
            </a:rPr>
            <a:t>Figure 6.3: Percenatge of Local and Expatriate health personnel, 2018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0.14713</cdr:x>
      <cdr:y>0.02024</cdr:y>
    </cdr:from>
    <cdr:to>
      <cdr:x>0.95663</cdr:x>
      <cdr:y>0.17526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49356" y="56091"/>
          <a:ext cx="3022520" cy="4296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effectLst/>
              <a:latin typeface="Consolas" pitchFamily="49" charset="0"/>
              <a:ea typeface="+mn-ea"/>
              <a:cs typeface="Consolas" pitchFamily="49" charset="0"/>
            </a:rPr>
            <a:t>Figure 6.3: Percenatge of Local and Expatriate health personnel, 201</a:t>
          </a:r>
          <a:r>
            <a:rPr lang="dv-MV" sz="1000" b="1">
              <a:effectLst/>
              <a:latin typeface="Consolas" pitchFamily="49" charset="0"/>
              <a:ea typeface="+mn-ea"/>
              <a:cs typeface="Consolas" pitchFamily="49" charset="0"/>
            </a:rPr>
            <a:t>9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Health%20-%20Police%20new%20to%20m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C44"/>
  <sheetViews>
    <sheetView tabSelected="1" view="pageBreakPreview" zoomScale="84" zoomScaleNormal="98" zoomScaleSheetLayoutView="84" workbookViewId="0">
      <selection activeCell="R15" sqref="R15"/>
    </sheetView>
  </sheetViews>
  <sheetFormatPr defaultRowHeight="15"/>
  <cols>
    <col min="1" max="1" width="36.5703125" style="6" customWidth="1"/>
    <col min="2" max="4" width="11.140625" style="6" customWidth="1"/>
    <col min="5" max="10" width="9.140625" style="6"/>
    <col min="11" max="11" width="2.140625" style="6" customWidth="1"/>
    <col min="12" max="12" width="9.140625" style="6"/>
    <col min="13" max="13" width="10.140625" style="6" customWidth="1"/>
    <col min="14" max="14" width="26" style="6" hidden="1" customWidth="1"/>
    <col min="15" max="15" width="33.85546875" style="6" customWidth="1"/>
    <col min="16" max="16" width="5.7109375" style="6" customWidth="1"/>
    <col min="17" max="43" width="9.140625" style="6"/>
    <col min="44" max="55" width="6.7109375" style="6" customWidth="1"/>
    <col min="56" max="245" width="9.140625" style="6"/>
    <col min="246" max="246" width="31" style="6" customWidth="1"/>
    <col min="247" max="252" width="9.140625" style="6"/>
    <col min="253" max="253" width="3.5703125" style="6" customWidth="1"/>
    <col min="254" max="255" width="9.140625" style="6"/>
    <col min="256" max="256" width="0" style="6" hidden="1" customWidth="1"/>
    <col min="257" max="501" width="9.140625" style="6"/>
    <col min="502" max="502" width="31" style="6" customWidth="1"/>
    <col min="503" max="508" width="9.140625" style="6"/>
    <col min="509" max="509" width="3.5703125" style="6" customWidth="1"/>
    <col min="510" max="511" width="9.140625" style="6"/>
    <col min="512" max="512" width="0" style="6" hidden="1" customWidth="1"/>
    <col min="513" max="757" width="9.140625" style="6"/>
    <col min="758" max="758" width="31" style="6" customWidth="1"/>
    <col min="759" max="764" width="9.140625" style="6"/>
    <col min="765" max="765" width="3.5703125" style="6" customWidth="1"/>
    <col min="766" max="767" width="9.140625" style="6"/>
    <col min="768" max="768" width="0" style="6" hidden="1" customWidth="1"/>
    <col min="769" max="1013" width="9.140625" style="6"/>
    <col min="1014" max="1014" width="31" style="6" customWidth="1"/>
    <col min="1015" max="1020" width="9.140625" style="6"/>
    <col min="1021" max="1021" width="3.5703125" style="6" customWidth="1"/>
    <col min="1022" max="1023" width="9.140625" style="6"/>
    <col min="1024" max="1024" width="0" style="6" hidden="1" customWidth="1"/>
    <col min="1025" max="1269" width="9.140625" style="6"/>
    <col min="1270" max="1270" width="31" style="6" customWidth="1"/>
    <col min="1271" max="1276" width="9.140625" style="6"/>
    <col min="1277" max="1277" width="3.5703125" style="6" customWidth="1"/>
    <col min="1278" max="1279" width="9.140625" style="6"/>
    <col min="1280" max="1280" width="0" style="6" hidden="1" customWidth="1"/>
    <col min="1281" max="1525" width="9.140625" style="6"/>
    <col min="1526" max="1526" width="31" style="6" customWidth="1"/>
    <col min="1527" max="1532" width="9.140625" style="6"/>
    <col min="1533" max="1533" width="3.5703125" style="6" customWidth="1"/>
    <col min="1534" max="1535" width="9.140625" style="6"/>
    <col min="1536" max="1536" width="0" style="6" hidden="1" customWidth="1"/>
    <col min="1537" max="1781" width="9.140625" style="6"/>
    <col min="1782" max="1782" width="31" style="6" customWidth="1"/>
    <col min="1783" max="1788" width="9.140625" style="6"/>
    <col min="1789" max="1789" width="3.5703125" style="6" customWidth="1"/>
    <col min="1790" max="1791" width="9.140625" style="6"/>
    <col min="1792" max="1792" width="0" style="6" hidden="1" customWidth="1"/>
    <col min="1793" max="2037" width="9.140625" style="6"/>
    <col min="2038" max="2038" width="31" style="6" customWidth="1"/>
    <col min="2039" max="2044" width="9.140625" style="6"/>
    <col min="2045" max="2045" width="3.5703125" style="6" customWidth="1"/>
    <col min="2046" max="2047" width="9.140625" style="6"/>
    <col min="2048" max="2048" width="0" style="6" hidden="1" customWidth="1"/>
    <col min="2049" max="2293" width="9.140625" style="6"/>
    <col min="2294" max="2294" width="31" style="6" customWidth="1"/>
    <col min="2295" max="2300" width="9.140625" style="6"/>
    <col min="2301" max="2301" width="3.5703125" style="6" customWidth="1"/>
    <col min="2302" max="2303" width="9.140625" style="6"/>
    <col min="2304" max="2304" width="0" style="6" hidden="1" customWidth="1"/>
    <col min="2305" max="2549" width="9.140625" style="6"/>
    <col min="2550" max="2550" width="31" style="6" customWidth="1"/>
    <col min="2551" max="2556" width="9.140625" style="6"/>
    <col min="2557" max="2557" width="3.5703125" style="6" customWidth="1"/>
    <col min="2558" max="2559" width="9.140625" style="6"/>
    <col min="2560" max="2560" width="0" style="6" hidden="1" customWidth="1"/>
    <col min="2561" max="2805" width="9.140625" style="6"/>
    <col min="2806" max="2806" width="31" style="6" customWidth="1"/>
    <col min="2807" max="2812" width="9.140625" style="6"/>
    <col min="2813" max="2813" width="3.5703125" style="6" customWidth="1"/>
    <col min="2814" max="2815" width="9.140625" style="6"/>
    <col min="2816" max="2816" width="0" style="6" hidden="1" customWidth="1"/>
    <col min="2817" max="3061" width="9.140625" style="6"/>
    <col min="3062" max="3062" width="31" style="6" customWidth="1"/>
    <col min="3063" max="3068" width="9.140625" style="6"/>
    <col min="3069" max="3069" width="3.5703125" style="6" customWidth="1"/>
    <col min="3070" max="3071" width="9.140625" style="6"/>
    <col min="3072" max="3072" width="0" style="6" hidden="1" customWidth="1"/>
    <col min="3073" max="3317" width="9.140625" style="6"/>
    <col min="3318" max="3318" width="31" style="6" customWidth="1"/>
    <col min="3319" max="3324" width="9.140625" style="6"/>
    <col min="3325" max="3325" width="3.5703125" style="6" customWidth="1"/>
    <col min="3326" max="3327" width="9.140625" style="6"/>
    <col min="3328" max="3328" width="0" style="6" hidden="1" customWidth="1"/>
    <col min="3329" max="3573" width="9.140625" style="6"/>
    <col min="3574" max="3574" width="31" style="6" customWidth="1"/>
    <col min="3575" max="3580" width="9.140625" style="6"/>
    <col min="3581" max="3581" width="3.5703125" style="6" customWidth="1"/>
    <col min="3582" max="3583" width="9.140625" style="6"/>
    <col min="3584" max="3584" width="0" style="6" hidden="1" customWidth="1"/>
    <col min="3585" max="3829" width="9.140625" style="6"/>
    <col min="3830" max="3830" width="31" style="6" customWidth="1"/>
    <col min="3831" max="3836" width="9.140625" style="6"/>
    <col min="3837" max="3837" width="3.5703125" style="6" customWidth="1"/>
    <col min="3838" max="3839" width="9.140625" style="6"/>
    <col min="3840" max="3840" width="0" style="6" hidden="1" customWidth="1"/>
    <col min="3841" max="4085" width="9.140625" style="6"/>
    <col min="4086" max="4086" width="31" style="6" customWidth="1"/>
    <col min="4087" max="4092" width="9.140625" style="6"/>
    <col min="4093" max="4093" width="3.5703125" style="6" customWidth="1"/>
    <col min="4094" max="4095" width="9.140625" style="6"/>
    <col min="4096" max="4096" width="0" style="6" hidden="1" customWidth="1"/>
    <col min="4097" max="4341" width="9.140625" style="6"/>
    <col min="4342" max="4342" width="31" style="6" customWidth="1"/>
    <col min="4343" max="4348" width="9.140625" style="6"/>
    <col min="4349" max="4349" width="3.5703125" style="6" customWidth="1"/>
    <col min="4350" max="4351" width="9.140625" style="6"/>
    <col min="4352" max="4352" width="0" style="6" hidden="1" customWidth="1"/>
    <col min="4353" max="4597" width="9.140625" style="6"/>
    <col min="4598" max="4598" width="31" style="6" customWidth="1"/>
    <col min="4599" max="4604" width="9.140625" style="6"/>
    <col min="4605" max="4605" width="3.5703125" style="6" customWidth="1"/>
    <col min="4606" max="4607" width="9.140625" style="6"/>
    <col min="4608" max="4608" width="0" style="6" hidden="1" customWidth="1"/>
    <col min="4609" max="4853" width="9.140625" style="6"/>
    <col min="4854" max="4854" width="31" style="6" customWidth="1"/>
    <col min="4855" max="4860" width="9.140625" style="6"/>
    <col min="4861" max="4861" width="3.5703125" style="6" customWidth="1"/>
    <col min="4862" max="4863" width="9.140625" style="6"/>
    <col min="4864" max="4864" width="0" style="6" hidden="1" customWidth="1"/>
    <col min="4865" max="5109" width="9.140625" style="6"/>
    <col min="5110" max="5110" width="31" style="6" customWidth="1"/>
    <col min="5111" max="5116" width="9.140625" style="6"/>
    <col min="5117" max="5117" width="3.5703125" style="6" customWidth="1"/>
    <col min="5118" max="5119" width="9.140625" style="6"/>
    <col min="5120" max="5120" width="0" style="6" hidden="1" customWidth="1"/>
    <col min="5121" max="5365" width="9.140625" style="6"/>
    <col min="5366" max="5366" width="31" style="6" customWidth="1"/>
    <col min="5367" max="5372" width="9.140625" style="6"/>
    <col min="5373" max="5373" width="3.5703125" style="6" customWidth="1"/>
    <col min="5374" max="5375" width="9.140625" style="6"/>
    <col min="5376" max="5376" width="0" style="6" hidden="1" customWidth="1"/>
    <col min="5377" max="5621" width="9.140625" style="6"/>
    <col min="5622" max="5622" width="31" style="6" customWidth="1"/>
    <col min="5623" max="5628" width="9.140625" style="6"/>
    <col min="5629" max="5629" width="3.5703125" style="6" customWidth="1"/>
    <col min="5630" max="5631" width="9.140625" style="6"/>
    <col min="5632" max="5632" width="0" style="6" hidden="1" customWidth="1"/>
    <col min="5633" max="5877" width="9.140625" style="6"/>
    <col min="5878" max="5878" width="31" style="6" customWidth="1"/>
    <col min="5879" max="5884" width="9.140625" style="6"/>
    <col min="5885" max="5885" width="3.5703125" style="6" customWidth="1"/>
    <col min="5886" max="5887" width="9.140625" style="6"/>
    <col min="5888" max="5888" width="0" style="6" hidden="1" customWidth="1"/>
    <col min="5889" max="6133" width="9.140625" style="6"/>
    <col min="6134" max="6134" width="31" style="6" customWidth="1"/>
    <col min="6135" max="6140" width="9.140625" style="6"/>
    <col min="6141" max="6141" width="3.5703125" style="6" customWidth="1"/>
    <col min="6142" max="6143" width="9.140625" style="6"/>
    <col min="6144" max="6144" width="0" style="6" hidden="1" customWidth="1"/>
    <col min="6145" max="6389" width="9.140625" style="6"/>
    <col min="6390" max="6390" width="31" style="6" customWidth="1"/>
    <col min="6391" max="6396" width="9.140625" style="6"/>
    <col min="6397" max="6397" width="3.5703125" style="6" customWidth="1"/>
    <col min="6398" max="6399" width="9.140625" style="6"/>
    <col min="6400" max="6400" width="0" style="6" hidden="1" customWidth="1"/>
    <col min="6401" max="6645" width="9.140625" style="6"/>
    <col min="6646" max="6646" width="31" style="6" customWidth="1"/>
    <col min="6647" max="6652" width="9.140625" style="6"/>
    <col min="6653" max="6653" width="3.5703125" style="6" customWidth="1"/>
    <col min="6654" max="6655" width="9.140625" style="6"/>
    <col min="6656" max="6656" width="0" style="6" hidden="1" customWidth="1"/>
    <col min="6657" max="6901" width="9.140625" style="6"/>
    <col min="6902" max="6902" width="31" style="6" customWidth="1"/>
    <col min="6903" max="6908" width="9.140625" style="6"/>
    <col min="6909" max="6909" width="3.5703125" style="6" customWidth="1"/>
    <col min="6910" max="6911" width="9.140625" style="6"/>
    <col min="6912" max="6912" width="0" style="6" hidden="1" customWidth="1"/>
    <col min="6913" max="7157" width="9.140625" style="6"/>
    <col min="7158" max="7158" width="31" style="6" customWidth="1"/>
    <col min="7159" max="7164" width="9.140625" style="6"/>
    <col min="7165" max="7165" width="3.5703125" style="6" customWidth="1"/>
    <col min="7166" max="7167" width="9.140625" style="6"/>
    <col min="7168" max="7168" width="0" style="6" hidden="1" customWidth="1"/>
    <col min="7169" max="7413" width="9.140625" style="6"/>
    <col min="7414" max="7414" width="31" style="6" customWidth="1"/>
    <col min="7415" max="7420" width="9.140625" style="6"/>
    <col min="7421" max="7421" width="3.5703125" style="6" customWidth="1"/>
    <col min="7422" max="7423" width="9.140625" style="6"/>
    <col min="7424" max="7424" width="0" style="6" hidden="1" customWidth="1"/>
    <col min="7425" max="7669" width="9.140625" style="6"/>
    <col min="7670" max="7670" width="31" style="6" customWidth="1"/>
    <col min="7671" max="7676" width="9.140625" style="6"/>
    <col min="7677" max="7677" width="3.5703125" style="6" customWidth="1"/>
    <col min="7678" max="7679" width="9.140625" style="6"/>
    <col min="7680" max="7680" width="0" style="6" hidden="1" customWidth="1"/>
    <col min="7681" max="7925" width="9.140625" style="6"/>
    <col min="7926" max="7926" width="31" style="6" customWidth="1"/>
    <col min="7927" max="7932" width="9.140625" style="6"/>
    <col min="7933" max="7933" width="3.5703125" style="6" customWidth="1"/>
    <col min="7934" max="7935" width="9.140625" style="6"/>
    <col min="7936" max="7936" width="0" style="6" hidden="1" customWidth="1"/>
    <col min="7937" max="8181" width="9.140625" style="6"/>
    <col min="8182" max="8182" width="31" style="6" customWidth="1"/>
    <col min="8183" max="8188" width="9.140625" style="6"/>
    <col min="8189" max="8189" width="3.5703125" style="6" customWidth="1"/>
    <col min="8190" max="8191" width="9.140625" style="6"/>
    <col min="8192" max="8192" width="0" style="6" hidden="1" customWidth="1"/>
    <col min="8193" max="8437" width="9.140625" style="6"/>
    <col min="8438" max="8438" width="31" style="6" customWidth="1"/>
    <col min="8439" max="8444" width="9.140625" style="6"/>
    <col min="8445" max="8445" width="3.5703125" style="6" customWidth="1"/>
    <col min="8446" max="8447" width="9.140625" style="6"/>
    <col min="8448" max="8448" width="0" style="6" hidden="1" customWidth="1"/>
    <col min="8449" max="8693" width="9.140625" style="6"/>
    <col min="8694" max="8694" width="31" style="6" customWidth="1"/>
    <col min="8695" max="8700" width="9.140625" style="6"/>
    <col min="8701" max="8701" width="3.5703125" style="6" customWidth="1"/>
    <col min="8702" max="8703" width="9.140625" style="6"/>
    <col min="8704" max="8704" width="0" style="6" hidden="1" customWidth="1"/>
    <col min="8705" max="8949" width="9.140625" style="6"/>
    <col min="8950" max="8950" width="31" style="6" customWidth="1"/>
    <col min="8951" max="8956" width="9.140625" style="6"/>
    <col min="8957" max="8957" width="3.5703125" style="6" customWidth="1"/>
    <col min="8958" max="8959" width="9.140625" style="6"/>
    <col min="8960" max="8960" width="0" style="6" hidden="1" customWidth="1"/>
    <col min="8961" max="9205" width="9.140625" style="6"/>
    <col min="9206" max="9206" width="31" style="6" customWidth="1"/>
    <col min="9207" max="9212" width="9.140625" style="6"/>
    <col min="9213" max="9213" width="3.5703125" style="6" customWidth="1"/>
    <col min="9214" max="9215" width="9.140625" style="6"/>
    <col min="9216" max="9216" width="0" style="6" hidden="1" customWidth="1"/>
    <col min="9217" max="9461" width="9.140625" style="6"/>
    <col min="9462" max="9462" width="31" style="6" customWidth="1"/>
    <col min="9463" max="9468" width="9.140625" style="6"/>
    <col min="9469" max="9469" width="3.5703125" style="6" customWidth="1"/>
    <col min="9470" max="9471" width="9.140625" style="6"/>
    <col min="9472" max="9472" width="0" style="6" hidden="1" customWidth="1"/>
    <col min="9473" max="9717" width="9.140625" style="6"/>
    <col min="9718" max="9718" width="31" style="6" customWidth="1"/>
    <col min="9719" max="9724" width="9.140625" style="6"/>
    <col min="9725" max="9725" width="3.5703125" style="6" customWidth="1"/>
    <col min="9726" max="9727" width="9.140625" style="6"/>
    <col min="9728" max="9728" width="0" style="6" hidden="1" customWidth="1"/>
    <col min="9729" max="9973" width="9.140625" style="6"/>
    <col min="9974" max="9974" width="31" style="6" customWidth="1"/>
    <col min="9975" max="9980" width="9.140625" style="6"/>
    <col min="9981" max="9981" width="3.5703125" style="6" customWidth="1"/>
    <col min="9982" max="9983" width="9.140625" style="6"/>
    <col min="9984" max="9984" width="0" style="6" hidden="1" customWidth="1"/>
    <col min="9985" max="10229" width="9.140625" style="6"/>
    <col min="10230" max="10230" width="31" style="6" customWidth="1"/>
    <col min="10231" max="10236" width="9.140625" style="6"/>
    <col min="10237" max="10237" width="3.5703125" style="6" customWidth="1"/>
    <col min="10238" max="10239" width="9.140625" style="6"/>
    <col min="10240" max="10240" width="0" style="6" hidden="1" customWidth="1"/>
    <col min="10241" max="10485" width="9.140625" style="6"/>
    <col min="10486" max="10486" width="31" style="6" customWidth="1"/>
    <col min="10487" max="10492" width="9.140625" style="6"/>
    <col min="10493" max="10493" width="3.5703125" style="6" customWidth="1"/>
    <col min="10494" max="10495" width="9.140625" style="6"/>
    <col min="10496" max="10496" width="0" style="6" hidden="1" customWidth="1"/>
    <col min="10497" max="10741" width="9.140625" style="6"/>
    <col min="10742" max="10742" width="31" style="6" customWidth="1"/>
    <col min="10743" max="10748" width="9.140625" style="6"/>
    <col min="10749" max="10749" width="3.5703125" style="6" customWidth="1"/>
    <col min="10750" max="10751" width="9.140625" style="6"/>
    <col min="10752" max="10752" width="0" style="6" hidden="1" customWidth="1"/>
    <col min="10753" max="10997" width="9.140625" style="6"/>
    <col min="10998" max="10998" width="31" style="6" customWidth="1"/>
    <col min="10999" max="11004" width="9.140625" style="6"/>
    <col min="11005" max="11005" width="3.5703125" style="6" customWidth="1"/>
    <col min="11006" max="11007" width="9.140625" style="6"/>
    <col min="11008" max="11008" width="0" style="6" hidden="1" customWidth="1"/>
    <col min="11009" max="11253" width="9.140625" style="6"/>
    <col min="11254" max="11254" width="31" style="6" customWidth="1"/>
    <col min="11255" max="11260" width="9.140625" style="6"/>
    <col min="11261" max="11261" width="3.5703125" style="6" customWidth="1"/>
    <col min="11262" max="11263" width="9.140625" style="6"/>
    <col min="11264" max="11264" width="0" style="6" hidden="1" customWidth="1"/>
    <col min="11265" max="11509" width="9.140625" style="6"/>
    <col min="11510" max="11510" width="31" style="6" customWidth="1"/>
    <col min="11511" max="11516" width="9.140625" style="6"/>
    <col min="11517" max="11517" width="3.5703125" style="6" customWidth="1"/>
    <col min="11518" max="11519" width="9.140625" style="6"/>
    <col min="11520" max="11520" width="0" style="6" hidden="1" customWidth="1"/>
    <col min="11521" max="11765" width="9.140625" style="6"/>
    <col min="11766" max="11766" width="31" style="6" customWidth="1"/>
    <col min="11767" max="11772" width="9.140625" style="6"/>
    <col min="11773" max="11773" width="3.5703125" style="6" customWidth="1"/>
    <col min="11774" max="11775" width="9.140625" style="6"/>
    <col min="11776" max="11776" width="0" style="6" hidden="1" customWidth="1"/>
    <col min="11777" max="12021" width="9.140625" style="6"/>
    <col min="12022" max="12022" width="31" style="6" customWidth="1"/>
    <col min="12023" max="12028" width="9.140625" style="6"/>
    <col min="12029" max="12029" width="3.5703125" style="6" customWidth="1"/>
    <col min="12030" max="12031" width="9.140625" style="6"/>
    <col min="12032" max="12032" width="0" style="6" hidden="1" customWidth="1"/>
    <col min="12033" max="12277" width="9.140625" style="6"/>
    <col min="12278" max="12278" width="31" style="6" customWidth="1"/>
    <col min="12279" max="12284" width="9.140625" style="6"/>
    <col min="12285" max="12285" width="3.5703125" style="6" customWidth="1"/>
    <col min="12286" max="12287" width="9.140625" style="6"/>
    <col min="12288" max="12288" width="0" style="6" hidden="1" customWidth="1"/>
    <col min="12289" max="12533" width="9.140625" style="6"/>
    <col min="12534" max="12534" width="31" style="6" customWidth="1"/>
    <col min="12535" max="12540" width="9.140625" style="6"/>
    <col min="12541" max="12541" width="3.5703125" style="6" customWidth="1"/>
    <col min="12542" max="12543" width="9.140625" style="6"/>
    <col min="12544" max="12544" width="0" style="6" hidden="1" customWidth="1"/>
    <col min="12545" max="12789" width="9.140625" style="6"/>
    <col min="12790" max="12790" width="31" style="6" customWidth="1"/>
    <col min="12791" max="12796" width="9.140625" style="6"/>
    <col min="12797" max="12797" width="3.5703125" style="6" customWidth="1"/>
    <col min="12798" max="12799" width="9.140625" style="6"/>
    <col min="12800" max="12800" width="0" style="6" hidden="1" customWidth="1"/>
    <col min="12801" max="13045" width="9.140625" style="6"/>
    <col min="13046" max="13046" width="31" style="6" customWidth="1"/>
    <col min="13047" max="13052" width="9.140625" style="6"/>
    <col min="13053" max="13053" width="3.5703125" style="6" customWidth="1"/>
    <col min="13054" max="13055" width="9.140625" style="6"/>
    <col min="13056" max="13056" width="0" style="6" hidden="1" customWidth="1"/>
    <col min="13057" max="13301" width="9.140625" style="6"/>
    <col min="13302" max="13302" width="31" style="6" customWidth="1"/>
    <col min="13303" max="13308" width="9.140625" style="6"/>
    <col min="13309" max="13309" width="3.5703125" style="6" customWidth="1"/>
    <col min="13310" max="13311" width="9.140625" style="6"/>
    <col min="13312" max="13312" width="0" style="6" hidden="1" customWidth="1"/>
    <col min="13313" max="13557" width="9.140625" style="6"/>
    <col min="13558" max="13558" width="31" style="6" customWidth="1"/>
    <col min="13559" max="13564" width="9.140625" style="6"/>
    <col min="13565" max="13565" width="3.5703125" style="6" customWidth="1"/>
    <col min="13566" max="13567" width="9.140625" style="6"/>
    <col min="13568" max="13568" width="0" style="6" hidden="1" customWidth="1"/>
    <col min="13569" max="13813" width="9.140625" style="6"/>
    <col min="13814" max="13814" width="31" style="6" customWidth="1"/>
    <col min="13815" max="13820" width="9.140625" style="6"/>
    <col min="13821" max="13821" width="3.5703125" style="6" customWidth="1"/>
    <col min="13822" max="13823" width="9.140625" style="6"/>
    <col min="13824" max="13824" width="0" style="6" hidden="1" customWidth="1"/>
    <col min="13825" max="14069" width="9.140625" style="6"/>
    <col min="14070" max="14070" width="31" style="6" customWidth="1"/>
    <col min="14071" max="14076" width="9.140625" style="6"/>
    <col min="14077" max="14077" width="3.5703125" style="6" customWidth="1"/>
    <col min="14078" max="14079" width="9.140625" style="6"/>
    <col min="14080" max="14080" width="0" style="6" hidden="1" customWidth="1"/>
    <col min="14081" max="14325" width="9.140625" style="6"/>
    <col min="14326" max="14326" width="31" style="6" customWidth="1"/>
    <col min="14327" max="14332" width="9.140625" style="6"/>
    <col min="14333" max="14333" width="3.5703125" style="6" customWidth="1"/>
    <col min="14334" max="14335" width="9.140625" style="6"/>
    <col min="14336" max="14336" width="0" style="6" hidden="1" customWidth="1"/>
    <col min="14337" max="14581" width="9.140625" style="6"/>
    <col min="14582" max="14582" width="31" style="6" customWidth="1"/>
    <col min="14583" max="14588" width="9.140625" style="6"/>
    <col min="14589" max="14589" width="3.5703125" style="6" customWidth="1"/>
    <col min="14590" max="14591" width="9.140625" style="6"/>
    <col min="14592" max="14592" width="0" style="6" hidden="1" customWidth="1"/>
    <col min="14593" max="14837" width="9.140625" style="6"/>
    <col min="14838" max="14838" width="31" style="6" customWidth="1"/>
    <col min="14839" max="14844" width="9.140625" style="6"/>
    <col min="14845" max="14845" width="3.5703125" style="6" customWidth="1"/>
    <col min="14846" max="14847" width="9.140625" style="6"/>
    <col min="14848" max="14848" width="0" style="6" hidden="1" customWidth="1"/>
    <col min="14849" max="15093" width="9.140625" style="6"/>
    <col min="15094" max="15094" width="31" style="6" customWidth="1"/>
    <col min="15095" max="15100" width="9.140625" style="6"/>
    <col min="15101" max="15101" width="3.5703125" style="6" customWidth="1"/>
    <col min="15102" max="15103" width="9.140625" style="6"/>
    <col min="15104" max="15104" width="0" style="6" hidden="1" customWidth="1"/>
    <col min="15105" max="15349" width="9.140625" style="6"/>
    <col min="15350" max="15350" width="31" style="6" customWidth="1"/>
    <col min="15351" max="15356" width="9.140625" style="6"/>
    <col min="15357" max="15357" width="3.5703125" style="6" customWidth="1"/>
    <col min="15358" max="15359" width="9.140625" style="6"/>
    <col min="15360" max="15360" width="0" style="6" hidden="1" customWidth="1"/>
    <col min="15361" max="15605" width="9.140625" style="6"/>
    <col min="15606" max="15606" width="31" style="6" customWidth="1"/>
    <col min="15607" max="15612" width="9.140625" style="6"/>
    <col min="15613" max="15613" width="3.5703125" style="6" customWidth="1"/>
    <col min="15614" max="15615" width="9.140625" style="6"/>
    <col min="15616" max="15616" width="0" style="6" hidden="1" customWidth="1"/>
    <col min="15617" max="15861" width="9.140625" style="6"/>
    <col min="15862" max="15862" width="31" style="6" customWidth="1"/>
    <col min="15863" max="15868" width="9.140625" style="6"/>
    <col min="15869" max="15869" width="3.5703125" style="6" customWidth="1"/>
    <col min="15870" max="15871" width="9.140625" style="6"/>
    <col min="15872" max="15872" width="0" style="6" hidden="1" customWidth="1"/>
    <col min="15873" max="16117" width="9.140625" style="6"/>
    <col min="16118" max="16118" width="31" style="6" customWidth="1"/>
    <col min="16119" max="16124" width="9.140625" style="6"/>
    <col min="16125" max="16125" width="3.5703125" style="6" customWidth="1"/>
    <col min="16126" max="16127" width="9.140625" style="6"/>
    <col min="16128" max="16128" width="0" style="6" hidden="1" customWidth="1"/>
    <col min="16129" max="16384" width="9.140625" style="6"/>
  </cols>
  <sheetData>
    <row r="1" spans="1:55" ht="18">
      <c r="A1" s="94" t="s">
        <v>46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</row>
    <row r="2" spans="1:55" ht="15.75">
      <c r="A2" s="76" t="s">
        <v>47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55">
      <c r="A3" s="16"/>
      <c r="B3" s="16"/>
      <c r="C3" s="16"/>
      <c r="D3" s="16"/>
      <c r="E3" s="17"/>
      <c r="F3" s="17"/>
      <c r="G3" s="17"/>
      <c r="H3" s="17"/>
      <c r="I3" s="17"/>
      <c r="J3" s="17"/>
      <c r="K3" s="17"/>
      <c r="L3" s="17"/>
      <c r="M3" s="17"/>
    </row>
    <row r="4" spans="1:55" ht="26.25" customHeight="1">
      <c r="A4" s="18"/>
      <c r="B4" s="77" t="s">
        <v>0</v>
      </c>
      <c r="C4" s="77"/>
      <c r="D4" s="77"/>
      <c r="E4" s="79" t="s">
        <v>21</v>
      </c>
      <c r="F4" s="80"/>
      <c r="G4" s="80"/>
      <c r="H4" s="80"/>
      <c r="I4" s="80"/>
      <c r="J4" s="81"/>
      <c r="K4" s="51"/>
      <c r="L4" s="82" t="s">
        <v>22</v>
      </c>
      <c r="M4" s="82"/>
      <c r="O4" s="83"/>
      <c r="P4" s="84"/>
    </row>
    <row r="5" spans="1:55" ht="20.25" customHeight="1">
      <c r="A5" s="16"/>
      <c r="B5" s="78"/>
      <c r="C5" s="78"/>
      <c r="D5" s="78"/>
      <c r="E5" s="89" t="s">
        <v>23</v>
      </c>
      <c r="F5" s="90"/>
      <c r="G5" s="90" t="s">
        <v>24</v>
      </c>
      <c r="H5" s="90"/>
      <c r="I5" s="91" t="s">
        <v>25</v>
      </c>
      <c r="J5" s="92"/>
      <c r="K5" s="52"/>
      <c r="L5" s="91" t="s">
        <v>25</v>
      </c>
      <c r="M5" s="93"/>
      <c r="O5" s="85"/>
      <c r="P5" s="86"/>
      <c r="AL5" s="6" t="s">
        <v>39</v>
      </c>
      <c r="AM5" s="6" t="s">
        <v>40</v>
      </c>
    </row>
    <row r="6" spans="1:55" ht="17.25" customHeight="1">
      <c r="A6" s="19"/>
      <c r="B6" s="20" t="s">
        <v>26</v>
      </c>
      <c r="C6" s="20" t="s">
        <v>27</v>
      </c>
      <c r="D6" s="20" t="s">
        <v>28</v>
      </c>
      <c r="E6" s="21" t="s">
        <v>27</v>
      </c>
      <c r="F6" s="22" t="s">
        <v>28</v>
      </c>
      <c r="G6" s="22" t="s">
        <v>27</v>
      </c>
      <c r="H6" s="22" t="s">
        <v>28</v>
      </c>
      <c r="I6" s="22" t="s">
        <v>27</v>
      </c>
      <c r="J6" s="23" t="s">
        <v>28</v>
      </c>
      <c r="K6" s="22"/>
      <c r="L6" s="22" t="s">
        <v>27</v>
      </c>
      <c r="M6" s="22" t="s">
        <v>28</v>
      </c>
      <c r="N6" s="24"/>
      <c r="O6" s="87"/>
      <c r="P6" s="88"/>
      <c r="AJ6" s="46" t="s">
        <v>1</v>
      </c>
      <c r="AK6" s="46">
        <f t="shared" ref="AK6:AK16" si="0">SUM(AL6:AM6)</f>
        <v>961</v>
      </c>
      <c r="AL6" s="6">
        <v>682</v>
      </c>
      <c r="AM6" s="6">
        <v>279</v>
      </c>
      <c r="AR6" s="47"/>
      <c r="AS6" s="96" t="s">
        <v>7</v>
      </c>
      <c r="AT6" s="98" t="s">
        <v>1</v>
      </c>
      <c r="AU6" s="99"/>
      <c r="AV6" s="100"/>
      <c r="AW6" s="96" t="s">
        <v>9</v>
      </c>
      <c r="AX6" s="101" t="s">
        <v>11</v>
      </c>
      <c r="AY6" s="101"/>
      <c r="AZ6" s="101"/>
      <c r="BA6" s="96" t="s">
        <v>17</v>
      </c>
      <c r="BB6" s="48"/>
      <c r="BC6" s="49"/>
    </row>
    <row r="7" spans="1:55" ht="23.25" customHeight="1">
      <c r="A7" s="25" t="s">
        <v>0</v>
      </c>
      <c r="B7" s="26">
        <f>B8+B11+B12+B13+B16</f>
        <v>5169</v>
      </c>
      <c r="C7" s="26">
        <f>C8+C11+C12+C13+C16</f>
        <v>2298</v>
      </c>
      <c r="D7" s="26">
        <f>D8+D11+D12+D13+D16</f>
        <v>2871</v>
      </c>
      <c r="E7" s="69">
        <f t="shared" ref="E7:H7" si="1">E8+E11+E12+E13+E16</f>
        <v>573</v>
      </c>
      <c r="F7" s="1">
        <f>F8+F11+F12+F13+F16</f>
        <v>1104</v>
      </c>
      <c r="G7" s="1">
        <f t="shared" si="1"/>
        <v>1274</v>
      </c>
      <c r="H7" s="1">
        <f t="shared" si="1"/>
        <v>1574</v>
      </c>
      <c r="I7" s="1">
        <f>I8+I11+I12+I13+I16</f>
        <v>1847</v>
      </c>
      <c r="J7" s="1">
        <f>J8+J11+J12+J13+J16</f>
        <v>2678</v>
      </c>
      <c r="K7" s="1"/>
      <c r="L7" s="1">
        <f>L8+L11+L12+L13+L16</f>
        <v>451</v>
      </c>
      <c r="M7" s="1">
        <f>M8+M11+M12+M13+M16</f>
        <v>193</v>
      </c>
      <c r="N7" s="28" t="s">
        <v>29</v>
      </c>
      <c r="O7" s="2" t="s">
        <v>29</v>
      </c>
      <c r="P7" s="29"/>
      <c r="AD7" s="6" t="s">
        <v>39</v>
      </c>
      <c r="AE7" s="6" t="s">
        <v>40</v>
      </c>
      <c r="AJ7" s="46" t="s">
        <v>41</v>
      </c>
      <c r="AK7" s="46">
        <f t="shared" si="0"/>
        <v>514</v>
      </c>
      <c r="AL7" s="6">
        <v>379</v>
      </c>
      <c r="AM7" s="6">
        <v>135</v>
      </c>
      <c r="AR7" s="47"/>
      <c r="AS7" s="97"/>
      <c r="AT7" s="50" t="s">
        <v>0</v>
      </c>
      <c r="AU7" s="50" t="s">
        <v>41</v>
      </c>
      <c r="AV7" s="50" t="s">
        <v>42</v>
      </c>
      <c r="AW7" s="97"/>
      <c r="AX7" s="50" t="s">
        <v>0</v>
      </c>
      <c r="AY7" s="50" t="s">
        <v>36</v>
      </c>
      <c r="AZ7" s="50" t="s">
        <v>43</v>
      </c>
      <c r="BA7" s="97"/>
      <c r="BB7" s="50" t="s">
        <v>45</v>
      </c>
    </row>
    <row r="8" spans="1:55" s="33" customFormat="1" ht="23.25" customHeight="1">
      <c r="A8" s="25" t="s">
        <v>1</v>
      </c>
      <c r="B8" s="26">
        <f>B9+B10</f>
        <v>1194</v>
      </c>
      <c r="C8" s="26">
        <f>C9+C10</f>
        <v>765</v>
      </c>
      <c r="D8" s="26">
        <f>D9+D10</f>
        <v>429</v>
      </c>
      <c r="E8" s="44">
        <f>E9+E10</f>
        <v>153</v>
      </c>
      <c r="F8" s="43">
        <f t="shared" ref="F8:H8" si="2">F9+F10</f>
        <v>269</v>
      </c>
      <c r="G8" s="43">
        <f t="shared" si="2"/>
        <v>527</v>
      </c>
      <c r="H8" s="43">
        <f t="shared" si="2"/>
        <v>92</v>
      </c>
      <c r="I8" s="43">
        <f>E8+G8</f>
        <v>680</v>
      </c>
      <c r="J8" s="45">
        <f>F8+H8</f>
        <v>361</v>
      </c>
      <c r="K8" s="30"/>
      <c r="L8" s="43">
        <f>SUM(L9:L10)</f>
        <v>85</v>
      </c>
      <c r="M8" s="43">
        <f>SUM(M9:M10)</f>
        <v>68</v>
      </c>
      <c r="N8" s="31" t="s">
        <v>4</v>
      </c>
      <c r="O8" s="2" t="s">
        <v>2</v>
      </c>
      <c r="P8" s="32"/>
      <c r="AD8" s="42">
        <f>C7</f>
        <v>2298</v>
      </c>
      <c r="AE8" s="42">
        <f>D7</f>
        <v>2871</v>
      </c>
      <c r="AJ8" s="57" t="s">
        <v>42</v>
      </c>
      <c r="AK8" s="57">
        <f t="shared" si="0"/>
        <v>447</v>
      </c>
      <c r="AL8" s="33">
        <v>303</v>
      </c>
      <c r="AM8" s="33">
        <v>144</v>
      </c>
      <c r="AR8" s="33" t="s">
        <v>39</v>
      </c>
      <c r="AS8" s="6">
        <v>1228</v>
      </c>
      <c r="AT8" s="33">
        <f>SUM(AU8:AV8)</f>
        <v>765</v>
      </c>
      <c r="AU8" s="6">
        <v>433</v>
      </c>
      <c r="AV8" s="6">
        <v>332</v>
      </c>
      <c r="AW8" s="6">
        <v>305</v>
      </c>
      <c r="AX8" s="6">
        <v>0</v>
      </c>
      <c r="AY8" s="6">
        <v>0</v>
      </c>
      <c r="AZ8" s="6">
        <v>0</v>
      </c>
      <c r="BA8" s="6">
        <v>0</v>
      </c>
      <c r="BB8" s="33">
        <v>0</v>
      </c>
    </row>
    <row r="9" spans="1:55" ht="23.25" customHeight="1">
      <c r="A9" s="34" t="s">
        <v>3</v>
      </c>
      <c r="B9" s="26">
        <f>SUM(C9:D9)</f>
        <v>687</v>
      </c>
      <c r="C9" s="26">
        <f>I9+L9</f>
        <v>433</v>
      </c>
      <c r="D9" s="26">
        <f>J9+M9</f>
        <v>254</v>
      </c>
      <c r="E9" s="63">
        <v>69</v>
      </c>
      <c r="F9" s="56">
        <v>131</v>
      </c>
      <c r="G9" s="56">
        <v>348</v>
      </c>
      <c r="H9" s="56">
        <v>86</v>
      </c>
      <c r="I9" s="56">
        <f>E9+G9</f>
        <v>417</v>
      </c>
      <c r="J9" s="64">
        <f>F9+H9</f>
        <v>217</v>
      </c>
      <c r="K9" s="35"/>
      <c r="L9" s="56">
        <v>16</v>
      </c>
      <c r="M9" s="56">
        <v>37</v>
      </c>
      <c r="N9" s="36" t="s">
        <v>6</v>
      </c>
      <c r="O9" s="54" t="s">
        <v>4</v>
      </c>
      <c r="P9" s="29"/>
      <c r="AJ9" s="46" t="s">
        <v>7</v>
      </c>
      <c r="AK9" s="46">
        <f t="shared" si="0"/>
        <v>2881</v>
      </c>
      <c r="AL9" s="6">
        <v>1308</v>
      </c>
      <c r="AM9" s="6">
        <v>1573</v>
      </c>
      <c r="AR9" s="6" t="s">
        <v>40</v>
      </c>
      <c r="AS9" s="6">
        <v>1685</v>
      </c>
      <c r="AT9" s="33">
        <f>SUM(AU9:AV9)</f>
        <v>429</v>
      </c>
      <c r="AU9" s="6">
        <v>254</v>
      </c>
      <c r="AV9" s="6">
        <v>175</v>
      </c>
      <c r="AW9" s="6">
        <v>285</v>
      </c>
      <c r="AX9" s="6">
        <v>433</v>
      </c>
      <c r="AY9" s="6">
        <v>210</v>
      </c>
      <c r="AZ9" s="6">
        <v>223</v>
      </c>
      <c r="BA9" s="6">
        <v>39</v>
      </c>
      <c r="BB9" s="33">
        <v>0</v>
      </c>
    </row>
    <row r="10" spans="1:55" ht="23.25" customHeight="1">
      <c r="A10" s="34" t="s">
        <v>5</v>
      </c>
      <c r="B10" s="26">
        <f t="shared" ref="B10:B16" si="3">SUM(C10:D10)</f>
        <v>507</v>
      </c>
      <c r="C10" s="26">
        <f>I10+L10</f>
        <v>332</v>
      </c>
      <c r="D10" s="26">
        <f>J10+M10</f>
        <v>175</v>
      </c>
      <c r="E10" s="63">
        <v>84</v>
      </c>
      <c r="F10" s="56">
        <v>138</v>
      </c>
      <c r="G10" s="56">
        <v>179</v>
      </c>
      <c r="H10" s="56">
        <v>6</v>
      </c>
      <c r="I10" s="56">
        <f t="shared" ref="I10:J16" si="4">E10+G10</f>
        <v>263</v>
      </c>
      <c r="J10" s="64">
        <f t="shared" si="4"/>
        <v>144</v>
      </c>
      <c r="K10" s="37"/>
      <c r="L10" s="56">
        <v>69</v>
      </c>
      <c r="M10" s="56">
        <v>31</v>
      </c>
      <c r="N10" s="28" t="s">
        <v>8</v>
      </c>
      <c r="O10" s="55" t="s">
        <v>6</v>
      </c>
      <c r="P10" s="29"/>
      <c r="AJ10" s="46" t="s">
        <v>9</v>
      </c>
      <c r="AK10" s="46">
        <f t="shared" si="0"/>
        <v>574</v>
      </c>
      <c r="AL10" s="6">
        <v>292</v>
      </c>
      <c r="AM10" s="6">
        <v>282</v>
      </c>
    </row>
    <row r="11" spans="1:55" s="33" customFormat="1" ht="23.25" customHeight="1">
      <c r="A11" s="25" t="s">
        <v>7</v>
      </c>
      <c r="B11" s="26">
        <f t="shared" si="3"/>
        <v>2913</v>
      </c>
      <c r="C11" s="26">
        <f t="shared" ref="C11:D16" si="5">I11+L11</f>
        <v>1228</v>
      </c>
      <c r="D11" s="26">
        <f t="shared" si="5"/>
        <v>1685</v>
      </c>
      <c r="E11" s="65">
        <v>359</v>
      </c>
      <c r="F11" s="26">
        <v>676</v>
      </c>
      <c r="G11" s="26">
        <v>576</v>
      </c>
      <c r="H11" s="26">
        <v>936</v>
      </c>
      <c r="I11" s="26">
        <f t="shared" si="4"/>
        <v>935</v>
      </c>
      <c r="J11" s="66">
        <f t="shared" si="4"/>
        <v>1612</v>
      </c>
      <c r="K11" s="30"/>
      <c r="L11" s="26">
        <v>293</v>
      </c>
      <c r="M11" s="26">
        <v>73</v>
      </c>
      <c r="N11" s="31" t="s">
        <v>30</v>
      </c>
      <c r="O11" s="70" t="s">
        <v>8</v>
      </c>
      <c r="P11" s="32"/>
      <c r="AJ11" s="57" t="s">
        <v>11</v>
      </c>
      <c r="AK11" s="57">
        <f t="shared" si="0"/>
        <v>453</v>
      </c>
      <c r="AL11" s="33">
        <v>0</v>
      </c>
      <c r="AM11" s="33">
        <v>453</v>
      </c>
    </row>
    <row r="12" spans="1:55" s="33" customFormat="1" ht="23.25" customHeight="1">
      <c r="A12" s="25" t="s">
        <v>9</v>
      </c>
      <c r="B12" s="26">
        <f t="shared" si="3"/>
        <v>590</v>
      </c>
      <c r="C12" s="26">
        <f t="shared" si="5"/>
        <v>305</v>
      </c>
      <c r="D12" s="26">
        <f t="shared" si="5"/>
        <v>285</v>
      </c>
      <c r="E12" s="65">
        <v>61</v>
      </c>
      <c r="F12" s="26">
        <v>153</v>
      </c>
      <c r="G12" s="26">
        <v>171</v>
      </c>
      <c r="H12" s="26">
        <v>80</v>
      </c>
      <c r="I12" s="26">
        <f t="shared" si="4"/>
        <v>232</v>
      </c>
      <c r="J12" s="66">
        <f t="shared" si="4"/>
        <v>233</v>
      </c>
      <c r="K12" s="30"/>
      <c r="L12" s="26">
        <v>73</v>
      </c>
      <c r="M12" s="26">
        <v>52</v>
      </c>
      <c r="N12" s="31" t="s">
        <v>31</v>
      </c>
      <c r="O12" s="3" t="s">
        <v>10</v>
      </c>
      <c r="P12" s="32"/>
      <c r="AJ12" s="57" t="s">
        <v>36</v>
      </c>
      <c r="AK12" s="57">
        <f t="shared" si="0"/>
        <v>216</v>
      </c>
      <c r="AL12" s="33">
        <v>0</v>
      </c>
      <c r="AM12" s="33">
        <v>216</v>
      </c>
      <c r="AS12" s="57"/>
      <c r="AU12" s="57"/>
      <c r="AV12" s="57"/>
      <c r="AW12" s="57"/>
      <c r="AX12" s="57"/>
      <c r="AY12" s="57"/>
      <c r="AZ12" s="57"/>
      <c r="BA12" s="57"/>
      <c r="BB12" s="57"/>
    </row>
    <row r="13" spans="1:55" s="33" customFormat="1" ht="23.25" customHeight="1">
      <c r="A13" s="25" t="s">
        <v>11</v>
      </c>
      <c r="B13" s="26">
        <f>SUM(B14:B15)</f>
        <v>433</v>
      </c>
      <c r="C13" s="26">
        <f t="shared" si="5"/>
        <v>0</v>
      </c>
      <c r="D13" s="26">
        <f t="shared" si="5"/>
        <v>433</v>
      </c>
      <c r="E13" s="65">
        <f>E14+E15</f>
        <v>0</v>
      </c>
      <c r="F13" s="26">
        <f t="shared" ref="F13:H13" si="6">F14+F15</f>
        <v>6</v>
      </c>
      <c r="G13" s="26">
        <f t="shared" si="6"/>
        <v>0</v>
      </c>
      <c r="H13" s="26">
        <f t="shared" si="6"/>
        <v>427</v>
      </c>
      <c r="I13" s="26">
        <f t="shared" si="4"/>
        <v>0</v>
      </c>
      <c r="J13" s="66">
        <f>F13+H13</f>
        <v>433</v>
      </c>
      <c r="K13" s="27"/>
      <c r="L13" s="26">
        <f>E13+G13</f>
        <v>0</v>
      </c>
      <c r="M13" s="26">
        <v>0</v>
      </c>
      <c r="N13" s="28" t="s">
        <v>32</v>
      </c>
      <c r="O13" s="3" t="s">
        <v>12</v>
      </c>
      <c r="P13" s="32"/>
      <c r="AJ13" s="57" t="s">
        <v>43</v>
      </c>
      <c r="AK13" s="57">
        <f t="shared" si="0"/>
        <v>237</v>
      </c>
      <c r="AL13" s="33">
        <v>0</v>
      </c>
      <c r="AM13" s="33">
        <v>237</v>
      </c>
    </row>
    <row r="14" spans="1:55" ht="23.25" customHeight="1">
      <c r="A14" s="34" t="s">
        <v>13</v>
      </c>
      <c r="B14" s="26">
        <f t="shared" si="3"/>
        <v>210</v>
      </c>
      <c r="C14" s="26">
        <f t="shared" si="5"/>
        <v>0</v>
      </c>
      <c r="D14" s="26">
        <f t="shared" si="5"/>
        <v>210</v>
      </c>
      <c r="E14" s="63">
        <v>0</v>
      </c>
      <c r="F14" s="56">
        <v>6</v>
      </c>
      <c r="G14" s="56">
        <v>0</v>
      </c>
      <c r="H14" s="56">
        <v>204</v>
      </c>
      <c r="I14" s="56">
        <f t="shared" si="4"/>
        <v>0</v>
      </c>
      <c r="J14" s="64">
        <f t="shared" si="4"/>
        <v>210</v>
      </c>
      <c r="K14" s="35"/>
      <c r="L14" s="56">
        <v>0</v>
      </c>
      <c r="M14" s="56">
        <v>0</v>
      </c>
      <c r="N14" s="36" t="s">
        <v>33</v>
      </c>
      <c r="O14" s="4" t="s">
        <v>14</v>
      </c>
      <c r="P14" s="29"/>
      <c r="AJ14" s="46" t="s">
        <v>17</v>
      </c>
      <c r="AK14" s="46">
        <f t="shared" si="0"/>
        <v>53</v>
      </c>
      <c r="AL14" s="6">
        <v>0</v>
      </c>
      <c r="AM14" s="6">
        <v>53</v>
      </c>
    </row>
    <row r="15" spans="1:55" ht="23.25" customHeight="1">
      <c r="A15" s="34" t="s">
        <v>15</v>
      </c>
      <c r="B15" s="26">
        <f t="shared" si="3"/>
        <v>223</v>
      </c>
      <c r="C15" s="26">
        <f t="shared" si="5"/>
        <v>0</v>
      </c>
      <c r="D15" s="26">
        <f t="shared" si="5"/>
        <v>223</v>
      </c>
      <c r="E15" s="63">
        <v>0</v>
      </c>
      <c r="F15" s="56">
        <v>0</v>
      </c>
      <c r="G15" s="56">
        <v>0</v>
      </c>
      <c r="H15" s="56">
        <v>223</v>
      </c>
      <c r="I15" s="56">
        <f t="shared" si="4"/>
        <v>0</v>
      </c>
      <c r="J15" s="64">
        <f t="shared" si="4"/>
        <v>223</v>
      </c>
      <c r="K15" s="35"/>
      <c r="L15" s="56">
        <v>0</v>
      </c>
      <c r="M15" s="56">
        <v>0</v>
      </c>
      <c r="N15" s="36" t="s">
        <v>34</v>
      </c>
      <c r="O15" s="4" t="s">
        <v>16</v>
      </c>
      <c r="P15" s="29"/>
      <c r="AJ15" s="46" t="s">
        <v>44</v>
      </c>
      <c r="AK15" s="46">
        <f t="shared" si="0"/>
        <v>53</v>
      </c>
      <c r="AL15" s="6">
        <v>0</v>
      </c>
      <c r="AM15" s="6">
        <v>53</v>
      </c>
    </row>
    <row r="16" spans="1:55" s="33" customFormat="1" ht="23.25" customHeight="1">
      <c r="A16" s="58" t="s">
        <v>17</v>
      </c>
      <c r="B16" s="38">
        <f t="shared" si="3"/>
        <v>39</v>
      </c>
      <c r="C16" s="38">
        <f t="shared" si="5"/>
        <v>0</v>
      </c>
      <c r="D16" s="38">
        <f t="shared" si="5"/>
        <v>39</v>
      </c>
      <c r="E16" s="67">
        <v>0</v>
      </c>
      <c r="F16" s="59">
        <v>0</v>
      </c>
      <c r="G16" s="59">
        <v>0</v>
      </c>
      <c r="H16" s="59">
        <v>39</v>
      </c>
      <c r="I16" s="59">
        <f t="shared" si="4"/>
        <v>0</v>
      </c>
      <c r="J16" s="68">
        <f t="shared" si="4"/>
        <v>39</v>
      </c>
      <c r="K16" s="60"/>
      <c r="L16" s="59">
        <v>0</v>
      </c>
      <c r="M16" s="59">
        <v>0</v>
      </c>
      <c r="N16" s="61" t="s">
        <v>35</v>
      </c>
      <c r="O16" s="53" t="s">
        <v>18</v>
      </c>
      <c r="P16" s="62"/>
      <c r="AJ16" s="46" t="s">
        <v>45</v>
      </c>
      <c r="AK16" s="46">
        <f t="shared" si="0"/>
        <v>0</v>
      </c>
      <c r="AL16" s="33">
        <v>0</v>
      </c>
      <c r="AM16" s="33">
        <v>0</v>
      </c>
    </row>
    <row r="17" spans="1:47">
      <c r="A17" s="5" t="s">
        <v>19</v>
      </c>
      <c r="D17" s="7"/>
    </row>
    <row r="18" spans="1:47" s="8" customFormat="1">
      <c r="A18" s="71" t="s">
        <v>48</v>
      </c>
      <c r="D18" s="9"/>
    </row>
    <row r="19" spans="1:47" s="8" customFormat="1" ht="19.5" customHeight="1">
      <c r="A19" s="72" t="s">
        <v>49</v>
      </c>
      <c r="B19" s="10"/>
      <c r="C19" s="10"/>
      <c r="D19" s="11"/>
    </row>
    <row r="20" spans="1:47" s="8" customFormat="1" ht="21.75" customHeight="1">
      <c r="A20" s="72" t="s">
        <v>50</v>
      </c>
      <c r="D20" s="9"/>
      <c r="E20" s="12"/>
      <c r="F20" s="12"/>
      <c r="H20" s="73"/>
      <c r="AM20" s="74"/>
      <c r="AN20" s="74"/>
      <c r="AO20" s="74"/>
      <c r="AP20" s="75"/>
      <c r="AQ20" s="75"/>
      <c r="AR20" s="75"/>
      <c r="AS20" s="75"/>
      <c r="AT20" s="75"/>
    </row>
    <row r="21" spans="1:47" s="8" customFormat="1" ht="21.75" customHeight="1">
      <c r="A21" s="72" t="s">
        <v>51</v>
      </c>
      <c r="D21" s="9"/>
      <c r="E21" s="12"/>
      <c r="F21" s="12"/>
      <c r="AO21" s="74"/>
      <c r="AP21" s="75"/>
      <c r="AQ21" s="75"/>
      <c r="AR21" s="75"/>
      <c r="AS21" s="75"/>
      <c r="AT21" s="75"/>
    </row>
    <row r="22" spans="1:47" s="8" customFormat="1" ht="21.75" customHeight="1">
      <c r="A22" s="72" t="s">
        <v>20</v>
      </c>
      <c r="D22" s="9"/>
      <c r="E22" s="12"/>
      <c r="F22" s="12"/>
      <c r="AL22" s="33"/>
    </row>
    <row r="23" spans="1:47">
      <c r="A23" s="13"/>
      <c r="D23" s="7"/>
    </row>
    <row r="24" spans="1:47" ht="17.25">
      <c r="A24" s="40"/>
      <c r="B24" s="39"/>
      <c r="C24" s="39"/>
      <c r="D24" s="39"/>
      <c r="E24" s="14"/>
      <c r="F24" s="14"/>
      <c r="G24" s="14"/>
      <c r="H24" s="14"/>
      <c r="I24" s="14"/>
      <c r="J24" s="14"/>
      <c r="K24" s="14"/>
      <c r="L24" s="14"/>
      <c r="M24" s="14"/>
      <c r="N24" s="15" t="s">
        <v>37</v>
      </c>
    </row>
    <row r="25" spans="1:47" ht="17.25">
      <c r="B25" s="40"/>
      <c r="C25" s="40"/>
      <c r="D25" s="40"/>
      <c r="E25" s="14"/>
      <c r="F25" s="14"/>
      <c r="G25" s="14"/>
      <c r="H25" s="14"/>
      <c r="I25" s="14"/>
      <c r="J25" s="14"/>
      <c r="K25" s="14"/>
      <c r="L25" s="14"/>
      <c r="M25" s="14"/>
      <c r="N25" s="15" t="s">
        <v>38</v>
      </c>
    </row>
    <row r="26" spans="1:47" ht="17.25">
      <c r="N26" s="15"/>
    </row>
    <row r="27" spans="1:47">
      <c r="L27" s="41"/>
      <c r="M27" s="41"/>
      <c r="AK27" s="8"/>
      <c r="AL27" s="8"/>
      <c r="AN27" s="8" t="s">
        <v>7</v>
      </c>
      <c r="AO27" s="8">
        <v>2913</v>
      </c>
      <c r="AQ27" s="8"/>
      <c r="AR27" s="8"/>
      <c r="AS27" s="8"/>
      <c r="AT27" s="8"/>
      <c r="AU27" s="8"/>
    </row>
    <row r="28" spans="1:47">
      <c r="AN28" s="8" t="s">
        <v>1</v>
      </c>
      <c r="AO28" s="8">
        <v>1194</v>
      </c>
    </row>
    <row r="29" spans="1:47">
      <c r="AN29" s="8" t="s">
        <v>9</v>
      </c>
      <c r="AO29" s="8">
        <v>590</v>
      </c>
    </row>
    <row r="30" spans="1:47">
      <c r="AN30" s="8" t="s">
        <v>11</v>
      </c>
      <c r="AO30" s="8">
        <v>433</v>
      </c>
    </row>
    <row r="31" spans="1:47">
      <c r="AN31" s="6" t="s">
        <v>17</v>
      </c>
      <c r="AO31" s="6">
        <v>39</v>
      </c>
    </row>
    <row r="42" ht="20.25" customHeight="1"/>
    <row r="43" ht="7.5" customHeight="1"/>
    <row r="44" ht="17.25" customHeight="1"/>
  </sheetData>
  <sortState ref="AN27:AO31">
    <sortCondition descending="1" ref="AO52:AO56"/>
  </sortState>
  <mergeCells count="15">
    <mergeCell ref="BA6:BA7"/>
    <mergeCell ref="AS6:AS7"/>
    <mergeCell ref="AT6:AV6"/>
    <mergeCell ref="AW6:AW7"/>
    <mergeCell ref="AX6:AZ6"/>
    <mergeCell ref="A1:P1"/>
    <mergeCell ref="A2:P2"/>
    <mergeCell ref="B4:D5"/>
    <mergeCell ref="E4:J4"/>
    <mergeCell ref="L4:M4"/>
    <mergeCell ref="O4:P6"/>
    <mergeCell ref="E5:F5"/>
    <mergeCell ref="G5:H5"/>
    <mergeCell ref="I5:J5"/>
    <mergeCell ref="L5:M5"/>
  </mergeCells>
  <pageMargins left="0.7" right="0.7" top="0.75" bottom="0.75" header="0.3" footer="0.3"/>
  <pageSetup scale="48" orientation="portrait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</vt:lpstr>
      <vt:lpstr>'6.2'!Print_Area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2020-10-20T06:14:15Z</cp:lastPrinted>
  <dcterms:created xsi:type="dcterms:W3CDTF">2019-08-06T05:35:20Z</dcterms:created>
  <dcterms:modified xsi:type="dcterms:W3CDTF">2020-10-20T06:14:35Z</dcterms:modified>
</cp:coreProperties>
</file>